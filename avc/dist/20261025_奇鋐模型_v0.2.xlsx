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r" vbProcedure="false">Q!$B$18</definedName>
    <definedName function="false" hidden="false" name="a25_eps" vbProcedure="false">Q!$B$15</definedName>
    <definedName function="false" hidden="false" name="a25_gen" vbProcedure="false">Q!$B$19</definedName>
    <definedName function="false" hidden="false" name="a25_gp" vbProcedure="false">Q!$B$5</definedName>
    <definedName function="false" hidden="false" name="a25_lc" vbProcedure="false">Q!$B$17</definedName>
    <definedName function="false" hidden="false" name="a25_nai" vbProcedure="false">Q!$B$20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pt" vbProcedure="false">Q!$B$11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r" vbProcedure="false">Q!$F$18</definedName>
    <definedName function="false" hidden="false" name="a26_airH" vbProcedure="false">Q!$F$23</definedName>
    <definedName function="false" hidden="false" name="a26_airL" vbProcedure="false">Q!$F$21</definedName>
    <definedName function="false" hidden="false" name="a26_airLH" vbProcedure="false">Q!$F$29</definedName>
    <definedName function="false" hidden="false" name="a26_airLL" vbProcedure="false">Q!$F$26</definedName>
    <definedName function="false" hidden="false" name="a26_eps" vbProcedure="false">Q!$F$15</definedName>
    <definedName function="false" hidden="false" name="a26_gen" vbProcedure="false">Q!$F$19</definedName>
    <definedName function="false" hidden="false" name="a26_genH" vbProcedure="false">Q!$F$24</definedName>
    <definedName function="false" hidden="false" name="a26_genL" vbProcedure="false">Q!$F$22</definedName>
    <definedName function="false" hidden="false" name="a26_genLH" vbProcedure="false">Q!$F$30</definedName>
    <definedName function="false" hidden="false" name="a26_genLL" vbProcedure="false">Q!$F$27</definedName>
    <definedName function="false" hidden="false" name="a26_gp" vbProcedure="false">Q!$F$5</definedName>
    <definedName function="false" hidden="false" name="a26_lc" vbProcedure="false">Q!$F$17</definedName>
    <definedName function="false" hidden="false" name="a26_lcLH" vbProcedure="false">Q!$F$28</definedName>
    <definedName function="false" hidden="false" name="a26_lcLL" vbProcedure="false">Q!$F$25</definedName>
    <definedName function="false" hidden="false" name="a26_nai" vbProcedure="false">Q!$F$20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pt" vbProcedure="false">Q!$F$11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CHI_27" vbProcedure="false">In!$F$39</definedName>
    <definedName function="false" hidden="false" name="ACHI_28" vbProcedure="false">In!$F$40</definedName>
    <definedName function="false" hidden="false" name="ACHI_29" vbProcedure="false">In!$F$41</definedName>
    <definedName function="false" hidden="false" name="ACLO_27" vbProcedure="false">In!$D$39</definedName>
    <definedName function="false" hidden="false" name="ACLO_28" vbProcedure="false">In!$D$40</definedName>
    <definedName function="false" hidden="false" name="ACLO_29" vbProcedure="false">In!$D$41</definedName>
    <definedName function="false" hidden="false" name="acr_27" vbProcedure="false">In!$E$39</definedName>
    <definedName function="false" hidden="false" name="acr_27_hi" vbProcedure="false">In!$F$39</definedName>
    <definedName function="false" hidden="false" name="acr_27_lo" vbProcedure="false">In!$D$39</definedName>
    <definedName function="false" hidden="false" name="acr_28" vbProcedure="false">In!$E$40</definedName>
    <definedName function="false" hidden="false" name="acr_28_hi" vbProcedure="false">In!$F$40</definedName>
    <definedName function="false" hidden="false" name="acr_28_lo" vbProcedure="false">In!$D$40</definedName>
    <definedName function="false" hidden="false" name="acr_29" vbProcedure="false">In!$E$41</definedName>
    <definedName function="false" hidden="false" name="acr_29_hi" vbProcedure="false">In!$F$41</definedName>
    <definedName function="false" hidden="false" name="acr_29_lo" vbProcedure="false">In!$D$41</definedName>
    <definedName function="false" hidden="false" name="aiair" vbProcedure="false">In!$E$47</definedName>
    <definedName function="false" hidden="false" name="aiair_hi" vbProcedure="false">In!$F$47</definedName>
    <definedName function="false" hidden="false" name="aiair_lo" vbProcedure="false">In!$D$47</definedName>
    <definedName function="false" hidden="false" name="b_eps26gs" vbProcedure="false">In!$E$74</definedName>
    <definedName function="false" hidden="false" name="b_eps26kgi" vbProcedure="false">In!$E$75</definedName>
    <definedName function="false" hidden="false" name="b_eps27bofa" vbProcedure="false">In!$E$79</definedName>
    <definedName function="false" hidden="false" name="b_eps27citi" vbProcedure="false">In!$E$81</definedName>
    <definedName function="false" hidden="false" name="b_eps27dw" vbProcedure="false">In!$E$80</definedName>
    <definedName function="false" hidden="false" name="b_eps27gs" vbProcedure="false">In!$E$77</definedName>
    <definedName function="false" hidden="false" name="b_eps27kgi" vbProcedure="false">In!$E$78</definedName>
    <definedName function="false" hidden="false" name="b_eps28gs" vbProcedure="false">In!$E$82</definedName>
    <definedName function="false" hidden="false" name="b_gm27" vbProcedure="false">In!$E$83</definedName>
    <definedName function="false" hidden="false" name="b_lc27" vbProcedure="false">In!$E$84</definedName>
    <definedName function="false" hidden="false" name="b_q4" vbProcedure="false">In!$E$73</definedName>
    <definedName function="false" hidden="false" name="b_rev26" vbProcedure="false">In!$E$72</definedName>
    <definedName function="false" hidden="false" name="b_rev27" vbProcedure="false">In!$E$76</definedName>
    <definedName function="false" hidden="false" name="CAHI_27" vbProcedure="false">In!$F$29</definedName>
    <definedName function="false" hidden="false" name="CAHI_28" vbProcedure="false">In!$F$30</definedName>
    <definedName function="false" hidden="false" name="CAHI_29" vbProcedure="false">In!$F$31</definedName>
    <definedName function="false" hidden="false" name="CALO_27" vbProcedure="false">In!$D$29</definedName>
    <definedName function="false" hidden="false" name="CALO_28" vbProcedure="false">In!$D$30</definedName>
    <definedName function="false" hidden="false" name="CALO_29" vbProcedure="false">In!$D$31</definedName>
    <definedName function="false" hidden="false" name="cons_feps" vbProcedure="false">In!$E$104</definedName>
    <definedName function="false" hidden="false" name="cons_tp" vbProcedure="false">In!$E$103</definedName>
    <definedName function="false" hidden="false" name="cool_gb" vbProcedure="false">In!$E$14</definedName>
    <definedName function="false" hidden="false" name="cool_vr" vbProcedure="false">In!$E$15</definedName>
    <definedName function="false" hidden="false" name="dlc_26" vbProcedure="false">In!$E$23</definedName>
    <definedName function="false" hidden="false" name="dlc_27" vbProcedure="false">In!$E$24</definedName>
    <definedName function="false" hidden="false" name="dlc_28" vbProcedure="false">In!$E$25</definedName>
    <definedName function="false" hidden="false" name="dlc_29" vbProcedure="false">In!$E$26</definedName>
    <definedName function="false" hidden="false" name="d_lc" vbProcedure="false">In!$E$55</definedName>
    <definedName function="false" hidden="false" name="d_lc_hi" vbProcedure="false">In!$F$55</definedName>
    <definedName function="false" hidden="false" name="d_lc_lo" vbProcedure="false">In!$D$55</definedName>
    <definedName function="false" hidden="false" name="fade_gA" vbProcedure="false">In!$E$99</definedName>
    <definedName function="false" hidden="false" name="fade_gB" vbProcedure="false">In!$E$100</definedName>
    <definedName function="false" hidden="false" name="fade_gC" vbProcedure="false">In!$E$101</definedName>
    <definedName function="false" hidden="false" name="fx" vbProcedure="false">In!$E$22</definedName>
    <definedName function="false" hidden="false" name="fx_hi" vbProcedure="false">In!$F$22</definedName>
    <definedName function="false" hidden="false" name="fx_lo" vbProcedure="false">In!$D$22</definedName>
    <definedName function="false" hidden="false" name="GGHI_27" vbProcedure="false">In!$F$48</definedName>
    <definedName function="false" hidden="false" name="GGHI_28" vbProcedure="false">In!$F$49</definedName>
    <definedName function="false" hidden="false" name="GGHI_29" vbProcedure="false">In!$F$50</definedName>
    <definedName function="false" hidden="false" name="GGLO_27" vbProcedure="false">In!$D$48</definedName>
    <definedName function="false" hidden="false" name="GGLO_28" vbProcedure="false">In!$D$49</definedName>
    <definedName function="false" hidden="false" name="GGLO_29" vbProcedure="false">In!$D$50</definedName>
    <definedName function="false" hidden="false" name="GNHI_27" vbProcedure="false">In!$F$51</definedName>
    <definedName function="false" hidden="false" name="GNHI_28" vbProcedure="false">In!$F$52</definedName>
    <definedName function="false" hidden="false" name="GNHI_29" vbProcedure="false">In!$F$53</definedName>
    <definedName function="false" hidden="false" name="GNLO_27" vbProcedure="false">In!$D$51</definedName>
    <definedName function="false" hidden="false" name="GNLO_28" vbProcedure="false">In!$D$52</definedName>
    <definedName function="false" hidden="false" name="GNLO_29" vbProcedure="false">In!$D$53</definedName>
    <definedName function="false" hidden="false" name="g_gen_27" vbProcedure="false">In!$E$48</definedName>
    <definedName function="false" hidden="false" name="g_gen_27_hi" vbProcedure="false">In!$F$48</definedName>
    <definedName function="false" hidden="false" name="g_gen_27_lo" vbProcedure="false">In!$D$48</definedName>
    <definedName function="false" hidden="false" name="g_gen_28" vbProcedure="false">In!$E$49</definedName>
    <definedName function="false" hidden="false" name="g_gen_28_hi" vbProcedure="false">In!$F$49</definedName>
    <definedName function="false" hidden="false" name="g_gen_28_lo" vbProcedure="false">In!$D$49</definedName>
    <definedName function="false" hidden="false" name="g_gen_29" vbProcedure="false">In!$E$50</definedName>
    <definedName function="false" hidden="false" name="g_gen_29_hi" vbProcedure="false">In!$F$50</definedName>
    <definedName function="false" hidden="false" name="g_gen_29_lo" vbProcedure="false">In!$D$50</definedName>
    <definedName function="false" hidden="false" name="g_nai_27" vbProcedure="false">In!$E$51</definedName>
    <definedName function="false" hidden="false" name="g_nai_27_hi" vbProcedure="false">In!$F$51</definedName>
    <definedName function="false" hidden="false" name="g_nai_27_lo" vbProcedure="false">In!$D$51</definedName>
    <definedName function="false" hidden="false" name="g_nai_28" vbProcedure="false">In!$E$52</definedName>
    <definedName function="false" hidden="false" name="g_nai_28_hi" vbProcedure="false">In!$F$52</definedName>
    <definedName function="false" hidden="false" name="g_nai_28_lo" vbProcedure="false">In!$D$52</definedName>
    <definedName function="false" hidden="false" name="g_nai_29" vbProcedure="false">In!$E$53</definedName>
    <definedName function="false" hidden="false" name="g_nai_29_hi" vbProcedure="false">In!$F$53</definedName>
    <definedName function="false" hidden="false" name="g_nai_29_lo" vbProcedure="false">In!$D$53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lcadj_27" vbProcedure="false">In!$E$29</definedName>
    <definedName function="false" hidden="false" name="lcadj_27_hi" vbProcedure="false">In!$F$29</definedName>
    <definedName function="false" hidden="false" name="lcadj_27_lo" vbProcedure="false">In!$D$29</definedName>
    <definedName function="false" hidden="false" name="lcadj_28" vbProcedure="false">In!$E$30</definedName>
    <definedName function="false" hidden="false" name="lcadj_28_hi" vbProcedure="false">In!$F$30</definedName>
    <definedName function="false" hidden="false" name="lcadj_28_lo" vbProcedure="false">In!$D$30</definedName>
    <definedName function="false" hidden="false" name="lcadj_29" vbProcedure="false">In!$E$31</definedName>
    <definedName function="false" hidden="false" name="lcadj_29_hi" vbProcedure="false">In!$F$31</definedName>
    <definedName function="false" hidden="false" name="lcadj_29_lo" vbProcedure="false">In!$D$31</definedName>
    <definedName function="false" hidden="false" name="lc_25" vbProcedure="false">In!$E$45</definedName>
    <definedName function="false" hidden="false" name="lc_25_hi" vbProcedure="false">In!$F$45</definedName>
    <definedName function="false" hidden="false" name="lc_25_lo" vbProcedure="false">In!$D$45</definedName>
    <definedName function="false" hidden="false" name="lc_26" vbProcedure="false">In!$E$46</definedName>
    <definedName function="false" hidden="false" name="lc_26_hi" vbProcedure="false">In!$F$46</definedName>
    <definedName function="false" hidden="false" name="lc_26_lo" vbProcedure="false">In!$D$46</definedName>
    <definedName function="false" hidden="false" name="lpen_26" vbProcedure="false">In!$E$32</definedName>
    <definedName function="false" hidden="false" name="lpen_26_hi" vbProcedure="false">In!$F$32</definedName>
    <definedName function="false" hidden="false" name="lpen_26_lo" vbProcedure="false">In!$D$32</definedName>
    <definedName function="false" hidden="false" name="lpen_27" vbProcedure="false">In!$E$33</definedName>
    <definedName function="false" hidden="false" name="lpen_27_hi" vbProcedure="false">In!$F$33</definedName>
    <definedName function="false" hidden="false" name="lpen_27_lo" vbProcedure="false">In!$D$33</definedName>
    <definedName function="false" hidden="false" name="lpen_28" vbProcedure="false">In!$E$34</definedName>
    <definedName function="false" hidden="false" name="lpen_28_hi" vbProcedure="false">In!$F$34</definedName>
    <definedName function="false" hidden="false" name="lpen_28_lo" vbProcedure="false">In!$D$34</definedName>
    <definedName function="false" hidden="false" name="lpen_29" vbProcedure="false">In!$E$35</definedName>
    <definedName function="false" hidden="false" name="lpen_29_hi" vbProcedure="false">In!$F$35</definedName>
    <definedName function="false" hidden="false" name="lpen_29_lo" vbProcedure="false">In!$D$35</definedName>
    <definedName function="false" hidden="false" name="LPHI_26" vbProcedure="false">In!$F$32</definedName>
    <definedName function="false" hidden="false" name="LPHI_27" vbProcedure="false">In!$F$33</definedName>
    <definedName function="false" hidden="false" name="LPHI_28" vbProcedure="false">In!$F$34</definedName>
    <definedName function="false" hidden="false" name="LPHI_29" vbProcedure="false">In!$F$35</definedName>
    <definedName function="false" hidden="false" name="LPLO_26" vbProcedure="false">In!$D$32</definedName>
    <definedName function="false" hidden="false" name="LPLO_27" vbProcedure="false">In!$D$33</definedName>
    <definedName function="false" hidden="false" name="LPLO_28" vbProcedure="false">In!$D$34</definedName>
    <definedName function="false" hidden="false" name="LPLO_29" vbProcedure="false">In!$D$35</definedName>
    <definedName function="false" hidden="false" name="mani" vbProcedure="false">In!$E$28</definedName>
    <definedName function="false" hidden="false" name="mani_hi" vbProcedure="false">In!$F$28</definedName>
    <definedName function="false" hidden="false" name="mani_lo" vbProcedure="false">In!$D$28</definedName>
    <definedName function="false" hidden="false" name="mf" vbProcedure="false">In!$E$70</definedName>
    <definedName function="false" hidden="false" name="mf_hi" vbProcedure="false">In!$F$70</definedName>
    <definedName function="false" hidden="false" name="mf_lo" vbProcedure="false">In!$D$70</definedName>
    <definedName function="false" hidden="false" name="nim10_f" vbProcedure="false">In!$E$102</definedName>
    <definedName function="false" hidden="false" name="nir_f" vbProcedure="false">In!$E$68</definedName>
    <definedName function="false" hidden="false" name="nir_f_hi" vbProcedure="false">In!$F$68</definedName>
    <definedName function="false" hidden="false" name="nir_f_lo" vbProcedure="false">In!$D$68</definedName>
    <definedName function="false" hidden="false" name="nop_f" vbProcedure="false">In!$E$67</definedName>
    <definedName function="false" hidden="false" name="nop_f_hi" vbProcedure="false">In!$F$67</definedName>
    <definedName function="false" hidden="false" name="nop_f_lo" vbProcedure="false">In!$D$67</definedName>
    <definedName function="false" hidden="false" name="old_rule_px" vbProcedure="false">Val!$B$75</definedName>
    <definedName function="false" hidden="false" name="old_rule_up" vbProcedure="false">Val!$B$76</definedName>
    <definedName function="false" hidden="false" name="opx_adj" vbProcedure="false">In!$E$66</definedName>
    <definedName function="false" hidden="false" name="opx_adj_hi" vbProcedure="false">In!$F$66</definedName>
    <definedName function="false" hidden="false" name="opx_adj_lo" vbProcedure="false">In!$D$66</definedName>
    <definedName function="false" hidden="false" name="pe_mid" vbProcedure="false">Val!$C$69</definedName>
    <definedName function="false" hidden="false" name="pe_peak" vbProcedure="false">Val!$C$68</definedName>
    <definedName function="false" hidden="false" name="pe_trough" vbProcedure="false">Val!$C$70</definedName>
    <definedName function="false" hidden="false" name="pe_ttm" vbProcedure="false">In!$E$89</definedName>
    <definedName function="false" hidden="false" name="phi" vbProcedure="false">In!$E$65</definedName>
    <definedName function="false" hidden="false" name="phi_hi" vbProcedure="false">In!$F$65</definedName>
    <definedName function="false" hidden="false" name="phi_lo" vbProcedure="false">In!$D$65</definedName>
    <definedName function="false" hidden="false" name="px" vbProcedure="false">In!$E$88</definedName>
    <definedName function="false" hidden="false" name="q3_rev" vbProcedure="false">In!$E$57</definedName>
    <definedName function="false" hidden="false" name="q4g" vbProcedure="false">In!$E$58</definedName>
    <definedName function="false" hidden="false" name="q4g_hi" vbProcedure="false">In!$F$58</definedName>
    <definedName function="false" hidden="false" name="q4g_lo" vbProcedure="false">In!$D$58</definedName>
    <definedName function="false" hidden="false" name="q_gm" vbProcedure="false">In!$E$59</definedName>
    <definedName function="false" hidden="false" name="q_gm_hi" vbProcedure="false">In!$F$59</definedName>
    <definedName function="false" hidden="false" name="q_gm_lo" vbProcedure="false">In!$D$59</definedName>
    <definedName function="false" hidden="false" name="q_nir" vbProcedure="false">In!$E$62</definedName>
    <definedName function="false" hidden="false" name="q_nir_hi" vbProcedure="false">In!$F$62</definedName>
    <definedName function="false" hidden="false" name="q_nir_lo" vbProcedure="false">In!$D$62</definedName>
    <definedName function="false" hidden="false" name="q_nop" vbProcedure="false">In!$E$61</definedName>
    <definedName function="false" hidden="false" name="q_nop_hi" vbProcedure="false">In!$F$61</definedName>
    <definedName function="false" hidden="false" name="q_nop_lo" vbProcedure="false">In!$D$61</definedName>
    <definedName function="false" hidden="false" name="q_opx" vbProcedure="false">In!$E$60</definedName>
    <definedName function="false" hidden="false" name="q_opx_hi" vbProcedure="false">In!$F$60</definedName>
    <definedName function="false" hidden="false" name="q_opx_lo" vbProcedure="false">In!$D$60</definedName>
    <definedName function="false" hidden="false" name="q_sh" vbProcedure="false">In!$E$63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In!$E$36</definedName>
    <definedName function="false" hidden="false" name="rel_27_hi" vbProcedure="false">In!$F$36</definedName>
    <definedName function="false" hidden="false" name="rel_27_lo" vbProcedure="false">In!$D$36</definedName>
    <definedName function="false" hidden="false" name="rel_28" vbProcedure="false">In!$E$37</definedName>
    <definedName function="false" hidden="false" name="rel_28_hi" vbProcedure="false">In!$F$37</definedName>
    <definedName function="false" hidden="false" name="rel_28_lo" vbProcedure="false">In!$D$37</definedName>
    <definedName function="false" hidden="false" name="rel_29" vbProcedure="false">In!$E$38</definedName>
    <definedName function="false" hidden="false" name="rel_29_hi" vbProcedure="false">In!$F$38</definedName>
    <definedName function="false" hidden="false" name="rel_29_lo" vbProcedure="false">In!$D$38</definedName>
    <definedName function="false" hidden="false" name="RHI_27" vbProcedure="false">In!$F$36</definedName>
    <definedName function="false" hidden="false" name="RHI_28" vbProcedure="false">In!$F$37</definedName>
    <definedName function="false" hidden="false" name="RHI_29" vbProcedure="false">In!$F$38</definedName>
    <definedName function="false" hidden="false" name="RLO_27" vbProcedure="false">In!$D$36</definedName>
    <definedName function="false" hidden="false" name="RLO_28" vbProcedure="false">In!$D$37</definedName>
    <definedName function="false" hidden="false" name="RLO_29" vbProcedure="false">In!$D$38</definedName>
    <definedName function="false" hidden="false" name="sh_g" vbProcedure="false">In!$E$69</definedName>
    <definedName function="false" hidden="false" name="sh_g_hi" vbProcedure="false">In!$F$69</definedName>
    <definedName function="false" hidden="false" name="sh_g_lo" vbProcedure="false">In!$D$69</definedName>
    <definedName function="false" hidden="false" name="srv_25" vbProcedure="false">In!$E$43</definedName>
    <definedName function="false" hidden="false" name="srv_26" vbProcedure="false">In!$E$44</definedName>
    <definedName function="false" hidden="false" name="srv_26_hi" vbProcedure="false">In!$F$44</definedName>
    <definedName function="false" hidden="false" name="srv_26_lo" vbProcedure="false">In!$D$44</definedName>
    <definedName function="false" hidden="false" name="tf_pen26" vbProcedure="false">In!$E$85</definedName>
    <definedName function="false" hidden="false" name="tf_pen27" vbProcedure="false">In!$E$86</definedName>
    <definedName function="false" hidden="false" name="tp_comp" vbProcedure="false">Val!$B$115</definedName>
    <definedName function="false" hidden="false" name="tp_dcf" vbProcedure="false">Val!$B$105</definedName>
    <definedName function="false" hidden="false" name="tp_final" vbProcedure="false">Val!$B$119</definedName>
    <definedName function="false" hidden="false" name="tp_g" vbProcedure="false">In!$E$96</definedName>
    <definedName function="false" hidden="false" name="tp_r" vbProcedure="false">In!$E$95</definedName>
    <definedName function="false" hidden="false" name="tp_roe" vbProcedure="false">In!$E$97</definedName>
    <definedName function="false" hidden="false" name="tp_wA" vbProcedure="false">In!$E$91</definedName>
    <definedName function="false" hidden="false" name="tp_wB" vbProcedure="false">In!$E$92</definedName>
    <definedName function="false" hidden="false" name="tp_wC" vbProcedure="false">In!$E$93</definedName>
    <definedName function="false" hidden="false" name="tp_w_dcf" vbProcedure="false">In!$E$98</definedName>
    <definedName function="false" hidden="false" name="um28_A" vbProcedure="false">In!$E$16</definedName>
    <definedName function="false" hidden="false" name="um28_B" vbProcedure="false">In!$E$18</definedName>
    <definedName function="false" hidden="false" name="um28_C" vbProcedure="false">In!$E$20</definedName>
    <definedName function="false" hidden="false" name="um29_A" vbProcedure="false">In!$E$17</definedName>
    <definedName function="false" hidden="false" name="um29_B" vbProcedure="false">In!$E$19</definedName>
    <definedName function="false" hidden="false" name="um29_C" vbProcedure="false">In!$E$21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<sst xmlns="http://schemas.openxmlformats.org/spreadsheetml/2006/main" count="3169" uniqueCount="860">
  <si>
    <r>
      <rPr>
        <b val="true"/>
        <sz val="11"/>
        <rFont val="Noto Sans CJK SC"/>
        <family val="2"/>
      </rPr>
      <t xml:space="preserve">奇鋐（</t>
    </r>
    <r>
      <rPr>
        <b val="true"/>
        <sz val="11"/>
        <rFont val="Cambria"/>
        <family val="0"/>
        <charset val="1"/>
      </rPr>
      <t xml:space="preserve">3017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：電源與散熱次產業；樣板＝台達電）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</si>
  <si>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FY2025–FY2029 </t>
    </r>
    <r>
      <rPr>
        <sz val="11"/>
        <rFont val="Noto Sans CJK SC"/>
        <family val="2"/>
      </rPr>
      <t xml:space="preserve">數值不變）。前版：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新增第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節「目標價與上檔空間」、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新增情境權重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；其餘數值與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（初版）：每架液冷內容取自橋接表（</t>
    </r>
    <r>
      <rPr>
        <sz val="11"/>
        <rFont val="Cambria"/>
        <family val="0"/>
        <charset val="1"/>
      </rPr>
      <t xml:space="preserve">Morgan Stanley BOM</t>
    </r>
    <r>
      <rPr>
        <sz val="11"/>
        <rFont val="Noto Sans CJK SC"/>
        <family val="2"/>
      </rPr>
      <t xml:space="preserve">）；液冷滲透率、每架內容調整、奇鋐份額為本模型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，在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頁建立。台達電液冷線只在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對帳。</t>
    </r>
  </si>
  <si>
    <r>
      <rPr>
        <sz val="11"/>
        <rFont val="Noto Sans CJK SC"/>
        <family val="2"/>
      </rPr>
      <t xml:space="preserve">模型命題：奇鋐的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（液冷滲透率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奇鋐份額＋每 </t>
    </r>
    <r>
      <rPr>
        <sz val="11"/>
        <rFont val="Cambria"/>
        <family val="0"/>
        <charset val="1"/>
      </rPr>
      <t xml:space="preserve">GW AI </t>
    </r>
    <r>
      <rPr>
        <sz val="11"/>
        <rFont val="Noto Sans CJK SC"/>
        <family val="2"/>
      </rPr>
      <t xml:space="preserve">氣冷與機構）。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機架數較少，橋接表的每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液冷內容下降；成長要靠液冷滲透率、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全液冷與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液冷提高每架內容，同時守住冷板份額。</t>
    </r>
  </si>
  <si>
    <r>
      <rPr>
        <sz val="11"/>
        <rFont val="Noto Sans CJK SC"/>
        <family val="2"/>
      </rPr>
      <t xml:space="preserve">核心問題：液冷滲透率與每架液冷內容的上升，能不能抵銷 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機架數下降與份額流失，讓 </t>
    </r>
    <r>
      <rPr>
        <sz val="11"/>
        <rFont val="Cambria"/>
        <family val="0"/>
        <charset val="1"/>
      </rPr>
      <t xml:space="preserve">FY2027–28 EPS </t>
    </r>
    <r>
      <rPr>
        <sz val="11"/>
        <rFont val="Noto Sans CJK SC"/>
        <family val="2"/>
      </rPr>
      <t xml:space="preserve">維持券商預期的高成長；現價約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 EPS </t>
    </r>
    <r>
      <rPr>
        <sz val="11"/>
        <rFont val="Noto Sans CJK SC"/>
        <family val="2"/>
      </rPr>
      <t xml:space="preserve">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</si>
  <si>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（三年）。金額：十億新台幣；市場以美元計、以匯率換算。口徑：歸屬母公司淨利。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</si>
  <si>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</si>
  <si>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液冷營收：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液冷滲透率（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液冷內容（橋接表每架機架內液冷＋分歧管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內容調整）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奇鋐有效份額（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以券商液冷占比校準）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</si>
  <si>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氣冷與機構：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以伺服器與網通比重（公司）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比例（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）校準每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相對值（氣冷轉液冷，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）。一般伺服器與網通、非伺服器（</t>
    </r>
    <r>
      <rPr>
        <sz val="11"/>
        <rFont val="Cambria"/>
        <family val="0"/>
        <charset val="1"/>
      </rPr>
      <t xml:space="preserve">3C</t>
    </r>
    <r>
      <rPr>
        <sz val="11"/>
        <rFont val="Noto Sans CJK SC"/>
        <family val="2"/>
      </rPr>
      <t xml:space="preserve">、系統、富世達）：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拆分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）。毛利率：液冷比其他營收高 </t>
    </r>
    <r>
      <rPr>
        <sz val="11"/>
        <rFont val="Cambria"/>
        <family val="0"/>
        <charset val="1"/>
      </rPr>
      <t xml:space="preserve">d_lc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</si>
  <si>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</si>
  <si>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目標價（雙鴻、健策、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、台達電 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單獨目標價、市場共識目標價與差距拆解（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因素、倍數因素）、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分位檢查（只作檢查）。（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原估值說明，保留作參考：現價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Goodinfo </t>
    </r>
    <r>
      <rPr>
        <sz val="11"/>
        <rFont val="Noto Sans CJK SC"/>
        <family val="2"/>
      </rPr>
      <t xml:space="preserve">年底收盤 </t>
    </r>
    <r>
      <rPr>
        <sz val="11"/>
        <rFont val="Cambria"/>
        <family val="0"/>
        <charset val="1"/>
      </rPr>
      <t xml:space="preserve">÷ EPS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stockanalysis </t>
    </r>
    <r>
      <rPr>
        <sz val="11"/>
        <rFont val="Noto Sans CJK SC"/>
        <family val="2"/>
      </rPr>
      <t xml:space="preserve">核對）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；循環位置以本模型營收最高年判定（奇鋐不套設備股見頂年）。本版未做先驗，無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</si>
  <si>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未使用。公司原文經媒體轉述；券商多經媒體轉述。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</si>
  <si>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2026 </t>
    </r>
    <r>
      <rPr>
        <sz val="11"/>
        <rFont val="Noto Sans CJK SC"/>
        <family val="2"/>
      </rPr>
      <t xml:space="preserve">液冷占比只有券商說法（</t>
    </r>
    <r>
      <rPr>
        <sz val="11"/>
        <rFont val="Cambria"/>
        <family val="0"/>
        <charset val="1"/>
      </rPr>
      <t xml:space="preserve">30–35%</t>
    </r>
    <r>
      <rPr>
        <sz val="11"/>
        <rFont val="Noto Sans CJK SC"/>
        <family val="2"/>
      </rPr>
      <t xml:space="preserve">），公司未揭露；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液冷滲透率、每架內容調整、份額相對值為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部署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資本支出換算，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機架的每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資本支出較低，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可能低估；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2016–2022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前的低倍數（約 </t>
    </r>
    <r>
      <rPr>
        <sz val="11"/>
        <rFont val="Cambria"/>
        <family val="0"/>
        <charset val="1"/>
      </rPr>
      <t xml:space="preserve">10–15x</t>
    </r>
    <r>
      <rPr>
        <sz val="11"/>
        <rFont val="Noto Sans CJK SC"/>
        <family val="2"/>
      </rPr>
      <t xml:space="preserve">），規則值可能低估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期的合理倍數；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稅前利益與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各季營收為推導；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財報（預計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月中）後更新錨點；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</si>
  <si>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PL </t>
    </r>
    <r>
      <rPr>
        <sz val="11"/>
        <color theme="1"/>
        <rFont val="Noto Sans CJK SC"/>
        <family val="2"/>
      </rPr>
      <t xml:space="preserve">頁最下方新增延伸表，三情境延伸到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＝十年平均；十年平均淨利率未找到，依工作單以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替代，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延伸表灰底）。</t>
    </r>
    <r>
      <rPr>
        <sz val="11"/>
        <color theme="1"/>
        <rFont val="Calibri"/>
        <family val="2"/>
        <charset val="1"/>
      </rPr>
      <t xml:space="preserve">(2) 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tp_w_dcf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目標價與上檔空間」改名「舊法：規則值情境加權（參考）」保留，不再是目標價。</t>
    </r>
    <r>
      <rPr>
        <sz val="11"/>
        <color theme="1"/>
        <rFont val="Calibri"/>
        <family val="2"/>
        <charset val="1"/>
      </rPr>
      <t xml:space="preserve">(3) Sens </t>
    </r>
    <r>
      <rPr>
        <sz val="11"/>
        <color theme="1"/>
        <rFont val="Noto Sans CJK SC"/>
        <family val="2"/>
      </rPr>
      <t xml:space="preserve">新增目標價參數（</t>
    </r>
    <r>
      <rPr>
        <sz val="11"/>
        <color theme="1"/>
        <rFont val="Calibri"/>
        <family val="2"/>
        <charset val="1"/>
      </rPr>
      <t xml:space="preserve">tp_r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Recon </t>
    </r>
    <r>
      <rPr>
        <sz val="11"/>
        <color theme="1"/>
        <rFont val="Noto Sans CJK SC"/>
        <family val="2"/>
      </rPr>
      <t xml:space="preserve">新增目標價對帳。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、鉅亨於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或更早），依工作單沿用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3,145</t>
    </r>
    <r>
      <rPr>
        <sz val="11"/>
        <color theme="1"/>
        <rFont val="Noto Sans CJK SC"/>
        <family val="2"/>
      </rPr>
      <t xml:space="preserve">。上游台達電模型改為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，本模型讀取的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液冷線數值不變。 新增內容一律放在各頁既有內容之後，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既有數值不變。</t>
    </r>
  </si>
  <si>
    <r>
      <rPr>
        <sz val="11"/>
        <color theme="1"/>
        <rFont val="Noto Sans CJK SC"/>
        <family val="2"/>
      </rPr>
      <t xml:space="preserve">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），即原本的三個顆數情境。三情境在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前完全相同（只差顆數係數，從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三情境仍照算，差異來自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之後（含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起的收斂法）。</t>
    </r>
  </si>
  <si>
    <r>
      <rPr>
        <sz val="11"/>
        <color theme="1"/>
        <rFont val="Noto Sans CJK SC"/>
        <family val="2"/>
      </rPr>
      <t xml:space="preserve">先驗：本版未做先驗，無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</si>
  <si>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），市場與每架內容為美元；比例：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。每個輸入盡量附兩個來源（找不到者寫「未找到」）；公司原文算一個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</si>
  <si>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未使用。公司原文＝奇鋐法說（經鉅亨、優分析、時報轉述）與月營收公告；公司的產品比重說法為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</si>
  <si>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</si>
  <si>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</si>
  <si>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</si>
  <si>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</si>
  <si>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</si>
  <si>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</si>
  <si>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</si>
  <si>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</si>
  <si>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</si>
  <si>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</si>
  <si>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</si>
  <si>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</si>
  <si>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</si>
  <si>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</si>
  <si>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</si>
  <si>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</si>
  <si>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</si>
  <si>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</si>
  <si>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</si>
  <si>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</si>
  <si>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</si>
  <si>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</si>
  <si>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</si>
  <si>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</si>
  <si>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</si>
  <si>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</si>
  <si>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</si>
  <si>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</si>
  <si>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</si>
  <si>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</si>
  <si>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</si>
  <si>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數值用）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</si>
  <si>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</si>
  <si>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</si>
  <si>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模型相同）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</si>
  <si>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量在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末放大，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下半年推出（時報 </t>
    </r>
    <r>
      <rPr>
        <sz val="11"/>
        <color theme="1"/>
        <rFont val="Calibri"/>
        <family val="2"/>
        <charset val="1"/>
      </rPr>
      <t xml:space="preserve">2026-06-02 </t>
    </r>
    <r>
      <rPr>
        <sz val="11"/>
        <color theme="1"/>
        <rFont val="Noto Sans CJK SC"/>
        <family val="2"/>
      </rPr>
      <t xml:space="preserve">股東會）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</si>
  <si>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</si>
  <si>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</si>
  <si>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</si>
  <si>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</si>
  <si>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</si>
  <si>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</si>
  <si>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</si>
  <si>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cool_gb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</si>
  <si>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每架機架內液冷（運算匣＋交換匣，橋接表）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</si>
  <si>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</si>
  <si>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</si>
  <si>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冷卻 </t>
    </r>
    <r>
      <rPr>
        <sz val="11"/>
        <color theme="1"/>
        <rFont val="Calibri"/>
        <family val="2"/>
        <charset val="1"/>
      </rPr>
      <t xml:space="preserve">BOM US$49.9K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</t>
    </r>
  </si>
  <si>
    <t xml:space="preserve">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</si>
  <si>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每架機架內液冷（橋接表）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</si>
  <si>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VR NVL144 US$55.7K</t>
    </r>
    <r>
      <rPr>
        <sz val="11"/>
        <color theme="1"/>
        <rFont val="Noto Sans CJK SC"/>
        <family val="2"/>
      </rPr>
      <t xml:space="preserve">（運算匣每匣 </t>
    </r>
    <r>
      <rPr>
        <sz val="11"/>
        <color theme="1"/>
        <rFont val="Calibri"/>
        <family val="2"/>
        <charset val="1"/>
      </rPr>
      <t xml:space="preserve">2,660</t>
    </r>
    <r>
      <rPr>
        <sz val="11"/>
        <color theme="1"/>
        <rFont val="Noto Sans CJK SC"/>
        <family val="2"/>
      </rPr>
      <t xml:space="preserve">、交換匣每匣 </t>
    </r>
    <r>
      <rPr>
        <sz val="11"/>
        <color theme="1"/>
        <rFont val="Calibri"/>
        <family val="2"/>
        <charset val="1"/>
      </rPr>
      <t xml:space="preserve">870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</si>
  <si>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</si>
  <si>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</si>
  <si>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</si>
  <si>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</si>
  <si>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</si>
  <si>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、台達電模型相同）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</si>
  <si>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</si>
  <si>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</si>
  <si>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</si>
  <si>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</si>
  <si>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</si>
  <si>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</si>
  <si>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</si>
  <si>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</si>
  <si>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</si>
  <si>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</si>
  <si>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</si>
  <si>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</si>
  <si>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</si>
  <si>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</si>
  <si>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</si>
  <si>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</si>
  <si>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</si>
  <si>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</si>
  <si>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模型相同（公司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法說換算隱含約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</si>
  <si>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：市值 </t>
    </r>
    <r>
      <rPr>
        <sz val="11"/>
        <color theme="1"/>
        <rFont val="Calibri"/>
        <family val="2"/>
        <charset val="1"/>
      </rPr>
      <t xml:space="preserve">NT$1,148bn ≈ US$33.6bn</t>
    </r>
    <r>
      <rPr>
        <sz val="11"/>
        <color theme="1"/>
        <rFont val="Noto Sans CJK SC"/>
        <family val="2"/>
      </rPr>
      <t xml:space="preserve">（隱含約 </t>
    </r>
    <r>
      <rPr>
        <sz val="11"/>
        <color theme="1"/>
        <rFont val="Calibri"/>
        <family val="2"/>
        <charset val="1"/>
      </rPr>
      <t xml:space="preserve">34.2</t>
    </r>
    <r>
      <rPr>
        <sz val="11"/>
        <color theme="1"/>
        <rFont val="Noto Sans CJK SC"/>
        <family val="2"/>
      </rPr>
      <t xml:space="preserve">，口徑待查）</t>
    </r>
  </si>
  <si>
    <t xml:space="preserve">dlc_26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</si>
  <si>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</si>
  <si>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delta/dist/20261025_</t>
    </r>
    <r>
      <rPr>
        <sz val="11"/>
        <color theme="1"/>
        <rFont val="Noto Sans CJK SC"/>
        <family val="2"/>
      </rPr>
      <t xml:space="preserve">台達電模型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Units!C10:F10</t>
    </r>
  </si>
  <si>
    <r>
      <rPr>
        <sz val="11"/>
        <color theme="1"/>
        <rFont val="Noto Sans CJK SC"/>
        <family val="2"/>
      </rPr>
      <t xml:space="preserve">只作對帳（台達電液冷多在機架外：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），不進本模型計算</t>
    </r>
  </si>
  <si>
    <t xml:space="preserve">dlc_27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</si>
  <si>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</si>
  <si>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dlc_28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</si>
  <si>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</si>
  <si>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dlc_29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</si>
  <si>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</si>
  <si>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液冷內容、滲透率與奇鋐份額（每架液冷內容取自橋接表；分歧管、內容調整、滲透率、份額為本模型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</t>
    </r>
  </si>
  <si>
    <t xml:space="preserve">mani</t>
  </si>
  <si>
    <t xml:space="preserve">每架分歧管與快接頭（橋接表未含）</t>
  </si>
  <si>
    <r>
      <rPr>
        <sz val="11"/>
        <color theme="1"/>
        <rFont val="Noto Sans CJK SC"/>
        <family val="2"/>
      </rPr>
      <t xml:space="preserve">公司：分歧管月產能 </t>
    </r>
    <r>
      <rPr>
        <sz val="11"/>
        <color theme="1"/>
        <rFont val="Calibri"/>
        <family val="2"/>
        <charset val="1"/>
      </rPr>
      <t xml:space="preserve">7,000 </t>
    </r>
    <r>
      <rPr>
        <sz val="11"/>
        <color theme="1"/>
        <rFont val="Noto Sans CJK SC"/>
        <family val="2"/>
      </rPr>
      <t xml:space="preserve">支，約供 </t>
    </r>
    <r>
      <rPr>
        <sz val="11"/>
        <color theme="1"/>
        <rFont val="Calibri"/>
        <family val="2"/>
        <charset val="1"/>
      </rPr>
      <t xml:space="preserve">3,000–4,000 </t>
    </r>
    <r>
      <rPr>
        <sz val="11"/>
        <color theme="1"/>
        <rFont val="Noto Sans CJK SC"/>
        <family val="2"/>
      </rPr>
      <t xml:space="preserve">架（優分析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支</t>
    </r>
  </si>
  <si>
    <t xml:space="preserve">分歧管單價：未找到</t>
  </si>
  <si>
    <t xml:space="preserve">lcadj_27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</si>
  <si>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</si>
  <si>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無風扇全液冷，液冷延伸到網卡、電源板、光模組，單架散熱價值提升（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</si>
  <si>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BOM </t>
    </r>
    <r>
      <rPr>
        <sz val="11"/>
        <color theme="1"/>
        <rFont val="Noto Sans CJK SC"/>
        <family val="2"/>
      </rPr>
      <t xml:space="preserve">只計運算匣與交換匣；大和：</t>
    </r>
    <r>
      <rPr>
        <sz val="11"/>
        <color theme="1"/>
        <rFont val="Calibri"/>
        <family val="2"/>
        <charset val="1"/>
      </rPr>
      <t xml:space="preserve">2027 ASIC </t>
    </r>
    <r>
      <rPr>
        <sz val="11"/>
        <color theme="1"/>
        <rFont val="Noto Sans CJK SC"/>
        <family val="2"/>
      </rPr>
      <t xml:space="preserve">營收超過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</si>
  <si>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lcadj_28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</si>
  <si>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</si>
  <si>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</si>
  <si>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lcadj_29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</si>
  <si>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</si>
  <si>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lpen_26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</si>
  <si>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</si>
  <si>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（以顆數計，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</si>
  <si>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先氣冷後液冷（</t>
    </r>
    <r>
      <rPr>
        <sz val="11"/>
        <color theme="1"/>
        <rFont val="Calibri"/>
        <family val="2"/>
        <charset val="1"/>
      </rPr>
      <t xml:space="preserve">TechNews 2026-04-29</t>
    </r>
    <r>
      <rPr>
        <sz val="11"/>
        <color theme="1"/>
        <rFont val="Noto Sans CJK SC"/>
        <family val="2"/>
      </rPr>
      <t xml:space="preserve">）</t>
    </r>
  </si>
  <si>
    <t xml:space="preserve">lpen_27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</si>
  <si>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</si>
  <si>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lpen_28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</si>
  <si>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</si>
  <si>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lpen_29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</si>
  <si>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</si>
  <si>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rel_27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</si>
  <si>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</si>
  <si>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）：奇鋐為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與企業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伺服器氣冷與液冷領導廠（未給份額，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</si>
  <si>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對手：雙鴻、酷碼、台達電、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；公司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液冷產能再擴約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）；份額數字：未找到</t>
    </r>
  </si>
  <si>
    <t xml:space="preserve">rel_28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</si>
  <si>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</si>
  <si>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rel_29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</si>
  <si>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</si>
  <si>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acr_27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</si>
  <si>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</si>
  <si>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氣冷轉液冷：液冷滲透率上升，每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氣冷金額下降（本模型推論）</t>
    </r>
  </si>
  <si>
    <r>
      <rPr>
        <sz val="11"/>
        <color theme="1"/>
        <rFont val="Calibri"/>
        <family val="2"/>
        <charset val="1"/>
      </rPr>
      <t xml:space="preserve">Trainium 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T3 </t>
    </r>
    <r>
      <rPr>
        <sz val="11"/>
        <color theme="1"/>
        <rFont val="Noto Sans CJK SC"/>
        <family val="2"/>
      </rPr>
      <t xml:space="preserve">機櫃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以氣冷為主，</t>
    </r>
    <r>
      <rPr>
        <sz val="11"/>
        <color theme="1"/>
        <rFont val="Calibri"/>
        <family val="2"/>
        <charset val="1"/>
      </rPr>
      <t xml:space="preserve">T3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起（凱基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</si>
  <si>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acr_28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</si>
  <si>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</si>
  <si>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acr_29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</si>
  <si>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</si>
  <si>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</si>
  <si>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srv_25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</si>
  <si>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年伺服器與網通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</si>
  <si>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）：伺服器與網通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1H25 48%</t>
    </r>
  </si>
  <si>
    <r>
      <rPr>
        <sz val="11"/>
        <color theme="1"/>
        <rFont val="Noto Sans CJK SC"/>
        <family val="2"/>
      </rPr>
      <t xml:space="preserve">第二來源：未找到（凱基 </t>
    </r>
    <r>
      <rPr>
        <sz val="11"/>
        <color theme="1"/>
        <rFont val="Calibri"/>
        <family val="2"/>
        <charset val="1"/>
      </rPr>
      <t xml:space="preserve">2026-08-05 </t>
    </r>
    <r>
      <rPr>
        <sz val="11"/>
        <color theme="1"/>
        <rFont val="Noto Sans CJK SC"/>
        <family val="2"/>
      </rPr>
      <t xml:space="preserve">另列伺服器 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＋網通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，口徑不一）</t>
    </r>
  </si>
  <si>
    <t xml:space="preserve">srv_26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</si>
  <si>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年伺服器與網通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</si>
  <si>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https://uanalyze.com.tw/articles/5815653290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伺服器應用 </t>
    </r>
    <r>
      <rPr>
        <sz val="11"/>
        <color theme="1"/>
        <rFont val="Calibri"/>
        <family val="2"/>
        <charset val="1"/>
      </rPr>
      <t xml:space="preserve">649.19 </t>
    </r>
    <r>
      <rPr>
        <sz val="11"/>
        <color theme="1"/>
        <rFont val="Noto Sans CJK SC"/>
        <family val="2"/>
      </rPr>
      <t xml:space="preserve">億元、占 </t>
    </r>
    <r>
      <rPr>
        <sz val="11"/>
        <color theme="1"/>
        <rFont val="Calibri"/>
        <family val="2"/>
        <charset val="1"/>
      </rPr>
      <t xml:space="preserve">66.1%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</si>
  <si>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https://wantrich.chinatimes.com/news/20260514900569-420101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伺服器與網通約 </t>
    </r>
    <r>
      <rPr>
        <sz val="11"/>
        <color theme="1"/>
        <rFont val="Calibri"/>
        <family val="2"/>
        <charset val="1"/>
      </rPr>
      <t xml:space="preserve">66.4%</t>
    </r>
    <r>
      <rPr>
        <sz val="11"/>
        <color theme="1"/>
        <rFont val="Noto Sans CJK SC"/>
        <family val="2"/>
      </rPr>
      <t xml:space="preserve">；凱基估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69%</t>
    </r>
  </si>
  <si>
    <t xml:space="preserve">lc_25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</si>
  <si>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</si>
  <si>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未找到（公司稱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年為液冷元年，未揭露比重）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</si>
  <si>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拆分的顯示，不影響預測</t>
    </r>
  </si>
  <si>
    <t xml:space="preserve">lc_26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</si>
  <si>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</si>
  <si>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https://finance.technews.tw/2026/04/29/avc-ai-server/</t>
    </r>
    <r>
      <rPr>
        <sz val="11"/>
        <color theme="1"/>
        <rFont val="Noto Sans CJK SC"/>
        <family val="2"/>
      </rPr>
      <t xml:space="preserve">：澳系券商估今年液冷占營收 </t>
    </r>
    <r>
      <rPr>
        <sz val="11"/>
        <color theme="1"/>
        <rFont val="Calibri"/>
        <family val="2"/>
        <charset val="1"/>
      </rPr>
      <t xml:space="preserve">30–35%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</si>
  <si>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年液冷超過營收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年未給）；公司：液冷占比持續提升（未給數字）</t>
    </r>
  </si>
  <si>
    <t xml:space="preserve">aiair</t>
  </si>
  <si>
    <r>
      <rPr>
        <sz val="11"/>
        <color theme="1"/>
        <rFont val="Noto Sans CJK SC"/>
        <family val="2"/>
      </rPr>
      <t xml:space="preserve">伺服器與網通中非液冷部分屬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的比例（其餘為一般伺服器、網通）</t>
    </r>
  </si>
  <si>
    <r>
      <rPr>
        <sz val="11"/>
        <color theme="1"/>
        <rFont val="Noto Sans CJK SC"/>
        <family val="2"/>
      </rPr>
      <t xml:space="preserve">未找到（公司未拆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與一般伺服器）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</si>
  <si>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伺服器氣冷模組、</t>
    </r>
    <r>
      <rPr>
        <sz val="11"/>
        <color theme="1"/>
        <rFont val="Calibri"/>
        <family val="2"/>
        <charset val="1"/>
      </rPr>
      <t xml:space="preserve">3D 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機殼與機櫃、交換器散熱</t>
    </r>
  </si>
  <si>
    <t xml:space="preserve">g_gen_27</t>
  </si>
  <si>
    <r>
      <rPr>
        <sz val="11"/>
        <color theme="1"/>
        <rFont val="Noto Sans CJK SC"/>
        <family val="2"/>
      </rPr>
      <t xml:space="preserve">一般伺服器與網通營收年增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</si>
  <si>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一般伺服器換機（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新平台）與交換器</t>
    </r>
  </si>
  <si>
    <t xml:space="preserve">g_gen_28</t>
  </si>
  <si>
    <r>
      <rPr>
        <sz val="11"/>
        <color theme="1"/>
        <rFont val="Noto Sans CJK SC"/>
        <family val="2"/>
      </rPr>
      <t xml:space="preserve">一般伺服器與網通營收年增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</si>
  <si>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g_gen_29</t>
  </si>
  <si>
    <r>
      <rPr>
        <sz val="11"/>
        <color theme="1"/>
        <rFont val="Noto Sans CJK SC"/>
        <family val="2"/>
      </rPr>
      <t xml:space="preserve">一般伺服器與網通營收年增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</si>
  <si>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g_nai_27</t>
  </si>
  <si>
    <r>
      <rPr>
        <sz val="11"/>
        <color theme="1"/>
        <rFont val="Noto Sans CJK SC"/>
        <family val="2"/>
      </rPr>
      <t xml:space="preserve">非伺服器營收年增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、系統、富世達軸承與鉸鏈）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</si>
  <si>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錨點非伺服器約 </t>
    </r>
    <r>
      <rPr>
        <sz val="11"/>
        <color theme="1"/>
        <rFont val="Calibri"/>
        <family val="2"/>
        <charset val="1"/>
      </rPr>
      <t xml:space="preserve">+11%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頁）；手機與平板 </t>
    </r>
    <r>
      <rPr>
        <sz val="11"/>
        <color theme="1"/>
        <rFont val="Calibri"/>
        <family val="2"/>
        <charset val="1"/>
      </rPr>
      <t xml:space="preserve">VC </t>
    </r>
    <r>
      <rPr>
        <sz val="11"/>
        <color theme="1"/>
        <rFont val="Noto Sans CJK SC"/>
        <family val="2"/>
      </rPr>
      <t xml:space="preserve">目標營收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法說，優分析）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</si>
  <si>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機殼 </t>
    </r>
    <r>
      <rPr>
        <sz val="11"/>
        <color theme="1"/>
        <rFont val="Calibri"/>
        <family val="2"/>
        <charset val="1"/>
      </rPr>
      <t xml:space="preserve">+134%</t>
    </r>
    <r>
      <rPr>
        <sz val="11"/>
        <color theme="1"/>
        <rFont val="Noto Sans CJK SC"/>
        <family val="2"/>
      </rPr>
      <t xml:space="preserve">、散熱 </t>
    </r>
    <r>
      <rPr>
        <sz val="11"/>
        <color theme="1"/>
        <rFont val="Calibri"/>
        <family val="2"/>
        <charset val="1"/>
      </rPr>
      <t xml:space="preserve">+96%</t>
    </r>
    <r>
      <rPr>
        <sz val="11"/>
        <color theme="1"/>
        <rFont val="Noto Sans CJK SC"/>
        <family val="2"/>
      </rPr>
      <t xml:space="preserve">（凱基轉述公司）</t>
    </r>
  </si>
  <si>
    <t xml:space="preserve">g_nai_28</t>
  </si>
  <si>
    <r>
      <rPr>
        <sz val="11"/>
        <color theme="1"/>
        <rFont val="Noto Sans CJK SC"/>
        <family val="2"/>
      </rPr>
      <t xml:space="preserve">非伺服器營收年增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、系統、富世達軸承與鉸鏈）</t>
    </r>
  </si>
  <si>
    <t xml:space="preserve">g_nai_29</t>
  </si>
  <si>
    <r>
      <rPr>
        <sz val="11"/>
        <color theme="1"/>
        <rFont val="Noto Sans CJK SC"/>
        <family val="2"/>
      </rPr>
      <t xml:space="preserve">非伺服器營收年增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、系統、富世達軸承與鉸鏈）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</si>
  <si>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</si>
  <si>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d_lc</t>
  </si>
  <si>
    <t xml:space="preserve">液冷毛利率高於其他營收的幅度</t>
  </si>
  <si>
    <t xml:space="preserve">pt</t>
  </si>
  <si>
    <r>
      <rPr>
        <sz val="11"/>
        <color theme="1"/>
        <rFont val="Noto Sans CJK SC"/>
        <family val="2"/>
      </rPr>
      <t xml:space="preserve">公司：氣冷轉液冷顯著提升產品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與獲利（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法說，時報 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</si>
  <si>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產品別毛利率：未找到；毛利率 </t>
    </r>
    <r>
      <rPr>
        <sz val="11"/>
        <color theme="1"/>
        <rFont val="Calibri"/>
        <family val="2"/>
        <charset val="1"/>
      </rPr>
      <t xml:space="preserve">FY2025 25.8% → 2Q26 32.6%</t>
    </r>
    <r>
      <rPr>
        <sz val="11"/>
        <color theme="1"/>
        <rFont val="Noto Sans CJK SC"/>
        <family val="2"/>
      </rPr>
      <t xml:space="preserve">，同期伺服器比重 </t>
    </r>
    <r>
      <rPr>
        <sz val="11"/>
        <color theme="1"/>
        <rFont val="Calibri"/>
        <family val="2"/>
        <charset val="1"/>
      </rPr>
      <t xml:space="preserve">52% → 66%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</si>
  <si>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</si>
  <si>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</si>
  <si>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</si>
  <si>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</si>
  <si>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</si>
  <si>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https://finance.technews.tw/2026/10/07/avc-3017-202609-financial-report/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210.18 </t>
    </r>
    <r>
      <rPr>
        <sz val="11"/>
        <color theme="1"/>
        <rFont val="Noto Sans CJK SC"/>
        <family val="2"/>
      </rPr>
      <t xml:space="preserve">億元、前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1,572.48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1,572.48 − 1H26 981.59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590.89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</si>
  <si>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185.9 </t>
    </r>
    <r>
      <rPr>
        <sz val="11"/>
        <color theme="1"/>
        <rFont val="Noto Sans CJK SC"/>
        <family val="2"/>
      </rPr>
      <t xml:space="preserve">億（時報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194.81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winvest 2026-09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</si>
  <si>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</si>
  <si>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</si>
  <si>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https://finance.technews.tw/2026/10/19/avc-target-price/</t>
    </r>
    <r>
      <rPr>
        <sz val="11"/>
        <color theme="1"/>
        <rFont val="Noto Sans CJK SC"/>
        <family val="2"/>
      </rPr>
      <t xml:space="preserve">：高盛估 </t>
    </r>
    <r>
      <rPr>
        <sz val="11"/>
        <color theme="1"/>
        <rFont val="Calibri"/>
        <family val="2"/>
        <charset val="1"/>
      </rPr>
      <t xml:space="preserve">4Q26 680.57 </t>
    </r>
    <r>
      <rPr>
        <sz val="11"/>
        <color theme="1"/>
        <rFont val="Noto Sans CJK SC"/>
        <family val="2"/>
      </rPr>
      <t xml:space="preserve">億元（季增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10–12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216.5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238.9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</si>
  <si>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https://www.kgi.com.hk/zh-cn/-/media/files/kgishk/research-reports/tw-reports/asia-vital-components-3017-tt20260812en.pdf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4Q26 626 </t>
    </r>
    <r>
      <rPr>
        <sz val="11"/>
        <color theme="1"/>
        <rFont val="Noto Sans CJK SC"/>
        <family val="2"/>
      </rPr>
      <t xml:space="preserve">億元（以 </t>
    </r>
    <r>
      <rPr>
        <sz val="11"/>
        <color theme="1"/>
        <rFont val="Calibri"/>
        <family val="2"/>
        <charset val="1"/>
      </rPr>
      <t xml:space="preserve">3Q 530.5 </t>
    </r>
    <r>
      <rPr>
        <sz val="11"/>
        <color theme="1"/>
        <rFont val="Noto Sans CJK SC"/>
        <family val="2"/>
      </rPr>
      <t xml:space="preserve">億為基礎，季增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590.9 </t>
    </r>
    <r>
      <rPr>
        <sz val="11"/>
        <color theme="1"/>
        <rFont val="Noto Sans CJK SC"/>
        <family val="2"/>
      </rPr>
      <t xml:space="preserve">億）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</si>
  <si>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</si>
  <si>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</si>
  <si>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2Q26 32.57%</t>
    </r>
    <r>
      <rPr>
        <sz val="11"/>
        <color theme="1"/>
        <rFont val="Noto Sans CJK SC"/>
        <family val="2"/>
      </rPr>
      <t xml:space="preserve">（公司）；工商時報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：法人估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毛利率朝 </t>
    </r>
    <r>
      <rPr>
        <sz val="11"/>
        <color theme="1"/>
        <rFont val="Calibri"/>
        <family val="2"/>
        <charset val="1"/>
      </rPr>
      <t xml:space="preserve">33% </t>
    </r>
    <r>
      <rPr>
        <sz val="11"/>
        <color theme="1"/>
        <rFont val="Noto Sans CJK SC"/>
        <family val="2"/>
      </rPr>
      <t xml:space="preserve">靠攏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</si>
  <si>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https://www.kgi.com.hk/zh-cn/-/media/files/kgishk/research-reports/tw-reports/asia-vital-components-3017-tt20260812en.pdf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33.4%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33.5%</t>
    </r>
    <r>
      <rPr>
        <sz val="11"/>
        <color theme="1"/>
        <rFont val="Noto Sans CJK SC"/>
        <family val="2"/>
      </rPr>
      <t xml:space="preserve">；高盛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31.7%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</si>
  <si>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</si>
  <si>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</si>
  <si>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5.26%</t>
    </r>
    <r>
      <rPr>
        <sz val="11"/>
        <color theme="1"/>
        <rFont val="Noto Sans CJK SC"/>
        <family val="2"/>
      </rPr>
      <t xml:space="preserve">（毛利 </t>
    </r>
    <r>
      <rPr>
        <sz val="11"/>
        <color theme="1"/>
        <rFont val="Calibri"/>
        <family val="2"/>
        <charset val="1"/>
      </rPr>
      <t xml:space="preserve">145.97 −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120.19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2Q26 5.13%</t>
    </r>
    <r>
      <rPr>
        <sz val="11"/>
        <color theme="1"/>
        <rFont val="Noto Sans CJK SC"/>
        <family val="2"/>
      </rPr>
      <t xml:space="preserve">（公司）</t>
    </r>
  </si>
  <si>
    <t xml:space="preserve">FY2025 6.1%</t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</si>
  <si>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</si>
  <si>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</si>
  <si>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1Q26 −0.04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+0.46</t>
    </r>
    <r>
      <rPr>
        <sz val="11"/>
        <color theme="1"/>
        <rFont val="Noto Sans CJK SC"/>
        <family val="2"/>
      </rPr>
      <t xml:space="preserve">（稅前 − 營業利益；稅前以 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稅前淨利率推導）</t>
    </r>
  </si>
  <si>
    <t xml:space="preserve">https://histock.tw/stock/3017/%E5%88%A9%E6%BD%A4%E6%AF%94%E7%8E%87</t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</si>
  <si>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</si>
  <si>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</si>
  <si>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1H26 174.83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259.2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0.675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0.661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0.687</t>
    </r>
  </si>
  <si>
    <r>
      <rPr>
        <sz val="11"/>
        <color theme="1"/>
        <rFont val="Noto Sans CJK SC"/>
        <family val="2"/>
      </rPr>
      <t xml:space="preserve">含稅率約 </t>
    </r>
    <r>
      <rPr>
        <sz val="11"/>
        <color theme="1"/>
        <rFont val="Calibri"/>
        <family val="2"/>
        <charset val="1"/>
      </rPr>
      <t xml:space="preserve">23% </t>
    </r>
    <r>
      <rPr>
        <sz val="11"/>
        <color theme="1"/>
        <rFont val="Noto Sans CJK SC"/>
        <family val="2"/>
      </rPr>
      <t xml:space="preserve">與非控制權益（富世達等）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</si>
  <si>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</si>
  <si>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</si>
  <si>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</si>
  <si>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174.83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44.54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</si>
  <si>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已發行 </t>
    </r>
    <r>
      <rPr>
        <sz val="11"/>
        <color theme="1"/>
        <rFont val="Calibri"/>
        <family val="2"/>
        <charset val="1"/>
      </rPr>
      <t xml:space="preserve">392,543,007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</si>
  <si>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營業費用、業外、稅與非控制權益、股數（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</si>
  <si>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</si>
  <si>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</si>
  <si>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</si>
  <si>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營業費用：未找到（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彈性無法計算）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</si>
  <si>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</si>
  <si>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</si>
  <si>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</si>
  <si>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</si>
  <si>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</si>
  <si>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</si>
  <si>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（推導）</t>
    </r>
  </si>
  <si>
    <t xml:space="preserve">匯兌損益波動大</t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</si>
  <si>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</si>
  <si>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</si>
  <si>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</si>
  <si>
    <t xml:space="preserve">富世達持股比例變動會影響非控制權益：未建模</t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</si>
  <si>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</si>
  <si>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</si>
  <si>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0.390 → 1H26 0.393 </t>
    </r>
    <r>
      <rPr>
        <sz val="11"/>
        <color theme="1"/>
        <rFont val="Noto Sans CJK SC"/>
        <family val="2"/>
      </rPr>
      <t xml:space="preserve">十億股（公司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與淨利）</t>
    </r>
  </si>
  <si>
    <t xml:space="preserve">可轉債、員工認股：未找到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</si>
  <si>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</si>
  <si>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</si>
  <si>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</si>
  <si>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</si>
  <si>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</si>
  <si>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</si>
  <si>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</si>
  <si>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t xml:space="preserve">https://www.kgi.com.hk/zh-cn/-/media/files/kgishk/research-reports/tw-reports/asia-vital-components-3017-tt20260812en.pdf</t>
  </si>
  <si>
    <t xml:space="preserve">b_q4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</si>
  <si>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</si>
  <si>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https://finance.technews.tw/2026/10/19/avc-target-price/</t>
  </si>
  <si>
    <t xml:space="preserve">b_eps26gs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</si>
  <si>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</si>
  <si>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</si>
  <si>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r>
      <rPr>
        <sz val="11"/>
        <color theme="1"/>
        <rFont val="Calibri"/>
        <family val="2"/>
        <charset val="1"/>
      </rPr>
      <t xml:space="preserve">https://finance.technews.tw/2026/10/19/avc-target-price/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2027 154.78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2028 195.18</t>
    </r>
    <r>
      <rPr>
        <sz val="11"/>
        <color theme="1"/>
        <rFont val="Noto Sans CJK SC"/>
        <family val="2"/>
      </rPr>
      <t xml:space="preserve">；目標價 </t>
    </r>
    <r>
      <rPr>
        <sz val="11"/>
        <color theme="1"/>
        <rFont val="Calibri"/>
        <family val="2"/>
        <charset val="1"/>
      </rPr>
      <t xml:space="preserve">4,736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30.6x 2027</t>
    </r>
    <r>
      <rPr>
        <sz val="11"/>
        <color theme="1"/>
        <rFont val="Noto Sans CJK SC"/>
        <family val="2"/>
      </rPr>
      <t xml:space="preserve">）</t>
    </r>
  </si>
  <si>
    <t xml:space="preserve">b_eps26kgi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</si>
  <si>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</si>
  <si>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104.95</t>
    </r>
    <r>
      <rPr>
        <sz val="11"/>
        <color theme="1"/>
        <rFont val="Noto Sans CJK SC"/>
        <family val="2"/>
      </rPr>
      <t xml:space="preserve">、大和 </t>
    </r>
    <r>
      <rPr>
        <sz val="11"/>
        <color theme="1"/>
        <rFont val="Calibri"/>
        <family val="2"/>
        <charset val="1"/>
      </rPr>
      <t xml:space="preserve">102.99</t>
    </r>
    <r>
      <rPr>
        <sz val="11"/>
        <color theme="1"/>
        <rFont val="Noto Sans CJK SC"/>
        <family val="2"/>
      </rPr>
      <t xml:space="preserve">、花旗 </t>
    </r>
    <r>
      <rPr>
        <sz val="11"/>
        <color theme="1"/>
        <rFont val="Calibri"/>
        <family val="2"/>
        <charset val="1"/>
      </rPr>
      <t xml:space="preserve">102.7</t>
    </r>
    <r>
      <rPr>
        <sz val="11"/>
        <color theme="1"/>
        <rFont val="Noto Sans CJK SC"/>
        <family val="2"/>
      </rPr>
      <t xml:space="preserve">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</si>
  <si>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b_rev27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</si>
  <si>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</si>
  <si>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花旗：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）</t>
    </r>
  </si>
  <si>
    <t xml:space="preserve">b_eps27gs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</si>
  <si>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</si>
  <si>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b_eps27kgi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</si>
  <si>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</si>
  <si>
    <t xml:space="preserve">b_eps27bofa</t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</si>
  <si>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2026-08-13 </t>
    </r>
    <r>
      <rPr>
        <sz val="11"/>
        <color theme="1"/>
        <rFont val="Noto Sans CJK SC"/>
        <family val="2"/>
      </rPr>
      <t xml:space="preserve">前後）</t>
    </r>
  </si>
  <si>
    <r>
      <rPr>
        <sz val="11"/>
        <color theme="1"/>
        <rFont val="Calibri"/>
        <family val="2"/>
        <charset val="1"/>
      </rPr>
      <t xml:space="preserve">https://wantrich.chinatimes.com/news/20260813900226-420101</t>
    </r>
    <r>
      <rPr>
        <sz val="11"/>
        <color theme="1"/>
        <rFont val="Noto Sans CJK SC"/>
        <family val="2"/>
      </rPr>
      <t xml:space="preserve">：美銀 </t>
    </r>
    <r>
      <rPr>
        <sz val="11"/>
        <color theme="1"/>
        <rFont val="Calibri"/>
        <family val="2"/>
        <charset val="1"/>
      </rPr>
      <t xml:space="preserve">2026 104.95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2027 143.99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2028 178.74</t>
    </r>
  </si>
  <si>
    <t xml:space="preserve">b_eps27dw</t>
  </si>
  <si>
    <r>
      <rPr>
        <sz val="11"/>
        <color theme="1"/>
        <rFont val="Noto Sans CJK SC"/>
        <family val="2"/>
      </rPr>
      <t xml:space="preserve">大和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2026-08-13 </t>
    </r>
    <r>
      <rPr>
        <sz val="11"/>
        <color theme="1"/>
        <rFont val="Noto Sans CJK SC"/>
        <family val="2"/>
      </rPr>
      <t xml:space="preserve">前後）</t>
    </r>
  </si>
  <si>
    <r>
      <rPr>
        <sz val="11"/>
        <color theme="1"/>
        <rFont val="Calibri"/>
        <family val="2"/>
        <charset val="1"/>
      </rPr>
      <t xml:space="preserve">https://wantrich.chinatimes.com/news/20260813900226-420101</t>
    </r>
    <r>
      <rPr>
        <sz val="11"/>
        <color theme="1"/>
        <rFont val="Noto Sans CJK SC"/>
        <family val="2"/>
      </rPr>
      <t xml:space="preserve">：大和 </t>
    </r>
    <r>
      <rPr>
        <sz val="11"/>
        <color theme="1"/>
        <rFont val="Calibri"/>
        <family val="2"/>
        <charset val="1"/>
      </rPr>
      <t xml:space="preserve">2026 102.99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2027 139.53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2028 183.06</t>
    </r>
  </si>
  <si>
    <t xml:space="preserve">b_eps27citi</t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</si>
  <si>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2026-08-13 </t>
    </r>
    <r>
      <rPr>
        <sz val="11"/>
        <color theme="1"/>
        <rFont val="Noto Sans CJK SC"/>
        <family val="2"/>
      </rPr>
      <t xml:space="preserve">前後）</t>
    </r>
  </si>
  <si>
    <r>
      <rPr>
        <sz val="11"/>
        <color theme="1"/>
        <rFont val="Noto Sans CJK SC"/>
        <family val="2"/>
      </rPr>
      <t xml:space="preserve">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）：花旗 </t>
    </r>
    <r>
      <rPr>
        <sz val="11"/>
        <color theme="1"/>
        <rFont val="Calibri"/>
        <family val="2"/>
        <charset val="1"/>
      </rPr>
      <t xml:space="preserve">2027 153.21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2028 185.53</t>
    </r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</si>
  <si>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2026-09-19 </t>
    </r>
    <r>
      <rPr>
        <sz val="11"/>
        <color theme="1"/>
        <rFont val="Noto Sans CJK SC"/>
        <family val="2"/>
      </rPr>
      <t xml:space="preserve">再上修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獲利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（經濟日報；絕對值未找到）</t>
    </r>
  </si>
  <si>
    <t xml:space="preserve">b_eps28gs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</si>
  <si>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</si>
  <si>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b_gm27</t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</si>
  <si>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</si>
  <si>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（花旗）</t>
    </r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</si>
  <si>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33.4%</t>
    </r>
    <r>
      <rPr>
        <sz val="11"/>
        <color theme="1"/>
        <rFont val="Noto Sans CJK SC"/>
        <family val="2"/>
      </rPr>
      <t xml:space="preserve">、凱基 </t>
    </r>
    <r>
      <rPr>
        <sz val="11"/>
        <color theme="1"/>
        <rFont val="Calibri"/>
        <family val="2"/>
        <charset val="1"/>
      </rPr>
      <t xml:space="preserve">33.8%</t>
    </r>
  </si>
  <si>
    <t xml:space="preserve">b_lc27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</si>
  <si>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營收（超過）</t>
    </r>
  </si>
  <si>
    <r>
      <rPr>
        <sz val="11"/>
        <color theme="1"/>
        <rFont val="Noto Sans CJK SC"/>
        <family val="2"/>
      </rPr>
      <t xml:space="preserve">大和：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液冷滲透率超過 </t>
    </r>
    <r>
      <rPr>
        <sz val="11"/>
        <color theme="1"/>
        <rFont val="Calibri"/>
        <family val="2"/>
        <charset val="1"/>
      </rPr>
      <t xml:space="preserve">50%</t>
    </r>
  </si>
  <si>
    <t xml:space="preserve">tf_pen26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</si>
  <si>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（顆數）</t>
    </r>
  </si>
  <si>
    <t xml:space="preserve">https://finance.ettoday.net/news/3220835</t>
  </si>
  <si>
    <t xml:space="preserve">tf_pen27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</si>
  <si>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（顆數）</t>
    </r>
  </si>
  <si>
    <r>
      <rPr>
        <sz val="11"/>
        <color theme="1"/>
        <rFont val="Noto Sans CJK SC"/>
        <family val="2"/>
      </rPr>
      <t xml:space="preserve">「近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</si>
  <si>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</si>
  <si>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</si>
  <si>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</si>
  <si>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、鉅亨（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3,145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2.78%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</si>
  <si>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FinLab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10-24 </t>
    </r>
    <r>
      <rPr>
        <sz val="11"/>
        <color theme="1"/>
        <rFont val="Noto Sans CJK SC"/>
        <family val="2"/>
      </rPr>
      <t xml:space="preserve">更新）仍為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</si>
  <si>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</si>
  <si>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</si>
  <si>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</si>
  <si>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 </t>
    </r>
    <r>
      <rPr>
        <sz val="11"/>
        <color theme="1"/>
        <rFont val="Calibri"/>
        <family val="2"/>
        <charset val="1"/>
      </rPr>
      <t xml:space="preserve">41.98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</si>
  <si>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</si>
  <si>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</si>
  <si>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</si>
  <si>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</si>
  <si>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</si>
  <si>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</si>
  <si>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</si>
  <si>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</si>
  <si>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</si>
  <si>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</si>
  <si>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</si>
  <si>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</si>
  <si>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</si>
  <si>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</si>
  <si>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</si>
  <si>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</si>
  <si>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</si>
  <si>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</si>
  <si>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</si>
  <si>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</si>
  <si>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</si>
  <si>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Return on Equity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FY2023 26.88%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30.99%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49.86%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</si>
  <si>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66.78%</t>
    </r>
    <r>
      <rPr>
        <sz val="11"/>
        <color theme="1"/>
        <rFont val="Noto Sans CJK SC"/>
        <family val="2"/>
      </rPr>
      <t xml:space="preserve">（同站，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</si>
  <si>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</si>
  <si>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</si>
  <si>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</si>
  <si>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</si>
  <si>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</si>
  <si>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</si>
  <si>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</si>
  <si>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</si>
  <si>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</si>
  <si>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</si>
  <si>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</si>
  <si>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</si>
  <si>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nim10_f</t>
  </si>
  <si>
    <r>
      <rPr>
        <sz val="11"/>
        <color theme="1"/>
        <rFont val="Noto Sans CJK SC"/>
        <family val="2"/>
      </rPr>
      <t xml:space="preserve">十年平均淨利率的替代：最後一年（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（本值）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</si>
  <si>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）平均淨利率：未找到（免費資料商只到近五年）；依工作單以最後一年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替代</t>
    </r>
  </si>
  <si>
    <r>
      <rPr>
        <sz val="11"/>
        <color theme="1"/>
        <rFont val="Noto Sans CJK SC"/>
        <family val="2"/>
      </rPr>
      <t xml:space="preserve">淨利率收斂目標：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與替代值的中點、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＝替代值（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</si>
  <si>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</si>
  <si>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</si>
  <si>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4,130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4,250</t>
    </r>
    <r>
      <rPr>
        <sz val="11"/>
        <color theme="1"/>
        <rFont val="Noto Sans CJK SC"/>
        <family val="2"/>
      </rPr>
      <t xml:space="preserve">），頁面時間 </t>
    </r>
    <r>
      <rPr>
        <sz val="11"/>
        <color theme="1"/>
        <rFont val="Calibri"/>
        <family val="2"/>
        <charset val="1"/>
      </rPr>
      <t xml:space="preserve">2026-10-01</t>
    </r>
  </si>
  <si>
    <r>
      <rPr>
        <sz val="11"/>
        <color theme="1"/>
        <rFont val="Noto Sans CJK SC"/>
        <family val="2"/>
      </rPr>
      <t xml:space="preserve">個股頁（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4,200.35</t>
    </r>
    <r>
      <rPr>
        <sz val="11"/>
        <color theme="1"/>
        <rFont val="Noto Sans CJK SC"/>
        <family val="2"/>
      </rPr>
      <t xml:space="preserve">；第二來源：未找到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</si>
  <si>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</si>
  <si>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</si>
  <si>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：價格 </t>
    </r>
    <r>
      <rPr>
        <sz val="11"/>
        <color theme="1"/>
        <rFont val="Calibri"/>
        <family val="2"/>
        <charset val="1"/>
      </rPr>
      <t xml:space="preserve">3,585 ÷ Forward PE 27.04</t>
    </r>
  </si>
  <si>
    <t xml:space="preserve">賣方共識，只作對帳與差距拆解，不作校準</t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</si>
  <si>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為新台幣；股數為十億股）。藍字＝輸入；黑字＝公式。實績取自奇鋐法說（經媒體轉述）、凱基報告與月營收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</si>
  <si>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財報（預計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月中）尚未公布。稅前利益以 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各季稅前淨利率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營收推導（公司稅前金額原文：未找到）；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各季營收以年增率回推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</si>
  <si>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</si>
  <si>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</si>
  <si>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</si>
  <si>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</si>
  <si>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</si>
  <si>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</si>
  <si>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</si>
  <si>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</si>
  <si>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https://uanalyze.com.tw/articles/1131748834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https://uanalyze.com.tw/articles/5815653290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</si>
  <si>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https://www.kgi.com.hk/zh-cn/-/media/files/kgishk/research-reports/tw-reports/asia-vital-components-3017-tt20260812en.pdf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</si>
  <si>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</si>
  <si>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</si>
  <si>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25.81%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145.97 </t>
    </r>
    <r>
      <rPr>
        <sz val="11"/>
        <color theme="1"/>
        <rFont val="Noto Sans CJK SC"/>
        <family val="2"/>
      </rPr>
      <t xml:space="preserve">億（時報 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</si>
  <si>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</si>
  <si>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25.8%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31.17%</t>
    </r>
    <r>
      <rPr>
        <sz val="11"/>
        <color theme="1"/>
        <rFont val="Noto Sans CJK SC"/>
        <family val="2"/>
      </rPr>
      <t xml:space="preserve">（公司）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</si>
  <si>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</si>
  <si>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</si>
  <si>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</si>
  <si>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19.73%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</si>
  <si>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1Q26 120.19 </t>
    </r>
    <r>
      <rPr>
        <sz val="11"/>
        <color theme="1"/>
        <rFont val="Noto Sans CJK SC"/>
        <family val="2"/>
      </rPr>
      <t xml:space="preserve">億（時報）；</t>
    </r>
    <r>
      <rPr>
        <sz val="11"/>
        <color theme="1"/>
        <rFont val="Calibri"/>
        <family val="2"/>
        <charset val="1"/>
      </rPr>
      <t xml:space="preserve">2Q26 134.78 </t>
    </r>
    <r>
      <rPr>
        <sz val="11"/>
        <color theme="1"/>
        <rFont val="Noto Sans CJK SC"/>
        <family val="2"/>
      </rPr>
      <t xml:space="preserve">億（凱基）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</si>
  <si>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</si>
  <si>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FY2025 19.7%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25.97%</t>
    </r>
    <r>
      <rPr>
        <sz val="11"/>
        <color theme="1"/>
        <rFont val="Noto Sans CJK SC"/>
        <family val="2"/>
      </rPr>
      <t xml:space="preserve">（公司）</t>
    </r>
  </si>
  <si>
    <t xml:space="preserve">業外收益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</si>
  <si>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</si>
  <si>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（稅前淨利率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</si>
  <si>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各季稅前淨利率：</t>
    </r>
    <r>
      <rPr>
        <sz val="11"/>
        <color theme="1"/>
        <rFont val="Calibri"/>
        <family val="2"/>
        <charset val="1"/>
      </rPr>
      <t xml:space="preserve">1Q25 19.80%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2Q25 19.92%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21.10%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21.04%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24.43%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28.37%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</si>
  <si>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</si>
  <si>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</si>
  <si>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</si>
  <si>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</si>
  <si>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</si>
  <si>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</si>
  <si>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</si>
  <si>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</si>
  <si>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1Q26 20.17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24.37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4Q25 16.92</t>
    </r>
  </si>
  <si>
    <r>
      <rPr>
        <sz val="11"/>
        <color theme="1"/>
        <rFont val="Noto Sans CJK SC"/>
        <family val="2"/>
      </rPr>
      <t xml:space="preserve">液冷營收（＝營收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</si>
  <si>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</si>
  <si>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公司產品比重（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</si>
  <si>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液冷、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與一般伺服器的季度金額未揭露：未找到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</si>
  <si>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（伺服器與網通 − 液冷）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比例）</t>
    </r>
  </si>
  <si>
    <r>
      <rPr>
        <sz val="11"/>
        <color theme="1"/>
        <rFont val="Noto Sans CJK SC"/>
        <family val="2"/>
      </rPr>
      <t xml:space="preserve">一般伺服器與網通（＝營收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（伺服器與網通 − 液冷）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AI </t>
    </r>
    <r>
      <rPr>
        <sz val="11"/>
        <color theme="1"/>
        <rFont val="Noto Sans CJK SC"/>
        <family val="2"/>
      </rPr>
      <t xml:space="preserve">比例））</t>
    </r>
  </si>
  <si>
    <r>
      <rPr>
        <sz val="11"/>
        <color theme="1"/>
        <rFont val="Noto Sans CJK SC"/>
        <family val="2"/>
      </rPr>
      <t xml:space="preserve">非伺服器（＝營收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伺服器與網通）；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</si>
  <si>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低）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</si>
  <si>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</si>
  <si>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</si>
  <si>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高）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</si>
  <si>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高）</t>
    </r>
  </si>
  <si>
    <r>
      <rPr>
        <sz val="11"/>
        <color theme="1"/>
        <rFont val="Noto Sans CJK SC"/>
        <family val="2"/>
      </rPr>
      <t xml:space="preserve">液冷（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</si>
  <si>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低）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</si>
  <si>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低）</t>
    </r>
  </si>
  <si>
    <r>
      <rPr>
        <sz val="11"/>
        <color theme="1"/>
        <rFont val="Noto Sans CJK SC"/>
        <family val="2"/>
      </rPr>
      <t xml:space="preserve">液冷（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高）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</si>
  <si>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高）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</si>
  <si>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高）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</si>
  <si>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</si>
  <si>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</si>
  <si>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</si>
  <si>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</si>
  <si>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</si>
  <si>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</si>
  <si>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非伺服器營收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</si>
  <si>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液冷市場（奇鋐可做部分：冷板、分歧管、快接頭）、奇鋐份額與每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，經橋接表）；每架液冷取自橋接表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</si>
  <si>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</si>
  <si>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</si>
  <si>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</si>
  <si>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</si>
  <si>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</si>
  <si>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</si>
  <si>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</si>
  <si>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</si>
  <si>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</si>
  <si>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</si>
  <si>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</t>
    </r>
  </si>
  <si>
    <t xml:space="preserve">US$M/GW</t>
  </si>
  <si>
    <r>
      <rPr>
        <sz val="11"/>
        <color theme="1"/>
        <rFont val="Noto Sans CJK SC"/>
        <family val="2"/>
      </rPr>
      <t xml:space="preserve">橋接表機架內液冷＋分歧管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</t>
    </r>
  </si>
  <si>
    <r>
      <rPr>
        <sz val="11"/>
        <color theme="1"/>
        <rFont val="Noto Sans CJK SC"/>
        <family val="2"/>
      </rPr>
      <t xml:space="preserve">每架液冷內容（以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</si>
  <si>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</si>
  <si>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對照：橋接表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機架內液冷 </t>
    </r>
    <r>
      <rPr>
        <sz val="11"/>
        <color theme="1"/>
        <rFont val="Calibri"/>
        <family val="2"/>
        <charset val="1"/>
      </rPr>
      <t xml:space="preserve">US$56K</t>
    </r>
    <r>
      <rPr>
        <sz val="11"/>
        <color theme="1"/>
        <rFont val="Noto Sans CJK SC"/>
        <family val="2"/>
      </rPr>
      <t xml:space="preserve">＋分歧管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</si>
  <si>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液冷市場（奇鋐可做部分）</t>
    </r>
  </si>
  <si>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、機架外冷卻與液對氣</t>
    </r>
  </si>
  <si>
    <t xml:space="preserve">奇鋐有效份額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</si>
  <si>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以券商液冷占比校準</t>
    </r>
  </si>
  <si>
    <t xml:space="preserve">奇鋐液冷營收</t>
  </si>
  <si>
    <r>
      <rPr>
        <sz val="11"/>
        <color theme="1"/>
        <rFont val="Noto Sans CJK SC"/>
        <family val="2"/>
      </rPr>
      <t xml:space="preserve">奇鋐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</si>
  <si>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以伺服器比重與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比例校準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</si>
  <si>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奇鋐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營收（液冷＋氣冷與機構）</t>
    </r>
  </si>
  <si>
    <r>
      <rPr>
        <sz val="11"/>
        <color theme="1"/>
        <rFont val="Noto Sans CJK SC"/>
        <family val="2"/>
      </rPr>
      <t xml:space="preserve">其他廠商液冷（雙鴻、酷碼、台達電、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 </t>
    </r>
    <r>
      <rPr>
        <sz val="11"/>
        <color theme="1"/>
        <rFont val="Noto Sans CJK SC"/>
        <family val="2"/>
      </rPr>
      <t xml:space="preserve">等）＝ 市場 − 奇鋐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</si>
  <si>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VR200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機架數較少（</t>
    </r>
    <r>
      <rPr>
        <b val="true"/>
        <sz val="11"/>
        <rFont val="Cambria"/>
        <family val="0"/>
        <charset val="1"/>
      </rPr>
      <t xml:space="preserve">6,764 → 4,052 </t>
    </r>
    <r>
      <rPr>
        <b val="true"/>
        <sz val="11"/>
        <rFont val="Noto Sans CJK SC"/>
        <family val="2"/>
      </rPr>
      <t xml:space="preserve">架），橋接表的每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液冷內容下降；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起的成長來自液冷滲透率與每架內容調整（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全液冷、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液冷），兩者與份額相對值都是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</si>
  <si>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奇鋐損益（十億新台幣；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</si>
  <si>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</si>
  <si>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</si>
  <si>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</si>
  <si>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</si>
  <si>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</si>
  <si>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</si>
  <si>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</si>
  <si>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液冷營收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</si>
  <si>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氣冷與機構營收</t>
    </r>
  </si>
  <si>
    <t xml:space="preserve">  一般伺服器與網通營收</t>
  </si>
  <si>
    <t xml:space="preserve">  非伺服器營收</t>
  </si>
  <si>
    <r>
      <rPr>
        <sz val="11"/>
        <color theme="1"/>
        <rFont val="Noto Sans CJK SC"/>
        <family val="2"/>
      </rPr>
      <t xml:space="preserve">  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</si>
  <si>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</si>
  <si>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</si>
  <si>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</si>
  <si>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模型液冷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</si>
  <si>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</si>
  <si>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：液冷差（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</si>
  <si>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</si>
  <si>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</si>
  <si>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部署與液冷市場（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</si>
  <si>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</si>
  <si>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</si>
  <si>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</si>
  <si>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</si>
  <si>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液冷內容（機架內液冷＋分歧管）</t>
    </r>
  </si>
  <si>
    <r>
      <rPr>
        <sz val="11"/>
        <color theme="1"/>
        <rFont val="Noto Sans CJK SC"/>
        <family val="2"/>
      </rPr>
      <t xml:space="preserve">橋接表每架機架內液冷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</si>
  <si>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液冷市場（奇鋐可做部分；美元）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</si>
  <si>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液冷市場（新台幣）</t>
    </r>
  </si>
  <si>
    <r>
      <rPr>
        <sz val="11"/>
        <color theme="1"/>
        <rFont val="Noto Sans CJK SC"/>
        <family val="2"/>
      </rPr>
      <t xml:space="preserve">奇鋐有效份額（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液冷營收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</si>
  <si>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：分子為公司液冷占比（券商說法）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營收；分母為本模型的液冷市場（不含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、機架外冷卻）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</si>
  <si>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</si>
  <si>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液冷營收</t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</si>
  <si>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氣冷、一般伺服器、非伺服器與合計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</si>
  <si>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</si>
  <si>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t xml:space="preserve">NT$B/GW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</si>
  <si>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</si>
  <si>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氣冷與機構營收</t>
    </r>
  </si>
  <si>
    <t xml:space="preserve">一般伺服器與網通營收</t>
  </si>
  <si>
    <r>
      <rPr>
        <sz val="11"/>
        <color theme="1"/>
        <rFont val="Noto Sans CJK SC"/>
        <family val="2"/>
      </rPr>
      <t xml:space="preserve">非伺服器營收（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、系統、富世達）</t>
    </r>
  </si>
  <si>
    <t xml:space="preserve">營收年增</t>
  </si>
  <si>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</si>
  <si>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（液冷＋氣冷與機構）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</si>
  <si>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</si>
  <si>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</si>
  <si>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毛利率等於錨點；液冷毛利率＝其他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起毛利率隨液冷占比變動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</si>
  <si>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</si>
  <si>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</si>
  <si>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</si>
  <si>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</si>
  <si>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</si>
  <si>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新增）。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</si>
  <si>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</si>
  <si>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</si>
  <si>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</si>
  <si>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</si>
  <si>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</si>
  <si>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</si>
  <si>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</si>
  <si>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</si>
  <si>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</si>
  <si>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</si>
  <si>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</si>
  <si>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</si>
  <si>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</si>
  <si>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</si>
  <si>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</si>
  <si>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</si>
  <si>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</si>
  <si>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</si>
  <si>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</si>
  <si>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</si>
  <si>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；十年平均未找到）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</si>
  <si>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</si>
  <si>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循環位置：奇鋐不是設備股，不套設備市場見頂年；以本模型營收最高的會計年度為見頂年（比照台達電、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</si>
  <si>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新增，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加權）。第 </t>
    </r>
    <r>
      <rPr>
        <sz val="11"/>
        <color theme="1"/>
        <rFont val="Calibri"/>
        <family val="2"/>
        <charset val="1"/>
      </rPr>
      <t xml:space="preserve">74 </t>
    </r>
    <r>
      <rPr>
        <sz val="11"/>
        <color theme="1"/>
        <rFont val="Noto Sans CJK SC"/>
        <family val="2"/>
      </rPr>
      <t xml:space="preserve">列「舊法：規則值情境加權（參考）」不再是目標價，只作參考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</si>
  <si>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</si>
  <si>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</si>
  <si>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</si>
  <si>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</si>
  <si>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</si>
  <si>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</si>
  <si>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</si>
  <si>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</si>
  <si>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</si>
  <si>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</si>
  <si>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¼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</si>
  <si>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</si>
  <si>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</si>
  <si>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</si>
  <si>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</si>
  <si>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</si>
  <si>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</si>
  <si>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</si>
  <si>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</si>
  <si>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</si>
  <si>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</si>
  <si>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</si>
  <si>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</si>
  <si>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</si>
  <si>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</si>
  <si>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</si>
  <si>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</si>
  <si>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</si>
  <si>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</si>
  <si>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</si>
  <si>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</si>
  <si>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</si>
  <si>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</si>
  <si>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</si>
  <si>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</si>
  <si>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且全為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前後高倍數期，只作核對。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年奇鋐為筆電、伺服器氣冷散熱廠（約 </t>
    </r>
    <r>
      <rPr>
        <sz val="11"/>
        <color theme="1"/>
        <rFont val="Calibri"/>
        <family val="2"/>
        <charset val="1"/>
      </rPr>
      <t xml:space="preserve">10–15x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前後的倍數口徑不同，規則值可能低估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</si>
  <si>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</si>
  <si>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</si>
  <si>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</si>
  <si>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</si>
  <si>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</si>
  <si>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</si>
  <si>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（資料商年底收盤與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，只作核對、不採用）</t>
    </r>
  </si>
  <si>
    <t xml:space="preserve">2017</t>
  </si>
  <si>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推導差距在 </t>
    </r>
    <r>
      <rPr>
        <sz val="11"/>
        <color theme="1"/>
        <rFont val="Calibri"/>
        <family val="2"/>
        <charset val="1"/>
      </rPr>
      <t xml:space="preserve">0.5x </t>
    </r>
    <r>
      <rPr>
        <sz val="11"/>
        <color theme="1"/>
        <rFont val="Noto Sans CJK SC"/>
        <family val="2"/>
      </rPr>
      <t xml:space="preserve">內；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年：未找到第二來源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</si>
  <si>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</si>
  <si>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</si>
  <si>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</si>
  <si>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</si>
  <si>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</si>
  <si>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</si>
  <si>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</si>
  <si>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</si>
  <si>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</si>
  <si>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</si>
  <si>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</si>
  <si>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</si>
  <si>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</si>
  <si>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</si>
  <si>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</si>
  <si>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</si>
  <si>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</si>
  <si>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</si>
  <si>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</si>
  <si>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</si>
  <si>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</si>
  <si>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</si>
  <si>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</si>
  <si>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</si>
  <si>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</si>
  <si>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</si>
  <si>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</si>
  <si>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</si>
  <si>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</si>
  <si>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</si>
  <si>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</si>
  <si>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</si>
  <si>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Noto Sans CJK SC"/>
        <family val="2"/>
      </rPr>
      <t xml:space="preserve">舊法：規則值情境加權（參考；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的「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目標價與上檔空間」改名，不再是目標價；權重為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）</t>
    </r>
  </si>
  <si>
    <t xml:space="preserve">舊法隱含價（情境加權，參考）</t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</si>
  <si>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</si>
  <si>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舊法隱含價相對現價（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</si>
  <si>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</si>
  <si>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</si>
  <si>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：基準（顆數係數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</si>
  <si>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</si>
  <si>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E24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</si>
  <si>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</si>
  <si>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</si>
  <si>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</si>
  <si>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</si>
  <si>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</si>
  <si>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EPS × 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核對）。隱含價約為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即本模型三個顆數情境（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年氣冷散熱期低倍數（約 </t>
    </r>
    <r>
      <rPr>
        <sz val="11"/>
        <color theme="1"/>
        <rFont val="Calibri"/>
        <family val="2"/>
        <charset val="1"/>
      </rPr>
      <t xml:space="preserve">10–15x</t>
    </r>
    <r>
      <rPr>
        <sz val="11"/>
        <color theme="1"/>
        <rFont val="Noto Sans CJK SC"/>
        <family val="2"/>
      </rPr>
      <t xml:space="preserve">），目標價可能偏低。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</si>
  <si>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新增，放在本頁既有內容之後以免位移既有儲存格；三情境欄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順利／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平平／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不如預期）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</si>
  <si>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</si>
  <si>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</si>
  <si>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</si>
  <si>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</si>
  <si>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</si>
  <si>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</si>
  <si>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</si>
  <si>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</si>
  <si>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</si>
  <si>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</si>
  <si>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</si>
  <si>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</si>
  <si>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</si>
  <si>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</si>
  <si>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</si>
  <si>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</si>
  <si>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</si>
  <si>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</si>
  <si>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</si>
  <si>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 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</si>
  <si>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</si>
  <si>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</si>
  <si>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</si>
  <si>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</si>
  <si>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</si>
  <si>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</si>
  <si>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雙鴻（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）</t>
    </r>
  </si>
  <si>
    <t xml:space="preserve">3324.TWO</t>
  </si>
  <si>
    <t xml:space="preserve">2026-08-28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</si>
  <si>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</si>
  <si>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</si>
  <si>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健策（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</t>
    </r>
  </si>
  <si>
    <t xml:space="preserve">3653.TW</t>
  </si>
  <si>
    <t xml:space="preserve">2026-08-27</t>
  </si>
  <si>
    <t xml:space="preserve">Vertiv</t>
  </si>
  <si>
    <t xml:space="preserve">VRT</t>
  </si>
  <si>
    <t xml:space="preserve">2026-10-23</t>
  </si>
  <si>
    <r>
      <rPr>
        <sz val="11"/>
        <color theme="1"/>
        <rFont val="Noto Sans CJK SC"/>
        <family val="2"/>
      </rPr>
      <t xml:space="preserve">台達電（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）</t>
    </r>
  </si>
  <si>
    <t xml:space="preserve">2308.TW</t>
  </si>
  <si>
    <t xml:space="preserve">2026-10-22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</si>
  <si>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</si>
  <si>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散熱與液冷同業：雙鴻、健策、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、台達電（券商常用比較組）。英維克（</t>
    </r>
    <r>
      <rPr>
        <sz val="11"/>
        <color theme="1"/>
        <rFont val="Calibri"/>
        <family val="2"/>
        <charset val="1"/>
      </rPr>
      <t xml:space="preserve">002837.SZ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股，依規則不列。非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股有結構性溢價；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</si>
  <si>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</si>
  <si>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</si>
  <si>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</si>
  <si>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</si>
  <si>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</si>
  <si>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</si>
  <si>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</si>
  <si>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</si>
  <si>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</si>
  <si>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</si>
  <si>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</si>
  <si>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</si>
  <si>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3,145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</si>
  <si>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</si>
  <si>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</si>
  <si>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Recon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</si>
  <si>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</si>
  <si>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</si>
  <si>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</si>
  <si>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</si>
  <si>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分布（下方列）的分位；低於最小值記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</si>
  <si>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</si>
  <si>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36%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高使再投資率低，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：雙鴻、健策、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中位數；同業倍數分散（約 </t>
    </r>
    <r>
      <rPr>
        <sz val="11"/>
        <color theme="1"/>
        <rFont val="Calibri"/>
        <family val="2"/>
        <charset val="1"/>
      </rPr>
      <t xml:space="preserve">17–59x</t>
    </r>
    <r>
      <rPr>
        <sz val="11"/>
        <color theme="1"/>
        <rFont val="Noto Sans CJK SC"/>
        <family val="2"/>
      </rPr>
      <t xml:space="preserve">），雙鴻、健策價格為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月底，偏誤方向不明確。情境對應：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＝不如預期（原顆數情境）。</t>
    </r>
  </si>
  <si>
    <r>
      <rPr>
        <b val="true"/>
        <sz val="11"/>
        <rFont val="Noto Sans CJK SC"/>
        <family val="2"/>
      </rPr>
      <t xml:space="preserve">十年年底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（歷史分位檢查用；</t>
    </r>
    <r>
      <rPr>
        <b val="true"/>
        <sz val="11"/>
        <rFont val="Cambria"/>
        <family val="0"/>
        <charset val="1"/>
      </rPr>
      <t xml:space="preserve">Goodinfo </t>
    </r>
    <r>
      <rPr>
        <b val="true"/>
        <sz val="11"/>
        <rFont val="Noto Sans CJK SC"/>
        <family val="2"/>
      </rPr>
      <t xml:space="preserve">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；同規則值）</t>
    </r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</si>
  <si>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</si>
  <si>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券商估計、研調滲透率與台達電液冷。只作事後對照，不為對上數字而調參數。券商數字多經媒體轉述；付費共識未找到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</si>
  <si>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</si>
  <si>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</si>
  <si>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</si>
  <si>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</si>
  <si>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</si>
  <si>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</si>
  <si>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</si>
  <si>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</si>
  <si>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</si>
  <si>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</si>
  <si>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</si>
  <si>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530.5 </t>
    </r>
    <r>
      <rPr>
        <sz val="11"/>
        <color theme="1"/>
        <rFont val="Noto Sans CJK SC"/>
        <family val="2"/>
      </rPr>
      <t xml:space="preserve">億，實際 </t>
    </r>
    <r>
      <rPr>
        <sz val="11"/>
        <color theme="1"/>
        <rFont val="Calibri"/>
        <family val="2"/>
        <charset val="1"/>
      </rPr>
      <t xml:space="preserve">590.9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</si>
  <si>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</si>
  <si>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TechNews 2026-10-19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</si>
  <si>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</si>
  <si>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</si>
  <si>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美銀、大和、花旗 </t>
    </r>
    <r>
      <rPr>
        <sz val="11"/>
        <color theme="1"/>
        <rFont val="Calibri"/>
        <family val="2"/>
        <charset val="1"/>
      </rPr>
      <t xml:space="preserve">102.7–105.0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</si>
  <si>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</si>
  <si>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</si>
  <si>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</si>
  <si>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美銀</t>
    </r>
  </si>
  <si>
    <r>
      <rPr>
        <sz val="11"/>
        <color theme="1"/>
        <rFont val="Noto Sans CJK SC"/>
        <family val="2"/>
      </rPr>
      <t xml:space="preserve">時報 </t>
    </r>
    <r>
      <rPr>
        <sz val="11"/>
        <color theme="1"/>
        <rFont val="Calibri"/>
        <family val="2"/>
        <charset val="1"/>
      </rPr>
      <t xml:space="preserve">2026-08-13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</si>
  <si>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大和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</si>
  <si>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花旗（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</si>
  <si>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09-19 </t>
    </r>
    <r>
      <rPr>
        <sz val="11"/>
        <color theme="1"/>
        <rFont val="Noto Sans CJK SC"/>
        <family val="2"/>
      </rPr>
      <t xml:space="preserve">再上修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（絕對值未找到）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</si>
  <si>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</si>
  <si>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178.74</t>
    </r>
    <r>
      <rPr>
        <sz val="11"/>
        <color theme="1"/>
        <rFont val="Noto Sans CJK SC"/>
        <family val="2"/>
      </rPr>
      <t xml:space="preserve">、大和 </t>
    </r>
    <r>
      <rPr>
        <sz val="11"/>
        <color theme="1"/>
        <rFont val="Calibri"/>
        <family val="2"/>
        <charset val="1"/>
      </rPr>
      <t xml:space="preserve">183.06</t>
    </r>
    <r>
      <rPr>
        <sz val="11"/>
        <color theme="1"/>
        <rFont val="Noto Sans CJK SC"/>
        <family val="2"/>
      </rPr>
      <t xml:space="preserve">、花旗 </t>
    </r>
    <r>
      <rPr>
        <sz val="11"/>
        <color theme="1"/>
        <rFont val="Calibri"/>
        <family val="2"/>
        <charset val="1"/>
      </rPr>
      <t xml:space="preserve">185.53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</si>
  <si>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花旗（百分點）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</si>
  <si>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2026-09-19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</si>
  <si>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液冷結構（機制檢查）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</si>
  <si>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</si>
  <si>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TrendForce</t>
    </r>
    <r>
      <rPr>
        <sz val="11"/>
        <color theme="1"/>
        <rFont val="Noto Sans CJK SC"/>
        <family val="2"/>
      </rPr>
      <t xml:space="preserve">（顆數）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</si>
  <si>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ETtoday 2026-08-17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</si>
  <si>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</si>
  <si>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TrendForce</t>
    </r>
    <r>
      <rPr>
        <sz val="11"/>
        <color theme="1"/>
        <rFont val="Noto Sans CJK SC"/>
        <family val="2"/>
      </rPr>
      <t xml:space="preserve">（顆數）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</si>
  <si>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奇鋐有效份額（本模型市場口徑）</t>
    </r>
  </si>
  <si>
    <t xml:space="preserve">份額第二來源：未找到</t>
  </si>
  <si>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（台達電液冷＋奇鋐液冷）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本模型液冷市場</t>
    </r>
  </si>
  <si>
    <r>
      <rPr>
        <sz val="11"/>
        <color theme="1"/>
        <rFont val="Noto Sans CJK SC"/>
        <family val="2"/>
      </rPr>
      <t xml:space="preserve">台達電模型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（唯讀）</t>
    </r>
  </si>
  <si>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：台達電液冷多在機架外（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、液對氣），不在本市場口徑內；但也提示本模型的液冷市場口徑可能偏窄、奇鋐份額可能偏高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</si>
  <si>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（台達電液冷＋奇鋐液冷）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本模型液冷市場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</si>
  <si>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奇鋐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</si>
  <si>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</si>
  <si>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</si>
  <si>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</si>
  <si>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</si>
  <si>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液冷毛利率＝此值＋</t>
    </r>
    <r>
      <rPr>
        <sz val="11"/>
        <color theme="1"/>
        <rFont val="Calibri"/>
        <family val="2"/>
        <charset val="1"/>
      </rPr>
      <t xml:space="preserve">d_lc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</si>
  <si>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</si>
  <si>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</si>
  <si>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t xml:space="preserve">液冷占比上升使毛利率上升</t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</si>
  <si>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</si>
  <si>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08-05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32.82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626 </t>
    </r>
    <r>
      <rPr>
        <sz val="11"/>
        <color theme="1"/>
        <rFont val="Noto Sans CJK SC"/>
        <family val="2"/>
      </rPr>
      <t xml:space="preserve">億為基礎）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</si>
  <si>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</si>
  <si>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</si>
  <si>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</si>
  <si>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</si>
  <si>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</si>
  <si>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</si>
  <si>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</si>
  <si>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</si>
  <si>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的營收、液冷營收、毛利率與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</si>
  <si>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</si>
  <si>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</si>
  <si>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</si>
  <si>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液冷營收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</si>
  <si>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</si>
  <si>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</si>
  <si>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</si>
  <si>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液冷營收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</si>
  <si>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</si>
  <si>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</si>
  <si>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</si>
  <si>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</si>
  <si>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</si>
  <si>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</si>
  <si>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（雙鴻、酷碼、台達電追趕）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</si>
  <si>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</si>
  <si>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</si>
  <si>
    <t xml:space="preserve">每架液冷內容 低</t>
  </si>
  <si>
    <r>
      <rPr>
        <sz val="11"/>
        <color theme="1"/>
        <rFont val="Noto Sans CJK SC"/>
        <family val="2"/>
      </rPr>
      <t xml:space="preserve">內容調整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（只有橋接表的機架內液冷）</t>
    </r>
  </si>
  <si>
    <t xml:space="preserve">每架液冷內容 高</t>
  </si>
  <si>
    <r>
      <rPr>
        <sz val="11"/>
        <color theme="1"/>
        <rFont val="Noto Sans CJK SC"/>
        <family val="2"/>
      </rPr>
      <t xml:space="preserve">內容調整 </t>
    </r>
    <r>
      <rPr>
        <sz val="11"/>
        <color theme="1"/>
        <rFont val="Calibri"/>
        <family val="2"/>
        <charset val="1"/>
      </rPr>
      <t xml:space="preserve">2027 1.6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1.8</t>
    </r>
  </si>
  <si>
    <t xml:space="preserve">液冷滲透率 低</t>
  </si>
  <si>
    <r>
      <rPr>
        <sz val="11"/>
        <color theme="1"/>
        <rFont val="Calibri"/>
        <family val="2"/>
        <charset val="1"/>
      </rPr>
      <t xml:space="preserve">2026 45%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2029 75%</t>
    </r>
  </si>
  <si>
    <t xml:space="preserve">液冷滲透率 高</t>
  </si>
  <si>
    <r>
      <rPr>
        <sz val="11"/>
        <color theme="1"/>
        <rFont val="Calibri"/>
        <family val="2"/>
        <charset val="1"/>
      </rPr>
      <t xml:space="preserve">2026 65%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95%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</si>
  <si>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</si>
  <si>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0.60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0.40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</si>
  <si>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</si>
  <si>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</si>
  <si>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</si>
  <si>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</si>
  <si>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</si>
  <si>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</si>
  <si>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</si>
  <si>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Noto Sans CJK SC"/>
        <family val="2"/>
      </rPr>
      <t xml:space="preserve">一般伺服器與非伺服器 </t>
    </r>
    <r>
      <rPr>
        <sz val="11"/>
        <color theme="1"/>
        <rFont val="Calibri"/>
        <family val="2"/>
        <charset val="1"/>
      </rPr>
      <t xml:space="preserve">2027–29 0%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</si>
  <si>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</si>
  <si>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Noto Sans CJK SC"/>
        <family val="2"/>
      </rPr>
      <t xml:space="preserve">一般伺服器 </t>
    </r>
    <r>
      <rPr>
        <sz val="11"/>
        <color theme="1"/>
        <rFont val="Calibri"/>
        <family val="2"/>
        <charset val="1"/>
      </rPr>
      <t xml:space="preserve">+15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、非伺服器 </t>
    </r>
    <r>
      <rPr>
        <sz val="11"/>
        <color theme="1"/>
        <rFont val="Calibri"/>
        <family val="2"/>
        <charset val="1"/>
      </rPr>
      <t xml:space="preserve">+12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</si>
  <si>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Noto Sans CJK SC"/>
        <family val="2"/>
      </rPr>
      <t xml:space="preserve">液冷毛利率差距 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</si>
  <si>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液冷毛利率只高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</si>
  <si>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液冷毛利率差距 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</si>
  <si>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</si>
  <si>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</si>
  <si>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</si>
  <si>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</si>
  <si>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液冷＝營收 </t>
    </r>
    <r>
      <rPr>
        <sz val="11"/>
        <color theme="1"/>
        <rFont val="Calibri"/>
        <family val="2"/>
        <charset val="1"/>
      </rPr>
      <t xml:space="preserve">× 28%</t>
    </r>
    <r>
      <rPr>
        <sz val="11"/>
        <color theme="1"/>
        <rFont val="Noto Sans CJK SC"/>
        <family val="2"/>
      </rPr>
      <t xml:space="preserve">；份額分子變小、氣冷變大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</si>
  <si>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</si>
  <si>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液冷＝營收 </t>
    </r>
    <r>
      <rPr>
        <sz val="11"/>
        <color theme="1"/>
        <rFont val="Calibri"/>
        <family val="2"/>
        <charset val="1"/>
      </rPr>
      <t xml:space="preserve">× 35%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</si>
  <si>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</si>
  <si>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Noto Sans CJK SC"/>
        <family val="2"/>
      </rPr>
      <t xml:space="preserve">伺服器非液冷中屬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的比例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</si>
  <si>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（讀法）</t>
    </r>
  </si>
  <si>
    <t xml:space="preserve">80%</t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</si>
  <si>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</si>
  <si>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</si>
  <si>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</si>
  <si>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</si>
  <si>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恆等於錨點。「液冷滲透率」案例的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份額會反向調整（滲透率低 → 份額高），所以只影響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起的成長路徑。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</si>
  <si>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</si>
  <si>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</si>
  <si>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案例區塊：每架液冷內容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</si>
  <si>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案例區塊：每架液冷內容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</si>
  <si>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案例區塊：液冷滲透率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</si>
  <si>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案例區塊：液冷滲透率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</si>
  <si>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氣冷每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</si>
  <si>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氣冷每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</si>
  <si>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</si>
  <si>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</si>
  <si>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</si>
  <si>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</si>
  <si>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案例區塊：液冷毛利率差距 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</si>
  <si>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案例區塊：液冷毛利率差距 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</si>
  <si>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</si>
  <si>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液冷占比 </t>
    </r>
    <r>
      <rPr>
        <b val="true"/>
        <sz val="11"/>
        <rFont val="Cambria"/>
        <family val="0"/>
        <charset val="1"/>
      </rPr>
      <t xml:space="preserve">28%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</si>
  <si>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液冷占比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</si>
  <si>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比例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</si>
  <si>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比例 </t>
    </r>
    <r>
      <rPr>
        <b val="true"/>
        <sz val="11"/>
        <rFont val="Cambria"/>
        <family val="0"/>
        <charset val="1"/>
      </rPr>
      <t xml:space="preserve">80%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</si>
  <si>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）：一次動一個，對加權目標價的影響（只改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收斂目標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</si>
  <si>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</si>
  <si>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</si>
  <si>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</si>
  <si>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</si>
  <si>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</si>
  <si>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</si>
  <si>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tp_r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</si>
  <si>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</si>
  <si>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tp_r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</si>
  <si>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</si>
  <si>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tp_g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</si>
  <si>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</si>
  <si>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tp_g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</si>
  <si>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</si>
  <si>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tp_w_dcf 0.4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</si>
  <si>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</si>
  <si>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 0.8</t>
  </si>
  <si>
    <r>
      <rPr>
        <b val="true"/>
        <sz val="11"/>
        <rFont val="Noto Sans CJK SC"/>
        <family val="2"/>
      </rPr>
      <t xml:space="preserve">來源（公司原文經媒體轉述：法說簡報原檔未逐份抓取；券商與研調皆為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</si>
  <si>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公司（經優分析）：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2026-03-11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損益、資本支出、產能、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組合）</t>
    </r>
  </si>
  <si>
    <t xml:space="preserve">https://uanalyze.com.tw/articles/1131748834</t>
  </si>
  <si>
    <r>
      <rPr>
        <sz val="11"/>
        <color theme="1"/>
        <rFont val="Noto Sans CJK SC"/>
        <family val="2"/>
      </rPr>
      <t xml:space="preserve">公司（經時報）：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損益、產品與應用比重）</t>
    </r>
  </si>
  <si>
    <t xml:space="preserve">https://wantrich.chinatimes.com/news/20260514900569-420101</t>
  </si>
  <si>
    <r>
      <rPr>
        <sz val="11"/>
        <color theme="1"/>
        <rFont val="Noto Sans CJK SC"/>
        <family val="2"/>
      </rPr>
      <t xml:space="preserve">公司（經優分析）：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損益、伺服器應用比重、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展望、液冷產能）</t>
    </r>
  </si>
  <si>
    <t xml:space="preserve">https://uanalyze.com.tw/articles/5815653290</t>
  </si>
  <si>
    <r>
      <rPr>
        <sz val="11"/>
        <color theme="1"/>
        <rFont val="Noto Sans CJK SC"/>
        <family val="2"/>
      </rPr>
      <t xml:space="preserve">公司（經時報）：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法說與外資 </t>
    </r>
    <r>
      <rPr>
        <sz val="11"/>
        <color theme="1"/>
        <rFont val="Calibri"/>
        <family val="2"/>
        <charset val="1"/>
      </rPr>
      <t xml:space="preserve">EPS 2026-08-13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月營收、美銀、大和、花旗、中信、群益）</t>
    </r>
  </si>
  <si>
    <t xml:space="preserve">https://wantrich.chinatimes.com/news/20260813900226-420101</t>
  </si>
  <si>
    <r>
      <rPr>
        <sz val="11"/>
        <color theme="1"/>
        <rFont val="Noto Sans CJK SC"/>
        <family val="2"/>
      </rPr>
      <t xml:space="preserve">公司（經 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2026-10-07</t>
    </r>
  </si>
  <si>
    <t xml:space="preserve">https://finance.technews.tw/2026/10/07/avc-3017-202609-financial-report/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</si>
  <si>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各季利潤比率（稅前淨利率）、股價、股數</t>
    </r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</si>
  <si>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實績、估計、產品比重）</t>
    </r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</si>
  <si>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產品比重、伺服器比重展望）</t>
    </r>
  </si>
  <si>
    <t xml:space="preserve">https://www.kgi.com.hk/zh-cn/-/media/files/kgishk/research-reports/tw-reports/asia-vital-components_20260805_en.pdf</t>
  </si>
  <si>
    <r>
      <rPr>
        <sz val="11"/>
        <color theme="1"/>
        <rFont val="Noto Sans CJK SC"/>
        <family val="2"/>
      </rPr>
      <t xml:space="preserve">券商：高盛（經 </t>
    </r>
    <r>
      <rPr>
        <sz val="11"/>
        <color theme="1"/>
        <rFont val="Calibri"/>
        <family val="2"/>
        <charset val="1"/>
      </rPr>
      <t xml:space="preserve">TechNews 2026-10-19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月營收）</t>
    </r>
  </si>
  <si>
    <r>
      <rPr>
        <sz val="11"/>
        <color theme="1"/>
        <rFont val="Noto Sans CJK SC"/>
        <family val="2"/>
      </rPr>
      <t xml:space="preserve">券商：澳系（經 </t>
    </r>
    <r>
      <rPr>
        <sz val="11"/>
        <color theme="1"/>
        <rFont val="Calibri"/>
        <family val="2"/>
        <charset val="1"/>
      </rPr>
      <t xml:space="preserve">TechNews 2026-04-29</t>
    </r>
    <r>
      <rPr>
        <sz val="11"/>
        <color theme="1"/>
        <rFont val="Noto Sans CJK SC"/>
        <family val="2"/>
      </rPr>
      <t xml:space="preserve">；液冷占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30–35%</t>
    </r>
    <r>
      <rPr>
        <sz val="11"/>
        <color theme="1"/>
        <rFont val="Noto Sans CJK SC"/>
        <family val="2"/>
      </rPr>
      <t xml:space="preserve">）</t>
    </r>
  </si>
  <si>
    <t xml:space="preserve">https://finance.technews.tw/2026/04/29/avc-ai-server/</t>
  </si>
  <si>
    <r>
      <rPr>
        <sz val="11"/>
        <color theme="1"/>
        <rFont val="Noto Sans CJK SC"/>
        <family val="2"/>
      </rPr>
      <t xml:space="preserve">券商：花旗（經濟日報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34.9%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</si>
  <si>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https://money.udn.com/money/amp/story/5607/9764013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</si>
  <si>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晶片液冷滲透率（經 </t>
    </r>
    <r>
      <rPr>
        <sz val="11"/>
        <color theme="1"/>
        <rFont val="Calibri"/>
        <family val="2"/>
        <charset val="1"/>
      </rPr>
      <t xml:space="preserve">ETtoday 2026-08-17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</si>
  <si>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Morgan Stanley NVL72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NVL144 </t>
    </r>
    <r>
      <rPr>
        <sz val="11"/>
        <color theme="1"/>
        <rFont val="Noto Sans CJK SC"/>
        <family val="2"/>
      </rPr>
      <t xml:space="preserve">冷卻 </t>
    </r>
    <r>
      <rPr>
        <sz val="11"/>
        <color theme="1"/>
        <rFont val="Calibri"/>
        <family val="2"/>
        <charset val="1"/>
      </rPr>
      <t xml:space="preserve">BOM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；橋接表引用）</t>
    </r>
  </si>
  <si>
    <t xml:space="preserve">https://finance.yahoo.com/news/cooling-system-single-nvidia-blackwell-154500100.html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</si>
  <si>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歷年年底收盤與 </t>
    </r>
    <r>
      <rPr>
        <sz val="11"/>
        <color theme="1"/>
        <rFont val="Calibri"/>
        <family val="2"/>
        <charset val="1"/>
      </rPr>
      <t xml:space="preserve">EPS</t>
    </r>
  </si>
  <si>
    <t xml:space="preserve">https://goodinfo.tw/tw/StockBzPerformance.asp?STOCK_ID=3017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</si>
  <si>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</si>
  <si>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https://stockanalysis.com/quote/tpe/3017/financials/ratios/</t>
  </si>
  <si>
    <r>
      <rPr>
        <sz val="11"/>
        <color theme="1"/>
        <rFont val="Noto Sans CJK SC"/>
        <family val="2"/>
      </rPr>
      <t xml:space="preserve">資料商：鉅亨（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收盤）、財報狗（近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</si>
  <si>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https://www.cnyes.com/twstock/3017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</si>
  <si>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成品；台達電模型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</si>
  <si>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月中）；法說簡報原檔；液冷與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的季度金額；奇鋐液冷份額；分歧管單價；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第二來源；前瞻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）；券商共識（付費）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</si>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</sst>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General"/>
    <numFmt numFmtId="166" formatCode="#,##0.000"/>
    <numFmt numFmtId="167" formatCode="0.0%"/>
    <numFmt numFmtId="168" formatCode="0.00"/>
    <numFmt numFmtId="169" formatCode="0.0"/>
    <numFmt numFmtId="170" formatCode="#,##0"/>
    <numFmt numFmtId="171" formatCode="#,##0.0"/>
    <numFmt numFmtId="172" formatCode="#,##0.00"/>
    <numFmt numFmtId="173" formatCode="0.0000"/>
    <numFmt numFmtId="174" formatCode="0.000"/>
    <numFmt numFmtId="175" formatCode="0%"/>
    <numFmt numFmtId="176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7.15" hidden="false" customHeight="false" outlineLevel="0" collapsed="false">
      <c r="A17" s="4" t="s">
        <v>13</v>
      </c>
    </row>
    <row r="18" customFormat="false" ht="17.15" hidden="false" customHeight="false" outlineLevel="0" collapsed="false">
      <c r="A18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15</v>
      </c>
    </row>
    <row r="2" customFormat="false" ht="17.15" hidden="false" customHeight="false" outlineLevel="0" collapsed="false">
      <c r="A2" s="4" t="s">
        <v>16</v>
      </c>
    </row>
    <row r="3" customFormat="false" ht="17.15" hidden="false" customHeight="false" outlineLevel="0" collapsed="false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</row>
    <row r="4" customFormat="false" ht="17.15" hidden="false" customHeight="false" outlineLevel="0" collapsed="false">
      <c r="A4" s="6" t="s">
        <v>26</v>
      </c>
    </row>
    <row r="5" customFormat="false" ht="17.15" hidden="false" customHeight="false" outlineLevel="0" collapsed="false">
      <c r="A5" s="0" t="s">
        <v>27</v>
      </c>
      <c r="B5" s="0" t="s">
        <v>28</v>
      </c>
      <c r="C5" s="0" t="s">
        <v>29</v>
      </c>
      <c r="E5" s="7" t="n">
        <v>781.872916666667</v>
      </c>
      <c r="G5" s="8" t="s">
        <v>30</v>
      </c>
      <c r="H5" s="8" t="s">
        <v>31</v>
      </c>
      <c r="I5" s="4" t="s">
        <v>32</v>
      </c>
    </row>
    <row r="6" customFormat="false" ht="17.15" hidden="false" customHeight="false" outlineLevel="0" collapsed="false">
      <c r="A6" s="0" t="s">
        <v>33</v>
      </c>
      <c r="B6" s="0" t="s">
        <v>34</v>
      </c>
      <c r="C6" s="0" t="s">
        <v>29</v>
      </c>
      <c r="E6" s="7" t="n">
        <v>1565.35</v>
      </c>
      <c r="G6" s="8" t="s">
        <v>30</v>
      </c>
      <c r="H6" s="8" t="s">
        <v>31</v>
      </c>
      <c r="I6" s="4" t="s">
        <v>35</v>
      </c>
    </row>
    <row r="7" customFormat="false" ht="17.15" hidden="false" customHeight="false" outlineLevel="0" collapsed="false">
      <c r="A7" s="0" t="s">
        <v>36</v>
      </c>
      <c r="B7" s="0" t="s">
        <v>37</v>
      </c>
      <c r="C7" s="0" t="s">
        <v>29</v>
      </c>
      <c r="E7" s="7" t="n">
        <v>1984.26388888889</v>
      </c>
      <c r="G7" s="8" t="s">
        <v>30</v>
      </c>
      <c r="H7" s="8" t="s">
        <v>31</v>
      </c>
      <c r="I7" s="4" t="s">
        <v>35</v>
      </c>
    </row>
    <row r="8" customFormat="false" ht="17.15" hidden="false" customHeight="false" outlineLevel="0" collapsed="false">
      <c r="A8" s="0" t="s">
        <v>38</v>
      </c>
      <c r="B8" s="0" t="s">
        <v>39</v>
      </c>
      <c r="C8" s="0" t="s">
        <v>29</v>
      </c>
      <c r="E8" s="7" t="n">
        <v>2260.39027777778</v>
      </c>
      <c r="G8" s="8" t="s">
        <v>30</v>
      </c>
      <c r="H8" s="8" t="s">
        <v>31</v>
      </c>
      <c r="I8" s="4" t="s">
        <v>35</v>
      </c>
    </row>
    <row r="9" customFormat="false" ht="17.15" hidden="false" customHeight="false" outlineLevel="0" collapsed="false">
      <c r="A9" s="0" t="s">
        <v>40</v>
      </c>
      <c r="B9" s="4" t="s">
        <v>41</v>
      </c>
      <c r="C9" s="0" t="s">
        <v>29</v>
      </c>
      <c r="E9" s="7" t="n">
        <v>32.237224</v>
      </c>
      <c r="G9" s="8" t="s">
        <v>30</v>
      </c>
      <c r="H9" s="8" t="s">
        <v>42</v>
      </c>
      <c r="I9" s="8" t="s">
        <v>43</v>
      </c>
    </row>
    <row r="10" customFormat="false" ht="17.15" hidden="false" customHeight="false" outlineLevel="0" collapsed="false">
      <c r="A10" s="0" t="s">
        <v>44</v>
      </c>
      <c r="B10" s="4" t="s">
        <v>45</v>
      </c>
      <c r="C10" s="0" t="s">
        <v>29</v>
      </c>
      <c r="E10" s="7" t="n">
        <v>37.586352</v>
      </c>
      <c r="G10" s="8" t="s">
        <v>30</v>
      </c>
      <c r="H10" s="8" t="s">
        <v>42</v>
      </c>
      <c r="I10" s="4" t="s">
        <v>46</v>
      </c>
    </row>
    <row r="11" customFormat="false" ht="17.15" hidden="false" customHeight="false" outlineLevel="0" collapsed="false">
      <c r="A11" s="0" t="s">
        <v>47</v>
      </c>
      <c r="B11" s="0" t="s">
        <v>48</v>
      </c>
      <c r="C11" s="0" t="s">
        <v>49</v>
      </c>
      <c r="D11" s="7" t="n">
        <v>0.15</v>
      </c>
      <c r="E11" s="7" t="n">
        <v>0.22</v>
      </c>
      <c r="F11" s="7" t="n">
        <v>0.3</v>
      </c>
      <c r="G11" s="8" t="s">
        <v>50</v>
      </c>
      <c r="H11" s="8" t="s">
        <v>51</v>
      </c>
      <c r="I11" s="4" t="s">
        <v>52</v>
      </c>
    </row>
    <row r="12" customFormat="false" ht="17.15" hidden="false" customHeight="false" outlineLevel="0" collapsed="false">
      <c r="A12" s="0" t="s">
        <v>53</v>
      </c>
      <c r="B12" s="4" t="s">
        <v>54</v>
      </c>
      <c r="C12" s="4" t="s">
        <v>55</v>
      </c>
      <c r="E12" s="7" t="n">
        <v>6764</v>
      </c>
      <c r="G12" s="8" t="s">
        <v>30</v>
      </c>
      <c r="H12" s="8" t="s">
        <v>56</v>
      </c>
      <c r="I12" s="8" t="s">
        <v>57</v>
      </c>
    </row>
    <row r="13" customFormat="false" ht="17.15" hidden="false" customHeight="false" outlineLevel="0" collapsed="false">
      <c r="A13" s="0" t="s">
        <v>58</v>
      </c>
      <c r="B13" s="4" t="s">
        <v>59</v>
      </c>
      <c r="C13" s="4" t="s">
        <v>55</v>
      </c>
      <c r="E13" s="7" t="n">
        <v>4052</v>
      </c>
      <c r="G13" s="8" t="s">
        <v>30</v>
      </c>
      <c r="H13" s="8" t="s">
        <v>56</v>
      </c>
      <c r="I13" s="4" t="s">
        <v>35</v>
      </c>
    </row>
    <row r="14" customFormat="false" ht="17.15" hidden="false" customHeight="false" outlineLevel="0" collapsed="false">
      <c r="A14" s="0" t="s">
        <v>60</v>
      </c>
      <c r="B14" s="0" t="s">
        <v>61</v>
      </c>
      <c r="C14" s="0" t="s">
        <v>62</v>
      </c>
      <c r="E14" s="7" t="n">
        <v>50</v>
      </c>
      <c r="G14" s="8" t="s">
        <v>50</v>
      </c>
      <c r="H14" s="8" t="s">
        <v>63</v>
      </c>
      <c r="I14" s="8" t="s">
        <v>64</v>
      </c>
    </row>
    <row r="15" customFormat="false" ht="17.15" hidden="false" customHeight="false" outlineLevel="0" collapsed="false">
      <c r="A15" s="0" t="s">
        <v>65</v>
      </c>
      <c r="B15" s="0" t="s">
        <v>66</v>
      </c>
      <c r="C15" s="0" t="s">
        <v>62</v>
      </c>
      <c r="E15" s="7" t="n">
        <v>56</v>
      </c>
      <c r="G15" s="8" t="s">
        <v>50</v>
      </c>
      <c r="H15" s="8" t="s">
        <v>63</v>
      </c>
      <c r="I15" s="4" t="s">
        <v>67</v>
      </c>
    </row>
    <row r="16" customFormat="false" ht="17.15" hidden="false" customHeight="false" outlineLevel="0" collapsed="false">
      <c r="A16" s="0" t="s">
        <v>68</v>
      </c>
      <c r="B16" s="4" t="s">
        <v>69</v>
      </c>
      <c r="C16" s="0" t="s">
        <v>70</v>
      </c>
      <c r="E16" s="7" t="n">
        <v>1</v>
      </c>
      <c r="G16" s="8" t="s">
        <v>71</v>
      </c>
      <c r="H16" s="8" t="s">
        <v>72</v>
      </c>
      <c r="I16" s="8" t="s">
        <v>73</v>
      </c>
    </row>
    <row r="17" customFormat="false" ht="17.15" hidden="false" customHeight="false" outlineLevel="0" collapsed="false">
      <c r="A17" s="0" t="s">
        <v>74</v>
      </c>
      <c r="B17" s="4" t="s">
        <v>75</v>
      </c>
      <c r="C17" s="0" t="s">
        <v>70</v>
      </c>
      <c r="E17" s="7" t="n">
        <v>1</v>
      </c>
      <c r="G17" s="8" t="s">
        <v>71</v>
      </c>
      <c r="H17" s="8" t="s">
        <v>76</v>
      </c>
      <c r="I17" s="4" t="s">
        <v>35</v>
      </c>
    </row>
    <row r="18" customFormat="false" ht="17.15" hidden="false" customHeight="false" outlineLevel="0" collapsed="false">
      <c r="A18" s="0" t="s">
        <v>77</v>
      </c>
      <c r="B18" s="4" t="s">
        <v>78</v>
      </c>
      <c r="C18" s="0" t="s">
        <v>70</v>
      </c>
      <c r="E18" s="7" t="n">
        <v>0.8</v>
      </c>
      <c r="G18" s="8" t="s">
        <v>71</v>
      </c>
      <c r="H18" s="8" t="s">
        <v>79</v>
      </c>
      <c r="I18" s="8" t="s">
        <v>73</v>
      </c>
    </row>
    <row r="19" customFormat="false" ht="17.15" hidden="false" customHeight="false" outlineLevel="0" collapsed="false">
      <c r="A19" s="0" t="s">
        <v>80</v>
      </c>
      <c r="B19" s="4" t="s">
        <v>81</v>
      </c>
      <c r="C19" s="0" t="s">
        <v>70</v>
      </c>
      <c r="E19" s="7" t="n">
        <v>0.85</v>
      </c>
      <c r="G19" s="8" t="s">
        <v>71</v>
      </c>
      <c r="H19" s="8" t="s">
        <v>82</v>
      </c>
      <c r="I19" s="4" t="s">
        <v>35</v>
      </c>
    </row>
    <row r="20" customFormat="false" ht="17.15" hidden="false" customHeight="false" outlineLevel="0" collapsed="false">
      <c r="A20" s="0" t="s">
        <v>83</v>
      </c>
      <c r="B20" s="4" t="s">
        <v>84</v>
      </c>
      <c r="C20" s="0" t="s">
        <v>70</v>
      </c>
      <c r="E20" s="7" t="n">
        <v>0.6</v>
      </c>
      <c r="G20" s="8" t="s">
        <v>71</v>
      </c>
      <c r="H20" s="8" t="s">
        <v>85</v>
      </c>
      <c r="I20" s="8" t="s">
        <v>73</v>
      </c>
    </row>
    <row r="21" customFormat="false" ht="17.15" hidden="false" customHeight="false" outlineLevel="0" collapsed="false">
      <c r="A21" s="0" t="s">
        <v>86</v>
      </c>
      <c r="B21" s="4" t="s">
        <v>87</v>
      </c>
      <c r="C21" s="0" t="s">
        <v>70</v>
      </c>
      <c r="E21" s="7" t="n">
        <v>0.6</v>
      </c>
      <c r="G21" s="8" t="s">
        <v>71</v>
      </c>
      <c r="H21" s="8" t="s">
        <v>88</v>
      </c>
      <c r="I21" s="4" t="s">
        <v>35</v>
      </c>
    </row>
    <row r="22" customFormat="false" ht="17.15" hidden="false" customHeight="false" outlineLevel="0" collapsed="false">
      <c r="A22" s="0" t="s">
        <v>89</v>
      </c>
      <c r="B22" s="4" t="s">
        <v>90</v>
      </c>
      <c r="C22" s="0" t="s">
        <v>91</v>
      </c>
      <c r="D22" s="7" t="n">
        <v>30.5</v>
      </c>
      <c r="E22" s="7" t="n">
        <v>32</v>
      </c>
      <c r="F22" s="7" t="n">
        <v>33</v>
      </c>
      <c r="G22" s="8" t="s">
        <v>30</v>
      </c>
      <c r="H22" s="4" t="s">
        <v>92</v>
      </c>
      <c r="I22" s="4" t="s">
        <v>93</v>
      </c>
    </row>
    <row r="23" customFormat="false" ht="17.15" hidden="false" customHeight="false" outlineLevel="0" collapsed="false">
      <c r="A23" s="0" t="s">
        <v>94</v>
      </c>
      <c r="B23" s="4" t="s">
        <v>95</v>
      </c>
      <c r="C23" s="0" t="s">
        <v>29</v>
      </c>
      <c r="E23" s="7" t="n">
        <v>2.954780859375</v>
      </c>
      <c r="G23" s="8" t="s">
        <v>30</v>
      </c>
      <c r="H23" s="8" t="s">
        <v>96</v>
      </c>
      <c r="I23" s="4" t="s">
        <v>97</v>
      </c>
    </row>
    <row r="24" customFormat="false" ht="17.15" hidden="false" customHeight="false" outlineLevel="0" collapsed="false">
      <c r="A24" s="0" t="s">
        <v>98</v>
      </c>
      <c r="B24" s="4" t="s">
        <v>99</v>
      </c>
      <c r="C24" s="0" t="s">
        <v>29</v>
      </c>
      <c r="E24" s="7" t="n">
        <v>5.78484809940115</v>
      </c>
      <c r="G24" s="8" t="s">
        <v>30</v>
      </c>
      <c r="H24" s="8" t="s">
        <v>96</v>
      </c>
      <c r="I24" s="4" t="s">
        <v>35</v>
      </c>
    </row>
    <row r="25" customFormat="false" ht="17.15" hidden="false" customHeight="false" outlineLevel="0" collapsed="false">
      <c r="A25" s="0" t="s">
        <v>100</v>
      </c>
      <c r="B25" s="4" t="s">
        <v>101</v>
      </c>
      <c r="C25" s="0" t="s">
        <v>29</v>
      </c>
      <c r="E25" s="7" t="n">
        <v>7.66628721680113</v>
      </c>
      <c r="G25" s="8" t="s">
        <v>30</v>
      </c>
      <c r="H25" s="8" t="s">
        <v>96</v>
      </c>
      <c r="I25" s="4" t="s">
        <v>35</v>
      </c>
    </row>
    <row r="26" customFormat="false" ht="17.15" hidden="false" customHeight="false" outlineLevel="0" collapsed="false">
      <c r="A26" s="0" t="s">
        <v>102</v>
      </c>
      <c r="B26" s="4" t="s">
        <v>103</v>
      </c>
      <c r="C26" s="0" t="s">
        <v>29</v>
      </c>
      <c r="E26" s="7" t="n">
        <v>9.11281373771718</v>
      </c>
      <c r="G26" s="8" t="s">
        <v>30</v>
      </c>
      <c r="H26" s="8" t="s">
        <v>96</v>
      </c>
      <c r="I26" s="4" t="s">
        <v>35</v>
      </c>
    </row>
    <row r="27" customFormat="false" ht="17.15" hidden="false" customHeight="false" outlineLevel="0" collapsed="false">
      <c r="A27" s="6" t="s">
        <v>104</v>
      </c>
    </row>
    <row r="28" customFormat="false" ht="17.15" hidden="false" customHeight="false" outlineLevel="0" collapsed="false">
      <c r="A28" s="0" t="s">
        <v>105</v>
      </c>
      <c r="B28" s="4" t="s">
        <v>106</v>
      </c>
      <c r="C28" s="0" t="s">
        <v>62</v>
      </c>
      <c r="D28" s="7" t="n">
        <v>3</v>
      </c>
      <c r="E28" s="7" t="n">
        <v>6</v>
      </c>
      <c r="F28" s="7" t="n">
        <v>10</v>
      </c>
      <c r="G28" s="8" t="s">
        <v>71</v>
      </c>
      <c r="H28" s="4" t="s">
        <v>107</v>
      </c>
      <c r="I28" s="4" t="s">
        <v>108</v>
      </c>
    </row>
    <row r="29" customFormat="false" ht="17.15" hidden="false" customHeight="false" outlineLevel="0" collapsed="false">
      <c r="A29" s="0" t="s">
        <v>109</v>
      </c>
      <c r="B29" s="4" t="s">
        <v>110</v>
      </c>
      <c r="C29" s="0" t="s">
        <v>70</v>
      </c>
      <c r="D29" s="7" t="n">
        <v>1</v>
      </c>
      <c r="E29" s="7" t="n">
        <v>1.3</v>
      </c>
      <c r="F29" s="7" t="n">
        <v>1.6</v>
      </c>
      <c r="G29" s="8" t="s">
        <v>71</v>
      </c>
      <c r="H29" s="8" t="s">
        <v>111</v>
      </c>
      <c r="I29" s="8" t="s">
        <v>112</v>
      </c>
    </row>
    <row r="30" customFormat="false" ht="17.15" hidden="false" customHeight="false" outlineLevel="0" collapsed="false">
      <c r="A30" s="0" t="s">
        <v>113</v>
      </c>
      <c r="B30" s="4" t="s">
        <v>114</v>
      </c>
      <c r="C30" s="0" t="s">
        <v>70</v>
      </c>
      <c r="D30" s="7" t="n">
        <v>1</v>
      </c>
      <c r="E30" s="7" t="n">
        <v>1.4</v>
      </c>
      <c r="F30" s="7" t="n">
        <v>1.8</v>
      </c>
      <c r="G30" s="8" t="s">
        <v>71</v>
      </c>
      <c r="H30" s="4" t="s">
        <v>35</v>
      </c>
      <c r="I30" s="8" t="s">
        <v>115</v>
      </c>
    </row>
    <row r="31" customFormat="false" ht="17.15" hidden="false" customHeight="false" outlineLevel="0" collapsed="false">
      <c r="A31" s="0" t="s">
        <v>116</v>
      </c>
      <c r="B31" s="4" t="s">
        <v>117</v>
      </c>
      <c r="C31" s="0" t="s">
        <v>70</v>
      </c>
      <c r="D31" s="7" t="n">
        <v>1</v>
      </c>
      <c r="E31" s="7" t="n">
        <v>1.4</v>
      </c>
      <c r="F31" s="7" t="n">
        <v>1.8</v>
      </c>
      <c r="G31" s="8" t="s">
        <v>71</v>
      </c>
      <c r="H31" s="4" t="s">
        <v>35</v>
      </c>
      <c r="I31" s="8" t="s">
        <v>115</v>
      </c>
    </row>
    <row r="32" customFormat="false" ht="17.15" hidden="false" customHeight="false" outlineLevel="0" collapsed="false">
      <c r="A32" s="0" t="s">
        <v>118</v>
      </c>
      <c r="B32" s="4" t="s">
        <v>119</v>
      </c>
      <c r="C32" s="0" t="s">
        <v>49</v>
      </c>
      <c r="D32" s="7" t="n">
        <v>0.45</v>
      </c>
      <c r="E32" s="7" t="n">
        <v>0.55</v>
      </c>
      <c r="F32" s="7" t="n">
        <v>0.65</v>
      </c>
      <c r="G32" s="8" t="s">
        <v>71</v>
      </c>
      <c r="H32" s="8" t="s">
        <v>120</v>
      </c>
      <c r="I32" s="4" t="s">
        <v>121</v>
      </c>
    </row>
    <row r="33" customFormat="false" ht="17.15" hidden="false" customHeight="false" outlineLevel="0" collapsed="false">
      <c r="A33" s="0" t="s">
        <v>122</v>
      </c>
      <c r="B33" s="4" t="s">
        <v>123</v>
      </c>
      <c r="C33" s="0" t="s">
        <v>49</v>
      </c>
      <c r="D33" s="7" t="n">
        <v>0.6</v>
      </c>
      <c r="E33" s="7" t="n">
        <v>0.75</v>
      </c>
      <c r="F33" s="7" t="n">
        <v>0.85</v>
      </c>
      <c r="G33" s="8" t="s">
        <v>71</v>
      </c>
      <c r="H33" s="4" t="s">
        <v>35</v>
      </c>
      <c r="I33" s="8" t="s">
        <v>115</v>
      </c>
    </row>
    <row r="34" customFormat="false" ht="17.15" hidden="false" customHeight="false" outlineLevel="0" collapsed="false">
      <c r="A34" s="0" t="s">
        <v>124</v>
      </c>
      <c r="B34" s="4" t="s">
        <v>125</v>
      </c>
      <c r="C34" s="0" t="s">
        <v>49</v>
      </c>
      <c r="D34" s="7" t="n">
        <v>0.7</v>
      </c>
      <c r="E34" s="7" t="n">
        <v>0.85</v>
      </c>
      <c r="F34" s="7" t="n">
        <v>0.95</v>
      </c>
      <c r="G34" s="8" t="s">
        <v>71</v>
      </c>
      <c r="H34" s="4" t="s">
        <v>35</v>
      </c>
      <c r="I34" s="8" t="s">
        <v>115</v>
      </c>
    </row>
    <row r="35" customFormat="false" ht="17.15" hidden="false" customHeight="false" outlineLevel="0" collapsed="false">
      <c r="A35" s="0" t="s">
        <v>126</v>
      </c>
      <c r="B35" s="4" t="s">
        <v>127</v>
      </c>
      <c r="C35" s="0" t="s">
        <v>49</v>
      </c>
      <c r="D35" s="7" t="n">
        <v>0.75</v>
      </c>
      <c r="E35" s="7" t="n">
        <v>0.9</v>
      </c>
      <c r="F35" s="7" t="n">
        <v>0.95</v>
      </c>
      <c r="G35" s="8" t="s">
        <v>71</v>
      </c>
      <c r="H35" s="4" t="s">
        <v>35</v>
      </c>
      <c r="I35" s="8" t="s">
        <v>115</v>
      </c>
    </row>
    <row r="36" customFormat="false" ht="17.15" hidden="false" customHeight="false" outlineLevel="0" collapsed="false">
      <c r="A36" s="0" t="s">
        <v>128</v>
      </c>
      <c r="B36" s="4" t="s">
        <v>129</v>
      </c>
      <c r="C36" s="0" t="s">
        <v>70</v>
      </c>
      <c r="D36" s="7" t="n">
        <v>0.85</v>
      </c>
      <c r="E36" s="7" t="n">
        <v>0.95</v>
      </c>
      <c r="F36" s="7" t="n">
        <v>1.05</v>
      </c>
      <c r="G36" s="8" t="s">
        <v>71</v>
      </c>
      <c r="H36" s="4" t="s">
        <v>130</v>
      </c>
      <c r="I36" s="4" t="s">
        <v>131</v>
      </c>
    </row>
    <row r="37" customFormat="false" ht="17.15" hidden="false" customHeight="false" outlineLevel="0" collapsed="false">
      <c r="A37" s="0" t="s">
        <v>132</v>
      </c>
      <c r="B37" s="4" t="s">
        <v>133</v>
      </c>
      <c r="C37" s="0" t="s">
        <v>70</v>
      </c>
      <c r="D37" s="7" t="n">
        <v>0.75</v>
      </c>
      <c r="E37" s="7" t="n">
        <v>0.9</v>
      </c>
      <c r="F37" s="7" t="n">
        <v>1.05</v>
      </c>
      <c r="G37" s="8" t="s">
        <v>71</v>
      </c>
      <c r="H37" s="4" t="s">
        <v>35</v>
      </c>
      <c r="I37" s="8" t="s">
        <v>115</v>
      </c>
    </row>
    <row r="38" customFormat="false" ht="17.15" hidden="false" customHeight="false" outlineLevel="0" collapsed="false">
      <c r="A38" s="0" t="s">
        <v>134</v>
      </c>
      <c r="B38" s="4" t="s">
        <v>135</v>
      </c>
      <c r="C38" s="0" t="s">
        <v>70</v>
      </c>
      <c r="D38" s="7" t="n">
        <v>0.7</v>
      </c>
      <c r="E38" s="7" t="n">
        <v>0.85</v>
      </c>
      <c r="F38" s="7" t="n">
        <v>1.05</v>
      </c>
      <c r="G38" s="8" t="s">
        <v>71</v>
      </c>
      <c r="H38" s="4" t="s">
        <v>35</v>
      </c>
      <c r="I38" s="8" t="s">
        <v>115</v>
      </c>
    </row>
    <row r="39" customFormat="false" ht="17.15" hidden="false" customHeight="false" outlineLevel="0" collapsed="false">
      <c r="A39" s="0" t="s">
        <v>136</v>
      </c>
      <c r="B39" s="0" t="s">
        <v>137</v>
      </c>
      <c r="C39" s="0" t="s">
        <v>70</v>
      </c>
      <c r="D39" s="7" t="n">
        <v>0.6</v>
      </c>
      <c r="E39" s="7" t="n">
        <v>0.75</v>
      </c>
      <c r="F39" s="7" t="n">
        <v>0.9</v>
      </c>
      <c r="G39" s="8" t="s">
        <v>71</v>
      </c>
      <c r="H39" s="4" t="s">
        <v>138</v>
      </c>
      <c r="I39" s="8" t="s">
        <v>139</v>
      </c>
    </row>
    <row r="40" customFormat="false" ht="17.15" hidden="false" customHeight="false" outlineLevel="0" collapsed="false">
      <c r="A40" s="0" t="s">
        <v>140</v>
      </c>
      <c r="B40" s="0" t="s">
        <v>141</v>
      </c>
      <c r="C40" s="0" t="s">
        <v>70</v>
      </c>
      <c r="D40" s="7" t="n">
        <v>0.45</v>
      </c>
      <c r="E40" s="7" t="n">
        <v>0.65</v>
      </c>
      <c r="F40" s="7" t="n">
        <v>0.85</v>
      </c>
      <c r="G40" s="8" t="s">
        <v>71</v>
      </c>
      <c r="H40" s="4" t="s">
        <v>35</v>
      </c>
      <c r="I40" s="8" t="s">
        <v>115</v>
      </c>
    </row>
    <row r="41" customFormat="false" ht="17.15" hidden="false" customHeight="false" outlineLevel="0" collapsed="false">
      <c r="A41" s="0" t="s">
        <v>142</v>
      </c>
      <c r="B41" s="0" t="s">
        <v>143</v>
      </c>
      <c r="C41" s="0" t="s">
        <v>70</v>
      </c>
      <c r="D41" s="7" t="n">
        <v>0.4</v>
      </c>
      <c r="E41" s="7" t="n">
        <v>0.6</v>
      </c>
      <c r="F41" s="7" t="n">
        <v>0.8</v>
      </c>
      <c r="G41" s="8" t="s">
        <v>71</v>
      </c>
      <c r="H41" s="4" t="s">
        <v>35</v>
      </c>
      <c r="I41" s="8" t="s">
        <v>115</v>
      </c>
    </row>
    <row r="42" customFormat="false" ht="17.15" hidden="false" customHeight="false" outlineLevel="0" collapsed="false">
      <c r="A42" s="6" t="s">
        <v>144</v>
      </c>
    </row>
    <row r="43" customFormat="false" ht="17.15" hidden="false" customHeight="false" outlineLevel="0" collapsed="false">
      <c r="A43" s="0" t="s">
        <v>145</v>
      </c>
      <c r="B43" s="0" t="s">
        <v>146</v>
      </c>
      <c r="C43" s="0" t="s">
        <v>49</v>
      </c>
      <c r="E43" s="7" t="n">
        <v>0.52</v>
      </c>
      <c r="G43" s="8" t="s">
        <v>50</v>
      </c>
      <c r="H43" s="4" t="s">
        <v>147</v>
      </c>
      <c r="I43" s="4" t="s">
        <v>148</v>
      </c>
    </row>
    <row r="44" customFormat="false" ht="17.15" hidden="false" customHeight="false" outlineLevel="0" collapsed="false">
      <c r="A44" s="0" t="s">
        <v>149</v>
      </c>
      <c r="B44" s="0" t="s">
        <v>150</v>
      </c>
      <c r="C44" s="0" t="s">
        <v>49</v>
      </c>
      <c r="D44" s="7" t="n">
        <v>0.66</v>
      </c>
      <c r="E44" s="7" t="n">
        <v>0.67</v>
      </c>
      <c r="F44" s="7" t="n">
        <v>0.69</v>
      </c>
      <c r="G44" s="8" t="s">
        <v>50</v>
      </c>
      <c r="H44" s="8" t="s">
        <v>151</v>
      </c>
      <c r="I44" s="8" t="s">
        <v>152</v>
      </c>
    </row>
    <row r="45" customFormat="false" ht="17.15" hidden="false" customHeight="false" outlineLevel="0" collapsed="false">
      <c r="A45" s="0" t="s">
        <v>153</v>
      </c>
      <c r="B45" s="0" t="s">
        <v>154</v>
      </c>
      <c r="C45" s="0" t="s">
        <v>49</v>
      </c>
      <c r="D45" s="7" t="n">
        <v>0.1</v>
      </c>
      <c r="E45" s="7" t="n">
        <v>0.15</v>
      </c>
      <c r="F45" s="7" t="n">
        <v>0.2</v>
      </c>
      <c r="G45" s="8" t="s">
        <v>71</v>
      </c>
      <c r="H45" s="4" t="s">
        <v>155</v>
      </c>
      <c r="I45" s="4" t="s">
        <v>156</v>
      </c>
    </row>
    <row r="46" customFormat="false" ht="17.15" hidden="false" customHeight="false" outlineLevel="0" collapsed="false">
      <c r="A46" s="0" t="s">
        <v>157</v>
      </c>
      <c r="B46" s="0" t="s">
        <v>158</v>
      </c>
      <c r="C46" s="0" t="s">
        <v>49</v>
      </c>
      <c r="D46" s="7" t="n">
        <v>0.28</v>
      </c>
      <c r="E46" s="7" t="n">
        <v>0.32</v>
      </c>
      <c r="F46" s="7" t="n">
        <v>0.35</v>
      </c>
      <c r="G46" s="8" t="s">
        <v>50</v>
      </c>
      <c r="H46" s="8" t="s">
        <v>159</v>
      </c>
      <c r="I46" s="4" t="s">
        <v>160</v>
      </c>
    </row>
    <row r="47" customFormat="false" ht="17.15" hidden="false" customHeight="false" outlineLevel="0" collapsed="false">
      <c r="A47" s="0" t="s">
        <v>161</v>
      </c>
      <c r="B47" s="4" t="s">
        <v>162</v>
      </c>
      <c r="C47" s="0" t="s">
        <v>49</v>
      </c>
      <c r="D47" s="7" t="n">
        <v>0.4</v>
      </c>
      <c r="E47" s="7" t="n">
        <v>0.6</v>
      </c>
      <c r="F47" s="7" t="n">
        <v>0.8</v>
      </c>
      <c r="G47" s="8" t="s">
        <v>71</v>
      </c>
      <c r="H47" s="4" t="s">
        <v>163</v>
      </c>
      <c r="I47" s="4" t="s">
        <v>164</v>
      </c>
    </row>
    <row r="48" customFormat="false" ht="17.15" hidden="false" customHeight="false" outlineLevel="0" collapsed="false">
      <c r="A48" s="0" t="s">
        <v>165</v>
      </c>
      <c r="B48" s="4" t="s">
        <v>166</v>
      </c>
      <c r="C48" s="0" t="s">
        <v>49</v>
      </c>
      <c r="D48" s="7" t="n">
        <v>0</v>
      </c>
      <c r="E48" s="7" t="n">
        <v>0.08</v>
      </c>
      <c r="F48" s="7" t="n">
        <v>0.15</v>
      </c>
      <c r="G48" s="8" t="s">
        <v>71</v>
      </c>
      <c r="H48" s="4" t="s">
        <v>167</v>
      </c>
      <c r="I48" s="8" t="s">
        <v>115</v>
      </c>
    </row>
    <row r="49" customFormat="false" ht="17.15" hidden="false" customHeight="false" outlineLevel="0" collapsed="false">
      <c r="A49" s="0" t="s">
        <v>168</v>
      </c>
      <c r="B49" s="4" t="s">
        <v>169</v>
      </c>
      <c r="C49" s="0" t="s">
        <v>49</v>
      </c>
      <c r="D49" s="7" t="n">
        <v>0</v>
      </c>
      <c r="E49" s="7" t="n">
        <v>0.06</v>
      </c>
      <c r="F49" s="7" t="n">
        <v>0.12</v>
      </c>
      <c r="G49" s="8" t="s">
        <v>71</v>
      </c>
      <c r="H49" s="4" t="s">
        <v>35</v>
      </c>
      <c r="I49" s="8" t="s">
        <v>115</v>
      </c>
    </row>
    <row r="50" customFormat="false" ht="17.15" hidden="false" customHeight="false" outlineLevel="0" collapsed="false">
      <c r="A50" s="0" t="s">
        <v>170</v>
      </c>
      <c r="B50" s="4" t="s">
        <v>171</v>
      </c>
      <c r="C50" s="0" t="s">
        <v>49</v>
      </c>
      <c r="D50" s="7" t="n">
        <v>0</v>
      </c>
      <c r="E50" s="7" t="n">
        <v>0.05</v>
      </c>
      <c r="F50" s="7" t="n">
        <v>0.1</v>
      </c>
      <c r="G50" s="8" t="s">
        <v>71</v>
      </c>
      <c r="H50" s="4" t="s">
        <v>35</v>
      </c>
      <c r="I50" s="8" t="s">
        <v>115</v>
      </c>
    </row>
    <row r="51" customFormat="false" ht="17.15" hidden="false" customHeight="false" outlineLevel="0" collapsed="false">
      <c r="A51" s="0" t="s">
        <v>172</v>
      </c>
      <c r="B51" s="4" t="s">
        <v>173</v>
      </c>
      <c r="C51" s="0" t="s">
        <v>49</v>
      </c>
      <c r="D51" s="7" t="n">
        <v>0</v>
      </c>
      <c r="E51" s="7" t="n">
        <v>0.06</v>
      </c>
      <c r="F51" s="7" t="n">
        <v>0.12</v>
      </c>
      <c r="G51" s="8" t="s">
        <v>71</v>
      </c>
      <c r="H51" s="8" t="s">
        <v>174</v>
      </c>
      <c r="I51" s="8" t="s">
        <v>175</v>
      </c>
    </row>
    <row r="52" customFormat="false" ht="17.15" hidden="false" customHeight="false" outlineLevel="0" collapsed="false">
      <c r="A52" s="0" t="s">
        <v>176</v>
      </c>
      <c r="B52" s="4" t="s">
        <v>177</v>
      </c>
      <c r="C52" s="0" t="s">
        <v>49</v>
      </c>
      <c r="D52" s="7" t="n">
        <v>0</v>
      </c>
      <c r="E52" s="7" t="n">
        <v>0.05</v>
      </c>
      <c r="F52" s="7" t="n">
        <v>0.1</v>
      </c>
      <c r="G52" s="8" t="s">
        <v>71</v>
      </c>
      <c r="H52" s="4" t="s">
        <v>35</v>
      </c>
      <c r="I52" s="8" t="s">
        <v>115</v>
      </c>
    </row>
    <row r="53" customFormat="false" ht="17.15" hidden="false" customHeight="false" outlineLevel="0" collapsed="false">
      <c r="A53" s="0" t="s">
        <v>178</v>
      </c>
      <c r="B53" s="4" t="s">
        <v>179</v>
      </c>
      <c r="C53" s="0" t="s">
        <v>49</v>
      </c>
      <c r="D53" s="7" t="n">
        <v>0</v>
      </c>
      <c r="E53" s="7" t="n">
        <v>0.04</v>
      </c>
      <c r="F53" s="7" t="n">
        <v>0.08</v>
      </c>
      <c r="G53" s="8" t="s">
        <v>71</v>
      </c>
      <c r="H53" s="4" t="s">
        <v>35</v>
      </c>
      <c r="I53" s="8" t="s">
        <v>115</v>
      </c>
    </row>
    <row r="54" customFormat="false" ht="17.15" hidden="false" customHeight="false" outlineLevel="0" collapsed="false">
      <c r="A54" s="6" t="s">
        <v>180</v>
      </c>
    </row>
    <row r="55" customFormat="false" ht="17.15" hidden="false" customHeight="false" outlineLevel="0" collapsed="false">
      <c r="A55" s="0" t="s">
        <v>181</v>
      </c>
      <c r="B55" s="4" t="s">
        <v>182</v>
      </c>
      <c r="C55" s="0" t="s">
        <v>183</v>
      </c>
      <c r="D55" s="7" t="n">
        <v>0.02</v>
      </c>
      <c r="E55" s="7" t="n">
        <v>0.06</v>
      </c>
      <c r="F55" s="7" t="n">
        <v>0.1</v>
      </c>
      <c r="G55" s="8" t="s">
        <v>71</v>
      </c>
      <c r="H55" s="4" t="s">
        <v>184</v>
      </c>
      <c r="I55" s="4" t="s">
        <v>185</v>
      </c>
    </row>
    <row r="56" customFormat="false" ht="17.15" hidden="false" customHeight="false" outlineLevel="0" collapsed="false">
      <c r="A56" s="6" t="s">
        <v>186</v>
      </c>
    </row>
    <row r="57" customFormat="false" ht="17.15" hidden="false" customHeight="false" outlineLevel="0" collapsed="false">
      <c r="A57" s="0" t="s">
        <v>187</v>
      </c>
      <c r="B57" s="0" t="s">
        <v>188</v>
      </c>
      <c r="C57" s="0" t="s">
        <v>189</v>
      </c>
      <c r="E57" s="0" t="n">
        <f aca="false">18.59+19.481+21.018</f>
        <v>59.089</v>
      </c>
      <c r="G57" s="0" t="s">
        <v>190</v>
      </c>
      <c r="H57" s="0" t="s">
        <v>191</v>
      </c>
      <c r="I57" s="0" t="s">
        <v>192</v>
      </c>
    </row>
    <row r="58" customFormat="false" ht="17.15" hidden="false" customHeight="false" outlineLevel="0" collapsed="false">
      <c r="A58" s="0" t="s">
        <v>193</v>
      </c>
      <c r="B58" s="0" t="s">
        <v>194</v>
      </c>
      <c r="C58" s="0" t="s">
        <v>49</v>
      </c>
      <c r="D58" s="7" t="n">
        <v>0.08</v>
      </c>
      <c r="E58" s="7" t="n">
        <v>0.15</v>
      </c>
      <c r="F58" s="7" t="n">
        <v>0.2</v>
      </c>
      <c r="G58" s="8" t="s">
        <v>50</v>
      </c>
      <c r="H58" s="8" t="s">
        <v>195</v>
      </c>
      <c r="I58" s="8" t="s">
        <v>196</v>
      </c>
    </row>
    <row r="59" customFormat="false" ht="17.15" hidden="false" customHeight="false" outlineLevel="0" collapsed="false">
      <c r="A59" s="0" t="s">
        <v>197</v>
      </c>
      <c r="B59" s="0" t="s">
        <v>198</v>
      </c>
      <c r="C59" s="0" t="s">
        <v>49</v>
      </c>
      <c r="D59" s="7" t="n">
        <v>0.32</v>
      </c>
      <c r="E59" s="7" t="n">
        <v>0.33</v>
      </c>
      <c r="F59" s="7" t="n">
        <v>0.345</v>
      </c>
      <c r="G59" s="8" t="s">
        <v>50</v>
      </c>
      <c r="H59" s="8" t="s">
        <v>199</v>
      </c>
      <c r="I59" s="8" t="s">
        <v>200</v>
      </c>
    </row>
    <row r="60" customFormat="false" ht="17.15" hidden="false" customHeight="false" outlineLevel="0" collapsed="false">
      <c r="A60" s="0" t="s">
        <v>201</v>
      </c>
      <c r="B60" s="0" t="s">
        <v>202</v>
      </c>
      <c r="C60" s="0" t="s">
        <v>49</v>
      </c>
      <c r="D60" s="7" t="n">
        <v>0.048</v>
      </c>
      <c r="E60" s="7" t="n">
        <v>0.052</v>
      </c>
      <c r="F60" s="7" t="n">
        <v>0.056</v>
      </c>
      <c r="G60" s="8" t="s">
        <v>30</v>
      </c>
      <c r="H60" s="8" t="s">
        <v>203</v>
      </c>
      <c r="I60" s="8" t="s">
        <v>204</v>
      </c>
    </row>
    <row r="61" customFormat="false" ht="17.15" hidden="false" customHeight="false" outlineLevel="0" collapsed="false">
      <c r="A61" s="0" t="s">
        <v>205</v>
      </c>
      <c r="B61" s="0" t="s">
        <v>206</v>
      </c>
      <c r="C61" s="0" t="s">
        <v>189</v>
      </c>
      <c r="D61" s="7" t="n">
        <v>-0.3</v>
      </c>
      <c r="E61" s="7" t="n">
        <v>0.2</v>
      </c>
      <c r="F61" s="7" t="n">
        <v>0.6</v>
      </c>
      <c r="G61" s="8" t="s">
        <v>30</v>
      </c>
      <c r="H61" s="8" t="s">
        <v>207</v>
      </c>
      <c r="I61" s="8" t="s">
        <v>208</v>
      </c>
    </row>
    <row r="62" customFormat="false" ht="17.15" hidden="false" customHeight="false" outlineLevel="0" collapsed="false">
      <c r="A62" s="0" t="s">
        <v>209</v>
      </c>
      <c r="B62" s="0" t="s">
        <v>210</v>
      </c>
      <c r="C62" s="0" t="s">
        <v>49</v>
      </c>
      <c r="D62" s="7" t="n">
        <v>0.66</v>
      </c>
      <c r="E62" s="7" t="n">
        <v>0.675</v>
      </c>
      <c r="F62" s="7" t="n">
        <v>0.69</v>
      </c>
      <c r="G62" s="8" t="s">
        <v>30</v>
      </c>
      <c r="H62" s="8" t="s">
        <v>211</v>
      </c>
      <c r="I62" s="4" t="s">
        <v>212</v>
      </c>
    </row>
    <row r="63" customFormat="false" ht="17.15" hidden="false" customHeight="false" outlineLevel="0" collapsed="false">
      <c r="A63" s="0" t="s">
        <v>213</v>
      </c>
      <c r="B63" s="4" t="s">
        <v>214</v>
      </c>
      <c r="C63" s="4" t="s">
        <v>215</v>
      </c>
      <c r="E63" s="0" t="n">
        <f aca="false">17.483/44.54</f>
        <v>0.392523574315222</v>
      </c>
      <c r="G63" s="0" t="s">
        <v>30</v>
      </c>
      <c r="H63" s="0" t="s">
        <v>216</v>
      </c>
      <c r="I63" s="4" t="s">
        <v>217</v>
      </c>
    </row>
    <row r="64" customFormat="false" ht="17.15" hidden="false" customHeight="false" outlineLevel="0" collapsed="false">
      <c r="A64" s="6" t="s">
        <v>218</v>
      </c>
    </row>
    <row r="65" customFormat="false" ht="17.15" hidden="false" customHeight="false" outlineLevel="0" collapsed="false">
      <c r="A65" s="0" t="s">
        <v>219</v>
      </c>
      <c r="B65" s="4" t="s">
        <v>220</v>
      </c>
      <c r="C65" s="0" t="s">
        <v>70</v>
      </c>
      <c r="D65" s="7" t="n">
        <v>0.5</v>
      </c>
      <c r="E65" s="7" t="n">
        <v>0.7</v>
      </c>
      <c r="F65" s="7" t="n">
        <v>0.9</v>
      </c>
      <c r="G65" s="8" t="s">
        <v>30</v>
      </c>
      <c r="H65" s="8" t="s">
        <v>221</v>
      </c>
      <c r="I65" s="8" t="s">
        <v>222</v>
      </c>
    </row>
    <row r="66" customFormat="false" ht="17.15" hidden="false" customHeight="false" outlineLevel="0" collapsed="false">
      <c r="A66" s="0" t="s">
        <v>223</v>
      </c>
      <c r="B66" s="4" t="s">
        <v>224</v>
      </c>
      <c r="C66" s="0" t="s">
        <v>183</v>
      </c>
      <c r="D66" s="7" t="n">
        <v>-0.02</v>
      </c>
      <c r="E66" s="7" t="n">
        <v>0</v>
      </c>
      <c r="F66" s="7" t="n">
        <v>0.02</v>
      </c>
      <c r="G66" s="8" t="s">
        <v>71</v>
      </c>
      <c r="H66" s="4" t="s">
        <v>225</v>
      </c>
      <c r="I66" s="8" t="s">
        <v>226</v>
      </c>
    </row>
    <row r="67" customFormat="false" ht="17.15" hidden="false" customHeight="false" outlineLevel="0" collapsed="false">
      <c r="A67" s="0" t="s">
        <v>227</v>
      </c>
      <c r="B67" s="4" t="s">
        <v>228</v>
      </c>
      <c r="C67" s="0" t="s">
        <v>189</v>
      </c>
      <c r="D67" s="7" t="n">
        <v>-1</v>
      </c>
      <c r="E67" s="7" t="n">
        <v>1</v>
      </c>
      <c r="F67" s="7" t="n">
        <v>3</v>
      </c>
      <c r="G67" s="8" t="s">
        <v>71</v>
      </c>
      <c r="H67" s="8" t="s">
        <v>229</v>
      </c>
      <c r="I67" s="4" t="s">
        <v>230</v>
      </c>
    </row>
    <row r="68" customFormat="false" ht="17.15" hidden="false" customHeight="false" outlineLevel="0" collapsed="false">
      <c r="A68" s="0" t="s">
        <v>231</v>
      </c>
      <c r="B68" s="4" t="s">
        <v>232</v>
      </c>
      <c r="C68" s="0" t="s">
        <v>49</v>
      </c>
      <c r="D68" s="7" t="n">
        <v>0.66</v>
      </c>
      <c r="E68" s="7" t="n">
        <v>0.675</v>
      </c>
      <c r="F68" s="7" t="n">
        <v>0.69</v>
      </c>
      <c r="G68" s="8" t="s">
        <v>30</v>
      </c>
      <c r="H68" s="4" t="s">
        <v>233</v>
      </c>
      <c r="I68" s="4" t="s">
        <v>234</v>
      </c>
    </row>
    <row r="69" customFormat="false" ht="17.15" hidden="false" customHeight="false" outlineLevel="0" collapsed="false">
      <c r="A69" s="0" t="s">
        <v>235</v>
      </c>
      <c r="B69" s="4" t="s">
        <v>236</v>
      </c>
      <c r="C69" s="0" t="s">
        <v>49</v>
      </c>
      <c r="D69" s="7" t="n">
        <v>0</v>
      </c>
      <c r="E69" s="7" t="n">
        <v>0</v>
      </c>
      <c r="F69" s="7" t="n">
        <v>0.01</v>
      </c>
      <c r="G69" s="8" t="s">
        <v>71</v>
      </c>
      <c r="H69" s="8" t="s">
        <v>237</v>
      </c>
      <c r="I69" s="4" t="s">
        <v>238</v>
      </c>
    </row>
    <row r="70" customFormat="false" ht="17.15" hidden="false" customHeight="false" outlineLevel="0" collapsed="false">
      <c r="A70" s="0" t="s">
        <v>239</v>
      </c>
      <c r="B70" s="0" t="s">
        <v>240</v>
      </c>
      <c r="C70" s="0" t="s">
        <v>70</v>
      </c>
      <c r="D70" s="7" t="n">
        <v>0.8</v>
      </c>
      <c r="E70" s="7" t="n">
        <v>1</v>
      </c>
      <c r="F70" s="7" t="n">
        <v>1.2</v>
      </c>
      <c r="G70" s="8" t="s">
        <v>71</v>
      </c>
      <c r="H70" s="4" t="s">
        <v>241</v>
      </c>
      <c r="I70" s="8" t="s">
        <v>242</v>
      </c>
    </row>
    <row r="71" customFormat="false" ht="17.15" hidden="false" customHeight="false" outlineLevel="0" collapsed="false">
      <c r="A71" s="6" t="s">
        <v>243</v>
      </c>
    </row>
    <row r="72" customFormat="false" ht="17.15" hidden="false" customHeight="false" outlineLevel="0" collapsed="false">
      <c r="A72" s="0" t="s">
        <v>244</v>
      </c>
      <c r="B72" s="4" t="s">
        <v>245</v>
      </c>
      <c r="C72" s="0" t="s">
        <v>189</v>
      </c>
      <c r="E72" s="7" t="n">
        <v>213.809</v>
      </c>
      <c r="G72" s="8" t="s">
        <v>50</v>
      </c>
      <c r="H72" s="8" t="s">
        <v>246</v>
      </c>
      <c r="I72" s="8" t="s">
        <v>115</v>
      </c>
    </row>
    <row r="73" customFormat="false" ht="17.15" hidden="false" customHeight="false" outlineLevel="0" collapsed="false">
      <c r="A73" s="0" t="s">
        <v>247</v>
      </c>
      <c r="B73" s="4" t="s">
        <v>248</v>
      </c>
      <c r="C73" s="0" t="s">
        <v>189</v>
      </c>
      <c r="E73" s="7" t="n">
        <v>68.057</v>
      </c>
      <c r="G73" s="8" t="s">
        <v>50</v>
      </c>
      <c r="H73" s="8" t="s">
        <v>249</v>
      </c>
      <c r="I73" s="8" t="s">
        <v>115</v>
      </c>
    </row>
    <row r="74" customFormat="false" ht="17.15" hidden="false" customHeight="false" outlineLevel="0" collapsed="false">
      <c r="A74" s="0" t="s">
        <v>250</v>
      </c>
      <c r="B74" s="4" t="s">
        <v>251</v>
      </c>
      <c r="C74" s="0" t="s">
        <v>252</v>
      </c>
      <c r="E74" s="7" t="n">
        <v>101.06</v>
      </c>
      <c r="G74" s="8" t="s">
        <v>50</v>
      </c>
      <c r="H74" s="8" t="s">
        <v>253</v>
      </c>
      <c r="I74" s="8" t="s">
        <v>115</v>
      </c>
    </row>
    <row r="75" customFormat="false" ht="17.15" hidden="false" customHeight="false" outlineLevel="0" collapsed="false">
      <c r="A75" s="0" t="s">
        <v>254</v>
      </c>
      <c r="B75" s="4" t="s">
        <v>255</v>
      </c>
      <c r="C75" s="0" t="s">
        <v>252</v>
      </c>
      <c r="E75" s="7" t="n">
        <v>103.17</v>
      </c>
      <c r="G75" s="8" t="s">
        <v>50</v>
      </c>
      <c r="H75" s="8" t="s">
        <v>246</v>
      </c>
      <c r="I75" s="4" t="s">
        <v>256</v>
      </c>
    </row>
    <row r="76" customFormat="false" ht="17.15" hidden="false" customHeight="false" outlineLevel="0" collapsed="false">
      <c r="A76" s="0" t="s">
        <v>257</v>
      </c>
      <c r="B76" s="4" t="s">
        <v>258</v>
      </c>
      <c r="C76" s="0" t="s">
        <v>189</v>
      </c>
      <c r="E76" s="7" t="n">
        <v>311.893</v>
      </c>
      <c r="G76" s="8" t="s">
        <v>50</v>
      </c>
      <c r="H76" s="8" t="s">
        <v>246</v>
      </c>
      <c r="I76" s="4" t="s">
        <v>259</v>
      </c>
    </row>
    <row r="77" customFormat="false" ht="17.15" hidden="false" customHeight="false" outlineLevel="0" collapsed="false">
      <c r="A77" s="0" t="s">
        <v>260</v>
      </c>
      <c r="B77" s="4" t="s">
        <v>261</v>
      </c>
      <c r="C77" s="0" t="s">
        <v>252</v>
      </c>
      <c r="E77" s="7" t="n">
        <v>154.78</v>
      </c>
      <c r="G77" s="8" t="s">
        <v>50</v>
      </c>
      <c r="H77" s="8" t="s">
        <v>249</v>
      </c>
      <c r="I77" s="8" t="s">
        <v>115</v>
      </c>
    </row>
    <row r="78" customFormat="false" ht="17.15" hidden="false" customHeight="false" outlineLevel="0" collapsed="false">
      <c r="A78" s="0" t="s">
        <v>262</v>
      </c>
      <c r="B78" s="4" t="s">
        <v>263</v>
      </c>
      <c r="C78" s="0" t="s">
        <v>252</v>
      </c>
      <c r="E78" s="7" t="n">
        <v>160.03</v>
      </c>
      <c r="G78" s="8" t="s">
        <v>50</v>
      </c>
      <c r="H78" s="8" t="s">
        <v>246</v>
      </c>
      <c r="I78" s="8" t="s">
        <v>115</v>
      </c>
    </row>
    <row r="79" customFormat="false" ht="17.15" hidden="false" customHeight="false" outlineLevel="0" collapsed="false">
      <c r="A79" s="0" t="s">
        <v>264</v>
      </c>
      <c r="B79" s="4" t="s">
        <v>265</v>
      </c>
      <c r="C79" s="0" t="s">
        <v>252</v>
      </c>
      <c r="E79" s="7" t="n">
        <v>143.99</v>
      </c>
      <c r="G79" s="8" t="s">
        <v>50</v>
      </c>
      <c r="H79" s="8" t="s">
        <v>266</v>
      </c>
      <c r="I79" s="8" t="s">
        <v>115</v>
      </c>
    </row>
    <row r="80" customFormat="false" ht="17.15" hidden="false" customHeight="false" outlineLevel="0" collapsed="false">
      <c r="A80" s="0" t="s">
        <v>267</v>
      </c>
      <c r="B80" s="4" t="s">
        <v>268</v>
      </c>
      <c r="C80" s="0" t="s">
        <v>252</v>
      </c>
      <c r="E80" s="7" t="n">
        <v>139.53</v>
      </c>
      <c r="G80" s="8" t="s">
        <v>50</v>
      </c>
      <c r="H80" s="8" t="s">
        <v>269</v>
      </c>
      <c r="I80" s="8" t="s">
        <v>115</v>
      </c>
    </row>
    <row r="81" customFormat="false" ht="17.15" hidden="false" customHeight="false" outlineLevel="0" collapsed="false">
      <c r="A81" s="0" t="s">
        <v>270</v>
      </c>
      <c r="B81" s="4" t="s">
        <v>271</v>
      </c>
      <c r="C81" s="0" t="s">
        <v>252</v>
      </c>
      <c r="E81" s="7" t="n">
        <v>153.21</v>
      </c>
      <c r="G81" s="8" t="s">
        <v>50</v>
      </c>
      <c r="H81" s="4" t="s">
        <v>272</v>
      </c>
      <c r="I81" s="4" t="s">
        <v>273</v>
      </c>
    </row>
    <row r="82" customFormat="false" ht="17.15" hidden="false" customHeight="false" outlineLevel="0" collapsed="false">
      <c r="A82" s="0" t="s">
        <v>274</v>
      </c>
      <c r="B82" s="4" t="s">
        <v>275</v>
      </c>
      <c r="C82" s="0" t="s">
        <v>252</v>
      </c>
      <c r="E82" s="7" t="n">
        <v>195.18</v>
      </c>
      <c r="G82" s="8" t="s">
        <v>50</v>
      </c>
      <c r="H82" s="8" t="s">
        <v>249</v>
      </c>
      <c r="I82" s="8" t="s">
        <v>115</v>
      </c>
    </row>
    <row r="83" customFormat="false" ht="17.15" hidden="false" customHeight="false" outlineLevel="0" collapsed="false">
      <c r="A83" s="0" t="s">
        <v>276</v>
      </c>
      <c r="B83" s="4" t="s">
        <v>277</v>
      </c>
      <c r="C83" s="0" t="s">
        <v>49</v>
      </c>
      <c r="E83" s="7" t="n">
        <v>0.349</v>
      </c>
      <c r="G83" s="8" t="s">
        <v>50</v>
      </c>
      <c r="H83" s="4" t="s">
        <v>278</v>
      </c>
      <c r="I83" s="4" t="s">
        <v>279</v>
      </c>
    </row>
    <row r="84" customFormat="false" ht="17.15" hidden="false" customHeight="false" outlineLevel="0" collapsed="false">
      <c r="A84" s="0" t="s">
        <v>280</v>
      </c>
      <c r="B84" s="4" t="s">
        <v>281</v>
      </c>
      <c r="C84" s="0" t="s">
        <v>49</v>
      </c>
      <c r="E84" s="7" t="n">
        <v>0.5</v>
      </c>
      <c r="G84" s="8" t="s">
        <v>50</v>
      </c>
      <c r="H84" s="8" t="s">
        <v>246</v>
      </c>
      <c r="I84" s="4" t="s">
        <v>282</v>
      </c>
    </row>
    <row r="85" customFormat="false" ht="17.15" hidden="false" customHeight="false" outlineLevel="0" collapsed="false">
      <c r="A85" s="0" t="s">
        <v>283</v>
      </c>
      <c r="B85" s="0" t="s">
        <v>284</v>
      </c>
      <c r="C85" s="0" t="s">
        <v>49</v>
      </c>
      <c r="E85" s="7" t="n">
        <v>0.53</v>
      </c>
      <c r="G85" s="8" t="s">
        <v>50</v>
      </c>
      <c r="H85" s="8" t="s">
        <v>285</v>
      </c>
      <c r="I85" s="8" t="s">
        <v>115</v>
      </c>
    </row>
    <row r="86" customFormat="false" ht="17.15" hidden="false" customHeight="false" outlineLevel="0" collapsed="false">
      <c r="A86" s="0" t="s">
        <v>286</v>
      </c>
      <c r="B86" s="0" t="s">
        <v>287</v>
      </c>
      <c r="C86" s="0" t="s">
        <v>49</v>
      </c>
      <c r="E86" s="7" t="n">
        <v>0.6</v>
      </c>
      <c r="G86" s="8" t="s">
        <v>50</v>
      </c>
      <c r="H86" s="8" t="s">
        <v>285</v>
      </c>
      <c r="I86" s="4" t="s">
        <v>288</v>
      </c>
    </row>
    <row r="87" customFormat="false" ht="17.15" hidden="false" customHeight="false" outlineLevel="0" collapsed="false">
      <c r="A87" s="6" t="s">
        <v>289</v>
      </c>
    </row>
    <row r="88" customFormat="false" ht="17.15" hidden="false" customHeight="false" outlineLevel="0" collapsed="false">
      <c r="A88" s="0" t="s">
        <v>290</v>
      </c>
      <c r="B88" s="4" t="s">
        <v>291</v>
      </c>
      <c r="C88" s="0" t="s">
        <v>252</v>
      </c>
      <c r="E88" s="7" t="n">
        <v>3145</v>
      </c>
      <c r="G88" s="8" t="s">
        <v>50</v>
      </c>
      <c r="H88" s="8" t="s">
        <v>292</v>
      </c>
      <c r="I88" s="8" t="s">
        <v>293</v>
      </c>
    </row>
    <row r="89" customFormat="false" ht="17.15" hidden="false" customHeight="false" outlineLevel="0" collapsed="false">
      <c r="A89" s="0" t="s">
        <v>294</v>
      </c>
      <c r="B89" s="4" t="s">
        <v>295</v>
      </c>
      <c r="C89" s="0" t="s">
        <v>70</v>
      </c>
      <c r="E89" s="7" t="n">
        <v>41.92</v>
      </c>
      <c r="G89" s="8" t="s">
        <v>50</v>
      </c>
      <c r="H89" s="8" t="s">
        <v>296</v>
      </c>
      <c r="I89" s="4" t="s">
        <v>297</v>
      </c>
    </row>
    <row r="90" customFormat="false" ht="17.15" hidden="false" customHeight="false" outlineLevel="0" collapsed="false">
      <c r="A90" s="6" t="s">
        <v>298</v>
      </c>
    </row>
    <row r="91" customFormat="false" ht="17.15" hidden="false" customHeight="false" outlineLevel="0" collapsed="false">
      <c r="A91" s="0" t="s">
        <v>299</v>
      </c>
      <c r="B91" s="4" t="s">
        <v>300</v>
      </c>
      <c r="C91" s="4" t="s">
        <v>301</v>
      </c>
      <c r="E91" s="9" t="n">
        <v>0.3</v>
      </c>
      <c r="G91" s="8" t="s">
        <v>71</v>
      </c>
      <c r="H91" s="8" t="s">
        <v>302</v>
      </c>
      <c r="I91" s="4" t="s">
        <v>303</v>
      </c>
    </row>
    <row r="92" customFormat="false" ht="17.15" hidden="false" customHeight="false" outlineLevel="0" collapsed="false">
      <c r="A92" s="0" t="s">
        <v>304</v>
      </c>
      <c r="B92" s="4" t="s">
        <v>305</v>
      </c>
      <c r="C92" s="4" t="s">
        <v>301</v>
      </c>
      <c r="E92" s="9" t="n">
        <v>0.5</v>
      </c>
      <c r="G92" s="8" t="s">
        <v>71</v>
      </c>
      <c r="H92" s="8" t="s">
        <v>302</v>
      </c>
      <c r="I92" s="4" t="s">
        <v>303</v>
      </c>
    </row>
    <row r="93" customFormat="false" ht="17.15" hidden="false" customHeight="false" outlineLevel="0" collapsed="false">
      <c r="A93" s="0" t="s">
        <v>306</v>
      </c>
      <c r="B93" s="4" t="s">
        <v>307</v>
      </c>
      <c r="C93" s="4" t="s">
        <v>301</v>
      </c>
      <c r="E93" s="9" t="n">
        <v>0.2</v>
      </c>
      <c r="G93" s="8" t="s">
        <v>71</v>
      </c>
      <c r="H93" s="8" t="s">
        <v>302</v>
      </c>
      <c r="I93" s="4" t="s">
        <v>303</v>
      </c>
    </row>
    <row r="94" customFormat="false" ht="17.15" hidden="false" customHeight="false" outlineLevel="0" collapsed="false">
      <c r="A94" s="6" t="s">
        <v>308</v>
      </c>
    </row>
    <row r="95" customFormat="false" ht="17.15" hidden="false" customHeight="false" outlineLevel="0" collapsed="false">
      <c r="A95" s="0" t="s">
        <v>309</v>
      </c>
      <c r="B95" s="4" t="s">
        <v>310</v>
      </c>
      <c r="C95" s="0" t="s">
        <v>49</v>
      </c>
      <c r="E95" s="9" t="n">
        <v>0.1</v>
      </c>
      <c r="G95" s="8" t="s">
        <v>71</v>
      </c>
      <c r="H95" s="8" t="s">
        <v>311</v>
      </c>
      <c r="I95" s="8" t="s">
        <v>312</v>
      </c>
    </row>
    <row r="96" customFormat="false" ht="17.15" hidden="false" customHeight="false" outlineLevel="0" collapsed="false">
      <c r="A96" s="0" t="s">
        <v>313</v>
      </c>
      <c r="B96" s="4" t="s">
        <v>314</v>
      </c>
      <c r="C96" s="0" t="s">
        <v>49</v>
      </c>
      <c r="E96" s="9" t="n">
        <v>0.04</v>
      </c>
      <c r="G96" s="8" t="s">
        <v>71</v>
      </c>
      <c r="H96" s="8" t="s">
        <v>315</v>
      </c>
      <c r="I96" s="8" t="s">
        <v>316</v>
      </c>
    </row>
    <row r="97" customFormat="false" ht="17.15" hidden="false" customHeight="false" outlineLevel="0" collapsed="false">
      <c r="A97" s="0" t="s">
        <v>317</v>
      </c>
      <c r="B97" s="0" t="s">
        <v>318</v>
      </c>
      <c r="C97" s="0" t="s">
        <v>49</v>
      </c>
      <c r="E97" s="10" t="n">
        <f aca="false">AVERAGE(0.2688,0.3099,0.4986)</f>
        <v>0.3591</v>
      </c>
      <c r="G97" s="8" t="s">
        <v>30</v>
      </c>
      <c r="H97" s="8" t="s">
        <v>319</v>
      </c>
      <c r="I97" s="4" t="s">
        <v>320</v>
      </c>
    </row>
    <row r="98" customFormat="false" ht="17.15" hidden="false" customHeight="false" outlineLevel="0" collapsed="false">
      <c r="A98" s="0" t="s">
        <v>321</v>
      </c>
      <c r="B98" s="4" t="s">
        <v>322</v>
      </c>
      <c r="C98" s="0" t="s">
        <v>49</v>
      </c>
      <c r="E98" s="9" t="n">
        <v>0.5</v>
      </c>
      <c r="G98" s="8" t="s">
        <v>71</v>
      </c>
      <c r="H98" s="8" t="s">
        <v>323</v>
      </c>
      <c r="I98" s="8" t="s">
        <v>324</v>
      </c>
    </row>
    <row r="99" customFormat="false" ht="17.15" hidden="false" customHeight="false" outlineLevel="0" collapsed="false">
      <c r="A99" s="0" t="s">
        <v>325</v>
      </c>
      <c r="B99" s="4" t="s">
        <v>326</v>
      </c>
      <c r="C99" s="0" t="s">
        <v>49</v>
      </c>
      <c r="E99" s="10" t="n">
        <f aca="false">tp_g+0.02</f>
        <v>0.06</v>
      </c>
      <c r="G99" s="8" t="s">
        <v>71</v>
      </c>
      <c r="H99" s="4" t="s">
        <v>327</v>
      </c>
      <c r="I99" s="8" t="s">
        <v>328</v>
      </c>
    </row>
    <row r="100" customFormat="false" ht="17.15" hidden="false" customHeight="false" outlineLevel="0" collapsed="false">
      <c r="A100" s="0" t="s">
        <v>329</v>
      </c>
      <c r="B100" s="4" t="s">
        <v>330</v>
      </c>
      <c r="C100" s="0" t="s">
        <v>49</v>
      </c>
      <c r="E100" s="10" t="n">
        <f aca="false">tp_g</f>
        <v>0.04</v>
      </c>
      <c r="G100" s="8" t="s">
        <v>71</v>
      </c>
      <c r="H100" s="4" t="s">
        <v>35</v>
      </c>
      <c r="I100" s="8" t="s">
        <v>115</v>
      </c>
    </row>
    <row r="101" customFormat="false" ht="17.15" hidden="false" customHeight="false" outlineLevel="0" collapsed="false">
      <c r="A101" s="0" t="s">
        <v>331</v>
      </c>
      <c r="B101" s="4" t="s">
        <v>332</v>
      </c>
      <c r="C101" s="0" t="s">
        <v>49</v>
      </c>
      <c r="E101" s="10" t="n">
        <f aca="false">tp_g-0.02</f>
        <v>0.02</v>
      </c>
      <c r="G101" s="8" t="s">
        <v>71</v>
      </c>
      <c r="H101" s="4" t="s">
        <v>35</v>
      </c>
      <c r="I101" s="8" t="s">
        <v>115</v>
      </c>
    </row>
    <row r="102" customFormat="false" ht="17.15" hidden="false" customHeight="false" outlineLevel="0" collapsed="false">
      <c r="A102" s="0" t="s">
        <v>333</v>
      </c>
      <c r="B102" s="4" t="s">
        <v>334</v>
      </c>
      <c r="C102" s="0" t="s">
        <v>70</v>
      </c>
      <c r="E102" s="9" t="n">
        <v>0.8</v>
      </c>
      <c r="G102" s="8" t="s">
        <v>71</v>
      </c>
      <c r="H102" s="4" t="s">
        <v>335</v>
      </c>
      <c r="I102" s="4" t="s">
        <v>336</v>
      </c>
    </row>
    <row r="103" customFormat="false" ht="17.15" hidden="false" customHeight="false" outlineLevel="0" collapsed="false">
      <c r="A103" s="0" t="s">
        <v>337</v>
      </c>
      <c r="B103" s="4" t="s">
        <v>338</v>
      </c>
      <c r="C103" s="0" t="s">
        <v>252</v>
      </c>
      <c r="E103" s="7" t="n">
        <v>4130</v>
      </c>
      <c r="G103" s="8" t="s">
        <v>50</v>
      </c>
      <c r="H103" s="8" t="s">
        <v>339</v>
      </c>
      <c r="I103" s="4" t="s">
        <v>340</v>
      </c>
    </row>
    <row r="104" customFormat="false" ht="17.15" hidden="false" customHeight="false" outlineLevel="0" collapsed="false">
      <c r="A104" s="0" t="s">
        <v>341</v>
      </c>
      <c r="B104" s="4" t="s">
        <v>342</v>
      </c>
      <c r="C104" s="0" t="s">
        <v>252</v>
      </c>
      <c r="E104" s="0" t="n">
        <f aca="false">3585/27.04</f>
        <v>132.581360946746</v>
      </c>
      <c r="G104" s="0" t="s">
        <v>50</v>
      </c>
      <c r="H104" s="0" t="s">
        <v>343</v>
      </c>
      <c r="I104" s="4" t="s">
        <v>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345</v>
      </c>
    </row>
    <row r="2" customFormat="false" ht="17.15" hidden="false" customHeight="false" outlineLevel="0" collapsed="false">
      <c r="A2" s="0" t="s">
        <v>346</v>
      </c>
    </row>
    <row r="3" customFormat="false" ht="17.15" hidden="false" customHeight="false" outlineLevel="0" collapsed="false">
      <c r="A3" s="5" t="s">
        <v>18</v>
      </c>
      <c r="B3" s="11" t="s">
        <v>347</v>
      </c>
      <c r="C3" s="11" t="s">
        <v>348</v>
      </c>
      <c r="D3" s="11" t="s">
        <v>349</v>
      </c>
      <c r="E3" s="11" t="s">
        <v>350</v>
      </c>
      <c r="F3" s="11" t="s">
        <v>351</v>
      </c>
      <c r="G3" s="5" t="s">
        <v>23</v>
      </c>
      <c r="H3" s="5" t="s">
        <v>352</v>
      </c>
      <c r="I3" s="5" t="s">
        <v>25</v>
      </c>
    </row>
    <row r="4" customFormat="false" ht="17.15" hidden="false" customHeight="false" outlineLevel="0" collapsed="false">
      <c r="A4" s="4" t="s">
        <v>353</v>
      </c>
      <c r="B4" s="12" t="n">
        <v>139.639</v>
      </c>
      <c r="C4" s="12" t="n">
        <v>98.159</v>
      </c>
      <c r="D4" s="13" t="n">
        <f aca="false">q3_rev</f>
        <v>59.089</v>
      </c>
      <c r="E4" s="13" t="n">
        <f aca="false">D4*(1+q4g)</f>
        <v>67.95235</v>
      </c>
      <c r="F4" s="13" t="n">
        <f aca="false">SUM(C4:E4)</f>
        <v>225.20035</v>
      </c>
      <c r="G4" s="8" t="s">
        <v>354</v>
      </c>
      <c r="H4" s="8" t="s">
        <v>355</v>
      </c>
      <c r="I4" s="4" t="s">
        <v>356</v>
      </c>
    </row>
    <row r="5" customFormat="false" ht="17.15" hidden="false" customHeight="false" outlineLevel="0" collapsed="false">
      <c r="A5" s="4" t="s">
        <v>357</v>
      </c>
      <c r="B5" s="12" t="n">
        <v>36.034</v>
      </c>
      <c r="C5" s="13" t="n">
        <f aca="false">14.597+49.121*0.3257</f>
        <v>30.5957097</v>
      </c>
      <c r="D5" s="13" t="n">
        <f aca="false">D4*q_gm</f>
        <v>19.49937</v>
      </c>
      <c r="E5" s="13" t="n">
        <f aca="false">E4*q_gm</f>
        <v>22.4242755</v>
      </c>
      <c r="F5" s="13" t="n">
        <f aca="false">SUM(C5:E5)</f>
        <v>72.5193552</v>
      </c>
      <c r="G5" s="8" t="s">
        <v>358</v>
      </c>
      <c r="H5" s="8" t="s">
        <v>355</v>
      </c>
      <c r="I5" s="8" t="s">
        <v>359</v>
      </c>
    </row>
    <row r="6" customFormat="false" ht="17.15" hidden="false" customHeight="false" outlineLevel="0" collapsed="false">
      <c r="A6" s="4" t="s">
        <v>360</v>
      </c>
      <c r="B6" s="14" t="n">
        <f aca="false">B5/B4</f>
        <v>0.258051117524474</v>
      </c>
      <c r="C6" s="14" t="n">
        <f aca="false">C5/C4</f>
        <v>0.311695409488687</v>
      </c>
      <c r="D6" s="14" t="n">
        <f aca="false">D5/D4</f>
        <v>0.33</v>
      </c>
      <c r="E6" s="14" t="n">
        <f aca="false">E5/E4</f>
        <v>0.33</v>
      </c>
      <c r="F6" s="14" t="n">
        <f aca="false">F5/F4</f>
        <v>0.322021503074929</v>
      </c>
      <c r="G6" s="8" t="s">
        <v>30</v>
      </c>
      <c r="H6" s="8" t="s">
        <v>115</v>
      </c>
      <c r="I6" s="8" t="s">
        <v>361</v>
      </c>
    </row>
    <row r="7" customFormat="false" ht="17.15" hidden="false" customHeight="false" outlineLevel="0" collapsed="false">
      <c r="A7" s="4" t="s">
        <v>362</v>
      </c>
      <c r="B7" s="13" t="n">
        <f aca="false">B5-B8</f>
        <v>8.4832253</v>
      </c>
      <c r="C7" s="13" t="n">
        <f aca="false">C5-C8</f>
        <v>5.0987097</v>
      </c>
      <c r="D7" s="13" t="n">
        <f aca="false">D4*q_opx</f>
        <v>3.072628</v>
      </c>
      <c r="E7" s="13" t="n">
        <f aca="false">E4*q_opx</f>
        <v>3.5335222</v>
      </c>
      <c r="F7" s="13" t="n">
        <f aca="false">SUM(C7:E7)</f>
        <v>11.7048599</v>
      </c>
      <c r="G7" s="8" t="s">
        <v>363</v>
      </c>
      <c r="H7" s="8" t="s">
        <v>355</v>
      </c>
      <c r="I7" s="4" t="s">
        <v>356</v>
      </c>
    </row>
    <row r="8" customFormat="false" ht="17.15" hidden="false" customHeight="false" outlineLevel="0" collapsed="false">
      <c r="A8" s="4" t="s">
        <v>364</v>
      </c>
      <c r="B8" s="13" t="n">
        <f aca="false">139.639*0.1973</f>
        <v>27.5507747</v>
      </c>
      <c r="C8" s="13" t="n">
        <f aca="false">12.019+13.478</f>
        <v>25.497</v>
      </c>
      <c r="D8" s="13" t="n">
        <f aca="false">D5-D7</f>
        <v>16.426742</v>
      </c>
      <c r="E8" s="13" t="n">
        <f aca="false">E5-E7</f>
        <v>18.8907533</v>
      </c>
      <c r="F8" s="13" t="n">
        <f aca="false">SUM(C8:E8)</f>
        <v>60.8144953</v>
      </c>
      <c r="G8" s="8" t="s">
        <v>365</v>
      </c>
      <c r="H8" s="8" t="s">
        <v>355</v>
      </c>
      <c r="I8" s="8" t="s">
        <v>366</v>
      </c>
    </row>
    <row r="9" customFormat="false" ht="17.15" hidden="false" customHeight="false" outlineLevel="0" collapsed="false">
      <c r="A9" s="4" t="s">
        <v>367</v>
      </c>
      <c r="B9" s="14" t="n">
        <f aca="false">B8/B4</f>
        <v>0.1973</v>
      </c>
      <c r="C9" s="14" t="n">
        <f aca="false">C8/C4</f>
        <v>0.259752034963681</v>
      </c>
      <c r="D9" s="14" t="n">
        <f aca="false">D8/D4</f>
        <v>0.278</v>
      </c>
      <c r="E9" s="14" t="n">
        <f aca="false">E8/E4</f>
        <v>0.278</v>
      </c>
      <c r="F9" s="14" t="n">
        <f aca="false">F8/F4</f>
        <v>0.27004618465291</v>
      </c>
      <c r="G9" s="8" t="s">
        <v>30</v>
      </c>
      <c r="H9" s="8" t="s">
        <v>115</v>
      </c>
      <c r="I9" s="8" t="s">
        <v>368</v>
      </c>
    </row>
    <row r="10" customFormat="false" ht="17.15" hidden="false" customHeight="false" outlineLevel="0" collapsed="false">
      <c r="A10" s="4" t="s">
        <v>369</v>
      </c>
      <c r="B10" s="13" t="n">
        <f aca="false">B11-B8</f>
        <v>1.23179436863779</v>
      </c>
      <c r="C10" s="13" t="n">
        <f aca="false">C11-C8</f>
        <v>0.4186111</v>
      </c>
      <c r="D10" s="13" t="n">
        <f aca="false">q_nop</f>
        <v>0.2</v>
      </c>
      <c r="E10" s="13" t="n">
        <f aca="false">q_nop</f>
        <v>0.2</v>
      </c>
      <c r="F10" s="13" t="n">
        <f aca="false">SUM(C10:E10)</f>
        <v>0.8186111</v>
      </c>
      <c r="G10" s="8" t="s">
        <v>30</v>
      </c>
      <c r="H10" s="8" t="s">
        <v>355</v>
      </c>
      <c r="I10" s="4" t="s">
        <v>356</v>
      </c>
    </row>
    <row r="11" customFormat="false" ht="17.15" hidden="false" customHeight="false" outlineLevel="0" collapsed="false">
      <c r="A11" s="4" t="s">
        <v>370</v>
      </c>
      <c r="B11" s="13" t="n">
        <f aca="false">(49.038/2.1017)*0.198+(98.159/1.8546-49.038/2.1017)*0.1992+(47.775/1.227)*0.211+47.775*0.2104</f>
        <v>28.7825690686378</v>
      </c>
      <c r="C11" s="13" t="n">
        <f aca="false">49.038*0.2443+49.121*0.2837</f>
        <v>25.9156111</v>
      </c>
      <c r="D11" s="13" t="n">
        <f aca="false">D8+D10</f>
        <v>16.626742</v>
      </c>
      <c r="E11" s="13" t="n">
        <f aca="false">E8+E10</f>
        <v>19.0907533</v>
      </c>
      <c r="F11" s="13" t="n">
        <f aca="false">SUM(C11:E11)</f>
        <v>61.6331064</v>
      </c>
      <c r="G11" s="8" t="s">
        <v>371</v>
      </c>
      <c r="H11" s="8" t="s">
        <v>208</v>
      </c>
      <c r="I11" s="4" t="s">
        <v>372</v>
      </c>
    </row>
    <row r="12" customFormat="false" ht="17.15" hidden="false" customHeight="false" outlineLevel="0" collapsed="false">
      <c r="A12" s="4" t="s">
        <v>373</v>
      </c>
      <c r="B12" s="12" t="n">
        <v>19.186</v>
      </c>
      <c r="C12" s="12" t="n">
        <v>17.483</v>
      </c>
      <c r="D12" s="13" t="n">
        <f aca="false">D11*q_nir</f>
        <v>11.22305085</v>
      </c>
      <c r="E12" s="13" t="n">
        <f aca="false">E11*q_nir</f>
        <v>12.8862584775</v>
      </c>
      <c r="F12" s="13" t="n">
        <f aca="false">SUM(C12:E12)</f>
        <v>41.5923093275</v>
      </c>
      <c r="G12" s="8" t="s">
        <v>374</v>
      </c>
      <c r="H12" s="8" t="s">
        <v>355</v>
      </c>
      <c r="I12" s="4" t="s">
        <v>356</v>
      </c>
    </row>
    <row r="13" customFormat="false" ht="17.15" hidden="false" customHeight="false" outlineLevel="0" collapsed="false">
      <c r="A13" s="4" t="s">
        <v>375</v>
      </c>
      <c r="B13" s="14" t="n">
        <f aca="false">B12/B11</f>
        <v>0.666583999303438</v>
      </c>
      <c r="C13" s="14" t="n">
        <f aca="false">C12/C11</f>
        <v>0.674612685478985</v>
      </c>
      <c r="D13" s="14" t="n">
        <f aca="false">D12/D11</f>
        <v>0.675</v>
      </c>
      <c r="E13" s="14" t="n">
        <f aca="false">E12/E11</f>
        <v>0.675</v>
      </c>
      <c r="F13" s="14" t="n">
        <f aca="false">F12/F11</f>
        <v>0.674837141220258</v>
      </c>
      <c r="G13" s="8" t="s">
        <v>30</v>
      </c>
      <c r="H13" s="8" t="s">
        <v>115</v>
      </c>
      <c r="I13" s="8" t="s">
        <v>115</v>
      </c>
    </row>
    <row r="14" customFormat="false" ht="17.15" hidden="false" customHeight="false" outlineLevel="0" collapsed="false">
      <c r="A14" s="4" t="s">
        <v>376</v>
      </c>
      <c r="B14" s="13" t="n">
        <f aca="false">19.186/49.17</f>
        <v>0.390197274761033</v>
      </c>
      <c r="C14" s="13" t="n">
        <f aca="false">q_sh</f>
        <v>0.392523574315222</v>
      </c>
      <c r="D14" s="13" t="n">
        <f aca="false">q_sh</f>
        <v>0.392523574315222</v>
      </c>
      <c r="E14" s="13" t="n">
        <f aca="false">q_sh</f>
        <v>0.392523574315222</v>
      </c>
      <c r="F14" s="13" t="n">
        <f aca="false">q_sh</f>
        <v>0.392523574315222</v>
      </c>
      <c r="G14" s="8" t="s">
        <v>30</v>
      </c>
      <c r="H14" s="8" t="s">
        <v>355</v>
      </c>
      <c r="I14" s="4" t="s">
        <v>377</v>
      </c>
    </row>
    <row r="15" customFormat="false" ht="17.15" hidden="false" customHeight="false" outlineLevel="0" collapsed="false">
      <c r="A15" s="0" t="s">
        <v>378</v>
      </c>
      <c r="B15" s="15" t="n">
        <f aca="false">B12/B14</f>
        <v>49.17</v>
      </c>
      <c r="C15" s="15" t="n">
        <f aca="false">C12/C14</f>
        <v>44.54</v>
      </c>
      <c r="D15" s="15" t="n">
        <f aca="false">D12/D14</f>
        <v>28.5920428335526</v>
      </c>
      <c r="E15" s="15" t="n">
        <f aca="false">E12/E14</f>
        <v>32.829260000449</v>
      </c>
      <c r="F15" s="15" t="n">
        <f aca="false">F12/F14</f>
        <v>105.961302834002</v>
      </c>
      <c r="G15" s="8" t="s">
        <v>30</v>
      </c>
      <c r="H15" s="4" t="s">
        <v>379</v>
      </c>
      <c r="I15" s="8" t="s">
        <v>115</v>
      </c>
    </row>
    <row r="16" customFormat="false" ht="17.15" hidden="false" customHeight="false" outlineLevel="0" collapsed="false">
      <c r="A16" s="4" t="s">
        <v>380</v>
      </c>
      <c r="B16" s="16" t="n">
        <v>49.17</v>
      </c>
      <c r="C16" s="16" t="n">
        <v>44.54</v>
      </c>
      <c r="G16" s="8" t="s">
        <v>190</v>
      </c>
      <c r="H16" s="8" t="s">
        <v>355</v>
      </c>
      <c r="I16" s="8" t="s">
        <v>381</v>
      </c>
    </row>
    <row r="17" customFormat="false" ht="17.15" hidden="false" customHeight="false" outlineLevel="0" collapsed="false">
      <c r="A17" s="4" t="s">
        <v>382</v>
      </c>
      <c r="B17" s="13" t="n">
        <f aca="false">B4*lc_25</f>
        <v>20.94585</v>
      </c>
      <c r="F17" s="13" t="n">
        <f aca="false">F4*lc_26</f>
        <v>72.064112</v>
      </c>
      <c r="G17" s="8" t="s">
        <v>383</v>
      </c>
      <c r="H17" s="4" t="s">
        <v>384</v>
      </c>
      <c r="I17" s="4" t="s">
        <v>385</v>
      </c>
    </row>
    <row r="18" customFormat="false" ht="17.15" hidden="false" customHeight="false" outlineLevel="0" collapsed="false">
      <c r="A18" s="0" t="s">
        <v>386</v>
      </c>
      <c r="B18" s="13" t="n">
        <f aca="false">B4*(srv_25-lc_25)*aiair</f>
        <v>30.999858</v>
      </c>
      <c r="F18" s="13" t="n">
        <f aca="false">F4*(srv_26-lc_26)*aiair</f>
        <v>47.2920735</v>
      </c>
      <c r="G18" s="8" t="s">
        <v>383</v>
      </c>
      <c r="H18" s="4" t="s">
        <v>384</v>
      </c>
      <c r="I18" s="8" t="s">
        <v>115</v>
      </c>
    </row>
    <row r="19" customFormat="false" ht="17.15" hidden="false" customHeight="false" outlineLevel="0" collapsed="false">
      <c r="A19" s="4" t="s">
        <v>387</v>
      </c>
      <c r="B19" s="13" t="n">
        <f aca="false">B4*(srv_25-lc_25)*(1-aiair)</f>
        <v>20.666572</v>
      </c>
      <c r="F19" s="13" t="n">
        <f aca="false">F4*(srv_26-lc_26)*(1-aiair)</f>
        <v>31.528049</v>
      </c>
      <c r="G19" s="8" t="s">
        <v>383</v>
      </c>
      <c r="H19" s="4" t="s">
        <v>384</v>
      </c>
      <c r="I19" s="8" t="s">
        <v>115</v>
      </c>
    </row>
    <row r="20" customFormat="false" ht="17.15" hidden="false" customHeight="false" outlineLevel="0" collapsed="false">
      <c r="A20" s="4" t="s">
        <v>388</v>
      </c>
      <c r="B20" s="13" t="n">
        <f aca="false">B4*(1-srv_25)</f>
        <v>67.02672</v>
      </c>
      <c r="F20" s="13" t="n">
        <f aca="false">F4*(1-srv_26)</f>
        <v>74.3161155</v>
      </c>
      <c r="G20" s="8" t="s">
        <v>383</v>
      </c>
      <c r="H20" s="4" t="s">
        <v>384</v>
      </c>
      <c r="I20" s="8" t="s">
        <v>115</v>
      </c>
    </row>
    <row r="21" customFormat="false" ht="17.15" hidden="false" customHeight="false" outlineLevel="0" collapsed="false">
      <c r="A21" s="0" t="s">
        <v>389</v>
      </c>
      <c r="F21" s="13" t="n">
        <f aca="false">F4*(srv_26-lc_26)*aiair_lo</f>
        <v>31.528049</v>
      </c>
      <c r="G21" s="8" t="s">
        <v>30</v>
      </c>
      <c r="H21" s="8" t="s">
        <v>390</v>
      </c>
      <c r="I21" s="8" t="s">
        <v>115</v>
      </c>
    </row>
    <row r="22" customFormat="false" ht="17.15" hidden="false" customHeight="false" outlineLevel="0" collapsed="false">
      <c r="A22" s="4" t="s">
        <v>391</v>
      </c>
      <c r="F22" s="13" t="n">
        <f aca="false">F4*(srv_26-lc_26)*(1-aiair_lo)</f>
        <v>47.2920735</v>
      </c>
      <c r="G22" s="8" t="s">
        <v>30</v>
      </c>
      <c r="H22" s="8" t="s">
        <v>390</v>
      </c>
      <c r="I22" s="8" t="s">
        <v>115</v>
      </c>
    </row>
    <row r="23" customFormat="false" ht="17.15" hidden="false" customHeight="false" outlineLevel="0" collapsed="false">
      <c r="A23" s="0" t="s">
        <v>392</v>
      </c>
      <c r="F23" s="13" t="n">
        <f aca="false">F4*(srv_26-lc_26)*aiair_hi</f>
        <v>63.056098</v>
      </c>
      <c r="G23" s="8" t="s">
        <v>30</v>
      </c>
      <c r="H23" s="8" t="s">
        <v>390</v>
      </c>
      <c r="I23" s="8" t="s">
        <v>115</v>
      </c>
    </row>
    <row r="24" customFormat="false" ht="17.15" hidden="false" customHeight="false" outlineLevel="0" collapsed="false">
      <c r="A24" s="4" t="s">
        <v>393</v>
      </c>
      <c r="F24" s="13" t="n">
        <f aca="false">F4*(srv_26-lc_26)*(1-aiair_hi)</f>
        <v>15.7640245</v>
      </c>
      <c r="G24" s="8" t="s">
        <v>30</v>
      </c>
      <c r="H24" s="8" t="s">
        <v>390</v>
      </c>
      <c r="I24" s="8" t="s">
        <v>115</v>
      </c>
    </row>
    <row r="25" customFormat="false" ht="17.15" hidden="false" customHeight="false" outlineLevel="0" collapsed="false">
      <c r="A25" s="4" t="s">
        <v>394</v>
      </c>
      <c r="F25" s="13" t="n">
        <f aca="false">F4*lc_26_lo</f>
        <v>63.056098</v>
      </c>
      <c r="G25" s="8" t="s">
        <v>30</v>
      </c>
      <c r="H25" s="8" t="s">
        <v>390</v>
      </c>
      <c r="I25" s="8" t="s">
        <v>115</v>
      </c>
    </row>
    <row r="26" customFormat="false" ht="17.15" hidden="false" customHeight="false" outlineLevel="0" collapsed="false">
      <c r="A26" s="0" t="s">
        <v>395</v>
      </c>
      <c r="F26" s="13" t="n">
        <f aca="false">F4*(srv_26-lc_26_lo)*aiair</f>
        <v>52.6968819</v>
      </c>
      <c r="G26" s="8" t="s">
        <v>30</v>
      </c>
      <c r="H26" s="8" t="s">
        <v>390</v>
      </c>
      <c r="I26" s="8" t="s">
        <v>115</v>
      </c>
    </row>
    <row r="27" customFormat="false" ht="17.15" hidden="false" customHeight="false" outlineLevel="0" collapsed="false">
      <c r="A27" s="4" t="s">
        <v>396</v>
      </c>
      <c r="F27" s="13" t="n">
        <f aca="false">F4*(srv_26-lc_26_lo)*(1-aiair)</f>
        <v>35.1312546</v>
      </c>
      <c r="G27" s="8" t="s">
        <v>30</v>
      </c>
      <c r="H27" s="8" t="s">
        <v>390</v>
      </c>
      <c r="I27" s="8" t="s">
        <v>115</v>
      </c>
    </row>
    <row r="28" customFormat="false" ht="17.15" hidden="false" customHeight="false" outlineLevel="0" collapsed="false">
      <c r="A28" s="4" t="s">
        <v>397</v>
      </c>
      <c r="F28" s="13" t="n">
        <f aca="false">F4*lc_26_hi</f>
        <v>78.8201225</v>
      </c>
      <c r="G28" s="8" t="s">
        <v>30</v>
      </c>
      <c r="H28" s="8" t="s">
        <v>390</v>
      </c>
      <c r="I28" s="8" t="s">
        <v>115</v>
      </c>
    </row>
    <row r="29" customFormat="false" ht="17.15" hidden="false" customHeight="false" outlineLevel="0" collapsed="false">
      <c r="A29" s="0" t="s">
        <v>398</v>
      </c>
      <c r="F29" s="13" t="n">
        <f aca="false">F4*(srv_26-lc_26_hi)*aiair</f>
        <v>43.2384672</v>
      </c>
      <c r="G29" s="8" t="s">
        <v>30</v>
      </c>
      <c r="H29" s="8" t="s">
        <v>390</v>
      </c>
      <c r="I29" s="8" t="s">
        <v>115</v>
      </c>
    </row>
    <row r="30" customFormat="false" ht="17.15" hidden="false" customHeight="false" outlineLevel="0" collapsed="false">
      <c r="A30" s="4" t="s">
        <v>399</v>
      </c>
      <c r="F30" s="13" t="n">
        <f aca="false">F4*(srv_26-lc_26_hi)*(1-aiair)</f>
        <v>28.8256448</v>
      </c>
      <c r="G30" s="8" t="s">
        <v>30</v>
      </c>
      <c r="H30" s="8" t="s">
        <v>390</v>
      </c>
      <c r="I30" s="8" t="s">
        <v>115</v>
      </c>
    </row>
    <row r="32" customFormat="false" ht="17.15" hidden="false" customHeight="false" outlineLevel="0" collapsed="false">
      <c r="A32" s="6" t="s">
        <v>400</v>
      </c>
    </row>
    <row r="33" customFormat="false" ht="17.15" hidden="false" customHeight="false" outlineLevel="0" collapsed="false">
      <c r="A33" s="0" t="s">
        <v>401</v>
      </c>
      <c r="B33" s="14" t="n">
        <f aca="false">F4/B4-1</f>
        <v>0.61273247445198</v>
      </c>
    </row>
    <row r="34" customFormat="false" ht="17.15" hidden="false" customHeight="false" outlineLevel="0" collapsed="false">
      <c r="A34" s="0" t="s">
        <v>402</v>
      </c>
      <c r="B34" s="14" t="n">
        <f aca="false">F7/B7-1</f>
        <v>0.379765299879517</v>
      </c>
    </row>
    <row r="35" customFormat="false" ht="17.15" hidden="false" customHeight="false" outlineLevel="0" collapsed="false">
      <c r="A35" s="4" t="s">
        <v>403</v>
      </c>
      <c r="B35" s="15" t="n">
        <f aca="false">B34/B33</f>
        <v>0.61978973812213</v>
      </c>
    </row>
    <row r="36" customFormat="false" ht="17.15" hidden="false" customHeight="false" outlineLevel="0" collapsed="false">
      <c r="A36" s="0" t="s">
        <v>404</v>
      </c>
      <c r="B36" s="14" t="n">
        <f aca="false">F4/b_rev26-1</f>
        <v>0.053278159478787</v>
      </c>
    </row>
    <row r="37" customFormat="false" ht="17.15" hidden="false" customHeight="false" outlineLevel="0" collapsed="false">
      <c r="A37" s="0" t="s">
        <v>405</v>
      </c>
      <c r="B37" s="14" t="n">
        <f aca="false">F15/b_eps26gs-1</f>
        <v>0.0484989395804629</v>
      </c>
    </row>
    <row r="38" customFormat="false" ht="17.15" hidden="false" customHeight="false" outlineLevel="0" collapsed="false">
      <c r="A38" s="4" t="s">
        <v>406</v>
      </c>
      <c r="B38" s="14" t="n">
        <f aca="false">F20/B20-1</f>
        <v>0.108753576185736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407</v>
      </c>
    </row>
    <row r="3" customFormat="false" ht="15" hidden="false" customHeight="false" outlineLevel="0" collapsed="false">
      <c r="A3" s="5" t="s">
        <v>18</v>
      </c>
      <c r="B3" s="5" t="s">
        <v>19</v>
      </c>
      <c r="C3" s="11" t="s">
        <v>408</v>
      </c>
      <c r="D3" s="11" t="s">
        <v>409</v>
      </c>
      <c r="E3" s="11" t="s">
        <v>410</v>
      </c>
      <c r="F3" s="11" t="s">
        <v>411</v>
      </c>
      <c r="G3" s="5" t="s">
        <v>412</v>
      </c>
    </row>
    <row r="4" customFormat="false" ht="17.15" hidden="false" customHeight="false" outlineLevel="0" collapsed="false">
      <c r="A4" s="4" t="s">
        <v>413</v>
      </c>
      <c r="B4" s="0" t="s">
        <v>414</v>
      </c>
      <c r="C4" s="17" t="n">
        <f aca="false">PL!D65</f>
        <v>23.3995380420639</v>
      </c>
      <c r="D4" s="17" t="n">
        <f aca="false">PL!E65</f>
        <v>41.6467658260637</v>
      </c>
      <c r="E4" s="17" t="n">
        <f aca="false">PL!F65</f>
        <v>52.792138191248</v>
      </c>
      <c r="F4" s="17" t="n">
        <f aca="false">PL!G65</f>
        <v>60.1385917361116</v>
      </c>
      <c r="G4" s="8" t="s">
        <v>415</v>
      </c>
    </row>
    <row r="5" customFormat="false" ht="17.15" hidden="false" customHeight="false" outlineLevel="0" collapsed="false">
      <c r="A5" s="4" t="s">
        <v>416</v>
      </c>
      <c r="B5" s="0" t="s">
        <v>49</v>
      </c>
      <c r="C5" s="14" t="n">
        <f aca="false">PL!D66</f>
        <v>0.55</v>
      </c>
      <c r="D5" s="14" t="n">
        <f aca="false">PL!E66</f>
        <v>0.75</v>
      </c>
      <c r="E5" s="14" t="n">
        <f aca="false">PL!F66</f>
        <v>0.85</v>
      </c>
      <c r="F5" s="14" t="n">
        <f aca="false">PL!G66</f>
        <v>0.9</v>
      </c>
      <c r="G5" s="8" t="s">
        <v>417</v>
      </c>
    </row>
    <row r="6" customFormat="false" ht="17.15" hidden="false" customHeight="false" outlineLevel="0" collapsed="false">
      <c r="A6" s="4" t="s">
        <v>418</v>
      </c>
      <c r="B6" s="0" t="s">
        <v>419</v>
      </c>
      <c r="C6" s="18" t="n">
        <f aca="false">PL!D67</f>
        <v>350.7208</v>
      </c>
      <c r="D6" s="18" t="n">
        <f aca="false">PL!E67</f>
        <v>326.5912</v>
      </c>
      <c r="E6" s="18" t="n">
        <f aca="false">PL!F67</f>
        <v>351.7136</v>
      </c>
      <c r="F6" s="18" t="n">
        <f aca="false">PL!G67</f>
        <v>351.7136</v>
      </c>
      <c r="G6" s="4" t="s">
        <v>420</v>
      </c>
    </row>
    <row r="7" customFormat="false" ht="17.15" hidden="false" customHeight="false" outlineLevel="0" collapsed="false">
      <c r="A7" s="4" t="s">
        <v>421</v>
      </c>
      <c r="B7" s="0" t="s">
        <v>422</v>
      </c>
      <c r="C7" s="18" t="n">
        <f aca="false">PL!D67*1000/racks_vr</f>
        <v>86.5549851924975</v>
      </c>
      <c r="D7" s="18" t="n">
        <f aca="false">PL!E67*1000/racks_vr</f>
        <v>80.6</v>
      </c>
      <c r="E7" s="18" t="n">
        <f aca="false">PL!F67*1000/racks_vr</f>
        <v>86.8</v>
      </c>
      <c r="F7" s="18" t="n">
        <f aca="false">PL!G67*1000/racks_vr</f>
        <v>86.8</v>
      </c>
      <c r="G7" s="4" t="s">
        <v>423</v>
      </c>
    </row>
    <row r="8" customFormat="false" ht="17.15" hidden="false" customHeight="false" outlineLevel="0" collapsed="false">
      <c r="A8" s="0" t="s">
        <v>424</v>
      </c>
      <c r="B8" s="0" t="s">
        <v>29</v>
      </c>
      <c r="C8" s="19" t="n">
        <f aca="false">PL!D68</f>
        <v>4.5136875859587</v>
      </c>
      <c r="D8" s="19" t="n">
        <f aca="false">PL!E68</f>
        <v>10.2011004204398</v>
      </c>
      <c r="E8" s="19" t="n">
        <f aca="false">PL!F68</f>
        <v>15.7825560287001</v>
      </c>
      <c r="F8" s="19" t="n">
        <f aca="false">PL!G68</f>
        <v>19.0364045385942</v>
      </c>
      <c r="G8" s="4" t="s">
        <v>425</v>
      </c>
    </row>
    <row r="9" customFormat="false" ht="17.15" hidden="false" customHeight="false" outlineLevel="0" collapsed="false">
      <c r="A9" s="4" t="s">
        <v>426</v>
      </c>
      <c r="B9" s="0" t="s">
        <v>49</v>
      </c>
      <c r="C9" s="14" t="n">
        <f aca="false">PL!D72</f>
        <v>0.498927641116676</v>
      </c>
      <c r="D9" s="14" t="n">
        <f aca="false">PL!E72</f>
        <v>0.473981259060843</v>
      </c>
      <c r="E9" s="14" t="n">
        <f aca="false">PL!F72</f>
        <v>0.449034877005009</v>
      </c>
      <c r="F9" s="14" t="n">
        <f aca="false">PL!G72</f>
        <v>0.424088494949175</v>
      </c>
      <c r="G9" s="8" t="s">
        <v>427</v>
      </c>
    </row>
    <row r="10" customFormat="false" ht="15" hidden="false" customHeight="false" outlineLevel="0" collapsed="false">
      <c r="A10" s="4" t="s">
        <v>428</v>
      </c>
      <c r="B10" s="0" t="s">
        <v>29</v>
      </c>
      <c r="C10" s="20" t="n">
        <f aca="false">PL!D73/fx</f>
        <v>2.2520035</v>
      </c>
      <c r="D10" s="20" t="n">
        <f aca="false">PL!E73/fx</f>
        <v>4.83513042108617</v>
      </c>
      <c r="E10" s="20" t="n">
        <f aca="false">PL!F73/fx</f>
        <v>7.08691810517202</v>
      </c>
      <c r="F10" s="20" t="n">
        <f aca="false">PL!G73/fx</f>
        <v>8.07312015001607</v>
      </c>
    </row>
    <row r="11" customFormat="false" ht="17.15" hidden="false" customHeight="false" outlineLevel="0" collapsed="false">
      <c r="A11" s="4" t="s">
        <v>429</v>
      </c>
      <c r="B11" s="0" t="s">
        <v>29</v>
      </c>
      <c r="C11" s="20" t="n">
        <f aca="false">PL!D77/fx</f>
        <v>1.477877296875</v>
      </c>
      <c r="D11" s="20" t="n">
        <f aca="false">PL!E77/fx</f>
        <v>1.9727572054617</v>
      </c>
      <c r="E11" s="20" t="n">
        <f aca="false">PL!F77/fx</f>
        <v>2.16727341048154</v>
      </c>
      <c r="F11" s="20" t="n">
        <f aca="false">PL!G77/fx</f>
        <v>2.27895420584109</v>
      </c>
      <c r="G11" s="8" t="s">
        <v>430</v>
      </c>
    </row>
    <row r="12" customFormat="false" ht="17.15" hidden="false" customHeight="false" outlineLevel="0" collapsed="false">
      <c r="A12" s="4" t="s">
        <v>431</v>
      </c>
      <c r="B12" s="0" t="s">
        <v>419</v>
      </c>
      <c r="C12" s="18" t="n">
        <f aca="false">PL!D84</f>
        <v>159.399762088039</v>
      </c>
      <c r="D12" s="18" t="n">
        <f aca="false">PL!E84</f>
        <v>163.467378354919</v>
      </c>
      <c r="E12" s="18" t="n">
        <f aca="false">PL!F84</f>
        <v>175.294879743813</v>
      </c>
      <c r="F12" s="18" t="n">
        <f aca="false">PL!G84</f>
        <v>172.136959928861</v>
      </c>
    </row>
    <row r="13" customFormat="false" ht="17.15" hidden="false" customHeight="false" outlineLevel="0" collapsed="false">
      <c r="A13" s="4" t="s">
        <v>432</v>
      </c>
      <c r="B13" s="0" t="s">
        <v>29</v>
      </c>
      <c r="C13" s="19" t="n">
        <f aca="false">PL!D68-PL!D73/fx</f>
        <v>2.2616840859587</v>
      </c>
      <c r="D13" s="19" t="n">
        <f aca="false">PL!E68-PL!E73/fx</f>
        <v>5.36596999935368</v>
      </c>
      <c r="E13" s="19" t="n">
        <f aca="false">PL!F68-PL!F73/fx</f>
        <v>8.6956379235281</v>
      </c>
      <c r="F13" s="19" t="n">
        <f aca="false">PL!G68-PL!G73/fx</f>
        <v>10.9632843885782</v>
      </c>
    </row>
    <row r="15" customFormat="false" ht="17.15" hidden="false" customHeight="false" outlineLevel="0" collapsed="false">
      <c r="A15" s="1" t="s">
        <v>433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434</v>
      </c>
    </row>
    <row r="3" customFormat="false" ht="17.15" hidden="false" customHeight="false" outlineLevel="0" collapsed="false">
      <c r="A3" s="5" t="s">
        <v>435</v>
      </c>
      <c r="B3" s="5" t="s">
        <v>19</v>
      </c>
      <c r="C3" s="11" t="s">
        <v>347</v>
      </c>
      <c r="D3" s="11" t="s">
        <v>436</v>
      </c>
      <c r="E3" s="11" t="s">
        <v>437</v>
      </c>
      <c r="F3" s="11" t="s">
        <v>438</v>
      </c>
      <c r="G3" s="11" t="s">
        <v>439</v>
      </c>
      <c r="H3" s="5" t="s">
        <v>412</v>
      </c>
    </row>
    <row r="4" customFormat="false" ht="17.15" hidden="false" customHeight="false" outlineLevel="0" collapsed="false">
      <c r="A4" s="1" t="s">
        <v>440</v>
      </c>
    </row>
    <row r="5" customFormat="false" ht="15" hidden="false" customHeight="false" outlineLevel="0" collapsed="false">
      <c r="A5" s="4" t="s">
        <v>353</v>
      </c>
      <c r="B5" s="0" t="s">
        <v>189</v>
      </c>
      <c r="C5" s="19" t="n">
        <f aca="false">C80</f>
        <v>139.639</v>
      </c>
      <c r="D5" s="19" t="n">
        <f aca="false">D80</f>
        <v>225.20035</v>
      </c>
      <c r="E5" s="19" t="n">
        <f aca="false">E80</f>
        <v>330.677779399532</v>
      </c>
      <c r="F5" s="19" t="n">
        <f aca="false">F80</f>
        <v>414.941275547614</v>
      </c>
      <c r="G5" s="19" t="n">
        <f aca="false">G80</f>
        <v>455.186745420949</v>
      </c>
    </row>
    <row r="6" customFormat="false" ht="15" hidden="false" customHeight="false" outlineLevel="0" collapsed="false">
      <c r="A6" s="4" t="s">
        <v>441</v>
      </c>
      <c r="B6" s="0" t="s">
        <v>49</v>
      </c>
      <c r="D6" s="14" t="n">
        <f aca="false">D81</f>
        <v>0.612732474451979</v>
      </c>
      <c r="E6" s="14" t="n">
        <f aca="false">E81</f>
        <v>0.46837151629441</v>
      </c>
      <c r="F6" s="14" t="n">
        <f aca="false">F81</f>
        <v>0.254820557647065</v>
      </c>
      <c r="G6" s="14" t="n">
        <f aca="false">G81</f>
        <v>0.0969907604882692</v>
      </c>
    </row>
    <row r="7" customFormat="false" ht="15" hidden="false" customHeight="false" outlineLevel="0" collapsed="false">
      <c r="A7" s="4" t="s">
        <v>442</v>
      </c>
      <c r="B7" s="0" t="s">
        <v>189</v>
      </c>
      <c r="C7" s="19" t="n">
        <f aca="false">C73</f>
        <v>20.94585</v>
      </c>
      <c r="D7" s="19" t="n">
        <f aca="false">D73</f>
        <v>72.064112</v>
      </c>
      <c r="E7" s="19" t="n">
        <f aca="false">E73</f>
        <v>154.724173474757</v>
      </c>
      <c r="F7" s="19" t="n">
        <f aca="false">F73</f>
        <v>226.781379365505</v>
      </c>
      <c r="G7" s="19" t="n">
        <f aca="false">G73</f>
        <v>258.339844800514</v>
      </c>
    </row>
    <row r="8" customFormat="false" ht="17.15" hidden="false" customHeight="false" outlineLevel="0" collapsed="false">
      <c r="A8" s="0" t="s">
        <v>443</v>
      </c>
      <c r="B8" s="0" t="s">
        <v>189</v>
      </c>
      <c r="C8" s="19" t="n">
        <f aca="false">C77</f>
        <v>30.999858</v>
      </c>
      <c r="D8" s="19" t="n">
        <f aca="false">D77</f>
        <v>47.2920735</v>
      </c>
      <c r="E8" s="19" t="n">
        <f aca="false">E77</f>
        <v>63.1282305747745</v>
      </c>
      <c r="F8" s="19" t="n">
        <f aca="false">F77</f>
        <v>69.3527491354094</v>
      </c>
      <c r="G8" s="19" t="n">
        <f aca="false">G77</f>
        <v>72.926534586915</v>
      </c>
    </row>
    <row r="9" customFormat="false" ht="15" hidden="false" customHeight="false" outlineLevel="0" collapsed="false">
      <c r="A9" s="4" t="s">
        <v>444</v>
      </c>
      <c r="B9" s="0" t="s">
        <v>189</v>
      </c>
      <c r="C9" s="19" t="n">
        <f aca="false">C78</f>
        <v>20.666572</v>
      </c>
      <c r="D9" s="19" t="n">
        <f aca="false">D78</f>
        <v>31.528049</v>
      </c>
      <c r="E9" s="19" t="n">
        <f aca="false">E78</f>
        <v>34.05029292</v>
      </c>
      <c r="F9" s="19" t="n">
        <f aca="false">F78</f>
        <v>36.0933104952</v>
      </c>
      <c r="G9" s="19" t="n">
        <f aca="false">G78</f>
        <v>37.89797601996</v>
      </c>
    </row>
    <row r="10" customFormat="false" ht="15" hidden="false" customHeight="false" outlineLevel="0" collapsed="false">
      <c r="A10" s="4" t="s">
        <v>445</v>
      </c>
      <c r="B10" s="0" t="s">
        <v>189</v>
      </c>
      <c r="C10" s="19" t="n">
        <f aca="false">C79</f>
        <v>67.02672</v>
      </c>
      <c r="D10" s="19" t="n">
        <f aca="false">D79</f>
        <v>74.3161155</v>
      </c>
      <c r="E10" s="19" t="n">
        <f aca="false">E79</f>
        <v>78.77508243</v>
      </c>
      <c r="F10" s="19" t="n">
        <f aca="false">F79</f>
        <v>82.7138365515</v>
      </c>
      <c r="G10" s="19" t="n">
        <f aca="false">G79</f>
        <v>86.02239001356</v>
      </c>
    </row>
    <row r="11" customFormat="false" ht="17.15" hidden="false" customHeight="false" outlineLevel="0" collapsed="false">
      <c r="A11" s="4" t="s">
        <v>446</v>
      </c>
      <c r="B11" s="0" t="s">
        <v>49</v>
      </c>
      <c r="C11" s="14" t="n">
        <f aca="false">C82</f>
        <v>0.15</v>
      </c>
      <c r="D11" s="14" t="n">
        <f aca="false">D82</f>
        <v>0.32</v>
      </c>
      <c r="E11" s="14" t="n">
        <f aca="false">E82</f>
        <v>0.46790012245672</v>
      </c>
      <c r="F11" s="14" t="n">
        <f aca="false">F82</f>
        <v>0.546538492865557</v>
      </c>
      <c r="G11" s="14" t="n">
        <f aca="false">G82</f>
        <v>0.567546940677295</v>
      </c>
    </row>
    <row r="12" customFormat="false" ht="15" hidden="false" customHeight="false" outlineLevel="0" collapsed="false">
      <c r="A12" s="4" t="s">
        <v>360</v>
      </c>
      <c r="B12" s="0" t="s">
        <v>49</v>
      </c>
      <c r="C12" s="14" t="n">
        <f aca="false">C88</f>
        <v>0.258051117524474</v>
      </c>
      <c r="D12" s="14" t="n">
        <f aca="false">D88</f>
        <v>0.322021503074929</v>
      </c>
      <c r="E12" s="14" t="n">
        <f aca="false">E88</f>
        <v>0.330895510422332</v>
      </c>
      <c r="F12" s="14" t="n">
        <f aca="false">F88</f>
        <v>0.335613812646862</v>
      </c>
      <c r="G12" s="14" t="n">
        <f aca="false">G88</f>
        <v>0.336874319515566</v>
      </c>
    </row>
    <row r="13" customFormat="false" ht="15" hidden="false" customHeight="false" outlineLevel="0" collapsed="false">
      <c r="A13" s="4" t="s">
        <v>367</v>
      </c>
      <c r="B13" s="0" t="s">
        <v>49</v>
      </c>
      <c r="C13" s="14" t="n">
        <f aca="false">C92</f>
        <v>0.1973</v>
      </c>
      <c r="D13" s="14" t="n">
        <f aca="false">D92</f>
        <v>0.27004618465291</v>
      </c>
      <c r="E13" s="14" t="n">
        <f aca="false">E92</f>
        <v>0.283893815860978</v>
      </c>
      <c r="F13" s="14" t="n">
        <f aca="false">F92</f>
        <v>0.29147555492008</v>
      </c>
      <c r="G13" s="14" t="n">
        <f aca="false">G92</f>
        <v>0.293906810897457</v>
      </c>
    </row>
    <row r="14" customFormat="false" ht="15" hidden="false" customHeight="false" outlineLevel="0" collapsed="false">
      <c r="A14" s="4" t="s">
        <v>373</v>
      </c>
      <c r="B14" s="0" t="s">
        <v>189</v>
      </c>
      <c r="C14" s="19" t="n">
        <f aca="false">C95</f>
        <v>19.186</v>
      </c>
      <c r="D14" s="19" t="n">
        <f aca="false">D95</f>
        <v>41.5923093275</v>
      </c>
      <c r="E14" s="19" t="n">
        <f aca="false">E95</f>
        <v>64.0422292145632</v>
      </c>
      <c r="F14" s="19" t="n">
        <f aca="false">F95</f>
        <v>82.3130360209033</v>
      </c>
      <c r="G14" s="19" t="n">
        <f aca="false">G95</f>
        <v>90.9781771788881</v>
      </c>
    </row>
    <row r="15" customFormat="false" ht="15" hidden="false" customHeight="false" outlineLevel="0" collapsed="false">
      <c r="A15" s="0" t="s">
        <v>378</v>
      </c>
      <c r="B15" s="0" t="s">
        <v>252</v>
      </c>
      <c r="C15" s="15" t="n">
        <f aca="false">C97</f>
        <v>49.17</v>
      </c>
      <c r="D15" s="15" t="n">
        <f aca="false">D97</f>
        <v>105.961302834002</v>
      </c>
      <c r="E15" s="15" t="n">
        <f aca="false">E97</f>
        <v>163.155115781997</v>
      </c>
      <c r="F15" s="15" t="n">
        <f aca="false">F97</f>
        <v>209.702146334784</v>
      </c>
      <c r="G15" s="15" t="n">
        <f aca="false">G97</f>
        <v>231.777613198403</v>
      </c>
    </row>
    <row r="16" customFormat="false" ht="17.15" hidden="false" customHeight="false" outlineLevel="0" collapsed="false">
      <c r="A16" s="0" t="s">
        <v>447</v>
      </c>
      <c r="B16" s="0" t="s">
        <v>49</v>
      </c>
      <c r="D16" s="14" t="n">
        <f aca="false">D98</f>
        <v>1.15499904075659</v>
      </c>
      <c r="E16" s="14" t="n">
        <f aca="false">E98</f>
        <v>0.539761322466887</v>
      </c>
      <c r="F16" s="14" t="n">
        <f aca="false">F98</f>
        <v>0.285293110974115</v>
      </c>
      <c r="G16" s="14" t="n">
        <f aca="false">G98</f>
        <v>0.105270581391073</v>
      </c>
    </row>
    <row r="18" customFormat="false" ht="17.15" hidden="false" customHeight="false" outlineLevel="0" collapsed="false">
      <c r="A18" s="1" t="s">
        <v>448</v>
      </c>
    </row>
    <row r="19" customFormat="false" ht="15" hidden="false" customHeight="false" outlineLevel="0" collapsed="false">
      <c r="A19" s="4" t="s">
        <v>353</v>
      </c>
      <c r="B19" s="0" t="s">
        <v>189</v>
      </c>
      <c r="C19" s="19" t="n">
        <f aca="false">C121</f>
        <v>139.639</v>
      </c>
      <c r="D19" s="19" t="n">
        <f aca="false">D121</f>
        <v>225.20035</v>
      </c>
      <c r="E19" s="19" t="n">
        <f aca="false">E121</f>
        <v>330.677779399532</v>
      </c>
      <c r="F19" s="19" t="n">
        <f aca="false">F121</f>
        <v>355.714449847431</v>
      </c>
      <c r="G19" s="19" t="n">
        <f aca="false">G121</f>
        <v>405.496788512835</v>
      </c>
    </row>
    <row r="20" customFormat="false" ht="15" hidden="false" customHeight="false" outlineLevel="0" collapsed="false">
      <c r="A20" s="4" t="s">
        <v>441</v>
      </c>
      <c r="B20" s="0" t="s">
        <v>49</v>
      </c>
      <c r="D20" s="14" t="n">
        <f aca="false">D122</f>
        <v>0.612732474451979</v>
      </c>
      <c r="E20" s="14" t="n">
        <f aca="false">E122</f>
        <v>0.46837151629441</v>
      </c>
      <c r="F20" s="14" t="n">
        <f aca="false">F122</f>
        <v>0.0757131927441954</v>
      </c>
      <c r="G20" s="14" t="n">
        <f aca="false">G122</f>
        <v>0.13995028508613</v>
      </c>
    </row>
    <row r="21" customFormat="false" ht="15" hidden="false" customHeight="false" outlineLevel="0" collapsed="false">
      <c r="A21" s="4" t="s">
        <v>442</v>
      </c>
      <c r="B21" s="0" t="s">
        <v>189</v>
      </c>
      <c r="C21" s="19" t="n">
        <f aca="false">C114</f>
        <v>20.94585</v>
      </c>
      <c r="D21" s="19" t="n">
        <f aca="false">D114</f>
        <v>72.064112</v>
      </c>
      <c r="E21" s="19" t="n">
        <f aca="false">E114</f>
        <v>154.724173474757</v>
      </c>
      <c r="F21" s="19" t="n">
        <f aca="false">F114</f>
        <v>181.425103492404</v>
      </c>
      <c r="G21" s="19" t="n">
        <f aca="false">G114</f>
        <v>219.588868080437</v>
      </c>
    </row>
    <row r="22" customFormat="false" ht="17.15" hidden="false" customHeight="false" outlineLevel="0" collapsed="false">
      <c r="A22" s="0" t="s">
        <v>443</v>
      </c>
      <c r="B22" s="0" t="s">
        <v>189</v>
      </c>
      <c r="C22" s="19" t="n">
        <f aca="false">C118</f>
        <v>30.999858</v>
      </c>
      <c r="D22" s="19" t="n">
        <f aca="false">D118</f>
        <v>47.2920735</v>
      </c>
      <c r="E22" s="19" t="n">
        <f aca="false">E118</f>
        <v>63.1282305747745</v>
      </c>
      <c r="F22" s="19" t="n">
        <f aca="false">F118</f>
        <v>55.4821993083275</v>
      </c>
      <c r="G22" s="19" t="n">
        <f aca="false">G118</f>
        <v>61.9875543988778</v>
      </c>
    </row>
    <row r="23" customFormat="false" ht="15" hidden="false" customHeight="false" outlineLevel="0" collapsed="false">
      <c r="A23" s="4" t="s">
        <v>444</v>
      </c>
      <c r="B23" s="0" t="s">
        <v>189</v>
      </c>
      <c r="C23" s="19" t="n">
        <f aca="false">C119</f>
        <v>20.666572</v>
      </c>
      <c r="D23" s="19" t="n">
        <f aca="false">D119</f>
        <v>31.528049</v>
      </c>
      <c r="E23" s="19" t="n">
        <f aca="false">E119</f>
        <v>34.05029292</v>
      </c>
      <c r="F23" s="19" t="n">
        <f aca="false">F119</f>
        <v>36.0933104952</v>
      </c>
      <c r="G23" s="19" t="n">
        <f aca="false">G119</f>
        <v>37.89797601996</v>
      </c>
    </row>
    <row r="24" customFormat="false" ht="15" hidden="false" customHeight="false" outlineLevel="0" collapsed="false">
      <c r="A24" s="4" t="s">
        <v>445</v>
      </c>
      <c r="B24" s="0" t="s">
        <v>189</v>
      </c>
      <c r="C24" s="19" t="n">
        <f aca="false">C120</f>
        <v>67.02672</v>
      </c>
      <c r="D24" s="19" t="n">
        <f aca="false">D120</f>
        <v>74.3161155</v>
      </c>
      <c r="E24" s="19" t="n">
        <f aca="false">E120</f>
        <v>78.77508243</v>
      </c>
      <c r="F24" s="19" t="n">
        <f aca="false">F120</f>
        <v>82.7138365515</v>
      </c>
      <c r="G24" s="19" t="n">
        <f aca="false">G120</f>
        <v>86.02239001356</v>
      </c>
    </row>
    <row r="25" customFormat="false" ht="17.15" hidden="false" customHeight="false" outlineLevel="0" collapsed="false">
      <c r="A25" s="4" t="s">
        <v>446</v>
      </c>
      <c r="B25" s="0" t="s">
        <v>49</v>
      </c>
      <c r="C25" s="14" t="n">
        <f aca="false">C123</f>
        <v>0.15</v>
      </c>
      <c r="D25" s="14" t="n">
        <f aca="false">D123</f>
        <v>0.32</v>
      </c>
      <c r="E25" s="14" t="n">
        <f aca="false">E123</f>
        <v>0.46790012245672</v>
      </c>
      <c r="F25" s="14" t="n">
        <f aca="false">F123</f>
        <v>0.510030176087079</v>
      </c>
      <c r="G25" s="14" t="n">
        <f aca="false">G123</f>
        <v>0.541530473979294</v>
      </c>
    </row>
    <row r="26" customFormat="false" ht="15" hidden="false" customHeight="false" outlineLevel="0" collapsed="false">
      <c r="A26" s="4" t="s">
        <v>360</v>
      </c>
      <c r="B26" s="0" t="s">
        <v>49</v>
      </c>
      <c r="C26" s="14" t="n">
        <f aca="false">C129</f>
        <v>0.258051117524474</v>
      </c>
      <c r="D26" s="14" t="n">
        <f aca="false">D129</f>
        <v>0.322021503074929</v>
      </c>
      <c r="E26" s="14" t="n">
        <f aca="false">E129</f>
        <v>0.330895510422332</v>
      </c>
      <c r="F26" s="14" t="n">
        <f aca="false">F129</f>
        <v>0.333423313640154</v>
      </c>
      <c r="G26" s="14" t="n">
        <f aca="false">G129</f>
        <v>0.335313331513686</v>
      </c>
    </row>
    <row r="27" customFormat="false" ht="15" hidden="false" customHeight="false" outlineLevel="0" collapsed="false">
      <c r="A27" s="4" t="s">
        <v>367</v>
      </c>
      <c r="B27" s="0" t="s">
        <v>49</v>
      </c>
      <c r="C27" s="14" t="n">
        <f aca="false">C133</f>
        <v>0.1973</v>
      </c>
      <c r="D27" s="14" t="n">
        <f aca="false">D133</f>
        <v>0.27004618465291</v>
      </c>
      <c r="E27" s="14" t="n">
        <f aca="false">E133</f>
        <v>0.283893815860978</v>
      </c>
      <c r="F27" s="14" t="n">
        <f aca="false">F133</f>
        <v>0.287414071820933</v>
      </c>
      <c r="G27" s="14" t="n">
        <f aca="false">G133</f>
        <v>0.290998638990195</v>
      </c>
    </row>
    <row r="28" customFormat="false" ht="15" hidden="false" customHeight="false" outlineLevel="0" collapsed="false">
      <c r="A28" s="4" t="s">
        <v>373</v>
      </c>
      <c r="B28" s="0" t="s">
        <v>189</v>
      </c>
      <c r="C28" s="19" t="n">
        <f aca="false">C136</f>
        <v>19.186</v>
      </c>
      <c r="D28" s="19" t="n">
        <f aca="false">D136</f>
        <v>41.5923093275</v>
      </c>
      <c r="E28" s="19" t="n">
        <f aca="false">E136</f>
        <v>64.0422292145632</v>
      </c>
      <c r="F28" s="19" t="n">
        <f aca="false">F136</f>
        <v>69.6852034444304</v>
      </c>
      <c r="G28" s="19" t="n">
        <f aca="false">G136</f>
        <v>80.3243341611877</v>
      </c>
    </row>
    <row r="29" customFormat="false" ht="15" hidden="false" customHeight="false" outlineLevel="0" collapsed="false">
      <c r="A29" s="0" t="s">
        <v>378</v>
      </c>
      <c r="B29" s="0" t="s">
        <v>252</v>
      </c>
      <c r="C29" s="15" t="n">
        <f aca="false">C138</f>
        <v>49.17</v>
      </c>
      <c r="D29" s="15" t="n">
        <f aca="false">D138</f>
        <v>105.961302834002</v>
      </c>
      <c r="E29" s="15" t="n">
        <f aca="false">E138</f>
        <v>163.155115781997</v>
      </c>
      <c r="F29" s="15" t="n">
        <f aca="false">F138</f>
        <v>177.531256730248</v>
      </c>
      <c r="G29" s="15" t="n">
        <f aca="false">G138</f>
        <v>204.635694305285</v>
      </c>
    </row>
    <row r="30" customFormat="false" ht="17.15" hidden="false" customHeight="false" outlineLevel="0" collapsed="false">
      <c r="A30" s="0" t="s">
        <v>447</v>
      </c>
      <c r="B30" s="0" t="s">
        <v>49</v>
      </c>
      <c r="D30" s="14" t="n">
        <f aca="false">D139</f>
        <v>1.15499904075659</v>
      </c>
      <c r="E30" s="14" t="n">
        <f aca="false">E139</f>
        <v>0.539761322466887</v>
      </c>
      <c r="F30" s="14" t="n">
        <f aca="false">F139</f>
        <v>0.0881133323913714</v>
      </c>
      <c r="G30" s="14" t="n">
        <f aca="false">G139</f>
        <v>0.152674171716257</v>
      </c>
    </row>
    <row r="32" customFormat="false" ht="17.15" hidden="false" customHeight="false" outlineLevel="0" collapsed="false">
      <c r="A32" s="1" t="s">
        <v>449</v>
      </c>
    </row>
    <row r="33" customFormat="false" ht="15" hidden="false" customHeight="false" outlineLevel="0" collapsed="false">
      <c r="A33" s="4" t="s">
        <v>353</v>
      </c>
      <c r="B33" s="0" t="s">
        <v>189</v>
      </c>
      <c r="C33" s="19" t="n">
        <f aca="false">C162</f>
        <v>139.639</v>
      </c>
      <c r="D33" s="19" t="n">
        <f aca="false">D162</f>
        <v>225.20035</v>
      </c>
      <c r="E33" s="19" t="n">
        <f aca="false">E162</f>
        <v>330.677779399532</v>
      </c>
      <c r="F33" s="19" t="n">
        <f aca="false">F162</f>
        <v>296.487624147248</v>
      </c>
      <c r="G33" s="19" t="n">
        <f aca="false">G162</f>
        <v>322.680193665978</v>
      </c>
    </row>
    <row r="34" customFormat="false" ht="15" hidden="false" customHeight="false" outlineLevel="0" collapsed="false">
      <c r="A34" s="4" t="s">
        <v>441</v>
      </c>
      <c r="B34" s="0" t="s">
        <v>49</v>
      </c>
      <c r="D34" s="14" t="n">
        <f aca="false">D163</f>
        <v>0.612732474451979</v>
      </c>
      <c r="E34" s="14" t="n">
        <f aca="false">E163</f>
        <v>0.46837151629441</v>
      </c>
      <c r="F34" s="14" t="n">
        <f aca="false">F163</f>
        <v>-0.103394172158675</v>
      </c>
      <c r="G34" s="14" t="n">
        <f aca="false">G163</f>
        <v>0.088342876347921</v>
      </c>
    </row>
    <row r="35" customFormat="false" ht="15" hidden="false" customHeight="false" outlineLevel="0" collapsed="false">
      <c r="A35" s="4" t="s">
        <v>442</v>
      </c>
      <c r="B35" s="0" t="s">
        <v>189</v>
      </c>
      <c r="C35" s="19" t="n">
        <f aca="false">C155</f>
        <v>20.94585</v>
      </c>
      <c r="D35" s="19" t="n">
        <f aca="false">D155</f>
        <v>72.064112</v>
      </c>
      <c r="E35" s="19" t="n">
        <f aca="false">E155</f>
        <v>154.724173474757</v>
      </c>
      <c r="F35" s="19" t="n">
        <f aca="false">F155</f>
        <v>136.068827619303</v>
      </c>
      <c r="G35" s="19" t="n">
        <f aca="false">G155</f>
        <v>155.003906880309</v>
      </c>
    </row>
    <row r="36" customFormat="false" ht="17.15" hidden="false" customHeight="false" outlineLevel="0" collapsed="false">
      <c r="A36" s="0" t="s">
        <v>443</v>
      </c>
      <c r="B36" s="0" t="s">
        <v>189</v>
      </c>
      <c r="C36" s="19" t="n">
        <f aca="false">C159</f>
        <v>30.999858</v>
      </c>
      <c r="D36" s="19" t="n">
        <f aca="false">D159</f>
        <v>47.2920735</v>
      </c>
      <c r="E36" s="19" t="n">
        <f aca="false">E159</f>
        <v>63.1282305747745</v>
      </c>
      <c r="F36" s="19" t="n">
        <f aca="false">F159</f>
        <v>41.6116494812456</v>
      </c>
      <c r="G36" s="19" t="n">
        <f aca="false">G159</f>
        <v>43.755920752149</v>
      </c>
    </row>
    <row r="37" customFormat="false" ht="15" hidden="false" customHeight="false" outlineLevel="0" collapsed="false">
      <c r="A37" s="4" t="s">
        <v>444</v>
      </c>
      <c r="B37" s="0" t="s">
        <v>189</v>
      </c>
      <c r="C37" s="19" t="n">
        <f aca="false">C160</f>
        <v>20.666572</v>
      </c>
      <c r="D37" s="19" t="n">
        <f aca="false">D160</f>
        <v>31.528049</v>
      </c>
      <c r="E37" s="19" t="n">
        <f aca="false">E160</f>
        <v>34.05029292</v>
      </c>
      <c r="F37" s="19" t="n">
        <f aca="false">F160</f>
        <v>36.0933104952</v>
      </c>
      <c r="G37" s="19" t="n">
        <f aca="false">G160</f>
        <v>37.89797601996</v>
      </c>
    </row>
    <row r="38" customFormat="false" ht="15" hidden="false" customHeight="false" outlineLevel="0" collapsed="false">
      <c r="A38" s="4" t="s">
        <v>445</v>
      </c>
      <c r="B38" s="0" t="s">
        <v>189</v>
      </c>
      <c r="C38" s="19" t="n">
        <f aca="false">C161</f>
        <v>67.02672</v>
      </c>
      <c r="D38" s="19" t="n">
        <f aca="false">D161</f>
        <v>74.3161155</v>
      </c>
      <c r="E38" s="19" t="n">
        <f aca="false">E161</f>
        <v>78.77508243</v>
      </c>
      <c r="F38" s="19" t="n">
        <f aca="false">F161</f>
        <v>82.7138365515</v>
      </c>
      <c r="G38" s="19" t="n">
        <f aca="false">G161</f>
        <v>86.02239001356</v>
      </c>
    </row>
    <row r="39" customFormat="false" ht="17.15" hidden="false" customHeight="false" outlineLevel="0" collapsed="false">
      <c r="A39" s="4" t="s">
        <v>446</v>
      </c>
      <c r="B39" s="0" t="s">
        <v>49</v>
      </c>
      <c r="C39" s="14" t="n">
        <f aca="false">C164</f>
        <v>0.15</v>
      </c>
      <c r="D39" s="14" t="n">
        <f aca="false">D164</f>
        <v>0.32</v>
      </c>
      <c r="E39" s="14" t="n">
        <f aca="false">E164</f>
        <v>0.46790012245672</v>
      </c>
      <c r="F39" s="14" t="n">
        <f aca="false">F164</f>
        <v>0.458935943821133</v>
      </c>
      <c r="G39" s="14" t="n">
        <f aca="false">G164</f>
        <v>0.480363870863301</v>
      </c>
    </row>
    <row r="40" customFormat="false" ht="15" hidden="false" customHeight="false" outlineLevel="0" collapsed="false">
      <c r="A40" s="4" t="s">
        <v>360</v>
      </c>
      <c r="B40" s="0" t="s">
        <v>49</v>
      </c>
      <c r="C40" s="14" t="n">
        <f aca="false">C170</f>
        <v>0.258051117524474</v>
      </c>
      <c r="D40" s="14" t="n">
        <f aca="false">D170</f>
        <v>0.322021503074929</v>
      </c>
      <c r="E40" s="14" t="n">
        <f aca="false">E170</f>
        <v>0.330895510422332</v>
      </c>
      <c r="F40" s="14" t="n">
        <f aca="false">F170</f>
        <v>0.330357659704197</v>
      </c>
      <c r="G40" s="14" t="n">
        <f aca="false">G170</f>
        <v>0.331643335326727</v>
      </c>
    </row>
    <row r="41" customFormat="false" ht="15" hidden="false" customHeight="false" outlineLevel="0" collapsed="false">
      <c r="A41" s="4" t="s">
        <v>367</v>
      </c>
      <c r="B41" s="0" t="s">
        <v>49</v>
      </c>
      <c r="C41" s="14" t="n">
        <f aca="false">C174</f>
        <v>0.1973</v>
      </c>
      <c r="D41" s="14" t="n">
        <f aca="false">D174</f>
        <v>0.27004618465291</v>
      </c>
      <c r="E41" s="14" t="n">
        <f aca="false">E174</f>
        <v>0.283893815860978</v>
      </c>
      <c r="F41" s="14" t="n">
        <f aca="false">F174</f>
        <v>0.277935856162594</v>
      </c>
      <c r="G41" s="14" t="n">
        <f aca="false">G174</f>
        <v>0.28049808525247</v>
      </c>
    </row>
    <row r="42" customFormat="false" ht="15" hidden="false" customHeight="false" outlineLevel="0" collapsed="false">
      <c r="A42" s="4" t="s">
        <v>373</v>
      </c>
      <c r="B42" s="0" t="s">
        <v>189</v>
      </c>
      <c r="C42" s="19" t="n">
        <f aca="false">C177</f>
        <v>19.186</v>
      </c>
      <c r="D42" s="19" t="n">
        <f aca="false">D177</f>
        <v>41.5923093275</v>
      </c>
      <c r="E42" s="19" t="n">
        <f aca="false">E177</f>
        <v>64.0422292145632</v>
      </c>
      <c r="F42" s="19" t="n">
        <f aca="false">F177</f>
        <v>56.2980656198107</v>
      </c>
      <c r="G42" s="19" t="n">
        <f aca="false">G177</f>
        <v>61.7700441187369</v>
      </c>
    </row>
    <row r="43" customFormat="false" ht="15" hidden="false" customHeight="false" outlineLevel="0" collapsed="false">
      <c r="A43" s="0" t="s">
        <v>378</v>
      </c>
      <c r="B43" s="0" t="s">
        <v>252</v>
      </c>
      <c r="C43" s="15" t="n">
        <f aca="false">C179</f>
        <v>49.17</v>
      </c>
      <c r="D43" s="15" t="n">
        <f aca="false">D179</f>
        <v>105.961302834002</v>
      </c>
      <c r="E43" s="15" t="n">
        <f aca="false">E179</f>
        <v>163.155115781997</v>
      </c>
      <c r="F43" s="15" t="n">
        <f aca="false">F179</f>
        <v>143.425947646649</v>
      </c>
      <c r="G43" s="15" t="n">
        <f aca="false">G179</f>
        <v>157.366456846568</v>
      </c>
    </row>
    <row r="44" customFormat="false" ht="17.15" hidden="false" customHeight="false" outlineLevel="0" collapsed="false">
      <c r="A44" s="0" t="s">
        <v>447</v>
      </c>
      <c r="B44" s="0" t="s">
        <v>49</v>
      </c>
      <c r="D44" s="14" t="n">
        <f aca="false">D180</f>
        <v>1.15499904075659</v>
      </c>
      <c r="E44" s="14" t="n">
        <f aca="false">E180</f>
        <v>0.539761322466887</v>
      </c>
      <c r="F44" s="14" t="n">
        <f aca="false">F180</f>
        <v>-0.120922767519647</v>
      </c>
      <c r="G44" s="14" t="n">
        <f aca="false">G180</f>
        <v>0.0971965633043126</v>
      </c>
    </row>
    <row r="46" customFormat="false" ht="17.15" hidden="false" customHeight="false" outlineLevel="0" collapsed="false">
      <c r="A46" s="1" t="s">
        <v>450</v>
      </c>
    </row>
    <row r="47" customFormat="false" ht="17.15" hidden="false" customHeight="false" outlineLevel="0" collapsed="false">
      <c r="A47" s="4" t="s">
        <v>451</v>
      </c>
      <c r="D47" s="21" t="n">
        <f aca="false">D80-a26_rev</f>
        <v>0</v>
      </c>
    </row>
    <row r="48" customFormat="false" ht="17.15" hidden="false" customHeight="false" outlineLevel="0" collapsed="false">
      <c r="A48" s="4" t="s">
        <v>452</v>
      </c>
      <c r="D48" s="21" t="n">
        <f aca="false">D73-a26_lc</f>
        <v>0</v>
      </c>
    </row>
    <row r="49" customFormat="false" ht="17.15" hidden="false" customHeight="false" outlineLevel="0" collapsed="false">
      <c r="A49" s="4" t="s">
        <v>453</v>
      </c>
      <c r="D49" s="21" t="n">
        <f aca="false">D86*D80+d_lc*D73-a26_gp</f>
        <v>0</v>
      </c>
    </row>
    <row r="60" customFormat="false" ht="17.15" hidden="false" customHeight="false" outlineLevel="0" collapsed="false">
      <c r="A60" s="1" t="s">
        <v>454</v>
      </c>
    </row>
    <row r="61" customFormat="false" ht="17.15" hidden="false" customHeight="false" outlineLevel="0" collapsed="false">
      <c r="A61" s="5" t="s">
        <v>18</v>
      </c>
      <c r="B61" s="5" t="s">
        <v>19</v>
      </c>
      <c r="C61" s="11" t="s">
        <v>347</v>
      </c>
      <c r="D61" s="11" t="s">
        <v>436</v>
      </c>
      <c r="E61" s="11" t="s">
        <v>437</v>
      </c>
      <c r="F61" s="11" t="s">
        <v>438</v>
      </c>
      <c r="G61" s="11" t="s">
        <v>439</v>
      </c>
      <c r="H61" s="5" t="s">
        <v>412</v>
      </c>
    </row>
    <row r="62" customFormat="false" ht="17.15" hidden="false" customHeight="false" outlineLevel="0" collapsed="false">
      <c r="A62" s="6" t="s">
        <v>455</v>
      </c>
    </row>
    <row r="63" customFormat="false" ht="17.15" hidden="false" customHeight="false" outlineLevel="0" collapsed="false">
      <c r="A63" s="0" t="s">
        <v>456</v>
      </c>
      <c r="B63" s="0" t="s">
        <v>29</v>
      </c>
      <c r="D63" s="20" t="n">
        <f aca="false">itc_26*1</f>
        <v>781.872916666667</v>
      </c>
      <c r="E63" s="20" t="n">
        <f aca="false">itc_27*1*1</f>
        <v>1565.35</v>
      </c>
      <c r="F63" s="20" t="n">
        <f aca="false">itc_28*um28_A*1</f>
        <v>1984.26388888889</v>
      </c>
      <c r="G63" s="20" t="n">
        <f aca="false">itc_29*um29_A*1</f>
        <v>2260.39027777778</v>
      </c>
    </row>
    <row r="64" customFormat="false" ht="17.15" hidden="false" customHeight="false" outlineLevel="0" collapsed="false">
      <c r="A64" s="4" t="s">
        <v>457</v>
      </c>
      <c r="B64" s="0" t="s">
        <v>29</v>
      </c>
      <c r="D64" s="20" t="n">
        <f aca="false">itpg_gb*(1-vr26)+itpg_vr*vr26</f>
        <v>33.41403216</v>
      </c>
      <c r="E64" s="20" t="n">
        <f aca="false">itpg_vr</f>
        <v>37.586352</v>
      </c>
      <c r="F64" s="20" t="n">
        <f aca="false">itpg_vr</f>
        <v>37.586352</v>
      </c>
      <c r="G64" s="20" t="n">
        <f aca="false">itpg_vr</f>
        <v>37.586352</v>
      </c>
    </row>
    <row r="65" customFormat="false" ht="17.15" hidden="false" customHeight="false" outlineLevel="0" collapsed="false">
      <c r="A65" s="4" t="s">
        <v>458</v>
      </c>
      <c r="B65" s="0" t="s">
        <v>414</v>
      </c>
      <c r="D65" s="17" t="n">
        <f aca="false">D63/D64</f>
        <v>23.3995380420639</v>
      </c>
      <c r="E65" s="17" t="n">
        <f aca="false">E63/E64</f>
        <v>41.6467658260637</v>
      </c>
      <c r="F65" s="17" t="n">
        <f aca="false">F63/F64</f>
        <v>52.792138191248</v>
      </c>
      <c r="G65" s="17" t="n">
        <f aca="false">G63/G64</f>
        <v>60.1385917361116</v>
      </c>
    </row>
    <row r="66" customFormat="false" ht="17.15" hidden="false" customHeight="false" outlineLevel="0" collapsed="false">
      <c r="A66" s="4" t="s">
        <v>459</v>
      </c>
      <c r="B66" s="0" t="s">
        <v>49</v>
      </c>
      <c r="D66" s="14" t="n">
        <f aca="false">lpen_26</f>
        <v>0.55</v>
      </c>
      <c r="E66" s="14" t="n">
        <f aca="false">lpen_27</f>
        <v>0.75</v>
      </c>
      <c r="F66" s="14" t="n">
        <f aca="false">lpen_28</f>
        <v>0.85</v>
      </c>
      <c r="G66" s="14" t="n">
        <f aca="false">lpen_29</f>
        <v>0.9</v>
      </c>
    </row>
    <row r="67" customFormat="false" ht="17.15" hidden="false" customHeight="false" outlineLevel="0" collapsed="false">
      <c r="A67" s="4" t="s">
        <v>460</v>
      </c>
      <c r="B67" s="0" t="s">
        <v>419</v>
      </c>
      <c r="D67" s="18" t="n">
        <f aca="false">((1-vr26)*racks_gb*(cool_gb+mani)+vr26*racks_vr*(cool_vr+mani))/1000</f>
        <v>350.7208</v>
      </c>
      <c r="E67" s="18" t="n">
        <f aca="false">racks_vr*(cool_vr+mani)*lcadj_27/1000</f>
        <v>326.5912</v>
      </c>
      <c r="F67" s="18" t="n">
        <f aca="false">racks_vr*(cool_vr+mani)*lcadj_28/1000</f>
        <v>351.7136</v>
      </c>
      <c r="G67" s="18" t="n">
        <f aca="false">racks_vr*(cool_vr+mani)*lcadj_29/1000</f>
        <v>351.7136</v>
      </c>
      <c r="H67" s="4" t="s">
        <v>461</v>
      </c>
    </row>
    <row r="68" customFormat="false" ht="17.15" hidden="false" customHeight="false" outlineLevel="0" collapsed="false">
      <c r="A68" s="0" t="s">
        <v>462</v>
      </c>
      <c r="B68" s="0" t="s">
        <v>29</v>
      </c>
      <c r="D68" s="20" t="n">
        <f aca="false">D65*D66*D67/1000</f>
        <v>4.5136875859587</v>
      </c>
      <c r="E68" s="20" t="n">
        <f aca="false">E65*E66*E67/1000</f>
        <v>10.2011004204398</v>
      </c>
      <c r="F68" s="20" t="n">
        <f aca="false">F65*F66*F67/1000</f>
        <v>15.7825560287001</v>
      </c>
      <c r="G68" s="20" t="n">
        <f aca="false">G65*G66*G67/1000</f>
        <v>19.0364045385942</v>
      </c>
    </row>
    <row r="69" customFormat="false" ht="17.15" hidden="false" customHeight="false" outlineLevel="0" collapsed="false">
      <c r="A69" s="0" t="s">
        <v>463</v>
      </c>
      <c r="B69" s="0" t="s">
        <v>189</v>
      </c>
      <c r="D69" s="19" t="n">
        <f aca="false">D68*fx</f>
        <v>144.438002750678</v>
      </c>
      <c r="E69" s="19" t="n">
        <f aca="false">E68*fx</f>
        <v>326.435213454075</v>
      </c>
      <c r="F69" s="19" t="n">
        <f aca="false">F68*fx</f>
        <v>505.041792918404</v>
      </c>
      <c r="G69" s="19" t="n">
        <f aca="false">G68*fx</f>
        <v>609.164945235016</v>
      </c>
    </row>
    <row r="70" customFormat="false" ht="17.15" hidden="false" customHeight="false" outlineLevel="0" collapsed="false">
      <c r="A70" s="4" t="s">
        <v>464</v>
      </c>
      <c r="B70" s="0" t="s">
        <v>49</v>
      </c>
      <c r="D70" s="14" t="n">
        <f aca="false">a26_lc/D69</f>
        <v>0.498927641116676</v>
      </c>
      <c r="H70" s="8" t="s">
        <v>465</v>
      </c>
    </row>
    <row r="71" customFormat="false" ht="17.15" hidden="false" customHeight="false" outlineLevel="0" collapsed="false">
      <c r="A71" s="4" t="s">
        <v>466</v>
      </c>
      <c r="B71" s="0" t="s">
        <v>70</v>
      </c>
      <c r="D71" s="15" t="n">
        <f aca="false">1</f>
        <v>1</v>
      </c>
      <c r="E71" s="15" t="n">
        <f aca="false">rel_27</f>
        <v>0.95</v>
      </c>
      <c r="F71" s="15" t="n">
        <f aca="false">rel_28</f>
        <v>0.9</v>
      </c>
      <c r="G71" s="15" t="n">
        <f aca="false">rel_29</f>
        <v>0.85</v>
      </c>
    </row>
    <row r="72" customFormat="false" ht="15" hidden="false" customHeight="false" outlineLevel="0" collapsed="false">
      <c r="A72" s="4" t="s">
        <v>426</v>
      </c>
      <c r="B72" s="0" t="s">
        <v>49</v>
      </c>
      <c r="D72" s="14" t="n">
        <f aca="false">$D$70*D71</f>
        <v>0.498927641116676</v>
      </c>
      <c r="E72" s="14" t="n">
        <f aca="false">$D$70*E71</f>
        <v>0.473981259060843</v>
      </c>
      <c r="F72" s="14" t="n">
        <f aca="false">$D$70*F71</f>
        <v>0.449034877005009</v>
      </c>
      <c r="G72" s="14" t="n">
        <f aca="false">$D$70*G71</f>
        <v>0.424088494949175</v>
      </c>
    </row>
    <row r="73" customFormat="false" ht="15" hidden="false" customHeight="false" outlineLevel="0" collapsed="false">
      <c r="A73" s="4" t="s">
        <v>467</v>
      </c>
      <c r="B73" s="0" t="s">
        <v>189</v>
      </c>
      <c r="C73" s="19" t="n">
        <f aca="false">a25_lc</f>
        <v>20.94585</v>
      </c>
      <c r="D73" s="19" t="n">
        <f aca="false">D69*D72</f>
        <v>72.064112</v>
      </c>
      <c r="E73" s="19" t="n">
        <f aca="false">E69*E72</f>
        <v>154.724173474757</v>
      </c>
      <c r="F73" s="19" t="n">
        <f aca="false">F69*F72</f>
        <v>226.781379365505</v>
      </c>
      <c r="G73" s="19" t="n">
        <f aca="false">G69*G72</f>
        <v>258.339844800514</v>
      </c>
    </row>
    <row r="74" customFormat="false" ht="17.15" hidden="false" customHeight="false" outlineLevel="0" collapsed="false">
      <c r="A74" s="6" t="s">
        <v>468</v>
      </c>
    </row>
    <row r="75" customFormat="false" ht="17.15" hidden="false" customHeight="false" outlineLevel="0" collapsed="false">
      <c r="A75" s="0" t="s">
        <v>469</v>
      </c>
      <c r="B75" s="0" t="s">
        <v>470</v>
      </c>
      <c r="D75" s="22" t="n">
        <f aca="false">a26_air/D65</f>
        <v>2.02106868156909</v>
      </c>
    </row>
    <row r="76" customFormat="false" ht="17.15" hidden="false" customHeight="false" outlineLevel="0" collapsed="false">
      <c r="A76" s="0" t="s">
        <v>471</v>
      </c>
      <c r="B76" s="0" t="s">
        <v>70</v>
      </c>
      <c r="D76" s="15" t="n">
        <f aca="false">1</f>
        <v>1</v>
      </c>
      <c r="E76" s="15" t="n">
        <f aca="false">acr_27</f>
        <v>0.75</v>
      </c>
      <c r="F76" s="15" t="n">
        <f aca="false">acr_28</f>
        <v>0.65</v>
      </c>
      <c r="G76" s="15" t="n">
        <f aca="false">acr_29</f>
        <v>0.6</v>
      </c>
    </row>
    <row r="77" customFormat="false" ht="17.15" hidden="false" customHeight="false" outlineLevel="0" collapsed="false">
      <c r="A77" s="0" t="s">
        <v>472</v>
      </c>
      <c r="B77" s="0" t="s">
        <v>189</v>
      </c>
      <c r="C77" s="19" t="n">
        <f aca="false">a25_air</f>
        <v>30.999858</v>
      </c>
      <c r="D77" s="19" t="n">
        <f aca="false">D65*$D$75*D76</f>
        <v>47.2920735</v>
      </c>
      <c r="E77" s="19" t="n">
        <f aca="false">E65*$D$75*E76</f>
        <v>63.1282305747745</v>
      </c>
      <c r="F77" s="19" t="n">
        <f aca="false">F65*$D$75*F76</f>
        <v>69.3527491354094</v>
      </c>
      <c r="G77" s="19" t="n">
        <f aca="false">G65*$D$75*G76</f>
        <v>72.926534586915</v>
      </c>
    </row>
    <row r="78" customFormat="false" ht="15" hidden="false" customHeight="false" outlineLevel="0" collapsed="false">
      <c r="A78" s="4" t="s">
        <v>473</v>
      </c>
      <c r="B78" s="0" t="s">
        <v>189</v>
      </c>
      <c r="C78" s="19" t="n">
        <f aca="false">a25_gen</f>
        <v>20.666572</v>
      </c>
      <c r="D78" s="19" t="n">
        <f aca="false">a26_gen</f>
        <v>31.528049</v>
      </c>
      <c r="E78" s="19" t="n">
        <f aca="false">D78*(1+g_gen_27)</f>
        <v>34.05029292</v>
      </c>
      <c r="F78" s="19" t="n">
        <f aca="false">E78*(1+g_gen_28)</f>
        <v>36.0933104952</v>
      </c>
      <c r="G78" s="19" t="n">
        <f aca="false">F78*(1+g_gen_29)</f>
        <v>37.89797601996</v>
      </c>
    </row>
    <row r="79" customFormat="false" ht="17.15" hidden="false" customHeight="false" outlineLevel="0" collapsed="false">
      <c r="A79" s="4" t="s">
        <v>474</v>
      </c>
      <c r="B79" s="0" t="s">
        <v>189</v>
      </c>
      <c r="C79" s="19" t="n">
        <f aca="false">a25_nai</f>
        <v>67.02672</v>
      </c>
      <c r="D79" s="19" t="n">
        <f aca="false">a26_nai</f>
        <v>74.3161155</v>
      </c>
      <c r="E79" s="19" t="n">
        <f aca="false">D79*(1+g_nai_27)</f>
        <v>78.77508243</v>
      </c>
      <c r="F79" s="19" t="n">
        <f aca="false">E79*(1+g_nai_28)</f>
        <v>82.7138365515</v>
      </c>
      <c r="G79" s="19" t="n">
        <f aca="false">F79*(1+g_nai_29)</f>
        <v>86.02239001356</v>
      </c>
    </row>
    <row r="80" customFormat="false" ht="15" hidden="false" customHeight="false" outlineLevel="0" collapsed="false">
      <c r="A80" s="4" t="s">
        <v>353</v>
      </c>
      <c r="B80" s="0" t="s">
        <v>189</v>
      </c>
      <c r="C80" s="19" t="n">
        <f aca="false">C73+C77+C78+C79</f>
        <v>139.639</v>
      </c>
      <c r="D80" s="19" t="n">
        <f aca="false">D73+D77+D78+D79</f>
        <v>225.20035</v>
      </c>
      <c r="E80" s="19" t="n">
        <f aca="false">E73+E77+E78+E79</f>
        <v>330.677779399532</v>
      </c>
      <c r="F80" s="19" t="n">
        <f aca="false">F73+F77+F78+F79</f>
        <v>414.941275547614</v>
      </c>
      <c r="G80" s="19" t="n">
        <f aca="false">G73+G77+G78+G79</f>
        <v>455.186745420949</v>
      </c>
    </row>
    <row r="81" customFormat="false" ht="15" hidden="false" customHeight="false" outlineLevel="0" collapsed="false">
      <c r="A81" s="4" t="s">
        <v>475</v>
      </c>
      <c r="B81" s="0" t="s">
        <v>49</v>
      </c>
      <c r="D81" s="14" t="n">
        <f aca="false">D80/C80-1</f>
        <v>0.612732474451979</v>
      </c>
      <c r="E81" s="14" t="n">
        <f aca="false">E80/D80-1</f>
        <v>0.46837151629441</v>
      </c>
      <c r="F81" s="14" t="n">
        <f aca="false">F80/E80-1</f>
        <v>0.254820557647065</v>
      </c>
      <c r="G81" s="14" t="n">
        <f aca="false">G80/F80-1</f>
        <v>0.0969907604882692</v>
      </c>
    </row>
    <row r="82" customFormat="false" ht="17.15" hidden="false" customHeight="false" outlineLevel="0" collapsed="false">
      <c r="A82" s="4" t="s">
        <v>476</v>
      </c>
      <c r="B82" s="0" t="s">
        <v>49</v>
      </c>
      <c r="C82" s="14" t="n">
        <f aca="false">C73/C80</f>
        <v>0.15</v>
      </c>
      <c r="D82" s="14" t="n">
        <f aca="false">D73/D80</f>
        <v>0.32</v>
      </c>
      <c r="E82" s="14" t="n">
        <f aca="false">E73/E80</f>
        <v>0.46790012245672</v>
      </c>
      <c r="F82" s="14" t="n">
        <f aca="false">F73/F80</f>
        <v>0.546538492865557</v>
      </c>
      <c r="G82" s="14" t="n">
        <f aca="false">G73/G80</f>
        <v>0.567546940677295</v>
      </c>
    </row>
    <row r="83" customFormat="false" ht="17.15" hidden="false" customHeight="false" outlineLevel="0" collapsed="false">
      <c r="A83" s="0" t="s">
        <v>477</v>
      </c>
      <c r="B83" s="0" t="s">
        <v>49</v>
      </c>
      <c r="C83" s="14" t="n">
        <f aca="false">(C73+C77)/C80</f>
        <v>0.372</v>
      </c>
      <c r="D83" s="14" t="n">
        <f aca="false">(D73+D77)/D80</f>
        <v>0.53</v>
      </c>
      <c r="E83" s="14" t="n">
        <f aca="false">(E73+E77)/E80</f>
        <v>0.658805694307987</v>
      </c>
      <c r="F83" s="14" t="n">
        <f aca="false">(F73+F77)/F80</f>
        <v>0.713677201936815</v>
      </c>
      <c r="G83" s="14" t="n">
        <f aca="false">(G73+G77)/G80</f>
        <v>0.727759282799589</v>
      </c>
    </row>
    <row r="84" customFormat="false" ht="17.15" hidden="false" customHeight="false" outlineLevel="0" collapsed="false">
      <c r="A84" s="4" t="s">
        <v>431</v>
      </c>
      <c r="B84" s="0" t="s">
        <v>419</v>
      </c>
      <c r="D84" s="18" t="n">
        <f aca="false">(D73+D77)/fx/D65*1000</f>
        <v>159.399762088039</v>
      </c>
      <c r="E84" s="18" t="n">
        <f aca="false">(E73+E77)/fx/E65*1000</f>
        <v>163.467378354919</v>
      </c>
      <c r="F84" s="18" t="n">
        <f aca="false">(F73+F77)/fx/F65*1000</f>
        <v>175.294879743813</v>
      </c>
      <c r="G84" s="18" t="n">
        <f aca="false">(G73+G77)/fx/G65*1000</f>
        <v>172.136959928861</v>
      </c>
    </row>
    <row r="85" customFormat="false" ht="17.15" hidden="false" customHeight="false" outlineLevel="0" collapsed="false">
      <c r="A85" s="6" t="s">
        <v>478</v>
      </c>
    </row>
    <row r="86" customFormat="false" ht="17.15" hidden="false" customHeight="false" outlineLevel="0" collapsed="false">
      <c r="A86" s="4" t="s">
        <v>479</v>
      </c>
      <c r="B86" s="0" t="s">
        <v>49</v>
      </c>
      <c r="D86" s="14" t="n">
        <f aca="false">a26_gp/D80-d_lc*D82</f>
        <v>0.302821503074929</v>
      </c>
      <c r="H86" s="8" t="s">
        <v>480</v>
      </c>
    </row>
    <row r="87" customFormat="false" ht="15" hidden="false" customHeight="false" outlineLevel="0" collapsed="false">
      <c r="A87" s="4" t="s">
        <v>357</v>
      </c>
      <c r="B87" s="0" t="s">
        <v>189</v>
      </c>
      <c r="C87" s="19" t="n">
        <f aca="false">a25_gp</f>
        <v>36.034</v>
      </c>
      <c r="D87" s="19" t="n">
        <f aca="false">a26_gp</f>
        <v>72.5193552</v>
      </c>
      <c r="E87" s="19" t="n">
        <f aca="false">$D$86*E80+d_lc*E73</f>
        <v>109.419792599731</v>
      </c>
      <c r="F87" s="19" t="n">
        <f aca="false">$D$86*F80+d_lc*F73</f>
        <v>139.260023511087</v>
      </c>
      <c r="G87" s="19" t="n">
        <f aca="false">$D$86*G80+d_lc*G73</f>
        <v>153.340725116188</v>
      </c>
    </row>
    <row r="88" customFormat="false" ht="15" hidden="false" customHeight="false" outlineLevel="0" collapsed="false">
      <c r="A88" s="4" t="s">
        <v>360</v>
      </c>
      <c r="B88" s="0" t="s">
        <v>49</v>
      </c>
      <c r="C88" s="14" t="n">
        <f aca="false">C87/C80</f>
        <v>0.258051117524474</v>
      </c>
      <c r="D88" s="14" t="n">
        <f aca="false">D87/D80</f>
        <v>0.322021503074929</v>
      </c>
      <c r="E88" s="14" t="n">
        <f aca="false">E87/E80</f>
        <v>0.330895510422332</v>
      </c>
      <c r="F88" s="14" t="n">
        <f aca="false">F87/F80</f>
        <v>0.335613812646862</v>
      </c>
      <c r="G88" s="14" t="n">
        <f aca="false">G87/G80</f>
        <v>0.336874319515566</v>
      </c>
    </row>
    <row r="89" customFormat="false" ht="15" hidden="false" customHeight="false" outlineLevel="0" collapsed="false">
      <c r="A89" s="4" t="s">
        <v>481</v>
      </c>
      <c r="B89" s="0" t="s">
        <v>189</v>
      </c>
      <c r="C89" s="19" t="n">
        <f aca="false">a25_opx</f>
        <v>8.4832253</v>
      </c>
      <c r="D89" s="19" t="n">
        <f aca="false">a26_opx</f>
        <v>11.7048599</v>
      </c>
      <c r="E89" s="19" t="n">
        <f aca="false">D89*(1+MAX(0,phi*E81))</f>
        <v>15.5424159855636</v>
      </c>
      <c r="F89" s="19" t="n">
        <f aca="false">E89*(1+MAX(0,phi*F81))</f>
        <v>18.3147849616004</v>
      </c>
      <c r="G89" s="19" t="n">
        <f aca="false">F89*(1+MAX(0,phi*G81))</f>
        <v>19.5582404067238</v>
      </c>
    </row>
    <row r="90" customFormat="false" ht="15" hidden="false" customHeight="false" outlineLevel="0" collapsed="false">
      <c r="A90" s="4" t="s">
        <v>362</v>
      </c>
      <c r="B90" s="0" t="s">
        <v>189</v>
      </c>
      <c r="C90" s="19" t="n">
        <f aca="false">C89</f>
        <v>8.4832253</v>
      </c>
      <c r="D90" s="19" t="n">
        <f aca="false">D89</f>
        <v>11.7048599</v>
      </c>
      <c r="E90" s="19" t="n">
        <f aca="false">E89+0*E80</f>
        <v>15.5424159855636</v>
      </c>
      <c r="F90" s="19" t="n">
        <f aca="false">F89+0*F80</f>
        <v>18.3147849616004</v>
      </c>
      <c r="G90" s="19" t="n">
        <f aca="false">G89+0*G80</f>
        <v>19.5582404067238</v>
      </c>
    </row>
    <row r="91" customFormat="false" ht="15" hidden="false" customHeight="false" outlineLevel="0" collapsed="false">
      <c r="A91" s="4" t="s">
        <v>364</v>
      </c>
      <c r="B91" s="0" t="s">
        <v>189</v>
      </c>
      <c r="C91" s="19" t="n">
        <f aca="false">C87-C90</f>
        <v>27.5507747</v>
      </c>
      <c r="D91" s="19" t="n">
        <f aca="false">D87-D90</f>
        <v>60.8144953</v>
      </c>
      <c r="E91" s="19" t="n">
        <f aca="false">E87-E90</f>
        <v>93.8773766141677</v>
      </c>
      <c r="F91" s="19" t="n">
        <f aca="false">F87-F90</f>
        <v>120.945238549486</v>
      </c>
      <c r="G91" s="19" t="n">
        <f aca="false">G87-G90</f>
        <v>133.782484709464</v>
      </c>
    </row>
    <row r="92" customFormat="false" ht="15" hidden="false" customHeight="false" outlineLevel="0" collapsed="false">
      <c r="A92" s="4" t="s">
        <v>367</v>
      </c>
      <c r="B92" s="0" t="s">
        <v>49</v>
      </c>
      <c r="C92" s="14" t="n">
        <f aca="false">C91/C80</f>
        <v>0.1973</v>
      </c>
      <c r="D92" s="14" t="n">
        <f aca="false">D91/D80</f>
        <v>0.27004618465291</v>
      </c>
      <c r="E92" s="14" t="n">
        <f aca="false">E91/E80</f>
        <v>0.283893815860978</v>
      </c>
      <c r="F92" s="14" t="n">
        <f aca="false">F91/F80</f>
        <v>0.29147555492008</v>
      </c>
      <c r="G92" s="14" t="n">
        <f aca="false">G91/G80</f>
        <v>0.293906810897457</v>
      </c>
    </row>
    <row r="93" customFormat="false" ht="15" hidden="false" customHeight="false" outlineLevel="0" collapsed="false">
      <c r="A93" s="4" t="s">
        <v>369</v>
      </c>
      <c r="B93" s="0" t="s">
        <v>189</v>
      </c>
      <c r="C93" s="19" t="n">
        <f aca="false">a25_nop</f>
        <v>1.23179436863779</v>
      </c>
      <c r="D93" s="19" t="n">
        <f aca="false">a26_nop</f>
        <v>0.8186111</v>
      </c>
      <c r="E93" s="19" t="n">
        <f aca="false">nop_f</f>
        <v>1</v>
      </c>
      <c r="F93" s="19" t="n">
        <f aca="false">nop_f</f>
        <v>1</v>
      </c>
      <c r="G93" s="19" t="n">
        <f aca="false">nop_f</f>
        <v>1</v>
      </c>
    </row>
    <row r="94" customFormat="false" ht="17.15" hidden="false" customHeight="false" outlineLevel="0" collapsed="false">
      <c r="A94" s="4" t="s">
        <v>232</v>
      </c>
      <c r="B94" s="0" t="s">
        <v>49</v>
      </c>
      <c r="C94" s="14" t="n">
        <f aca="false">a25_ni/(a25_oi+a25_nop)</f>
        <v>0.666583999303438</v>
      </c>
      <c r="D94" s="14" t="n">
        <f aca="false">a26_ni/(a26_oi+a26_nop)</f>
        <v>0.674837141220258</v>
      </c>
      <c r="E94" s="14" t="n">
        <f aca="false">nir_f</f>
        <v>0.675</v>
      </c>
      <c r="F94" s="14" t="n">
        <f aca="false">nir_f</f>
        <v>0.675</v>
      </c>
      <c r="G94" s="14" t="n">
        <f aca="false">nir_f</f>
        <v>0.675</v>
      </c>
    </row>
    <row r="95" customFormat="false" ht="15" hidden="false" customHeight="false" outlineLevel="0" collapsed="false">
      <c r="A95" s="4" t="s">
        <v>373</v>
      </c>
      <c r="B95" s="0" t="s">
        <v>189</v>
      </c>
      <c r="C95" s="19" t="n">
        <f aca="false">a25_ni</f>
        <v>19.186</v>
      </c>
      <c r="D95" s="19" t="n">
        <f aca="false">a26_ni</f>
        <v>41.5923093275</v>
      </c>
      <c r="E95" s="19" t="n">
        <f aca="false">(E91+E93)*E94</f>
        <v>64.0422292145632</v>
      </c>
      <c r="F95" s="19" t="n">
        <f aca="false">(F91+F93)*F94</f>
        <v>82.3130360209033</v>
      </c>
      <c r="G95" s="19" t="n">
        <f aca="false">(G91+G93)*G94</f>
        <v>90.9781771788881</v>
      </c>
    </row>
    <row r="96" customFormat="false" ht="15" hidden="false" customHeight="false" outlineLevel="0" collapsed="false">
      <c r="A96" s="4" t="s">
        <v>482</v>
      </c>
      <c r="B96" s="4" t="s">
        <v>215</v>
      </c>
      <c r="C96" s="22" t="n">
        <f aca="false">a25_sh</f>
        <v>0.390197274761033</v>
      </c>
      <c r="D96" s="22" t="n">
        <f aca="false">a26_sh</f>
        <v>0.392523574315222</v>
      </c>
      <c r="E96" s="22" t="n">
        <f aca="false">D96*(1+sh_g)</f>
        <v>0.392523574315222</v>
      </c>
      <c r="F96" s="22" t="n">
        <f aca="false">E96*(1+sh_g)</f>
        <v>0.392523574315222</v>
      </c>
      <c r="G96" s="22" t="n">
        <f aca="false">F96*(1+sh_g)</f>
        <v>0.392523574315222</v>
      </c>
    </row>
    <row r="97" customFormat="false" ht="15" hidden="false" customHeight="false" outlineLevel="0" collapsed="false">
      <c r="A97" s="0" t="s">
        <v>378</v>
      </c>
      <c r="B97" s="0" t="s">
        <v>252</v>
      </c>
      <c r="C97" s="20" t="n">
        <f aca="false">C95/C96</f>
        <v>49.17</v>
      </c>
      <c r="D97" s="20" t="n">
        <f aca="false">D95/D96</f>
        <v>105.961302834002</v>
      </c>
      <c r="E97" s="20" t="n">
        <f aca="false">E95/E96</f>
        <v>163.155115781997</v>
      </c>
      <c r="F97" s="20" t="n">
        <f aca="false">F95/F96</f>
        <v>209.702146334784</v>
      </c>
      <c r="G97" s="20" t="n">
        <f aca="false">G95/G96</f>
        <v>231.777613198403</v>
      </c>
    </row>
    <row r="98" customFormat="false" ht="17.15" hidden="false" customHeight="false" outlineLevel="0" collapsed="false">
      <c r="A98" s="0" t="s">
        <v>483</v>
      </c>
      <c r="B98" s="0" t="s">
        <v>49</v>
      </c>
      <c r="D98" s="14" t="n">
        <f aca="false">D97/C97-1</f>
        <v>1.15499904075659</v>
      </c>
      <c r="E98" s="14" t="n">
        <f aca="false">E97/D97-1</f>
        <v>0.539761322466887</v>
      </c>
      <c r="F98" s="14" t="n">
        <f aca="false">F97/E97-1</f>
        <v>0.285293110974115</v>
      </c>
      <c r="G98" s="14" t="n">
        <f aca="false">G97/F97-1</f>
        <v>0.105270581391073</v>
      </c>
    </row>
    <row r="101" customFormat="false" ht="17.15" hidden="false" customHeight="false" outlineLevel="0" collapsed="false">
      <c r="A101" s="1" t="s">
        <v>484</v>
      </c>
    </row>
    <row r="102" customFormat="false" ht="17.15" hidden="false" customHeight="false" outlineLevel="0" collapsed="false">
      <c r="A102" s="5" t="s">
        <v>18</v>
      </c>
      <c r="B102" s="5" t="s">
        <v>19</v>
      </c>
      <c r="C102" s="11" t="s">
        <v>347</v>
      </c>
      <c r="D102" s="11" t="s">
        <v>436</v>
      </c>
      <c r="E102" s="11" t="s">
        <v>437</v>
      </c>
      <c r="F102" s="11" t="s">
        <v>438</v>
      </c>
      <c r="G102" s="11" t="s">
        <v>439</v>
      </c>
      <c r="H102" s="5" t="s">
        <v>412</v>
      </c>
    </row>
    <row r="103" customFormat="false" ht="17.15" hidden="false" customHeight="false" outlineLevel="0" collapsed="false">
      <c r="A103" s="6" t="s">
        <v>455</v>
      </c>
    </row>
    <row r="104" customFormat="false" ht="17.15" hidden="false" customHeight="false" outlineLevel="0" collapsed="false">
      <c r="A104" s="0" t="s">
        <v>456</v>
      </c>
      <c r="B104" s="0" t="s">
        <v>29</v>
      </c>
      <c r="D104" s="20" t="n">
        <f aca="false">itc_26*1</f>
        <v>781.872916666667</v>
      </c>
      <c r="E104" s="20" t="n">
        <f aca="false">itc_27*1*1</f>
        <v>1565.35</v>
      </c>
      <c r="F104" s="20" t="n">
        <f aca="false">itc_28*um28_B*1</f>
        <v>1587.41111111111</v>
      </c>
      <c r="G104" s="20" t="n">
        <f aca="false">itc_29*um29_B*1</f>
        <v>1921.33173611111</v>
      </c>
    </row>
    <row r="105" customFormat="false" ht="17.15" hidden="false" customHeight="false" outlineLevel="0" collapsed="false">
      <c r="A105" s="4" t="s">
        <v>457</v>
      </c>
      <c r="B105" s="0" t="s">
        <v>29</v>
      </c>
      <c r="D105" s="20" t="n">
        <f aca="false">itpg_gb*(1-vr26)+itpg_vr*vr26</f>
        <v>33.41403216</v>
      </c>
      <c r="E105" s="20" t="n">
        <f aca="false">itpg_vr</f>
        <v>37.586352</v>
      </c>
      <c r="F105" s="20" t="n">
        <f aca="false">itpg_vr</f>
        <v>37.586352</v>
      </c>
      <c r="G105" s="20" t="n">
        <f aca="false">itpg_vr</f>
        <v>37.586352</v>
      </c>
    </row>
    <row r="106" customFormat="false" ht="17.15" hidden="false" customHeight="false" outlineLevel="0" collapsed="false">
      <c r="A106" s="4" t="s">
        <v>458</v>
      </c>
      <c r="B106" s="0" t="s">
        <v>414</v>
      </c>
      <c r="D106" s="17" t="n">
        <f aca="false">D104/D105</f>
        <v>23.3995380420639</v>
      </c>
      <c r="E106" s="17" t="n">
        <f aca="false">E104/E105</f>
        <v>41.6467658260637</v>
      </c>
      <c r="F106" s="17" t="n">
        <f aca="false">F104/F105</f>
        <v>42.2337105529984</v>
      </c>
      <c r="G106" s="17" t="n">
        <f aca="false">G104/G105</f>
        <v>51.1178029756948</v>
      </c>
    </row>
    <row r="107" customFormat="false" ht="17.15" hidden="false" customHeight="false" outlineLevel="0" collapsed="false">
      <c r="A107" s="4" t="s">
        <v>459</v>
      </c>
      <c r="B107" s="0" t="s">
        <v>49</v>
      </c>
      <c r="D107" s="14" t="n">
        <f aca="false">lpen_26</f>
        <v>0.55</v>
      </c>
      <c r="E107" s="14" t="n">
        <f aca="false">lpen_27</f>
        <v>0.75</v>
      </c>
      <c r="F107" s="14" t="n">
        <f aca="false">lpen_28</f>
        <v>0.85</v>
      </c>
      <c r="G107" s="14" t="n">
        <f aca="false">lpen_29</f>
        <v>0.9</v>
      </c>
    </row>
    <row r="108" customFormat="false" ht="17.15" hidden="false" customHeight="false" outlineLevel="0" collapsed="false">
      <c r="A108" s="4" t="s">
        <v>460</v>
      </c>
      <c r="B108" s="0" t="s">
        <v>419</v>
      </c>
      <c r="D108" s="18" t="n">
        <f aca="false">((1-vr26)*racks_gb*(cool_gb+mani)+vr26*racks_vr*(cool_vr+mani))/1000</f>
        <v>350.7208</v>
      </c>
      <c r="E108" s="18" t="n">
        <f aca="false">racks_vr*(cool_vr+mani)*lcadj_27/1000</f>
        <v>326.5912</v>
      </c>
      <c r="F108" s="18" t="n">
        <f aca="false">racks_vr*(cool_vr+mani)*lcadj_28/1000</f>
        <v>351.7136</v>
      </c>
      <c r="G108" s="18" t="n">
        <f aca="false">racks_vr*(cool_vr+mani)*lcadj_29/1000</f>
        <v>351.7136</v>
      </c>
      <c r="H108" s="4" t="s">
        <v>461</v>
      </c>
    </row>
    <row r="109" customFormat="false" ht="17.15" hidden="false" customHeight="false" outlineLevel="0" collapsed="false">
      <c r="A109" s="0" t="s">
        <v>462</v>
      </c>
      <c r="B109" s="0" t="s">
        <v>29</v>
      </c>
      <c r="D109" s="20" t="n">
        <f aca="false">D106*D107*D108/1000</f>
        <v>4.5136875859587</v>
      </c>
      <c r="E109" s="20" t="n">
        <f aca="false">E106*E107*E108/1000</f>
        <v>10.2011004204398</v>
      </c>
      <c r="F109" s="20" t="n">
        <f aca="false">F106*F107*F108/1000</f>
        <v>12.6260448229601</v>
      </c>
      <c r="G109" s="20" t="n">
        <f aca="false">G106*G107*G108/1000</f>
        <v>16.1809438578051</v>
      </c>
    </row>
    <row r="110" customFormat="false" ht="17.15" hidden="false" customHeight="false" outlineLevel="0" collapsed="false">
      <c r="A110" s="0" t="s">
        <v>463</v>
      </c>
      <c r="B110" s="0" t="s">
        <v>189</v>
      </c>
      <c r="D110" s="19" t="n">
        <f aca="false">D109*fx</f>
        <v>144.438002750678</v>
      </c>
      <c r="E110" s="19" t="n">
        <f aca="false">E109*fx</f>
        <v>326.435213454075</v>
      </c>
      <c r="F110" s="19" t="n">
        <f aca="false">F109*fx</f>
        <v>404.033434334723</v>
      </c>
      <c r="G110" s="19" t="n">
        <f aca="false">G109*fx</f>
        <v>517.790203449763</v>
      </c>
    </row>
    <row r="111" customFormat="false" ht="17.15" hidden="false" customHeight="false" outlineLevel="0" collapsed="false">
      <c r="A111" s="4" t="s">
        <v>464</v>
      </c>
      <c r="B111" s="0" t="s">
        <v>49</v>
      </c>
      <c r="D111" s="14" t="n">
        <f aca="false">a26_lc/D110</f>
        <v>0.498927641116676</v>
      </c>
      <c r="H111" s="8" t="s">
        <v>465</v>
      </c>
    </row>
    <row r="112" customFormat="false" ht="17.15" hidden="false" customHeight="false" outlineLevel="0" collapsed="false">
      <c r="A112" s="4" t="s">
        <v>466</v>
      </c>
      <c r="B112" s="0" t="s">
        <v>70</v>
      </c>
      <c r="D112" s="15" t="n">
        <f aca="false">1</f>
        <v>1</v>
      </c>
      <c r="E112" s="15" t="n">
        <f aca="false">rel_27</f>
        <v>0.95</v>
      </c>
      <c r="F112" s="15" t="n">
        <f aca="false">rel_28</f>
        <v>0.9</v>
      </c>
      <c r="G112" s="15" t="n">
        <f aca="false">rel_29</f>
        <v>0.85</v>
      </c>
    </row>
    <row r="113" customFormat="false" ht="15" hidden="false" customHeight="false" outlineLevel="0" collapsed="false">
      <c r="A113" s="4" t="s">
        <v>426</v>
      </c>
      <c r="B113" s="0" t="s">
        <v>49</v>
      </c>
      <c r="D113" s="14" t="n">
        <f aca="false">$D$111*D112</f>
        <v>0.498927641116676</v>
      </c>
      <c r="E113" s="14" t="n">
        <f aca="false">$D$111*E112</f>
        <v>0.473981259060843</v>
      </c>
      <c r="F113" s="14" t="n">
        <f aca="false">$D$111*F112</f>
        <v>0.449034877005009</v>
      </c>
      <c r="G113" s="14" t="n">
        <f aca="false">$D$111*G112</f>
        <v>0.424088494949175</v>
      </c>
    </row>
    <row r="114" customFormat="false" ht="15" hidden="false" customHeight="false" outlineLevel="0" collapsed="false">
      <c r="A114" s="4" t="s">
        <v>467</v>
      </c>
      <c r="B114" s="0" t="s">
        <v>189</v>
      </c>
      <c r="C114" s="19" t="n">
        <f aca="false">a25_lc</f>
        <v>20.94585</v>
      </c>
      <c r="D114" s="19" t="n">
        <f aca="false">D110*D113</f>
        <v>72.064112</v>
      </c>
      <c r="E114" s="19" t="n">
        <f aca="false">E110*E113</f>
        <v>154.724173474757</v>
      </c>
      <c r="F114" s="19" t="n">
        <f aca="false">F110*F113</f>
        <v>181.425103492404</v>
      </c>
      <c r="G114" s="19" t="n">
        <f aca="false">G110*G113</f>
        <v>219.588868080437</v>
      </c>
    </row>
    <row r="115" customFormat="false" ht="17.15" hidden="false" customHeight="false" outlineLevel="0" collapsed="false">
      <c r="A115" s="6" t="s">
        <v>468</v>
      </c>
    </row>
    <row r="116" customFormat="false" ht="17.15" hidden="false" customHeight="false" outlineLevel="0" collapsed="false">
      <c r="A116" s="0" t="s">
        <v>469</v>
      </c>
      <c r="B116" s="0" t="s">
        <v>470</v>
      </c>
      <c r="D116" s="22" t="n">
        <f aca="false">a26_air/D106</f>
        <v>2.02106868156909</v>
      </c>
    </row>
    <row r="117" customFormat="false" ht="17.15" hidden="false" customHeight="false" outlineLevel="0" collapsed="false">
      <c r="A117" s="0" t="s">
        <v>471</v>
      </c>
      <c r="B117" s="0" t="s">
        <v>70</v>
      </c>
      <c r="D117" s="15" t="n">
        <f aca="false">1</f>
        <v>1</v>
      </c>
      <c r="E117" s="15" t="n">
        <f aca="false">acr_27</f>
        <v>0.75</v>
      </c>
      <c r="F117" s="15" t="n">
        <f aca="false">acr_28</f>
        <v>0.65</v>
      </c>
      <c r="G117" s="15" t="n">
        <f aca="false">acr_29</f>
        <v>0.6</v>
      </c>
    </row>
    <row r="118" customFormat="false" ht="17.15" hidden="false" customHeight="false" outlineLevel="0" collapsed="false">
      <c r="A118" s="0" t="s">
        <v>472</v>
      </c>
      <c r="B118" s="0" t="s">
        <v>189</v>
      </c>
      <c r="C118" s="19" t="n">
        <f aca="false">a25_air</f>
        <v>30.999858</v>
      </c>
      <c r="D118" s="19" t="n">
        <f aca="false">D106*$D$116*D117</f>
        <v>47.2920735</v>
      </c>
      <c r="E118" s="19" t="n">
        <f aca="false">E106*$D$116*E117</f>
        <v>63.1282305747745</v>
      </c>
      <c r="F118" s="19" t="n">
        <f aca="false">F106*$D$116*F117</f>
        <v>55.4821993083275</v>
      </c>
      <c r="G118" s="19" t="n">
        <f aca="false">G106*$D$116*G117</f>
        <v>61.9875543988778</v>
      </c>
    </row>
    <row r="119" customFormat="false" ht="15" hidden="false" customHeight="false" outlineLevel="0" collapsed="false">
      <c r="A119" s="4" t="s">
        <v>473</v>
      </c>
      <c r="B119" s="0" t="s">
        <v>189</v>
      </c>
      <c r="C119" s="19" t="n">
        <f aca="false">a25_gen</f>
        <v>20.666572</v>
      </c>
      <c r="D119" s="19" t="n">
        <f aca="false">a26_gen</f>
        <v>31.528049</v>
      </c>
      <c r="E119" s="19" t="n">
        <f aca="false">D119*(1+g_gen_27)</f>
        <v>34.05029292</v>
      </c>
      <c r="F119" s="19" t="n">
        <f aca="false">E119*(1+g_gen_28)</f>
        <v>36.0933104952</v>
      </c>
      <c r="G119" s="19" t="n">
        <f aca="false">F119*(1+g_gen_29)</f>
        <v>37.89797601996</v>
      </c>
    </row>
    <row r="120" customFormat="false" ht="17.15" hidden="false" customHeight="false" outlineLevel="0" collapsed="false">
      <c r="A120" s="4" t="s">
        <v>474</v>
      </c>
      <c r="B120" s="0" t="s">
        <v>189</v>
      </c>
      <c r="C120" s="19" t="n">
        <f aca="false">a25_nai</f>
        <v>67.02672</v>
      </c>
      <c r="D120" s="19" t="n">
        <f aca="false">a26_nai</f>
        <v>74.3161155</v>
      </c>
      <c r="E120" s="19" t="n">
        <f aca="false">D120*(1+g_nai_27)</f>
        <v>78.77508243</v>
      </c>
      <c r="F120" s="19" t="n">
        <f aca="false">E120*(1+g_nai_28)</f>
        <v>82.7138365515</v>
      </c>
      <c r="G120" s="19" t="n">
        <f aca="false">F120*(1+g_nai_29)</f>
        <v>86.02239001356</v>
      </c>
    </row>
    <row r="121" customFormat="false" ht="15" hidden="false" customHeight="false" outlineLevel="0" collapsed="false">
      <c r="A121" s="4" t="s">
        <v>353</v>
      </c>
      <c r="B121" s="0" t="s">
        <v>189</v>
      </c>
      <c r="C121" s="19" t="n">
        <f aca="false">C114+C118+C119+C120</f>
        <v>139.639</v>
      </c>
      <c r="D121" s="19" t="n">
        <f aca="false">D114+D118+D119+D120</f>
        <v>225.20035</v>
      </c>
      <c r="E121" s="19" t="n">
        <f aca="false">E114+E118+E119+E120</f>
        <v>330.677779399532</v>
      </c>
      <c r="F121" s="19" t="n">
        <f aca="false">F114+F118+F119+F120</f>
        <v>355.714449847431</v>
      </c>
      <c r="G121" s="19" t="n">
        <f aca="false">G114+G118+G119+G120</f>
        <v>405.496788512835</v>
      </c>
    </row>
    <row r="122" customFormat="false" ht="15" hidden="false" customHeight="false" outlineLevel="0" collapsed="false">
      <c r="A122" s="4" t="s">
        <v>475</v>
      </c>
      <c r="B122" s="0" t="s">
        <v>49</v>
      </c>
      <c r="D122" s="14" t="n">
        <f aca="false">D121/C121-1</f>
        <v>0.612732474451979</v>
      </c>
      <c r="E122" s="14" t="n">
        <f aca="false">E121/D121-1</f>
        <v>0.46837151629441</v>
      </c>
      <c r="F122" s="14" t="n">
        <f aca="false">F121/E121-1</f>
        <v>0.0757131927441954</v>
      </c>
      <c r="G122" s="14" t="n">
        <f aca="false">G121/F121-1</f>
        <v>0.13995028508613</v>
      </c>
    </row>
    <row r="123" customFormat="false" ht="17.15" hidden="false" customHeight="false" outlineLevel="0" collapsed="false">
      <c r="A123" s="4" t="s">
        <v>476</v>
      </c>
      <c r="B123" s="0" t="s">
        <v>49</v>
      </c>
      <c r="C123" s="14" t="n">
        <f aca="false">C114/C121</f>
        <v>0.15</v>
      </c>
      <c r="D123" s="14" t="n">
        <f aca="false">D114/D121</f>
        <v>0.32</v>
      </c>
      <c r="E123" s="14" t="n">
        <f aca="false">E114/E121</f>
        <v>0.46790012245672</v>
      </c>
      <c r="F123" s="14" t="n">
        <f aca="false">F114/F121</f>
        <v>0.510030176087079</v>
      </c>
      <c r="G123" s="14" t="n">
        <f aca="false">G114/G121</f>
        <v>0.541530473979294</v>
      </c>
    </row>
    <row r="124" customFormat="false" ht="17.15" hidden="false" customHeight="false" outlineLevel="0" collapsed="false">
      <c r="A124" s="0" t="s">
        <v>477</v>
      </c>
      <c r="B124" s="0" t="s">
        <v>49</v>
      </c>
      <c r="C124" s="14" t="n">
        <f aca="false">(C114+C118)/C121</f>
        <v>0.372</v>
      </c>
      <c r="D124" s="14" t="n">
        <f aca="false">(D114+D118)/D121</f>
        <v>0.53</v>
      </c>
      <c r="E124" s="14" t="n">
        <f aca="false">(E114+E118)/E121</f>
        <v>0.658805694307987</v>
      </c>
      <c r="F124" s="14" t="n">
        <f aca="false">(F114+F118)/F121</f>
        <v>0.66600415839824</v>
      </c>
      <c r="G124" s="14" t="n">
        <f aca="false">(G114+G118)/G121</f>
        <v>0.694398649893136</v>
      </c>
    </row>
    <row r="125" customFormat="false" ht="17.15" hidden="false" customHeight="false" outlineLevel="0" collapsed="false">
      <c r="A125" s="4" t="s">
        <v>431</v>
      </c>
      <c r="B125" s="0" t="s">
        <v>419</v>
      </c>
      <c r="D125" s="18" t="n">
        <f aca="false">(D114+D118)/fx/D106*1000</f>
        <v>159.399762088039</v>
      </c>
      <c r="E125" s="18" t="n">
        <f aca="false">(E114+E118)/fx/E106*1000</f>
        <v>163.467378354919</v>
      </c>
      <c r="F125" s="18" t="n">
        <f aca="false">(F114+F118)/fx/F106*1000</f>
        <v>175.294879743813</v>
      </c>
      <c r="G125" s="18" t="n">
        <f aca="false">(G114+G118)/fx/G106*1000</f>
        <v>172.136959928861</v>
      </c>
    </row>
    <row r="126" customFormat="false" ht="17.15" hidden="false" customHeight="false" outlineLevel="0" collapsed="false">
      <c r="A126" s="6" t="s">
        <v>478</v>
      </c>
    </row>
    <row r="127" customFormat="false" ht="17.15" hidden="false" customHeight="false" outlineLevel="0" collapsed="false">
      <c r="A127" s="4" t="s">
        <v>479</v>
      </c>
      <c r="B127" s="0" t="s">
        <v>49</v>
      </c>
      <c r="D127" s="14" t="n">
        <f aca="false">a26_gp/D121-d_lc*D123</f>
        <v>0.302821503074929</v>
      </c>
      <c r="H127" s="8" t="s">
        <v>480</v>
      </c>
    </row>
    <row r="128" customFormat="false" ht="15" hidden="false" customHeight="false" outlineLevel="0" collapsed="false">
      <c r="A128" s="4" t="s">
        <v>357</v>
      </c>
      <c r="B128" s="0" t="s">
        <v>189</v>
      </c>
      <c r="C128" s="19" t="n">
        <f aca="false">a25_gp</f>
        <v>36.034</v>
      </c>
      <c r="D128" s="19" t="n">
        <f aca="false">a26_gp</f>
        <v>72.5193552</v>
      </c>
      <c r="E128" s="19" t="n">
        <f aca="false">$D$127*E121+d_lc*E114</f>
        <v>109.419792599731</v>
      </c>
      <c r="F128" s="19" t="n">
        <f aca="false">$D$127*F121+d_lc*F114</f>
        <v>118.603490577815</v>
      </c>
      <c r="G128" s="19" t="n">
        <f aca="false">$D$127*G121+d_lc*G114</f>
        <v>135.968479074339</v>
      </c>
    </row>
    <row r="129" customFormat="false" ht="15" hidden="false" customHeight="false" outlineLevel="0" collapsed="false">
      <c r="A129" s="4" t="s">
        <v>360</v>
      </c>
      <c r="B129" s="0" t="s">
        <v>49</v>
      </c>
      <c r="C129" s="14" t="n">
        <f aca="false">C128/C121</f>
        <v>0.258051117524474</v>
      </c>
      <c r="D129" s="14" t="n">
        <f aca="false">D128/D121</f>
        <v>0.322021503074929</v>
      </c>
      <c r="E129" s="14" t="n">
        <f aca="false">E128/E121</f>
        <v>0.330895510422332</v>
      </c>
      <c r="F129" s="14" t="n">
        <f aca="false">F128/F121</f>
        <v>0.333423313640154</v>
      </c>
      <c r="G129" s="14" t="n">
        <f aca="false">G128/G121</f>
        <v>0.335313331513686</v>
      </c>
    </row>
    <row r="130" customFormat="false" ht="15" hidden="false" customHeight="false" outlineLevel="0" collapsed="false">
      <c r="A130" s="4" t="s">
        <v>481</v>
      </c>
      <c r="B130" s="0" t="s">
        <v>189</v>
      </c>
      <c r="C130" s="19" t="n">
        <f aca="false">a25_opx</f>
        <v>8.4832253</v>
      </c>
      <c r="D130" s="19" t="n">
        <f aca="false">a26_opx</f>
        <v>11.7048599</v>
      </c>
      <c r="E130" s="19" t="n">
        <f aca="false">D130*(1+MAX(0,phi*E122))</f>
        <v>15.5424159855636</v>
      </c>
      <c r="F130" s="19" t="n">
        <f aca="false">E130*(1+MAX(0,phi*F122))</f>
        <v>16.3661521416215</v>
      </c>
      <c r="G130" s="19" t="n">
        <f aca="false">F130*(1+MAX(0,phi*G122))</f>
        <v>17.9694655022095</v>
      </c>
    </row>
    <row r="131" customFormat="false" ht="15" hidden="false" customHeight="false" outlineLevel="0" collapsed="false">
      <c r="A131" s="4" t="s">
        <v>362</v>
      </c>
      <c r="B131" s="0" t="s">
        <v>189</v>
      </c>
      <c r="C131" s="19" t="n">
        <f aca="false">C130</f>
        <v>8.4832253</v>
      </c>
      <c r="D131" s="19" t="n">
        <f aca="false">D130</f>
        <v>11.7048599</v>
      </c>
      <c r="E131" s="19" t="n">
        <f aca="false">E130+0*E121</f>
        <v>15.5424159855636</v>
      </c>
      <c r="F131" s="19" t="n">
        <f aca="false">F130+0*F121</f>
        <v>16.3661521416215</v>
      </c>
      <c r="G131" s="19" t="n">
        <f aca="false">G130+0*G121</f>
        <v>17.9694655022095</v>
      </c>
    </row>
    <row r="132" customFormat="false" ht="15" hidden="false" customHeight="false" outlineLevel="0" collapsed="false">
      <c r="A132" s="4" t="s">
        <v>364</v>
      </c>
      <c r="B132" s="0" t="s">
        <v>189</v>
      </c>
      <c r="C132" s="19" t="n">
        <f aca="false">C128-C131</f>
        <v>27.5507747</v>
      </c>
      <c r="D132" s="19" t="n">
        <f aca="false">D128-D131</f>
        <v>60.8144953</v>
      </c>
      <c r="E132" s="19" t="n">
        <f aca="false">E128-E131</f>
        <v>93.8773766141677</v>
      </c>
      <c r="F132" s="19" t="n">
        <f aca="false">F128-F131</f>
        <v>102.237338436193</v>
      </c>
      <c r="G132" s="19" t="n">
        <f aca="false">G128-G131</f>
        <v>117.99901357213</v>
      </c>
    </row>
    <row r="133" customFormat="false" ht="15" hidden="false" customHeight="false" outlineLevel="0" collapsed="false">
      <c r="A133" s="4" t="s">
        <v>367</v>
      </c>
      <c r="B133" s="0" t="s">
        <v>49</v>
      </c>
      <c r="C133" s="14" t="n">
        <f aca="false">C132/C121</f>
        <v>0.1973</v>
      </c>
      <c r="D133" s="14" t="n">
        <f aca="false">D132/D121</f>
        <v>0.27004618465291</v>
      </c>
      <c r="E133" s="14" t="n">
        <f aca="false">E132/E121</f>
        <v>0.283893815860978</v>
      </c>
      <c r="F133" s="14" t="n">
        <f aca="false">F132/F121</f>
        <v>0.287414071820933</v>
      </c>
      <c r="G133" s="14" t="n">
        <f aca="false">G132/G121</f>
        <v>0.290998638990195</v>
      </c>
    </row>
    <row r="134" customFormat="false" ht="15" hidden="false" customHeight="false" outlineLevel="0" collapsed="false">
      <c r="A134" s="4" t="s">
        <v>369</v>
      </c>
      <c r="B134" s="0" t="s">
        <v>189</v>
      </c>
      <c r="C134" s="19" t="n">
        <f aca="false">a25_nop</f>
        <v>1.23179436863779</v>
      </c>
      <c r="D134" s="19" t="n">
        <f aca="false">a26_nop</f>
        <v>0.8186111</v>
      </c>
      <c r="E134" s="19" t="n">
        <f aca="false">nop_f</f>
        <v>1</v>
      </c>
      <c r="F134" s="19" t="n">
        <f aca="false">nop_f</f>
        <v>1</v>
      </c>
      <c r="G134" s="19" t="n">
        <f aca="false">nop_f</f>
        <v>1</v>
      </c>
    </row>
    <row r="135" customFormat="false" ht="17.15" hidden="false" customHeight="false" outlineLevel="0" collapsed="false">
      <c r="A135" s="4" t="s">
        <v>232</v>
      </c>
      <c r="B135" s="0" t="s">
        <v>49</v>
      </c>
      <c r="C135" s="14" t="n">
        <f aca="false">a25_ni/(a25_oi+a25_nop)</f>
        <v>0.666583999303438</v>
      </c>
      <c r="D135" s="14" t="n">
        <f aca="false">a26_ni/(a26_oi+a26_nop)</f>
        <v>0.674837141220258</v>
      </c>
      <c r="E135" s="14" t="n">
        <f aca="false">nir_f</f>
        <v>0.675</v>
      </c>
      <c r="F135" s="14" t="n">
        <f aca="false">nir_f</f>
        <v>0.675</v>
      </c>
      <c r="G135" s="14" t="n">
        <f aca="false">nir_f</f>
        <v>0.675</v>
      </c>
    </row>
    <row r="136" customFormat="false" ht="15" hidden="false" customHeight="false" outlineLevel="0" collapsed="false">
      <c r="A136" s="4" t="s">
        <v>373</v>
      </c>
      <c r="B136" s="0" t="s">
        <v>189</v>
      </c>
      <c r="C136" s="19" t="n">
        <f aca="false">a25_ni</f>
        <v>19.186</v>
      </c>
      <c r="D136" s="19" t="n">
        <f aca="false">a26_ni</f>
        <v>41.5923093275</v>
      </c>
      <c r="E136" s="19" t="n">
        <f aca="false">(E132+E134)*E135</f>
        <v>64.0422292145632</v>
      </c>
      <c r="F136" s="19" t="n">
        <f aca="false">(F132+F134)*F135</f>
        <v>69.6852034444304</v>
      </c>
      <c r="G136" s="19" t="n">
        <f aca="false">(G132+G134)*G135</f>
        <v>80.3243341611877</v>
      </c>
    </row>
    <row r="137" customFormat="false" ht="15" hidden="false" customHeight="false" outlineLevel="0" collapsed="false">
      <c r="A137" s="4" t="s">
        <v>482</v>
      </c>
      <c r="B137" s="4" t="s">
        <v>215</v>
      </c>
      <c r="C137" s="22" t="n">
        <f aca="false">a25_sh</f>
        <v>0.390197274761033</v>
      </c>
      <c r="D137" s="22" t="n">
        <f aca="false">a26_sh</f>
        <v>0.392523574315222</v>
      </c>
      <c r="E137" s="22" t="n">
        <f aca="false">D137*(1+sh_g)</f>
        <v>0.392523574315222</v>
      </c>
      <c r="F137" s="22" t="n">
        <f aca="false">E137*(1+sh_g)</f>
        <v>0.392523574315222</v>
      </c>
      <c r="G137" s="22" t="n">
        <f aca="false">F137*(1+sh_g)</f>
        <v>0.392523574315222</v>
      </c>
    </row>
    <row r="138" customFormat="false" ht="15" hidden="false" customHeight="false" outlineLevel="0" collapsed="false">
      <c r="A138" s="0" t="s">
        <v>378</v>
      </c>
      <c r="B138" s="0" t="s">
        <v>252</v>
      </c>
      <c r="C138" s="20" t="n">
        <f aca="false">C136/C137</f>
        <v>49.17</v>
      </c>
      <c r="D138" s="20" t="n">
        <f aca="false">D136/D137</f>
        <v>105.961302834002</v>
      </c>
      <c r="E138" s="20" t="n">
        <f aca="false">E136/E137</f>
        <v>163.155115781997</v>
      </c>
      <c r="F138" s="20" t="n">
        <f aca="false">F136/F137</f>
        <v>177.531256730248</v>
      </c>
      <c r="G138" s="20" t="n">
        <f aca="false">G136/G137</f>
        <v>204.635694305285</v>
      </c>
    </row>
    <row r="139" customFormat="false" ht="17.15" hidden="false" customHeight="false" outlineLevel="0" collapsed="false">
      <c r="A139" s="0" t="s">
        <v>483</v>
      </c>
      <c r="B139" s="0" t="s">
        <v>49</v>
      </c>
      <c r="D139" s="14" t="n">
        <f aca="false">D138/C138-1</f>
        <v>1.15499904075659</v>
      </c>
      <c r="E139" s="14" t="n">
        <f aca="false">E138/D138-1</f>
        <v>0.539761322466887</v>
      </c>
      <c r="F139" s="14" t="n">
        <f aca="false">F138/E138-1</f>
        <v>0.0881133323913714</v>
      </c>
      <c r="G139" s="14" t="n">
        <f aca="false">G138/F138-1</f>
        <v>0.152674171716257</v>
      </c>
    </row>
    <row r="142" customFormat="false" ht="17.15" hidden="false" customHeight="false" outlineLevel="0" collapsed="false">
      <c r="A142" s="1" t="s">
        <v>485</v>
      </c>
    </row>
    <row r="143" customFormat="false" ht="17.15" hidden="false" customHeight="false" outlineLevel="0" collapsed="false">
      <c r="A143" s="5" t="s">
        <v>18</v>
      </c>
      <c r="B143" s="5" t="s">
        <v>19</v>
      </c>
      <c r="C143" s="11" t="s">
        <v>347</v>
      </c>
      <c r="D143" s="11" t="s">
        <v>436</v>
      </c>
      <c r="E143" s="11" t="s">
        <v>437</v>
      </c>
      <c r="F143" s="11" t="s">
        <v>438</v>
      </c>
      <c r="G143" s="11" t="s">
        <v>439</v>
      </c>
      <c r="H143" s="5" t="s">
        <v>412</v>
      </c>
    </row>
    <row r="144" customFormat="false" ht="17.15" hidden="false" customHeight="false" outlineLevel="0" collapsed="false">
      <c r="A144" s="6" t="s">
        <v>455</v>
      </c>
    </row>
    <row r="145" customFormat="false" ht="17.15" hidden="false" customHeight="false" outlineLevel="0" collapsed="false">
      <c r="A145" s="0" t="s">
        <v>456</v>
      </c>
      <c r="B145" s="0" t="s">
        <v>29</v>
      </c>
      <c r="D145" s="20" t="n">
        <f aca="false">itc_26*1</f>
        <v>781.872916666667</v>
      </c>
      <c r="E145" s="20" t="n">
        <f aca="false">itc_27*1*1</f>
        <v>1565.35</v>
      </c>
      <c r="F145" s="20" t="n">
        <f aca="false">itc_28*um28_C*1</f>
        <v>1190.55833333333</v>
      </c>
      <c r="G145" s="20" t="n">
        <f aca="false">itc_29*um29_C*1</f>
        <v>1356.23416666667</v>
      </c>
    </row>
    <row r="146" customFormat="false" ht="17.15" hidden="false" customHeight="false" outlineLevel="0" collapsed="false">
      <c r="A146" s="4" t="s">
        <v>457</v>
      </c>
      <c r="B146" s="0" t="s">
        <v>29</v>
      </c>
      <c r="D146" s="20" t="n">
        <f aca="false">itpg_gb*(1-vr26)+itpg_vr*vr26</f>
        <v>33.41403216</v>
      </c>
      <c r="E146" s="20" t="n">
        <f aca="false">itpg_vr</f>
        <v>37.586352</v>
      </c>
      <c r="F146" s="20" t="n">
        <f aca="false">itpg_vr</f>
        <v>37.586352</v>
      </c>
      <c r="G146" s="20" t="n">
        <f aca="false">itpg_vr</f>
        <v>37.586352</v>
      </c>
    </row>
    <row r="147" customFormat="false" ht="17.15" hidden="false" customHeight="false" outlineLevel="0" collapsed="false">
      <c r="A147" s="4" t="s">
        <v>458</v>
      </c>
      <c r="B147" s="0" t="s">
        <v>414</v>
      </c>
      <c r="D147" s="17" t="n">
        <f aca="false">D145/D146</f>
        <v>23.3995380420639</v>
      </c>
      <c r="E147" s="17" t="n">
        <f aca="false">E145/E146</f>
        <v>41.6467658260637</v>
      </c>
      <c r="F147" s="17" t="n">
        <f aca="false">F145/F146</f>
        <v>31.6752829147488</v>
      </c>
      <c r="G147" s="17" t="n">
        <f aca="false">G145/G146</f>
        <v>36.0831550416669</v>
      </c>
    </row>
    <row r="148" customFormat="false" ht="17.15" hidden="false" customHeight="false" outlineLevel="0" collapsed="false">
      <c r="A148" s="4" t="s">
        <v>459</v>
      </c>
      <c r="B148" s="0" t="s">
        <v>49</v>
      </c>
      <c r="D148" s="14" t="n">
        <f aca="false">lpen_26</f>
        <v>0.55</v>
      </c>
      <c r="E148" s="14" t="n">
        <f aca="false">lpen_27</f>
        <v>0.75</v>
      </c>
      <c r="F148" s="14" t="n">
        <f aca="false">lpen_28</f>
        <v>0.85</v>
      </c>
      <c r="G148" s="14" t="n">
        <f aca="false">lpen_29</f>
        <v>0.9</v>
      </c>
    </row>
    <row r="149" customFormat="false" ht="17.15" hidden="false" customHeight="false" outlineLevel="0" collapsed="false">
      <c r="A149" s="4" t="s">
        <v>460</v>
      </c>
      <c r="B149" s="0" t="s">
        <v>419</v>
      </c>
      <c r="D149" s="18" t="n">
        <f aca="false">((1-vr26)*racks_gb*(cool_gb+mani)+vr26*racks_vr*(cool_vr+mani))/1000</f>
        <v>350.7208</v>
      </c>
      <c r="E149" s="18" t="n">
        <f aca="false">racks_vr*(cool_vr+mani)*lcadj_27/1000</f>
        <v>326.5912</v>
      </c>
      <c r="F149" s="18" t="n">
        <f aca="false">racks_vr*(cool_vr+mani)*lcadj_28/1000</f>
        <v>351.7136</v>
      </c>
      <c r="G149" s="18" t="n">
        <f aca="false">racks_vr*(cool_vr+mani)*lcadj_29/1000</f>
        <v>351.7136</v>
      </c>
      <c r="H149" s="4" t="s">
        <v>461</v>
      </c>
    </row>
    <row r="150" customFormat="false" ht="17.15" hidden="false" customHeight="false" outlineLevel="0" collapsed="false">
      <c r="A150" s="0" t="s">
        <v>462</v>
      </c>
      <c r="B150" s="0" t="s">
        <v>29</v>
      </c>
      <c r="D150" s="20" t="n">
        <f aca="false">D147*D148*D149/1000</f>
        <v>4.5136875859587</v>
      </c>
      <c r="E150" s="20" t="n">
        <f aca="false">E147*E148*E149/1000</f>
        <v>10.2011004204398</v>
      </c>
      <c r="F150" s="20" t="n">
        <f aca="false">F147*F148*F149/1000</f>
        <v>9.46953361722007</v>
      </c>
      <c r="G150" s="20" t="n">
        <f aca="false">G147*G148*G149/1000</f>
        <v>11.4218427231565</v>
      </c>
    </row>
    <row r="151" customFormat="false" ht="17.15" hidden="false" customHeight="false" outlineLevel="0" collapsed="false">
      <c r="A151" s="0" t="s">
        <v>463</v>
      </c>
      <c r="B151" s="0" t="s">
        <v>189</v>
      </c>
      <c r="D151" s="19" t="n">
        <f aca="false">D150*fx</f>
        <v>144.438002750678</v>
      </c>
      <c r="E151" s="19" t="n">
        <f aca="false">E150*fx</f>
        <v>326.435213454075</v>
      </c>
      <c r="F151" s="19" t="n">
        <f aca="false">F150*fx</f>
        <v>303.025075751042</v>
      </c>
      <c r="G151" s="19" t="n">
        <f aca="false">G150*fx</f>
        <v>365.498967141009</v>
      </c>
    </row>
    <row r="152" customFormat="false" ht="17.15" hidden="false" customHeight="false" outlineLevel="0" collapsed="false">
      <c r="A152" s="4" t="s">
        <v>464</v>
      </c>
      <c r="B152" s="0" t="s">
        <v>49</v>
      </c>
      <c r="D152" s="14" t="n">
        <f aca="false">a26_lc/D151</f>
        <v>0.498927641116676</v>
      </c>
      <c r="H152" s="8" t="s">
        <v>465</v>
      </c>
    </row>
    <row r="153" customFormat="false" ht="17.15" hidden="false" customHeight="false" outlineLevel="0" collapsed="false">
      <c r="A153" s="4" t="s">
        <v>466</v>
      </c>
      <c r="B153" s="0" t="s">
        <v>70</v>
      </c>
      <c r="D153" s="15" t="n">
        <f aca="false">1</f>
        <v>1</v>
      </c>
      <c r="E153" s="15" t="n">
        <f aca="false">rel_27</f>
        <v>0.95</v>
      </c>
      <c r="F153" s="15" t="n">
        <f aca="false">rel_28</f>
        <v>0.9</v>
      </c>
      <c r="G153" s="15" t="n">
        <f aca="false">rel_29</f>
        <v>0.85</v>
      </c>
    </row>
    <row r="154" customFormat="false" ht="15" hidden="false" customHeight="false" outlineLevel="0" collapsed="false">
      <c r="A154" s="4" t="s">
        <v>426</v>
      </c>
      <c r="B154" s="0" t="s">
        <v>49</v>
      </c>
      <c r="D154" s="14" t="n">
        <f aca="false">$D$152*D153</f>
        <v>0.498927641116676</v>
      </c>
      <c r="E154" s="14" t="n">
        <f aca="false">$D$152*E153</f>
        <v>0.473981259060843</v>
      </c>
      <c r="F154" s="14" t="n">
        <f aca="false">$D$152*F153</f>
        <v>0.449034877005009</v>
      </c>
      <c r="G154" s="14" t="n">
        <f aca="false">$D$152*G153</f>
        <v>0.424088494949175</v>
      </c>
    </row>
    <row r="155" customFormat="false" ht="15" hidden="false" customHeight="false" outlineLevel="0" collapsed="false">
      <c r="A155" s="4" t="s">
        <v>467</v>
      </c>
      <c r="B155" s="0" t="s">
        <v>189</v>
      </c>
      <c r="C155" s="19" t="n">
        <f aca="false">a25_lc</f>
        <v>20.94585</v>
      </c>
      <c r="D155" s="19" t="n">
        <f aca="false">D151*D154</f>
        <v>72.064112</v>
      </c>
      <c r="E155" s="19" t="n">
        <f aca="false">E151*E154</f>
        <v>154.724173474757</v>
      </c>
      <c r="F155" s="19" t="n">
        <f aca="false">F151*F154</f>
        <v>136.068827619303</v>
      </c>
      <c r="G155" s="19" t="n">
        <f aca="false">G151*G154</f>
        <v>155.003906880309</v>
      </c>
    </row>
    <row r="156" customFormat="false" ht="17.15" hidden="false" customHeight="false" outlineLevel="0" collapsed="false">
      <c r="A156" s="6" t="s">
        <v>468</v>
      </c>
    </row>
    <row r="157" customFormat="false" ht="17.15" hidden="false" customHeight="false" outlineLevel="0" collapsed="false">
      <c r="A157" s="0" t="s">
        <v>469</v>
      </c>
      <c r="B157" s="0" t="s">
        <v>470</v>
      </c>
      <c r="D157" s="22" t="n">
        <f aca="false">a26_air/D147</f>
        <v>2.02106868156909</v>
      </c>
    </row>
    <row r="158" customFormat="false" ht="17.15" hidden="false" customHeight="false" outlineLevel="0" collapsed="false">
      <c r="A158" s="0" t="s">
        <v>471</v>
      </c>
      <c r="B158" s="0" t="s">
        <v>70</v>
      </c>
      <c r="D158" s="15" t="n">
        <f aca="false">1</f>
        <v>1</v>
      </c>
      <c r="E158" s="15" t="n">
        <f aca="false">acr_27</f>
        <v>0.75</v>
      </c>
      <c r="F158" s="15" t="n">
        <f aca="false">acr_28</f>
        <v>0.65</v>
      </c>
      <c r="G158" s="15" t="n">
        <f aca="false">acr_29</f>
        <v>0.6</v>
      </c>
    </row>
    <row r="159" customFormat="false" ht="17.15" hidden="false" customHeight="false" outlineLevel="0" collapsed="false">
      <c r="A159" s="0" t="s">
        <v>472</v>
      </c>
      <c r="B159" s="0" t="s">
        <v>189</v>
      </c>
      <c r="C159" s="19" t="n">
        <f aca="false">a25_air</f>
        <v>30.999858</v>
      </c>
      <c r="D159" s="19" t="n">
        <f aca="false">D147*$D$157*D158</f>
        <v>47.2920735</v>
      </c>
      <c r="E159" s="19" t="n">
        <f aca="false">E147*$D$157*E158</f>
        <v>63.1282305747745</v>
      </c>
      <c r="F159" s="19" t="n">
        <f aca="false">F147*$D$157*F158</f>
        <v>41.6116494812456</v>
      </c>
      <c r="G159" s="19" t="n">
        <f aca="false">G147*$D$157*G158</f>
        <v>43.755920752149</v>
      </c>
    </row>
    <row r="160" customFormat="false" ht="15" hidden="false" customHeight="false" outlineLevel="0" collapsed="false">
      <c r="A160" s="4" t="s">
        <v>473</v>
      </c>
      <c r="B160" s="0" t="s">
        <v>189</v>
      </c>
      <c r="C160" s="19" t="n">
        <f aca="false">a25_gen</f>
        <v>20.666572</v>
      </c>
      <c r="D160" s="19" t="n">
        <f aca="false">a26_gen</f>
        <v>31.528049</v>
      </c>
      <c r="E160" s="19" t="n">
        <f aca="false">D160*(1+g_gen_27)</f>
        <v>34.05029292</v>
      </c>
      <c r="F160" s="19" t="n">
        <f aca="false">E160*(1+g_gen_28)</f>
        <v>36.0933104952</v>
      </c>
      <c r="G160" s="19" t="n">
        <f aca="false">F160*(1+g_gen_29)</f>
        <v>37.89797601996</v>
      </c>
    </row>
    <row r="161" customFormat="false" ht="17.15" hidden="false" customHeight="false" outlineLevel="0" collapsed="false">
      <c r="A161" s="4" t="s">
        <v>474</v>
      </c>
      <c r="B161" s="0" t="s">
        <v>189</v>
      </c>
      <c r="C161" s="19" t="n">
        <f aca="false">a25_nai</f>
        <v>67.02672</v>
      </c>
      <c r="D161" s="19" t="n">
        <f aca="false">a26_nai</f>
        <v>74.3161155</v>
      </c>
      <c r="E161" s="19" t="n">
        <f aca="false">D161*(1+g_nai_27)</f>
        <v>78.77508243</v>
      </c>
      <c r="F161" s="19" t="n">
        <f aca="false">E161*(1+g_nai_28)</f>
        <v>82.7138365515</v>
      </c>
      <c r="G161" s="19" t="n">
        <f aca="false">F161*(1+g_nai_29)</f>
        <v>86.02239001356</v>
      </c>
    </row>
    <row r="162" customFormat="false" ht="15" hidden="false" customHeight="false" outlineLevel="0" collapsed="false">
      <c r="A162" s="4" t="s">
        <v>353</v>
      </c>
      <c r="B162" s="0" t="s">
        <v>189</v>
      </c>
      <c r="C162" s="19" t="n">
        <f aca="false">C155+C159+C160+C161</f>
        <v>139.639</v>
      </c>
      <c r="D162" s="19" t="n">
        <f aca="false">D155+D159+D160+D161</f>
        <v>225.20035</v>
      </c>
      <c r="E162" s="19" t="n">
        <f aca="false">E155+E159+E160+E161</f>
        <v>330.677779399532</v>
      </c>
      <c r="F162" s="19" t="n">
        <f aca="false">F155+F159+F160+F161</f>
        <v>296.487624147248</v>
      </c>
      <c r="G162" s="19" t="n">
        <f aca="false">G155+G159+G160+G161</f>
        <v>322.680193665978</v>
      </c>
    </row>
    <row r="163" customFormat="false" ht="15" hidden="false" customHeight="false" outlineLevel="0" collapsed="false">
      <c r="A163" s="4" t="s">
        <v>475</v>
      </c>
      <c r="B163" s="0" t="s">
        <v>49</v>
      </c>
      <c r="D163" s="14" t="n">
        <f aca="false">D162/C162-1</f>
        <v>0.612732474451979</v>
      </c>
      <c r="E163" s="14" t="n">
        <f aca="false">E162/D162-1</f>
        <v>0.46837151629441</v>
      </c>
      <c r="F163" s="14" t="n">
        <f aca="false">F162/E162-1</f>
        <v>-0.103394172158675</v>
      </c>
      <c r="G163" s="14" t="n">
        <f aca="false">G162/F162-1</f>
        <v>0.088342876347921</v>
      </c>
    </row>
    <row r="164" customFormat="false" ht="17.15" hidden="false" customHeight="false" outlineLevel="0" collapsed="false">
      <c r="A164" s="4" t="s">
        <v>476</v>
      </c>
      <c r="B164" s="0" t="s">
        <v>49</v>
      </c>
      <c r="C164" s="14" t="n">
        <f aca="false">C155/C162</f>
        <v>0.15</v>
      </c>
      <c r="D164" s="14" t="n">
        <f aca="false">D155/D162</f>
        <v>0.32</v>
      </c>
      <c r="E164" s="14" t="n">
        <f aca="false">E155/E162</f>
        <v>0.46790012245672</v>
      </c>
      <c r="F164" s="14" t="n">
        <f aca="false">F155/F162</f>
        <v>0.458935943821133</v>
      </c>
      <c r="G164" s="14" t="n">
        <f aca="false">G155/G162</f>
        <v>0.480363870863301</v>
      </c>
    </row>
    <row r="165" customFormat="false" ht="17.15" hidden="false" customHeight="false" outlineLevel="0" collapsed="false">
      <c r="A165" s="0" t="s">
        <v>477</v>
      </c>
      <c r="B165" s="0" t="s">
        <v>49</v>
      </c>
      <c r="C165" s="14" t="n">
        <f aca="false">(C155+C159)/C162</f>
        <v>0.372</v>
      </c>
      <c r="D165" s="14" t="n">
        <f aca="false">(D155+D159)/D162</f>
        <v>0.53</v>
      </c>
      <c r="E165" s="14" t="n">
        <f aca="false">(E155+E159)/E162</f>
        <v>0.658805694307987</v>
      </c>
      <c r="F165" s="14" t="n">
        <f aca="false">(F155+F159)/F162</f>
        <v>0.599284633251014</v>
      </c>
      <c r="G165" s="14" t="n">
        <f aca="false">(G155+G159)/G162</f>
        <v>0.615965378520269</v>
      </c>
    </row>
    <row r="166" customFormat="false" ht="17.15" hidden="false" customHeight="false" outlineLevel="0" collapsed="false">
      <c r="A166" s="4" t="s">
        <v>431</v>
      </c>
      <c r="B166" s="0" t="s">
        <v>419</v>
      </c>
      <c r="D166" s="18" t="n">
        <f aca="false">(D155+D159)/fx/D147*1000</f>
        <v>159.399762088039</v>
      </c>
      <c r="E166" s="18" t="n">
        <f aca="false">(E155+E159)/fx/E147*1000</f>
        <v>163.467378354919</v>
      </c>
      <c r="F166" s="18" t="n">
        <f aca="false">(F155+F159)/fx/F147*1000</f>
        <v>175.294879743813</v>
      </c>
      <c r="G166" s="18" t="n">
        <f aca="false">(G155+G159)/fx/G147*1000</f>
        <v>172.136959928861</v>
      </c>
    </row>
    <row r="167" customFormat="false" ht="17.15" hidden="false" customHeight="false" outlineLevel="0" collapsed="false">
      <c r="A167" s="6" t="s">
        <v>478</v>
      </c>
    </row>
    <row r="168" customFormat="false" ht="17.15" hidden="false" customHeight="false" outlineLevel="0" collapsed="false">
      <c r="A168" s="4" t="s">
        <v>479</v>
      </c>
      <c r="B168" s="0" t="s">
        <v>49</v>
      </c>
      <c r="D168" s="14" t="n">
        <f aca="false">a26_gp/D162-d_lc*D164</f>
        <v>0.302821503074929</v>
      </c>
      <c r="H168" s="8" t="s">
        <v>480</v>
      </c>
    </row>
    <row r="169" customFormat="false" ht="15" hidden="false" customHeight="false" outlineLevel="0" collapsed="false">
      <c r="A169" s="4" t="s">
        <v>357</v>
      </c>
      <c r="B169" s="0" t="s">
        <v>189</v>
      </c>
      <c r="C169" s="19" t="n">
        <f aca="false">a25_gp</f>
        <v>36.034</v>
      </c>
      <c r="D169" s="19" t="n">
        <f aca="false">a26_gp</f>
        <v>72.5193552</v>
      </c>
      <c r="E169" s="19" t="n">
        <f aca="false">$D$168*E162+d_lc*E155</f>
        <v>109.419792599731</v>
      </c>
      <c r="F169" s="19" t="n">
        <f aca="false">$D$168*F162+d_lc*F155</f>
        <v>97.9469576445424</v>
      </c>
      <c r="G169" s="19" t="n">
        <f aca="false">$D$168*G162+d_lc*G155</f>
        <v>107.014735671259</v>
      </c>
    </row>
    <row r="170" customFormat="false" ht="15" hidden="false" customHeight="false" outlineLevel="0" collapsed="false">
      <c r="A170" s="4" t="s">
        <v>360</v>
      </c>
      <c r="B170" s="0" t="s">
        <v>49</v>
      </c>
      <c r="C170" s="14" t="n">
        <f aca="false">C169/C162</f>
        <v>0.258051117524474</v>
      </c>
      <c r="D170" s="14" t="n">
        <f aca="false">D169/D162</f>
        <v>0.322021503074929</v>
      </c>
      <c r="E170" s="14" t="n">
        <f aca="false">E169/E162</f>
        <v>0.330895510422332</v>
      </c>
      <c r="F170" s="14" t="n">
        <f aca="false">F169/F162</f>
        <v>0.330357659704197</v>
      </c>
      <c r="G170" s="14" t="n">
        <f aca="false">G169/G162</f>
        <v>0.331643335326727</v>
      </c>
    </row>
    <row r="171" customFormat="false" ht="15" hidden="false" customHeight="false" outlineLevel="0" collapsed="false">
      <c r="A171" s="4" t="s">
        <v>481</v>
      </c>
      <c r="B171" s="0" t="s">
        <v>189</v>
      </c>
      <c r="C171" s="19" t="n">
        <f aca="false">a25_opx</f>
        <v>8.4832253</v>
      </c>
      <c r="D171" s="19" t="n">
        <f aca="false">a26_opx</f>
        <v>11.7048599</v>
      </c>
      <c r="E171" s="19" t="n">
        <f aca="false">D171*(1+MAX(0,phi*E163))</f>
        <v>15.5424159855636</v>
      </c>
      <c r="F171" s="19" t="n">
        <f aca="false">E171*(1+MAX(0,phi*F163))</f>
        <v>15.5424159855636</v>
      </c>
      <c r="G171" s="19" t="n">
        <f aca="false">F171*(1+MAX(0,phi*G163))</f>
        <v>16.5035591990561</v>
      </c>
    </row>
    <row r="172" customFormat="false" ht="15" hidden="false" customHeight="false" outlineLevel="0" collapsed="false">
      <c r="A172" s="4" t="s">
        <v>362</v>
      </c>
      <c r="B172" s="0" t="s">
        <v>189</v>
      </c>
      <c r="C172" s="19" t="n">
        <f aca="false">C171</f>
        <v>8.4832253</v>
      </c>
      <c r="D172" s="19" t="n">
        <f aca="false">D171</f>
        <v>11.7048599</v>
      </c>
      <c r="E172" s="19" t="n">
        <f aca="false">E171+0*E162</f>
        <v>15.5424159855636</v>
      </c>
      <c r="F172" s="19" t="n">
        <f aca="false">F171+0*F162</f>
        <v>15.5424159855636</v>
      </c>
      <c r="G172" s="19" t="n">
        <f aca="false">G171+0*G162</f>
        <v>16.5035591990561</v>
      </c>
    </row>
    <row r="173" customFormat="false" ht="15" hidden="false" customHeight="false" outlineLevel="0" collapsed="false">
      <c r="A173" s="4" t="s">
        <v>364</v>
      </c>
      <c r="B173" s="0" t="s">
        <v>189</v>
      </c>
      <c r="C173" s="19" t="n">
        <f aca="false">C169-C172</f>
        <v>27.5507747</v>
      </c>
      <c r="D173" s="19" t="n">
        <f aca="false">D169-D172</f>
        <v>60.8144953</v>
      </c>
      <c r="E173" s="19" t="n">
        <f aca="false">E169-E172</f>
        <v>93.8773766141677</v>
      </c>
      <c r="F173" s="19" t="n">
        <f aca="false">F169-F172</f>
        <v>82.4045416589788</v>
      </c>
      <c r="G173" s="19" t="n">
        <f aca="false">G169-G172</f>
        <v>90.5111764722029</v>
      </c>
    </row>
    <row r="174" customFormat="false" ht="15" hidden="false" customHeight="false" outlineLevel="0" collapsed="false">
      <c r="A174" s="4" t="s">
        <v>367</v>
      </c>
      <c r="B174" s="0" t="s">
        <v>49</v>
      </c>
      <c r="C174" s="14" t="n">
        <f aca="false">C173/C162</f>
        <v>0.1973</v>
      </c>
      <c r="D174" s="14" t="n">
        <f aca="false">D173/D162</f>
        <v>0.27004618465291</v>
      </c>
      <c r="E174" s="14" t="n">
        <f aca="false">E173/E162</f>
        <v>0.283893815860978</v>
      </c>
      <c r="F174" s="14" t="n">
        <f aca="false">F173/F162</f>
        <v>0.277935856162594</v>
      </c>
      <c r="G174" s="14" t="n">
        <f aca="false">G173/G162</f>
        <v>0.28049808525247</v>
      </c>
    </row>
    <row r="175" customFormat="false" ht="15" hidden="false" customHeight="false" outlineLevel="0" collapsed="false">
      <c r="A175" s="4" t="s">
        <v>369</v>
      </c>
      <c r="B175" s="0" t="s">
        <v>189</v>
      </c>
      <c r="C175" s="19" t="n">
        <f aca="false">a25_nop</f>
        <v>1.23179436863779</v>
      </c>
      <c r="D175" s="19" t="n">
        <f aca="false">a26_nop</f>
        <v>0.8186111</v>
      </c>
      <c r="E175" s="19" t="n">
        <f aca="false">nop_f</f>
        <v>1</v>
      </c>
      <c r="F175" s="19" t="n">
        <f aca="false">nop_f</f>
        <v>1</v>
      </c>
      <c r="G175" s="19" t="n">
        <f aca="false">nop_f</f>
        <v>1</v>
      </c>
    </row>
    <row r="176" customFormat="false" ht="17.15" hidden="false" customHeight="false" outlineLevel="0" collapsed="false">
      <c r="A176" s="4" t="s">
        <v>232</v>
      </c>
      <c r="B176" s="0" t="s">
        <v>49</v>
      </c>
      <c r="C176" s="14" t="n">
        <f aca="false">a25_ni/(a25_oi+a25_nop)</f>
        <v>0.666583999303438</v>
      </c>
      <c r="D176" s="14" t="n">
        <f aca="false">a26_ni/(a26_oi+a26_nop)</f>
        <v>0.674837141220258</v>
      </c>
      <c r="E176" s="14" t="n">
        <f aca="false">nir_f</f>
        <v>0.675</v>
      </c>
      <c r="F176" s="14" t="n">
        <f aca="false">nir_f</f>
        <v>0.675</v>
      </c>
      <c r="G176" s="14" t="n">
        <f aca="false">nir_f</f>
        <v>0.675</v>
      </c>
    </row>
    <row r="177" customFormat="false" ht="15" hidden="false" customHeight="false" outlineLevel="0" collapsed="false">
      <c r="A177" s="4" t="s">
        <v>373</v>
      </c>
      <c r="B177" s="0" t="s">
        <v>189</v>
      </c>
      <c r="C177" s="19" t="n">
        <f aca="false">a25_ni</f>
        <v>19.186</v>
      </c>
      <c r="D177" s="19" t="n">
        <f aca="false">a26_ni</f>
        <v>41.5923093275</v>
      </c>
      <c r="E177" s="19" t="n">
        <f aca="false">(E173+E175)*E176</f>
        <v>64.0422292145632</v>
      </c>
      <c r="F177" s="19" t="n">
        <f aca="false">(F173+F175)*F176</f>
        <v>56.2980656198107</v>
      </c>
      <c r="G177" s="19" t="n">
        <f aca="false">(G173+G175)*G176</f>
        <v>61.7700441187369</v>
      </c>
    </row>
    <row r="178" customFormat="false" ht="15" hidden="false" customHeight="false" outlineLevel="0" collapsed="false">
      <c r="A178" s="4" t="s">
        <v>482</v>
      </c>
      <c r="B178" s="4" t="s">
        <v>215</v>
      </c>
      <c r="C178" s="22" t="n">
        <f aca="false">a25_sh</f>
        <v>0.390197274761033</v>
      </c>
      <c r="D178" s="22" t="n">
        <f aca="false">a26_sh</f>
        <v>0.392523574315222</v>
      </c>
      <c r="E178" s="22" t="n">
        <f aca="false">D178*(1+sh_g)</f>
        <v>0.392523574315222</v>
      </c>
      <c r="F178" s="22" t="n">
        <f aca="false">E178*(1+sh_g)</f>
        <v>0.392523574315222</v>
      </c>
      <c r="G178" s="22" t="n">
        <f aca="false">F178*(1+sh_g)</f>
        <v>0.392523574315222</v>
      </c>
    </row>
    <row r="179" customFormat="false" ht="15" hidden="false" customHeight="false" outlineLevel="0" collapsed="false">
      <c r="A179" s="0" t="s">
        <v>378</v>
      </c>
      <c r="B179" s="0" t="s">
        <v>252</v>
      </c>
      <c r="C179" s="20" t="n">
        <f aca="false">C177/C178</f>
        <v>49.17</v>
      </c>
      <c r="D179" s="20" t="n">
        <f aca="false">D177/D178</f>
        <v>105.961302834002</v>
      </c>
      <c r="E179" s="20" t="n">
        <f aca="false">E177/E178</f>
        <v>163.155115781997</v>
      </c>
      <c r="F179" s="20" t="n">
        <f aca="false">F177/F178</f>
        <v>143.425947646649</v>
      </c>
      <c r="G179" s="20" t="n">
        <f aca="false">G177/G178</f>
        <v>157.366456846568</v>
      </c>
    </row>
    <row r="180" customFormat="false" ht="17.15" hidden="false" customHeight="false" outlineLevel="0" collapsed="false">
      <c r="A180" s="0" t="s">
        <v>483</v>
      </c>
      <c r="B180" s="0" t="s">
        <v>49</v>
      </c>
      <c r="D180" s="14" t="n">
        <f aca="false">D179/C179-1</f>
        <v>1.15499904075659</v>
      </c>
      <c r="E180" s="14" t="n">
        <f aca="false">E179/D179-1</f>
        <v>0.539761322466887</v>
      </c>
      <c r="F180" s="14" t="n">
        <f aca="false">F179/E179-1</f>
        <v>-0.120922767519647</v>
      </c>
      <c r="G180" s="14" t="n">
        <f aca="false">G179/F179-1</f>
        <v>0.0971965633043126</v>
      </c>
    </row>
    <row r="183" customFormat="false" ht="17.15" hidden="false" customHeight="false" outlineLevel="0" collapsed="false">
      <c r="A183" s="1" t="s">
        <v>486</v>
      </c>
    </row>
    <row r="184" customFormat="false" ht="17.15" hidden="false" customHeight="false" outlineLevel="0" collapsed="false">
      <c r="A184" s="1" t="s">
        <v>487</v>
      </c>
    </row>
    <row r="185" customFormat="false" ht="17.15" hidden="false" customHeight="false" outlineLevel="0" collapsed="false">
      <c r="A185" s="5" t="s">
        <v>18</v>
      </c>
      <c r="B185" s="5" t="s">
        <v>19</v>
      </c>
      <c r="C185" s="11" t="s">
        <v>347</v>
      </c>
      <c r="D185" s="11" t="s">
        <v>436</v>
      </c>
      <c r="E185" s="11" t="s">
        <v>437</v>
      </c>
      <c r="F185" s="11" t="s">
        <v>438</v>
      </c>
      <c r="G185" s="11" t="s">
        <v>439</v>
      </c>
      <c r="H185" s="11" t="s">
        <v>488</v>
      </c>
      <c r="I185" s="11" t="s">
        <v>489</v>
      </c>
      <c r="J185" s="11" t="s">
        <v>490</v>
      </c>
      <c r="K185" s="5" t="s">
        <v>412</v>
      </c>
    </row>
    <row r="186" customFormat="false" ht="17.15" hidden="false" customHeight="false" outlineLevel="0" collapsed="false">
      <c r="A186" s="4" t="s">
        <v>491</v>
      </c>
      <c r="B186" s="0" t="s">
        <v>189</v>
      </c>
      <c r="C186" s="19" t="n">
        <f aca="false">C80</f>
        <v>139.639</v>
      </c>
      <c r="D186" s="19" t="n">
        <f aca="false">D80</f>
        <v>225.20035</v>
      </c>
      <c r="E186" s="19" t="n">
        <f aca="false">E80</f>
        <v>330.677779399532</v>
      </c>
      <c r="F186" s="19" t="n">
        <f aca="false">F80</f>
        <v>414.941275547614</v>
      </c>
      <c r="G186" s="19" t="n">
        <f aca="false">G80</f>
        <v>455.186745420949</v>
      </c>
      <c r="H186" s="23" t="n">
        <f aca="false">G186*(1+H187)</f>
        <v>493.723086064407</v>
      </c>
      <c r="I186" s="23" t="n">
        <f aca="false">H186*(1+I187)</f>
        <v>529.434202036317</v>
      </c>
      <c r="J186" s="23" t="n">
        <f aca="false">I186*(1+J187)</f>
        <v>561.200254158496</v>
      </c>
      <c r="K186" s="8" t="s">
        <v>492</v>
      </c>
    </row>
    <row r="187" customFormat="false" ht="15" hidden="false" customHeight="false" outlineLevel="0" collapsed="false">
      <c r="A187" s="4" t="s">
        <v>441</v>
      </c>
      <c r="B187" s="0" t="s">
        <v>49</v>
      </c>
      <c r="C187" s="14"/>
      <c r="D187" s="14" t="n">
        <f aca="false">D186/C186-1</f>
        <v>0.612732474451979</v>
      </c>
      <c r="E187" s="14" t="n">
        <f aca="false">E186/D186-1</f>
        <v>0.46837151629441</v>
      </c>
      <c r="F187" s="14" t="n">
        <f aca="false">F186/E186-1</f>
        <v>0.254820557647065</v>
      </c>
      <c r="G187" s="14" t="n">
        <f aca="false">G186/F186-1</f>
        <v>0.0969907604882692</v>
      </c>
      <c r="H187" s="24" t="n">
        <f aca="false">$G$187+($C$193-$G$187)*1/3</f>
        <v>0.0846605069921794</v>
      </c>
      <c r="I187" s="24" t="n">
        <f aca="false">$G$187+($C$193-$G$187)*2/3</f>
        <v>0.0723302534960897</v>
      </c>
      <c r="J187" s="24" t="n">
        <f aca="false">$G$187+($C$193-$G$187)*3/3</f>
        <v>0.06</v>
      </c>
    </row>
    <row r="188" customFormat="false" ht="15" hidden="false" customHeight="false" outlineLevel="0" collapsed="false">
      <c r="A188" s="4" t="s">
        <v>493</v>
      </c>
      <c r="B188" s="0" t="s">
        <v>189</v>
      </c>
      <c r="C188" s="19" t="n">
        <f aca="false">C95</f>
        <v>19.186</v>
      </c>
      <c r="D188" s="19" t="n">
        <f aca="false">D95</f>
        <v>41.5923093275</v>
      </c>
      <c r="E188" s="19" t="n">
        <f aca="false">E95</f>
        <v>64.0422292145632</v>
      </c>
      <c r="F188" s="19" t="n">
        <f aca="false">F95</f>
        <v>82.3130360209033</v>
      </c>
      <c r="G188" s="19" t="n">
        <f aca="false">G95</f>
        <v>90.9781771788881</v>
      </c>
      <c r="H188" s="23" t="n">
        <f aca="false">H186*H189</f>
        <v>98.6804357840771</v>
      </c>
      <c r="I188" s="23" t="n">
        <f aca="false">I186*I189</f>
        <v>105.818016719444</v>
      </c>
      <c r="J188" s="23" t="n">
        <f aca="false">J186*J189</f>
        <v>112.167097722611</v>
      </c>
    </row>
    <row r="189" customFormat="false" ht="15" hidden="false" customHeight="false" outlineLevel="0" collapsed="false">
      <c r="A189" s="4" t="s">
        <v>494</v>
      </c>
      <c r="B189" s="0" t="s">
        <v>49</v>
      </c>
      <c r="C189" s="14" t="n">
        <f aca="false">C188/C186</f>
        <v>0.137397145496602</v>
      </c>
      <c r="D189" s="14" t="n">
        <f aca="false">D188/D186</f>
        <v>0.184690251713641</v>
      </c>
      <c r="E189" s="14" t="n">
        <f aca="false">E188/E186</f>
        <v>0.193669587750515</v>
      </c>
      <c r="F189" s="14" t="n">
        <f aca="false">F188/F186</f>
        <v>0.198372735785978</v>
      </c>
      <c r="G189" s="14" t="n">
        <f aca="false">G188/G186</f>
        <v>0.199870005210176</v>
      </c>
      <c r="H189" s="24" t="n">
        <f aca="false">$G$189+($C$194-$G$189)*1/3</f>
        <v>0.199870005210176</v>
      </c>
      <c r="I189" s="24" t="n">
        <f aca="false">$G$189+($C$194-$G$189)*2/3</f>
        <v>0.199870005210176</v>
      </c>
      <c r="J189" s="24" t="n">
        <f aca="false">$G$189+($C$194-$G$189)*3/3</f>
        <v>0.199870005210176</v>
      </c>
    </row>
    <row r="190" customFormat="false" ht="17.15" hidden="false" customHeight="false" outlineLevel="0" collapsed="false">
      <c r="A190" s="4" t="s">
        <v>495</v>
      </c>
      <c r="B190" s="4" t="s">
        <v>215</v>
      </c>
      <c r="C190" s="21" t="n">
        <f aca="false">C96</f>
        <v>0.390197274761033</v>
      </c>
      <c r="D190" s="21" t="n">
        <f aca="false">D96</f>
        <v>0.392523574315222</v>
      </c>
      <c r="E190" s="21" t="n">
        <f aca="false">E96</f>
        <v>0.392523574315222</v>
      </c>
      <c r="F190" s="21" t="n">
        <f aca="false">F96</f>
        <v>0.392523574315222</v>
      </c>
      <c r="G190" s="21" t="n">
        <f aca="false">G96</f>
        <v>0.392523574315222</v>
      </c>
      <c r="H190" s="25" t="n">
        <f aca="false">G190*(1+sh_g)</f>
        <v>0.392523574315222</v>
      </c>
      <c r="I190" s="25" t="n">
        <f aca="false">H190*(1+sh_g)</f>
        <v>0.392523574315222</v>
      </c>
      <c r="J190" s="25" t="n">
        <f aca="false">I190*(1+sh_g)</f>
        <v>0.392523574315222</v>
      </c>
      <c r="K190" s="8" t="s">
        <v>496</v>
      </c>
    </row>
    <row r="191" customFormat="false" ht="17.15" hidden="false" customHeight="false" outlineLevel="0" collapsed="false">
      <c r="A191" s="0" t="s">
        <v>497</v>
      </c>
      <c r="B191" s="0" t="s">
        <v>252</v>
      </c>
      <c r="C191" s="15" t="n">
        <f aca="false">C97</f>
        <v>49.17</v>
      </c>
      <c r="D191" s="15" t="n">
        <f aca="false">D97</f>
        <v>105.961302834002</v>
      </c>
      <c r="E191" s="15" t="n">
        <f aca="false">E97</f>
        <v>163.155115781997</v>
      </c>
      <c r="F191" s="15" t="n">
        <f aca="false">F97</f>
        <v>209.702146334784</v>
      </c>
      <c r="G191" s="15" t="n">
        <f aca="false">G97</f>
        <v>231.777613198403</v>
      </c>
      <c r="H191" s="26" t="n">
        <f aca="false">H188/H190</f>
        <v>251.400023441217</v>
      </c>
      <c r="I191" s="26" t="n">
        <f aca="false">I188/I190</f>
        <v>269.583850865643</v>
      </c>
      <c r="J191" s="26" t="n">
        <f aca="false">J188/J190</f>
        <v>285.758881917582</v>
      </c>
    </row>
    <row r="192" customFormat="false" ht="17.15" hidden="false" customHeight="false" outlineLevel="0" collapsed="false">
      <c r="A192" s="0" t="s">
        <v>447</v>
      </c>
      <c r="B192" s="0" t="s">
        <v>49</v>
      </c>
      <c r="C192" s="14"/>
      <c r="D192" s="14" t="n">
        <f aca="false">D191/C191-1</f>
        <v>1.15499904075659</v>
      </c>
      <c r="E192" s="14" t="n">
        <f aca="false">E191/D191-1</f>
        <v>0.539761322466887</v>
      </c>
      <c r="F192" s="14" t="n">
        <f aca="false">F191/E191-1</f>
        <v>0.285293110974115</v>
      </c>
      <c r="G192" s="14" t="n">
        <f aca="false">G191/F191-1</f>
        <v>0.105270581391073</v>
      </c>
      <c r="H192" s="24" t="n">
        <f aca="false">H191/G191-1</f>
        <v>0.0846605069921795</v>
      </c>
      <c r="I192" s="24" t="n">
        <f aca="false">I191/H191-1</f>
        <v>0.0723302534960899</v>
      </c>
      <c r="J192" s="24" t="n">
        <f aca="false">J191/I191-1</f>
        <v>0.0600000000000001</v>
      </c>
    </row>
    <row r="193" customFormat="false" ht="17.15" hidden="false" customHeight="false" outlineLevel="0" collapsed="false">
      <c r="A193" s="4" t="s">
        <v>498</v>
      </c>
      <c r="B193" s="0" t="s">
        <v>49</v>
      </c>
      <c r="C193" s="14" t="n">
        <f aca="false">fade_gA</f>
        <v>0.06</v>
      </c>
      <c r="K193" s="8" t="s">
        <v>499</v>
      </c>
    </row>
    <row r="194" customFormat="false" ht="17.15" hidden="false" customHeight="false" outlineLevel="0" collapsed="false">
      <c r="A194" s="4" t="s">
        <v>500</v>
      </c>
      <c r="B194" s="0" t="s">
        <v>49</v>
      </c>
      <c r="C194" s="14" t="n">
        <f aca="false">G189</f>
        <v>0.199870005210176</v>
      </c>
      <c r="K194" s="4" t="s">
        <v>501</v>
      </c>
    </row>
    <row r="196" customFormat="false" ht="17.15" hidden="false" customHeight="false" outlineLevel="0" collapsed="false">
      <c r="A196" s="1" t="s">
        <v>502</v>
      </c>
    </row>
    <row r="197" customFormat="false" ht="17.15" hidden="false" customHeight="false" outlineLevel="0" collapsed="false">
      <c r="A197" s="5" t="s">
        <v>18</v>
      </c>
      <c r="B197" s="5" t="s">
        <v>19</v>
      </c>
      <c r="C197" s="11" t="s">
        <v>347</v>
      </c>
      <c r="D197" s="11" t="s">
        <v>436</v>
      </c>
      <c r="E197" s="11" t="s">
        <v>437</v>
      </c>
      <c r="F197" s="11" t="s">
        <v>438</v>
      </c>
      <c r="G197" s="11" t="s">
        <v>439</v>
      </c>
      <c r="H197" s="11" t="s">
        <v>488</v>
      </c>
      <c r="I197" s="11" t="s">
        <v>489</v>
      </c>
      <c r="J197" s="11" t="s">
        <v>490</v>
      </c>
      <c r="K197" s="5" t="s">
        <v>412</v>
      </c>
    </row>
    <row r="198" customFormat="false" ht="17.15" hidden="false" customHeight="false" outlineLevel="0" collapsed="false">
      <c r="A198" s="4" t="s">
        <v>491</v>
      </c>
      <c r="B198" s="0" t="s">
        <v>189</v>
      </c>
      <c r="C198" s="19" t="n">
        <f aca="false">C121</f>
        <v>139.639</v>
      </c>
      <c r="D198" s="19" t="n">
        <f aca="false">D121</f>
        <v>225.20035</v>
      </c>
      <c r="E198" s="19" t="n">
        <f aca="false">E121</f>
        <v>330.677779399532</v>
      </c>
      <c r="F198" s="19" t="n">
        <f aca="false">F121</f>
        <v>355.714449847431</v>
      </c>
      <c r="G198" s="19" t="n">
        <f aca="false">G121</f>
        <v>405.496788512835</v>
      </c>
      <c r="H198" s="23" t="n">
        <f aca="false">G198*(1+H199)</f>
        <v>448.736339795594</v>
      </c>
      <c r="I198" s="23" t="n">
        <f aca="false">H198*(1+I199)</f>
        <v>481.636235084443</v>
      </c>
      <c r="J198" s="23" t="n">
        <f aca="false">I198*(1+J199)</f>
        <v>500.90168448782</v>
      </c>
      <c r="K198" s="8" t="s">
        <v>492</v>
      </c>
    </row>
    <row r="199" customFormat="false" ht="15" hidden="false" customHeight="false" outlineLevel="0" collapsed="false">
      <c r="A199" s="4" t="s">
        <v>441</v>
      </c>
      <c r="B199" s="0" t="s">
        <v>49</v>
      </c>
      <c r="C199" s="14"/>
      <c r="D199" s="14" t="n">
        <f aca="false">D198/C198-1</f>
        <v>0.612732474451979</v>
      </c>
      <c r="E199" s="14" t="n">
        <f aca="false">E198/D198-1</f>
        <v>0.46837151629441</v>
      </c>
      <c r="F199" s="14" t="n">
        <f aca="false">F198/E198-1</f>
        <v>0.0757131927441954</v>
      </c>
      <c r="G199" s="14" t="n">
        <f aca="false">G198/F198-1</f>
        <v>0.13995028508613</v>
      </c>
      <c r="H199" s="24" t="n">
        <f aca="false">$G$199+($C$205-$G$199)*1/3</f>
        <v>0.106633523390753</v>
      </c>
      <c r="I199" s="24" t="n">
        <f aca="false">$G$199+($C$205-$G$199)*2/3</f>
        <v>0.0733167616953766</v>
      </c>
      <c r="J199" s="24" t="n">
        <f aca="false">$G$199+($C$205-$G$199)*3/3</f>
        <v>0.04</v>
      </c>
    </row>
    <row r="200" customFormat="false" ht="15" hidden="false" customHeight="false" outlineLevel="0" collapsed="false">
      <c r="A200" s="4" t="s">
        <v>493</v>
      </c>
      <c r="B200" s="0" t="s">
        <v>189</v>
      </c>
      <c r="C200" s="19" t="n">
        <f aca="false">C136</f>
        <v>19.186</v>
      </c>
      <c r="D200" s="19" t="n">
        <f aca="false">D136</f>
        <v>41.5923093275</v>
      </c>
      <c r="E200" s="19" t="n">
        <f aca="false">E136</f>
        <v>64.0422292145632</v>
      </c>
      <c r="F200" s="19" t="n">
        <f aca="false">F136</f>
        <v>69.6852034444304</v>
      </c>
      <c r="G200" s="19" t="n">
        <f aca="false">G136</f>
        <v>80.3243341611877</v>
      </c>
      <c r="H200" s="23" t="n">
        <f aca="false">H198*H201</f>
        <v>85.926614229251</v>
      </c>
      <c r="I200" s="23" t="n">
        <f aca="false">I198*I201</f>
        <v>89.0462520408156</v>
      </c>
      <c r="J200" s="23" t="n">
        <f aca="false">J198*J201</f>
        <v>89.3006699037893</v>
      </c>
    </row>
    <row r="201" customFormat="false" ht="15" hidden="false" customHeight="false" outlineLevel="0" collapsed="false">
      <c r="A201" s="4" t="s">
        <v>494</v>
      </c>
      <c r="B201" s="0" t="s">
        <v>49</v>
      </c>
      <c r="C201" s="14" t="n">
        <f aca="false">C200/C198</f>
        <v>0.137397145496602</v>
      </c>
      <c r="D201" s="14" t="n">
        <f aca="false">D200/D198</f>
        <v>0.184690251713641</v>
      </c>
      <c r="E201" s="14" t="n">
        <f aca="false">E200/E198</f>
        <v>0.193669587750515</v>
      </c>
      <c r="F201" s="14" t="n">
        <f aca="false">F200/F198</f>
        <v>0.195902087964993</v>
      </c>
      <c r="G201" s="14" t="n">
        <f aca="false">G200/G198</f>
        <v>0.19808870609254</v>
      </c>
      <c r="H201" s="24" t="n">
        <f aca="false">$G$201+($C$206-$G$201)*1/3</f>
        <v>0.191485749222788</v>
      </c>
      <c r="I201" s="24" t="n">
        <f aca="false">$G$201+($C$206-$G$201)*2/3</f>
        <v>0.184882792353037</v>
      </c>
      <c r="J201" s="24" t="n">
        <f aca="false">$G$201+($C$206-$G$201)*3/3</f>
        <v>0.178279835483286</v>
      </c>
    </row>
    <row r="202" customFormat="false" ht="17.15" hidden="false" customHeight="false" outlineLevel="0" collapsed="false">
      <c r="A202" s="4" t="s">
        <v>495</v>
      </c>
      <c r="B202" s="4" t="s">
        <v>215</v>
      </c>
      <c r="C202" s="21" t="n">
        <f aca="false">C137</f>
        <v>0.390197274761033</v>
      </c>
      <c r="D202" s="21" t="n">
        <f aca="false">D137</f>
        <v>0.392523574315222</v>
      </c>
      <c r="E202" s="21" t="n">
        <f aca="false">E137</f>
        <v>0.392523574315222</v>
      </c>
      <c r="F202" s="21" t="n">
        <f aca="false">F137</f>
        <v>0.392523574315222</v>
      </c>
      <c r="G202" s="21" t="n">
        <f aca="false">G137</f>
        <v>0.392523574315222</v>
      </c>
      <c r="H202" s="25" t="n">
        <f aca="false">G202*(1+sh_g)</f>
        <v>0.392523574315222</v>
      </c>
      <c r="I202" s="25" t="n">
        <f aca="false">H202*(1+sh_g)</f>
        <v>0.392523574315222</v>
      </c>
      <c r="J202" s="25" t="n">
        <f aca="false">I202*(1+sh_g)</f>
        <v>0.392523574315222</v>
      </c>
      <c r="K202" s="8" t="s">
        <v>496</v>
      </c>
    </row>
    <row r="203" customFormat="false" ht="17.15" hidden="false" customHeight="false" outlineLevel="0" collapsed="false">
      <c r="A203" s="0" t="s">
        <v>497</v>
      </c>
      <c r="B203" s="0" t="s">
        <v>252</v>
      </c>
      <c r="C203" s="15" t="n">
        <f aca="false">C138</f>
        <v>49.17</v>
      </c>
      <c r="D203" s="15" t="n">
        <f aca="false">D138</f>
        <v>105.961302834002</v>
      </c>
      <c r="E203" s="15" t="n">
        <f aca="false">E138</f>
        <v>163.155115781997</v>
      </c>
      <c r="F203" s="15" t="n">
        <f aca="false">F138</f>
        <v>177.531256730248</v>
      </c>
      <c r="G203" s="15" t="n">
        <f aca="false">G138</f>
        <v>204.635694305285</v>
      </c>
      <c r="H203" s="26" t="n">
        <f aca="false">H200/H202</f>
        <v>218.908162087218</v>
      </c>
      <c r="I203" s="26" t="n">
        <f aca="false">I200/I202</f>
        <v>226.855806549101</v>
      </c>
      <c r="J203" s="26" t="n">
        <f aca="false">J200/J202</f>
        <v>227.503965996384</v>
      </c>
    </row>
    <row r="204" customFormat="false" ht="17.15" hidden="false" customHeight="false" outlineLevel="0" collapsed="false">
      <c r="A204" s="0" t="s">
        <v>447</v>
      </c>
      <c r="B204" s="0" t="s">
        <v>49</v>
      </c>
      <c r="C204" s="14"/>
      <c r="D204" s="14" t="n">
        <f aca="false">D203/C203-1</f>
        <v>1.15499904075659</v>
      </c>
      <c r="E204" s="14" t="n">
        <f aca="false">E203/D203-1</f>
        <v>0.539761322466887</v>
      </c>
      <c r="F204" s="14" t="n">
        <f aca="false">F203/E203-1</f>
        <v>0.0881133323913714</v>
      </c>
      <c r="G204" s="14" t="n">
        <f aca="false">G203/F203-1</f>
        <v>0.152674171716257</v>
      </c>
      <c r="H204" s="24" t="n">
        <f aca="false">H203/G203-1</f>
        <v>0.0697457392777281</v>
      </c>
      <c r="I204" s="24" t="n">
        <f aca="false">I203/H203-1</f>
        <v>0.0363058388782946</v>
      </c>
      <c r="J204" s="24" t="n">
        <f aca="false">J203/I203-1</f>
        <v>0.00285714285714289</v>
      </c>
    </row>
    <row r="205" customFormat="false" ht="17.15" hidden="false" customHeight="false" outlineLevel="0" collapsed="false">
      <c r="A205" s="4" t="s">
        <v>498</v>
      </c>
      <c r="B205" s="0" t="s">
        <v>49</v>
      </c>
      <c r="C205" s="14" t="n">
        <f aca="false">fade_gB</f>
        <v>0.04</v>
      </c>
      <c r="K205" s="8" t="s">
        <v>503</v>
      </c>
    </row>
    <row r="206" customFormat="false" ht="17.15" hidden="false" customHeight="false" outlineLevel="0" collapsed="false">
      <c r="A206" s="4" t="s">
        <v>500</v>
      </c>
      <c r="B206" s="0" t="s">
        <v>49</v>
      </c>
      <c r="C206" s="14" t="n">
        <f aca="false">G201*(1+nim10_f)/2</f>
        <v>0.178279835483286</v>
      </c>
      <c r="K206" s="4" t="s">
        <v>504</v>
      </c>
    </row>
    <row r="208" customFormat="false" ht="17.15" hidden="false" customHeight="false" outlineLevel="0" collapsed="false">
      <c r="A208" s="1" t="s">
        <v>505</v>
      </c>
    </row>
    <row r="209" customFormat="false" ht="17.15" hidden="false" customHeight="false" outlineLevel="0" collapsed="false">
      <c r="A209" s="5" t="s">
        <v>18</v>
      </c>
      <c r="B209" s="5" t="s">
        <v>19</v>
      </c>
      <c r="C209" s="11" t="s">
        <v>347</v>
      </c>
      <c r="D209" s="11" t="s">
        <v>436</v>
      </c>
      <c r="E209" s="11" t="s">
        <v>437</v>
      </c>
      <c r="F209" s="11" t="s">
        <v>438</v>
      </c>
      <c r="G209" s="11" t="s">
        <v>439</v>
      </c>
      <c r="H209" s="11" t="s">
        <v>488</v>
      </c>
      <c r="I209" s="11" t="s">
        <v>489</v>
      </c>
      <c r="J209" s="11" t="s">
        <v>490</v>
      </c>
      <c r="K209" s="5" t="s">
        <v>412</v>
      </c>
    </row>
    <row r="210" customFormat="false" ht="17.15" hidden="false" customHeight="false" outlineLevel="0" collapsed="false">
      <c r="A210" s="4" t="s">
        <v>491</v>
      </c>
      <c r="B210" s="0" t="s">
        <v>189</v>
      </c>
      <c r="C210" s="19" t="n">
        <f aca="false">C162</f>
        <v>139.639</v>
      </c>
      <c r="D210" s="19" t="n">
        <f aca="false">D162</f>
        <v>225.20035</v>
      </c>
      <c r="E210" s="19" t="n">
        <f aca="false">E162</f>
        <v>330.677779399532</v>
      </c>
      <c r="F210" s="19" t="n">
        <f aca="false">F162</f>
        <v>296.487624147248</v>
      </c>
      <c r="G210" s="19" t="n">
        <f aca="false">G162</f>
        <v>322.680193665978</v>
      </c>
      <c r="H210" s="23" t="n">
        <f aca="false">G210*(1+H211)</f>
        <v>343.835725923055</v>
      </c>
      <c r="I210" s="23" t="n">
        <f aca="false">H210*(1+I211)</f>
        <v>358.545347941769</v>
      </c>
      <c r="J210" s="23" t="n">
        <f aca="false">I210*(1+J211)</f>
        <v>365.716254900604</v>
      </c>
      <c r="K210" s="8" t="s">
        <v>492</v>
      </c>
    </row>
    <row r="211" customFormat="false" ht="15" hidden="false" customHeight="false" outlineLevel="0" collapsed="false">
      <c r="A211" s="4" t="s">
        <v>441</v>
      </c>
      <c r="B211" s="0" t="s">
        <v>49</v>
      </c>
      <c r="C211" s="14"/>
      <c r="D211" s="14" t="n">
        <f aca="false">D210/C210-1</f>
        <v>0.612732474451979</v>
      </c>
      <c r="E211" s="14" t="n">
        <f aca="false">E210/D210-1</f>
        <v>0.46837151629441</v>
      </c>
      <c r="F211" s="14" t="n">
        <f aca="false">F210/E210-1</f>
        <v>-0.103394172158675</v>
      </c>
      <c r="G211" s="14" t="n">
        <f aca="false">G210/F210-1</f>
        <v>0.088342876347921</v>
      </c>
      <c r="H211" s="24" t="n">
        <f aca="false">$G$211+($C$217-$G$211)*1/3</f>
        <v>0.0655619175652807</v>
      </c>
      <c r="I211" s="24" t="n">
        <f aca="false">$G$211+($C$217-$G$211)*2/3</f>
        <v>0.0427809587826404</v>
      </c>
      <c r="J211" s="24" t="n">
        <f aca="false">$G$211+($C$217-$G$211)*3/3</f>
        <v>0.02</v>
      </c>
    </row>
    <row r="212" customFormat="false" ht="15" hidden="false" customHeight="false" outlineLevel="0" collapsed="false">
      <c r="A212" s="4" t="s">
        <v>493</v>
      </c>
      <c r="B212" s="0" t="s">
        <v>189</v>
      </c>
      <c r="C212" s="19" t="n">
        <f aca="false">C177</f>
        <v>19.186</v>
      </c>
      <c r="D212" s="19" t="n">
        <f aca="false">D177</f>
        <v>41.5923093275</v>
      </c>
      <c r="E212" s="19" t="n">
        <f aca="false">E177</f>
        <v>64.0422292145632</v>
      </c>
      <c r="F212" s="19" t="n">
        <f aca="false">F177</f>
        <v>56.2980656198107</v>
      </c>
      <c r="G212" s="19" t="n">
        <f aca="false">G177</f>
        <v>61.7700441187369</v>
      </c>
      <c r="H212" s="23" t="n">
        <f aca="false">H210*H213</f>
        <v>61.4318195486364</v>
      </c>
      <c r="I212" s="23" t="n">
        <f aca="false">I210*I213</f>
        <v>59.4842222823543</v>
      </c>
      <c r="J212" s="23" t="n">
        <f aca="false">J210*J213</f>
        <v>56.0066831335397</v>
      </c>
    </row>
    <row r="213" customFormat="false" ht="15" hidden="false" customHeight="false" outlineLevel="0" collapsed="false">
      <c r="A213" s="4" t="s">
        <v>494</v>
      </c>
      <c r="B213" s="0" t="s">
        <v>49</v>
      </c>
      <c r="C213" s="14" t="n">
        <f aca="false">C212/C210</f>
        <v>0.137397145496602</v>
      </c>
      <c r="D213" s="14" t="n">
        <f aca="false">D212/D210</f>
        <v>0.184690251713641</v>
      </c>
      <c r="E213" s="14" t="n">
        <f aca="false">E212/E210</f>
        <v>0.193669587750515</v>
      </c>
      <c r="F213" s="14" t="n">
        <f aca="false">F212/F210</f>
        <v>0.189883357801979</v>
      </c>
      <c r="G213" s="14" t="n">
        <f aca="false">G212/G210</f>
        <v>0.19142806199837</v>
      </c>
      <c r="H213" s="24" t="n">
        <f aca="false">$G$213+($C$218-$G$213)*1/3</f>
        <v>0.178666191198479</v>
      </c>
      <c r="I213" s="24" t="n">
        <f aca="false">$G$213+($C$218-$G$213)*2/3</f>
        <v>0.165904320398588</v>
      </c>
      <c r="J213" s="24" t="n">
        <f aca="false">$G$213+($C$218-$G$213)*3/3</f>
        <v>0.153142449598696</v>
      </c>
    </row>
    <row r="214" customFormat="false" ht="17.15" hidden="false" customHeight="false" outlineLevel="0" collapsed="false">
      <c r="A214" s="4" t="s">
        <v>495</v>
      </c>
      <c r="B214" s="4" t="s">
        <v>215</v>
      </c>
      <c r="C214" s="21" t="n">
        <f aca="false">C178</f>
        <v>0.390197274761033</v>
      </c>
      <c r="D214" s="21" t="n">
        <f aca="false">D178</f>
        <v>0.392523574315222</v>
      </c>
      <c r="E214" s="21" t="n">
        <f aca="false">E178</f>
        <v>0.392523574315222</v>
      </c>
      <c r="F214" s="21" t="n">
        <f aca="false">F178</f>
        <v>0.392523574315222</v>
      </c>
      <c r="G214" s="21" t="n">
        <f aca="false">G178</f>
        <v>0.392523574315222</v>
      </c>
      <c r="H214" s="25" t="n">
        <f aca="false">G214*(1+sh_g)</f>
        <v>0.392523574315222</v>
      </c>
      <c r="I214" s="25" t="n">
        <f aca="false">H214*(1+sh_g)</f>
        <v>0.392523574315222</v>
      </c>
      <c r="J214" s="25" t="n">
        <f aca="false">I214*(1+sh_g)</f>
        <v>0.392523574315222</v>
      </c>
      <c r="K214" s="8" t="s">
        <v>496</v>
      </c>
    </row>
    <row r="215" customFormat="false" ht="17.15" hidden="false" customHeight="false" outlineLevel="0" collapsed="false">
      <c r="A215" s="0" t="s">
        <v>497</v>
      </c>
      <c r="B215" s="0" t="s">
        <v>252</v>
      </c>
      <c r="C215" s="15" t="n">
        <f aca="false">C179</f>
        <v>49.17</v>
      </c>
      <c r="D215" s="15" t="n">
        <f aca="false">D179</f>
        <v>105.961302834002</v>
      </c>
      <c r="E215" s="15" t="n">
        <f aca="false">E179</f>
        <v>163.155115781997</v>
      </c>
      <c r="F215" s="15" t="n">
        <f aca="false">F179</f>
        <v>143.425947646649</v>
      </c>
      <c r="G215" s="15" t="n">
        <f aca="false">G179</f>
        <v>157.366456846568</v>
      </c>
      <c r="H215" s="26" t="n">
        <f aca="false">H212/H214</f>
        <v>156.504789950024</v>
      </c>
      <c r="I215" s="26" t="n">
        <f aca="false">I212/I214</f>
        <v>151.543056709721</v>
      </c>
      <c r="J215" s="26" t="n">
        <f aca="false">J212/J214</f>
        <v>142.683616471307</v>
      </c>
    </row>
    <row r="216" customFormat="false" ht="17.15" hidden="false" customHeight="false" outlineLevel="0" collapsed="false">
      <c r="A216" s="0" t="s">
        <v>447</v>
      </c>
      <c r="B216" s="0" t="s">
        <v>49</v>
      </c>
      <c r="C216" s="14"/>
      <c r="D216" s="14" t="n">
        <f aca="false">D215/C215-1</f>
        <v>1.15499904075659</v>
      </c>
      <c r="E216" s="14" t="n">
        <f aca="false">E215/D215-1</f>
        <v>0.539761322466887</v>
      </c>
      <c r="F216" s="14" t="n">
        <f aca="false">F215/E215-1</f>
        <v>-0.120922767519647</v>
      </c>
      <c r="G216" s="14" t="n">
        <f aca="false">G215/F215-1</f>
        <v>0.0971965633043126</v>
      </c>
      <c r="H216" s="24" t="n">
        <f aca="false">H215/G215-1</f>
        <v>-0.0054755436057381</v>
      </c>
      <c r="I216" s="24" t="n">
        <f aca="false">I215/H215-1</f>
        <v>-0.0317033954161197</v>
      </c>
      <c r="J216" s="24" t="n">
        <f aca="false">J215/I215-1</f>
        <v>-0.0584615384615383</v>
      </c>
    </row>
    <row r="217" customFormat="false" ht="17.15" hidden="false" customHeight="false" outlineLevel="0" collapsed="false">
      <c r="A217" s="4" t="s">
        <v>498</v>
      </c>
      <c r="B217" s="0" t="s">
        <v>49</v>
      </c>
      <c r="C217" s="14" t="n">
        <f aca="false">fade_gC</f>
        <v>0.02</v>
      </c>
      <c r="K217" s="8" t="s">
        <v>506</v>
      </c>
    </row>
    <row r="218" customFormat="false" ht="17.15" hidden="false" customHeight="false" outlineLevel="0" collapsed="false">
      <c r="A218" s="4" t="s">
        <v>500</v>
      </c>
      <c r="B218" s="0" t="s">
        <v>49</v>
      </c>
      <c r="C218" s="14" t="n">
        <f aca="false">G213*nim10_f</f>
        <v>0.153142449598696</v>
      </c>
      <c r="K218" s="4" t="s">
        <v>507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  <col collapsed="false" customWidth="true" hidden="false" outlineLevel="0" max="11" min="9" style="0" width="10"/>
  </cols>
  <sheetData>
    <row r="1" customFormat="false" ht="17.15" hidden="false" customHeight="false" outlineLevel="0" collapsed="false">
      <c r="A1" s="0" t="s">
        <v>508</v>
      </c>
    </row>
    <row r="2" customFormat="false" ht="17.15" hidden="false" customHeight="false" outlineLevel="0" collapsed="false">
      <c r="A2" s="4" t="s">
        <v>509</v>
      </c>
    </row>
    <row r="3" customFormat="false" ht="17.15" hidden="false" customHeight="false" outlineLevel="0" collapsed="false">
      <c r="A3" s="4" t="s">
        <v>510</v>
      </c>
    </row>
    <row r="4" customFormat="false" ht="17.15" hidden="false" customHeight="false" outlineLevel="0" collapsed="false">
      <c r="A4" s="6" t="s">
        <v>511</v>
      </c>
    </row>
    <row r="5" customFormat="false" ht="15" hidden="false" customHeight="false" outlineLevel="0" collapsed="false">
      <c r="A5" s="5" t="s">
        <v>18</v>
      </c>
      <c r="B5" s="11" t="s">
        <v>512</v>
      </c>
      <c r="C5" s="11" t="s">
        <v>513</v>
      </c>
      <c r="D5" s="11" t="s">
        <v>514</v>
      </c>
      <c r="E5" s="5" t="s">
        <v>412</v>
      </c>
    </row>
    <row r="6" customFormat="false" ht="17.15" hidden="false" customHeight="false" outlineLevel="0" collapsed="false">
      <c r="A6" s="4" t="s">
        <v>515</v>
      </c>
      <c r="B6" s="18" t="n">
        <f aca="false">px</f>
        <v>3145</v>
      </c>
    </row>
    <row r="7" customFormat="false" ht="17.15" hidden="false" customHeight="false" outlineLevel="0" collapsed="false">
      <c r="A7" s="4" t="s">
        <v>516</v>
      </c>
      <c r="B7" s="17" t="n">
        <f aca="false">px/PL!D15</f>
        <v>29.6806467633466</v>
      </c>
      <c r="C7" s="17" t="n">
        <f aca="false">px/PL!D29</f>
        <v>29.6806467633466</v>
      </c>
      <c r="D7" s="17" t="n">
        <f aca="false">px/PL!D43</f>
        <v>29.6806467633466</v>
      </c>
    </row>
    <row r="8" customFormat="false" ht="17.15" hidden="false" customHeight="false" outlineLevel="0" collapsed="false">
      <c r="A8" s="4" t="s">
        <v>517</v>
      </c>
      <c r="B8" s="17" t="n">
        <f aca="false">px/PL!E15</f>
        <v>19.2761347685981</v>
      </c>
      <c r="C8" s="17" t="n">
        <f aca="false">px/PL!E29</f>
        <v>19.2761347685981</v>
      </c>
      <c r="D8" s="17" t="n">
        <f aca="false">px/PL!E43</f>
        <v>19.2761347685981</v>
      </c>
      <c r="E8" s="8" t="s">
        <v>518</v>
      </c>
    </row>
    <row r="9" customFormat="false" ht="17.15" hidden="false" customHeight="false" outlineLevel="0" collapsed="false">
      <c r="A9" s="4" t="s">
        <v>519</v>
      </c>
      <c r="B9" s="17" t="n">
        <f aca="false">px/PL!F15</f>
        <v>14.9974621384136</v>
      </c>
      <c r="C9" s="17" t="n">
        <f aca="false">px/PL!F29</f>
        <v>17.7151903159155</v>
      </c>
      <c r="D9" s="17" t="n">
        <f aca="false">px/PL!F43</f>
        <v>21.9276919665064</v>
      </c>
    </row>
    <row r="10" customFormat="false" ht="17.15" hidden="false" customHeight="false" outlineLevel="0" collapsed="false">
      <c r="A10" s="4" t="s">
        <v>520</v>
      </c>
      <c r="B10" s="17" t="n">
        <f aca="false">px/PL!G15</f>
        <v>13.5690412745249</v>
      </c>
      <c r="C10" s="17" t="n">
        <f aca="false">px/PL!G29</f>
        <v>15.3687752797816</v>
      </c>
      <c r="D10" s="17" t="n">
        <f aca="false">px/PL!G43</f>
        <v>19.9851992795795</v>
      </c>
    </row>
    <row r="11" customFormat="false" ht="17.15" hidden="false" customHeight="false" outlineLevel="0" collapsed="false">
      <c r="A11" s="4" t="s">
        <v>521</v>
      </c>
      <c r="B11" s="15" t="n">
        <f aca="false">0.25*PL!D15+0.75*PL!E15</f>
        <v>148.856662544998</v>
      </c>
    </row>
    <row r="12" customFormat="false" ht="17.15" hidden="false" customHeight="false" outlineLevel="0" collapsed="false">
      <c r="A12" s="4" t="s">
        <v>522</v>
      </c>
      <c r="B12" s="17" t="n">
        <f aca="false">px/B11</f>
        <v>21.1277073275057</v>
      </c>
    </row>
    <row r="13" customFormat="false" ht="17.15" hidden="false" customHeight="false" outlineLevel="0" collapsed="false">
      <c r="A13" s="4" t="s">
        <v>523</v>
      </c>
      <c r="B13" s="17" t="n">
        <f aca="false">pe_ttm</f>
        <v>41.92</v>
      </c>
    </row>
    <row r="15" customFormat="false" ht="17.15" hidden="false" customHeight="false" outlineLevel="0" collapsed="false">
      <c r="A15" s="6" t="s">
        <v>524</v>
      </c>
    </row>
    <row r="16" customFormat="false" ht="17.15" hidden="false" customHeight="false" outlineLevel="0" collapsed="false">
      <c r="A16" s="5" t="s">
        <v>525</v>
      </c>
      <c r="B16" s="5" t="s">
        <v>526</v>
      </c>
      <c r="C16" s="11" t="s">
        <v>527</v>
      </c>
      <c r="D16" s="5" t="s">
        <v>528</v>
      </c>
      <c r="E16" s="5" t="s">
        <v>529</v>
      </c>
      <c r="F16" s="5" t="s">
        <v>412</v>
      </c>
    </row>
    <row r="17" customFormat="false" ht="17.15" hidden="false" customHeight="false" outlineLevel="0" collapsed="false">
      <c r="A17" s="0" t="s">
        <v>512</v>
      </c>
      <c r="B17" s="0" t="n">
        <f aca="false">INDEX({2026,2027,2028,2029},MATCH(MAX(PL!D80:G80),PL!D80:G80,0))</f>
        <v>2029</v>
      </c>
      <c r="C17" s="0" t="str">
        <f aca="false">IF(B17=2029,"中段",IF(2027&lt;B17,"中段",IF(2027=B17,"見頂","谷底")))</f>
        <v>中段</v>
      </c>
      <c r="D17" s="17" t="n">
        <f aca="false">IF(C17="見頂",pe_peak,IF(C17="谷底",pe_trough,pe_mid))</f>
        <v>12.74</v>
      </c>
      <c r="E17" s="0" t="str">
        <f aca="false">IF(B17=2029,"是：營收到觀測期末仍在增加","否")</f>
        <v>是：營收到觀測期末仍在增加</v>
      </c>
      <c r="F17" s="8" t="s">
        <v>530</v>
      </c>
    </row>
    <row r="18" customFormat="false" ht="15" hidden="false" customHeight="false" outlineLevel="0" collapsed="false">
      <c r="A18" s="0" t="s">
        <v>513</v>
      </c>
      <c r="B18" s="0" t="n">
        <f aca="false">INDEX({2026,2027,2028,2029},MATCH(MAX(PL!D121:G121),PL!D121:G121,0))</f>
        <v>2029</v>
      </c>
      <c r="C18" s="0" t="str">
        <f aca="false">IF(B18=2029,"中段",IF(2027&lt;B18,"中段",IF(2027=B18,"見頂","谷底")))</f>
        <v>中段</v>
      </c>
      <c r="D18" s="17" t="n">
        <f aca="false">IF(C18="見頂",pe_peak,IF(C18="谷底",pe_trough,pe_mid))</f>
        <v>12.74</v>
      </c>
      <c r="E18" s="0" t="str">
        <f aca="false">IF(B18=2029,"是：營收到觀測期末仍在增加","否")</f>
        <v>是：營收到觀測期末仍在增加</v>
      </c>
      <c r="F18" s="4" t="s">
        <v>35</v>
      </c>
    </row>
    <row r="19" customFormat="false" ht="15" hidden="false" customHeight="false" outlineLevel="0" collapsed="false">
      <c r="A19" s="0" t="s">
        <v>514</v>
      </c>
      <c r="B19" s="0" t="n">
        <f aca="false">INDEX({2026,2027,2028,2029},MATCH(MAX(PL!D162:G162),PL!D162:G162,0))</f>
        <v>2027</v>
      </c>
      <c r="C19" s="0" t="str">
        <f aca="false">IF(B19=2029,"中段",IF(2027&lt;B19,"中段",IF(2027=B19,"見頂","谷底")))</f>
        <v>見頂</v>
      </c>
      <c r="D19" s="17" t="n">
        <f aca="false">IF(C19="見頂",pe_peak,IF(C19="谷底",pe_trough,pe_mid))</f>
        <v>11.11</v>
      </c>
      <c r="E19" s="0" t="str">
        <f aca="false">IF(B19=2029,"是：營收到觀測期末仍在增加","否")</f>
        <v>否</v>
      </c>
      <c r="F19" s="4" t="s">
        <v>35</v>
      </c>
    </row>
    <row r="21" customFormat="false" ht="17.15" hidden="false" customHeight="false" outlineLevel="0" collapsed="false">
      <c r="A21" s="6" t="s">
        <v>531</v>
      </c>
    </row>
    <row r="22" customFormat="false" ht="17.15" hidden="false" customHeight="false" outlineLevel="0" collapsed="false">
      <c r="A22" s="5" t="s">
        <v>525</v>
      </c>
      <c r="B22" s="11" t="s">
        <v>532</v>
      </c>
      <c r="C22" s="5" t="s">
        <v>533</v>
      </c>
      <c r="D22" s="5" t="s">
        <v>534</v>
      </c>
      <c r="E22" s="5" t="s">
        <v>535</v>
      </c>
      <c r="F22" s="5" t="s">
        <v>536</v>
      </c>
      <c r="G22" s="5" t="s">
        <v>537</v>
      </c>
    </row>
    <row r="23" customFormat="false" ht="15" hidden="false" customHeight="false" outlineLevel="0" collapsed="false">
      <c r="A23" s="10" t="s">
        <v>512</v>
      </c>
      <c r="B23" s="27" t="n">
        <f aca="false">PL!E15</f>
        <v>163.155115781997</v>
      </c>
      <c r="C23" s="27" t="n">
        <f aca="false">B23</f>
        <v>163.155115781997</v>
      </c>
      <c r="D23" s="28" t="n">
        <f aca="false">D17</f>
        <v>12.74</v>
      </c>
      <c r="E23" s="29" t="n">
        <f aca="false">C23*D23</f>
        <v>2078.59617506264</v>
      </c>
      <c r="F23" s="30" t="n">
        <f aca="false">E23/px-1</f>
        <v>-0.339079117627143</v>
      </c>
      <c r="G23" s="28" t="n">
        <f aca="false">px/C23</f>
        <v>19.2761347685981</v>
      </c>
    </row>
    <row r="24" customFormat="false" ht="15" hidden="false" customHeight="false" outlineLevel="0" collapsed="false">
      <c r="A24" s="10" t="s">
        <v>513</v>
      </c>
      <c r="B24" s="27" t="n">
        <f aca="false">PL!E29</f>
        <v>163.155115781997</v>
      </c>
      <c r="C24" s="27" t="n">
        <f aca="false">B24</f>
        <v>163.155115781997</v>
      </c>
      <c r="D24" s="28" t="n">
        <f aca="false">D18</f>
        <v>12.74</v>
      </c>
      <c r="E24" s="29" t="n">
        <f aca="false">C24*D24</f>
        <v>2078.59617506264</v>
      </c>
      <c r="F24" s="30" t="n">
        <f aca="false">E24/px-1</f>
        <v>-0.339079117627143</v>
      </c>
      <c r="G24" s="28" t="n">
        <f aca="false">px/C24</f>
        <v>19.2761347685981</v>
      </c>
    </row>
    <row r="25" customFormat="false" ht="15" hidden="false" customHeight="false" outlineLevel="0" collapsed="false">
      <c r="A25" s="10" t="s">
        <v>514</v>
      </c>
      <c r="B25" s="27" t="n">
        <f aca="false">PL!E43</f>
        <v>163.155115781997</v>
      </c>
      <c r="C25" s="27" t="n">
        <f aca="false">B25</f>
        <v>163.155115781997</v>
      </c>
      <c r="D25" s="28" t="n">
        <f aca="false">D19</f>
        <v>11.11</v>
      </c>
      <c r="E25" s="29" t="n">
        <f aca="false">C25*D25</f>
        <v>1812.65333633798</v>
      </c>
      <c r="F25" s="30" t="n">
        <f aca="false">E25/px-1</f>
        <v>-0.423639638684267</v>
      </c>
      <c r="G25" s="28" t="n">
        <f aca="false">px/C25</f>
        <v>19.2761347685981</v>
      </c>
    </row>
    <row r="26" customFormat="false" ht="17.15" hidden="false" customHeight="false" outlineLevel="0" collapsed="false">
      <c r="A26" s="6" t="s">
        <v>538</v>
      </c>
    </row>
    <row r="27" customFormat="false" ht="17.15" hidden="false" customHeight="false" outlineLevel="0" collapsed="false">
      <c r="A27" s="11" t="s">
        <v>539</v>
      </c>
      <c r="B27" s="5" t="s">
        <v>540</v>
      </c>
      <c r="C27" s="5" t="s">
        <v>541</v>
      </c>
      <c r="D27" s="5" t="s">
        <v>542</v>
      </c>
      <c r="E27" s="5" t="s">
        <v>543</v>
      </c>
    </row>
    <row r="28" customFormat="false" ht="15" hidden="false" customHeight="false" outlineLevel="0" collapsed="false">
      <c r="A28" s="16" t="n">
        <v>1</v>
      </c>
      <c r="B28" s="17" t="n">
        <f aca="false">px*A28/PL!F15</f>
        <v>14.9974621384136</v>
      </c>
      <c r="C28" s="17" t="n">
        <f aca="false">px*A28/PL!F43</f>
        <v>21.9276919665064</v>
      </c>
      <c r="D28" s="17" t="n">
        <f aca="false">pe_mid</f>
        <v>12.74</v>
      </c>
      <c r="E28" s="17" t="n">
        <f aca="false">pe_trough</f>
        <v>21.73</v>
      </c>
    </row>
    <row r="29" customFormat="false" ht="15" hidden="false" customHeight="false" outlineLevel="0" collapsed="false">
      <c r="A29" s="16" t="n">
        <v>1.1</v>
      </c>
      <c r="B29" s="17" t="n">
        <f aca="false">px*A29/PL!F15</f>
        <v>16.497208352255</v>
      </c>
      <c r="C29" s="17" t="n">
        <f aca="false">px*A29/PL!F43</f>
        <v>24.1204611631571</v>
      </c>
      <c r="D29" s="17" t="n">
        <f aca="false">pe_mid</f>
        <v>12.74</v>
      </c>
      <c r="E29" s="17" t="n">
        <f aca="false">pe_trough</f>
        <v>21.73</v>
      </c>
    </row>
    <row r="30" customFormat="false" ht="15" hidden="false" customHeight="false" outlineLevel="0" collapsed="false">
      <c r="A30" s="16" t="n">
        <v>1.21</v>
      </c>
      <c r="B30" s="17" t="n">
        <f aca="false">px*A30/PL!F15</f>
        <v>18.1469291874805</v>
      </c>
      <c r="C30" s="17" t="n">
        <f aca="false">px*A30/PL!F43</f>
        <v>26.5325072794728</v>
      </c>
      <c r="D30" s="17" t="n">
        <f aca="false">pe_mid</f>
        <v>12.74</v>
      </c>
      <c r="E30" s="17" t="n">
        <f aca="false">pe_trough</f>
        <v>21.73</v>
      </c>
    </row>
    <row r="31" customFormat="false" ht="15" hidden="false" customHeight="false" outlineLevel="0" collapsed="false">
      <c r="A31" s="16" t="n">
        <v>1.5</v>
      </c>
      <c r="B31" s="17" t="n">
        <f aca="false">px*A31/PL!F15</f>
        <v>22.4961932076204</v>
      </c>
      <c r="C31" s="17" t="n">
        <f aca="false">px*A31/PL!F43</f>
        <v>32.8915379497596</v>
      </c>
      <c r="D31" s="17" t="n">
        <f aca="false">pe_mid</f>
        <v>12.74</v>
      </c>
      <c r="E31" s="17" t="n">
        <f aca="false">pe_trough</f>
        <v>21.73</v>
      </c>
    </row>
    <row r="32" customFormat="false" ht="15" hidden="false" customHeight="false" outlineLevel="0" collapsed="false">
      <c r="A32" s="16" t="n">
        <v>2</v>
      </c>
      <c r="B32" s="17" t="n">
        <f aca="false">px*A32/PL!F15</f>
        <v>29.9949242768272</v>
      </c>
      <c r="C32" s="17" t="n">
        <f aca="false">px*A32/PL!F43</f>
        <v>43.8553839330129</v>
      </c>
      <c r="D32" s="17" t="n">
        <f aca="false">pe_mid</f>
        <v>12.74</v>
      </c>
      <c r="E32" s="17" t="n">
        <f aca="false">pe_trough</f>
        <v>21.73</v>
      </c>
    </row>
    <row r="33" customFormat="false" ht="17.15" hidden="false" customHeight="false" outlineLevel="0" collapsed="false">
      <c r="A33" s="4" t="s">
        <v>544</v>
      </c>
    </row>
    <row r="40" customFormat="false" ht="17.15" hidden="false" customHeight="false" outlineLevel="0" collapsed="false">
      <c r="A40" s="6" t="s">
        <v>545</v>
      </c>
    </row>
    <row r="41" customFormat="false" ht="17.15" hidden="false" customHeight="false" outlineLevel="0" collapsed="false">
      <c r="A41" s="4" t="s">
        <v>546</v>
      </c>
    </row>
    <row r="43" customFormat="false" ht="17.15" hidden="false" customHeight="false" outlineLevel="0" collapsed="false">
      <c r="A43" s="6" t="s">
        <v>547</v>
      </c>
    </row>
    <row r="44" customFormat="false" ht="17.15" hidden="false" customHeight="false" outlineLevel="0" collapsed="false">
      <c r="A44" s="5" t="s">
        <v>548</v>
      </c>
      <c r="B44" s="11" t="s">
        <v>549</v>
      </c>
      <c r="C44" s="11" t="s">
        <v>550</v>
      </c>
      <c r="D44" s="5" t="s">
        <v>551</v>
      </c>
    </row>
    <row r="45" customFormat="false" ht="17.15" hidden="false" customHeight="false" outlineLevel="0" collapsed="false">
      <c r="A45" s="0" t="s">
        <v>552</v>
      </c>
      <c r="B45" s="15" t="n">
        <f aca="false">25.1/2.43</f>
        <v>10.3292181069959</v>
      </c>
      <c r="D45" s="8" t="s">
        <v>553</v>
      </c>
    </row>
    <row r="46" customFormat="false" ht="17.15" hidden="false" customHeight="false" outlineLevel="0" collapsed="false">
      <c r="A46" s="0" t="s">
        <v>554</v>
      </c>
      <c r="B46" s="15" t="n">
        <f aca="false">32.4/2.51</f>
        <v>12.9083665338645</v>
      </c>
      <c r="D46" s="8" t="s">
        <v>555</v>
      </c>
    </row>
    <row r="47" customFormat="false" ht="15" hidden="false" customHeight="false" outlineLevel="0" collapsed="false">
      <c r="A47" s="0" t="s">
        <v>556</v>
      </c>
      <c r="B47" s="15" t="n">
        <f aca="false">25.25/2.01</f>
        <v>12.5621890547264</v>
      </c>
    </row>
    <row r="48" customFormat="false" ht="15" hidden="false" customHeight="false" outlineLevel="0" collapsed="false">
      <c r="A48" s="0" t="s">
        <v>557</v>
      </c>
      <c r="B48" s="15" t="n">
        <f aca="false">41.65/2.71</f>
        <v>15.3690036900369</v>
      </c>
    </row>
    <row r="49" customFormat="false" ht="15" hidden="false" customHeight="false" outlineLevel="0" collapsed="false">
      <c r="A49" s="0" t="s">
        <v>558</v>
      </c>
      <c r="B49" s="15" t="n">
        <f aca="false">66.1/5.42</f>
        <v>12.1955719557196</v>
      </c>
    </row>
    <row r="50" customFormat="false" ht="15" hidden="false" customHeight="false" outlineLevel="0" collapsed="false">
      <c r="A50" s="0" t="s">
        <v>559</v>
      </c>
      <c r="B50" s="15" t="n">
        <f aca="false">88.2/8.21</f>
        <v>10.7429963459196</v>
      </c>
      <c r="C50" s="16" t="n">
        <v>10.74</v>
      </c>
    </row>
    <row r="51" customFormat="false" ht="15" hidden="false" customHeight="false" outlineLevel="0" collapsed="false">
      <c r="A51" s="0" t="s">
        <v>560</v>
      </c>
      <c r="B51" s="15" t="n">
        <f aca="false">112/11.78</f>
        <v>9.50764006791172</v>
      </c>
      <c r="C51" s="16" t="n">
        <v>9.51</v>
      </c>
    </row>
    <row r="52" customFormat="false" ht="15" hidden="false" customHeight="false" outlineLevel="0" collapsed="false">
      <c r="A52" s="0" t="s">
        <v>561</v>
      </c>
      <c r="B52" s="15" t="n">
        <f aca="false">336.5/14.11</f>
        <v>23.8483345145287</v>
      </c>
      <c r="C52" s="16" t="n">
        <v>24.32</v>
      </c>
    </row>
    <row r="53" customFormat="false" ht="15" hidden="false" customHeight="false" outlineLevel="0" collapsed="false">
      <c r="A53" s="0" t="s">
        <v>562</v>
      </c>
      <c r="B53" s="15" t="n">
        <f aca="false">623/21.21</f>
        <v>29.3729372937294</v>
      </c>
      <c r="C53" s="16" t="n">
        <v>29.54</v>
      </c>
    </row>
    <row r="54" customFormat="false" ht="15" hidden="false" customHeight="false" outlineLevel="0" collapsed="false">
      <c r="A54" s="0" t="s">
        <v>563</v>
      </c>
      <c r="B54" s="15" t="n">
        <f aca="false">1510/49.17</f>
        <v>30.7097823876347</v>
      </c>
      <c r="C54" s="16" t="n">
        <v>30.55</v>
      </c>
    </row>
    <row r="55" customFormat="false" ht="17.15" hidden="false" customHeight="false" outlineLevel="0" collapsed="false">
      <c r="A55" s="0" t="s">
        <v>564</v>
      </c>
      <c r="B55" s="15" t="n">
        <f aca="false">PERCENTILE(B45:B54,0.25)</f>
        <v>11.1061402483696</v>
      </c>
      <c r="C55" s="15" t="n">
        <f aca="false">PERCENTILE(C45:C54,0.25)</f>
        <v>10.74</v>
      </c>
    </row>
    <row r="56" customFormat="false" ht="15" hidden="false" customHeight="false" outlineLevel="0" collapsed="false">
      <c r="A56" s="4" t="s">
        <v>565</v>
      </c>
      <c r="B56" s="15" t="n">
        <f aca="false">MEDIAN(B45:B54)</f>
        <v>12.7352777942955</v>
      </c>
      <c r="C56" s="15" t="n">
        <f aca="false">MEDIAN(C45:C54)</f>
        <v>24.32</v>
      </c>
    </row>
    <row r="57" customFormat="false" ht="17.15" hidden="false" customHeight="false" outlineLevel="0" collapsed="false">
      <c r="A57" s="0" t="s">
        <v>566</v>
      </c>
      <c r="B57" s="15" t="n">
        <f aca="false">PERCENTILE(B45:B54,0.75)</f>
        <v>21.7285018084058</v>
      </c>
      <c r="C57" s="15" t="n">
        <f aca="false">PERCENTILE(C45:C54,0.75)</f>
        <v>29.54</v>
      </c>
    </row>
    <row r="58" customFormat="false" ht="15" hidden="false" customHeight="false" outlineLevel="0" collapsed="false">
      <c r="A58" s="4" t="s">
        <v>567</v>
      </c>
      <c r="B58" s="15" t="n">
        <f aca="false">MIN(B45:B54)</f>
        <v>9.50764006791172</v>
      </c>
      <c r="C58" s="15" t="n">
        <f aca="false">MIN(C45:C54)</f>
        <v>9.51</v>
      </c>
    </row>
    <row r="59" customFormat="false" ht="15" hidden="false" customHeight="false" outlineLevel="0" collapsed="false">
      <c r="A59" s="4" t="s">
        <v>568</v>
      </c>
      <c r="B59" s="15" t="n">
        <f aca="false">MAX(B45:B54)</f>
        <v>30.7097823876347</v>
      </c>
      <c r="C59" s="15" t="n">
        <f aca="false">MAX(C45:C54)</f>
        <v>30.55</v>
      </c>
    </row>
    <row r="60" customFormat="false" ht="17.15" hidden="false" customHeight="false" outlineLevel="0" collapsed="false">
      <c r="A60" s="1" t="s">
        <v>569</v>
      </c>
      <c r="B60" s="15" t="n">
        <f aca="false">ROUND(AVERAGE(B55),2)</f>
        <v>11.11</v>
      </c>
    </row>
    <row r="61" customFormat="false" ht="17.15" hidden="false" customHeight="false" outlineLevel="0" collapsed="false">
      <c r="A61" s="1" t="s">
        <v>570</v>
      </c>
      <c r="B61" s="15" t="n">
        <f aca="false">ROUND(AVERAGE(B56),2)</f>
        <v>12.74</v>
      </c>
    </row>
    <row r="62" customFormat="false" ht="17.15" hidden="false" customHeight="false" outlineLevel="0" collapsed="false">
      <c r="A62" s="1" t="s">
        <v>571</v>
      </c>
      <c r="B62" s="15" t="n">
        <f aca="false">ROUND(AVERAGE(B57),2)</f>
        <v>21.73</v>
      </c>
    </row>
    <row r="63" customFormat="false" ht="17.15" hidden="false" customHeight="false" outlineLevel="0" collapsed="false">
      <c r="A63" s="1" t="s">
        <v>572</v>
      </c>
      <c r="B63" s="15" t="n">
        <f aca="false">ROUND(MIN(B58),2)</f>
        <v>9.51</v>
      </c>
    </row>
    <row r="64" customFormat="false" ht="17.15" hidden="false" customHeight="false" outlineLevel="0" collapsed="false">
      <c r="A64" s="1" t="s">
        <v>573</v>
      </c>
      <c r="B64" s="15" t="n">
        <f aca="false">ROUND(MAX(B59),2)</f>
        <v>30.71</v>
      </c>
    </row>
    <row r="66" customFormat="false" ht="17.15" hidden="false" customHeight="false" outlineLevel="0" collapsed="false">
      <c r="A66" s="6" t="s">
        <v>574</v>
      </c>
    </row>
    <row r="67" customFormat="false" ht="17.15" hidden="false" customHeight="false" outlineLevel="0" collapsed="false">
      <c r="A67" s="5" t="s">
        <v>575</v>
      </c>
      <c r="B67" s="5" t="s">
        <v>576</v>
      </c>
      <c r="C67" s="5" t="s">
        <v>577</v>
      </c>
      <c r="D67" s="5" t="s">
        <v>21</v>
      </c>
      <c r="E67" s="5" t="s">
        <v>578</v>
      </c>
      <c r="F67" s="5" t="s">
        <v>535</v>
      </c>
      <c r="G67" s="5" t="s">
        <v>579</v>
      </c>
      <c r="H67" s="5" t="s">
        <v>580</v>
      </c>
    </row>
    <row r="68" customFormat="false" ht="17.15" hidden="false" customHeight="false" outlineLevel="0" collapsed="false">
      <c r="A68" s="4" t="s">
        <v>581</v>
      </c>
      <c r="B68" s="0" t="s">
        <v>582</v>
      </c>
      <c r="C68" s="15" t="n">
        <f aca="false">B60</f>
        <v>11.11</v>
      </c>
      <c r="D68" s="8" t="s">
        <v>583</v>
      </c>
      <c r="E68" s="20" t="n">
        <f aca="false">C23</f>
        <v>163.155115781997</v>
      </c>
      <c r="F68" s="19" t="n">
        <f aca="false">C68*E68</f>
        <v>1812.65333633798</v>
      </c>
      <c r="G68" s="14" t="n">
        <f aca="false">F68/px-1</f>
        <v>-0.423639638684267</v>
      </c>
      <c r="H68" s="15" t="n">
        <f aca="false">px/E68</f>
        <v>19.2761347685981</v>
      </c>
    </row>
    <row r="69" customFormat="false" ht="17.15" hidden="false" customHeight="false" outlineLevel="0" collapsed="false">
      <c r="A69" s="4" t="s">
        <v>584</v>
      </c>
      <c r="B69" s="4" t="s">
        <v>585</v>
      </c>
      <c r="C69" s="15" t="n">
        <f aca="false">B61</f>
        <v>12.74</v>
      </c>
      <c r="D69" s="8" t="s">
        <v>583</v>
      </c>
      <c r="E69" s="20" t="n">
        <f aca="false">C23</f>
        <v>163.155115781997</v>
      </c>
      <c r="F69" s="19" t="n">
        <f aca="false">C69*E69</f>
        <v>2078.59617506264</v>
      </c>
      <c r="G69" s="14" t="n">
        <f aca="false">F69/px-1</f>
        <v>-0.339079117627143</v>
      </c>
      <c r="H69" s="15" t="n">
        <f aca="false">px/E69</f>
        <v>19.2761347685981</v>
      </c>
    </row>
    <row r="70" customFormat="false" ht="17.15" hidden="false" customHeight="false" outlineLevel="0" collapsed="false">
      <c r="A70" s="4" t="s">
        <v>586</v>
      </c>
      <c r="B70" s="0" t="s">
        <v>587</v>
      </c>
      <c r="C70" s="15" t="n">
        <f aca="false">B62</f>
        <v>21.73</v>
      </c>
      <c r="D70" s="8" t="s">
        <v>583</v>
      </c>
      <c r="E70" s="20" t="n">
        <f aca="false">C23</f>
        <v>163.155115781997</v>
      </c>
      <c r="F70" s="19" t="n">
        <f aca="false">C70*E70</f>
        <v>3545.36066594279</v>
      </c>
      <c r="G70" s="14" t="n">
        <f aca="false">F70/px-1</f>
        <v>0.127300688694049</v>
      </c>
      <c r="H70" s="15" t="n">
        <f aca="false">px/E70</f>
        <v>19.2761347685981</v>
      </c>
    </row>
    <row r="74" customFormat="false" ht="17.15" hidden="false" customHeight="false" outlineLevel="0" collapsed="false">
      <c r="A74" s="1" t="s">
        <v>588</v>
      </c>
    </row>
    <row r="75" customFormat="false" ht="17.15" hidden="false" customHeight="false" outlineLevel="0" collapsed="false">
      <c r="A75" s="31" t="s">
        <v>589</v>
      </c>
      <c r="B75" s="29" t="n">
        <f aca="false">tp_wA*B77+tp_wB*B78+tp_wC*B79</f>
        <v>2025.40760731771</v>
      </c>
      <c r="C75" s="10"/>
      <c r="D75" s="10"/>
      <c r="E75" s="32" t="s">
        <v>590</v>
      </c>
    </row>
    <row r="76" customFormat="false" ht="17.15" hidden="false" customHeight="false" outlineLevel="0" collapsed="false">
      <c r="A76" s="32" t="s">
        <v>591</v>
      </c>
      <c r="B76" s="33" t="n">
        <f aca="false">B75/px-1</f>
        <v>-0.355991221838568</v>
      </c>
      <c r="C76" s="32"/>
      <c r="D76" s="32"/>
      <c r="E76" s="32" t="s">
        <v>592</v>
      </c>
    </row>
    <row r="77" customFormat="false" ht="17.15" hidden="false" customHeight="false" outlineLevel="0" collapsed="false">
      <c r="A77" s="4" t="s">
        <v>593</v>
      </c>
      <c r="B77" s="18" t="n">
        <f aca="false">E23</f>
        <v>2078.59617506264</v>
      </c>
      <c r="E77" s="4" t="s">
        <v>594</v>
      </c>
    </row>
    <row r="78" customFormat="false" ht="17.15" hidden="false" customHeight="false" outlineLevel="0" collapsed="false">
      <c r="A78" s="4" t="s">
        <v>595</v>
      </c>
      <c r="B78" s="18" t="n">
        <f aca="false">E24</f>
        <v>2078.59617506264</v>
      </c>
      <c r="E78" s="4" t="s">
        <v>596</v>
      </c>
    </row>
    <row r="79" customFormat="false" ht="17.15" hidden="false" customHeight="false" outlineLevel="0" collapsed="false">
      <c r="A79" s="4" t="s">
        <v>597</v>
      </c>
      <c r="B79" s="18" t="n">
        <f aca="false">E25</f>
        <v>1812.65333633798</v>
      </c>
      <c r="E79" s="4" t="s">
        <v>598</v>
      </c>
    </row>
    <row r="80" customFormat="false" ht="17.15" hidden="false" customHeight="false" outlineLevel="0" collapsed="false">
      <c r="A80" s="4" t="s">
        <v>599</v>
      </c>
      <c r="B80" s="34" t="n">
        <f aca="false">tp_wA</f>
        <v>0.3</v>
      </c>
      <c r="C80" s="34" t="n">
        <f aca="false">tp_wB</f>
        <v>0.5</v>
      </c>
      <c r="D80" s="34" t="n">
        <f aca="false">tp_wC</f>
        <v>0.2</v>
      </c>
      <c r="E80" s="8" t="s">
        <v>600</v>
      </c>
    </row>
    <row r="81" customFormat="false" ht="17.15" hidden="false" customHeight="false" outlineLevel="0" collapsed="false">
      <c r="A81" s="4" t="s">
        <v>601</v>
      </c>
      <c r="B81" s="0" t="s">
        <v>602</v>
      </c>
    </row>
    <row r="85" customFormat="false" ht="17.15" hidden="false" customHeight="false" outlineLevel="0" collapsed="false">
      <c r="A85" s="6" t="s">
        <v>603</v>
      </c>
    </row>
    <row r="86" customFormat="false" ht="17.15" hidden="false" customHeight="false" outlineLevel="0" collapsed="false">
      <c r="A86" s="6" t="s">
        <v>604</v>
      </c>
    </row>
    <row r="87" customFormat="false" ht="17.15" hidden="false" customHeight="false" outlineLevel="0" collapsed="false">
      <c r="A87" s="5" t="s">
        <v>18</v>
      </c>
      <c r="B87" s="11" t="s">
        <v>605</v>
      </c>
      <c r="C87" s="11" t="s">
        <v>606</v>
      </c>
      <c r="D87" s="11" t="s">
        <v>607</v>
      </c>
      <c r="E87" s="5" t="s">
        <v>412</v>
      </c>
    </row>
    <row r="88" customFormat="false" ht="17.15" hidden="false" customHeight="false" outlineLevel="0" collapsed="false">
      <c r="A88" s="4" t="s">
        <v>608</v>
      </c>
      <c r="E88" s="0" t="s">
        <v>609</v>
      </c>
    </row>
    <row r="89" customFormat="false" ht="15" hidden="false" customHeight="false" outlineLevel="0" collapsed="false">
      <c r="A89" s="0" t="s">
        <v>610</v>
      </c>
      <c r="B89" s="15" t="n">
        <f aca="false">PL!E191</f>
        <v>163.155115781997</v>
      </c>
      <c r="C89" s="15" t="n">
        <f aca="false">PL!E203</f>
        <v>163.155115781997</v>
      </c>
      <c r="D89" s="15" t="n">
        <f aca="false">PL!E215</f>
        <v>163.155115781997</v>
      </c>
    </row>
    <row r="90" customFormat="false" ht="15" hidden="false" customHeight="false" outlineLevel="0" collapsed="false">
      <c r="A90" s="0" t="s">
        <v>611</v>
      </c>
      <c r="B90" s="15" t="n">
        <f aca="false">PL!F191</f>
        <v>209.702146334784</v>
      </c>
      <c r="C90" s="15" t="n">
        <f aca="false">PL!F203</f>
        <v>177.531256730248</v>
      </c>
      <c r="D90" s="15" t="n">
        <f aca="false">PL!F215</f>
        <v>143.425947646649</v>
      </c>
    </row>
    <row r="91" customFormat="false" ht="15" hidden="false" customHeight="false" outlineLevel="0" collapsed="false">
      <c r="A91" s="0" t="s">
        <v>612</v>
      </c>
      <c r="B91" s="15" t="n">
        <f aca="false">PL!G191</f>
        <v>231.777613198403</v>
      </c>
      <c r="C91" s="15" t="n">
        <f aca="false">PL!G203</f>
        <v>204.635694305285</v>
      </c>
      <c r="D91" s="15" t="n">
        <f aca="false">PL!G215</f>
        <v>157.366456846568</v>
      </c>
    </row>
    <row r="92" customFormat="false" ht="15" hidden="false" customHeight="false" outlineLevel="0" collapsed="false">
      <c r="A92" s="0" t="s">
        <v>613</v>
      </c>
      <c r="B92" s="15" t="n">
        <f aca="false">PL!H191</f>
        <v>251.400023441217</v>
      </c>
      <c r="C92" s="15" t="n">
        <f aca="false">PL!H203</f>
        <v>218.908162087218</v>
      </c>
      <c r="D92" s="15" t="n">
        <f aca="false">PL!H215</f>
        <v>156.504789950024</v>
      </c>
    </row>
    <row r="93" customFormat="false" ht="15" hidden="false" customHeight="false" outlineLevel="0" collapsed="false">
      <c r="A93" s="0" t="s">
        <v>614</v>
      </c>
      <c r="B93" s="15" t="n">
        <f aca="false">PL!I191</f>
        <v>269.583850865643</v>
      </c>
      <c r="C93" s="15" t="n">
        <f aca="false">PL!I203</f>
        <v>226.855806549101</v>
      </c>
      <c r="D93" s="15" t="n">
        <f aca="false">PL!I215</f>
        <v>151.543056709721</v>
      </c>
    </row>
    <row r="94" customFormat="false" ht="15" hidden="false" customHeight="false" outlineLevel="0" collapsed="false">
      <c r="A94" s="0" t="s">
        <v>615</v>
      </c>
      <c r="B94" s="15" t="n">
        <f aca="false">PL!J191</f>
        <v>285.758881917582</v>
      </c>
      <c r="C94" s="15" t="n">
        <f aca="false">PL!J203</f>
        <v>227.503965996384</v>
      </c>
      <c r="D94" s="15" t="n">
        <f aca="false">PL!J215</f>
        <v>142.683616471307</v>
      </c>
    </row>
    <row r="95" customFormat="false" ht="17.15" hidden="false" customHeight="false" outlineLevel="0" collapsed="false">
      <c r="A95" s="4" t="s">
        <v>616</v>
      </c>
    </row>
    <row r="96" customFormat="false" ht="17.15" hidden="false" customHeight="false" outlineLevel="0" collapsed="false">
      <c r="A96" s="4" t="s">
        <v>617</v>
      </c>
      <c r="B96" s="14" t="n">
        <f aca="false">MIN(tp_g/tp_roe,0.8)</f>
        <v>0.111389585073796</v>
      </c>
      <c r="E96" s="8" t="s">
        <v>618</v>
      </c>
    </row>
    <row r="97" customFormat="false" ht="15" hidden="false" customHeight="false" outlineLevel="0" collapsed="false">
      <c r="A97" s="0" t="s">
        <v>610</v>
      </c>
      <c r="B97" s="15" t="n">
        <f aca="false">B89*(1-$B$96)</f>
        <v>144.981335132373</v>
      </c>
      <c r="C97" s="15" t="n">
        <f aca="false">C89*(1-$B$96)</f>
        <v>144.981335132373</v>
      </c>
      <c r="D97" s="15" t="n">
        <f aca="false">D89*(1-$B$96)</f>
        <v>144.981335132373</v>
      </c>
    </row>
    <row r="98" customFormat="false" ht="15" hidden="false" customHeight="false" outlineLevel="0" collapsed="false">
      <c r="A98" s="0" t="s">
        <v>611</v>
      </c>
      <c r="B98" s="15" t="n">
        <f aca="false">B90*(1-$B$96)</f>
        <v>186.343511265468</v>
      </c>
      <c r="C98" s="15" t="n">
        <f aca="false">C90*(1-$B$96)</f>
        <v>157.756123705436</v>
      </c>
      <c r="D98" s="15" t="n">
        <f aca="false">D90*(1-$B$96)</f>
        <v>127.449790849473</v>
      </c>
    </row>
    <row r="99" customFormat="false" ht="15" hidden="false" customHeight="false" outlineLevel="0" collapsed="false">
      <c r="A99" s="0" t="s">
        <v>612</v>
      </c>
      <c r="B99" s="15" t="n">
        <f aca="false">B91*(1-$B$96)</f>
        <v>205.960001034838</v>
      </c>
      <c r="C99" s="15" t="n">
        <f aca="false">C91*(1-$B$96)</f>
        <v>181.841409225331</v>
      </c>
      <c r="D99" s="15" t="n">
        <f aca="false">D91*(1-$B$96)</f>
        <v>139.837472513895</v>
      </c>
    </row>
    <row r="100" customFormat="false" ht="15" hidden="false" customHeight="false" outlineLevel="0" collapsed="false">
      <c r="A100" s="0" t="s">
        <v>613</v>
      </c>
      <c r="B100" s="15" t="n">
        <f aca="false">B92*(1-$B$96)</f>
        <v>223.396679142557</v>
      </c>
      <c r="C100" s="15" t="n">
        <f aca="false">C92*(1-$B$96)</f>
        <v>194.524072743056</v>
      </c>
      <c r="D100" s="15" t="n">
        <f aca="false">D92*(1-$B$96)</f>
        <v>139.071786335429</v>
      </c>
    </row>
    <row r="101" customFormat="false" ht="15" hidden="false" customHeight="false" outlineLevel="0" collapsed="false">
      <c r="A101" s="0" t="s">
        <v>614</v>
      </c>
      <c r="B101" s="15" t="n">
        <f aca="false">B93*(1-$B$96)</f>
        <v>239.555017575123</v>
      </c>
      <c r="C101" s="15" t="n">
        <f aca="false">C93*(1-$B$96)</f>
        <v>201.586432386015</v>
      </c>
      <c r="D101" s="15" t="n">
        <f aca="false">D93*(1-$B$96)</f>
        <v>134.662738502011</v>
      </c>
    </row>
    <row r="102" customFormat="false" ht="15" hidden="false" customHeight="false" outlineLevel="0" collapsed="false">
      <c r="A102" s="0" t="s">
        <v>615</v>
      </c>
      <c r="B102" s="15" t="n">
        <f aca="false">B94*(1-$B$96)</f>
        <v>253.928318629631</v>
      </c>
      <c r="C102" s="15" t="n">
        <f aca="false">C94*(1-$B$96)</f>
        <v>202.162393621404</v>
      </c>
      <c r="D102" s="15" t="n">
        <f aca="false">D94*(1-$B$96)</f>
        <v>126.79014763574</v>
      </c>
    </row>
    <row r="103" customFormat="false" ht="17.15" hidden="false" customHeight="false" outlineLevel="0" collapsed="false">
      <c r="A103" s="0" t="s">
        <v>619</v>
      </c>
      <c r="B103" s="18" t="n">
        <f aca="false">SUMPRODUCT(B97:B102,1/(1+tp_r)^{1;2;3;4;5;6})+B102*(1+tp_g)/(tp_r-tp_g)/(1+tp_r)^6</f>
        <v>3369.69779509156</v>
      </c>
      <c r="C103" s="18" t="n">
        <f aca="false">SUMPRODUCT(C97:C102,1/(1+tp_r)^{1;2;3;4;5;6})+C102*(1+tp_g)/(tp_r-tp_g)/(1+tp_r)^6</f>
        <v>2748.94587305181</v>
      </c>
      <c r="D103" s="18" t="n">
        <f aca="false">SUMPRODUCT(D97:D102,1/(1+tp_r)^{1;2;3;4;5;6})+D102*(1+tp_g)/(tp_r-tp_g)/(1+tp_r)^6</f>
        <v>1832.90821967146</v>
      </c>
      <c r="E103" s="8" t="s">
        <v>620</v>
      </c>
    </row>
    <row r="104" customFormat="false" ht="17.15" hidden="false" customHeight="false" outlineLevel="0" collapsed="false">
      <c r="A104" s="0" t="s">
        <v>621</v>
      </c>
      <c r="B104" s="18" t="n">
        <f aca="false">B103*(1+tp_r)</f>
        <v>3706.66757460072</v>
      </c>
      <c r="C104" s="18" t="n">
        <f aca="false">C103*(1+tp_r)</f>
        <v>3023.84046035699</v>
      </c>
      <c r="D104" s="18" t="n">
        <f aca="false">D103*(1+tp_r)</f>
        <v>2016.1990416386</v>
      </c>
    </row>
    <row r="105" customFormat="false" ht="17.15" hidden="false" customHeight="false" outlineLevel="0" collapsed="false">
      <c r="A105" s="0" t="s">
        <v>622</v>
      </c>
      <c r="B105" s="29" t="n">
        <f aca="false">tp_wA*B104+tp_wB*C104+tp_wC*D104</f>
        <v>3027.16031088643</v>
      </c>
      <c r="E105" s="8" t="s">
        <v>623</v>
      </c>
    </row>
    <row r="107" customFormat="false" ht="17.15" hidden="false" customHeight="false" outlineLevel="0" collapsed="false">
      <c r="A107" s="6" t="s">
        <v>624</v>
      </c>
    </row>
    <row r="108" customFormat="false" ht="17.15" hidden="false" customHeight="false" outlineLevel="0" collapsed="false">
      <c r="A108" s="5" t="s">
        <v>625</v>
      </c>
      <c r="B108" s="5" t="s">
        <v>626</v>
      </c>
      <c r="C108" s="5" t="s">
        <v>627</v>
      </c>
      <c r="D108" s="5" t="s">
        <v>628</v>
      </c>
      <c r="E108" s="5" t="s">
        <v>629</v>
      </c>
      <c r="F108" s="5" t="s">
        <v>23</v>
      </c>
    </row>
    <row r="109" customFormat="false" ht="17.15" hidden="false" customHeight="false" outlineLevel="0" collapsed="false">
      <c r="A109" s="4" t="s">
        <v>630</v>
      </c>
      <c r="B109" s="0" t="s">
        <v>631</v>
      </c>
      <c r="C109" s="35" t="n">
        <v>17.27</v>
      </c>
      <c r="D109" s="8" t="s">
        <v>632</v>
      </c>
      <c r="E109" s="8" t="s">
        <v>633</v>
      </c>
      <c r="F109" s="8" t="s">
        <v>634</v>
      </c>
    </row>
    <row r="110" customFormat="false" ht="17.15" hidden="false" customHeight="false" outlineLevel="0" collapsed="false">
      <c r="A110" s="4" t="s">
        <v>635</v>
      </c>
      <c r="B110" s="0" t="s">
        <v>636</v>
      </c>
      <c r="C110" s="35" t="n">
        <v>59.27</v>
      </c>
      <c r="D110" s="8" t="s">
        <v>637</v>
      </c>
      <c r="E110" s="8" t="s">
        <v>633</v>
      </c>
      <c r="F110" s="8" t="s">
        <v>634</v>
      </c>
    </row>
    <row r="111" customFormat="false" ht="17.15" hidden="false" customHeight="false" outlineLevel="0" collapsed="false">
      <c r="A111" s="0" t="s">
        <v>638</v>
      </c>
      <c r="B111" s="0" t="s">
        <v>639</v>
      </c>
      <c r="C111" s="35" t="n">
        <v>24.53</v>
      </c>
      <c r="D111" s="8" t="s">
        <v>640</v>
      </c>
      <c r="E111" s="8" t="s">
        <v>633</v>
      </c>
      <c r="F111" s="8" t="s">
        <v>634</v>
      </c>
    </row>
    <row r="112" customFormat="false" ht="17.15" hidden="false" customHeight="false" outlineLevel="0" collapsed="false">
      <c r="A112" s="4" t="s">
        <v>641</v>
      </c>
      <c r="B112" s="0" t="s">
        <v>642</v>
      </c>
      <c r="C112" s="35" t="n">
        <v>30.51</v>
      </c>
      <c r="D112" s="8" t="s">
        <v>643</v>
      </c>
      <c r="E112" s="8" t="s">
        <v>633</v>
      </c>
      <c r="F112" s="8" t="s">
        <v>634</v>
      </c>
    </row>
    <row r="113" customFormat="false" ht="17.15" hidden="false" customHeight="false" outlineLevel="0" collapsed="false">
      <c r="A113" s="4" t="s">
        <v>644</v>
      </c>
      <c r="B113" s="17" t="n">
        <f aca="false">MEDIAN(C109:C112)</f>
        <v>27.52</v>
      </c>
      <c r="E113" s="4" t="s">
        <v>645</v>
      </c>
    </row>
    <row r="114" customFormat="false" ht="17.15" hidden="false" customHeight="false" outlineLevel="0" collapsed="false">
      <c r="A114" s="0" t="s">
        <v>646</v>
      </c>
      <c r="B114" s="15" t="n">
        <f aca="false">tp_wA*(0.166666666666667*B89+0.833333333333333*B90)+tp_wB*(0.166666666666667*C89+0.833333333333333*C90)+tp_wC*(0.166666666666667*D89+0.833333333333333*D90)</f>
        <v>177.493737459407</v>
      </c>
      <c r="E114" s="4" t="s">
        <v>647</v>
      </c>
    </row>
    <row r="115" customFormat="false" ht="17.15" hidden="false" customHeight="false" outlineLevel="0" collapsed="false">
      <c r="A115" s="0" t="s">
        <v>648</v>
      </c>
      <c r="B115" s="29" t="n">
        <f aca="false">B113*B114</f>
        <v>4884.62765488289</v>
      </c>
      <c r="E115" s="4" t="s">
        <v>649</v>
      </c>
    </row>
    <row r="117" customFormat="false" ht="17.15" hidden="false" customHeight="false" outlineLevel="0" collapsed="false">
      <c r="A117" s="6" t="s">
        <v>650</v>
      </c>
    </row>
    <row r="118" customFormat="false" ht="15" hidden="false" customHeight="false" outlineLevel="0" collapsed="false">
      <c r="A118" s="5" t="s">
        <v>18</v>
      </c>
      <c r="B118" s="5" t="s">
        <v>651</v>
      </c>
      <c r="C118" s="5"/>
      <c r="D118" s="5"/>
      <c r="E118" s="5" t="s">
        <v>412</v>
      </c>
    </row>
    <row r="119" customFormat="false" ht="17.15" hidden="false" customHeight="false" outlineLevel="0" collapsed="false">
      <c r="A119" s="1" t="s">
        <v>652</v>
      </c>
      <c r="B119" s="29" t="n">
        <f aca="false">tp_w_dcf*B105+(1-tp_w_dcf)*B115</f>
        <v>3955.89398288466</v>
      </c>
      <c r="E119" s="8" t="s">
        <v>653</v>
      </c>
    </row>
    <row r="120" customFormat="false" ht="17.15" hidden="false" customHeight="false" outlineLevel="0" collapsed="false">
      <c r="A120" s="0" t="s">
        <v>654</v>
      </c>
      <c r="B120" s="18" t="n">
        <f aca="false">B115</f>
        <v>4884.62765488289</v>
      </c>
      <c r="E120" s="4" t="s">
        <v>655</v>
      </c>
    </row>
    <row r="121" customFormat="false" ht="17.15" hidden="false" customHeight="false" outlineLevel="0" collapsed="false">
      <c r="A121" s="4" t="s">
        <v>656</v>
      </c>
      <c r="B121" s="18" t="n">
        <f aca="false">cons_tp</f>
        <v>4130</v>
      </c>
      <c r="E121" s="8" t="s">
        <v>339</v>
      </c>
    </row>
    <row r="122" customFormat="false" ht="17.15" hidden="false" customHeight="false" outlineLevel="0" collapsed="false">
      <c r="A122" s="4" t="s">
        <v>657</v>
      </c>
      <c r="B122" s="14" t="n">
        <f aca="false">B119/px-1</f>
        <v>0.257835924605614</v>
      </c>
      <c r="E122" s="4" t="s">
        <v>658</v>
      </c>
    </row>
    <row r="123" customFormat="false" ht="17.15" hidden="false" customHeight="false" outlineLevel="0" collapsed="false">
      <c r="A123" s="4" t="s">
        <v>659</v>
      </c>
      <c r="B123" s="14" t="n">
        <f aca="false">B120/px-1</f>
        <v>0.553140748770393</v>
      </c>
    </row>
    <row r="124" customFormat="false" ht="17.15" hidden="false" customHeight="false" outlineLevel="0" collapsed="false">
      <c r="A124" s="4" t="s">
        <v>660</v>
      </c>
      <c r="B124" s="14" t="n">
        <f aca="false">B114/cons_feps-1</f>
        <v>0.338753322427439</v>
      </c>
      <c r="E124" s="4" t="s">
        <v>661</v>
      </c>
    </row>
    <row r="125" customFormat="false" ht="17.15" hidden="false" customHeight="false" outlineLevel="0" collapsed="false">
      <c r="A125" s="4" t="s">
        <v>662</v>
      </c>
      <c r="B125" s="14" t="n">
        <f aca="false">(cons_tp/cons_feps)/B113-1</f>
        <v>0.131928902727774</v>
      </c>
      <c r="E125" s="0" t="str">
        <f aca="false">"共識目標價 ÷ 共識前瞻 EPS 隱含 "&amp;TEXT(cons_tp/cons_feps,"0.0")&amp;"x，同業中位數 "&amp;TEXT(B113,"0.0")&amp;"x"</f>
        <v>共識目標價 ÷ 共識前瞻 EPS 隱含 31.2x，同業中位數 27.5x</v>
      </c>
    </row>
    <row r="126" customFormat="false" ht="17.15" hidden="false" customHeight="false" outlineLevel="0" collapsed="false">
      <c r="A126" s="4" t="s">
        <v>663</v>
      </c>
      <c r="B126" s="36" t="str">
        <f aca="false">TEXT(D104,"#,##0")&amp;"～"&amp;TEXT(B104,"#,##0")</f>
        <v>2,016～3,707</v>
      </c>
      <c r="E126" s="8" t="s">
        <v>664</v>
      </c>
    </row>
    <row r="127" customFormat="false" ht="17.15" hidden="false" customHeight="false" outlineLevel="0" collapsed="false">
      <c r="A127" s="4" t="s">
        <v>665</v>
      </c>
      <c r="B127" s="34" t="n">
        <f aca="false">IF(px/B90&lt;=MIN($B$131:$K$131),0,IF(px/B90&gt;=MAX($B$131:$K$131),1,PERCENTRANK($B$131:$K$131,px/B90)))</f>
        <v>0.65</v>
      </c>
      <c r="C127" s="34" t="n">
        <f aca="false">IF(px/C90&lt;=MIN($B$131:$K$131),0,IF(px/C90&gt;=MAX($B$131:$K$131),1,PERCENTRANK($B$131:$K$131,px/C90)))</f>
        <v>0.697</v>
      </c>
      <c r="D127" s="34" t="n">
        <f aca="false">IF(px/D90&lt;=MIN($B$131:$K$131),0,IF(px/D90&gt;=MAX($B$131:$K$131),1,PERCENTRANK($B$131:$K$131,px/D90)))</f>
        <v>0.753</v>
      </c>
      <c r="E127" s="4" t="s">
        <v>666</v>
      </c>
    </row>
    <row r="128" customFormat="false" ht="17.15" hidden="false" customHeight="false" outlineLevel="0" collapsed="false">
      <c r="A128" s="4" t="s">
        <v>667</v>
      </c>
      <c r="B128" s="0" t="s">
        <v>668</v>
      </c>
    </row>
    <row r="130" customFormat="false" ht="17.15" hidden="false" customHeight="false" outlineLevel="0" collapsed="false">
      <c r="A130" s="1" t="s">
        <v>669</v>
      </c>
      <c r="B130" s="8" t="s">
        <v>552</v>
      </c>
      <c r="C130" s="8" t="s">
        <v>554</v>
      </c>
      <c r="D130" s="8" t="s">
        <v>556</v>
      </c>
      <c r="E130" s="8" t="s">
        <v>557</v>
      </c>
      <c r="F130" s="8" t="s">
        <v>558</v>
      </c>
      <c r="G130" s="8" t="s">
        <v>559</v>
      </c>
      <c r="H130" s="8" t="s">
        <v>560</v>
      </c>
      <c r="I130" s="8" t="s">
        <v>561</v>
      </c>
      <c r="J130" s="8" t="s">
        <v>562</v>
      </c>
      <c r="K130" s="8" t="s">
        <v>563</v>
      </c>
    </row>
    <row r="131" customFormat="false" ht="17.15" hidden="false" customHeight="false" outlineLevel="0" collapsed="false">
      <c r="A131" s="4" t="s">
        <v>670</v>
      </c>
      <c r="B131" s="35" t="n">
        <f aca="false">25.1/2.43</f>
        <v>10.3292181069959</v>
      </c>
      <c r="C131" s="35" t="n">
        <f aca="false">32.4/2.51</f>
        <v>12.9083665338645</v>
      </c>
      <c r="D131" s="35" t="n">
        <f aca="false">25.25/2.01</f>
        <v>12.5621890547264</v>
      </c>
      <c r="E131" s="35" t="n">
        <f aca="false">41.65/2.71</f>
        <v>15.3690036900369</v>
      </c>
      <c r="F131" s="35" t="n">
        <f aca="false">66.1/5.42</f>
        <v>12.1955719557196</v>
      </c>
      <c r="G131" s="35" t="n">
        <f aca="false">88.2/8.21</f>
        <v>10.7429963459196</v>
      </c>
      <c r="H131" s="35" t="n">
        <f aca="false">112/11.78</f>
        <v>9.50764006791172</v>
      </c>
      <c r="I131" s="35" t="n">
        <f aca="false">336.5/14.11</f>
        <v>23.8483345145287</v>
      </c>
      <c r="J131" s="35" t="n">
        <f aca="false">623/21.21</f>
        <v>29.3729372937294</v>
      </c>
      <c r="K131" s="35" t="n">
        <f aca="false">1510/49.17</f>
        <v>30.7097823876347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671</v>
      </c>
    </row>
    <row r="3" customFormat="false" ht="17.15" hidden="false" customHeight="false" outlineLevel="0" collapsed="false">
      <c r="A3" s="5" t="s">
        <v>18</v>
      </c>
      <c r="B3" s="5" t="s">
        <v>672</v>
      </c>
      <c r="C3" s="5" t="s">
        <v>673</v>
      </c>
      <c r="D3" s="5" t="s">
        <v>674</v>
      </c>
      <c r="E3" s="5" t="s">
        <v>675</v>
      </c>
      <c r="F3" s="5" t="s">
        <v>676</v>
      </c>
      <c r="G3" s="5" t="s">
        <v>677</v>
      </c>
      <c r="H3" s="5" t="s">
        <v>678</v>
      </c>
      <c r="I3" s="5" t="s">
        <v>679</v>
      </c>
      <c r="J3" s="5" t="s">
        <v>412</v>
      </c>
    </row>
    <row r="4" customFormat="false" ht="17.15" hidden="false" customHeight="false" outlineLevel="0" collapsed="false">
      <c r="A4" s="6" t="s">
        <v>680</v>
      </c>
    </row>
    <row r="5" customFormat="false" ht="17.15" hidden="false" customHeight="false" outlineLevel="0" collapsed="false">
      <c r="A5" s="0" t="s">
        <v>681</v>
      </c>
      <c r="B5" s="19" t="n">
        <f aca="false">b_rev26</f>
        <v>213.809</v>
      </c>
      <c r="C5" s="19" t="n">
        <f aca="false">PL!D80</f>
        <v>225.20035</v>
      </c>
      <c r="D5" s="14" t="n">
        <f aca="false">C5/B5-1</f>
        <v>0.053278159478787</v>
      </c>
      <c r="E5" s="19" t="n">
        <f aca="false">PL!D121</f>
        <v>225.20035</v>
      </c>
      <c r="F5" s="14" t="n">
        <f aca="false">E5/B5-1</f>
        <v>0.053278159478787</v>
      </c>
      <c r="G5" s="19" t="n">
        <f aca="false">PL!D162</f>
        <v>225.20035</v>
      </c>
      <c r="H5" s="14" t="n">
        <f aca="false">G5/B5-1</f>
        <v>0.053278159478787</v>
      </c>
      <c r="I5" s="4" t="s">
        <v>682</v>
      </c>
      <c r="J5" s="4" t="s">
        <v>683</v>
      </c>
    </row>
    <row r="6" customFormat="false" ht="17.15" hidden="false" customHeight="false" outlineLevel="0" collapsed="false">
      <c r="A6" s="0" t="s">
        <v>684</v>
      </c>
      <c r="B6" s="19" t="n">
        <f aca="false">b_q4</f>
        <v>68.057</v>
      </c>
      <c r="C6" s="19" t="n">
        <f aca="false">Q!E4</f>
        <v>67.95235</v>
      </c>
      <c r="D6" s="14" t="n">
        <f aca="false">C6/B6-1</f>
        <v>-0.00153768164920587</v>
      </c>
      <c r="E6" s="19" t="n">
        <f aca="false">Q!E4</f>
        <v>67.95235</v>
      </c>
      <c r="F6" s="14" t="n">
        <f aca="false">E6/B6-1</f>
        <v>-0.00153768164920587</v>
      </c>
      <c r="G6" s="19" t="n">
        <f aca="false">Q!E4</f>
        <v>67.95235</v>
      </c>
      <c r="H6" s="14" t="n">
        <f aca="false">G6/B6-1</f>
        <v>-0.00153768164920587</v>
      </c>
      <c r="I6" s="4" t="s">
        <v>685</v>
      </c>
    </row>
    <row r="7" customFormat="false" ht="17.15" hidden="false" customHeight="false" outlineLevel="0" collapsed="false">
      <c r="A7" s="0" t="s">
        <v>686</v>
      </c>
      <c r="B7" s="20" t="n">
        <f aca="false">b_eps26gs</f>
        <v>101.06</v>
      </c>
      <c r="C7" s="20" t="n">
        <f aca="false">PL!D97</f>
        <v>105.961302834002</v>
      </c>
      <c r="D7" s="14" t="n">
        <f aca="false">C7/B7-1</f>
        <v>0.0484989395804629</v>
      </c>
      <c r="E7" s="20" t="n">
        <f aca="false">PL!D138</f>
        <v>105.961302834002</v>
      </c>
      <c r="F7" s="14" t="n">
        <f aca="false">E7/B7-1</f>
        <v>0.0484989395804629</v>
      </c>
      <c r="G7" s="20" t="n">
        <f aca="false">PL!D179</f>
        <v>105.961302834002</v>
      </c>
      <c r="H7" s="14" t="n">
        <f aca="false">G7/B7-1</f>
        <v>0.0484989395804629</v>
      </c>
      <c r="I7" s="4" t="s">
        <v>685</v>
      </c>
    </row>
    <row r="8" customFormat="false" ht="17.15" hidden="false" customHeight="false" outlineLevel="0" collapsed="false">
      <c r="A8" s="0" t="s">
        <v>687</v>
      </c>
      <c r="B8" s="20" t="n">
        <f aca="false">b_eps26kgi</f>
        <v>103.17</v>
      </c>
      <c r="C8" s="20" t="n">
        <f aca="false">PL!D97</f>
        <v>105.961302834002</v>
      </c>
      <c r="D8" s="14" t="n">
        <f aca="false">C8/B8-1</f>
        <v>0.0270553730154268</v>
      </c>
      <c r="E8" s="20" t="n">
        <f aca="false">PL!D138</f>
        <v>105.961302834002</v>
      </c>
      <c r="F8" s="14" t="n">
        <f aca="false">E8/B8-1</f>
        <v>0.0270553730154268</v>
      </c>
      <c r="G8" s="20" t="n">
        <f aca="false">PL!D179</f>
        <v>105.961302834002</v>
      </c>
      <c r="H8" s="14" t="n">
        <f aca="false">G8/B8-1</f>
        <v>0.0270553730154268</v>
      </c>
      <c r="I8" s="4" t="s">
        <v>682</v>
      </c>
      <c r="J8" s="4" t="s">
        <v>688</v>
      </c>
    </row>
    <row r="9" customFormat="false" ht="17.15" hidden="false" customHeight="false" outlineLevel="0" collapsed="false">
      <c r="A9" s="0" t="s">
        <v>689</v>
      </c>
      <c r="B9" s="19" t="n">
        <f aca="false">b_rev27</f>
        <v>311.893</v>
      </c>
      <c r="C9" s="19" t="n">
        <f aca="false">PL!E80</f>
        <v>330.677779399532</v>
      </c>
      <c r="D9" s="14" t="n">
        <f aca="false">C9/B9-1</f>
        <v>0.0602282814924731</v>
      </c>
      <c r="E9" s="19" t="n">
        <f aca="false">PL!E121</f>
        <v>330.677779399532</v>
      </c>
      <c r="F9" s="14" t="n">
        <f aca="false">E9/B9-1</f>
        <v>0.0602282814924731</v>
      </c>
      <c r="G9" s="19" t="n">
        <f aca="false">PL!E162</f>
        <v>330.677779399532</v>
      </c>
      <c r="H9" s="14" t="n">
        <f aca="false">G9/B9-1</f>
        <v>0.0602282814924731</v>
      </c>
      <c r="I9" s="4" t="s">
        <v>682</v>
      </c>
    </row>
    <row r="10" customFormat="false" ht="17.15" hidden="false" customHeight="false" outlineLevel="0" collapsed="false">
      <c r="A10" s="0" t="s">
        <v>690</v>
      </c>
      <c r="B10" s="20" t="n">
        <f aca="false">b_eps27gs</f>
        <v>154.78</v>
      </c>
      <c r="C10" s="20" t="n">
        <f aca="false">PL!E97</f>
        <v>163.155115781997</v>
      </c>
      <c r="D10" s="14" t="n">
        <f aca="false">C10/B10-1</f>
        <v>0.0541098060601923</v>
      </c>
      <c r="E10" s="20" t="n">
        <f aca="false">PL!E138</f>
        <v>163.155115781997</v>
      </c>
      <c r="F10" s="14" t="n">
        <f aca="false">E10/B10-1</f>
        <v>0.0541098060601923</v>
      </c>
      <c r="G10" s="20" t="n">
        <f aca="false">PL!E179</f>
        <v>163.155115781997</v>
      </c>
      <c r="H10" s="14" t="n">
        <f aca="false">G10/B10-1</f>
        <v>0.0541098060601923</v>
      </c>
      <c r="I10" s="4" t="s">
        <v>685</v>
      </c>
    </row>
    <row r="11" customFormat="false" ht="17.15" hidden="false" customHeight="false" outlineLevel="0" collapsed="false">
      <c r="A11" s="0" t="s">
        <v>691</v>
      </c>
      <c r="B11" s="20" t="n">
        <f aca="false">b_eps27kgi</f>
        <v>160.03</v>
      </c>
      <c r="C11" s="20" t="n">
        <f aca="false">PL!E97</f>
        <v>163.155115781997</v>
      </c>
      <c r="D11" s="14" t="n">
        <f aca="false">C11/B11-1</f>
        <v>0.0195283120789638</v>
      </c>
      <c r="E11" s="20" t="n">
        <f aca="false">PL!E138</f>
        <v>163.155115781997</v>
      </c>
      <c r="F11" s="14" t="n">
        <f aca="false">E11/B11-1</f>
        <v>0.0195283120789638</v>
      </c>
      <c r="G11" s="20" t="n">
        <f aca="false">PL!E179</f>
        <v>163.155115781997</v>
      </c>
      <c r="H11" s="14" t="n">
        <f aca="false">G11/B11-1</f>
        <v>0.0195283120789638</v>
      </c>
      <c r="I11" s="4" t="s">
        <v>682</v>
      </c>
    </row>
    <row r="12" customFormat="false" ht="17.15" hidden="false" customHeight="false" outlineLevel="0" collapsed="false">
      <c r="A12" s="0" t="s">
        <v>692</v>
      </c>
      <c r="B12" s="20" t="n">
        <f aca="false">b_eps27bofa</f>
        <v>143.99</v>
      </c>
      <c r="C12" s="20" t="n">
        <f aca="false">PL!E97</f>
        <v>163.155115781997</v>
      </c>
      <c r="D12" s="14" t="n">
        <f aca="false">C12/B12-1</f>
        <v>0.133100324897538</v>
      </c>
      <c r="E12" s="20" t="n">
        <f aca="false">PL!E138</f>
        <v>163.155115781997</v>
      </c>
      <c r="F12" s="14" t="n">
        <f aca="false">E12/B12-1</f>
        <v>0.133100324897538</v>
      </c>
      <c r="G12" s="20" t="n">
        <f aca="false">PL!E179</f>
        <v>163.155115781997</v>
      </c>
      <c r="H12" s="14" t="n">
        <f aca="false">G12/B12-1</f>
        <v>0.133100324897538</v>
      </c>
      <c r="I12" s="4" t="s">
        <v>693</v>
      </c>
    </row>
    <row r="13" customFormat="false" ht="17.15" hidden="false" customHeight="false" outlineLevel="0" collapsed="false">
      <c r="A13" s="0" t="s">
        <v>694</v>
      </c>
      <c r="B13" s="20" t="n">
        <f aca="false">b_eps27dw</f>
        <v>139.53</v>
      </c>
      <c r="C13" s="20" t="n">
        <f aca="false">PL!E97</f>
        <v>163.155115781997</v>
      </c>
      <c r="D13" s="14" t="n">
        <f aca="false">C13/B13-1</f>
        <v>0.169319255944933</v>
      </c>
      <c r="E13" s="20" t="n">
        <f aca="false">PL!E138</f>
        <v>163.155115781997</v>
      </c>
      <c r="F13" s="14" t="n">
        <f aca="false">E13/B13-1</f>
        <v>0.169319255944933</v>
      </c>
      <c r="G13" s="20" t="n">
        <f aca="false">PL!E179</f>
        <v>163.155115781997</v>
      </c>
      <c r="H13" s="14" t="n">
        <f aca="false">G13/B13-1</f>
        <v>0.169319255944933</v>
      </c>
      <c r="I13" s="4" t="s">
        <v>693</v>
      </c>
    </row>
    <row r="14" customFormat="false" ht="17.15" hidden="false" customHeight="false" outlineLevel="0" collapsed="false">
      <c r="A14" s="0" t="s">
        <v>695</v>
      </c>
      <c r="B14" s="20" t="n">
        <f aca="false">b_eps27citi</f>
        <v>153.21</v>
      </c>
      <c r="C14" s="20" t="n">
        <f aca="false">PL!E97</f>
        <v>163.155115781997</v>
      </c>
      <c r="D14" s="14" t="n">
        <f aca="false">C14/B14-1</f>
        <v>0.0649116623066155</v>
      </c>
      <c r="E14" s="20" t="n">
        <f aca="false">PL!E138</f>
        <v>163.155115781997</v>
      </c>
      <c r="F14" s="14" t="n">
        <f aca="false">E14/B14-1</f>
        <v>0.0649116623066155</v>
      </c>
      <c r="G14" s="20" t="n">
        <f aca="false">PL!E179</f>
        <v>163.155115781997</v>
      </c>
      <c r="H14" s="14" t="n">
        <f aca="false">G14/B14-1</f>
        <v>0.0649116623066155</v>
      </c>
      <c r="I14" s="4" t="s">
        <v>693</v>
      </c>
      <c r="J14" s="4" t="s">
        <v>696</v>
      </c>
    </row>
    <row r="15" customFormat="false" ht="17.15" hidden="false" customHeight="false" outlineLevel="0" collapsed="false">
      <c r="A15" s="0" t="s">
        <v>697</v>
      </c>
      <c r="B15" s="20" t="n">
        <f aca="false">b_eps28gs</f>
        <v>195.18</v>
      </c>
      <c r="C15" s="20" t="n">
        <f aca="false">PL!F97</f>
        <v>209.702146334784</v>
      </c>
      <c r="D15" s="14" t="n">
        <f aca="false">C15/B15-1</f>
        <v>0.074403864815987</v>
      </c>
      <c r="E15" s="20" t="n">
        <f aca="false">PL!F138</f>
        <v>177.531256730248</v>
      </c>
      <c r="F15" s="14" t="n">
        <f aca="false">E15/B15-1</f>
        <v>-0.0904229084422159</v>
      </c>
      <c r="G15" s="20" t="n">
        <f aca="false">PL!F179</f>
        <v>143.425947646649</v>
      </c>
      <c r="H15" s="14" t="n">
        <f aca="false">G15/B15-1</f>
        <v>-0.265160633022599</v>
      </c>
      <c r="I15" s="4" t="s">
        <v>685</v>
      </c>
      <c r="J15" s="4" t="s">
        <v>698</v>
      </c>
    </row>
    <row r="16" customFormat="false" ht="17.15" hidden="false" customHeight="false" outlineLevel="0" collapsed="false">
      <c r="A16" s="0" t="s">
        <v>699</v>
      </c>
      <c r="B16" s="14" t="n">
        <f aca="false">b_gm27</f>
        <v>0.349</v>
      </c>
      <c r="C16" s="14" t="n">
        <f aca="false">PL!E88</f>
        <v>0.330895510422332</v>
      </c>
      <c r="D16" s="14" t="n">
        <f aca="false">C16-B16</f>
        <v>-0.018104489577668</v>
      </c>
      <c r="E16" s="14" t="n">
        <f aca="false">PL!E129</f>
        <v>0.330895510422332</v>
      </c>
      <c r="F16" s="14" t="n">
        <f aca="false">E16-B16</f>
        <v>-0.018104489577668</v>
      </c>
      <c r="G16" s="14" t="n">
        <f aca="false">PL!E170</f>
        <v>0.330895510422332</v>
      </c>
      <c r="H16" s="14" t="n">
        <f aca="false">G16-B16</f>
        <v>-0.018104489577668</v>
      </c>
      <c r="I16" s="4" t="s">
        <v>700</v>
      </c>
      <c r="J16" s="4" t="s">
        <v>279</v>
      </c>
    </row>
    <row r="17" customFormat="false" ht="17.15" hidden="false" customHeight="false" outlineLevel="0" collapsed="false">
      <c r="A17" s="6" t="s">
        <v>701</v>
      </c>
    </row>
    <row r="18" customFormat="false" ht="17.15" hidden="false" customHeight="false" outlineLevel="0" collapsed="false">
      <c r="A18" s="0" t="s">
        <v>702</v>
      </c>
      <c r="B18" s="14" t="n">
        <f aca="false">b_lc27</f>
        <v>0.5</v>
      </c>
      <c r="C18" s="14" t="n">
        <f aca="false">PL!E82</f>
        <v>0.46790012245672</v>
      </c>
      <c r="D18" s="14" t="n">
        <f aca="false">C18-B18</f>
        <v>-0.0320998775432795</v>
      </c>
      <c r="E18" s="14" t="n">
        <f aca="false">PL!E123</f>
        <v>0.46790012245672</v>
      </c>
      <c r="F18" s="14" t="n">
        <f aca="false">E18-B18</f>
        <v>-0.0320998775432795</v>
      </c>
      <c r="G18" s="14" t="n">
        <f aca="false">PL!E164</f>
        <v>0.46790012245672</v>
      </c>
      <c r="H18" s="14" t="n">
        <f aca="false">G18-B18</f>
        <v>-0.0320998775432795</v>
      </c>
      <c r="I18" s="4" t="s">
        <v>682</v>
      </c>
    </row>
    <row r="19" customFormat="false" ht="17.15" hidden="false" customHeight="false" outlineLevel="0" collapsed="false">
      <c r="A19" s="0" t="s">
        <v>703</v>
      </c>
      <c r="B19" s="14" t="n">
        <f aca="false">tf_pen26</f>
        <v>0.53</v>
      </c>
      <c r="C19" s="14" t="n">
        <f aca="false">PL!D66</f>
        <v>0.55</v>
      </c>
      <c r="D19" s="14" t="n">
        <f aca="false">C19-B19</f>
        <v>0.02</v>
      </c>
      <c r="E19" s="14" t="n">
        <f aca="false">PL!D107</f>
        <v>0.55</v>
      </c>
      <c r="F19" s="14" t="n">
        <f aca="false">E19-B19</f>
        <v>0.02</v>
      </c>
      <c r="G19" s="14" t="n">
        <f aca="false">PL!D148</f>
        <v>0.55</v>
      </c>
      <c r="H19" s="14" t="n">
        <f aca="false">G19-B19</f>
        <v>0.02</v>
      </c>
      <c r="I19" s="8" t="s">
        <v>704</v>
      </c>
      <c r="J19" s="4" t="s">
        <v>705</v>
      </c>
    </row>
    <row r="20" customFormat="false" ht="17.15" hidden="false" customHeight="false" outlineLevel="0" collapsed="false">
      <c r="A20" s="0" t="s">
        <v>706</v>
      </c>
      <c r="B20" s="14" t="n">
        <f aca="false">tf_pen27</f>
        <v>0.6</v>
      </c>
      <c r="C20" s="14" t="n">
        <f aca="false">PL!E66</f>
        <v>0.75</v>
      </c>
      <c r="D20" s="14" t="n">
        <f aca="false">C20-B20</f>
        <v>0.15</v>
      </c>
      <c r="E20" s="14" t="n">
        <f aca="false">PL!E107</f>
        <v>0.75</v>
      </c>
      <c r="F20" s="14" t="n">
        <f aca="false">E20-B20</f>
        <v>0.15</v>
      </c>
      <c r="G20" s="14" t="n">
        <f aca="false">PL!E148</f>
        <v>0.75</v>
      </c>
      <c r="H20" s="14" t="n">
        <f aca="false">G20-B20</f>
        <v>0.15</v>
      </c>
      <c r="I20" s="4" t="s">
        <v>35</v>
      </c>
    </row>
    <row r="21" customFormat="false" ht="17.15" hidden="false" customHeight="false" outlineLevel="0" collapsed="false">
      <c r="A21" s="0" t="s">
        <v>707</v>
      </c>
      <c r="C21" s="14" t="n">
        <f aca="false">PL!D70</f>
        <v>0.498927641116676</v>
      </c>
      <c r="E21" s="14" t="n">
        <f aca="false">PL!D111</f>
        <v>0.498927641116676</v>
      </c>
      <c r="G21" s="14" t="n">
        <f aca="false">PL!D152</f>
        <v>0.498927641116676</v>
      </c>
      <c r="I21" s="8" t="s">
        <v>115</v>
      </c>
      <c r="J21" s="4" t="s">
        <v>708</v>
      </c>
    </row>
    <row r="22" customFormat="false" ht="17.15" hidden="false" customHeight="false" outlineLevel="0" collapsed="false">
      <c r="A22" s="0" t="s">
        <v>709</v>
      </c>
      <c r="C22" s="14" t="n">
        <f aca="false">(dlc_27+PL!E73/fx)/PL!E68</f>
        <v>1.04106205044391</v>
      </c>
      <c r="E22" s="14" t="n">
        <f aca="false">(dlc_27+PL!E114/fx)/PL!E109</f>
        <v>1.04106205044391</v>
      </c>
      <c r="G22" s="14" t="n">
        <f aca="false">(dlc_27+PL!E155/fx)/PL!E150</f>
        <v>1.04106205044391</v>
      </c>
      <c r="I22" s="4" t="s">
        <v>710</v>
      </c>
      <c r="J22" s="4" t="s">
        <v>711</v>
      </c>
    </row>
    <row r="23" customFormat="false" ht="17.15" hidden="false" customHeight="false" outlineLevel="0" collapsed="false">
      <c r="A23" s="0" t="s">
        <v>712</v>
      </c>
      <c r="C23" s="14" t="n">
        <f aca="false">(dlc_26+PL!D73/fx)/PL!D68</f>
        <v>1.15355444084619</v>
      </c>
      <c r="E23" s="14" t="n">
        <f aca="false">(dlc_26+PL!D114/fx)/PL!D109</f>
        <v>1.15355444084619</v>
      </c>
      <c r="G23" s="14" t="n">
        <f aca="false">(dlc_26+PL!D155/fx)/PL!D150</f>
        <v>1.15355444084619</v>
      </c>
      <c r="I23" s="4" t="s">
        <v>35</v>
      </c>
    </row>
    <row r="24" customFormat="false" ht="17.15" hidden="false" customHeight="false" outlineLevel="0" collapsed="false">
      <c r="A24" s="0" t="s">
        <v>713</v>
      </c>
      <c r="C24" s="18" t="n">
        <f aca="false">PL!E84</f>
        <v>163.467378354919</v>
      </c>
      <c r="E24" s="18" t="n">
        <f aca="false">PL!E125</f>
        <v>163.467378354919</v>
      </c>
      <c r="G24" s="18" t="n">
        <f aca="false">PL!E166</f>
        <v>163.467378354919</v>
      </c>
      <c r="I24" s="8" t="s">
        <v>115</v>
      </c>
    </row>
    <row r="25" customFormat="false" ht="17.15" hidden="false" customHeight="false" outlineLevel="0" collapsed="false">
      <c r="A25" s="0" t="s">
        <v>714</v>
      </c>
      <c r="C25" s="14" t="n">
        <f aca="false">PL!E83</f>
        <v>0.658805694307987</v>
      </c>
      <c r="E25" s="14" t="n">
        <f aca="false">PL!E124</f>
        <v>0.658805694307987</v>
      </c>
      <c r="G25" s="14" t="n">
        <f aca="false">PL!E165</f>
        <v>0.658805694307987</v>
      </c>
      <c r="I25" s="8" t="s">
        <v>115</v>
      </c>
    </row>
    <row r="26" customFormat="false" ht="17.15" hidden="false" customHeight="false" outlineLevel="0" collapsed="false">
      <c r="A26" s="6" t="s">
        <v>715</v>
      </c>
    </row>
    <row r="27" customFormat="false" ht="17.15" hidden="false" customHeight="false" outlineLevel="0" collapsed="false">
      <c r="A27" s="4" t="s">
        <v>716</v>
      </c>
      <c r="C27" s="14" t="n">
        <f aca="false">PL!D86</f>
        <v>0.302821503074929</v>
      </c>
      <c r="E27" s="14" t="n">
        <f aca="false">PL!D127</f>
        <v>0.302821503074929</v>
      </c>
      <c r="G27" s="14" t="n">
        <f aca="false">PL!D168</f>
        <v>0.302821503074929</v>
      </c>
      <c r="I27" s="8" t="s">
        <v>717</v>
      </c>
      <c r="J27" s="4" t="s">
        <v>718</v>
      </c>
    </row>
    <row r="28" customFormat="false" ht="17.15" hidden="false" customHeight="false" outlineLevel="0" collapsed="false">
      <c r="A28" s="0" t="s">
        <v>719</v>
      </c>
      <c r="B28" s="14" t="n">
        <f aca="false">a26_gp/a26_rev</f>
        <v>0.322021503074929</v>
      </c>
      <c r="C28" s="14" t="n">
        <f aca="false">PL!E88</f>
        <v>0.330895510422332</v>
      </c>
      <c r="D28" s="14" t="n">
        <f aca="false">C28-B28</f>
        <v>0.00887400734740329</v>
      </c>
      <c r="E28" s="14" t="n">
        <f aca="false">PL!E129</f>
        <v>0.330895510422332</v>
      </c>
      <c r="F28" s="14" t="n">
        <f aca="false">E28-B28</f>
        <v>0.00887400734740329</v>
      </c>
      <c r="G28" s="14" t="n">
        <f aca="false">PL!E170</f>
        <v>0.330895510422332</v>
      </c>
      <c r="H28" s="14" t="n">
        <f aca="false">G28-B28</f>
        <v>0.00887400734740329</v>
      </c>
      <c r="I28" s="4" t="s">
        <v>720</v>
      </c>
      <c r="J28" s="4" t="s">
        <v>721</v>
      </c>
    </row>
    <row r="29" customFormat="false" ht="17.15" hidden="false" customHeight="false" outlineLevel="0" collapsed="false">
      <c r="A29" s="0" t="s">
        <v>722</v>
      </c>
      <c r="C29" s="15" t="n">
        <f aca="false">Q!E15</f>
        <v>32.829260000449</v>
      </c>
      <c r="E29" s="15" t="n">
        <f aca="false">Q!E15</f>
        <v>32.829260000449</v>
      </c>
      <c r="G29" s="15" t="n">
        <f aca="false">Q!E15</f>
        <v>32.829260000449</v>
      </c>
      <c r="I29" s="8" t="s">
        <v>115</v>
      </c>
      <c r="J29" s="4" t="s">
        <v>723</v>
      </c>
    </row>
    <row r="30" customFormat="false" ht="17.15" hidden="false" customHeight="false" outlineLevel="0" collapsed="false">
      <c r="A30" s="6" t="s">
        <v>724</v>
      </c>
    </row>
    <row r="31" customFormat="false" ht="17.15" hidden="false" customHeight="false" outlineLevel="0" collapsed="false">
      <c r="A31" s="0" t="s">
        <v>725</v>
      </c>
      <c r="J31" s="4" t="s">
        <v>726</v>
      </c>
    </row>
    <row r="33" customFormat="false" ht="17.15" hidden="false" customHeight="false" outlineLevel="0" collapsed="false">
      <c r="A33" s="6" t="s">
        <v>727</v>
      </c>
    </row>
    <row r="34" customFormat="false" ht="17.15" hidden="false" customHeight="false" outlineLevel="0" collapsed="false">
      <c r="A34" s="0" t="s">
        <v>728</v>
      </c>
      <c r="B34" s="15" t="n">
        <f aca="false">cons_feps</f>
        <v>132.581360946746</v>
      </c>
      <c r="C34" s="15" t="n">
        <f aca="false">Val!B114</f>
        <v>177.493737459407</v>
      </c>
      <c r="D34" s="14" t="n">
        <f aca="false">C34/B34-1</f>
        <v>0.338753322427439</v>
      </c>
      <c r="I34" s="8" t="s">
        <v>343</v>
      </c>
      <c r="J34" s="4" t="s">
        <v>729</v>
      </c>
    </row>
    <row r="35" customFormat="false" ht="17.15" hidden="false" customHeight="false" outlineLevel="0" collapsed="false">
      <c r="A35" s="4" t="s">
        <v>730</v>
      </c>
      <c r="B35" s="15" t="n">
        <f aca="false">cons_tp</f>
        <v>4130</v>
      </c>
      <c r="C35" s="15" t="n">
        <f aca="false">Val!B119</f>
        <v>3955.89398288466</v>
      </c>
      <c r="D35" s="14" t="n">
        <f aca="false">C35/B35-1</f>
        <v>-0.0421564206090419</v>
      </c>
      <c r="I35" s="8" t="s">
        <v>339</v>
      </c>
      <c r="J35" s="4" t="s">
        <v>729</v>
      </c>
    </row>
    <row r="36" customFormat="false" ht="17.15" hidden="false" customHeight="false" outlineLevel="0" collapsed="false">
      <c r="A36" s="0" t="s">
        <v>731</v>
      </c>
      <c r="B36" s="15" t="n">
        <f aca="false">cons_tp</f>
        <v>4130</v>
      </c>
      <c r="C36" s="15" t="n">
        <f aca="false">Val!B115</f>
        <v>4884.62765488289</v>
      </c>
      <c r="D36" s="14" t="n">
        <f aca="false">C36/B36-1</f>
        <v>0.182718560504331</v>
      </c>
      <c r="I36" s="4" t="s">
        <v>35</v>
      </c>
      <c r="J36" s="4" t="s">
        <v>729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732</v>
      </c>
    </row>
    <row r="3" customFormat="false" ht="17.15" hidden="false" customHeight="false" outlineLevel="0" collapsed="false">
      <c r="A3" s="5" t="s">
        <v>733</v>
      </c>
      <c r="B3" s="5" t="s">
        <v>734</v>
      </c>
      <c r="C3" s="11" t="s">
        <v>735</v>
      </c>
      <c r="D3" s="11" t="s">
        <v>736</v>
      </c>
      <c r="E3" s="11" t="s">
        <v>737</v>
      </c>
      <c r="F3" s="11" t="s">
        <v>532</v>
      </c>
      <c r="G3" s="11" t="s">
        <v>738</v>
      </c>
      <c r="H3" s="11" t="s">
        <v>739</v>
      </c>
      <c r="I3" s="11" t="s">
        <v>740</v>
      </c>
      <c r="J3" s="11" t="s">
        <v>741</v>
      </c>
      <c r="K3" s="11" t="s">
        <v>742</v>
      </c>
      <c r="L3" s="11" t="s">
        <v>743</v>
      </c>
    </row>
    <row r="4" customFormat="false" ht="17.15" hidden="false" customHeight="false" outlineLevel="0" collapsed="false">
      <c r="A4" s="4" t="s">
        <v>744</v>
      </c>
      <c r="B4" s="0" t="s">
        <v>745</v>
      </c>
      <c r="C4" s="19" t="n">
        <f aca="false">PL!E80</f>
        <v>330.677779399532</v>
      </c>
      <c r="D4" s="19" t="n">
        <f aca="false">PL!E73</f>
        <v>154.724173474757</v>
      </c>
      <c r="E4" s="14" t="n">
        <f aca="false">PL!E88</f>
        <v>0.330895510422332</v>
      </c>
      <c r="F4" s="15" t="n">
        <f aca="false">PL!E97</f>
        <v>163.155115781997</v>
      </c>
      <c r="G4" s="14" t="n">
        <f aca="false">F4/F$4-1</f>
        <v>0</v>
      </c>
      <c r="H4" s="19" t="n">
        <f aca="false">PL!F80</f>
        <v>414.941275547614</v>
      </c>
      <c r="I4" s="19" t="n">
        <f aca="false">PL!F73</f>
        <v>226.781379365505</v>
      </c>
      <c r="J4" s="14" t="n">
        <f aca="false">PL!F88</f>
        <v>0.335613812646862</v>
      </c>
      <c r="K4" s="15" t="n">
        <f aca="false">PL!F97</f>
        <v>209.702146334784</v>
      </c>
      <c r="L4" s="14" t="n">
        <f aca="false">K4/K$4-1</f>
        <v>0</v>
      </c>
    </row>
    <row r="5" customFormat="false" ht="17.15" hidden="false" customHeight="false" outlineLevel="0" collapsed="false">
      <c r="A5" s="4" t="s">
        <v>746</v>
      </c>
      <c r="B5" s="4" t="s">
        <v>747</v>
      </c>
      <c r="C5" s="19" t="n">
        <f aca="false">E60</f>
        <v>314.391024296926</v>
      </c>
      <c r="D5" s="19" t="n">
        <f aca="false">E53</f>
        <v>138.437418372151</v>
      </c>
      <c r="E5" s="14" t="n">
        <f aca="false">E68</f>
        <v>0.329241611985176</v>
      </c>
      <c r="F5" s="15" t="n">
        <f aca="false">E77</f>
        <v>154.012418498947</v>
      </c>
      <c r="G5" s="14" t="n">
        <f aca="false">F5/F$4-1</f>
        <v>-0.0560368410100337</v>
      </c>
      <c r="H5" s="19" t="n">
        <f aca="false">F60</f>
        <v>377.144378986696</v>
      </c>
      <c r="I5" s="19" t="n">
        <f aca="false">F53</f>
        <v>188.984482804587</v>
      </c>
      <c r="J5" s="14" t="n">
        <f aca="false">F68</f>
        <v>0.33288709492795</v>
      </c>
      <c r="K5" s="15" t="n">
        <f aca="false">F77</f>
        <v>188.314227190547</v>
      </c>
      <c r="L5" s="14" t="n">
        <f aca="false">K5/K$4-1</f>
        <v>-0.101991894303704</v>
      </c>
    </row>
    <row r="6" customFormat="false" ht="17.15" hidden="false" customHeight="false" outlineLevel="0" collapsed="false">
      <c r="A6" s="4" t="s">
        <v>748</v>
      </c>
      <c r="B6" s="4" t="s">
        <v>749</v>
      </c>
      <c r="C6" s="19" t="n">
        <f aca="false">E101</f>
        <v>346.964534502138</v>
      </c>
      <c r="D6" s="19" t="n">
        <f aca="false">E94</f>
        <v>171.010928577363</v>
      </c>
      <c r="E6" s="14" t="n">
        <f aca="false">E109</f>
        <v>0.332394138587561</v>
      </c>
      <c r="F6" s="15" t="n">
        <f aca="false">E118</f>
        <v>172.297813065046</v>
      </c>
      <c r="G6" s="14" t="n">
        <f aca="false">F6/F$4-1</f>
        <v>0.0560368410100338</v>
      </c>
      <c r="H6" s="19" t="n">
        <f aca="false">F101</f>
        <v>452.738172108531</v>
      </c>
      <c r="I6" s="19" t="n">
        <f aca="false">F94</f>
        <v>264.578275926422</v>
      </c>
      <c r="J6" s="14" t="n">
        <f aca="false">F109</f>
        <v>0.337885249702814</v>
      </c>
      <c r="K6" s="15" t="n">
        <f aca="false">F118</f>
        <v>231.111977434483</v>
      </c>
      <c r="L6" s="14" t="n">
        <f aca="false">K6/K$4-1</f>
        <v>0.10209638515344</v>
      </c>
    </row>
    <row r="7" customFormat="false" ht="17.15" hidden="false" customHeight="false" outlineLevel="0" collapsed="false">
      <c r="A7" s="4" t="s">
        <v>750</v>
      </c>
      <c r="B7" s="4" t="s">
        <v>751</v>
      </c>
      <c r="C7" s="19" t="n">
        <f aca="false">E142</f>
        <v>294.972200905357</v>
      </c>
      <c r="D7" s="19" t="n">
        <f aca="false">E135</f>
        <v>119.018594980583</v>
      </c>
      <c r="E7" s="14" t="n">
        <f aca="false">E150</f>
        <v>0.327030956294306</v>
      </c>
      <c r="F7" s="15" t="n">
        <f aca="false">E159</f>
        <v>143.111510199927</v>
      </c>
      <c r="G7" s="14" t="n">
        <f aca="false">F7/F$4-1</f>
        <v>-0.12284999759892</v>
      </c>
      <c r="H7" s="19" t="n">
        <f aca="false">F142</f>
        <v>350.146595728898</v>
      </c>
      <c r="I7" s="19" t="n">
        <f aca="false">F135</f>
        <v>161.986699546789</v>
      </c>
      <c r="J7" s="14" t="n">
        <f aca="false">F150</f>
        <v>0.33057902547087</v>
      </c>
      <c r="K7" s="15" t="n">
        <f aca="false">F159</f>
        <v>173.069618856885</v>
      </c>
      <c r="L7" s="14" t="n">
        <f aca="false">K7/K$4-1</f>
        <v>-0.174688376433767</v>
      </c>
    </row>
    <row r="8" customFormat="false" ht="17.15" hidden="false" customHeight="false" outlineLevel="0" collapsed="false">
      <c r="A8" s="4" t="s">
        <v>752</v>
      </c>
      <c r="B8" s="4" t="s">
        <v>753</v>
      </c>
      <c r="C8" s="19" t="n">
        <f aca="false">E183</f>
        <v>366.383357893707</v>
      </c>
      <c r="D8" s="19" t="n">
        <f aca="false">E176</f>
        <v>190.429751968932</v>
      </c>
      <c r="E8" s="14" t="n">
        <f aca="false">E191</f>
        <v>0.334006830879721</v>
      </c>
      <c r="F8" s="15" t="n">
        <f aca="false">E200</f>
        <v>183.198721364066</v>
      </c>
      <c r="G8" s="14" t="n">
        <f aca="false">F8/F$4-1</f>
        <v>0.12284999759892</v>
      </c>
      <c r="H8" s="19" t="n">
        <f aca="false">F183</f>
        <v>479.735955366329</v>
      </c>
      <c r="I8" s="19" t="n">
        <f aca="false">F176</f>
        <v>291.57605918422</v>
      </c>
      <c r="J8" s="14" t="n">
        <f aca="false">F191</f>
        <v>0.339288570751135</v>
      </c>
      <c r="K8" s="15" t="n">
        <f aca="false">F200</f>
        <v>246.39050775682</v>
      </c>
      <c r="L8" s="14" t="n">
        <f aca="false">K8/K$4-1</f>
        <v>0.174954629999179</v>
      </c>
    </row>
    <row r="9" customFormat="false" ht="17.15" hidden="false" customHeight="false" outlineLevel="0" collapsed="false">
      <c r="A9" s="4" t="s">
        <v>754</v>
      </c>
      <c r="B9" s="0" t="s">
        <v>755</v>
      </c>
      <c r="C9" s="19" t="n">
        <f aca="false">E224</f>
        <v>327.239464433426</v>
      </c>
      <c r="D9" s="19" t="n">
        <f aca="false">E217</f>
        <v>151.285858508652</v>
      </c>
      <c r="E9" s="14" t="n">
        <f aca="false">E232</f>
        <v>0.330560063050374</v>
      </c>
      <c r="F9" s="15" t="n">
        <f aca="false">E241</f>
        <v>161.224990800019</v>
      </c>
      <c r="G9" s="14" t="n">
        <f aca="false">F9/F$4-1</f>
        <v>-0.0118299997687848</v>
      </c>
      <c r="H9" s="19" t="n">
        <f aca="false">F224</f>
        <v>416.423506785297</v>
      </c>
      <c r="I9" s="19" t="n">
        <f aca="false">F217</f>
        <v>228.263610603188</v>
      </c>
      <c r="J9" s="14" t="n">
        <f aca="false">F232</f>
        <v>0.335710656576181</v>
      </c>
      <c r="K9" s="15" t="n">
        <f aca="false">F241</f>
        <v>210.551689681518</v>
      </c>
      <c r="L9" s="14" t="n">
        <f aca="false">K9/K$4-1</f>
        <v>0.00405119051751135</v>
      </c>
    </row>
    <row r="10" customFormat="false" ht="17.15" hidden="false" customHeight="false" outlineLevel="0" collapsed="false">
      <c r="A10" s="4" t="s">
        <v>756</v>
      </c>
      <c r="B10" s="0" t="s">
        <v>757</v>
      </c>
      <c r="C10" s="19" t="n">
        <f aca="false">E265</f>
        <v>324.330121000567</v>
      </c>
      <c r="D10" s="19" t="n">
        <f aca="false">E258</f>
        <v>148.376515075793</v>
      </c>
      <c r="E10" s="14" t="n">
        <f aca="false">E273</f>
        <v>0.330270667762695</v>
      </c>
      <c r="F10" s="15" t="n">
        <f aca="false">E282</f>
        <v>159.591808122962</v>
      </c>
      <c r="G10" s="14" t="n">
        <f aca="false">F10/F$4-1</f>
        <v>-0.0218399995731413</v>
      </c>
      <c r="H10" s="19" t="n">
        <f aca="false">F265</f>
        <v>402.627354496093</v>
      </c>
      <c r="I10" s="19" t="n">
        <f aca="false">F258</f>
        <v>214.467458313984</v>
      </c>
      <c r="J10" s="14" t="n">
        <f aca="false">F273</f>
        <v>0.334781694937561</v>
      </c>
      <c r="K10" s="15" t="n">
        <f aca="false">F282</f>
        <v>202.734322456129</v>
      </c>
      <c r="L10" s="14" t="n">
        <f aca="false">K10/K$4-1</f>
        <v>-0.0332272415921363</v>
      </c>
    </row>
    <row r="11" customFormat="false" ht="17.15" hidden="false" customHeight="false" outlineLevel="0" collapsed="false">
      <c r="A11" s="0" t="s">
        <v>758</v>
      </c>
      <c r="B11" s="4" t="s">
        <v>759</v>
      </c>
      <c r="C11" s="19" t="n">
        <f aca="false">E306</f>
        <v>318.052133284577</v>
      </c>
      <c r="D11" s="19" t="n">
        <f aca="false">E299</f>
        <v>154.724173474757</v>
      </c>
      <c r="E11" s="14" t="n">
        <f aca="false">E314</f>
        <v>0.332009958164394</v>
      </c>
      <c r="F11" s="15" t="n">
        <f aca="false">E323</f>
        <v>157.370306079527</v>
      </c>
      <c r="G11" s="14" t="n">
        <f aca="false">F11/F$4-1</f>
        <v>-0.0354558891686776</v>
      </c>
      <c r="H11" s="19" t="n">
        <f aca="false">F306</f>
        <v>393.601968121334</v>
      </c>
      <c r="I11" s="19" t="n">
        <f aca="false">F299</f>
        <v>226.781379365505</v>
      </c>
      <c r="J11" s="14" t="n">
        <f aca="false">F314</f>
        <v>0.337391662433826</v>
      </c>
      <c r="K11" s="15" t="n">
        <f aca="false">F323</f>
        <v>199.834412681148</v>
      </c>
      <c r="L11" s="14" t="n">
        <f aca="false">K11/K$4-1</f>
        <v>-0.0470559497177635</v>
      </c>
    </row>
    <row r="12" customFormat="false" ht="17.15" hidden="false" customHeight="false" outlineLevel="0" collapsed="false">
      <c r="A12" s="0" t="s">
        <v>760</v>
      </c>
      <c r="B12" s="4" t="s">
        <v>761</v>
      </c>
      <c r="C12" s="19" t="n">
        <f aca="false">E347</f>
        <v>343.303425514487</v>
      </c>
      <c r="D12" s="19" t="n">
        <f aca="false">E340</f>
        <v>154.724173474757</v>
      </c>
      <c r="E12" s="14" t="n">
        <f aca="false">E355</f>
        <v>0.329863034613896</v>
      </c>
      <c r="F12" s="15" t="n">
        <f aca="false">E364</f>
        <v>168.939925484466</v>
      </c>
      <c r="G12" s="14" t="n">
        <f aca="false">F12/F$4-1</f>
        <v>0.0354558891686776</v>
      </c>
      <c r="H12" s="19" t="n">
        <f aca="false">F347</f>
        <v>436.280582973894</v>
      </c>
      <c r="I12" s="19" t="n">
        <f aca="false">F340</f>
        <v>226.781379365505</v>
      </c>
      <c r="J12" s="14" t="n">
        <f aca="false">F355</f>
        <v>0.334009878842604</v>
      </c>
      <c r="K12" s="15" t="n">
        <f aca="false">F364</f>
        <v>219.575252879229</v>
      </c>
      <c r="L12" s="14" t="n">
        <f aca="false">K12/K$4-1</f>
        <v>0.0470815712524089</v>
      </c>
    </row>
    <row r="13" customFormat="false" ht="17.15" hidden="false" customHeight="false" outlineLevel="0" collapsed="false">
      <c r="A13" s="0" t="s">
        <v>762</v>
      </c>
      <c r="B13" s="0" t="s">
        <v>763</v>
      </c>
      <c r="C13" s="19" t="n">
        <f aca="false">E388</f>
        <v>287.107298589626</v>
      </c>
      <c r="D13" s="19" t="n">
        <f aca="false">E381</f>
        <v>123.779338779806</v>
      </c>
      <c r="E13" s="14" t="n">
        <f aca="false">E396</f>
        <v>0.32868904584821</v>
      </c>
      <c r="F13" s="15" t="n">
        <f aca="false">E405</f>
        <v>139.999181241733</v>
      </c>
      <c r="G13" s="14" t="n">
        <f aca="false">F13/F$4-1</f>
        <v>-0.141925887087742</v>
      </c>
      <c r="H13" s="19" t="n">
        <f aca="false">F388</f>
        <v>355.714449847431</v>
      </c>
      <c r="I13" s="19" t="n">
        <f aca="false">F381</f>
        <v>181.425103492404</v>
      </c>
      <c r="J13" s="14" t="n">
        <f aca="false">F396</f>
        <v>0.333423313640154</v>
      </c>
      <c r="K13" s="15" t="n">
        <f aca="false">F405</f>
        <v>177.659025924484</v>
      </c>
      <c r="L13" s="14" t="n">
        <f aca="false">K13/K$4-1</f>
        <v>-0.15280301594598</v>
      </c>
    </row>
    <row r="14" customFormat="false" ht="17.15" hidden="false" customHeight="false" outlineLevel="0" collapsed="false">
      <c r="A14" s="0" t="s">
        <v>764</v>
      </c>
      <c r="B14" s="0" t="s">
        <v>765</v>
      </c>
      <c r="C14" s="19" t="n">
        <f aca="false">E429</f>
        <v>374.248260209438</v>
      </c>
      <c r="D14" s="19" t="n">
        <f aca="false">E422</f>
        <v>185.669008169709</v>
      </c>
      <c r="E14" s="14" t="n">
        <f aca="false">E437</f>
        <v>0.332588215908672</v>
      </c>
      <c r="F14" s="15" t="n">
        <f aca="false">E446</f>
        <v>186.31105032226</v>
      </c>
      <c r="G14" s="14" t="n">
        <f aca="false">F14/F$4-1</f>
        <v>0.141925887087742</v>
      </c>
      <c r="H14" s="19" t="n">
        <f aca="false">F429</f>
        <v>474.168101247797</v>
      </c>
      <c r="I14" s="19" t="n">
        <f aca="false">F422</f>
        <v>272.137655238605</v>
      </c>
      <c r="J14" s="14" t="n">
        <f aca="false">F437</f>
        <v>0.337257095159988</v>
      </c>
      <c r="K14" s="15" t="n">
        <f aca="false">F446</f>
        <v>241.760876834614</v>
      </c>
      <c r="L14" s="14" t="n">
        <f aca="false">K14/K$4-1</f>
        <v>0.15287745528674</v>
      </c>
    </row>
    <row r="15" customFormat="false" ht="17.15" hidden="false" customHeight="false" outlineLevel="0" collapsed="false">
      <c r="A15" s="4" t="s">
        <v>766</v>
      </c>
      <c r="B15" s="4" t="s">
        <v>767</v>
      </c>
      <c r="C15" s="19" t="n">
        <f aca="false">E470</f>
        <v>323.696568549532</v>
      </c>
      <c r="D15" s="19" t="n">
        <f aca="false">E463</f>
        <v>154.724173474757</v>
      </c>
      <c r="E15" s="14" t="n">
        <f aca="false">E478</f>
        <v>0.331500986611267</v>
      </c>
      <c r="F15" s="15" t="n">
        <f aca="false">E487</f>
        <v>159.956469479672</v>
      </c>
      <c r="G15" s="14" t="n">
        <f aca="false">F15/F$4-1</f>
        <v>-0.019604940286389</v>
      </c>
      <c r="H15" s="19" t="n">
        <f aca="false">F470</f>
        <v>401.978293000914</v>
      </c>
      <c r="I15" s="19" t="n">
        <f aca="false">F463</f>
        <v>226.781379365505</v>
      </c>
      <c r="J15" s="14" t="n">
        <f aca="false">F478</f>
        <v>0.33667129794905</v>
      </c>
      <c r="K15" s="15" t="n">
        <f aca="false">F487</f>
        <v>203.705382215284</v>
      </c>
      <c r="L15" s="14" t="n">
        <f aca="false">K15/K$4-1</f>
        <v>-0.0285965795978383</v>
      </c>
    </row>
    <row r="16" customFormat="false" ht="17.15" hidden="false" customHeight="false" outlineLevel="0" collapsed="false">
      <c r="A16" s="4" t="s">
        <v>768</v>
      </c>
      <c r="B16" s="4" t="s">
        <v>769</v>
      </c>
      <c r="C16" s="19" t="n">
        <f aca="false">E511</f>
        <v>337.343709759532</v>
      </c>
      <c r="D16" s="19" t="n">
        <f aca="false">E504</f>
        <v>154.724173474757</v>
      </c>
      <c r="E16" s="14" t="n">
        <f aca="false">E519</f>
        <v>0.330340766484651</v>
      </c>
      <c r="F16" s="15" t="n">
        <f aca="false">E528</f>
        <v>166.209307090023</v>
      </c>
      <c r="G16" s="14" t="n">
        <f aca="false">F16/F$4-1</f>
        <v>0.0187195558863587</v>
      </c>
      <c r="H16" s="19" t="n">
        <f aca="false">F511</f>
        <v>428.299709908914</v>
      </c>
      <c r="I16" s="19" t="n">
        <f aca="false">F504</f>
        <v>226.781379365505</v>
      </c>
      <c r="J16" s="14" t="n">
        <f aca="false">F519</f>
        <v>0.33459103839594</v>
      </c>
      <c r="K16" s="15" t="n">
        <f aca="false">F528</f>
        <v>215.885746516648</v>
      </c>
      <c r="L16" s="14" t="n">
        <f aca="false">K16/K$4-1</f>
        <v>0.0294875388256219</v>
      </c>
    </row>
    <row r="17" customFormat="false" ht="17.15" hidden="false" customHeight="false" outlineLevel="0" collapsed="false">
      <c r="A17" s="4" t="s">
        <v>770</v>
      </c>
      <c r="B17" s="4" t="s">
        <v>771</v>
      </c>
      <c r="C17" s="19" t="n">
        <f aca="false">E552</f>
        <v>330.677779399532</v>
      </c>
      <c r="D17" s="19" t="n">
        <f aca="false">E545</f>
        <v>154.724173474757</v>
      </c>
      <c r="E17" s="14" t="n">
        <f aca="false">E560</f>
        <v>0.324979505524063</v>
      </c>
      <c r="F17" s="15" t="n">
        <f aca="false">E569</f>
        <v>159.790995112021</v>
      </c>
      <c r="G17" s="14" t="n">
        <f aca="false">F17/F$4-1</f>
        <v>-0.0206191552980205</v>
      </c>
      <c r="H17" s="19" t="n">
        <f aca="false">F552</f>
        <v>414.941275547614</v>
      </c>
      <c r="I17" s="19" t="n">
        <f aca="false">F545</f>
        <v>226.781379365505</v>
      </c>
      <c r="J17" s="14" t="n">
        <f aca="false">F560</f>
        <v>0.32655227293224</v>
      </c>
      <c r="K17" s="15" t="n">
        <f aca="false">F569</f>
        <v>203.236280872908</v>
      </c>
      <c r="L17" s="14" t="n">
        <f aca="false">K17/K$4-1</f>
        <v>-0.0308335683486722</v>
      </c>
    </row>
    <row r="18" customFormat="false" ht="17.15" hidden="false" customHeight="false" outlineLevel="0" collapsed="false">
      <c r="A18" s="4" t="s">
        <v>772</v>
      </c>
      <c r="B18" s="4" t="s">
        <v>773</v>
      </c>
      <c r="C18" s="19" t="n">
        <f aca="false">E593</f>
        <v>330.677779399532</v>
      </c>
      <c r="D18" s="19" t="n">
        <f aca="false">E586</f>
        <v>154.724173474757</v>
      </c>
      <c r="E18" s="14" t="n">
        <f aca="false">E601</f>
        <v>0.336811515320601</v>
      </c>
      <c r="F18" s="15" t="n">
        <f aca="false">E610</f>
        <v>166.519236451972</v>
      </c>
      <c r="G18" s="14" t="n">
        <f aca="false">F18/F$4-1</f>
        <v>0.0206191552980202</v>
      </c>
      <c r="H18" s="19" t="n">
        <f aca="false">F593</f>
        <v>414.941275547614</v>
      </c>
      <c r="I18" s="19" t="n">
        <f aca="false">F586</f>
        <v>226.781379365505</v>
      </c>
      <c r="J18" s="14" t="n">
        <f aca="false">F601</f>
        <v>0.344675352361484</v>
      </c>
      <c r="K18" s="15" t="n">
        <f aca="false">F610</f>
        <v>216.168011796661</v>
      </c>
      <c r="L18" s="14" t="n">
        <f aca="false">K18/K$4-1</f>
        <v>0.030833568348672</v>
      </c>
    </row>
    <row r="19" customFormat="false" ht="17.15" hidden="false" customHeight="false" outlineLevel="0" collapsed="false">
      <c r="A19" s="4" t="s">
        <v>774</v>
      </c>
      <c r="B19" s="4" t="s">
        <v>775</v>
      </c>
      <c r="C19" s="19" t="n">
        <f aca="false">E634</f>
        <v>330.677779399532</v>
      </c>
      <c r="D19" s="19" t="n">
        <f aca="false">E627</f>
        <v>154.724173474757</v>
      </c>
      <c r="E19" s="14" t="n">
        <f aca="false">E642</f>
        <v>0.330895510422332</v>
      </c>
      <c r="F19" s="15" t="n">
        <f aca="false">E651</f>
        <v>151.782168234371</v>
      </c>
      <c r="G19" s="14" t="n">
        <f aca="false">F19/F$4-1</f>
        <v>-0.0697063496484055</v>
      </c>
      <c r="H19" s="19" t="n">
        <f aca="false">F634</f>
        <v>414.941275547614</v>
      </c>
      <c r="I19" s="19" t="n">
        <f aca="false">F627</f>
        <v>226.781379365505</v>
      </c>
      <c r="J19" s="14" t="n">
        <f aca="false">F642</f>
        <v>0.335613812646862</v>
      </c>
      <c r="K19" s="15" t="n">
        <f aca="false">F651</f>
        <v>195.431137950982</v>
      </c>
      <c r="L19" s="14" t="n">
        <f aca="false">K19/K$4-1</f>
        <v>-0.0680537068086061</v>
      </c>
    </row>
    <row r="20" customFormat="false" ht="17.15" hidden="false" customHeight="false" outlineLevel="0" collapsed="false">
      <c r="A20" s="0" t="s">
        <v>776</v>
      </c>
      <c r="B20" s="0" t="s">
        <v>777</v>
      </c>
      <c r="C20" s="19" t="n">
        <f aca="false">E675</f>
        <v>322.443374686019</v>
      </c>
      <c r="D20" s="19" t="n">
        <f aca="false">E668</f>
        <v>135.383651790413</v>
      </c>
      <c r="E20" s="14" t="n">
        <f aca="false">E683</f>
        <v>0.330413582506967</v>
      </c>
      <c r="F20" s="15" t="n">
        <f aca="false">E692</f>
        <v>158.717524820129</v>
      </c>
      <c r="G20" s="14" t="n">
        <f aca="false">F20/F$4-1</f>
        <v>-0.0271986014082291</v>
      </c>
      <c r="H20" s="19" t="n">
        <f aca="false">F675</f>
        <v>398.644581370424</v>
      </c>
      <c r="I20" s="19" t="n">
        <f aca="false">F668</f>
        <v>198.433706944816</v>
      </c>
      <c r="J20" s="14" t="n">
        <f aca="false">F683</f>
        <v>0.335087762327117</v>
      </c>
      <c r="K20" s="15" t="n">
        <f aca="false">F692</f>
        <v>200.88258620462</v>
      </c>
      <c r="L20" s="14" t="n">
        <f aca="false">K20/K$4-1</f>
        <v>-0.0420575577518603</v>
      </c>
    </row>
    <row r="21" customFormat="false" ht="17.15" hidden="false" customHeight="false" outlineLevel="0" collapsed="false">
      <c r="A21" s="0" t="s">
        <v>778</v>
      </c>
      <c r="B21" s="0" t="s">
        <v>779</v>
      </c>
      <c r="C21" s="19" t="n">
        <f aca="false">E716</f>
        <v>336.853582934667</v>
      </c>
      <c r="D21" s="19" t="n">
        <f aca="false">E709</f>
        <v>169.229564738016</v>
      </c>
      <c r="E21" s="14" t="n">
        <f aca="false">E724</f>
        <v>0.33116449219151</v>
      </c>
      <c r="F21" s="15" t="n">
        <f aca="false">E733</f>
        <v>166.438704286209</v>
      </c>
      <c r="G21" s="14" t="n">
        <f aca="false">F21/F$4-1</f>
        <v>0.0201255626492278</v>
      </c>
      <c r="H21" s="19" t="n">
        <f aca="false">F716</f>
        <v>427.163796180506</v>
      </c>
      <c r="I21" s="19" t="n">
        <f aca="false">F709</f>
        <v>248.042133681021</v>
      </c>
      <c r="J21" s="14" t="n">
        <f aca="false">F724</f>
        <v>0.335861834006374</v>
      </c>
      <c r="K21" s="15" t="n">
        <f aca="false">F733</f>
        <v>216.231047729119</v>
      </c>
      <c r="L21" s="14" t="n">
        <f aca="false">K21/K$4-1</f>
        <v>0.0311341658082587</v>
      </c>
    </row>
    <row r="22" customFormat="false" ht="17.15" hidden="false" customHeight="false" outlineLevel="0" collapsed="false">
      <c r="A22" s="0" t="s">
        <v>780</v>
      </c>
      <c r="B22" s="4" t="s">
        <v>781</v>
      </c>
      <c r="C22" s="19" t="n">
        <f aca="false">E757</f>
        <v>326.660182334607</v>
      </c>
      <c r="D22" s="19" t="n">
        <f aca="false">E750</f>
        <v>154.724173474757</v>
      </c>
      <c r="E22" s="14" t="n">
        <f aca="false">E765</f>
        <v>0.331240792937983</v>
      </c>
      <c r="F22" s="15" t="n">
        <f aca="false">E774</f>
        <v>161.314335970003</v>
      </c>
      <c r="G22" s="14" t="n">
        <f aca="false">F22/F$4-1</f>
        <v>-0.0112823910128174</v>
      </c>
      <c r="H22" s="19" t="n">
        <f aca="false">F757</f>
        <v>409.870347750077</v>
      </c>
      <c r="I22" s="19" t="n">
        <f aca="false">F750</f>
        <v>226.781379365505</v>
      </c>
      <c r="J22" s="14" t="n">
        <f aca="false">F765</f>
        <v>0.336019520049377</v>
      </c>
      <c r="K22" s="15" t="n">
        <f aca="false">F774</f>
        <v>207.359364169983</v>
      </c>
      <c r="L22" s="14" t="n">
        <f aca="false">K22/K$4-1</f>
        <v>-0.0111719512925803</v>
      </c>
    </row>
    <row r="23" customFormat="false" ht="17.15" hidden="false" customHeight="false" outlineLevel="0" collapsed="false">
      <c r="A23" s="0" t="s">
        <v>782</v>
      </c>
      <c r="B23" s="0" t="s">
        <v>783</v>
      </c>
      <c r="C23" s="19" t="n">
        <f aca="false">E798</f>
        <v>334.695376464457</v>
      </c>
      <c r="D23" s="19" t="n">
        <f aca="false">E791</f>
        <v>154.724173474757</v>
      </c>
      <c r="E23" s="14" t="n">
        <f aca="false">E806</f>
        <v>0.330558517271393</v>
      </c>
      <c r="F23" s="15" t="n">
        <f aca="false">E815</f>
        <v>164.995895593991</v>
      </c>
      <c r="G23" s="14" t="n">
        <f aca="false">F23/F$4-1</f>
        <v>0.0112823910128173</v>
      </c>
      <c r="H23" s="19" t="n">
        <f aca="false">F798</f>
        <v>420.01220334515</v>
      </c>
      <c r="I23" s="19" t="n">
        <f aca="false">F791</f>
        <v>226.781379365505</v>
      </c>
      <c r="J23" s="14" t="n">
        <f aca="false">F806</f>
        <v>0.335217901688015</v>
      </c>
      <c r="K23" s="15" t="n">
        <f aca="false">F815</f>
        <v>212.044937683825</v>
      </c>
      <c r="L23" s="14" t="n">
        <f aca="false">K23/K$4-1</f>
        <v>0.011171995089172</v>
      </c>
    </row>
    <row r="24" customFormat="false" ht="17.15" hidden="false" customHeight="false" outlineLevel="0" collapsed="false">
      <c r="A24" s="4" t="s">
        <v>784</v>
      </c>
      <c r="B24" s="0" t="s">
        <v>785</v>
      </c>
      <c r="C24" s="19" t="n">
        <f aca="false">PL!E121</f>
        <v>330.677779399532</v>
      </c>
      <c r="D24" s="19" t="n">
        <f aca="false">PL!E114</f>
        <v>154.724173474757</v>
      </c>
      <c r="E24" s="14" t="n">
        <f aca="false">PL!E129</f>
        <v>0.330895510422332</v>
      </c>
      <c r="F24" s="15" t="n">
        <f aca="false">PL!E138</f>
        <v>163.155115781997</v>
      </c>
      <c r="G24" s="14" t="n">
        <f aca="false">F24/F$4-1</f>
        <v>0</v>
      </c>
      <c r="H24" s="19" t="n">
        <f aca="false">PL!F121</f>
        <v>355.714449847431</v>
      </c>
      <c r="I24" s="19" t="n">
        <f aca="false">PL!F114</f>
        <v>181.425103492404</v>
      </c>
      <c r="J24" s="14" t="n">
        <f aca="false">PL!F129</f>
        <v>0.333423313640154</v>
      </c>
      <c r="K24" s="15" t="n">
        <f aca="false">PL!F138</f>
        <v>177.531256730248</v>
      </c>
      <c r="L24" s="14" t="n">
        <f aca="false">K24/K$4-1</f>
        <v>-0.153412304865855</v>
      </c>
    </row>
    <row r="25" customFormat="false" ht="17.15" hidden="false" customHeight="false" outlineLevel="0" collapsed="false">
      <c r="A25" s="4" t="s">
        <v>786</v>
      </c>
      <c r="B25" s="0" t="s">
        <v>787</v>
      </c>
      <c r="C25" s="19" t="n">
        <f aca="false">PL!E162</f>
        <v>330.677779399532</v>
      </c>
      <c r="D25" s="19" t="n">
        <f aca="false">PL!E155</f>
        <v>154.724173474757</v>
      </c>
      <c r="E25" s="14" t="n">
        <f aca="false">PL!E170</f>
        <v>0.330895510422332</v>
      </c>
      <c r="F25" s="15" t="n">
        <f aca="false">PL!E179</f>
        <v>163.155115781997</v>
      </c>
      <c r="G25" s="14" t="n">
        <f aca="false">F25/F$4-1</f>
        <v>0</v>
      </c>
      <c r="H25" s="19" t="n">
        <f aca="false">PL!F162</f>
        <v>296.487624147248</v>
      </c>
      <c r="I25" s="19" t="n">
        <f aca="false">PL!F155</f>
        <v>136.068827619303</v>
      </c>
      <c r="J25" s="14" t="n">
        <f aca="false">PL!F170</f>
        <v>0.330357659704197</v>
      </c>
      <c r="K25" s="15" t="n">
        <f aca="false">PL!F179</f>
        <v>143.425947646649</v>
      </c>
      <c r="L25" s="14" t="n">
        <f aca="false">K25/K$4-1</f>
        <v>-0.316049214786418</v>
      </c>
    </row>
    <row r="27" customFormat="false" ht="17.15" hidden="false" customHeight="false" outlineLevel="0" collapsed="false">
      <c r="A27" s="4" t="s">
        <v>788</v>
      </c>
    </row>
    <row r="40" customFormat="false" ht="17.15" hidden="false" customHeight="false" outlineLevel="0" collapsed="false">
      <c r="A40" s="1" t="s">
        <v>789</v>
      </c>
    </row>
    <row r="41" customFormat="false" ht="17.15" hidden="false" customHeight="false" outlineLevel="0" collapsed="false">
      <c r="A41" s="5" t="s">
        <v>18</v>
      </c>
      <c r="B41" s="5" t="s">
        <v>19</v>
      </c>
      <c r="C41" s="11" t="s">
        <v>347</v>
      </c>
      <c r="D41" s="11" t="s">
        <v>436</v>
      </c>
      <c r="E41" s="11" t="s">
        <v>437</v>
      </c>
      <c r="F41" s="11" t="s">
        <v>438</v>
      </c>
      <c r="G41" s="11" t="s">
        <v>439</v>
      </c>
      <c r="H41" s="5" t="s">
        <v>412</v>
      </c>
    </row>
    <row r="42" customFormat="false" ht="17.15" hidden="false" customHeight="false" outlineLevel="0" collapsed="false">
      <c r="A42" s="6" t="s">
        <v>455</v>
      </c>
    </row>
    <row r="43" customFormat="false" ht="17.15" hidden="false" customHeight="false" outlineLevel="0" collapsed="false">
      <c r="A43" s="0" t="s">
        <v>456</v>
      </c>
      <c r="B43" s="0" t="s">
        <v>29</v>
      </c>
      <c r="D43" s="20" t="n">
        <f aca="false">itc_26*1</f>
        <v>781.872916666667</v>
      </c>
      <c r="E43" s="20" t="n">
        <f aca="false">itc_27*1*1</f>
        <v>1565.35</v>
      </c>
      <c r="F43" s="20" t="n">
        <f aca="false">itc_28*um28_A*1</f>
        <v>1984.26388888889</v>
      </c>
      <c r="G43" s="20" t="n">
        <f aca="false">itc_29*um29_A*1</f>
        <v>2260.39027777778</v>
      </c>
    </row>
    <row r="44" customFormat="false" ht="17.15" hidden="false" customHeight="false" outlineLevel="0" collapsed="false">
      <c r="A44" s="4" t="s">
        <v>457</v>
      </c>
      <c r="B44" s="0" t="s">
        <v>29</v>
      </c>
      <c r="D44" s="20" t="n">
        <f aca="false">itpg_gb*(1-vr26)+itpg_vr*vr26</f>
        <v>33.41403216</v>
      </c>
      <c r="E44" s="20" t="n">
        <f aca="false">itpg_vr</f>
        <v>37.586352</v>
      </c>
      <c r="F44" s="20" t="n">
        <f aca="false">itpg_vr</f>
        <v>37.586352</v>
      </c>
      <c r="G44" s="20" t="n">
        <f aca="false">itpg_vr</f>
        <v>37.586352</v>
      </c>
    </row>
    <row r="45" customFormat="false" ht="17.15" hidden="false" customHeight="false" outlineLevel="0" collapsed="false">
      <c r="A45" s="4" t="s">
        <v>458</v>
      </c>
      <c r="B45" s="0" t="s">
        <v>414</v>
      </c>
      <c r="D45" s="17" t="n">
        <f aca="false">D43/D44</f>
        <v>23.3995380420639</v>
      </c>
      <c r="E45" s="17" t="n">
        <f aca="false">E43/E44</f>
        <v>41.6467658260637</v>
      </c>
      <c r="F45" s="17" t="n">
        <f aca="false">F43/F44</f>
        <v>52.792138191248</v>
      </c>
      <c r="G45" s="17" t="n">
        <f aca="false">G43/G44</f>
        <v>60.1385917361116</v>
      </c>
    </row>
    <row r="46" customFormat="false" ht="17.15" hidden="false" customHeight="false" outlineLevel="0" collapsed="false">
      <c r="A46" s="4" t="s">
        <v>459</v>
      </c>
      <c r="B46" s="0" t="s">
        <v>49</v>
      </c>
      <c r="D46" s="14" t="n">
        <f aca="false">lpen_26</f>
        <v>0.55</v>
      </c>
      <c r="E46" s="14" t="n">
        <f aca="false">lpen_27</f>
        <v>0.75</v>
      </c>
      <c r="F46" s="14" t="n">
        <f aca="false">lpen_28</f>
        <v>0.85</v>
      </c>
      <c r="G46" s="14" t="n">
        <f aca="false">lpen_29</f>
        <v>0.9</v>
      </c>
    </row>
    <row r="47" customFormat="false" ht="17.15" hidden="false" customHeight="false" outlineLevel="0" collapsed="false">
      <c r="A47" s="4" t="s">
        <v>460</v>
      </c>
      <c r="B47" s="0" t="s">
        <v>419</v>
      </c>
      <c r="D47" s="18" t="n">
        <f aca="false">((1-vr26)*racks_gb*(cool_gb+mani)+vr26*racks_vr*(cool_vr+mani))/1000</f>
        <v>350.7208</v>
      </c>
      <c r="E47" s="18" t="n">
        <f aca="false">racks_vr*(cool_vr+mani)*lcadj_27/1000</f>
        <v>326.5912</v>
      </c>
      <c r="F47" s="18" t="n">
        <f aca="false">racks_vr*(cool_vr+mani)*lcadj_28/1000</f>
        <v>351.7136</v>
      </c>
      <c r="G47" s="18" t="n">
        <f aca="false">racks_vr*(cool_vr+mani)*lcadj_29/1000</f>
        <v>351.7136</v>
      </c>
      <c r="H47" s="4" t="s">
        <v>461</v>
      </c>
    </row>
    <row r="48" customFormat="false" ht="17.15" hidden="false" customHeight="false" outlineLevel="0" collapsed="false">
      <c r="A48" s="0" t="s">
        <v>462</v>
      </c>
      <c r="B48" s="0" t="s">
        <v>29</v>
      </c>
      <c r="D48" s="20" t="n">
        <f aca="false">D45*D46*D47/1000</f>
        <v>4.5136875859587</v>
      </c>
      <c r="E48" s="20" t="n">
        <f aca="false">E45*E46*E47/1000</f>
        <v>10.2011004204398</v>
      </c>
      <c r="F48" s="20" t="n">
        <f aca="false">F45*F46*F47/1000</f>
        <v>15.7825560287001</v>
      </c>
      <c r="G48" s="20" t="n">
        <f aca="false">G45*G46*G47/1000</f>
        <v>19.0364045385942</v>
      </c>
    </row>
    <row r="49" customFormat="false" ht="17.15" hidden="false" customHeight="false" outlineLevel="0" collapsed="false">
      <c r="A49" s="0" t="s">
        <v>463</v>
      </c>
      <c r="B49" s="0" t="s">
        <v>189</v>
      </c>
      <c r="D49" s="19" t="n">
        <f aca="false">D48*fx</f>
        <v>144.438002750678</v>
      </c>
      <c r="E49" s="19" t="n">
        <f aca="false">E48*fx</f>
        <v>326.435213454075</v>
      </c>
      <c r="F49" s="19" t="n">
        <f aca="false">F48*fx</f>
        <v>505.041792918404</v>
      </c>
      <c r="G49" s="19" t="n">
        <f aca="false">G48*fx</f>
        <v>609.164945235016</v>
      </c>
    </row>
    <row r="50" customFormat="false" ht="17.15" hidden="false" customHeight="false" outlineLevel="0" collapsed="false">
      <c r="A50" s="4" t="s">
        <v>464</v>
      </c>
      <c r="B50" s="0" t="s">
        <v>49</v>
      </c>
      <c r="D50" s="14" t="n">
        <f aca="false">a26_lc/D49</f>
        <v>0.498927641116676</v>
      </c>
      <c r="H50" s="8" t="s">
        <v>465</v>
      </c>
    </row>
    <row r="51" customFormat="false" ht="17.15" hidden="false" customHeight="false" outlineLevel="0" collapsed="false">
      <c r="A51" s="4" t="s">
        <v>466</v>
      </c>
      <c r="B51" s="0" t="s">
        <v>70</v>
      </c>
      <c r="D51" s="15" t="n">
        <f aca="false">1</f>
        <v>1</v>
      </c>
      <c r="E51" s="15" t="n">
        <f aca="false">RLO_27</f>
        <v>0.85</v>
      </c>
      <c r="F51" s="15" t="n">
        <f aca="false">RLO_28</f>
        <v>0.75</v>
      </c>
      <c r="G51" s="15" t="n">
        <f aca="false">RLO_29</f>
        <v>0.7</v>
      </c>
    </row>
    <row r="52" customFormat="false" ht="15" hidden="false" customHeight="false" outlineLevel="0" collapsed="false">
      <c r="A52" s="4" t="s">
        <v>426</v>
      </c>
      <c r="B52" s="0" t="s">
        <v>49</v>
      </c>
      <c r="D52" s="14" t="n">
        <f aca="false">$D$50*D51</f>
        <v>0.498927641116676</v>
      </c>
      <c r="E52" s="14" t="n">
        <f aca="false">$D$50*E51</f>
        <v>0.424088494949175</v>
      </c>
      <c r="F52" s="14" t="n">
        <f aca="false">$D$50*F51</f>
        <v>0.374195730837507</v>
      </c>
      <c r="G52" s="14" t="n">
        <f aca="false">$D$50*G51</f>
        <v>0.349249348781673</v>
      </c>
    </row>
    <row r="53" customFormat="false" ht="15" hidden="false" customHeight="false" outlineLevel="0" collapsed="false">
      <c r="A53" s="4" t="s">
        <v>467</v>
      </c>
      <c r="B53" s="0" t="s">
        <v>189</v>
      </c>
      <c r="C53" s="19" t="n">
        <f aca="false">a25_lc</f>
        <v>20.94585</v>
      </c>
      <c r="D53" s="19" t="n">
        <f aca="false">D49*D52</f>
        <v>72.064112</v>
      </c>
      <c r="E53" s="19" t="n">
        <f aca="false">E49*E52</f>
        <v>138.437418372151</v>
      </c>
      <c r="F53" s="19" t="n">
        <f aca="false">F49*F52</f>
        <v>188.984482804587</v>
      </c>
      <c r="G53" s="19" t="n">
        <f aca="false">G49*G52</f>
        <v>212.750460423953</v>
      </c>
    </row>
    <row r="54" customFormat="false" ht="17.15" hidden="false" customHeight="false" outlineLevel="0" collapsed="false">
      <c r="A54" s="6" t="s">
        <v>468</v>
      </c>
    </row>
    <row r="55" customFormat="false" ht="17.15" hidden="false" customHeight="false" outlineLevel="0" collapsed="false">
      <c r="A55" s="0" t="s">
        <v>469</v>
      </c>
      <c r="B55" s="0" t="s">
        <v>470</v>
      </c>
      <c r="D55" s="22" t="n">
        <f aca="false">a26_air/D45</f>
        <v>2.02106868156909</v>
      </c>
    </row>
    <row r="56" customFormat="false" ht="17.15" hidden="false" customHeight="false" outlineLevel="0" collapsed="false">
      <c r="A56" s="0" t="s">
        <v>471</v>
      </c>
      <c r="B56" s="0" t="s">
        <v>70</v>
      </c>
      <c r="D56" s="15" t="n">
        <f aca="false">1</f>
        <v>1</v>
      </c>
      <c r="E56" s="15" t="n">
        <f aca="false">acr_27</f>
        <v>0.75</v>
      </c>
      <c r="F56" s="15" t="n">
        <f aca="false">acr_28</f>
        <v>0.65</v>
      </c>
      <c r="G56" s="15" t="n">
        <f aca="false">acr_29</f>
        <v>0.6</v>
      </c>
    </row>
    <row r="57" customFormat="false" ht="17.15" hidden="false" customHeight="false" outlineLevel="0" collapsed="false">
      <c r="A57" s="0" t="s">
        <v>472</v>
      </c>
      <c r="B57" s="0" t="s">
        <v>189</v>
      </c>
      <c r="C57" s="19" t="n">
        <f aca="false">a25_air</f>
        <v>30.999858</v>
      </c>
      <c r="D57" s="19" t="n">
        <f aca="false">D45*$D$55*D56</f>
        <v>47.2920735</v>
      </c>
      <c r="E57" s="19" t="n">
        <f aca="false">E45*$D$55*E56</f>
        <v>63.1282305747745</v>
      </c>
      <c r="F57" s="19" t="n">
        <f aca="false">F45*$D$55*F56</f>
        <v>69.3527491354094</v>
      </c>
      <c r="G57" s="19" t="n">
        <f aca="false">G45*$D$55*G56</f>
        <v>72.926534586915</v>
      </c>
    </row>
    <row r="58" customFormat="false" ht="15" hidden="false" customHeight="false" outlineLevel="0" collapsed="false">
      <c r="A58" s="4" t="s">
        <v>473</v>
      </c>
      <c r="B58" s="0" t="s">
        <v>189</v>
      </c>
      <c r="C58" s="19" t="n">
        <f aca="false">a25_gen</f>
        <v>20.666572</v>
      </c>
      <c r="D58" s="19" t="n">
        <f aca="false">a26_gen</f>
        <v>31.528049</v>
      </c>
      <c r="E58" s="19" t="n">
        <f aca="false">D58*(1+g_gen_27)</f>
        <v>34.05029292</v>
      </c>
      <c r="F58" s="19" t="n">
        <f aca="false">E58*(1+g_gen_28)</f>
        <v>36.0933104952</v>
      </c>
      <c r="G58" s="19" t="n">
        <f aca="false">F58*(1+g_gen_29)</f>
        <v>37.89797601996</v>
      </c>
    </row>
    <row r="59" customFormat="false" ht="17.15" hidden="false" customHeight="false" outlineLevel="0" collapsed="false">
      <c r="A59" s="4" t="s">
        <v>474</v>
      </c>
      <c r="B59" s="0" t="s">
        <v>189</v>
      </c>
      <c r="C59" s="19" t="n">
        <f aca="false">a25_nai</f>
        <v>67.02672</v>
      </c>
      <c r="D59" s="19" t="n">
        <f aca="false">a26_nai</f>
        <v>74.3161155</v>
      </c>
      <c r="E59" s="19" t="n">
        <f aca="false">D59*(1+g_nai_27)</f>
        <v>78.77508243</v>
      </c>
      <c r="F59" s="19" t="n">
        <f aca="false">E59*(1+g_nai_28)</f>
        <v>82.7138365515</v>
      </c>
      <c r="G59" s="19" t="n">
        <f aca="false">F59*(1+g_nai_29)</f>
        <v>86.02239001356</v>
      </c>
    </row>
    <row r="60" customFormat="false" ht="15" hidden="false" customHeight="false" outlineLevel="0" collapsed="false">
      <c r="A60" s="4" t="s">
        <v>353</v>
      </c>
      <c r="B60" s="0" t="s">
        <v>189</v>
      </c>
      <c r="C60" s="19" t="n">
        <f aca="false">C53+C57+C58+C59</f>
        <v>139.639</v>
      </c>
      <c r="D60" s="19" t="n">
        <f aca="false">D53+D57+D58+D59</f>
        <v>225.20035</v>
      </c>
      <c r="E60" s="19" t="n">
        <f aca="false">E53+E57+E58+E59</f>
        <v>314.391024296926</v>
      </c>
      <c r="F60" s="19" t="n">
        <f aca="false">F53+F57+F58+F59</f>
        <v>377.144378986696</v>
      </c>
      <c r="G60" s="19" t="n">
        <f aca="false">G53+G57+G58+G59</f>
        <v>409.597361044388</v>
      </c>
    </row>
    <row r="61" customFormat="false" ht="15" hidden="false" customHeight="false" outlineLevel="0" collapsed="false">
      <c r="A61" s="4" t="s">
        <v>475</v>
      </c>
      <c r="B61" s="0" t="s">
        <v>49</v>
      </c>
      <c r="D61" s="14" t="n">
        <f aca="false">D60/C60-1</f>
        <v>0.612732474451979</v>
      </c>
      <c r="E61" s="14" t="n">
        <f aca="false">E60/D60-1</f>
        <v>0.396050336053767</v>
      </c>
      <c r="F61" s="14" t="n">
        <f aca="false">F60/E60-1</f>
        <v>0.199602882525372</v>
      </c>
      <c r="G61" s="14" t="n">
        <f aca="false">G60/F60-1</f>
        <v>0.0860492264126687</v>
      </c>
    </row>
    <row r="62" customFormat="false" ht="17.15" hidden="false" customHeight="false" outlineLevel="0" collapsed="false">
      <c r="A62" s="4" t="s">
        <v>476</v>
      </c>
      <c r="B62" s="0" t="s">
        <v>49</v>
      </c>
      <c r="C62" s="14" t="n">
        <f aca="false">C53/C60</f>
        <v>0.15</v>
      </c>
      <c r="D62" s="14" t="n">
        <f aca="false">D53/D60</f>
        <v>0.32</v>
      </c>
      <c r="E62" s="14" t="n">
        <f aca="false">E53/E60</f>
        <v>0.440335148504127</v>
      </c>
      <c r="F62" s="14" t="n">
        <f aca="false">F53/F60</f>
        <v>0.501093197550356</v>
      </c>
      <c r="G62" s="14" t="n">
        <f aca="false">G53/G60</f>
        <v>0.519413650228321</v>
      </c>
    </row>
    <row r="63" customFormat="false" ht="17.15" hidden="false" customHeight="false" outlineLevel="0" collapsed="false">
      <c r="A63" s="0" t="s">
        <v>477</v>
      </c>
      <c r="B63" s="0" t="s">
        <v>49</v>
      </c>
      <c r="C63" s="14" t="n">
        <f aca="false">(C53+C57)/C60</f>
        <v>0.372</v>
      </c>
      <c r="D63" s="14" t="n">
        <f aca="false">(D53+D57)/D60</f>
        <v>0.53</v>
      </c>
      <c r="E63" s="14" t="n">
        <f aca="false">(E53+E57)/E60</f>
        <v>0.64113041839438</v>
      </c>
      <c r="F63" s="14" t="n">
        <f aca="false">(F53+F57)/F60</f>
        <v>0.684982320654205</v>
      </c>
      <c r="G63" s="14" t="n">
        <f aca="false">(G53+G57)/G60</f>
        <v>0.697458094657766</v>
      </c>
    </row>
    <row r="64" customFormat="false" ht="17.15" hidden="false" customHeight="false" outlineLevel="0" collapsed="false">
      <c r="A64" s="4" t="s">
        <v>431</v>
      </c>
      <c r="B64" s="0" t="s">
        <v>419</v>
      </c>
      <c r="D64" s="18" t="n">
        <f aca="false">(D53+D57)/fx/D45*1000</f>
        <v>159.399762088039</v>
      </c>
      <c r="E64" s="18" t="n">
        <f aca="false">(E53+E57)/fx/E45*1000</f>
        <v>151.246475078009</v>
      </c>
      <c r="F64" s="18" t="n">
        <f aca="false">(F53+F57)/fx/F45*1000</f>
        <v>152.921226052239</v>
      </c>
      <c r="G64" s="18" t="n">
        <f aca="false">(G53+G57)/fx/G45*1000</f>
        <v>148.447208961313</v>
      </c>
    </row>
    <row r="65" customFormat="false" ht="17.15" hidden="false" customHeight="false" outlineLevel="0" collapsed="false">
      <c r="A65" s="6" t="s">
        <v>478</v>
      </c>
    </row>
    <row r="66" customFormat="false" ht="17.15" hidden="false" customHeight="false" outlineLevel="0" collapsed="false">
      <c r="A66" s="4" t="s">
        <v>479</v>
      </c>
      <c r="B66" s="0" t="s">
        <v>49</v>
      </c>
      <c r="D66" s="14" t="n">
        <f aca="false">a26_gp/D60-d_lc*D62</f>
        <v>0.302821503074929</v>
      </c>
      <c r="H66" s="8" t="s">
        <v>480</v>
      </c>
    </row>
    <row r="67" customFormat="false" ht="15" hidden="false" customHeight="false" outlineLevel="0" collapsed="false">
      <c r="A67" s="4" t="s">
        <v>357</v>
      </c>
      <c r="B67" s="0" t="s">
        <v>189</v>
      </c>
      <c r="C67" s="19" t="n">
        <f aca="false">a25_gp</f>
        <v>36.034</v>
      </c>
      <c r="D67" s="19" t="n">
        <f aca="false">a26_gp</f>
        <v>72.5193552</v>
      </c>
      <c r="E67" s="19" t="n">
        <f aca="false">$D$66*E60+d_lc*E53</f>
        <v>103.510607633191</v>
      </c>
      <c r="F67" s="19" t="n">
        <f aca="false">$D$66*F60+d_lc*F53</f>
        <v>125.546496689287</v>
      </c>
      <c r="G67" s="19" t="n">
        <f aca="false">$D$66*G60+d_lc*G53</f>
        <v>136.799916152423</v>
      </c>
    </row>
    <row r="68" customFormat="false" ht="15" hidden="false" customHeight="false" outlineLevel="0" collapsed="false">
      <c r="A68" s="4" t="s">
        <v>360</v>
      </c>
      <c r="B68" s="0" t="s">
        <v>49</v>
      </c>
      <c r="C68" s="14" t="n">
        <f aca="false">C67/C60</f>
        <v>0.258051117524474</v>
      </c>
      <c r="D68" s="14" t="n">
        <f aca="false">D67/D60</f>
        <v>0.322021503074929</v>
      </c>
      <c r="E68" s="14" t="n">
        <f aca="false">E67/E60</f>
        <v>0.329241611985176</v>
      </c>
      <c r="F68" s="14" t="n">
        <f aca="false">F67/F60</f>
        <v>0.33288709492795</v>
      </c>
      <c r="G68" s="14" t="n">
        <f aca="false">G67/G60</f>
        <v>0.333986322088628</v>
      </c>
    </row>
    <row r="69" customFormat="false" ht="15" hidden="false" customHeight="false" outlineLevel="0" collapsed="false">
      <c r="A69" s="4" t="s">
        <v>481</v>
      </c>
      <c r="B69" s="0" t="s">
        <v>189</v>
      </c>
      <c r="C69" s="19" t="n">
        <f aca="false">a25_opx</f>
        <v>8.4832253</v>
      </c>
      <c r="D69" s="19" t="n">
        <f aca="false">a26_opx</f>
        <v>11.7048599</v>
      </c>
      <c r="E69" s="19" t="n">
        <f aca="false">D69*(1+MAX(0,phi*E61))</f>
        <v>14.9498594878001</v>
      </c>
      <c r="F69" s="19" t="n">
        <f aca="false">E69*(1+MAX(0,phi*F61))</f>
        <v>17.03868402078</v>
      </c>
      <c r="G69" s="19" t="n">
        <f aca="false">F69*(1+MAX(0,phi*G61))</f>
        <v>18.0649999261346</v>
      </c>
    </row>
    <row r="70" customFormat="false" ht="15" hidden="false" customHeight="false" outlineLevel="0" collapsed="false">
      <c r="A70" s="4" t="s">
        <v>362</v>
      </c>
      <c r="B70" s="0" t="s">
        <v>189</v>
      </c>
      <c r="C70" s="19" t="n">
        <f aca="false">C69</f>
        <v>8.4832253</v>
      </c>
      <c r="D70" s="19" t="n">
        <f aca="false">D69</f>
        <v>11.7048599</v>
      </c>
      <c r="E70" s="19" t="n">
        <f aca="false">E69+0*E60</f>
        <v>14.9498594878001</v>
      </c>
      <c r="F70" s="19" t="n">
        <f aca="false">F69+0*F60</f>
        <v>17.03868402078</v>
      </c>
      <c r="G70" s="19" t="n">
        <f aca="false">G69+0*G60</f>
        <v>18.0649999261346</v>
      </c>
    </row>
    <row r="71" customFormat="false" ht="15" hidden="false" customHeight="false" outlineLevel="0" collapsed="false">
      <c r="A71" s="4" t="s">
        <v>364</v>
      </c>
      <c r="B71" s="0" t="s">
        <v>189</v>
      </c>
      <c r="C71" s="19" t="n">
        <f aca="false">C67-C70</f>
        <v>27.5507747</v>
      </c>
      <c r="D71" s="19" t="n">
        <f aca="false">D67-D70</f>
        <v>60.8144953</v>
      </c>
      <c r="E71" s="19" t="n">
        <f aca="false">E67-E70</f>
        <v>88.5607481453905</v>
      </c>
      <c r="F71" s="19" t="n">
        <f aca="false">F67-F70</f>
        <v>108.507812668507</v>
      </c>
      <c r="G71" s="19" t="n">
        <f aca="false">G67-G70</f>
        <v>118.734916226288</v>
      </c>
    </row>
    <row r="72" customFormat="false" ht="15" hidden="false" customHeight="false" outlineLevel="0" collapsed="false">
      <c r="A72" s="4" t="s">
        <v>367</v>
      </c>
      <c r="B72" s="0" t="s">
        <v>49</v>
      </c>
      <c r="C72" s="14" t="n">
        <f aca="false">C71/C60</f>
        <v>0.1973</v>
      </c>
      <c r="D72" s="14" t="n">
        <f aca="false">D71/D60</f>
        <v>0.27004618465291</v>
      </c>
      <c r="E72" s="14" t="n">
        <f aca="false">E71/E60</f>
        <v>0.281689810780824</v>
      </c>
      <c r="F72" s="14" t="n">
        <f aca="false">F71/F60</f>
        <v>0.287708948387468</v>
      </c>
      <c r="G72" s="14" t="n">
        <f aca="false">G71/G60</f>
        <v>0.289882034209251</v>
      </c>
    </row>
    <row r="73" customFormat="false" ht="15" hidden="false" customHeight="false" outlineLevel="0" collapsed="false">
      <c r="A73" s="4" t="s">
        <v>369</v>
      </c>
      <c r="B73" s="0" t="s">
        <v>189</v>
      </c>
      <c r="C73" s="19" t="n">
        <f aca="false">a25_nop</f>
        <v>1.23179436863779</v>
      </c>
      <c r="D73" s="19" t="n">
        <f aca="false">a26_nop</f>
        <v>0.8186111</v>
      </c>
      <c r="E73" s="19" t="n">
        <f aca="false">nop_f</f>
        <v>1</v>
      </c>
      <c r="F73" s="19" t="n">
        <f aca="false">nop_f</f>
        <v>1</v>
      </c>
      <c r="G73" s="19" t="n">
        <f aca="false">nop_f</f>
        <v>1</v>
      </c>
    </row>
    <row r="74" customFormat="false" ht="17.15" hidden="false" customHeight="false" outlineLevel="0" collapsed="false">
      <c r="A74" s="4" t="s">
        <v>232</v>
      </c>
      <c r="B74" s="0" t="s">
        <v>49</v>
      </c>
      <c r="C74" s="14" t="n">
        <f aca="false">a25_ni/(a25_oi+a25_nop)</f>
        <v>0.666583999303438</v>
      </c>
      <c r="D74" s="14" t="n">
        <f aca="false">a26_ni/(a26_oi+a26_nop)</f>
        <v>0.674837141220258</v>
      </c>
      <c r="E74" s="14" t="n">
        <f aca="false">nir_f</f>
        <v>0.675</v>
      </c>
      <c r="F74" s="14" t="n">
        <f aca="false">nir_f</f>
        <v>0.675</v>
      </c>
      <c r="G74" s="14" t="n">
        <f aca="false">nir_f</f>
        <v>0.675</v>
      </c>
    </row>
    <row r="75" customFormat="false" ht="15" hidden="false" customHeight="false" outlineLevel="0" collapsed="false">
      <c r="A75" s="4" t="s">
        <v>373</v>
      </c>
      <c r="B75" s="0" t="s">
        <v>189</v>
      </c>
      <c r="C75" s="19" t="n">
        <f aca="false">a25_ni</f>
        <v>19.186</v>
      </c>
      <c r="D75" s="19" t="n">
        <f aca="false">a26_ni</f>
        <v>41.5923093275</v>
      </c>
      <c r="E75" s="19" t="n">
        <f aca="false">(E71+E73)*E74</f>
        <v>60.4535049981386</v>
      </c>
      <c r="F75" s="19" t="n">
        <f aca="false">(F71+F73)*F74</f>
        <v>73.9177735512424</v>
      </c>
      <c r="G75" s="19" t="n">
        <f aca="false">(G71+G73)*G74</f>
        <v>80.8210684527447</v>
      </c>
    </row>
    <row r="76" customFormat="false" ht="15" hidden="false" customHeight="false" outlineLevel="0" collapsed="false">
      <c r="A76" s="4" t="s">
        <v>482</v>
      </c>
      <c r="B76" s="4" t="s">
        <v>215</v>
      </c>
      <c r="C76" s="22" t="n">
        <f aca="false">a25_sh</f>
        <v>0.390197274761033</v>
      </c>
      <c r="D76" s="22" t="n">
        <f aca="false">a26_sh</f>
        <v>0.392523574315222</v>
      </c>
      <c r="E76" s="22" t="n">
        <f aca="false">D76*(1+sh_g)</f>
        <v>0.392523574315222</v>
      </c>
      <c r="F76" s="22" t="n">
        <f aca="false">E76*(1+sh_g)</f>
        <v>0.392523574315222</v>
      </c>
      <c r="G76" s="22" t="n">
        <f aca="false">F76*(1+sh_g)</f>
        <v>0.392523574315222</v>
      </c>
    </row>
    <row r="77" customFormat="false" ht="15" hidden="false" customHeight="false" outlineLevel="0" collapsed="false">
      <c r="A77" s="0" t="s">
        <v>378</v>
      </c>
      <c r="B77" s="0" t="s">
        <v>252</v>
      </c>
      <c r="C77" s="20" t="n">
        <f aca="false">C75/C76</f>
        <v>49.17</v>
      </c>
      <c r="D77" s="20" t="n">
        <f aca="false">D75/D76</f>
        <v>105.961302834002</v>
      </c>
      <c r="E77" s="20" t="n">
        <f aca="false">E75/E76</f>
        <v>154.012418498947</v>
      </c>
      <c r="F77" s="20" t="n">
        <f aca="false">F75/F76</f>
        <v>188.314227190547</v>
      </c>
      <c r="G77" s="20" t="n">
        <f aca="false">G75/G76</f>
        <v>205.901183371575</v>
      </c>
    </row>
    <row r="78" customFormat="false" ht="17.15" hidden="false" customHeight="false" outlineLevel="0" collapsed="false">
      <c r="A78" s="0" t="s">
        <v>483</v>
      </c>
      <c r="B78" s="0" t="s">
        <v>49</v>
      </c>
      <c r="D78" s="14" t="n">
        <f aca="false">D77/C77-1</f>
        <v>1.15499904075659</v>
      </c>
      <c r="E78" s="14" t="n">
        <f aca="false">E77/D77-1</f>
        <v>0.45347796204641</v>
      </c>
      <c r="F78" s="14" t="n">
        <f aca="false">F77/E77-1</f>
        <v>0.222721057340155</v>
      </c>
      <c r="G78" s="14" t="n">
        <f aca="false">G77/F77-1</f>
        <v>0.093391542654037</v>
      </c>
    </row>
    <row r="81" customFormat="false" ht="17.15" hidden="false" customHeight="false" outlineLevel="0" collapsed="false">
      <c r="A81" s="1" t="s">
        <v>790</v>
      </c>
    </row>
    <row r="82" customFormat="false" ht="17.15" hidden="false" customHeight="false" outlineLevel="0" collapsed="false">
      <c r="A82" s="5" t="s">
        <v>18</v>
      </c>
      <c r="B82" s="5" t="s">
        <v>19</v>
      </c>
      <c r="C82" s="11" t="s">
        <v>347</v>
      </c>
      <c r="D82" s="11" t="s">
        <v>436</v>
      </c>
      <c r="E82" s="11" t="s">
        <v>437</v>
      </c>
      <c r="F82" s="11" t="s">
        <v>438</v>
      </c>
      <c r="G82" s="11" t="s">
        <v>439</v>
      </c>
      <c r="H82" s="5" t="s">
        <v>412</v>
      </c>
    </row>
    <row r="83" customFormat="false" ht="17.15" hidden="false" customHeight="false" outlineLevel="0" collapsed="false">
      <c r="A83" s="6" t="s">
        <v>455</v>
      </c>
    </row>
    <row r="84" customFormat="false" ht="17.15" hidden="false" customHeight="false" outlineLevel="0" collapsed="false">
      <c r="A84" s="0" t="s">
        <v>456</v>
      </c>
      <c r="B84" s="0" t="s">
        <v>29</v>
      </c>
      <c r="D84" s="20" t="n">
        <f aca="false">itc_26*1</f>
        <v>781.872916666667</v>
      </c>
      <c r="E84" s="20" t="n">
        <f aca="false">itc_27*1*1</f>
        <v>1565.35</v>
      </c>
      <c r="F84" s="20" t="n">
        <f aca="false">itc_28*um28_A*1</f>
        <v>1984.26388888889</v>
      </c>
      <c r="G84" s="20" t="n">
        <f aca="false">itc_29*um29_A*1</f>
        <v>2260.39027777778</v>
      </c>
    </row>
    <row r="85" customFormat="false" ht="17.15" hidden="false" customHeight="false" outlineLevel="0" collapsed="false">
      <c r="A85" s="4" t="s">
        <v>457</v>
      </c>
      <c r="B85" s="0" t="s">
        <v>29</v>
      </c>
      <c r="D85" s="20" t="n">
        <f aca="false">itpg_gb*(1-vr26)+itpg_vr*vr26</f>
        <v>33.41403216</v>
      </c>
      <c r="E85" s="20" t="n">
        <f aca="false">itpg_vr</f>
        <v>37.586352</v>
      </c>
      <c r="F85" s="20" t="n">
        <f aca="false">itpg_vr</f>
        <v>37.586352</v>
      </c>
      <c r="G85" s="20" t="n">
        <f aca="false">itpg_vr</f>
        <v>37.586352</v>
      </c>
    </row>
    <row r="86" customFormat="false" ht="17.15" hidden="false" customHeight="false" outlineLevel="0" collapsed="false">
      <c r="A86" s="4" t="s">
        <v>458</v>
      </c>
      <c r="B86" s="0" t="s">
        <v>414</v>
      </c>
      <c r="D86" s="17" t="n">
        <f aca="false">D84/D85</f>
        <v>23.3995380420639</v>
      </c>
      <c r="E86" s="17" t="n">
        <f aca="false">E84/E85</f>
        <v>41.6467658260637</v>
      </c>
      <c r="F86" s="17" t="n">
        <f aca="false">F84/F85</f>
        <v>52.792138191248</v>
      </c>
      <c r="G86" s="17" t="n">
        <f aca="false">G84/G85</f>
        <v>60.1385917361116</v>
      </c>
    </row>
    <row r="87" customFormat="false" ht="17.15" hidden="false" customHeight="false" outlineLevel="0" collapsed="false">
      <c r="A87" s="4" t="s">
        <v>459</v>
      </c>
      <c r="B87" s="0" t="s">
        <v>49</v>
      </c>
      <c r="D87" s="14" t="n">
        <f aca="false">lpen_26</f>
        <v>0.55</v>
      </c>
      <c r="E87" s="14" t="n">
        <f aca="false">lpen_27</f>
        <v>0.75</v>
      </c>
      <c r="F87" s="14" t="n">
        <f aca="false">lpen_28</f>
        <v>0.85</v>
      </c>
      <c r="G87" s="14" t="n">
        <f aca="false">lpen_29</f>
        <v>0.9</v>
      </c>
    </row>
    <row r="88" customFormat="false" ht="17.15" hidden="false" customHeight="false" outlineLevel="0" collapsed="false">
      <c r="A88" s="4" t="s">
        <v>460</v>
      </c>
      <c r="B88" s="0" t="s">
        <v>419</v>
      </c>
      <c r="D88" s="18" t="n">
        <f aca="false">((1-vr26)*racks_gb*(cool_gb+mani)+vr26*racks_vr*(cool_vr+mani))/1000</f>
        <v>350.7208</v>
      </c>
      <c r="E88" s="18" t="n">
        <f aca="false">racks_vr*(cool_vr+mani)*lcadj_27/1000</f>
        <v>326.5912</v>
      </c>
      <c r="F88" s="18" t="n">
        <f aca="false">racks_vr*(cool_vr+mani)*lcadj_28/1000</f>
        <v>351.7136</v>
      </c>
      <c r="G88" s="18" t="n">
        <f aca="false">racks_vr*(cool_vr+mani)*lcadj_29/1000</f>
        <v>351.7136</v>
      </c>
      <c r="H88" s="4" t="s">
        <v>461</v>
      </c>
    </row>
    <row r="89" customFormat="false" ht="17.15" hidden="false" customHeight="false" outlineLevel="0" collapsed="false">
      <c r="A89" s="0" t="s">
        <v>462</v>
      </c>
      <c r="B89" s="0" t="s">
        <v>29</v>
      </c>
      <c r="D89" s="20" t="n">
        <f aca="false">D86*D87*D88/1000</f>
        <v>4.5136875859587</v>
      </c>
      <c r="E89" s="20" t="n">
        <f aca="false">E86*E87*E88/1000</f>
        <v>10.2011004204398</v>
      </c>
      <c r="F89" s="20" t="n">
        <f aca="false">F86*F87*F88/1000</f>
        <v>15.7825560287001</v>
      </c>
      <c r="G89" s="20" t="n">
        <f aca="false">G86*G87*G88/1000</f>
        <v>19.0364045385942</v>
      </c>
    </row>
    <row r="90" customFormat="false" ht="17.15" hidden="false" customHeight="false" outlineLevel="0" collapsed="false">
      <c r="A90" s="0" t="s">
        <v>463</v>
      </c>
      <c r="B90" s="0" t="s">
        <v>189</v>
      </c>
      <c r="D90" s="19" t="n">
        <f aca="false">D89*fx</f>
        <v>144.438002750678</v>
      </c>
      <c r="E90" s="19" t="n">
        <f aca="false">E89*fx</f>
        <v>326.435213454075</v>
      </c>
      <c r="F90" s="19" t="n">
        <f aca="false">F89*fx</f>
        <v>505.041792918404</v>
      </c>
      <c r="G90" s="19" t="n">
        <f aca="false">G89*fx</f>
        <v>609.164945235016</v>
      </c>
    </row>
    <row r="91" customFormat="false" ht="17.15" hidden="false" customHeight="false" outlineLevel="0" collapsed="false">
      <c r="A91" s="4" t="s">
        <v>464</v>
      </c>
      <c r="B91" s="0" t="s">
        <v>49</v>
      </c>
      <c r="D91" s="14" t="n">
        <f aca="false">a26_lc/D90</f>
        <v>0.498927641116676</v>
      </c>
      <c r="H91" s="8" t="s">
        <v>465</v>
      </c>
    </row>
    <row r="92" customFormat="false" ht="17.15" hidden="false" customHeight="false" outlineLevel="0" collapsed="false">
      <c r="A92" s="4" t="s">
        <v>466</v>
      </c>
      <c r="B92" s="0" t="s">
        <v>70</v>
      </c>
      <c r="D92" s="15" t="n">
        <f aca="false">1</f>
        <v>1</v>
      </c>
      <c r="E92" s="15" t="n">
        <f aca="false">RHI_27</f>
        <v>1.05</v>
      </c>
      <c r="F92" s="15" t="n">
        <f aca="false">RHI_28</f>
        <v>1.05</v>
      </c>
      <c r="G92" s="15" t="n">
        <f aca="false">RHI_29</f>
        <v>1.05</v>
      </c>
    </row>
    <row r="93" customFormat="false" ht="15" hidden="false" customHeight="false" outlineLevel="0" collapsed="false">
      <c r="A93" s="4" t="s">
        <v>426</v>
      </c>
      <c r="B93" s="0" t="s">
        <v>49</v>
      </c>
      <c r="D93" s="14" t="n">
        <f aca="false">$D$91*D92</f>
        <v>0.498927641116676</v>
      </c>
      <c r="E93" s="14" t="n">
        <f aca="false">$D$91*E92</f>
        <v>0.52387402317251</v>
      </c>
      <c r="F93" s="14" t="n">
        <f aca="false">$D$91*F92</f>
        <v>0.52387402317251</v>
      </c>
      <c r="G93" s="14" t="n">
        <f aca="false">$D$91*G92</f>
        <v>0.52387402317251</v>
      </c>
    </row>
    <row r="94" customFormat="false" ht="15" hidden="false" customHeight="false" outlineLevel="0" collapsed="false">
      <c r="A94" s="4" t="s">
        <v>467</v>
      </c>
      <c r="B94" s="0" t="s">
        <v>189</v>
      </c>
      <c r="C94" s="19" t="n">
        <f aca="false">a25_lc</f>
        <v>20.94585</v>
      </c>
      <c r="D94" s="19" t="n">
        <f aca="false">D90*D93</f>
        <v>72.064112</v>
      </c>
      <c r="E94" s="19" t="n">
        <f aca="false">E90*E93</f>
        <v>171.010928577363</v>
      </c>
      <c r="F94" s="19" t="n">
        <f aca="false">F90*F93</f>
        <v>264.578275926422</v>
      </c>
      <c r="G94" s="19" t="n">
        <f aca="false">G90*G93</f>
        <v>319.12569063593</v>
      </c>
    </row>
    <row r="95" customFormat="false" ht="17.15" hidden="false" customHeight="false" outlineLevel="0" collapsed="false">
      <c r="A95" s="6" t="s">
        <v>468</v>
      </c>
    </row>
    <row r="96" customFormat="false" ht="17.15" hidden="false" customHeight="false" outlineLevel="0" collapsed="false">
      <c r="A96" s="0" t="s">
        <v>469</v>
      </c>
      <c r="B96" s="0" t="s">
        <v>470</v>
      </c>
      <c r="D96" s="22" t="n">
        <f aca="false">a26_air/D86</f>
        <v>2.02106868156909</v>
      </c>
    </row>
    <row r="97" customFormat="false" ht="17.15" hidden="false" customHeight="false" outlineLevel="0" collapsed="false">
      <c r="A97" s="0" t="s">
        <v>471</v>
      </c>
      <c r="B97" s="0" t="s">
        <v>70</v>
      </c>
      <c r="D97" s="15" t="n">
        <f aca="false">1</f>
        <v>1</v>
      </c>
      <c r="E97" s="15" t="n">
        <f aca="false">acr_27</f>
        <v>0.75</v>
      </c>
      <c r="F97" s="15" t="n">
        <f aca="false">acr_28</f>
        <v>0.65</v>
      </c>
      <c r="G97" s="15" t="n">
        <f aca="false">acr_29</f>
        <v>0.6</v>
      </c>
    </row>
    <row r="98" customFormat="false" ht="17.15" hidden="false" customHeight="false" outlineLevel="0" collapsed="false">
      <c r="A98" s="0" t="s">
        <v>472</v>
      </c>
      <c r="B98" s="0" t="s">
        <v>189</v>
      </c>
      <c r="C98" s="19" t="n">
        <f aca="false">a25_air</f>
        <v>30.999858</v>
      </c>
      <c r="D98" s="19" t="n">
        <f aca="false">D86*$D$96*D97</f>
        <v>47.2920735</v>
      </c>
      <c r="E98" s="19" t="n">
        <f aca="false">E86*$D$96*E97</f>
        <v>63.1282305747745</v>
      </c>
      <c r="F98" s="19" t="n">
        <f aca="false">F86*$D$96*F97</f>
        <v>69.3527491354094</v>
      </c>
      <c r="G98" s="19" t="n">
        <f aca="false">G86*$D$96*G97</f>
        <v>72.926534586915</v>
      </c>
    </row>
    <row r="99" customFormat="false" ht="15" hidden="false" customHeight="false" outlineLevel="0" collapsed="false">
      <c r="A99" s="4" t="s">
        <v>473</v>
      </c>
      <c r="B99" s="0" t="s">
        <v>189</v>
      </c>
      <c r="C99" s="19" t="n">
        <f aca="false">a25_gen</f>
        <v>20.666572</v>
      </c>
      <c r="D99" s="19" t="n">
        <f aca="false">a26_gen</f>
        <v>31.528049</v>
      </c>
      <c r="E99" s="19" t="n">
        <f aca="false">D99*(1+g_gen_27)</f>
        <v>34.05029292</v>
      </c>
      <c r="F99" s="19" t="n">
        <f aca="false">E99*(1+g_gen_28)</f>
        <v>36.0933104952</v>
      </c>
      <c r="G99" s="19" t="n">
        <f aca="false">F99*(1+g_gen_29)</f>
        <v>37.89797601996</v>
      </c>
    </row>
    <row r="100" customFormat="false" ht="17.15" hidden="false" customHeight="false" outlineLevel="0" collapsed="false">
      <c r="A100" s="4" t="s">
        <v>474</v>
      </c>
      <c r="B100" s="0" t="s">
        <v>189</v>
      </c>
      <c r="C100" s="19" t="n">
        <f aca="false">a25_nai</f>
        <v>67.02672</v>
      </c>
      <c r="D100" s="19" t="n">
        <f aca="false">a26_nai</f>
        <v>74.3161155</v>
      </c>
      <c r="E100" s="19" t="n">
        <f aca="false">D100*(1+g_nai_27)</f>
        <v>78.77508243</v>
      </c>
      <c r="F100" s="19" t="n">
        <f aca="false">E100*(1+g_nai_28)</f>
        <v>82.7138365515</v>
      </c>
      <c r="G100" s="19" t="n">
        <f aca="false">F100*(1+g_nai_29)</f>
        <v>86.02239001356</v>
      </c>
    </row>
    <row r="101" customFormat="false" ht="15" hidden="false" customHeight="false" outlineLevel="0" collapsed="false">
      <c r="A101" s="4" t="s">
        <v>353</v>
      </c>
      <c r="B101" s="0" t="s">
        <v>189</v>
      </c>
      <c r="C101" s="19" t="n">
        <f aca="false">C94+C98+C99+C100</f>
        <v>139.639</v>
      </c>
      <c r="D101" s="19" t="n">
        <f aca="false">D94+D98+D99+D100</f>
        <v>225.20035</v>
      </c>
      <c r="E101" s="19" t="n">
        <f aca="false">E94+E98+E99+E100</f>
        <v>346.964534502138</v>
      </c>
      <c r="F101" s="19" t="n">
        <f aca="false">F94+F98+F99+F100</f>
        <v>452.738172108531</v>
      </c>
      <c r="G101" s="19" t="n">
        <f aca="false">G94+G98+G99+G100</f>
        <v>515.972591256365</v>
      </c>
    </row>
    <row r="102" customFormat="false" ht="15" hidden="false" customHeight="false" outlineLevel="0" collapsed="false">
      <c r="A102" s="4" t="s">
        <v>475</v>
      </c>
      <c r="B102" s="0" t="s">
        <v>49</v>
      </c>
      <c r="D102" s="14" t="n">
        <f aca="false">D101/C101-1</f>
        <v>0.612732474451979</v>
      </c>
      <c r="E102" s="14" t="n">
        <f aca="false">E101/D101-1</f>
        <v>0.540692696535054</v>
      </c>
      <c r="F102" s="14" t="n">
        <f aca="false">F101/E101-1</f>
        <v>0.304854321085493</v>
      </c>
      <c r="G102" s="14" t="n">
        <f aca="false">G101/F101-1</f>
        <v>0.139671057232335</v>
      </c>
    </row>
    <row r="103" customFormat="false" ht="17.15" hidden="false" customHeight="false" outlineLevel="0" collapsed="false">
      <c r="A103" s="4" t="s">
        <v>476</v>
      </c>
      <c r="B103" s="0" t="s">
        <v>49</v>
      </c>
      <c r="C103" s="14" t="n">
        <f aca="false">C94/C101</f>
        <v>0.15</v>
      </c>
      <c r="D103" s="14" t="n">
        <f aca="false">D94/D101</f>
        <v>0.32</v>
      </c>
      <c r="E103" s="14" t="n">
        <f aca="false">E94/E101</f>
        <v>0.492877258543869</v>
      </c>
      <c r="F103" s="14" t="n">
        <f aca="false">F94/F101</f>
        <v>0.584395777131416</v>
      </c>
      <c r="G103" s="14" t="n">
        <f aca="false">G94/G101</f>
        <v>0.618493493731666</v>
      </c>
    </row>
    <row r="104" customFormat="false" ht="17.15" hidden="false" customHeight="false" outlineLevel="0" collapsed="false">
      <c r="A104" s="0" t="s">
        <v>477</v>
      </c>
      <c r="B104" s="0" t="s">
        <v>49</v>
      </c>
      <c r="C104" s="14" t="n">
        <f aca="false">(C94+C98)/C101</f>
        <v>0.372</v>
      </c>
      <c r="D104" s="14" t="n">
        <f aca="false">(D94+D98)/D101</f>
        <v>0.53</v>
      </c>
      <c r="E104" s="14" t="n">
        <f aca="false">(E94+E98)/E101</f>
        <v>0.674821590881345</v>
      </c>
      <c r="F104" s="14" t="n">
        <f aca="false">(F94+F98)/F101</f>
        <v>0.737580892520326</v>
      </c>
      <c r="G104" s="14" t="n">
        <f aca="false">(G94+G98)/G101</f>
        <v>0.759831494669551</v>
      </c>
    </row>
    <row r="105" customFormat="false" ht="17.15" hidden="false" customHeight="false" outlineLevel="0" collapsed="false">
      <c r="A105" s="4" t="s">
        <v>431</v>
      </c>
      <c r="B105" s="0" t="s">
        <v>419</v>
      </c>
      <c r="D105" s="18" t="n">
        <f aca="false">(D94+D98)/fx/D86*1000</f>
        <v>159.399762088039</v>
      </c>
      <c r="E105" s="18" t="n">
        <f aca="false">(E94+E98)/fx/E86*1000</f>
        <v>175.688281631829</v>
      </c>
      <c r="F105" s="18" t="n">
        <f aca="false">(F94+F98)/fx/F86*1000</f>
        <v>197.668533435386</v>
      </c>
      <c r="G105" s="18" t="n">
        <f aca="false">(G94+G98)/fx/G86*1000</f>
        <v>203.723294552259</v>
      </c>
    </row>
    <row r="106" customFormat="false" ht="17.15" hidden="false" customHeight="false" outlineLevel="0" collapsed="false">
      <c r="A106" s="6" t="s">
        <v>478</v>
      </c>
    </row>
    <row r="107" customFormat="false" ht="17.15" hidden="false" customHeight="false" outlineLevel="0" collapsed="false">
      <c r="A107" s="4" t="s">
        <v>479</v>
      </c>
      <c r="B107" s="0" t="s">
        <v>49</v>
      </c>
      <c r="D107" s="14" t="n">
        <f aca="false">a26_gp/D101-d_lc*D103</f>
        <v>0.302821503074929</v>
      </c>
      <c r="H107" s="8" t="s">
        <v>480</v>
      </c>
    </row>
    <row r="108" customFormat="false" ht="15" hidden="false" customHeight="false" outlineLevel="0" collapsed="false">
      <c r="A108" s="4" t="s">
        <v>357</v>
      </c>
      <c r="B108" s="0" t="s">
        <v>189</v>
      </c>
      <c r="C108" s="19" t="n">
        <f aca="false">a25_gp</f>
        <v>36.034</v>
      </c>
      <c r="D108" s="19" t="n">
        <f aca="false">a26_gp</f>
        <v>72.5193552</v>
      </c>
      <c r="E108" s="19" t="n">
        <f aca="false">$D$107*E101+d_lc*E94</f>
        <v>115.328977566272</v>
      </c>
      <c r="F108" s="19" t="n">
        <f aca="false">$D$107*F101+d_lc*F94</f>
        <v>152.973550332887</v>
      </c>
      <c r="G108" s="19" t="n">
        <f aca="false">$D$107*G101+d_lc*G94</f>
        <v>175.395137067874</v>
      </c>
    </row>
    <row r="109" customFormat="false" ht="15" hidden="false" customHeight="false" outlineLevel="0" collapsed="false">
      <c r="A109" s="4" t="s">
        <v>360</v>
      </c>
      <c r="B109" s="0" t="s">
        <v>49</v>
      </c>
      <c r="C109" s="14" t="n">
        <f aca="false">C108/C101</f>
        <v>0.258051117524474</v>
      </c>
      <c r="D109" s="14" t="n">
        <f aca="false">D108/D101</f>
        <v>0.322021503074929</v>
      </c>
      <c r="E109" s="14" t="n">
        <f aca="false">E108/E101</f>
        <v>0.332394138587561</v>
      </c>
      <c r="F109" s="14" t="n">
        <f aca="false">F108/F101</f>
        <v>0.337885249702814</v>
      </c>
      <c r="G109" s="14" t="n">
        <f aca="false">G108/G101</f>
        <v>0.339931112698829</v>
      </c>
    </row>
    <row r="110" customFormat="false" ht="15" hidden="false" customHeight="false" outlineLevel="0" collapsed="false">
      <c r="A110" s="4" t="s">
        <v>481</v>
      </c>
      <c r="B110" s="0" t="s">
        <v>189</v>
      </c>
      <c r="C110" s="19" t="n">
        <f aca="false">a25_opx</f>
        <v>8.4832253</v>
      </c>
      <c r="D110" s="19" t="n">
        <f aca="false">a26_opx</f>
        <v>11.7048599</v>
      </c>
      <c r="E110" s="19" t="n">
        <f aca="false">D110*(1+MAX(0,phi*E102))</f>
        <v>16.1349724833272</v>
      </c>
      <c r="F110" s="19" t="n">
        <f aca="false">E110*(1+MAX(0,phi*F102))</f>
        <v>19.5781437408237</v>
      </c>
      <c r="G110" s="19" t="n">
        <f aca="false">F110*(1+MAX(0,phi*G102))</f>
        <v>21.4922937652729</v>
      </c>
    </row>
    <row r="111" customFormat="false" ht="15" hidden="false" customHeight="false" outlineLevel="0" collapsed="false">
      <c r="A111" s="4" t="s">
        <v>362</v>
      </c>
      <c r="B111" s="0" t="s">
        <v>189</v>
      </c>
      <c r="C111" s="19" t="n">
        <f aca="false">C110</f>
        <v>8.4832253</v>
      </c>
      <c r="D111" s="19" t="n">
        <f aca="false">D110</f>
        <v>11.7048599</v>
      </c>
      <c r="E111" s="19" t="n">
        <f aca="false">E110+0*E101</f>
        <v>16.1349724833272</v>
      </c>
      <c r="F111" s="19" t="n">
        <f aca="false">F110+0*F101</f>
        <v>19.5781437408237</v>
      </c>
      <c r="G111" s="19" t="n">
        <f aca="false">G110+0*G101</f>
        <v>21.4922937652729</v>
      </c>
    </row>
    <row r="112" customFormat="false" ht="15" hidden="false" customHeight="false" outlineLevel="0" collapsed="false">
      <c r="A112" s="4" t="s">
        <v>364</v>
      </c>
      <c r="B112" s="0" t="s">
        <v>189</v>
      </c>
      <c r="C112" s="19" t="n">
        <f aca="false">C108-C111</f>
        <v>27.5507747</v>
      </c>
      <c r="D112" s="19" t="n">
        <f aca="false">D108-D111</f>
        <v>60.8144953</v>
      </c>
      <c r="E112" s="19" t="n">
        <f aca="false">E108-E111</f>
        <v>99.1940050829449</v>
      </c>
      <c r="F112" s="19" t="n">
        <f aca="false">F108-F111</f>
        <v>133.395406592063</v>
      </c>
      <c r="G112" s="19" t="n">
        <f aca="false">G108-G111</f>
        <v>153.902843302601</v>
      </c>
    </row>
    <row r="113" customFormat="false" ht="15" hidden="false" customHeight="false" outlineLevel="0" collapsed="false">
      <c r="A113" s="4" t="s">
        <v>367</v>
      </c>
      <c r="B113" s="0" t="s">
        <v>49</v>
      </c>
      <c r="C113" s="14" t="n">
        <f aca="false">C112/C101</f>
        <v>0.1973</v>
      </c>
      <c r="D113" s="14" t="n">
        <f aca="false">D112/D101</f>
        <v>0.27004618465291</v>
      </c>
      <c r="E113" s="14" t="n">
        <f aca="false">E112/E101</f>
        <v>0.285890905896994</v>
      </c>
      <c r="F113" s="14" t="n">
        <f aca="false">F112/F101</f>
        <v>0.294641394982893</v>
      </c>
      <c r="G113" s="14" t="n">
        <f aca="false">G112/G101</f>
        <v>0.298277168033008</v>
      </c>
    </row>
    <row r="114" customFormat="false" ht="15" hidden="false" customHeight="false" outlineLevel="0" collapsed="false">
      <c r="A114" s="4" t="s">
        <v>369</v>
      </c>
      <c r="B114" s="0" t="s">
        <v>189</v>
      </c>
      <c r="C114" s="19" t="n">
        <f aca="false">a25_nop</f>
        <v>1.23179436863779</v>
      </c>
      <c r="D114" s="19" t="n">
        <f aca="false">a26_nop</f>
        <v>0.8186111</v>
      </c>
      <c r="E114" s="19" t="n">
        <f aca="false">nop_f</f>
        <v>1</v>
      </c>
      <c r="F114" s="19" t="n">
        <f aca="false">nop_f</f>
        <v>1</v>
      </c>
      <c r="G114" s="19" t="n">
        <f aca="false">nop_f</f>
        <v>1</v>
      </c>
    </row>
    <row r="115" customFormat="false" ht="17.15" hidden="false" customHeight="false" outlineLevel="0" collapsed="false">
      <c r="A115" s="4" t="s">
        <v>232</v>
      </c>
      <c r="B115" s="0" t="s">
        <v>49</v>
      </c>
      <c r="C115" s="14" t="n">
        <f aca="false">a25_ni/(a25_oi+a25_nop)</f>
        <v>0.666583999303438</v>
      </c>
      <c r="D115" s="14" t="n">
        <f aca="false">a26_ni/(a26_oi+a26_nop)</f>
        <v>0.674837141220258</v>
      </c>
      <c r="E115" s="14" t="n">
        <f aca="false">nir_f</f>
        <v>0.675</v>
      </c>
      <c r="F115" s="14" t="n">
        <f aca="false">nir_f</f>
        <v>0.675</v>
      </c>
      <c r="G115" s="14" t="n">
        <f aca="false">nir_f</f>
        <v>0.675</v>
      </c>
    </row>
    <row r="116" customFormat="false" ht="15" hidden="false" customHeight="false" outlineLevel="0" collapsed="false">
      <c r="A116" s="4" t="s">
        <v>373</v>
      </c>
      <c r="B116" s="0" t="s">
        <v>189</v>
      </c>
      <c r="C116" s="19" t="n">
        <f aca="false">a25_ni</f>
        <v>19.186</v>
      </c>
      <c r="D116" s="19" t="n">
        <f aca="false">a26_ni</f>
        <v>41.5923093275</v>
      </c>
      <c r="E116" s="19" t="n">
        <f aca="false">(E112+E114)*E115</f>
        <v>67.6309534309878</v>
      </c>
      <c r="F116" s="19" t="n">
        <f aca="false">(F112+F114)*F115</f>
        <v>90.7168994496424</v>
      </c>
      <c r="G116" s="19" t="n">
        <f aca="false">(G112+G114)*G115</f>
        <v>104.559419229256</v>
      </c>
    </row>
    <row r="117" customFormat="false" ht="15" hidden="false" customHeight="false" outlineLevel="0" collapsed="false">
      <c r="A117" s="4" t="s">
        <v>482</v>
      </c>
      <c r="B117" s="4" t="s">
        <v>215</v>
      </c>
      <c r="C117" s="22" t="n">
        <f aca="false">a25_sh</f>
        <v>0.390197274761033</v>
      </c>
      <c r="D117" s="22" t="n">
        <f aca="false">a26_sh</f>
        <v>0.392523574315222</v>
      </c>
      <c r="E117" s="22" t="n">
        <f aca="false">D117*(1+sh_g)</f>
        <v>0.392523574315222</v>
      </c>
      <c r="F117" s="22" t="n">
        <f aca="false">E117*(1+sh_g)</f>
        <v>0.392523574315222</v>
      </c>
      <c r="G117" s="22" t="n">
        <f aca="false">F117*(1+sh_g)</f>
        <v>0.392523574315222</v>
      </c>
    </row>
    <row r="118" customFormat="false" ht="15" hidden="false" customHeight="false" outlineLevel="0" collapsed="false">
      <c r="A118" s="0" t="s">
        <v>378</v>
      </c>
      <c r="B118" s="0" t="s">
        <v>252</v>
      </c>
      <c r="C118" s="20" t="n">
        <f aca="false">C116/C117</f>
        <v>49.17</v>
      </c>
      <c r="D118" s="20" t="n">
        <f aca="false">D116/D117</f>
        <v>105.961302834002</v>
      </c>
      <c r="E118" s="20" t="n">
        <f aca="false">E116/E117</f>
        <v>172.297813065046</v>
      </c>
      <c r="F118" s="20" t="n">
        <f aca="false">F116/F117</f>
        <v>231.111977434483</v>
      </c>
      <c r="G118" s="20" t="n">
        <f aca="false">G116/G117</f>
        <v>266.377425640396</v>
      </c>
    </row>
    <row r="119" customFormat="false" ht="17.15" hidden="false" customHeight="false" outlineLevel="0" collapsed="false">
      <c r="A119" s="0" t="s">
        <v>483</v>
      </c>
      <c r="B119" s="0" t="s">
        <v>49</v>
      </c>
      <c r="D119" s="14" t="n">
        <f aca="false">D118/C118-1</f>
        <v>1.15499904075659</v>
      </c>
      <c r="E119" s="14" t="n">
        <f aca="false">E118/D118-1</f>
        <v>0.626044682887363</v>
      </c>
      <c r="F119" s="14" t="n">
        <f aca="false">F118/E118-1</f>
        <v>0.341351775296381</v>
      </c>
      <c r="G119" s="14" t="n">
        <f aca="false">G118/F118-1</f>
        <v>0.152590309673198</v>
      </c>
    </row>
    <row r="122" customFormat="false" ht="17.15" hidden="false" customHeight="false" outlineLevel="0" collapsed="false">
      <c r="A122" s="1" t="s">
        <v>791</v>
      </c>
    </row>
    <row r="123" customFormat="false" ht="17.15" hidden="false" customHeight="false" outlineLevel="0" collapsed="false">
      <c r="A123" s="5" t="s">
        <v>18</v>
      </c>
      <c r="B123" s="5" t="s">
        <v>19</v>
      </c>
      <c r="C123" s="11" t="s">
        <v>347</v>
      </c>
      <c r="D123" s="11" t="s">
        <v>436</v>
      </c>
      <c r="E123" s="11" t="s">
        <v>437</v>
      </c>
      <c r="F123" s="11" t="s">
        <v>438</v>
      </c>
      <c r="G123" s="11" t="s">
        <v>439</v>
      </c>
      <c r="H123" s="5" t="s">
        <v>412</v>
      </c>
    </row>
    <row r="124" customFormat="false" ht="17.15" hidden="false" customHeight="false" outlineLevel="0" collapsed="false">
      <c r="A124" s="6" t="s">
        <v>455</v>
      </c>
    </row>
    <row r="125" customFormat="false" ht="17.15" hidden="false" customHeight="false" outlineLevel="0" collapsed="false">
      <c r="A125" s="0" t="s">
        <v>456</v>
      </c>
      <c r="B125" s="0" t="s">
        <v>29</v>
      </c>
      <c r="D125" s="20" t="n">
        <f aca="false">itc_26*1</f>
        <v>781.872916666667</v>
      </c>
      <c r="E125" s="20" t="n">
        <f aca="false">itc_27*1*1</f>
        <v>1565.35</v>
      </c>
      <c r="F125" s="20" t="n">
        <f aca="false">itc_28*um28_A*1</f>
        <v>1984.26388888889</v>
      </c>
      <c r="G125" s="20" t="n">
        <f aca="false">itc_29*um29_A*1</f>
        <v>2260.39027777778</v>
      </c>
    </row>
    <row r="126" customFormat="false" ht="17.15" hidden="false" customHeight="false" outlineLevel="0" collapsed="false">
      <c r="A126" s="4" t="s">
        <v>457</v>
      </c>
      <c r="B126" s="0" t="s">
        <v>29</v>
      </c>
      <c r="D126" s="20" t="n">
        <f aca="false">itpg_gb*(1-vr26)+itpg_vr*vr26</f>
        <v>33.41403216</v>
      </c>
      <c r="E126" s="20" t="n">
        <f aca="false">itpg_vr</f>
        <v>37.586352</v>
      </c>
      <c r="F126" s="20" t="n">
        <f aca="false">itpg_vr</f>
        <v>37.586352</v>
      </c>
      <c r="G126" s="20" t="n">
        <f aca="false">itpg_vr</f>
        <v>37.586352</v>
      </c>
    </row>
    <row r="127" customFormat="false" ht="17.15" hidden="false" customHeight="false" outlineLevel="0" collapsed="false">
      <c r="A127" s="4" t="s">
        <v>458</v>
      </c>
      <c r="B127" s="0" t="s">
        <v>414</v>
      </c>
      <c r="D127" s="17" t="n">
        <f aca="false">D125/D126</f>
        <v>23.3995380420639</v>
      </c>
      <c r="E127" s="17" t="n">
        <f aca="false">E125/E126</f>
        <v>41.6467658260637</v>
      </c>
      <c r="F127" s="17" t="n">
        <f aca="false">F125/F126</f>
        <v>52.792138191248</v>
      </c>
      <c r="G127" s="17" t="n">
        <f aca="false">G125/G126</f>
        <v>60.1385917361116</v>
      </c>
    </row>
    <row r="128" customFormat="false" ht="17.15" hidden="false" customHeight="false" outlineLevel="0" collapsed="false">
      <c r="A128" s="4" t="s">
        <v>459</v>
      </c>
      <c r="B128" s="0" t="s">
        <v>49</v>
      </c>
      <c r="D128" s="14" t="n">
        <f aca="false">lpen_26</f>
        <v>0.55</v>
      </c>
      <c r="E128" s="14" t="n">
        <f aca="false">lpen_27</f>
        <v>0.75</v>
      </c>
      <c r="F128" s="14" t="n">
        <f aca="false">lpen_28</f>
        <v>0.85</v>
      </c>
      <c r="G128" s="14" t="n">
        <f aca="false">lpen_29</f>
        <v>0.9</v>
      </c>
    </row>
    <row r="129" customFormat="false" ht="17.15" hidden="false" customHeight="false" outlineLevel="0" collapsed="false">
      <c r="A129" s="4" t="s">
        <v>460</v>
      </c>
      <c r="B129" s="0" t="s">
        <v>419</v>
      </c>
      <c r="D129" s="18" t="n">
        <f aca="false">((1-vr26)*racks_gb*(cool_gb+mani)+vr26*racks_vr*(cool_vr+mani))/1000</f>
        <v>350.7208</v>
      </c>
      <c r="E129" s="18" t="n">
        <f aca="false">racks_vr*(cool_vr+mani)*CALO_27/1000</f>
        <v>251.224</v>
      </c>
      <c r="F129" s="18" t="n">
        <f aca="false">racks_vr*(cool_vr+mani)*CALO_28/1000</f>
        <v>251.224</v>
      </c>
      <c r="G129" s="18" t="n">
        <f aca="false">racks_vr*(cool_vr+mani)*CALO_29/1000</f>
        <v>251.224</v>
      </c>
      <c r="H129" s="4" t="s">
        <v>461</v>
      </c>
    </row>
    <row r="130" customFormat="false" ht="17.15" hidden="false" customHeight="false" outlineLevel="0" collapsed="false">
      <c r="A130" s="0" t="s">
        <v>462</v>
      </c>
      <c r="B130" s="0" t="s">
        <v>29</v>
      </c>
      <c r="D130" s="20" t="n">
        <f aca="false">D127*D128*D129/1000</f>
        <v>4.5136875859587</v>
      </c>
      <c r="E130" s="20" t="n">
        <f aca="false">E127*E128*E129/1000</f>
        <v>7.84700032341527</v>
      </c>
      <c r="F130" s="20" t="n">
        <f aca="false">F127*F128*F129/1000</f>
        <v>11.2732543062144</v>
      </c>
      <c r="G130" s="20" t="n">
        <f aca="false">G127*G128*G129/1000</f>
        <v>13.5974318132816</v>
      </c>
    </row>
    <row r="131" customFormat="false" ht="17.15" hidden="false" customHeight="false" outlineLevel="0" collapsed="false">
      <c r="A131" s="0" t="s">
        <v>463</v>
      </c>
      <c r="B131" s="0" t="s">
        <v>189</v>
      </c>
      <c r="D131" s="19" t="n">
        <f aca="false">D130*fx</f>
        <v>144.438002750678</v>
      </c>
      <c r="E131" s="19" t="n">
        <f aca="false">E130*fx</f>
        <v>251.104010349288</v>
      </c>
      <c r="F131" s="19" t="n">
        <f aca="false">F130*fx</f>
        <v>360.74413779886</v>
      </c>
      <c r="G131" s="19" t="n">
        <f aca="false">G130*fx</f>
        <v>435.117818025011</v>
      </c>
    </row>
    <row r="132" customFormat="false" ht="17.15" hidden="false" customHeight="false" outlineLevel="0" collapsed="false">
      <c r="A132" s="4" t="s">
        <v>464</v>
      </c>
      <c r="B132" s="0" t="s">
        <v>49</v>
      </c>
      <c r="D132" s="14" t="n">
        <f aca="false">a26_lc/D131</f>
        <v>0.498927641116676</v>
      </c>
      <c r="H132" s="8" t="s">
        <v>465</v>
      </c>
    </row>
    <row r="133" customFormat="false" ht="17.15" hidden="false" customHeight="false" outlineLevel="0" collapsed="false">
      <c r="A133" s="4" t="s">
        <v>466</v>
      </c>
      <c r="B133" s="0" t="s">
        <v>70</v>
      </c>
      <c r="D133" s="15" t="n">
        <f aca="false">1</f>
        <v>1</v>
      </c>
      <c r="E133" s="15" t="n">
        <f aca="false">rel_27</f>
        <v>0.95</v>
      </c>
      <c r="F133" s="15" t="n">
        <f aca="false">rel_28</f>
        <v>0.9</v>
      </c>
      <c r="G133" s="15" t="n">
        <f aca="false">rel_29</f>
        <v>0.85</v>
      </c>
    </row>
    <row r="134" customFormat="false" ht="15" hidden="false" customHeight="false" outlineLevel="0" collapsed="false">
      <c r="A134" s="4" t="s">
        <v>426</v>
      </c>
      <c r="B134" s="0" t="s">
        <v>49</v>
      </c>
      <c r="D134" s="14" t="n">
        <f aca="false">$D$132*D133</f>
        <v>0.498927641116676</v>
      </c>
      <c r="E134" s="14" t="n">
        <f aca="false">$D$132*E133</f>
        <v>0.473981259060843</v>
      </c>
      <c r="F134" s="14" t="n">
        <f aca="false">$D$132*F133</f>
        <v>0.449034877005009</v>
      </c>
      <c r="G134" s="14" t="n">
        <f aca="false">$D$132*G133</f>
        <v>0.424088494949175</v>
      </c>
    </row>
    <row r="135" customFormat="false" ht="15" hidden="false" customHeight="false" outlineLevel="0" collapsed="false">
      <c r="A135" s="4" t="s">
        <v>467</v>
      </c>
      <c r="B135" s="0" t="s">
        <v>189</v>
      </c>
      <c r="C135" s="19" t="n">
        <f aca="false">a25_lc</f>
        <v>20.94585</v>
      </c>
      <c r="D135" s="19" t="n">
        <f aca="false">D131*D134</f>
        <v>72.064112</v>
      </c>
      <c r="E135" s="19" t="n">
        <f aca="false">E131*E134</f>
        <v>119.018594980583</v>
      </c>
      <c r="F135" s="19" t="n">
        <f aca="false">F131*F134</f>
        <v>161.986699546789</v>
      </c>
      <c r="G135" s="19" t="n">
        <f aca="false">G131*G134</f>
        <v>184.528460571796</v>
      </c>
    </row>
    <row r="136" customFormat="false" ht="17.15" hidden="false" customHeight="false" outlineLevel="0" collapsed="false">
      <c r="A136" s="6" t="s">
        <v>468</v>
      </c>
    </row>
    <row r="137" customFormat="false" ht="17.15" hidden="false" customHeight="false" outlineLevel="0" collapsed="false">
      <c r="A137" s="0" t="s">
        <v>469</v>
      </c>
      <c r="B137" s="0" t="s">
        <v>470</v>
      </c>
      <c r="D137" s="22" t="n">
        <f aca="false">a26_air/D127</f>
        <v>2.02106868156909</v>
      </c>
    </row>
    <row r="138" customFormat="false" ht="17.15" hidden="false" customHeight="false" outlineLevel="0" collapsed="false">
      <c r="A138" s="0" t="s">
        <v>471</v>
      </c>
      <c r="B138" s="0" t="s">
        <v>70</v>
      </c>
      <c r="D138" s="15" t="n">
        <f aca="false">1</f>
        <v>1</v>
      </c>
      <c r="E138" s="15" t="n">
        <f aca="false">acr_27</f>
        <v>0.75</v>
      </c>
      <c r="F138" s="15" t="n">
        <f aca="false">acr_28</f>
        <v>0.65</v>
      </c>
      <c r="G138" s="15" t="n">
        <f aca="false">acr_29</f>
        <v>0.6</v>
      </c>
    </row>
    <row r="139" customFormat="false" ht="17.15" hidden="false" customHeight="false" outlineLevel="0" collapsed="false">
      <c r="A139" s="0" t="s">
        <v>472</v>
      </c>
      <c r="B139" s="0" t="s">
        <v>189</v>
      </c>
      <c r="C139" s="19" t="n">
        <f aca="false">a25_air</f>
        <v>30.999858</v>
      </c>
      <c r="D139" s="19" t="n">
        <f aca="false">D127*$D$137*D138</f>
        <v>47.2920735</v>
      </c>
      <c r="E139" s="19" t="n">
        <f aca="false">E127*$D$137*E138</f>
        <v>63.1282305747745</v>
      </c>
      <c r="F139" s="19" t="n">
        <f aca="false">F127*$D$137*F138</f>
        <v>69.3527491354094</v>
      </c>
      <c r="G139" s="19" t="n">
        <f aca="false">G127*$D$137*G138</f>
        <v>72.926534586915</v>
      </c>
    </row>
    <row r="140" customFormat="false" ht="15" hidden="false" customHeight="false" outlineLevel="0" collapsed="false">
      <c r="A140" s="4" t="s">
        <v>473</v>
      </c>
      <c r="B140" s="0" t="s">
        <v>189</v>
      </c>
      <c r="C140" s="19" t="n">
        <f aca="false">a25_gen</f>
        <v>20.666572</v>
      </c>
      <c r="D140" s="19" t="n">
        <f aca="false">a26_gen</f>
        <v>31.528049</v>
      </c>
      <c r="E140" s="19" t="n">
        <f aca="false">D140*(1+g_gen_27)</f>
        <v>34.05029292</v>
      </c>
      <c r="F140" s="19" t="n">
        <f aca="false">E140*(1+g_gen_28)</f>
        <v>36.0933104952</v>
      </c>
      <c r="G140" s="19" t="n">
        <f aca="false">F140*(1+g_gen_29)</f>
        <v>37.89797601996</v>
      </c>
    </row>
    <row r="141" customFormat="false" ht="17.15" hidden="false" customHeight="false" outlineLevel="0" collapsed="false">
      <c r="A141" s="4" t="s">
        <v>474</v>
      </c>
      <c r="B141" s="0" t="s">
        <v>189</v>
      </c>
      <c r="C141" s="19" t="n">
        <f aca="false">a25_nai</f>
        <v>67.02672</v>
      </c>
      <c r="D141" s="19" t="n">
        <f aca="false">a26_nai</f>
        <v>74.3161155</v>
      </c>
      <c r="E141" s="19" t="n">
        <f aca="false">D141*(1+g_nai_27)</f>
        <v>78.77508243</v>
      </c>
      <c r="F141" s="19" t="n">
        <f aca="false">E141*(1+g_nai_28)</f>
        <v>82.7138365515</v>
      </c>
      <c r="G141" s="19" t="n">
        <f aca="false">F141*(1+g_nai_29)</f>
        <v>86.02239001356</v>
      </c>
    </row>
    <row r="142" customFormat="false" ht="15" hidden="false" customHeight="false" outlineLevel="0" collapsed="false">
      <c r="A142" s="4" t="s">
        <v>353</v>
      </c>
      <c r="B142" s="0" t="s">
        <v>189</v>
      </c>
      <c r="C142" s="19" t="n">
        <f aca="false">C135+C139+C140+C141</f>
        <v>139.639</v>
      </c>
      <c r="D142" s="19" t="n">
        <f aca="false">D135+D139+D140+D141</f>
        <v>225.20035</v>
      </c>
      <c r="E142" s="19" t="n">
        <f aca="false">E135+E139+E140+E141</f>
        <v>294.972200905357</v>
      </c>
      <c r="F142" s="19" t="n">
        <f aca="false">F135+F139+F140+F141</f>
        <v>350.146595728898</v>
      </c>
      <c r="G142" s="19" t="n">
        <f aca="false">G135+G139+G140+G141</f>
        <v>381.375361192231</v>
      </c>
    </row>
    <row r="143" customFormat="false" ht="15" hidden="false" customHeight="false" outlineLevel="0" collapsed="false">
      <c r="A143" s="4" t="s">
        <v>475</v>
      </c>
      <c r="B143" s="0" t="s">
        <v>49</v>
      </c>
      <c r="D143" s="14" t="n">
        <f aca="false">D142/C142-1</f>
        <v>0.612732474451979</v>
      </c>
      <c r="E143" s="14" t="n">
        <f aca="false">E142/D142-1</f>
        <v>0.309821236536076</v>
      </c>
      <c r="F143" s="14" t="n">
        <f aca="false">F142/E142-1</f>
        <v>0.187049473320519</v>
      </c>
      <c r="G143" s="14" t="n">
        <f aca="false">G142/F142-1</f>
        <v>0.0891876883689926</v>
      </c>
    </row>
    <row r="144" customFormat="false" ht="17.15" hidden="false" customHeight="false" outlineLevel="0" collapsed="false">
      <c r="A144" s="4" t="s">
        <v>476</v>
      </c>
      <c r="B144" s="0" t="s">
        <v>49</v>
      </c>
      <c r="C144" s="14" t="n">
        <f aca="false">C135/C142</f>
        <v>0.15</v>
      </c>
      <c r="D144" s="14" t="n">
        <f aca="false">D135/D142</f>
        <v>0.32</v>
      </c>
      <c r="E144" s="14" t="n">
        <f aca="false">E135/E142</f>
        <v>0.403490886989619</v>
      </c>
      <c r="F144" s="14" t="n">
        <f aca="false">F135/F142</f>
        <v>0.462625373265681</v>
      </c>
      <c r="G144" s="14" t="n">
        <f aca="false">G135/G142</f>
        <v>0.483849979177824</v>
      </c>
    </row>
    <row r="145" customFormat="false" ht="17.15" hidden="false" customHeight="false" outlineLevel="0" collapsed="false">
      <c r="A145" s="0" t="s">
        <v>477</v>
      </c>
      <c r="B145" s="0" t="s">
        <v>49</v>
      </c>
      <c r="C145" s="14" t="n">
        <f aca="false">(C135+C139)/C142</f>
        <v>0.372</v>
      </c>
      <c r="D145" s="14" t="n">
        <f aca="false">(D135+D139)/D142</f>
        <v>0.53</v>
      </c>
      <c r="E145" s="14" t="n">
        <f aca="false">(E135+E139)/E142</f>
        <v>0.617505056396143</v>
      </c>
      <c r="F145" s="14" t="n">
        <f aca="false">(F135+F139)/F142</f>
        <v>0.660693125405433</v>
      </c>
      <c r="G145" s="14" t="n">
        <f aca="false">(G135+G139)/G142</f>
        <v>0.67506981666008</v>
      </c>
    </row>
    <row r="146" customFormat="false" ht="17.15" hidden="false" customHeight="false" outlineLevel="0" collapsed="false">
      <c r="A146" s="4" t="s">
        <v>431</v>
      </c>
      <c r="B146" s="0" t="s">
        <v>419</v>
      </c>
      <c r="D146" s="18" t="n">
        <f aca="false">(D135+D139)/fx/D127*1000</f>
        <v>159.399762088039</v>
      </c>
      <c r="E146" s="18" t="n">
        <f aca="false">(E135+E139)/fx/E127*1000</f>
        <v>136.675398094001</v>
      </c>
      <c r="F146" s="18" t="n">
        <f aca="false">(F135+F139)/fx/F127*1000</f>
        <v>136.940044843973</v>
      </c>
      <c r="G146" s="18" t="n">
        <f aca="false">(G135+G139)/fx/G127*1000</f>
        <v>133.782125029021</v>
      </c>
    </row>
    <row r="147" customFormat="false" ht="17.15" hidden="false" customHeight="false" outlineLevel="0" collapsed="false">
      <c r="A147" s="6" t="s">
        <v>478</v>
      </c>
    </row>
    <row r="148" customFormat="false" ht="17.15" hidden="false" customHeight="false" outlineLevel="0" collapsed="false">
      <c r="A148" s="4" t="s">
        <v>479</v>
      </c>
      <c r="B148" s="0" t="s">
        <v>49</v>
      </c>
      <c r="D148" s="14" t="n">
        <f aca="false">a26_gp/D142-d_lc*D144</f>
        <v>0.302821503074929</v>
      </c>
      <c r="H148" s="8" t="s">
        <v>480</v>
      </c>
    </row>
    <row r="149" customFormat="false" ht="15" hidden="false" customHeight="false" outlineLevel="0" collapsed="false">
      <c r="A149" s="4" t="s">
        <v>357</v>
      </c>
      <c r="B149" s="0" t="s">
        <v>189</v>
      </c>
      <c r="C149" s="19" t="n">
        <f aca="false">a25_gp</f>
        <v>36.034</v>
      </c>
      <c r="D149" s="19" t="n">
        <f aca="false">a26_gp</f>
        <v>72.5193552</v>
      </c>
      <c r="E149" s="19" t="n">
        <f aca="false">$D$148*E142+d_lc*E135</f>
        <v>96.465040942315</v>
      </c>
      <c r="F149" s="19" t="n">
        <f aca="false">$D$148*F142+d_lc*F135</f>
        <v>115.751120388002</v>
      </c>
      <c r="G149" s="19" t="n">
        <f aca="false">$D$148*G142+d_lc*G135</f>
        <v>126.560367746283</v>
      </c>
    </row>
    <row r="150" customFormat="false" ht="15" hidden="false" customHeight="false" outlineLevel="0" collapsed="false">
      <c r="A150" s="4" t="s">
        <v>360</v>
      </c>
      <c r="B150" s="0" t="s">
        <v>49</v>
      </c>
      <c r="C150" s="14" t="n">
        <f aca="false">C149/C142</f>
        <v>0.258051117524474</v>
      </c>
      <c r="D150" s="14" t="n">
        <f aca="false">D149/D142</f>
        <v>0.322021503074929</v>
      </c>
      <c r="E150" s="14" t="n">
        <f aca="false">E149/E142</f>
        <v>0.327030956294306</v>
      </c>
      <c r="F150" s="14" t="n">
        <f aca="false">F149/F142</f>
        <v>0.33057902547087</v>
      </c>
      <c r="G150" s="14" t="n">
        <f aca="false">G149/G142</f>
        <v>0.331852501825598</v>
      </c>
    </row>
    <row r="151" customFormat="false" ht="15" hidden="false" customHeight="false" outlineLevel="0" collapsed="false">
      <c r="A151" s="4" t="s">
        <v>481</v>
      </c>
      <c r="B151" s="0" t="s">
        <v>189</v>
      </c>
      <c r="C151" s="19" t="n">
        <f aca="false">a25_opx</f>
        <v>8.4832253</v>
      </c>
      <c r="D151" s="19" t="n">
        <f aca="false">a26_opx</f>
        <v>11.7048599</v>
      </c>
      <c r="E151" s="19" t="n">
        <f aca="false">D151*(1+MAX(0,phi*E143))</f>
        <v>14.2433498173897</v>
      </c>
      <c r="F151" s="19" t="n">
        <f aca="false">E151*(1+MAX(0,phi*F143))</f>
        <v>16.1082975745535</v>
      </c>
      <c r="G151" s="19" t="n">
        <f aca="false">F151*(1+MAX(0,phi*G143))</f>
        <v>17.1139608515175</v>
      </c>
    </row>
    <row r="152" customFormat="false" ht="15" hidden="false" customHeight="false" outlineLevel="0" collapsed="false">
      <c r="A152" s="4" t="s">
        <v>362</v>
      </c>
      <c r="B152" s="0" t="s">
        <v>189</v>
      </c>
      <c r="C152" s="19" t="n">
        <f aca="false">C151</f>
        <v>8.4832253</v>
      </c>
      <c r="D152" s="19" t="n">
        <f aca="false">D151</f>
        <v>11.7048599</v>
      </c>
      <c r="E152" s="19" t="n">
        <f aca="false">E151+0*E142</f>
        <v>14.2433498173897</v>
      </c>
      <c r="F152" s="19" t="n">
        <f aca="false">F151+0*F142</f>
        <v>16.1082975745535</v>
      </c>
      <c r="G152" s="19" t="n">
        <f aca="false">G151+0*G142</f>
        <v>17.1139608515175</v>
      </c>
    </row>
    <row r="153" customFormat="false" ht="15" hidden="false" customHeight="false" outlineLevel="0" collapsed="false">
      <c r="A153" s="4" t="s">
        <v>364</v>
      </c>
      <c r="B153" s="0" t="s">
        <v>189</v>
      </c>
      <c r="C153" s="19" t="n">
        <f aca="false">C149-C152</f>
        <v>27.5507747</v>
      </c>
      <c r="D153" s="19" t="n">
        <f aca="false">D149-D152</f>
        <v>60.8144953</v>
      </c>
      <c r="E153" s="19" t="n">
        <f aca="false">E149-E152</f>
        <v>82.2216911249254</v>
      </c>
      <c r="F153" s="19" t="n">
        <f aca="false">F149-F152</f>
        <v>99.6428228134482</v>
      </c>
      <c r="G153" s="19" t="n">
        <f aca="false">G149-G152</f>
        <v>109.446406894765</v>
      </c>
    </row>
    <row r="154" customFormat="false" ht="15" hidden="false" customHeight="false" outlineLevel="0" collapsed="false">
      <c r="A154" s="4" t="s">
        <v>367</v>
      </c>
      <c r="B154" s="0" t="s">
        <v>49</v>
      </c>
      <c r="C154" s="14" t="n">
        <f aca="false">C153/C142</f>
        <v>0.1973</v>
      </c>
      <c r="D154" s="14" t="n">
        <f aca="false">D153/D142</f>
        <v>0.27004618465291</v>
      </c>
      <c r="E154" s="14" t="n">
        <f aca="false">E153/E142</f>
        <v>0.278743864244029</v>
      </c>
      <c r="F154" s="14" t="n">
        <f aca="false">F153/F142</f>
        <v>0.284574586841327</v>
      </c>
      <c r="G154" s="14" t="n">
        <f aca="false">G153/G142</f>
        <v>0.28697817958827</v>
      </c>
    </row>
    <row r="155" customFormat="false" ht="15" hidden="false" customHeight="false" outlineLevel="0" collapsed="false">
      <c r="A155" s="4" t="s">
        <v>369</v>
      </c>
      <c r="B155" s="0" t="s">
        <v>189</v>
      </c>
      <c r="C155" s="19" t="n">
        <f aca="false">a25_nop</f>
        <v>1.23179436863779</v>
      </c>
      <c r="D155" s="19" t="n">
        <f aca="false">a26_nop</f>
        <v>0.8186111</v>
      </c>
      <c r="E155" s="19" t="n">
        <f aca="false">nop_f</f>
        <v>1</v>
      </c>
      <c r="F155" s="19" t="n">
        <f aca="false">nop_f</f>
        <v>1</v>
      </c>
      <c r="G155" s="19" t="n">
        <f aca="false">nop_f</f>
        <v>1</v>
      </c>
    </row>
    <row r="156" customFormat="false" ht="17.15" hidden="false" customHeight="false" outlineLevel="0" collapsed="false">
      <c r="A156" s="4" t="s">
        <v>232</v>
      </c>
      <c r="B156" s="0" t="s">
        <v>49</v>
      </c>
      <c r="C156" s="14" t="n">
        <f aca="false">a25_ni/(a25_oi+a25_nop)</f>
        <v>0.666583999303438</v>
      </c>
      <c r="D156" s="14" t="n">
        <f aca="false">a26_ni/(a26_oi+a26_nop)</f>
        <v>0.674837141220258</v>
      </c>
      <c r="E156" s="14" t="n">
        <f aca="false">nir_f</f>
        <v>0.675</v>
      </c>
      <c r="F156" s="14" t="n">
        <f aca="false">nir_f</f>
        <v>0.675</v>
      </c>
      <c r="G156" s="14" t="n">
        <f aca="false">nir_f</f>
        <v>0.675</v>
      </c>
    </row>
    <row r="157" customFormat="false" ht="15" hidden="false" customHeight="false" outlineLevel="0" collapsed="false">
      <c r="A157" s="4" t="s">
        <v>373</v>
      </c>
      <c r="B157" s="0" t="s">
        <v>189</v>
      </c>
      <c r="C157" s="19" t="n">
        <f aca="false">a25_ni</f>
        <v>19.186</v>
      </c>
      <c r="D157" s="19" t="n">
        <f aca="false">a26_ni</f>
        <v>41.5923093275</v>
      </c>
      <c r="E157" s="19" t="n">
        <f aca="false">(E153+E155)*E156</f>
        <v>56.1746415093246</v>
      </c>
      <c r="F157" s="19" t="n">
        <f aca="false">(F153+F155)*F156</f>
        <v>67.9339053990776</v>
      </c>
      <c r="G157" s="19" t="n">
        <f aca="false">(G153+G155)*G156</f>
        <v>74.5513246539667</v>
      </c>
    </row>
    <row r="158" customFormat="false" ht="15" hidden="false" customHeight="false" outlineLevel="0" collapsed="false">
      <c r="A158" s="4" t="s">
        <v>482</v>
      </c>
      <c r="B158" s="4" t="s">
        <v>215</v>
      </c>
      <c r="C158" s="22" t="n">
        <f aca="false">a25_sh</f>
        <v>0.390197274761033</v>
      </c>
      <c r="D158" s="22" t="n">
        <f aca="false">a26_sh</f>
        <v>0.392523574315222</v>
      </c>
      <c r="E158" s="22" t="n">
        <f aca="false">D158*(1+sh_g)</f>
        <v>0.392523574315222</v>
      </c>
      <c r="F158" s="22" t="n">
        <f aca="false">E158*(1+sh_g)</f>
        <v>0.392523574315222</v>
      </c>
      <c r="G158" s="22" t="n">
        <f aca="false">F158*(1+sh_g)</f>
        <v>0.392523574315222</v>
      </c>
    </row>
    <row r="159" customFormat="false" ht="15" hidden="false" customHeight="false" outlineLevel="0" collapsed="false">
      <c r="A159" s="0" t="s">
        <v>378</v>
      </c>
      <c r="B159" s="0" t="s">
        <v>252</v>
      </c>
      <c r="C159" s="20" t="n">
        <f aca="false">C157/C158</f>
        <v>49.17</v>
      </c>
      <c r="D159" s="20" t="n">
        <f aca="false">D157/D158</f>
        <v>105.961302834002</v>
      </c>
      <c r="E159" s="20" t="n">
        <f aca="false">E157/E158</f>
        <v>143.111510199927</v>
      </c>
      <c r="F159" s="20" t="n">
        <f aca="false">F157/F158</f>
        <v>173.069618856885</v>
      </c>
      <c r="G159" s="20" t="n">
        <f aca="false">G157/G158</f>
        <v>189.928273184675</v>
      </c>
    </row>
    <row r="160" customFormat="false" ht="17.15" hidden="false" customHeight="false" outlineLevel="0" collapsed="false">
      <c r="A160" s="0" t="s">
        <v>483</v>
      </c>
      <c r="B160" s="0" t="s">
        <v>49</v>
      </c>
      <c r="D160" s="14" t="n">
        <f aca="false">D159/C159-1</f>
        <v>1.15499904075659</v>
      </c>
      <c r="E160" s="14" t="n">
        <f aca="false">E159/D159-1</f>
        <v>0.350601647698919</v>
      </c>
      <c r="F160" s="14" t="n">
        <f aca="false">F159/E159-1</f>
        <v>0.209334026418326</v>
      </c>
      <c r="G160" s="14" t="n">
        <f aca="false">G159/F159-1</f>
        <v>0.0974096692368136</v>
      </c>
    </row>
    <row r="163" customFormat="false" ht="17.15" hidden="false" customHeight="false" outlineLevel="0" collapsed="false">
      <c r="A163" s="1" t="s">
        <v>792</v>
      </c>
    </row>
    <row r="164" customFormat="false" ht="17.15" hidden="false" customHeight="false" outlineLevel="0" collapsed="false">
      <c r="A164" s="5" t="s">
        <v>18</v>
      </c>
      <c r="B164" s="5" t="s">
        <v>19</v>
      </c>
      <c r="C164" s="11" t="s">
        <v>347</v>
      </c>
      <c r="D164" s="11" t="s">
        <v>436</v>
      </c>
      <c r="E164" s="11" t="s">
        <v>437</v>
      </c>
      <c r="F164" s="11" t="s">
        <v>438</v>
      </c>
      <c r="G164" s="11" t="s">
        <v>439</v>
      </c>
      <c r="H164" s="5" t="s">
        <v>412</v>
      </c>
    </row>
    <row r="165" customFormat="false" ht="17.15" hidden="false" customHeight="false" outlineLevel="0" collapsed="false">
      <c r="A165" s="6" t="s">
        <v>455</v>
      </c>
    </row>
    <row r="166" customFormat="false" ht="17.15" hidden="false" customHeight="false" outlineLevel="0" collapsed="false">
      <c r="A166" s="0" t="s">
        <v>456</v>
      </c>
      <c r="B166" s="0" t="s">
        <v>29</v>
      </c>
      <c r="D166" s="20" t="n">
        <f aca="false">itc_26*1</f>
        <v>781.872916666667</v>
      </c>
      <c r="E166" s="20" t="n">
        <f aca="false">itc_27*1*1</f>
        <v>1565.35</v>
      </c>
      <c r="F166" s="20" t="n">
        <f aca="false">itc_28*um28_A*1</f>
        <v>1984.26388888889</v>
      </c>
      <c r="G166" s="20" t="n">
        <f aca="false">itc_29*um29_A*1</f>
        <v>2260.39027777778</v>
      </c>
    </row>
    <row r="167" customFormat="false" ht="17.15" hidden="false" customHeight="false" outlineLevel="0" collapsed="false">
      <c r="A167" s="4" t="s">
        <v>457</v>
      </c>
      <c r="B167" s="0" t="s">
        <v>29</v>
      </c>
      <c r="D167" s="20" t="n">
        <f aca="false">itpg_gb*(1-vr26)+itpg_vr*vr26</f>
        <v>33.41403216</v>
      </c>
      <c r="E167" s="20" t="n">
        <f aca="false">itpg_vr</f>
        <v>37.586352</v>
      </c>
      <c r="F167" s="20" t="n">
        <f aca="false">itpg_vr</f>
        <v>37.586352</v>
      </c>
      <c r="G167" s="20" t="n">
        <f aca="false">itpg_vr</f>
        <v>37.586352</v>
      </c>
    </row>
    <row r="168" customFormat="false" ht="17.15" hidden="false" customHeight="false" outlineLevel="0" collapsed="false">
      <c r="A168" s="4" t="s">
        <v>458</v>
      </c>
      <c r="B168" s="0" t="s">
        <v>414</v>
      </c>
      <c r="D168" s="17" t="n">
        <f aca="false">D166/D167</f>
        <v>23.3995380420639</v>
      </c>
      <c r="E168" s="17" t="n">
        <f aca="false">E166/E167</f>
        <v>41.6467658260637</v>
      </c>
      <c r="F168" s="17" t="n">
        <f aca="false">F166/F167</f>
        <v>52.792138191248</v>
      </c>
      <c r="G168" s="17" t="n">
        <f aca="false">G166/G167</f>
        <v>60.1385917361116</v>
      </c>
    </row>
    <row r="169" customFormat="false" ht="17.15" hidden="false" customHeight="false" outlineLevel="0" collapsed="false">
      <c r="A169" s="4" t="s">
        <v>459</v>
      </c>
      <c r="B169" s="0" t="s">
        <v>49</v>
      </c>
      <c r="D169" s="14" t="n">
        <f aca="false">lpen_26</f>
        <v>0.55</v>
      </c>
      <c r="E169" s="14" t="n">
        <f aca="false">lpen_27</f>
        <v>0.75</v>
      </c>
      <c r="F169" s="14" t="n">
        <f aca="false">lpen_28</f>
        <v>0.85</v>
      </c>
      <c r="G169" s="14" t="n">
        <f aca="false">lpen_29</f>
        <v>0.9</v>
      </c>
    </row>
    <row r="170" customFormat="false" ht="17.15" hidden="false" customHeight="false" outlineLevel="0" collapsed="false">
      <c r="A170" s="4" t="s">
        <v>460</v>
      </c>
      <c r="B170" s="0" t="s">
        <v>419</v>
      </c>
      <c r="D170" s="18" t="n">
        <f aca="false">((1-vr26)*racks_gb*(cool_gb+mani)+vr26*racks_vr*(cool_vr+mani))/1000</f>
        <v>350.7208</v>
      </c>
      <c r="E170" s="18" t="n">
        <f aca="false">racks_vr*(cool_vr+mani)*CAHI_27/1000</f>
        <v>401.9584</v>
      </c>
      <c r="F170" s="18" t="n">
        <f aca="false">racks_vr*(cool_vr+mani)*CAHI_28/1000</f>
        <v>452.2032</v>
      </c>
      <c r="G170" s="18" t="n">
        <f aca="false">racks_vr*(cool_vr+mani)*CAHI_29/1000</f>
        <v>452.2032</v>
      </c>
      <c r="H170" s="4" t="s">
        <v>461</v>
      </c>
    </row>
    <row r="171" customFormat="false" ht="17.15" hidden="false" customHeight="false" outlineLevel="0" collapsed="false">
      <c r="A171" s="0" t="s">
        <v>462</v>
      </c>
      <c r="B171" s="0" t="s">
        <v>29</v>
      </c>
      <c r="D171" s="20" t="n">
        <f aca="false">D168*D169*D170/1000</f>
        <v>4.5136875859587</v>
      </c>
      <c r="E171" s="20" t="n">
        <f aca="false">E168*E169*E170/1000</f>
        <v>12.5552005174644</v>
      </c>
      <c r="F171" s="20" t="n">
        <f aca="false">F168*F169*F170/1000</f>
        <v>20.2918577511859</v>
      </c>
      <c r="G171" s="20" t="n">
        <f aca="false">G168*G169*G170/1000</f>
        <v>24.4753772639069</v>
      </c>
    </row>
    <row r="172" customFormat="false" ht="17.15" hidden="false" customHeight="false" outlineLevel="0" collapsed="false">
      <c r="A172" s="0" t="s">
        <v>463</v>
      </c>
      <c r="B172" s="0" t="s">
        <v>189</v>
      </c>
      <c r="D172" s="19" t="n">
        <f aca="false">D171*fx</f>
        <v>144.438002750678</v>
      </c>
      <c r="E172" s="19" t="n">
        <f aca="false">E171*fx</f>
        <v>401.766416558862</v>
      </c>
      <c r="F172" s="19" t="n">
        <f aca="false">F171*fx</f>
        <v>649.339448037948</v>
      </c>
      <c r="G172" s="19" t="n">
        <f aca="false">G171*fx</f>
        <v>783.21207244502</v>
      </c>
    </row>
    <row r="173" customFormat="false" ht="17.15" hidden="false" customHeight="false" outlineLevel="0" collapsed="false">
      <c r="A173" s="4" t="s">
        <v>464</v>
      </c>
      <c r="B173" s="0" t="s">
        <v>49</v>
      </c>
      <c r="D173" s="14" t="n">
        <f aca="false">a26_lc/D172</f>
        <v>0.498927641116676</v>
      </c>
      <c r="H173" s="8" t="s">
        <v>465</v>
      </c>
    </row>
    <row r="174" customFormat="false" ht="17.15" hidden="false" customHeight="false" outlineLevel="0" collapsed="false">
      <c r="A174" s="4" t="s">
        <v>466</v>
      </c>
      <c r="B174" s="0" t="s">
        <v>70</v>
      </c>
      <c r="D174" s="15" t="n">
        <f aca="false">1</f>
        <v>1</v>
      </c>
      <c r="E174" s="15" t="n">
        <f aca="false">rel_27</f>
        <v>0.95</v>
      </c>
      <c r="F174" s="15" t="n">
        <f aca="false">rel_28</f>
        <v>0.9</v>
      </c>
      <c r="G174" s="15" t="n">
        <f aca="false">rel_29</f>
        <v>0.85</v>
      </c>
    </row>
    <row r="175" customFormat="false" ht="15" hidden="false" customHeight="false" outlineLevel="0" collapsed="false">
      <c r="A175" s="4" t="s">
        <v>426</v>
      </c>
      <c r="B175" s="0" t="s">
        <v>49</v>
      </c>
      <c r="D175" s="14" t="n">
        <f aca="false">$D$173*D174</f>
        <v>0.498927641116676</v>
      </c>
      <c r="E175" s="14" t="n">
        <f aca="false">$D$173*E174</f>
        <v>0.473981259060843</v>
      </c>
      <c r="F175" s="14" t="n">
        <f aca="false">$D$173*F174</f>
        <v>0.449034877005009</v>
      </c>
      <c r="G175" s="14" t="n">
        <f aca="false">$D$173*G174</f>
        <v>0.424088494949175</v>
      </c>
    </row>
    <row r="176" customFormat="false" ht="15" hidden="false" customHeight="false" outlineLevel="0" collapsed="false">
      <c r="A176" s="4" t="s">
        <v>467</v>
      </c>
      <c r="B176" s="0" t="s">
        <v>189</v>
      </c>
      <c r="C176" s="19" t="n">
        <f aca="false">a25_lc</f>
        <v>20.94585</v>
      </c>
      <c r="D176" s="19" t="n">
        <f aca="false">D172*D175</f>
        <v>72.064112</v>
      </c>
      <c r="E176" s="19" t="n">
        <f aca="false">E172*E175</f>
        <v>190.429751968932</v>
      </c>
      <c r="F176" s="19" t="n">
        <f aca="false">F172*F175</f>
        <v>291.57605918422</v>
      </c>
      <c r="G176" s="19" t="n">
        <f aca="false">G172*G175</f>
        <v>332.151229029233</v>
      </c>
    </row>
    <row r="177" customFormat="false" ht="17.15" hidden="false" customHeight="false" outlineLevel="0" collapsed="false">
      <c r="A177" s="6" t="s">
        <v>468</v>
      </c>
    </row>
    <row r="178" customFormat="false" ht="17.15" hidden="false" customHeight="false" outlineLevel="0" collapsed="false">
      <c r="A178" s="0" t="s">
        <v>469</v>
      </c>
      <c r="B178" s="0" t="s">
        <v>470</v>
      </c>
      <c r="D178" s="22" t="n">
        <f aca="false">a26_air/D168</f>
        <v>2.02106868156909</v>
      </c>
    </row>
    <row r="179" customFormat="false" ht="17.15" hidden="false" customHeight="false" outlineLevel="0" collapsed="false">
      <c r="A179" s="0" t="s">
        <v>471</v>
      </c>
      <c r="B179" s="0" t="s">
        <v>70</v>
      </c>
      <c r="D179" s="15" t="n">
        <f aca="false">1</f>
        <v>1</v>
      </c>
      <c r="E179" s="15" t="n">
        <f aca="false">acr_27</f>
        <v>0.75</v>
      </c>
      <c r="F179" s="15" t="n">
        <f aca="false">acr_28</f>
        <v>0.65</v>
      </c>
      <c r="G179" s="15" t="n">
        <f aca="false">acr_29</f>
        <v>0.6</v>
      </c>
    </row>
    <row r="180" customFormat="false" ht="17.15" hidden="false" customHeight="false" outlineLevel="0" collapsed="false">
      <c r="A180" s="0" t="s">
        <v>472</v>
      </c>
      <c r="B180" s="0" t="s">
        <v>189</v>
      </c>
      <c r="C180" s="19" t="n">
        <f aca="false">a25_air</f>
        <v>30.999858</v>
      </c>
      <c r="D180" s="19" t="n">
        <f aca="false">D168*$D$178*D179</f>
        <v>47.2920735</v>
      </c>
      <c r="E180" s="19" t="n">
        <f aca="false">E168*$D$178*E179</f>
        <v>63.1282305747745</v>
      </c>
      <c r="F180" s="19" t="n">
        <f aca="false">F168*$D$178*F179</f>
        <v>69.3527491354094</v>
      </c>
      <c r="G180" s="19" t="n">
        <f aca="false">G168*$D$178*G179</f>
        <v>72.926534586915</v>
      </c>
    </row>
    <row r="181" customFormat="false" ht="15" hidden="false" customHeight="false" outlineLevel="0" collapsed="false">
      <c r="A181" s="4" t="s">
        <v>473</v>
      </c>
      <c r="B181" s="0" t="s">
        <v>189</v>
      </c>
      <c r="C181" s="19" t="n">
        <f aca="false">a25_gen</f>
        <v>20.666572</v>
      </c>
      <c r="D181" s="19" t="n">
        <f aca="false">a26_gen</f>
        <v>31.528049</v>
      </c>
      <c r="E181" s="19" t="n">
        <f aca="false">D181*(1+g_gen_27)</f>
        <v>34.05029292</v>
      </c>
      <c r="F181" s="19" t="n">
        <f aca="false">E181*(1+g_gen_28)</f>
        <v>36.0933104952</v>
      </c>
      <c r="G181" s="19" t="n">
        <f aca="false">F181*(1+g_gen_29)</f>
        <v>37.89797601996</v>
      </c>
    </row>
    <row r="182" customFormat="false" ht="17.15" hidden="false" customHeight="false" outlineLevel="0" collapsed="false">
      <c r="A182" s="4" t="s">
        <v>474</v>
      </c>
      <c r="B182" s="0" t="s">
        <v>189</v>
      </c>
      <c r="C182" s="19" t="n">
        <f aca="false">a25_nai</f>
        <v>67.02672</v>
      </c>
      <c r="D182" s="19" t="n">
        <f aca="false">a26_nai</f>
        <v>74.3161155</v>
      </c>
      <c r="E182" s="19" t="n">
        <f aca="false">D182*(1+g_nai_27)</f>
        <v>78.77508243</v>
      </c>
      <c r="F182" s="19" t="n">
        <f aca="false">E182*(1+g_nai_28)</f>
        <v>82.7138365515</v>
      </c>
      <c r="G182" s="19" t="n">
        <f aca="false">F182*(1+g_nai_29)</f>
        <v>86.02239001356</v>
      </c>
    </row>
    <row r="183" customFormat="false" ht="15" hidden="false" customHeight="false" outlineLevel="0" collapsed="false">
      <c r="A183" s="4" t="s">
        <v>353</v>
      </c>
      <c r="B183" s="0" t="s">
        <v>189</v>
      </c>
      <c r="C183" s="19" t="n">
        <f aca="false">C176+C180+C181+C182</f>
        <v>139.639</v>
      </c>
      <c r="D183" s="19" t="n">
        <f aca="false">D176+D180+D181+D182</f>
        <v>225.20035</v>
      </c>
      <c r="E183" s="19" t="n">
        <f aca="false">E176+E180+E181+E182</f>
        <v>366.383357893707</v>
      </c>
      <c r="F183" s="19" t="n">
        <f aca="false">F176+F180+F181+F182</f>
        <v>479.735955366329</v>
      </c>
      <c r="G183" s="19" t="n">
        <f aca="false">G176+G180+G181+G182</f>
        <v>528.998129649668</v>
      </c>
    </row>
    <row r="184" customFormat="false" ht="15" hidden="false" customHeight="false" outlineLevel="0" collapsed="false">
      <c r="A184" s="4" t="s">
        <v>475</v>
      </c>
      <c r="B184" s="0" t="s">
        <v>49</v>
      </c>
      <c r="D184" s="14" t="n">
        <f aca="false">D183/C183-1</f>
        <v>0.612732474451979</v>
      </c>
      <c r="E184" s="14" t="n">
        <f aca="false">E183/D183-1</f>
        <v>0.626921796052745</v>
      </c>
      <c r="F184" s="14" t="n">
        <f aca="false">F183/E183-1</f>
        <v>0.309382495221052</v>
      </c>
      <c r="G184" s="14" t="n">
        <f aca="false">G183/F183-1</f>
        <v>0.102686016614538</v>
      </c>
    </row>
    <row r="185" customFormat="false" ht="17.15" hidden="false" customHeight="false" outlineLevel="0" collapsed="false">
      <c r="A185" s="4" t="s">
        <v>476</v>
      </c>
      <c r="B185" s="0" t="s">
        <v>49</v>
      </c>
      <c r="C185" s="14" t="n">
        <f aca="false">C176/C183</f>
        <v>0.15</v>
      </c>
      <c r="D185" s="14" t="n">
        <f aca="false">D176/D183</f>
        <v>0.32</v>
      </c>
      <c r="E185" s="14" t="n">
        <f aca="false">E176/E183</f>
        <v>0.519755463413212</v>
      </c>
      <c r="F185" s="14" t="n">
        <f aca="false">F176/F183</f>
        <v>0.607784461270098</v>
      </c>
      <c r="G185" s="14" t="n">
        <f aca="false">G176/G183</f>
        <v>0.627887341018014</v>
      </c>
    </row>
    <row r="186" customFormat="false" ht="17.15" hidden="false" customHeight="false" outlineLevel="0" collapsed="false">
      <c r="A186" s="0" t="s">
        <v>477</v>
      </c>
      <c r="B186" s="0" t="s">
        <v>49</v>
      </c>
      <c r="C186" s="14" t="n">
        <f aca="false">(C176+C180)/C183</f>
        <v>0.372</v>
      </c>
      <c r="D186" s="14" t="n">
        <f aca="false">(D176+D180)/D183</f>
        <v>0.53</v>
      </c>
      <c r="E186" s="14" t="n">
        <f aca="false">(E176+E180)/E183</f>
        <v>0.692056495145906</v>
      </c>
      <c r="F186" s="14" t="n">
        <f aca="false">(F176+F180)/F183</f>
        <v>0.752348879174632</v>
      </c>
      <c r="G186" s="14" t="n">
        <f aca="false">(G176+G180)/G183</f>
        <v>0.765745171697323</v>
      </c>
    </row>
    <row r="187" customFormat="false" ht="17.15" hidden="false" customHeight="false" outlineLevel="0" collapsed="false">
      <c r="A187" s="4" t="s">
        <v>431</v>
      </c>
      <c r="B187" s="0" t="s">
        <v>419</v>
      </c>
      <c r="D187" s="18" t="n">
        <f aca="false">(D176+D180)/fx/D168*1000</f>
        <v>159.399762088039</v>
      </c>
      <c r="E187" s="18" t="n">
        <f aca="false">(E176+E180)/fx/E168*1000</f>
        <v>190.259358615837</v>
      </c>
      <c r="F187" s="18" t="n">
        <f aca="false">(F176+F180)/fx/F168*1000</f>
        <v>213.649714643653</v>
      </c>
      <c r="G187" s="18" t="n">
        <f aca="false">(G176+G180)/fx/G168*1000</f>
        <v>210.491794828701</v>
      </c>
    </row>
    <row r="188" customFormat="false" ht="17.15" hidden="false" customHeight="false" outlineLevel="0" collapsed="false">
      <c r="A188" s="6" t="s">
        <v>478</v>
      </c>
    </row>
    <row r="189" customFormat="false" ht="17.15" hidden="false" customHeight="false" outlineLevel="0" collapsed="false">
      <c r="A189" s="4" t="s">
        <v>479</v>
      </c>
      <c r="B189" s="0" t="s">
        <v>49</v>
      </c>
      <c r="D189" s="14" t="n">
        <f aca="false">a26_gp/D183-d_lc*D185</f>
        <v>0.302821503074929</v>
      </c>
      <c r="H189" s="8" t="s">
        <v>480</v>
      </c>
    </row>
    <row r="190" customFormat="false" ht="15" hidden="false" customHeight="false" outlineLevel="0" collapsed="false">
      <c r="A190" s="4" t="s">
        <v>357</v>
      </c>
      <c r="B190" s="0" t="s">
        <v>189</v>
      </c>
      <c r="C190" s="19" t="n">
        <f aca="false">a25_gp</f>
        <v>36.034</v>
      </c>
      <c r="D190" s="19" t="n">
        <f aca="false">a26_gp</f>
        <v>72.5193552</v>
      </c>
      <c r="E190" s="19" t="n">
        <f aca="false">$D$189*E183+d_lc*E176</f>
        <v>122.374544257148</v>
      </c>
      <c r="F190" s="19" t="n">
        <f aca="false">$D$189*F183+d_lc*F176</f>
        <v>162.768926634172</v>
      </c>
      <c r="G190" s="19" t="n">
        <f aca="false">$D$189*G183+d_lc*G176</f>
        <v>180.121082486092</v>
      </c>
    </row>
    <row r="191" customFormat="false" ht="15" hidden="false" customHeight="false" outlineLevel="0" collapsed="false">
      <c r="A191" s="4" t="s">
        <v>360</v>
      </c>
      <c r="B191" s="0" t="s">
        <v>49</v>
      </c>
      <c r="C191" s="14" t="n">
        <f aca="false">C190/C183</f>
        <v>0.258051117524474</v>
      </c>
      <c r="D191" s="14" t="n">
        <f aca="false">D190/D183</f>
        <v>0.322021503074929</v>
      </c>
      <c r="E191" s="14" t="n">
        <f aca="false">E190/E183</f>
        <v>0.334006830879721</v>
      </c>
      <c r="F191" s="14" t="n">
        <f aca="false">F190/F183</f>
        <v>0.339288570751135</v>
      </c>
      <c r="G191" s="14" t="n">
        <f aca="false">G190/G183</f>
        <v>0.34049474353601</v>
      </c>
    </row>
    <row r="192" customFormat="false" ht="15" hidden="false" customHeight="false" outlineLevel="0" collapsed="false">
      <c r="A192" s="4" t="s">
        <v>481</v>
      </c>
      <c r="B192" s="0" t="s">
        <v>189</v>
      </c>
      <c r="C192" s="19" t="n">
        <f aca="false">a25_opx</f>
        <v>8.4832253</v>
      </c>
      <c r="D192" s="19" t="n">
        <f aca="false">a26_opx</f>
        <v>11.7048599</v>
      </c>
      <c r="E192" s="19" t="n">
        <f aca="false">D192*(1+MAX(0,phi*E184))</f>
        <v>16.8414821537376</v>
      </c>
      <c r="F192" s="19" t="n">
        <f aca="false">E192*(1+MAX(0,phi*F184))</f>
        <v>20.4888039940985</v>
      </c>
      <c r="G192" s="19" t="n">
        <f aca="false">F192*(1+MAX(0,phi*G184))</f>
        <v>21.9615435612436</v>
      </c>
    </row>
    <row r="193" customFormat="false" ht="15" hidden="false" customHeight="false" outlineLevel="0" collapsed="false">
      <c r="A193" s="4" t="s">
        <v>362</v>
      </c>
      <c r="B193" s="0" t="s">
        <v>189</v>
      </c>
      <c r="C193" s="19" t="n">
        <f aca="false">C192</f>
        <v>8.4832253</v>
      </c>
      <c r="D193" s="19" t="n">
        <f aca="false">D192</f>
        <v>11.7048599</v>
      </c>
      <c r="E193" s="19" t="n">
        <f aca="false">E192+0*E183</f>
        <v>16.8414821537376</v>
      </c>
      <c r="F193" s="19" t="n">
        <f aca="false">F192+0*F183</f>
        <v>20.4888039940985</v>
      </c>
      <c r="G193" s="19" t="n">
        <f aca="false">G192+0*G183</f>
        <v>21.9615435612436</v>
      </c>
    </row>
    <row r="194" customFormat="false" ht="15" hidden="false" customHeight="false" outlineLevel="0" collapsed="false">
      <c r="A194" s="4" t="s">
        <v>364</v>
      </c>
      <c r="B194" s="0" t="s">
        <v>189</v>
      </c>
      <c r="C194" s="19" t="n">
        <f aca="false">C190-C193</f>
        <v>27.5507747</v>
      </c>
      <c r="D194" s="19" t="n">
        <f aca="false">D190-D193</f>
        <v>60.8144953</v>
      </c>
      <c r="E194" s="19" t="n">
        <f aca="false">E190-E193</f>
        <v>105.53306210341</v>
      </c>
      <c r="F194" s="19" t="n">
        <f aca="false">F190-F193</f>
        <v>142.280122640073</v>
      </c>
      <c r="G194" s="19" t="n">
        <f aca="false">G190-G193</f>
        <v>158.159538924849</v>
      </c>
    </row>
    <row r="195" customFormat="false" ht="15" hidden="false" customHeight="false" outlineLevel="0" collapsed="false">
      <c r="A195" s="4" t="s">
        <v>367</v>
      </c>
      <c r="B195" s="0" t="s">
        <v>49</v>
      </c>
      <c r="C195" s="14" t="n">
        <f aca="false">C194/C183</f>
        <v>0.1973</v>
      </c>
      <c r="D195" s="14" t="n">
        <f aca="false">D194/D183</f>
        <v>0.27004618465291</v>
      </c>
      <c r="E195" s="14" t="n">
        <f aca="false">E194/E183</f>
        <v>0.288039999169468</v>
      </c>
      <c r="F195" s="14" t="n">
        <f aca="false">F194/F183</f>
        <v>0.296580068782686</v>
      </c>
      <c r="G195" s="14" t="n">
        <f aca="false">G194/G183</f>
        <v>0.298979391533182</v>
      </c>
    </row>
    <row r="196" customFormat="false" ht="15" hidden="false" customHeight="false" outlineLevel="0" collapsed="false">
      <c r="A196" s="4" t="s">
        <v>369</v>
      </c>
      <c r="B196" s="0" t="s">
        <v>189</v>
      </c>
      <c r="C196" s="19" t="n">
        <f aca="false">a25_nop</f>
        <v>1.23179436863779</v>
      </c>
      <c r="D196" s="19" t="n">
        <f aca="false">a26_nop</f>
        <v>0.8186111</v>
      </c>
      <c r="E196" s="19" t="n">
        <f aca="false">nop_f</f>
        <v>1</v>
      </c>
      <c r="F196" s="19" t="n">
        <f aca="false">nop_f</f>
        <v>1</v>
      </c>
      <c r="G196" s="19" t="n">
        <f aca="false">nop_f</f>
        <v>1</v>
      </c>
    </row>
    <row r="197" customFormat="false" ht="17.15" hidden="false" customHeight="false" outlineLevel="0" collapsed="false">
      <c r="A197" s="4" t="s">
        <v>232</v>
      </c>
      <c r="B197" s="0" t="s">
        <v>49</v>
      </c>
      <c r="C197" s="14" t="n">
        <f aca="false">a25_ni/(a25_oi+a25_nop)</f>
        <v>0.666583999303438</v>
      </c>
      <c r="D197" s="14" t="n">
        <f aca="false">a26_ni/(a26_oi+a26_nop)</f>
        <v>0.674837141220258</v>
      </c>
      <c r="E197" s="14" t="n">
        <f aca="false">nir_f</f>
        <v>0.675</v>
      </c>
      <c r="F197" s="14" t="n">
        <f aca="false">nir_f</f>
        <v>0.675</v>
      </c>
      <c r="G197" s="14" t="n">
        <f aca="false">nir_f</f>
        <v>0.675</v>
      </c>
    </row>
    <row r="198" customFormat="false" ht="15" hidden="false" customHeight="false" outlineLevel="0" collapsed="false">
      <c r="A198" s="4" t="s">
        <v>373</v>
      </c>
      <c r="B198" s="0" t="s">
        <v>189</v>
      </c>
      <c r="C198" s="19" t="n">
        <f aca="false">a25_ni</f>
        <v>19.186</v>
      </c>
      <c r="D198" s="19" t="n">
        <f aca="false">a26_ni</f>
        <v>41.5923093275</v>
      </c>
      <c r="E198" s="19" t="n">
        <f aca="false">(E194+E196)*E197</f>
        <v>71.9098169198018</v>
      </c>
      <c r="F198" s="19" t="n">
        <f aca="false">(F194+F196)*F197</f>
        <v>96.7140827820496</v>
      </c>
      <c r="G198" s="19" t="n">
        <f aca="false">(G194+G196)*G197</f>
        <v>107.432688774273</v>
      </c>
    </row>
    <row r="199" customFormat="false" ht="15" hidden="false" customHeight="false" outlineLevel="0" collapsed="false">
      <c r="A199" s="4" t="s">
        <v>482</v>
      </c>
      <c r="B199" s="4" t="s">
        <v>215</v>
      </c>
      <c r="C199" s="22" t="n">
        <f aca="false">a25_sh</f>
        <v>0.390197274761033</v>
      </c>
      <c r="D199" s="22" t="n">
        <f aca="false">a26_sh</f>
        <v>0.392523574315222</v>
      </c>
      <c r="E199" s="22" t="n">
        <f aca="false">D199*(1+sh_g)</f>
        <v>0.392523574315222</v>
      </c>
      <c r="F199" s="22" t="n">
        <f aca="false">E199*(1+sh_g)</f>
        <v>0.392523574315222</v>
      </c>
      <c r="G199" s="22" t="n">
        <f aca="false">F199*(1+sh_g)</f>
        <v>0.392523574315222</v>
      </c>
    </row>
    <row r="200" customFormat="false" ht="15" hidden="false" customHeight="false" outlineLevel="0" collapsed="false">
      <c r="A200" s="0" t="s">
        <v>378</v>
      </c>
      <c r="B200" s="0" t="s">
        <v>252</v>
      </c>
      <c r="C200" s="20" t="n">
        <f aca="false">C198/C199</f>
        <v>49.17</v>
      </c>
      <c r="D200" s="20" t="n">
        <f aca="false">D198/D199</f>
        <v>105.961302834002</v>
      </c>
      <c r="E200" s="20" t="n">
        <f aca="false">E198/E199</f>
        <v>183.198721364066</v>
      </c>
      <c r="F200" s="20" t="n">
        <f aca="false">F198/F199</f>
        <v>246.39050775682</v>
      </c>
      <c r="G200" s="20" t="n">
        <f aca="false">G198/G199</f>
        <v>273.697417949214</v>
      </c>
    </row>
    <row r="201" customFormat="false" ht="17.15" hidden="false" customHeight="false" outlineLevel="0" collapsed="false">
      <c r="A201" s="0" t="s">
        <v>483</v>
      </c>
      <c r="B201" s="0" t="s">
        <v>49</v>
      </c>
      <c r="D201" s="14" t="n">
        <f aca="false">D200/C200-1</f>
        <v>1.15499904075659</v>
      </c>
      <c r="E201" s="14" t="n">
        <f aca="false">E200/D200-1</f>
        <v>0.728920997234854</v>
      </c>
      <c r="F201" s="14" t="n">
        <f aca="false">F200/E200-1</f>
        <v>0.344935739301228</v>
      </c>
      <c r="G201" s="14" t="n">
        <f aca="false">G200/F200-1</f>
        <v>0.110827768654729</v>
      </c>
    </row>
    <row r="204" customFormat="false" ht="17.15" hidden="false" customHeight="false" outlineLevel="0" collapsed="false">
      <c r="A204" s="1" t="s">
        <v>793</v>
      </c>
    </row>
    <row r="205" customFormat="false" ht="17.15" hidden="false" customHeight="false" outlineLevel="0" collapsed="false">
      <c r="A205" s="5" t="s">
        <v>18</v>
      </c>
      <c r="B205" s="5" t="s">
        <v>19</v>
      </c>
      <c r="C205" s="11" t="s">
        <v>347</v>
      </c>
      <c r="D205" s="11" t="s">
        <v>436</v>
      </c>
      <c r="E205" s="11" t="s">
        <v>437</v>
      </c>
      <c r="F205" s="11" t="s">
        <v>438</v>
      </c>
      <c r="G205" s="11" t="s">
        <v>439</v>
      </c>
      <c r="H205" s="5" t="s">
        <v>412</v>
      </c>
    </row>
    <row r="206" customFormat="false" ht="17.15" hidden="false" customHeight="false" outlineLevel="0" collapsed="false">
      <c r="A206" s="6" t="s">
        <v>455</v>
      </c>
    </row>
    <row r="207" customFormat="false" ht="17.15" hidden="false" customHeight="false" outlineLevel="0" collapsed="false">
      <c r="A207" s="0" t="s">
        <v>456</v>
      </c>
      <c r="B207" s="0" t="s">
        <v>29</v>
      </c>
      <c r="D207" s="20" t="n">
        <f aca="false">itc_26*1</f>
        <v>781.872916666667</v>
      </c>
      <c r="E207" s="20" t="n">
        <f aca="false">itc_27*1*1</f>
        <v>1565.35</v>
      </c>
      <c r="F207" s="20" t="n">
        <f aca="false">itc_28*um28_A*1</f>
        <v>1984.26388888889</v>
      </c>
      <c r="G207" s="20" t="n">
        <f aca="false">itc_29*um29_A*1</f>
        <v>2260.39027777778</v>
      </c>
    </row>
    <row r="208" customFormat="false" ht="17.15" hidden="false" customHeight="false" outlineLevel="0" collapsed="false">
      <c r="A208" s="4" t="s">
        <v>457</v>
      </c>
      <c r="B208" s="0" t="s">
        <v>29</v>
      </c>
      <c r="D208" s="20" t="n">
        <f aca="false">itpg_gb*(1-vr26)+itpg_vr*vr26</f>
        <v>33.41403216</v>
      </c>
      <c r="E208" s="20" t="n">
        <f aca="false">itpg_vr</f>
        <v>37.586352</v>
      </c>
      <c r="F208" s="20" t="n">
        <f aca="false">itpg_vr</f>
        <v>37.586352</v>
      </c>
      <c r="G208" s="20" t="n">
        <f aca="false">itpg_vr</f>
        <v>37.586352</v>
      </c>
    </row>
    <row r="209" customFormat="false" ht="17.15" hidden="false" customHeight="false" outlineLevel="0" collapsed="false">
      <c r="A209" s="4" t="s">
        <v>458</v>
      </c>
      <c r="B209" s="0" t="s">
        <v>414</v>
      </c>
      <c r="D209" s="17" t="n">
        <f aca="false">D207/D208</f>
        <v>23.3995380420639</v>
      </c>
      <c r="E209" s="17" t="n">
        <f aca="false">E207/E208</f>
        <v>41.6467658260637</v>
      </c>
      <c r="F209" s="17" t="n">
        <f aca="false">F207/F208</f>
        <v>52.792138191248</v>
      </c>
      <c r="G209" s="17" t="n">
        <f aca="false">G207/G208</f>
        <v>60.1385917361116</v>
      </c>
    </row>
    <row r="210" customFormat="false" ht="17.15" hidden="false" customHeight="false" outlineLevel="0" collapsed="false">
      <c r="A210" s="4" t="s">
        <v>459</v>
      </c>
      <c r="B210" s="0" t="s">
        <v>49</v>
      </c>
      <c r="D210" s="14" t="n">
        <f aca="false">LPLO_26</f>
        <v>0.45</v>
      </c>
      <c r="E210" s="14" t="n">
        <f aca="false">LPLO_27</f>
        <v>0.6</v>
      </c>
      <c r="F210" s="14" t="n">
        <f aca="false">LPLO_28</f>
        <v>0.7</v>
      </c>
      <c r="G210" s="14" t="n">
        <f aca="false">LPLO_29</f>
        <v>0.75</v>
      </c>
    </row>
    <row r="211" customFormat="false" ht="17.15" hidden="false" customHeight="false" outlineLevel="0" collapsed="false">
      <c r="A211" s="4" t="s">
        <v>460</v>
      </c>
      <c r="B211" s="0" t="s">
        <v>419</v>
      </c>
      <c r="D211" s="18" t="n">
        <f aca="false">((1-vr26)*racks_gb*(cool_gb+mani)+vr26*racks_vr*(cool_vr+mani))/1000</f>
        <v>350.7208</v>
      </c>
      <c r="E211" s="18" t="n">
        <f aca="false">racks_vr*(cool_vr+mani)*lcadj_27/1000</f>
        <v>326.5912</v>
      </c>
      <c r="F211" s="18" t="n">
        <f aca="false">racks_vr*(cool_vr+mani)*lcadj_28/1000</f>
        <v>351.7136</v>
      </c>
      <c r="G211" s="18" t="n">
        <f aca="false">racks_vr*(cool_vr+mani)*lcadj_29/1000</f>
        <v>351.7136</v>
      </c>
      <c r="H211" s="4" t="s">
        <v>461</v>
      </c>
    </row>
    <row r="212" customFormat="false" ht="17.15" hidden="false" customHeight="false" outlineLevel="0" collapsed="false">
      <c r="A212" s="0" t="s">
        <v>462</v>
      </c>
      <c r="B212" s="0" t="s">
        <v>29</v>
      </c>
      <c r="D212" s="20" t="n">
        <f aca="false">D209*D210*D211/1000</f>
        <v>3.69301711578439</v>
      </c>
      <c r="E212" s="20" t="n">
        <f aca="false">E209*E210*E211/1000</f>
        <v>8.16088033635188</v>
      </c>
      <c r="F212" s="20" t="n">
        <f aca="false">F209*F210*F211/1000</f>
        <v>12.9973990824589</v>
      </c>
      <c r="G212" s="20" t="n">
        <f aca="false">G209*G210*G211/1000</f>
        <v>15.8636704488285</v>
      </c>
    </row>
    <row r="213" customFormat="false" ht="17.15" hidden="false" customHeight="false" outlineLevel="0" collapsed="false">
      <c r="A213" s="0" t="s">
        <v>463</v>
      </c>
      <c r="B213" s="0" t="s">
        <v>189</v>
      </c>
      <c r="D213" s="19" t="n">
        <f aca="false">D212*fx</f>
        <v>118.176547705101</v>
      </c>
      <c r="E213" s="19" t="n">
        <f aca="false">E212*fx</f>
        <v>261.14817076326</v>
      </c>
      <c r="F213" s="19" t="n">
        <f aca="false">F212*fx</f>
        <v>415.916770638686</v>
      </c>
      <c r="G213" s="19" t="n">
        <f aca="false">G212*fx</f>
        <v>507.637454362513</v>
      </c>
    </row>
    <row r="214" customFormat="false" ht="17.15" hidden="false" customHeight="false" outlineLevel="0" collapsed="false">
      <c r="A214" s="4" t="s">
        <v>464</v>
      </c>
      <c r="B214" s="0" t="s">
        <v>49</v>
      </c>
      <c r="D214" s="14" t="n">
        <f aca="false">a26_lc/D213</f>
        <v>0.609800450253716</v>
      </c>
      <c r="H214" s="8" t="s">
        <v>465</v>
      </c>
    </row>
    <row r="215" customFormat="false" ht="17.15" hidden="false" customHeight="false" outlineLevel="0" collapsed="false">
      <c r="A215" s="4" t="s">
        <v>466</v>
      </c>
      <c r="B215" s="0" t="s">
        <v>70</v>
      </c>
      <c r="D215" s="15" t="n">
        <f aca="false">1</f>
        <v>1</v>
      </c>
      <c r="E215" s="15" t="n">
        <f aca="false">rel_27</f>
        <v>0.95</v>
      </c>
      <c r="F215" s="15" t="n">
        <f aca="false">rel_28</f>
        <v>0.9</v>
      </c>
      <c r="G215" s="15" t="n">
        <f aca="false">rel_29</f>
        <v>0.85</v>
      </c>
    </row>
    <row r="216" customFormat="false" ht="15" hidden="false" customHeight="false" outlineLevel="0" collapsed="false">
      <c r="A216" s="4" t="s">
        <v>426</v>
      </c>
      <c r="B216" s="0" t="s">
        <v>49</v>
      </c>
      <c r="D216" s="14" t="n">
        <f aca="false">$D$214*D215</f>
        <v>0.609800450253716</v>
      </c>
      <c r="E216" s="14" t="n">
        <f aca="false">$D$214*E215</f>
        <v>0.57931042774103</v>
      </c>
      <c r="F216" s="14" t="n">
        <f aca="false">$D$214*F215</f>
        <v>0.548820405228344</v>
      </c>
      <c r="G216" s="14" t="n">
        <f aca="false">$D$214*G215</f>
        <v>0.518330382715658</v>
      </c>
    </row>
    <row r="217" customFormat="false" ht="15" hidden="false" customHeight="false" outlineLevel="0" collapsed="false">
      <c r="A217" s="4" t="s">
        <v>467</v>
      </c>
      <c r="B217" s="0" t="s">
        <v>189</v>
      </c>
      <c r="C217" s="19" t="n">
        <f aca="false">a25_lc</f>
        <v>20.94585</v>
      </c>
      <c r="D217" s="19" t="n">
        <f aca="false">D213*D216</f>
        <v>72.064112</v>
      </c>
      <c r="E217" s="19" t="n">
        <f aca="false">E213*E216</f>
        <v>151.285858508652</v>
      </c>
      <c r="F217" s="19" t="n">
        <f aca="false">F213*F216</f>
        <v>228.263610603188</v>
      </c>
      <c r="G217" s="19" t="n">
        <f aca="false">G213*G216</f>
        <v>263.123916000524</v>
      </c>
    </row>
    <row r="218" customFormat="false" ht="17.15" hidden="false" customHeight="false" outlineLevel="0" collapsed="false">
      <c r="A218" s="6" t="s">
        <v>468</v>
      </c>
    </row>
    <row r="219" customFormat="false" ht="17.15" hidden="false" customHeight="false" outlineLevel="0" collapsed="false">
      <c r="A219" s="0" t="s">
        <v>469</v>
      </c>
      <c r="B219" s="0" t="s">
        <v>470</v>
      </c>
      <c r="D219" s="22" t="n">
        <f aca="false">a26_air/D209</f>
        <v>2.02106868156909</v>
      </c>
    </row>
    <row r="220" customFormat="false" ht="17.15" hidden="false" customHeight="false" outlineLevel="0" collapsed="false">
      <c r="A220" s="0" t="s">
        <v>471</v>
      </c>
      <c r="B220" s="0" t="s">
        <v>70</v>
      </c>
      <c r="D220" s="15" t="n">
        <f aca="false">1</f>
        <v>1</v>
      </c>
      <c r="E220" s="15" t="n">
        <f aca="false">acr_27</f>
        <v>0.75</v>
      </c>
      <c r="F220" s="15" t="n">
        <f aca="false">acr_28</f>
        <v>0.65</v>
      </c>
      <c r="G220" s="15" t="n">
        <f aca="false">acr_29</f>
        <v>0.6</v>
      </c>
    </row>
    <row r="221" customFormat="false" ht="17.15" hidden="false" customHeight="false" outlineLevel="0" collapsed="false">
      <c r="A221" s="0" t="s">
        <v>472</v>
      </c>
      <c r="B221" s="0" t="s">
        <v>189</v>
      </c>
      <c r="C221" s="19" t="n">
        <f aca="false">a25_air</f>
        <v>30.999858</v>
      </c>
      <c r="D221" s="19" t="n">
        <f aca="false">D209*$D$219*D220</f>
        <v>47.2920735</v>
      </c>
      <c r="E221" s="19" t="n">
        <f aca="false">E209*$D$219*E220</f>
        <v>63.1282305747745</v>
      </c>
      <c r="F221" s="19" t="n">
        <f aca="false">F209*$D$219*F220</f>
        <v>69.3527491354094</v>
      </c>
      <c r="G221" s="19" t="n">
        <f aca="false">G209*$D$219*G220</f>
        <v>72.926534586915</v>
      </c>
    </row>
    <row r="222" customFormat="false" ht="15" hidden="false" customHeight="false" outlineLevel="0" collapsed="false">
      <c r="A222" s="4" t="s">
        <v>473</v>
      </c>
      <c r="B222" s="0" t="s">
        <v>189</v>
      </c>
      <c r="C222" s="19" t="n">
        <f aca="false">a25_gen</f>
        <v>20.666572</v>
      </c>
      <c r="D222" s="19" t="n">
        <f aca="false">a26_gen</f>
        <v>31.528049</v>
      </c>
      <c r="E222" s="19" t="n">
        <f aca="false">D222*(1+g_gen_27)</f>
        <v>34.05029292</v>
      </c>
      <c r="F222" s="19" t="n">
        <f aca="false">E222*(1+g_gen_28)</f>
        <v>36.0933104952</v>
      </c>
      <c r="G222" s="19" t="n">
        <f aca="false">F222*(1+g_gen_29)</f>
        <v>37.89797601996</v>
      </c>
    </row>
    <row r="223" customFormat="false" ht="17.15" hidden="false" customHeight="false" outlineLevel="0" collapsed="false">
      <c r="A223" s="4" t="s">
        <v>474</v>
      </c>
      <c r="B223" s="0" t="s">
        <v>189</v>
      </c>
      <c r="C223" s="19" t="n">
        <f aca="false">a25_nai</f>
        <v>67.02672</v>
      </c>
      <c r="D223" s="19" t="n">
        <f aca="false">a26_nai</f>
        <v>74.3161155</v>
      </c>
      <c r="E223" s="19" t="n">
        <f aca="false">D223*(1+g_nai_27)</f>
        <v>78.77508243</v>
      </c>
      <c r="F223" s="19" t="n">
        <f aca="false">E223*(1+g_nai_28)</f>
        <v>82.7138365515</v>
      </c>
      <c r="G223" s="19" t="n">
        <f aca="false">F223*(1+g_nai_29)</f>
        <v>86.02239001356</v>
      </c>
    </row>
    <row r="224" customFormat="false" ht="15" hidden="false" customHeight="false" outlineLevel="0" collapsed="false">
      <c r="A224" s="4" t="s">
        <v>353</v>
      </c>
      <c r="B224" s="0" t="s">
        <v>189</v>
      </c>
      <c r="C224" s="19" t="n">
        <f aca="false">C217+C221+C222+C223</f>
        <v>139.639</v>
      </c>
      <c r="D224" s="19" t="n">
        <f aca="false">D217+D221+D222+D223</f>
        <v>225.20035</v>
      </c>
      <c r="E224" s="19" t="n">
        <f aca="false">E217+E221+E222+E223</f>
        <v>327.239464433426</v>
      </c>
      <c r="F224" s="19" t="n">
        <f aca="false">F217+F221+F222+F223</f>
        <v>416.423506785297</v>
      </c>
      <c r="G224" s="19" t="n">
        <f aca="false">G217+G221+G222+G223</f>
        <v>459.970816620959</v>
      </c>
    </row>
    <row r="225" customFormat="false" ht="15" hidden="false" customHeight="false" outlineLevel="0" collapsed="false">
      <c r="A225" s="4" t="s">
        <v>475</v>
      </c>
      <c r="B225" s="0" t="s">
        <v>49</v>
      </c>
      <c r="D225" s="14" t="n">
        <f aca="false">D224/C224-1</f>
        <v>0.612732474451979</v>
      </c>
      <c r="E225" s="14" t="n">
        <f aca="false">E224/D224-1</f>
        <v>0.453103711576941</v>
      </c>
      <c r="F225" s="14" t="n">
        <f aca="false">F224/E224-1</f>
        <v>0.272534495514719</v>
      </c>
      <c r="G225" s="14" t="n">
        <f aca="false">G224/F224-1</f>
        <v>0.104574571622621</v>
      </c>
    </row>
    <row r="226" customFormat="false" ht="17.15" hidden="false" customHeight="false" outlineLevel="0" collapsed="false">
      <c r="A226" s="4" t="s">
        <v>476</v>
      </c>
      <c r="B226" s="0" t="s">
        <v>49</v>
      </c>
      <c r="C226" s="14" t="n">
        <f aca="false">C217/C224</f>
        <v>0.15</v>
      </c>
      <c r="D226" s="14" t="n">
        <f aca="false">D217/D224</f>
        <v>0.32</v>
      </c>
      <c r="E226" s="14" t="n">
        <f aca="false">E217/E224</f>
        <v>0.462309332924084</v>
      </c>
      <c r="F226" s="14" t="n">
        <f aca="false">F217/F224</f>
        <v>0.548152558354199</v>
      </c>
      <c r="G226" s="14" t="n">
        <f aca="false">G217/G224</f>
        <v>0.572044804784544</v>
      </c>
    </row>
    <row r="227" customFormat="false" ht="17.15" hidden="false" customHeight="false" outlineLevel="0" collapsed="false">
      <c r="A227" s="0" t="s">
        <v>477</v>
      </c>
      <c r="B227" s="0" t="s">
        <v>49</v>
      </c>
      <c r="C227" s="14" t="n">
        <f aca="false">(C217+C221)/C224</f>
        <v>0.372</v>
      </c>
      <c r="D227" s="14" t="n">
        <f aca="false">(D217+D221)/D224</f>
        <v>0.53</v>
      </c>
      <c r="E227" s="14" t="n">
        <f aca="false">(E217+E221)/E224</f>
        <v>0.655220755402033</v>
      </c>
      <c r="F227" s="14" t="n">
        <f aca="false">(F217+F221)/F224</f>
        <v>0.714696348523006</v>
      </c>
      <c r="G227" s="14" t="n">
        <f aca="false">(G217+G221)/G224</f>
        <v>0.730590808034595</v>
      </c>
    </row>
    <row r="228" customFormat="false" ht="17.15" hidden="false" customHeight="false" outlineLevel="0" collapsed="false">
      <c r="A228" s="4" t="s">
        <v>431</v>
      </c>
      <c r="B228" s="0" t="s">
        <v>419</v>
      </c>
      <c r="D228" s="18" t="n">
        <f aca="false">(D217+D221)/fx/D209*1000</f>
        <v>159.399762088039</v>
      </c>
      <c r="E228" s="18" t="n">
        <f aca="false">(E217+E221)/fx/E209*1000</f>
        <v>160.887409885349</v>
      </c>
      <c r="F228" s="18" t="n">
        <f aca="false">(F217+F221)/fx/F209*1000</f>
        <v>176.172277927796</v>
      </c>
      <c r="G228" s="18" t="n">
        <f aca="false">(G217+G221)/fx/G209*1000</f>
        <v>174.622921450147</v>
      </c>
    </row>
    <row r="229" customFormat="false" ht="17.15" hidden="false" customHeight="false" outlineLevel="0" collapsed="false">
      <c r="A229" s="6" t="s">
        <v>478</v>
      </c>
    </row>
    <row r="230" customFormat="false" ht="17.15" hidden="false" customHeight="false" outlineLevel="0" collapsed="false">
      <c r="A230" s="4" t="s">
        <v>479</v>
      </c>
      <c r="B230" s="0" t="s">
        <v>49</v>
      </c>
      <c r="D230" s="14" t="n">
        <f aca="false">a26_gp/D224-d_lc*D226</f>
        <v>0.302821503074929</v>
      </c>
      <c r="H230" s="8" t="s">
        <v>480</v>
      </c>
    </row>
    <row r="231" customFormat="false" ht="15" hidden="false" customHeight="false" outlineLevel="0" collapsed="false">
      <c r="A231" s="4" t="s">
        <v>357</v>
      </c>
      <c r="B231" s="0" t="s">
        <v>189</v>
      </c>
      <c r="C231" s="19" t="n">
        <f aca="false">a25_gp</f>
        <v>36.034</v>
      </c>
      <c r="D231" s="19" t="n">
        <f aca="false">a26_gp</f>
        <v>72.5193552</v>
      </c>
      <c r="E231" s="19" t="n">
        <f aca="false">$D$230*E224+d_lc*E217</f>
        <v>108.172297995684</v>
      </c>
      <c r="F231" s="19" t="n">
        <f aca="false">$D$230*F224+d_lc*F217</f>
        <v>139.797808876648</v>
      </c>
      <c r="G231" s="19" t="n">
        <f aca="false">$D$230*G224+d_lc*G217</f>
        <v>155.076489019793</v>
      </c>
    </row>
    <row r="232" customFormat="false" ht="15" hidden="false" customHeight="false" outlineLevel="0" collapsed="false">
      <c r="A232" s="4" t="s">
        <v>360</v>
      </c>
      <c r="B232" s="0" t="s">
        <v>49</v>
      </c>
      <c r="C232" s="14" t="n">
        <f aca="false">C231/C224</f>
        <v>0.258051117524474</v>
      </c>
      <c r="D232" s="14" t="n">
        <f aca="false">D231/D224</f>
        <v>0.322021503074929</v>
      </c>
      <c r="E232" s="14" t="n">
        <f aca="false">E231/E224</f>
        <v>0.330560063050374</v>
      </c>
      <c r="F232" s="14" t="n">
        <f aca="false">F231/F224</f>
        <v>0.335710656576181</v>
      </c>
      <c r="G232" s="14" t="n">
        <f aca="false">G231/G224</f>
        <v>0.337144191362001</v>
      </c>
    </row>
    <row r="233" customFormat="false" ht="15" hidden="false" customHeight="false" outlineLevel="0" collapsed="false">
      <c r="A233" s="4" t="s">
        <v>481</v>
      </c>
      <c r="B233" s="0" t="s">
        <v>189</v>
      </c>
      <c r="C233" s="19" t="n">
        <f aca="false">a25_opx</f>
        <v>8.4832253</v>
      </c>
      <c r="D233" s="19" t="n">
        <f aca="false">a26_opx</f>
        <v>11.7048599</v>
      </c>
      <c r="E233" s="19" t="n">
        <f aca="false">D233*(1+MAX(0,phi*E225))</f>
        <v>15.4173207249247</v>
      </c>
      <c r="F233" s="19" t="n">
        <f aca="false">E233*(1+MAX(0,phi*F225))</f>
        <v>18.3585469330939</v>
      </c>
      <c r="G233" s="19" t="n">
        <f aca="false">F233*(1+MAX(0,phi*G225))</f>
        <v>19.7024329598933</v>
      </c>
    </row>
    <row r="234" customFormat="false" ht="15" hidden="false" customHeight="false" outlineLevel="0" collapsed="false">
      <c r="A234" s="4" t="s">
        <v>362</v>
      </c>
      <c r="B234" s="0" t="s">
        <v>189</v>
      </c>
      <c r="C234" s="19" t="n">
        <f aca="false">C233</f>
        <v>8.4832253</v>
      </c>
      <c r="D234" s="19" t="n">
        <f aca="false">D233</f>
        <v>11.7048599</v>
      </c>
      <c r="E234" s="19" t="n">
        <f aca="false">E233+0*E224</f>
        <v>15.4173207249247</v>
      </c>
      <c r="F234" s="19" t="n">
        <f aca="false">F233+0*F224</f>
        <v>18.3585469330939</v>
      </c>
      <c r="G234" s="19" t="n">
        <f aca="false">G233+0*G224</f>
        <v>19.7024329598933</v>
      </c>
    </row>
    <row r="235" customFormat="false" ht="15" hidden="false" customHeight="false" outlineLevel="0" collapsed="false">
      <c r="A235" s="4" t="s">
        <v>364</v>
      </c>
      <c r="B235" s="0" t="s">
        <v>189</v>
      </c>
      <c r="C235" s="19" t="n">
        <f aca="false">C231-C234</f>
        <v>27.5507747</v>
      </c>
      <c r="D235" s="19" t="n">
        <f aca="false">D231-D234</f>
        <v>60.8144953</v>
      </c>
      <c r="E235" s="19" t="n">
        <f aca="false">E231-E234</f>
        <v>92.7549772707592</v>
      </c>
      <c r="F235" s="19" t="n">
        <f aca="false">F231-F234</f>
        <v>121.439261943554</v>
      </c>
      <c r="G235" s="19" t="n">
        <f aca="false">G231-G234</f>
        <v>135.374056059899</v>
      </c>
    </row>
    <row r="236" customFormat="false" ht="15" hidden="false" customHeight="false" outlineLevel="0" collapsed="false">
      <c r="A236" s="4" t="s">
        <v>367</v>
      </c>
      <c r="B236" s="0" t="s">
        <v>49</v>
      </c>
      <c r="C236" s="14" t="n">
        <f aca="false">C235/C224</f>
        <v>0.1973</v>
      </c>
      <c r="D236" s="14" t="n">
        <f aca="false">D235/D224</f>
        <v>0.27004618465291</v>
      </c>
      <c r="E236" s="14" t="n">
        <f aca="false">E235/E224</f>
        <v>0.283446794632037</v>
      </c>
      <c r="F236" s="14" t="n">
        <f aca="false">F235/F224</f>
        <v>0.291624415924643</v>
      </c>
      <c r="G236" s="14" t="n">
        <f aca="false">G235/G224</f>
        <v>0.294310097876177</v>
      </c>
    </row>
    <row r="237" customFormat="false" ht="15" hidden="false" customHeight="false" outlineLevel="0" collapsed="false">
      <c r="A237" s="4" t="s">
        <v>369</v>
      </c>
      <c r="B237" s="0" t="s">
        <v>189</v>
      </c>
      <c r="C237" s="19" t="n">
        <f aca="false">a25_nop</f>
        <v>1.23179436863779</v>
      </c>
      <c r="D237" s="19" t="n">
        <f aca="false">a26_nop</f>
        <v>0.8186111</v>
      </c>
      <c r="E237" s="19" t="n">
        <f aca="false">nop_f</f>
        <v>1</v>
      </c>
      <c r="F237" s="19" t="n">
        <f aca="false">nop_f</f>
        <v>1</v>
      </c>
      <c r="G237" s="19" t="n">
        <f aca="false">nop_f</f>
        <v>1</v>
      </c>
    </row>
    <row r="238" customFormat="false" ht="17.15" hidden="false" customHeight="false" outlineLevel="0" collapsed="false">
      <c r="A238" s="4" t="s">
        <v>232</v>
      </c>
      <c r="B238" s="0" t="s">
        <v>49</v>
      </c>
      <c r="C238" s="14" t="n">
        <f aca="false">a25_ni/(a25_oi+a25_nop)</f>
        <v>0.666583999303438</v>
      </c>
      <c r="D238" s="14" t="n">
        <f aca="false">a26_ni/(a26_oi+a26_nop)</f>
        <v>0.674837141220258</v>
      </c>
      <c r="E238" s="14" t="n">
        <f aca="false">nir_f</f>
        <v>0.675</v>
      </c>
      <c r="F238" s="14" t="n">
        <f aca="false">nir_f</f>
        <v>0.675</v>
      </c>
      <c r="G238" s="14" t="n">
        <f aca="false">nir_f</f>
        <v>0.675</v>
      </c>
    </row>
    <row r="239" customFormat="false" ht="15" hidden="false" customHeight="false" outlineLevel="0" collapsed="false">
      <c r="A239" s="4" t="s">
        <v>373</v>
      </c>
      <c r="B239" s="0" t="s">
        <v>189</v>
      </c>
      <c r="C239" s="19" t="n">
        <f aca="false">a25_ni</f>
        <v>19.186</v>
      </c>
      <c r="D239" s="19" t="n">
        <f aca="false">a26_ni</f>
        <v>41.5923093275</v>
      </c>
      <c r="E239" s="19" t="n">
        <f aca="false">(E235+E237)*E238</f>
        <v>63.2846096577625</v>
      </c>
      <c r="F239" s="19" t="n">
        <f aca="false">(F235+F237)*F238</f>
        <v>82.6465018118988</v>
      </c>
      <c r="G239" s="19" t="n">
        <f aca="false">(G235+G237)*G238</f>
        <v>92.052487840432</v>
      </c>
    </row>
    <row r="240" customFormat="false" ht="15" hidden="false" customHeight="false" outlineLevel="0" collapsed="false">
      <c r="A240" s="4" t="s">
        <v>482</v>
      </c>
      <c r="B240" s="4" t="s">
        <v>215</v>
      </c>
      <c r="C240" s="22" t="n">
        <f aca="false">a25_sh</f>
        <v>0.390197274761033</v>
      </c>
      <c r="D240" s="22" t="n">
        <f aca="false">a26_sh</f>
        <v>0.392523574315222</v>
      </c>
      <c r="E240" s="22" t="n">
        <f aca="false">D240*(1+sh_g)</f>
        <v>0.392523574315222</v>
      </c>
      <c r="F240" s="22" t="n">
        <f aca="false">E240*(1+sh_g)</f>
        <v>0.392523574315222</v>
      </c>
      <c r="G240" s="22" t="n">
        <f aca="false">F240*(1+sh_g)</f>
        <v>0.392523574315222</v>
      </c>
    </row>
    <row r="241" customFormat="false" ht="15" hidden="false" customHeight="false" outlineLevel="0" collapsed="false">
      <c r="A241" s="0" t="s">
        <v>378</v>
      </c>
      <c r="B241" s="0" t="s">
        <v>252</v>
      </c>
      <c r="C241" s="20" t="n">
        <f aca="false">C239/C240</f>
        <v>49.17</v>
      </c>
      <c r="D241" s="20" t="n">
        <f aca="false">D239/D240</f>
        <v>105.961302834002</v>
      </c>
      <c r="E241" s="20" t="n">
        <f aca="false">E239/E240</f>
        <v>161.224990800019</v>
      </c>
      <c r="F241" s="20" t="n">
        <f aca="false">F239/F240</f>
        <v>210.551689681518</v>
      </c>
      <c r="G241" s="20" t="n">
        <f aca="false">G239/G240</f>
        <v>234.514546039744</v>
      </c>
    </row>
    <row r="242" customFormat="false" ht="17.15" hidden="false" customHeight="false" outlineLevel="0" collapsed="false">
      <c r="A242" s="0" t="s">
        <v>483</v>
      </c>
      <c r="B242" s="0" t="s">
        <v>49</v>
      </c>
      <c r="D242" s="14" t="n">
        <f aca="false">D241/C241-1</f>
        <v>1.15499904075659</v>
      </c>
      <c r="E242" s="14" t="n">
        <f aca="false">E241/D241-1</f>
        <v>0.52154594637812</v>
      </c>
      <c r="F242" s="14" t="n">
        <f aca="false">F241/E241-1</f>
        <v>0.305949460047928</v>
      </c>
      <c r="G242" s="14" t="n">
        <f aca="false">G241/F241-1</f>
        <v>0.11380985065697</v>
      </c>
    </row>
    <row r="245" customFormat="false" ht="17.15" hidden="false" customHeight="false" outlineLevel="0" collapsed="false">
      <c r="A245" s="1" t="s">
        <v>794</v>
      </c>
    </row>
    <row r="246" customFormat="false" ht="17.15" hidden="false" customHeight="false" outlineLevel="0" collapsed="false">
      <c r="A246" s="5" t="s">
        <v>18</v>
      </c>
      <c r="B246" s="5" t="s">
        <v>19</v>
      </c>
      <c r="C246" s="11" t="s">
        <v>347</v>
      </c>
      <c r="D246" s="11" t="s">
        <v>436</v>
      </c>
      <c r="E246" s="11" t="s">
        <v>437</v>
      </c>
      <c r="F246" s="11" t="s">
        <v>438</v>
      </c>
      <c r="G246" s="11" t="s">
        <v>439</v>
      </c>
      <c r="H246" s="5" t="s">
        <v>412</v>
      </c>
    </row>
    <row r="247" customFormat="false" ht="17.15" hidden="false" customHeight="false" outlineLevel="0" collapsed="false">
      <c r="A247" s="6" t="s">
        <v>455</v>
      </c>
    </row>
    <row r="248" customFormat="false" ht="17.15" hidden="false" customHeight="false" outlineLevel="0" collapsed="false">
      <c r="A248" s="0" t="s">
        <v>456</v>
      </c>
      <c r="B248" s="0" t="s">
        <v>29</v>
      </c>
      <c r="D248" s="20" t="n">
        <f aca="false">itc_26*1</f>
        <v>781.872916666667</v>
      </c>
      <c r="E248" s="20" t="n">
        <f aca="false">itc_27*1*1</f>
        <v>1565.35</v>
      </c>
      <c r="F248" s="20" t="n">
        <f aca="false">itc_28*um28_A*1</f>
        <v>1984.26388888889</v>
      </c>
      <c r="G248" s="20" t="n">
        <f aca="false">itc_29*um29_A*1</f>
        <v>2260.39027777778</v>
      </c>
    </row>
    <row r="249" customFormat="false" ht="17.15" hidden="false" customHeight="false" outlineLevel="0" collapsed="false">
      <c r="A249" s="4" t="s">
        <v>457</v>
      </c>
      <c r="B249" s="0" t="s">
        <v>29</v>
      </c>
      <c r="D249" s="20" t="n">
        <f aca="false">itpg_gb*(1-vr26)+itpg_vr*vr26</f>
        <v>33.41403216</v>
      </c>
      <c r="E249" s="20" t="n">
        <f aca="false">itpg_vr</f>
        <v>37.586352</v>
      </c>
      <c r="F249" s="20" t="n">
        <f aca="false">itpg_vr</f>
        <v>37.586352</v>
      </c>
      <c r="G249" s="20" t="n">
        <f aca="false">itpg_vr</f>
        <v>37.586352</v>
      </c>
    </row>
    <row r="250" customFormat="false" ht="17.15" hidden="false" customHeight="false" outlineLevel="0" collapsed="false">
      <c r="A250" s="4" t="s">
        <v>458</v>
      </c>
      <c r="B250" s="0" t="s">
        <v>414</v>
      </c>
      <c r="D250" s="17" t="n">
        <f aca="false">D248/D249</f>
        <v>23.3995380420639</v>
      </c>
      <c r="E250" s="17" t="n">
        <f aca="false">E248/E249</f>
        <v>41.6467658260637</v>
      </c>
      <c r="F250" s="17" t="n">
        <f aca="false">F248/F249</f>
        <v>52.792138191248</v>
      </c>
      <c r="G250" s="17" t="n">
        <f aca="false">G248/G249</f>
        <v>60.1385917361116</v>
      </c>
    </row>
    <row r="251" customFormat="false" ht="17.15" hidden="false" customHeight="false" outlineLevel="0" collapsed="false">
      <c r="A251" s="4" t="s">
        <v>459</v>
      </c>
      <c r="B251" s="0" t="s">
        <v>49</v>
      </c>
      <c r="D251" s="14" t="n">
        <f aca="false">LPHI_26</f>
        <v>0.65</v>
      </c>
      <c r="E251" s="14" t="n">
        <f aca="false">LPHI_27</f>
        <v>0.85</v>
      </c>
      <c r="F251" s="14" t="n">
        <f aca="false">LPHI_28</f>
        <v>0.95</v>
      </c>
      <c r="G251" s="14" t="n">
        <f aca="false">LPHI_29</f>
        <v>0.95</v>
      </c>
    </row>
    <row r="252" customFormat="false" ht="17.15" hidden="false" customHeight="false" outlineLevel="0" collapsed="false">
      <c r="A252" s="4" t="s">
        <v>460</v>
      </c>
      <c r="B252" s="0" t="s">
        <v>419</v>
      </c>
      <c r="D252" s="18" t="n">
        <f aca="false">((1-vr26)*racks_gb*(cool_gb+mani)+vr26*racks_vr*(cool_vr+mani))/1000</f>
        <v>350.7208</v>
      </c>
      <c r="E252" s="18" t="n">
        <f aca="false">racks_vr*(cool_vr+mani)*lcadj_27/1000</f>
        <v>326.5912</v>
      </c>
      <c r="F252" s="18" t="n">
        <f aca="false">racks_vr*(cool_vr+mani)*lcadj_28/1000</f>
        <v>351.7136</v>
      </c>
      <c r="G252" s="18" t="n">
        <f aca="false">racks_vr*(cool_vr+mani)*lcadj_29/1000</f>
        <v>351.7136</v>
      </c>
      <c r="H252" s="4" t="s">
        <v>461</v>
      </c>
    </row>
    <row r="253" customFormat="false" ht="17.15" hidden="false" customHeight="false" outlineLevel="0" collapsed="false">
      <c r="A253" s="0" t="s">
        <v>462</v>
      </c>
      <c r="B253" s="0" t="s">
        <v>29</v>
      </c>
      <c r="D253" s="20" t="n">
        <f aca="false">D250*D251*D252/1000</f>
        <v>5.33435805613301</v>
      </c>
      <c r="E253" s="20" t="n">
        <f aca="false">E250*E251*E252/1000</f>
        <v>11.5612471431652</v>
      </c>
      <c r="F253" s="20" t="n">
        <f aca="false">F250*F251*F252/1000</f>
        <v>17.6393273261943</v>
      </c>
      <c r="G253" s="20" t="n">
        <f aca="false">G250*G251*G252/1000</f>
        <v>20.0939825685161</v>
      </c>
    </row>
    <row r="254" customFormat="false" ht="17.15" hidden="false" customHeight="false" outlineLevel="0" collapsed="false">
      <c r="A254" s="0" t="s">
        <v>463</v>
      </c>
      <c r="B254" s="0" t="s">
        <v>189</v>
      </c>
      <c r="D254" s="19" t="n">
        <f aca="false">D253*fx</f>
        <v>170.699457796256</v>
      </c>
      <c r="E254" s="19" t="n">
        <f aca="false">E253*fx</f>
        <v>369.959908581285</v>
      </c>
      <c r="F254" s="19" t="n">
        <f aca="false">F253*fx</f>
        <v>564.458474438216</v>
      </c>
      <c r="G254" s="19" t="n">
        <f aca="false">G253*fx</f>
        <v>643.007442192516</v>
      </c>
    </row>
    <row r="255" customFormat="false" ht="17.15" hidden="false" customHeight="false" outlineLevel="0" collapsed="false">
      <c r="A255" s="4" t="s">
        <v>464</v>
      </c>
      <c r="B255" s="0" t="s">
        <v>49</v>
      </c>
      <c r="D255" s="14" t="n">
        <f aca="false">a26_lc/D254</f>
        <v>0.422169542483342</v>
      </c>
      <c r="H255" s="8" t="s">
        <v>465</v>
      </c>
    </row>
    <row r="256" customFormat="false" ht="17.15" hidden="false" customHeight="false" outlineLevel="0" collapsed="false">
      <c r="A256" s="4" t="s">
        <v>466</v>
      </c>
      <c r="B256" s="0" t="s">
        <v>70</v>
      </c>
      <c r="D256" s="15" t="n">
        <f aca="false">1</f>
        <v>1</v>
      </c>
      <c r="E256" s="15" t="n">
        <f aca="false">rel_27</f>
        <v>0.95</v>
      </c>
      <c r="F256" s="15" t="n">
        <f aca="false">rel_28</f>
        <v>0.9</v>
      </c>
      <c r="G256" s="15" t="n">
        <f aca="false">rel_29</f>
        <v>0.85</v>
      </c>
    </row>
    <row r="257" customFormat="false" ht="15" hidden="false" customHeight="false" outlineLevel="0" collapsed="false">
      <c r="A257" s="4" t="s">
        <v>426</v>
      </c>
      <c r="B257" s="0" t="s">
        <v>49</v>
      </c>
      <c r="D257" s="14" t="n">
        <f aca="false">$D$255*D256</f>
        <v>0.422169542483342</v>
      </c>
      <c r="E257" s="14" t="n">
        <f aca="false">$D$255*E256</f>
        <v>0.401061065359174</v>
      </c>
      <c r="F257" s="14" t="n">
        <f aca="false">$D$255*F256</f>
        <v>0.379952588235007</v>
      </c>
      <c r="G257" s="14" t="n">
        <f aca="false">$D$255*G256</f>
        <v>0.35884411111084</v>
      </c>
    </row>
    <row r="258" customFormat="false" ht="15" hidden="false" customHeight="false" outlineLevel="0" collapsed="false">
      <c r="A258" s="4" t="s">
        <v>467</v>
      </c>
      <c r="B258" s="0" t="s">
        <v>189</v>
      </c>
      <c r="C258" s="19" t="n">
        <f aca="false">a25_lc</f>
        <v>20.94585</v>
      </c>
      <c r="D258" s="19" t="n">
        <f aca="false">D254*D257</f>
        <v>72.064112</v>
      </c>
      <c r="E258" s="19" t="n">
        <f aca="false">E254*E257</f>
        <v>148.376515075793</v>
      </c>
      <c r="F258" s="19" t="n">
        <f aca="false">F254*F257</f>
        <v>214.467458313984</v>
      </c>
      <c r="G258" s="19" t="n">
        <f aca="false">G254*G257</f>
        <v>230.739434031229</v>
      </c>
    </row>
    <row r="259" customFormat="false" ht="17.15" hidden="false" customHeight="false" outlineLevel="0" collapsed="false">
      <c r="A259" s="6" t="s">
        <v>468</v>
      </c>
    </row>
    <row r="260" customFormat="false" ht="17.15" hidden="false" customHeight="false" outlineLevel="0" collapsed="false">
      <c r="A260" s="0" t="s">
        <v>469</v>
      </c>
      <c r="B260" s="0" t="s">
        <v>470</v>
      </c>
      <c r="D260" s="22" t="n">
        <f aca="false">a26_air/D250</f>
        <v>2.02106868156909</v>
      </c>
    </row>
    <row r="261" customFormat="false" ht="17.15" hidden="false" customHeight="false" outlineLevel="0" collapsed="false">
      <c r="A261" s="0" t="s">
        <v>471</v>
      </c>
      <c r="B261" s="0" t="s">
        <v>70</v>
      </c>
      <c r="D261" s="15" t="n">
        <f aca="false">1</f>
        <v>1</v>
      </c>
      <c r="E261" s="15" t="n">
        <f aca="false">acr_27</f>
        <v>0.75</v>
      </c>
      <c r="F261" s="15" t="n">
        <f aca="false">acr_28</f>
        <v>0.65</v>
      </c>
      <c r="G261" s="15" t="n">
        <f aca="false">acr_29</f>
        <v>0.6</v>
      </c>
    </row>
    <row r="262" customFormat="false" ht="17.15" hidden="false" customHeight="false" outlineLevel="0" collapsed="false">
      <c r="A262" s="0" t="s">
        <v>472</v>
      </c>
      <c r="B262" s="0" t="s">
        <v>189</v>
      </c>
      <c r="C262" s="19" t="n">
        <f aca="false">a25_air</f>
        <v>30.999858</v>
      </c>
      <c r="D262" s="19" t="n">
        <f aca="false">D250*$D$260*D261</f>
        <v>47.2920735</v>
      </c>
      <c r="E262" s="19" t="n">
        <f aca="false">E250*$D$260*E261</f>
        <v>63.1282305747745</v>
      </c>
      <c r="F262" s="19" t="n">
        <f aca="false">F250*$D$260*F261</f>
        <v>69.3527491354094</v>
      </c>
      <c r="G262" s="19" t="n">
        <f aca="false">G250*$D$260*G261</f>
        <v>72.926534586915</v>
      </c>
    </row>
    <row r="263" customFormat="false" ht="15" hidden="false" customHeight="false" outlineLevel="0" collapsed="false">
      <c r="A263" s="4" t="s">
        <v>473</v>
      </c>
      <c r="B263" s="0" t="s">
        <v>189</v>
      </c>
      <c r="C263" s="19" t="n">
        <f aca="false">a25_gen</f>
        <v>20.666572</v>
      </c>
      <c r="D263" s="19" t="n">
        <f aca="false">a26_gen</f>
        <v>31.528049</v>
      </c>
      <c r="E263" s="19" t="n">
        <f aca="false">D263*(1+g_gen_27)</f>
        <v>34.05029292</v>
      </c>
      <c r="F263" s="19" t="n">
        <f aca="false">E263*(1+g_gen_28)</f>
        <v>36.0933104952</v>
      </c>
      <c r="G263" s="19" t="n">
        <f aca="false">F263*(1+g_gen_29)</f>
        <v>37.89797601996</v>
      </c>
    </row>
    <row r="264" customFormat="false" ht="17.15" hidden="false" customHeight="false" outlineLevel="0" collapsed="false">
      <c r="A264" s="4" t="s">
        <v>474</v>
      </c>
      <c r="B264" s="0" t="s">
        <v>189</v>
      </c>
      <c r="C264" s="19" t="n">
        <f aca="false">a25_nai</f>
        <v>67.02672</v>
      </c>
      <c r="D264" s="19" t="n">
        <f aca="false">a26_nai</f>
        <v>74.3161155</v>
      </c>
      <c r="E264" s="19" t="n">
        <f aca="false">D264*(1+g_nai_27)</f>
        <v>78.77508243</v>
      </c>
      <c r="F264" s="19" t="n">
        <f aca="false">E264*(1+g_nai_28)</f>
        <v>82.7138365515</v>
      </c>
      <c r="G264" s="19" t="n">
        <f aca="false">F264*(1+g_nai_29)</f>
        <v>86.02239001356</v>
      </c>
    </row>
    <row r="265" customFormat="false" ht="15" hidden="false" customHeight="false" outlineLevel="0" collapsed="false">
      <c r="A265" s="4" t="s">
        <v>353</v>
      </c>
      <c r="B265" s="0" t="s">
        <v>189</v>
      </c>
      <c r="C265" s="19" t="n">
        <f aca="false">C258+C262+C263+C264</f>
        <v>139.639</v>
      </c>
      <c r="D265" s="19" t="n">
        <f aca="false">D258+D262+D263+D264</f>
        <v>225.20035</v>
      </c>
      <c r="E265" s="19" t="n">
        <f aca="false">E258+E262+E263+E264</f>
        <v>324.330121000567</v>
      </c>
      <c r="F265" s="19" t="n">
        <f aca="false">F258+F262+F263+F264</f>
        <v>402.627354496093</v>
      </c>
      <c r="G265" s="19" t="n">
        <f aca="false">G258+G262+G263+G264</f>
        <v>427.586334651664</v>
      </c>
    </row>
    <row r="266" customFormat="false" ht="15" hidden="false" customHeight="false" outlineLevel="0" collapsed="false">
      <c r="A266" s="4" t="s">
        <v>475</v>
      </c>
      <c r="B266" s="0" t="s">
        <v>49</v>
      </c>
      <c r="D266" s="14" t="n">
        <f aca="false">D265/C265-1</f>
        <v>0.612732474451979</v>
      </c>
      <c r="E266" s="14" t="n">
        <f aca="false">E265/D265-1</f>
        <v>0.440184799892929</v>
      </c>
      <c r="F266" s="14" t="n">
        <f aca="false">F265/E265-1</f>
        <v>0.241412155164549</v>
      </c>
      <c r="G266" s="14" t="n">
        <f aca="false">G265/F265-1</f>
        <v>0.0619902743240275</v>
      </c>
    </row>
    <row r="267" customFormat="false" ht="17.15" hidden="false" customHeight="false" outlineLevel="0" collapsed="false">
      <c r="A267" s="4" t="s">
        <v>476</v>
      </c>
      <c r="B267" s="0" t="s">
        <v>49</v>
      </c>
      <c r="C267" s="14" t="n">
        <f aca="false">C258/C265</f>
        <v>0.15</v>
      </c>
      <c r="D267" s="14" t="n">
        <f aca="false">D258/D265</f>
        <v>0.32</v>
      </c>
      <c r="E267" s="14" t="n">
        <f aca="false">E258/E265</f>
        <v>0.45748607812943</v>
      </c>
      <c r="F267" s="14" t="n">
        <f aca="false">F258/F265</f>
        <v>0.532669864377198</v>
      </c>
      <c r="G267" s="14" t="n">
        <f aca="false">G258/G265</f>
        <v>0.539632386098593</v>
      </c>
    </row>
    <row r="268" customFormat="false" ht="17.15" hidden="false" customHeight="false" outlineLevel="0" collapsed="false">
      <c r="A268" s="0" t="s">
        <v>477</v>
      </c>
      <c r="B268" s="0" t="s">
        <v>49</v>
      </c>
      <c r="C268" s="14" t="n">
        <f aca="false">(C258+C262)/C265</f>
        <v>0.372</v>
      </c>
      <c r="D268" s="14" t="n">
        <f aca="false">(D258+D262)/D265</f>
        <v>0.53</v>
      </c>
      <c r="E268" s="14" t="n">
        <f aca="false">(E258+E262)/E265</f>
        <v>0.652127976883767</v>
      </c>
      <c r="F268" s="14" t="n">
        <f aca="false">(F258+F262)/F265</f>
        <v>0.704920329629882</v>
      </c>
      <c r="G268" s="14" t="n">
        <f aca="false">(G258+G262)/G265</f>
        <v>0.710186327319201</v>
      </c>
    </row>
    <row r="269" customFormat="false" ht="17.15" hidden="false" customHeight="false" outlineLevel="0" collapsed="false">
      <c r="A269" s="4" t="s">
        <v>431</v>
      </c>
      <c r="B269" s="0" t="s">
        <v>419</v>
      </c>
      <c r="D269" s="18" t="n">
        <f aca="false">(D258+D262)/fx/D250*1000</f>
        <v>159.399762088039</v>
      </c>
      <c r="E269" s="18" t="n">
        <f aca="false">(E258+E262)/fx/E250*1000</f>
        <v>158.704359641867</v>
      </c>
      <c r="F269" s="18" t="n">
        <f aca="false">(F258+F262)/fx/F250*1000</f>
        <v>168.005725599952</v>
      </c>
      <c r="G269" s="18" t="n">
        <f aca="false">(G258+G262)/fx/G250*1000</f>
        <v>157.794874229134</v>
      </c>
    </row>
    <row r="270" customFormat="false" ht="17.15" hidden="false" customHeight="false" outlineLevel="0" collapsed="false">
      <c r="A270" s="6" t="s">
        <v>478</v>
      </c>
    </row>
    <row r="271" customFormat="false" ht="17.15" hidden="false" customHeight="false" outlineLevel="0" collapsed="false">
      <c r="A271" s="4" t="s">
        <v>479</v>
      </c>
      <c r="B271" s="0" t="s">
        <v>49</v>
      </c>
      <c r="D271" s="14" t="n">
        <f aca="false">a26_gp/D265-d_lc*D267</f>
        <v>0.302821503074929</v>
      </c>
      <c r="H271" s="8" t="s">
        <v>480</v>
      </c>
    </row>
    <row r="272" customFormat="false" ht="15" hidden="false" customHeight="false" outlineLevel="0" collapsed="false">
      <c r="A272" s="4" t="s">
        <v>357</v>
      </c>
      <c r="B272" s="0" t="s">
        <v>189</v>
      </c>
      <c r="C272" s="19" t="n">
        <f aca="false">a25_gp</f>
        <v>36.034</v>
      </c>
      <c r="D272" s="19" t="n">
        <f aca="false">a26_gp</f>
        <v>72.5193552</v>
      </c>
      <c r="E272" s="19" t="n">
        <f aca="false">$D$271*E265+d_lc*E258</f>
        <v>107.116725638413</v>
      </c>
      <c r="F272" s="19" t="n">
        <f aca="false">$D$271*F265+d_lc*F258</f>
        <v>134.792268166428</v>
      </c>
      <c r="G272" s="19" t="n">
        <f aca="false">$D$271*G265+d_lc*G258</f>
        <v>143.32670259539</v>
      </c>
    </row>
    <row r="273" customFormat="false" ht="15" hidden="false" customHeight="false" outlineLevel="0" collapsed="false">
      <c r="A273" s="4" t="s">
        <v>360</v>
      </c>
      <c r="B273" s="0" t="s">
        <v>49</v>
      </c>
      <c r="C273" s="14" t="n">
        <f aca="false">C272/C265</f>
        <v>0.258051117524474</v>
      </c>
      <c r="D273" s="14" t="n">
        <f aca="false">D272/D265</f>
        <v>0.322021503074929</v>
      </c>
      <c r="E273" s="14" t="n">
        <f aca="false">E272/E265</f>
        <v>0.330270667762695</v>
      </c>
      <c r="F273" s="14" t="n">
        <f aca="false">F272/F265</f>
        <v>0.334781694937561</v>
      </c>
      <c r="G273" s="14" t="n">
        <f aca="false">G272/G265</f>
        <v>0.335199446240844</v>
      </c>
    </row>
    <row r="274" customFormat="false" ht="15" hidden="false" customHeight="false" outlineLevel="0" collapsed="false">
      <c r="A274" s="4" t="s">
        <v>481</v>
      </c>
      <c r="B274" s="0" t="s">
        <v>189</v>
      </c>
      <c r="C274" s="19" t="n">
        <f aca="false">a25_opx</f>
        <v>8.4832253</v>
      </c>
      <c r="D274" s="19" t="n">
        <f aca="false">a26_opx</f>
        <v>11.7048599</v>
      </c>
      <c r="E274" s="19" t="n">
        <f aca="false">D274*(1+MAX(0,phi*E266))</f>
        <v>15.3114708889994</v>
      </c>
      <c r="F274" s="19" t="n">
        <f aca="false">E274*(1+MAX(0,phi*F266))</f>
        <v>17.8989335192362</v>
      </c>
      <c r="G274" s="19" t="n">
        <f aca="false">F274*(1+MAX(0,phi*G266))</f>
        <v>18.6756253785117</v>
      </c>
    </row>
    <row r="275" customFormat="false" ht="15" hidden="false" customHeight="false" outlineLevel="0" collapsed="false">
      <c r="A275" s="4" t="s">
        <v>362</v>
      </c>
      <c r="B275" s="0" t="s">
        <v>189</v>
      </c>
      <c r="C275" s="19" t="n">
        <f aca="false">C274</f>
        <v>8.4832253</v>
      </c>
      <c r="D275" s="19" t="n">
        <f aca="false">D274</f>
        <v>11.7048599</v>
      </c>
      <c r="E275" s="19" t="n">
        <f aca="false">E274+0*E265</f>
        <v>15.3114708889994</v>
      </c>
      <c r="F275" s="19" t="n">
        <f aca="false">F274+0*F265</f>
        <v>17.8989335192362</v>
      </c>
      <c r="G275" s="19" t="n">
        <f aca="false">G274+0*G265</f>
        <v>18.6756253785117</v>
      </c>
    </row>
    <row r="276" customFormat="false" ht="15" hidden="false" customHeight="false" outlineLevel="0" collapsed="false">
      <c r="A276" s="4" t="s">
        <v>364</v>
      </c>
      <c r="B276" s="0" t="s">
        <v>189</v>
      </c>
      <c r="C276" s="19" t="n">
        <f aca="false">C272-C275</f>
        <v>27.5507747</v>
      </c>
      <c r="D276" s="19" t="n">
        <f aca="false">D272-D275</f>
        <v>60.8144953</v>
      </c>
      <c r="E276" s="19" t="n">
        <f aca="false">E272-E275</f>
        <v>91.8052547494135</v>
      </c>
      <c r="F276" s="19" t="n">
        <f aca="false">F272-F275</f>
        <v>116.893334647192</v>
      </c>
      <c r="G276" s="19" t="n">
        <f aca="false">G272-G275</f>
        <v>124.651077216878</v>
      </c>
    </row>
    <row r="277" customFormat="false" ht="15" hidden="false" customHeight="false" outlineLevel="0" collapsed="false">
      <c r="A277" s="4" t="s">
        <v>367</v>
      </c>
      <c r="B277" s="0" t="s">
        <v>49</v>
      </c>
      <c r="C277" s="14" t="n">
        <f aca="false">C276/C265</f>
        <v>0.1973</v>
      </c>
      <c r="D277" s="14" t="n">
        <f aca="false">D276/D265</f>
        <v>0.27004618465291</v>
      </c>
      <c r="E277" s="14" t="n">
        <f aca="false">E276/E265</f>
        <v>0.283061142968133</v>
      </c>
      <c r="F277" s="14" t="n">
        <f aca="false">F276/F265</f>
        <v>0.290326360943581</v>
      </c>
      <c r="G277" s="14" t="n">
        <f aca="false">G276/G265</f>
        <v>0.291522593486123</v>
      </c>
    </row>
    <row r="278" customFormat="false" ht="15" hidden="false" customHeight="false" outlineLevel="0" collapsed="false">
      <c r="A278" s="4" t="s">
        <v>369</v>
      </c>
      <c r="B278" s="0" t="s">
        <v>189</v>
      </c>
      <c r="C278" s="19" t="n">
        <f aca="false">a25_nop</f>
        <v>1.23179436863779</v>
      </c>
      <c r="D278" s="19" t="n">
        <f aca="false">a26_nop</f>
        <v>0.8186111</v>
      </c>
      <c r="E278" s="19" t="n">
        <f aca="false">nop_f</f>
        <v>1</v>
      </c>
      <c r="F278" s="19" t="n">
        <f aca="false">nop_f</f>
        <v>1</v>
      </c>
      <c r="G278" s="19" t="n">
        <f aca="false">nop_f</f>
        <v>1</v>
      </c>
    </row>
    <row r="279" customFormat="false" ht="17.15" hidden="false" customHeight="false" outlineLevel="0" collapsed="false">
      <c r="A279" s="4" t="s">
        <v>232</v>
      </c>
      <c r="B279" s="0" t="s">
        <v>49</v>
      </c>
      <c r="C279" s="14" t="n">
        <f aca="false">a25_ni/(a25_oi+a25_nop)</f>
        <v>0.666583999303438</v>
      </c>
      <c r="D279" s="14" t="n">
        <f aca="false">a26_ni/(a26_oi+a26_nop)</f>
        <v>0.674837141220258</v>
      </c>
      <c r="E279" s="14" t="n">
        <f aca="false">nir_f</f>
        <v>0.675</v>
      </c>
      <c r="F279" s="14" t="n">
        <f aca="false">nir_f</f>
        <v>0.675</v>
      </c>
      <c r="G279" s="14" t="n">
        <f aca="false">nir_f</f>
        <v>0.675</v>
      </c>
    </row>
    <row r="280" customFormat="false" ht="15" hidden="false" customHeight="false" outlineLevel="0" collapsed="false">
      <c r="A280" s="4" t="s">
        <v>373</v>
      </c>
      <c r="B280" s="0" t="s">
        <v>189</v>
      </c>
      <c r="C280" s="19" t="n">
        <f aca="false">a25_ni</f>
        <v>19.186</v>
      </c>
      <c r="D280" s="19" t="n">
        <f aca="false">a26_ni</f>
        <v>41.5923093275</v>
      </c>
      <c r="E280" s="19" t="n">
        <f aca="false">(E276+E278)*E279</f>
        <v>62.6435469558541</v>
      </c>
      <c r="F280" s="19" t="n">
        <f aca="false">(F276+F278)*F279</f>
        <v>79.5780008868546</v>
      </c>
      <c r="G280" s="19" t="n">
        <f aca="false">(G276+G278)*G279</f>
        <v>84.8144771213928</v>
      </c>
    </row>
    <row r="281" customFormat="false" ht="15" hidden="false" customHeight="false" outlineLevel="0" collapsed="false">
      <c r="A281" s="4" t="s">
        <v>482</v>
      </c>
      <c r="B281" s="4" t="s">
        <v>215</v>
      </c>
      <c r="C281" s="22" t="n">
        <f aca="false">a25_sh</f>
        <v>0.390197274761033</v>
      </c>
      <c r="D281" s="22" t="n">
        <f aca="false">a26_sh</f>
        <v>0.392523574315222</v>
      </c>
      <c r="E281" s="22" t="n">
        <f aca="false">D281*(1+sh_g)</f>
        <v>0.392523574315222</v>
      </c>
      <c r="F281" s="22" t="n">
        <f aca="false">E281*(1+sh_g)</f>
        <v>0.392523574315222</v>
      </c>
      <c r="G281" s="22" t="n">
        <f aca="false">F281*(1+sh_g)</f>
        <v>0.392523574315222</v>
      </c>
    </row>
    <row r="282" customFormat="false" ht="15" hidden="false" customHeight="false" outlineLevel="0" collapsed="false">
      <c r="A282" s="0" t="s">
        <v>378</v>
      </c>
      <c r="B282" s="0" t="s">
        <v>252</v>
      </c>
      <c r="C282" s="20" t="n">
        <f aca="false">C280/C281</f>
        <v>49.17</v>
      </c>
      <c r="D282" s="20" t="n">
        <f aca="false">D280/D281</f>
        <v>105.961302834002</v>
      </c>
      <c r="E282" s="20" t="n">
        <f aca="false">E280/E281</f>
        <v>159.591808122962</v>
      </c>
      <c r="F282" s="20" t="n">
        <f aca="false">F280/F281</f>
        <v>202.734322456129</v>
      </c>
      <c r="G282" s="20" t="n">
        <f aca="false">G280/G281</f>
        <v>216.074861922258</v>
      </c>
    </row>
    <row r="283" customFormat="false" ht="17.15" hidden="false" customHeight="false" outlineLevel="0" collapsed="false">
      <c r="A283" s="0" t="s">
        <v>483</v>
      </c>
      <c r="B283" s="0" t="s">
        <v>49</v>
      </c>
      <c r="D283" s="14" t="n">
        <f aca="false">D282/C282-1</f>
        <v>1.15499904075659</v>
      </c>
      <c r="E283" s="14" t="n">
        <f aca="false">E282/D282-1</f>
        <v>0.506132935841471</v>
      </c>
      <c r="F283" s="14" t="n">
        <f aca="false">F282/E282-1</f>
        <v>0.270330381243169</v>
      </c>
      <c r="G283" s="14" t="n">
        <f aca="false">G282/F282-1</f>
        <v>0.0658030633614881</v>
      </c>
    </row>
    <row r="286" customFormat="false" ht="17.15" hidden="false" customHeight="false" outlineLevel="0" collapsed="false">
      <c r="A286" s="1" t="s">
        <v>795</v>
      </c>
    </row>
    <row r="287" customFormat="false" ht="17.15" hidden="false" customHeight="false" outlineLevel="0" collapsed="false">
      <c r="A287" s="5" t="s">
        <v>18</v>
      </c>
      <c r="B287" s="5" t="s">
        <v>19</v>
      </c>
      <c r="C287" s="11" t="s">
        <v>347</v>
      </c>
      <c r="D287" s="11" t="s">
        <v>436</v>
      </c>
      <c r="E287" s="11" t="s">
        <v>437</v>
      </c>
      <c r="F287" s="11" t="s">
        <v>438</v>
      </c>
      <c r="G287" s="11" t="s">
        <v>439</v>
      </c>
      <c r="H287" s="5" t="s">
        <v>412</v>
      </c>
    </row>
    <row r="288" customFormat="false" ht="17.15" hidden="false" customHeight="false" outlineLevel="0" collapsed="false">
      <c r="A288" s="6" t="s">
        <v>455</v>
      </c>
    </row>
    <row r="289" customFormat="false" ht="17.15" hidden="false" customHeight="false" outlineLevel="0" collapsed="false">
      <c r="A289" s="0" t="s">
        <v>456</v>
      </c>
      <c r="B289" s="0" t="s">
        <v>29</v>
      </c>
      <c r="D289" s="20" t="n">
        <f aca="false">itc_26*1</f>
        <v>781.872916666667</v>
      </c>
      <c r="E289" s="20" t="n">
        <f aca="false">itc_27*1*1</f>
        <v>1565.35</v>
      </c>
      <c r="F289" s="20" t="n">
        <f aca="false">itc_28*um28_A*1</f>
        <v>1984.26388888889</v>
      </c>
      <c r="G289" s="20" t="n">
        <f aca="false">itc_29*um29_A*1</f>
        <v>2260.39027777778</v>
      </c>
    </row>
    <row r="290" customFormat="false" ht="17.15" hidden="false" customHeight="false" outlineLevel="0" collapsed="false">
      <c r="A290" s="4" t="s">
        <v>457</v>
      </c>
      <c r="B290" s="0" t="s">
        <v>29</v>
      </c>
      <c r="D290" s="20" t="n">
        <f aca="false">itpg_gb*(1-vr26)+itpg_vr*vr26</f>
        <v>33.41403216</v>
      </c>
      <c r="E290" s="20" t="n">
        <f aca="false">itpg_vr</f>
        <v>37.586352</v>
      </c>
      <c r="F290" s="20" t="n">
        <f aca="false">itpg_vr</f>
        <v>37.586352</v>
      </c>
      <c r="G290" s="20" t="n">
        <f aca="false">itpg_vr</f>
        <v>37.586352</v>
      </c>
    </row>
    <row r="291" customFormat="false" ht="17.15" hidden="false" customHeight="false" outlineLevel="0" collapsed="false">
      <c r="A291" s="4" t="s">
        <v>458</v>
      </c>
      <c r="B291" s="0" t="s">
        <v>414</v>
      </c>
      <c r="D291" s="17" t="n">
        <f aca="false">D289/D290</f>
        <v>23.3995380420639</v>
      </c>
      <c r="E291" s="17" t="n">
        <f aca="false">E289/E290</f>
        <v>41.6467658260637</v>
      </c>
      <c r="F291" s="17" t="n">
        <f aca="false">F289/F290</f>
        <v>52.792138191248</v>
      </c>
      <c r="G291" s="17" t="n">
        <f aca="false">G289/G290</f>
        <v>60.1385917361116</v>
      </c>
    </row>
    <row r="292" customFormat="false" ht="17.15" hidden="false" customHeight="false" outlineLevel="0" collapsed="false">
      <c r="A292" s="4" t="s">
        <v>459</v>
      </c>
      <c r="B292" s="0" t="s">
        <v>49</v>
      </c>
      <c r="D292" s="14" t="n">
        <f aca="false">lpen_26</f>
        <v>0.55</v>
      </c>
      <c r="E292" s="14" t="n">
        <f aca="false">lpen_27</f>
        <v>0.75</v>
      </c>
      <c r="F292" s="14" t="n">
        <f aca="false">lpen_28</f>
        <v>0.85</v>
      </c>
      <c r="G292" s="14" t="n">
        <f aca="false">lpen_29</f>
        <v>0.9</v>
      </c>
    </row>
    <row r="293" customFormat="false" ht="17.15" hidden="false" customHeight="false" outlineLevel="0" collapsed="false">
      <c r="A293" s="4" t="s">
        <v>460</v>
      </c>
      <c r="B293" s="0" t="s">
        <v>419</v>
      </c>
      <c r="D293" s="18" t="n">
        <f aca="false">((1-vr26)*racks_gb*(cool_gb+mani)+vr26*racks_vr*(cool_vr+mani))/1000</f>
        <v>350.7208</v>
      </c>
      <c r="E293" s="18" t="n">
        <f aca="false">racks_vr*(cool_vr+mani)*lcadj_27/1000</f>
        <v>326.5912</v>
      </c>
      <c r="F293" s="18" t="n">
        <f aca="false">racks_vr*(cool_vr+mani)*lcadj_28/1000</f>
        <v>351.7136</v>
      </c>
      <c r="G293" s="18" t="n">
        <f aca="false">racks_vr*(cool_vr+mani)*lcadj_29/1000</f>
        <v>351.7136</v>
      </c>
      <c r="H293" s="4" t="s">
        <v>461</v>
      </c>
    </row>
    <row r="294" customFormat="false" ht="17.15" hidden="false" customHeight="false" outlineLevel="0" collapsed="false">
      <c r="A294" s="0" t="s">
        <v>462</v>
      </c>
      <c r="B294" s="0" t="s">
        <v>29</v>
      </c>
      <c r="D294" s="20" t="n">
        <f aca="false">D291*D292*D293/1000</f>
        <v>4.5136875859587</v>
      </c>
      <c r="E294" s="20" t="n">
        <f aca="false">E291*E292*E293/1000</f>
        <v>10.2011004204398</v>
      </c>
      <c r="F294" s="20" t="n">
        <f aca="false">F291*F292*F293/1000</f>
        <v>15.7825560287001</v>
      </c>
      <c r="G294" s="20" t="n">
        <f aca="false">G291*G292*G293/1000</f>
        <v>19.0364045385942</v>
      </c>
    </row>
    <row r="295" customFormat="false" ht="17.15" hidden="false" customHeight="false" outlineLevel="0" collapsed="false">
      <c r="A295" s="0" t="s">
        <v>463</v>
      </c>
      <c r="B295" s="0" t="s">
        <v>189</v>
      </c>
      <c r="D295" s="19" t="n">
        <f aca="false">D294*fx</f>
        <v>144.438002750678</v>
      </c>
      <c r="E295" s="19" t="n">
        <f aca="false">E294*fx</f>
        <v>326.435213454075</v>
      </c>
      <c r="F295" s="19" t="n">
        <f aca="false">F294*fx</f>
        <v>505.041792918404</v>
      </c>
      <c r="G295" s="19" t="n">
        <f aca="false">G294*fx</f>
        <v>609.164945235016</v>
      </c>
    </row>
    <row r="296" customFormat="false" ht="17.15" hidden="false" customHeight="false" outlineLevel="0" collapsed="false">
      <c r="A296" s="4" t="s">
        <v>464</v>
      </c>
      <c r="B296" s="0" t="s">
        <v>49</v>
      </c>
      <c r="D296" s="14" t="n">
        <f aca="false">a26_lc/D295</f>
        <v>0.498927641116676</v>
      </c>
      <c r="H296" s="8" t="s">
        <v>465</v>
      </c>
    </row>
    <row r="297" customFormat="false" ht="17.15" hidden="false" customHeight="false" outlineLevel="0" collapsed="false">
      <c r="A297" s="4" t="s">
        <v>466</v>
      </c>
      <c r="B297" s="0" t="s">
        <v>70</v>
      </c>
      <c r="D297" s="15" t="n">
        <f aca="false">1</f>
        <v>1</v>
      </c>
      <c r="E297" s="15" t="n">
        <f aca="false">rel_27</f>
        <v>0.95</v>
      </c>
      <c r="F297" s="15" t="n">
        <f aca="false">rel_28</f>
        <v>0.9</v>
      </c>
      <c r="G297" s="15" t="n">
        <f aca="false">rel_29</f>
        <v>0.85</v>
      </c>
    </row>
    <row r="298" customFormat="false" ht="15" hidden="false" customHeight="false" outlineLevel="0" collapsed="false">
      <c r="A298" s="4" t="s">
        <v>426</v>
      </c>
      <c r="B298" s="0" t="s">
        <v>49</v>
      </c>
      <c r="D298" s="14" t="n">
        <f aca="false">$D$296*D297</f>
        <v>0.498927641116676</v>
      </c>
      <c r="E298" s="14" t="n">
        <f aca="false">$D$296*E297</f>
        <v>0.473981259060843</v>
      </c>
      <c r="F298" s="14" t="n">
        <f aca="false">$D$296*F297</f>
        <v>0.449034877005009</v>
      </c>
      <c r="G298" s="14" t="n">
        <f aca="false">$D$296*G297</f>
        <v>0.424088494949175</v>
      </c>
    </row>
    <row r="299" customFormat="false" ht="15" hidden="false" customHeight="false" outlineLevel="0" collapsed="false">
      <c r="A299" s="4" t="s">
        <v>467</v>
      </c>
      <c r="B299" s="0" t="s">
        <v>189</v>
      </c>
      <c r="C299" s="19" t="n">
        <f aca="false">a25_lc</f>
        <v>20.94585</v>
      </c>
      <c r="D299" s="19" t="n">
        <f aca="false">D295*D298</f>
        <v>72.064112</v>
      </c>
      <c r="E299" s="19" t="n">
        <f aca="false">E295*E298</f>
        <v>154.724173474757</v>
      </c>
      <c r="F299" s="19" t="n">
        <f aca="false">F295*F298</f>
        <v>226.781379365505</v>
      </c>
      <c r="G299" s="19" t="n">
        <f aca="false">G295*G298</f>
        <v>258.339844800514</v>
      </c>
    </row>
    <row r="300" customFormat="false" ht="17.15" hidden="false" customHeight="false" outlineLevel="0" collapsed="false">
      <c r="A300" s="6" t="s">
        <v>468</v>
      </c>
    </row>
    <row r="301" customFormat="false" ht="17.15" hidden="false" customHeight="false" outlineLevel="0" collapsed="false">
      <c r="A301" s="0" t="s">
        <v>469</v>
      </c>
      <c r="B301" s="0" t="s">
        <v>470</v>
      </c>
      <c r="D301" s="22" t="n">
        <f aca="false">a26_air/D291</f>
        <v>2.02106868156909</v>
      </c>
    </row>
    <row r="302" customFormat="false" ht="17.15" hidden="false" customHeight="false" outlineLevel="0" collapsed="false">
      <c r="A302" s="0" t="s">
        <v>471</v>
      </c>
      <c r="B302" s="0" t="s">
        <v>70</v>
      </c>
      <c r="D302" s="15" t="n">
        <f aca="false">1</f>
        <v>1</v>
      </c>
      <c r="E302" s="15" t="n">
        <f aca="false">ACLO_27</f>
        <v>0.6</v>
      </c>
      <c r="F302" s="15" t="n">
        <f aca="false">ACLO_28</f>
        <v>0.45</v>
      </c>
      <c r="G302" s="15" t="n">
        <f aca="false">ACLO_29</f>
        <v>0.4</v>
      </c>
    </row>
    <row r="303" customFormat="false" ht="17.15" hidden="false" customHeight="false" outlineLevel="0" collapsed="false">
      <c r="A303" s="0" t="s">
        <v>472</v>
      </c>
      <c r="B303" s="0" t="s">
        <v>189</v>
      </c>
      <c r="C303" s="19" t="n">
        <f aca="false">a25_air</f>
        <v>30.999858</v>
      </c>
      <c r="D303" s="19" t="n">
        <f aca="false">D291*$D$301*D302</f>
        <v>47.2920735</v>
      </c>
      <c r="E303" s="19" t="n">
        <f aca="false">E291*$D$301*E302</f>
        <v>50.5025844598196</v>
      </c>
      <c r="F303" s="19" t="n">
        <f aca="false">F291*$D$301*F302</f>
        <v>48.0134417091296</v>
      </c>
      <c r="G303" s="19" t="n">
        <f aca="false">G291*$D$301*G302</f>
        <v>48.61768972461</v>
      </c>
    </row>
    <row r="304" customFormat="false" ht="15" hidden="false" customHeight="false" outlineLevel="0" collapsed="false">
      <c r="A304" s="4" t="s">
        <v>473</v>
      </c>
      <c r="B304" s="0" t="s">
        <v>189</v>
      </c>
      <c r="C304" s="19" t="n">
        <f aca="false">a25_gen</f>
        <v>20.666572</v>
      </c>
      <c r="D304" s="19" t="n">
        <f aca="false">a26_gen</f>
        <v>31.528049</v>
      </c>
      <c r="E304" s="19" t="n">
        <f aca="false">D304*(1+g_gen_27)</f>
        <v>34.05029292</v>
      </c>
      <c r="F304" s="19" t="n">
        <f aca="false">E304*(1+g_gen_28)</f>
        <v>36.0933104952</v>
      </c>
      <c r="G304" s="19" t="n">
        <f aca="false">F304*(1+g_gen_29)</f>
        <v>37.89797601996</v>
      </c>
    </row>
    <row r="305" customFormat="false" ht="17.15" hidden="false" customHeight="false" outlineLevel="0" collapsed="false">
      <c r="A305" s="4" t="s">
        <v>474</v>
      </c>
      <c r="B305" s="0" t="s">
        <v>189</v>
      </c>
      <c r="C305" s="19" t="n">
        <f aca="false">a25_nai</f>
        <v>67.02672</v>
      </c>
      <c r="D305" s="19" t="n">
        <f aca="false">a26_nai</f>
        <v>74.3161155</v>
      </c>
      <c r="E305" s="19" t="n">
        <f aca="false">D305*(1+g_nai_27)</f>
        <v>78.77508243</v>
      </c>
      <c r="F305" s="19" t="n">
        <f aca="false">E305*(1+g_nai_28)</f>
        <v>82.7138365515</v>
      </c>
      <c r="G305" s="19" t="n">
        <f aca="false">F305*(1+g_nai_29)</f>
        <v>86.02239001356</v>
      </c>
    </row>
    <row r="306" customFormat="false" ht="15" hidden="false" customHeight="false" outlineLevel="0" collapsed="false">
      <c r="A306" s="4" t="s">
        <v>353</v>
      </c>
      <c r="B306" s="0" t="s">
        <v>189</v>
      </c>
      <c r="C306" s="19" t="n">
        <f aca="false">C299+C303+C304+C305</f>
        <v>139.639</v>
      </c>
      <c r="D306" s="19" t="n">
        <f aca="false">D299+D303+D304+D305</f>
        <v>225.20035</v>
      </c>
      <c r="E306" s="19" t="n">
        <f aca="false">E299+E303+E304+E305</f>
        <v>318.052133284577</v>
      </c>
      <c r="F306" s="19" t="n">
        <f aca="false">F299+F303+F304+F305</f>
        <v>393.601968121334</v>
      </c>
      <c r="G306" s="19" t="n">
        <f aca="false">G299+G303+G304+G305</f>
        <v>430.877900558644</v>
      </c>
    </row>
    <row r="307" customFormat="false" ht="15" hidden="false" customHeight="false" outlineLevel="0" collapsed="false">
      <c r="A307" s="4" t="s">
        <v>475</v>
      </c>
      <c r="B307" s="0" t="s">
        <v>49</v>
      </c>
      <c r="D307" s="14" t="n">
        <f aca="false">D306/C306-1</f>
        <v>0.612732474451979</v>
      </c>
      <c r="E307" s="14" t="n">
        <f aca="false">E306/D306-1</f>
        <v>0.412307455492751</v>
      </c>
      <c r="F307" s="14" t="n">
        <f aca="false">F306/E306-1</f>
        <v>0.23753915452961</v>
      </c>
      <c r="G307" s="14" t="n">
        <f aca="false">G306/F306-1</f>
        <v>0.0947046393472792</v>
      </c>
    </row>
    <row r="308" customFormat="false" ht="17.15" hidden="false" customHeight="false" outlineLevel="0" collapsed="false">
      <c r="A308" s="4" t="s">
        <v>476</v>
      </c>
      <c r="B308" s="0" t="s">
        <v>49</v>
      </c>
      <c r="C308" s="14" t="n">
        <f aca="false">C299/C306</f>
        <v>0.15</v>
      </c>
      <c r="D308" s="14" t="n">
        <f aca="false">D299/D306</f>
        <v>0.32</v>
      </c>
      <c r="E308" s="14" t="n">
        <f aca="false">E299/E306</f>
        <v>0.486474251491085</v>
      </c>
      <c r="F308" s="14" t="n">
        <f aca="false">F299/F306</f>
        <v>0.576169322648294</v>
      </c>
      <c r="G308" s="14" t="n">
        <f aca="false">G299/G306</f>
        <v>0.599566244788999</v>
      </c>
    </row>
    <row r="309" customFormat="false" ht="17.15" hidden="false" customHeight="false" outlineLevel="0" collapsed="false">
      <c r="A309" s="0" t="s">
        <v>477</v>
      </c>
      <c r="B309" s="0" t="s">
        <v>49</v>
      </c>
      <c r="C309" s="14" t="n">
        <f aca="false">(C299+C303)/C306</f>
        <v>0.372</v>
      </c>
      <c r="D309" s="14" t="n">
        <f aca="false">(D299+D303)/D306</f>
        <v>0.53</v>
      </c>
      <c r="E309" s="14" t="n">
        <f aca="false">(E299+E303)/E306</f>
        <v>0.645261378426129</v>
      </c>
      <c r="F309" s="14" t="n">
        <f aca="false">(F299+F303)/F306</f>
        <v>0.698154082882848</v>
      </c>
      <c r="G309" s="14" t="n">
        <f aca="false">(G299+G303)/G306</f>
        <v>0.712400274247405</v>
      </c>
    </row>
    <row r="310" customFormat="false" ht="17.15" hidden="false" customHeight="false" outlineLevel="0" collapsed="false">
      <c r="A310" s="4" t="s">
        <v>431</v>
      </c>
      <c r="B310" s="0" t="s">
        <v>419</v>
      </c>
      <c r="D310" s="18" t="n">
        <f aca="false">(D299+D303)/fx/D291*1000</f>
        <v>159.399762088039</v>
      </c>
      <c r="E310" s="18" t="n">
        <f aca="false">(E299+E303)/fx/E291*1000</f>
        <v>153.993618910064</v>
      </c>
      <c r="F310" s="18" t="n">
        <f aca="false">(F299+F303)/fx/F291*1000</f>
        <v>162.663200484006</v>
      </c>
      <c r="G310" s="18" t="n">
        <f aca="false">(G299+G303)/fx/G291*1000</f>
        <v>159.505280669054</v>
      </c>
    </row>
    <row r="311" customFormat="false" ht="17.15" hidden="false" customHeight="false" outlineLevel="0" collapsed="false">
      <c r="A311" s="6" t="s">
        <v>478</v>
      </c>
    </row>
    <row r="312" customFormat="false" ht="17.15" hidden="false" customHeight="false" outlineLevel="0" collapsed="false">
      <c r="A312" s="4" t="s">
        <v>479</v>
      </c>
      <c r="B312" s="0" t="s">
        <v>49</v>
      </c>
      <c r="D312" s="14" t="n">
        <f aca="false">a26_gp/D306-d_lc*D308</f>
        <v>0.302821503074929</v>
      </c>
      <c r="H312" s="8" t="s">
        <v>480</v>
      </c>
    </row>
    <row r="313" customFormat="false" ht="15" hidden="false" customHeight="false" outlineLevel="0" collapsed="false">
      <c r="A313" s="4" t="s">
        <v>357</v>
      </c>
      <c r="B313" s="0" t="s">
        <v>189</v>
      </c>
      <c r="C313" s="19" t="n">
        <f aca="false">a25_gp</f>
        <v>36.034</v>
      </c>
      <c r="D313" s="19" t="n">
        <f aca="false">a26_gp</f>
        <v>72.5193552</v>
      </c>
      <c r="E313" s="19" t="n">
        <f aca="false">$D$312*E306+d_lc*E299</f>
        <v>105.596475465909</v>
      </c>
      <c r="F313" s="19" t="n">
        <f aca="false">$D$312*F306+d_lc*F299</f>
        <v>132.798022361683</v>
      </c>
      <c r="G313" s="19" t="n">
        <f aca="false">$D$312*G306+d_lc*G299</f>
        <v>145.979484176969</v>
      </c>
    </row>
    <row r="314" customFormat="false" ht="15" hidden="false" customHeight="false" outlineLevel="0" collapsed="false">
      <c r="A314" s="4" t="s">
        <v>360</v>
      </c>
      <c r="B314" s="0" t="s">
        <v>49</v>
      </c>
      <c r="C314" s="14" t="n">
        <f aca="false">C313/C306</f>
        <v>0.258051117524474</v>
      </c>
      <c r="D314" s="14" t="n">
        <f aca="false">D313/D306</f>
        <v>0.322021503074929</v>
      </c>
      <c r="E314" s="14" t="n">
        <f aca="false">E313/E306</f>
        <v>0.332009958164394</v>
      </c>
      <c r="F314" s="14" t="n">
        <f aca="false">F313/F306</f>
        <v>0.337391662433826</v>
      </c>
      <c r="G314" s="14" t="n">
        <f aca="false">G313/G306</f>
        <v>0.338795477762269</v>
      </c>
    </row>
    <row r="315" customFormat="false" ht="15" hidden="false" customHeight="false" outlineLevel="0" collapsed="false">
      <c r="A315" s="4" t="s">
        <v>481</v>
      </c>
      <c r="B315" s="0" t="s">
        <v>189</v>
      </c>
      <c r="C315" s="19" t="n">
        <f aca="false">a25_opx</f>
        <v>8.4832253</v>
      </c>
      <c r="D315" s="19" t="n">
        <f aca="false">a26_opx</f>
        <v>11.7048599</v>
      </c>
      <c r="E315" s="19" t="n">
        <f aca="false">D315*(1+MAX(0,phi*E307))</f>
        <v>15.0830606015877</v>
      </c>
      <c r="F315" s="19" t="n">
        <f aca="false">E315*(1+MAX(0,phi*F307))</f>
        <v>17.5910328257017</v>
      </c>
      <c r="G315" s="19" t="n">
        <f aca="false">F315*(1+MAX(0,phi*G307))</f>
        <v>18.7571995193547</v>
      </c>
    </row>
    <row r="316" customFormat="false" ht="15" hidden="false" customHeight="false" outlineLevel="0" collapsed="false">
      <c r="A316" s="4" t="s">
        <v>362</v>
      </c>
      <c r="B316" s="0" t="s">
        <v>189</v>
      </c>
      <c r="C316" s="19" t="n">
        <f aca="false">C315</f>
        <v>8.4832253</v>
      </c>
      <c r="D316" s="19" t="n">
        <f aca="false">D315</f>
        <v>11.7048599</v>
      </c>
      <c r="E316" s="19" t="n">
        <f aca="false">E315+0*E306</f>
        <v>15.0830606015877</v>
      </c>
      <c r="F316" s="19" t="n">
        <f aca="false">F315+0*F306</f>
        <v>17.5910328257017</v>
      </c>
      <c r="G316" s="19" t="n">
        <f aca="false">G315+0*G306</f>
        <v>18.7571995193547</v>
      </c>
    </row>
    <row r="317" customFormat="false" ht="15" hidden="false" customHeight="false" outlineLevel="0" collapsed="false">
      <c r="A317" s="4" t="s">
        <v>364</v>
      </c>
      <c r="B317" s="0" t="s">
        <v>189</v>
      </c>
      <c r="C317" s="19" t="n">
        <f aca="false">C313-C316</f>
        <v>27.5507747</v>
      </c>
      <c r="D317" s="19" t="n">
        <f aca="false">D313-D316</f>
        <v>60.8144953</v>
      </c>
      <c r="E317" s="19" t="n">
        <f aca="false">E313-E316</f>
        <v>90.5134148643209</v>
      </c>
      <c r="F317" s="19" t="n">
        <f aca="false">F313-F316</f>
        <v>115.206989535981</v>
      </c>
      <c r="G317" s="19" t="n">
        <f aca="false">G313-G316</f>
        <v>127.222284657615</v>
      </c>
    </row>
    <row r="318" customFormat="false" ht="15" hidden="false" customHeight="false" outlineLevel="0" collapsed="false">
      <c r="A318" s="4" t="s">
        <v>367</v>
      </c>
      <c r="B318" s="0" t="s">
        <v>49</v>
      </c>
      <c r="C318" s="14" t="n">
        <f aca="false">C317/C306</f>
        <v>0.1973</v>
      </c>
      <c r="D318" s="14" t="n">
        <f aca="false">D317/D306</f>
        <v>0.27004618465291</v>
      </c>
      <c r="E318" s="14" t="n">
        <f aca="false">E317/E306</f>
        <v>0.28458672460258</v>
      </c>
      <c r="F318" s="14" t="n">
        <f aca="false">F317/F306</f>
        <v>0.292699221210364</v>
      </c>
      <c r="G318" s="14" t="n">
        <f aca="false">G317/G306</f>
        <v>0.295262960789281</v>
      </c>
    </row>
    <row r="319" customFormat="false" ht="15" hidden="false" customHeight="false" outlineLevel="0" collapsed="false">
      <c r="A319" s="4" t="s">
        <v>369</v>
      </c>
      <c r="B319" s="0" t="s">
        <v>189</v>
      </c>
      <c r="C319" s="19" t="n">
        <f aca="false">a25_nop</f>
        <v>1.23179436863779</v>
      </c>
      <c r="D319" s="19" t="n">
        <f aca="false">a26_nop</f>
        <v>0.8186111</v>
      </c>
      <c r="E319" s="19" t="n">
        <f aca="false">nop_f</f>
        <v>1</v>
      </c>
      <c r="F319" s="19" t="n">
        <f aca="false">nop_f</f>
        <v>1</v>
      </c>
      <c r="G319" s="19" t="n">
        <f aca="false">nop_f</f>
        <v>1</v>
      </c>
    </row>
    <row r="320" customFormat="false" ht="17.15" hidden="false" customHeight="false" outlineLevel="0" collapsed="false">
      <c r="A320" s="4" t="s">
        <v>232</v>
      </c>
      <c r="B320" s="0" t="s">
        <v>49</v>
      </c>
      <c r="C320" s="14" t="n">
        <f aca="false">a25_ni/(a25_oi+a25_nop)</f>
        <v>0.666583999303438</v>
      </c>
      <c r="D320" s="14" t="n">
        <f aca="false">a26_ni/(a26_oi+a26_nop)</f>
        <v>0.674837141220258</v>
      </c>
      <c r="E320" s="14" t="n">
        <f aca="false">nir_f</f>
        <v>0.675</v>
      </c>
      <c r="F320" s="14" t="n">
        <f aca="false">nir_f</f>
        <v>0.675</v>
      </c>
      <c r="G320" s="14" t="n">
        <f aca="false">nir_f</f>
        <v>0.675</v>
      </c>
    </row>
    <row r="321" customFormat="false" ht="15" hidden="false" customHeight="false" outlineLevel="0" collapsed="false">
      <c r="A321" s="4" t="s">
        <v>373</v>
      </c>
      <c r="B321" s="0" t="s">
        <v>189</v>
      </c>
      <c r="C321" s="19" t="n">
        <f aca="false">a25_ni</f>
        <v>19.186</v>
      </c>
      <c r="D321" s="19" t="n">
        <f aca="false">a26_ni</f>
        <v>41.5923093275</v>
      </c>
      <c r="E321" s="19" t="n">
        <f aca="false">(E317+E319)*E320</f>
        <v>61.7715550334166</v>
      </c>
      <c r="F321" s="19" t="n">
        <f aca="false">(F317+F319)*F320</f>
        <v>78.4397179367873</v>
      </c>
      <c r="G321" s="19" t="n">
        <f aca="false">(G317+G319)*G320</f>
        <v>86.5500421438898</v>
      </c>
    </row>
    <row r="322" customFormat="false" ht="15" hidden="false" customHeight="false" outlineLevel="0" collapsed="false">
      <c r="A322" s="4" t="s">
        <v>482</v>
      </c>
      <c r="B322" s="4" t="s">
        <v>215</v>
      </c>
      <c r="C322" s="22" t="n">
        <f aca="false">a25_sh</f>
        <v>0.390197274761033</v>
      </c>
      <c r="D322" s="22" t="n">
        <f aca="false">a26_sh</f>
        <v>0.392523574315222</v>
      </c>
      <c r="E322" s="22" t="n">
        <f aca="false">D322*(1+sh_g)</f>
        <v>0.392523574315222</v>
      </c>
      <c r="F322" s="22" t="n">
        <f aca="false">E322*(1+sh_g)</f>
        <v>0.392523574315222</v>
      </c>
      <c r="G322" s="22" t="n">
        <f aca="false">F322*(1+sh_g)</f>
        <v>0.392523574315222</v>
      </c>
    </row>
    <row r="323" customFormat="false" ht="15" hidden="false" customHeight="false" outlineLevel="0" collapsed="false">
      <c r="A323" s="0" t="s">
        <v>378</v>
      </c>
      <c r="B323" s="0" t="s">
        <v>252</v>
      </c>
      <c r="C323" s="20" t="n">
        <f aca="false">C321/C322</f>
        <v>49.17</v>
      </c>
      <c r="D323" s="20" t="n">
        <f aca="false">D321/D322</f>
        <v>105.961302834002</v>
      </c>
      <c r="E323" s="20" t="n">
        <f aca="false">E321/E322</f>
        <v>157.370306079527</v>
      </c>
      <c r="F323" s="20" t="n">
        <f aca="false">F321/F322</f>
        <v>199.834412681148</v>
      </c>
      <c r="G323" s="20" t="n">
        <f aca="false">G321/G322</f>
        <v>220.496418068344</v>
      </c>
    </row>
    <row r="324" customFormat="false" ht="17.15" hidden="false" customHeight="false" outlineLevel="0" collapsed="false">
      <c r="A324" s="0" t="s">
        <v>483</v>
      </c>
      <c r="B324" s="0" t="s">
        <v>49</v>
      </c>
      <c r="D324" s="14" t="n">
        <f aca="false">D323/C323-1</f>
        <v>1.15499904075659</v>
      </c>
      <c r="E324" s="14" t="n">
        <f aca="false">E323/D323-1</f>
        <v>0.485167715671284</v>
      </c>
      <c r="F324" s="14" t="n">
        <f aca="false">F323/E323-1</f>
        <v>0.269835572284908</v>
      </c>
      <c r="G324" s="14" t="n">
        <f aca="false">G323/F323-1</f>
        <v>0.103395631963369</v>
      </c>
    </row>
    <row r="327" customFormat="false" ht="17.15" hidden="false" customHeight="false" outlineLevel="0" collapsed="false">
      <c r="A327" s="1" t="s">
        <v>796</v>
      </c>
    </row>
    <row r="328" customFormat="false" ht="17.15" hidden="false" customHeight="false" outlineLevel="0" collapsed="false">
      <c r="A328" s="5" t="s">
        <v>18</v>
      </c>
      <c r="B328" s="5" t="s">
        <v>19</v>
      </c>
      <c r="C328" s="11" t="s">
        <v>347</v>
      </c>
      <c r="D328" s="11" t="s">
        <v>436</v>
      </c>
      <c r="E328" s="11" t="s">
        <v>437</v>
      </c>
      <c r="F328" s="11" t="s">
        <v>438</v>
      </c>
      <c r="G328" s="11" t="s">
        <v>439</v>
      </c>
      <c r="H328" s="5" t="s">
        <v>412</v>
      </c>
    </row>
    <row r="329" customFormat="false" ht="17.15" hidden="false" customHeight="false" outlineLevel="0" collapsed="false">
      <c r="A329" s="6" t="s">
        <v>455</v>
      </c>
    </row>
    <row r="330" customFormat="false" ht="17.15" hidden="false" customHeight="false" outlineLevel="0" collapsed="false">
      <c r="A330" s="0" t="s">
        <v>456</v>
      </c>
      <c r="B330" s="0" t="s">
        <v>29</v>
      </c>
      <c r="D330" s="20" t="n">
        <f aca="false">itc_26*1</f>
        <v>781.872916666667</v>
      </c>
      <c r="E330" s="20" t="n">
        <f aca="false">itc_27*1*1</f>
        <v>1565.35</v>
      </c>
      <c r="F330" s="20" t="n">
        <f aca="false">itc_28*um28_A*1</f>
        <v>1984.26388888889</v>
      </c>
      <c r="G330" s="20" t="n">
        <f aca="false">itc_29*um29_A*1</f>
        <v>2260.39027777778</v>
      </c>
    </row>
    <row r="331" customFormat="false" ht="17.15" hidden="false" customHeight="false" outlineLevel="0" collapsed="false">
      <c r="A331" s="4" t="s">
        <v>457</v>
      </c>
      <c r="B331" s="0" t="s">
        <v>29</v>
      </c>
      <c r="D331" s="20" t="n">
        <f aca="false">itpg_gb*(1-vr26)+itpg_vr*vr26</f>
        <v>33.41403216</v>
      </c>
      <c r="E331" s="20" t="n">
        <f aca="false">itpg_vr</f>
        <v>37.586352</v>
      </c>
      <c r="F331" s="20" t="n">
        <f aca="false">itpg_vr</f>
        <v>37.586352</v>
      </c>
      <c r="G331" s="20" t="n">
        <f aca="false">itpg_vr</f>
        <v>37.586352</v>
      </c>
    </row>
    <row r="332" customFormat="false" ht="17.15" hidden="false" customHeight="false" outlineLevel="0" collapsed="false">
      <c r="A332" s="4" t="s">
        <v>458</v>
      </c>
      <c r="B332" s="0" t="s">
        <v>414</v>
      </c>
      <c r="D332" s="17" t="n">
        <f aca="false">D330/D331</f>
        <v>23.3995380420639</v>
      </c>
      <c r="E332" s="17" t="n">
        <f aca="false">E330/E331</f>
        <v>41.6467658260637</v>
      </c>
      <c r="F332" s="17" t="n">
        <f aca="false">F330/F331</f>
        <v>52.792138191248</v>
      </c>
      <c r="G332" s="17" t="n">
        <f aca="false">G330/G331</f>
        <v>60.1385917361116</v>
      </c>
    </row>
    <row r="333" customFormat="false" ht="17.15" hidden="false" customHeight="false" outlineLevel="0" collapsed="false">
      <c r="A333" s="4" t="s">
        <v>459</v>
      </c>
      <c r="B333" s="0" t="s">
        <v>49</v>
      </c>
      <c r="D333" s="14" t="n">
        <f aca="false">lpen_26</f>
        <v>0.55</v>
      </c>
      <c r="E333" s="14" t="n">
        <f aca="false">lpen_27</f>
        <v>0.75</v>
      </c>
      <c r="F333" s="14" t="n">
        <f aca="false">lpen_28</f>
        <v>0.85</v>
      </c>
      <c r="G333" s="14" t="n">
        <f aca="false">lpen_29</f>
        <v>0.9</v>
      </c>
    </row>
    <row r="334" customFormat="false" ht="17.15" hidden="false" customHeight="false" outlineLevel="0" collapsed="false">
      <c r="A334" s="4" t="s">
        <v>460</v>
      </c>
      <c r="B334" s="0" t="s">
        <v>419</v>
      </c>
      <c r="D334" s="18" t="n">
        <f aca="false">((1-vr26)*racks_gb*(cool_gb+mani)+vr26*racks_vr*(cool_vr+mani))/1000</f>
        <v>350.7208</v>
      </c>
      <c r="E334" s="18" t="n">
        <f aca="false">racks_vr*(cool_vr+mani)*lcadj_27/1000</f>
        <v>326.5912</v>
      </c>
      <c r="F334" s="18" t="n">
        <f aca="false">racks_vr*(cool_vr+mani)*lcadj_28/1000</f>
        <v>351.7136</v>
      </c>
      <c r="G334" s="18" t="n">
        <f aca="false">racks_vr*(cool_vr+mani)*lcadj_29/1000</f>
        <v>351.7136</v>
      </c>
      <c r="H334" s="4" t="s">
        <v>461</v>
      </c>
    </row>
    <row r="335" customFormat="false" ht="17.15" hidden="false" customHeight="false" outlineLevel="0" collapsed="false">
      <c r="A335" s="0" t="s">
        <v>462</v>
      </c>
      <c r="B335" s="0" t="s">
        <v>29</v>
      </c>
      <c r="D335" s="20" t="n">
        <f aca="false">D332*D333*D334/1000</f>
        <v>4.5136875859587</v>
      </c>
      <c r="E335" s="20" t="n">
        <f aca="false">E332*E333*E334/1000</f>
        <v>10.2011004204398</v>
      </c>
      <c r="F335" s="20" t="n">
        <f aca="false">F332*F333*F334/1000</f>
        <v>15.7825560287001</v>
      </c>
      <c r="G335" s="20" t="n">
        <f aca="false">G332*G333*G334/1000</f>
        <v>19.0364045385942</v>
      </c>
    </row>
    <row r="336" customFormat="false" ht="17.15" hidden="false" customHeight="false" outlineLevel="0" collapsed="false">
      <c r="A336" s="0" t="s">
        <v>463</v>
      </c>
      <c r="B336" s="0" t="s">
        <v>189</v>
      </c>
      <c r="D336" s="19" t="n">
        <f aca="false">D335*fx</f>
        <v>144.438002750678</v>
      </c>
      <c r="E336" s="19" t="n">
        <f aca="false">E335*fx</f>
        <v>326.435213454075</v>
      </c>
      <c r="F336" s="19" t="n">
        <f aca="false">F335*fx</f>
        <v>505.041792918404</v>
      </c>
      <c r="G336" s="19" t="n">
        <f aca="false">G335*fx</f>
        <v>609.164945235016</v>
      </c>
    </row>
    <row r="337" customFormat="false" ht="17.15" hidden="false" customHeight="false" outlineLevel="0" collapsed="false">
      <c r="A337" s="4" t="s">
        <v>464</v>
      </c>
      <c r="B337" s="0" t="s">
        <v>49</v>
      </c>
      <c r="D337" s="14" t="n">
        <f aca="false">a26_lc/D336</f>
        <v>0.498927641116676</v>
      </c>
      <c r="H337" s="8" t="s">
        <v>465</v>
      </c>
    </row>
    <row r="338" customFormat="false" ht="17.15" hidden="false" customHeight="false" outlineLevel="0" collapsed="false">
      <c r="A338" s="4" t="s">
        <v>466</v>
      </c>
      <c r="B338" s="0" t="s">
        <v>70</v>
      </c>
      <c r="D338" s="15" t="n">
        <f aca="false">1</f>
        <v>1</v>
      </c>
      <c r="E338" s="15" t="n">
        <f aca="false">rel_27</f>
        <v>0.95</v>
      </c>
      <c r="F338" s="15" t="n">
        <f aca="false">rel_28</f>
        <v>0.9</v>
      </c>
      <c r="G338" s="15" t="n">
        <f aca="false">rel_29</f>
        <v>0.85</v>
      </c>
    </row>
    <row r="339" customFormat="false" ht="15" hidden="false" customHeight="false" outlineLevel="0" collapsed="false">
      <c r="A339" s="4" t="s">
        <v>426</v>
      </c>
      <c r="B339" s="0" t="s">
        <v>49</v>
      </c>
      <c r="D339" s="14" t="n">
        <f aca="false">$D$337*D338</f>
        <v>0.498927641116676</v>
      </c>
      <c r="E339" s="14" t="n">
        <f aca="false">$D$337*E338</f>
        <v>0.473981259060843</v>
      </c>
      <c r="F339" s="14" t="n">
        <f aca="false">$D$337*F338</f>
        <v>0.449034877005009</v>
      </c>
      <c r="G339" s="14" t="n">
        <f aca="false">$D$337*G338</f>
        <v>0.424088494949175</v>
      </c>
    </row>
    <row r="340" customFormat="false" ht="15" hidden="false" customHeight="false" outlineLevel="0" collapsed="false">
      <c r="A340" s="4" t="s">
        <v>467</v>
      </c>
      <c r="B340" s="0" t="s">
        <v>189</v>
      </c>
      <c r="C340" s="19" t="n">
        <f aca="false">a25_lc</f>
        <v>20.94585</v>
      </c>
      <c r="D340" s="19" t="n">
        <f aca="false">D336*D339</f>
        <v>72.064112</v>
      </c>
      <c r="E340" s="19" t="n">
        <f aca="false">E336*E339</f>
        <v>154.724173474757</v>
      </c>
      <c r="F340" s="19" t="n">
        <f aca="false">F336*F339</f>
        <v>226.781379365505</v>
      </c>
      <c r="G340" s="19" t="n">
        <f aca="false">G336*G339</f>
        <v>258.339844800514</v>
      </c>
    </row>
    <row r="341" customFormat="false" ht="17.15" hidden="false" customHeight="false" outlineLevel="0" collapsed="false">
      <c r="A341" s="6" t="s">
        <v>468</v>
      </c>
    </row>
    <row r="342" customFormat="false" ht="17.15" hidden="false" customHeight="false" outlineLevel="0" collapsed="false">
      <c r="A342" s="0" t="s">
        <v>469</v>
      </c>
      <c r="B342" s="0" t="s">
        <v>470</v>
      </c>
      <c r="D342" s="22" t="n">
        <f aca="false">a26_air/D332</f>
        <v>2.02106868156909</v>
      </c>
    </row>
    <row r="343" customFormat="false" ht="17.15" hidden="false" customHeight="false" outlineLevel="0" collapsed="false">
      <c r="A343" s="0" t="s">
        <v>471</v>
      </c>
      <c r="B343" s="0" t="s">
        <v>70</v>
      </c>
      <c r="D343" s="15" t="n">
        <f aca="false">1</f>
        <v>1</v>
      </c>
      <c r="E343" s="15" t="n">
        <f aca="false">ACHI_27</f>
        <v>0.9</v>
      </c>
      <c r="F343" s="15" t="n">
        <f aca="false">ACHI_28</f>
        <v>0.85</v>
      </c>
      <c r="G343" s="15" t="n">
        <f aca="false">ACHI_29</f>
        <v>0.8</v>
      </c>
    </row>
    <row r="344" customFormat="false" ht="17.15" hidden="false" customHeight="false" outlineLevel="0" collapsed="false">
      <c r="A344" s="0" t="s">
        <v>472</v>
      </c>
      <c r="B344" s="0" t="s">
        <v>189</v>
      </c>
      <c r="C344" s="19" t="n">
        <f aca="false">a25_air</f>
        <v>30.999858</v>
      </c>
      <c r="D344" s="19" t="n">
        <f aca="false">D332*$D$342*D343</f>
        <v>47.2920735</v>
      </c>
      <c r="E344" s="19" t="n">
        <f aca="false">E332*$D$342*E343</f>
        <v>75.7538766897294</v>
      </c>
      <c r="F344" s="19" t="n">
        <f aca="false">F332*$D$342*F343</f>
        <v>90.6920565616892</v>
      </c>
      <c r="G344" s="19" t="n">
        <f aca="false">G332*$D$342*G343</f>
        <v>97.23537944922</v>
      </c>
    </row>
    <row r="345" customFormat="false" ht="15" hidden="false" customHeight="false" outlineLevel="0" collapsed="false">
      <c r="A345" s="4" t="s">
        <v>473</v>
      </c>
      <c r="B345" s="0" t="s">
        <v>189</v>
      </c>
      <c r="C345" s="19" t="n">
        <f aca="false">a25_gen</f>
        <v>20.666572</v>
      </c>
      <c r="D345" s="19" t="n">
        <f aca="false">a26_gen</f>
        <v>31.528049</v>
      </c>
      <c r="E345" s="19" t="n">
        <f aca="false">D345*(1+g_gen_27)</f>
        <v>34.05029292</v>
      </c>
      <c r="F345" s="19" t="n">
        <f aca="false">E345*(1+g_gen_28)</f>
        <v>36.0933104952</v>
      </c>
      <c r="G345" s="19" t="n">
        <f aca="false">F345*(1+g_gen_29)</f>
        <v>37.89797601996</v>
      </c>
    </row>
    <row r="346" customFormat="false" ht="17.15" hidden="false" customHeight="false" outlineLevel="0" collapsed="false">
      <c r="A346" s="4" t="s">
        <v>474</v>
      </c>
      <c r="B346" s="0" t="s">
        <v>189</v>
      </c>
      <c r="C346" s="19" t="n">
        <f aca="false">a25_nai</f>
        <v>67.02672</v>
      </c>
      <c r="D346" s="19" t="n">
        <f aca="false">a26_nai</f>
        <v>74.3161155</v>
      </c>
      <c r="E346" s="19" t="n">
        <f aca="false">D346*(1+g_nai_27)</f>
        <v>78.77508243</v>
      </c>
      <c r="F346" s="19" t="n">
        <f aca="false">E346*(1+g_nai_28)</f>
        <v>82.7138365515</v>
      </c>
      <c r="G346" s="19" t="n">
        <f aca="false">F346*(1+g_nai_29)</f>
        <v>86.02239001356</v>
      </c>
    </row>
    <row r="347" customFormat="false" ht="15" hidden="false" customHeight="false" outlineLevel="0" collapsed="false">
      <c r="A347" s="4" t="s">
        <v>353</v>
      </c>
      <c r="B347" s="0" t="s">
        <v>189</v>
      </c>
      <c r="C347" s="19" t="n">
        <f aca="false">C340+C344+C345+C346</f>
        <v>139.639</v>
      </c>
      <c r="D347" s="19" t="n">
        <f aca="false">D340+D344+D345+D346</f>
        <v>225.20035</v>
      </c>
      <c r="E347" s="19" t="n">
        <f aca="false">E340+E344+E345+E346</f>
        <v>343.303425514487</v>
      </c>
      <c r="F347" s="19" t="n">
        <f aca="false">F340+F344+F345+F346</f>
        <v>436.280582973894</v>
      </c>
      <c r="G347" s="19" t="n">
        <f aca="false">G340+G344+G345+G346</f>
        <v>479.495590283254</v>
      </c>
    </row>
    <row r="348" customFormat="false" ht="15" hidden="false" customHeight="false" outlineLevel="0" collapsed="false">
      <c r="A348" s="4" t="s">
        <v>475</v>
      </c>
      <c r="B348" s="0" t="s">
        <v>49</v>
      </c>
      <c r="D348" s="14" t="n">
        <f aca="false">D347/C347-1</f>
        <v>0.612732474451979</v>
      </c>
      <c r="E348" s="14" t="n">
        <f aca="false">E347/D347-1</f>
        <v>0.52443557709607</v>
      </c>
      <c r="F348" s="14" t="n">
        <f aca="false">F347/E347-1</f>
        <v>0.270830846852367</v>
      </c>
      <c r="G348" s="14" t="n">
        <f aca="false">G347/F347-1</f>
        <v>0.0990532446225014</v>
      </c>
    </row>
    <row r="349" customFormat="false" ht="17.15" hidden="false" customHeight="false" outlineLevel="0" collapsed="false">
      <c r="A349" s="4" t="s">
        <v>476</v>
      </c>
      <c r="B349" s="0" t="s">
        <v>49</v>
      </c>
      <c r="C349" s="14" t="n">
        <f aca="false">C340/C347</f>
        <v>0.15</v>
      </c>
      <c r="D349" s="14" t="n">
        <f aca="false">D340/D347</f>
        <v>0.32</v>
      </c>
      <c r="E349" s="14" t="n">
        <f aca="false">E340/E347</f>
        <v>0.450692192316119</v>
      </c>
      <c r="F349" s="14" t="n">
        <f aca="false">F340/F347</f>
        <v>0.51980626279459</v>
      </c>
      <c r="G349" s="14" t="n">
        <f aca="false">G340/G347</f>
        <v>0.538774182777998</v>
      </c>
    </row>
    <row r="350" customFormat="false" ht="17.15" hidden="false" customHeight="false" outlineLevel="0" collapsed="false">
      <c r="A350" s="0" t="s">
        <v>477</v>
      </c>
      <c r="B350" s="0" t="s">
        <v>49</v>
      </c>
      <c r="C350" s="14" t="n">
        <f aca="false">(C340+C344)/C347</f>
        <v>0.372</v>
      </c>
      <c r="D350" s="14" t="n">
        <f aca="false">(D340+D344)/D347</f>
        <v>0.53</v>
      </c>
      <c r="E350" s="14" t="n">
        <f aca="false">(E340+E344)/E347</f>
        <v>0.671353773470463</v>
      </c>
      <c r="F350" s="14" t="n">
        <f aca="false">(F340+F344)/F347</f>
        <v>0.727681790840072</v>
      </c>
      <c r="G350" s="14" t="n">
        <f aca="false">(G340+G344)/G347</f>
        <v>0.741560989204685</v>
      </c>
    </row>
    <row r="351" customFormat="false" ht="17.15" hidden="false" customHeight="false" outlineLevel="0" collapsed="false">
      <c r="A351" s="4" t="s">
        <v>431</v>
      </c>
      <c r="B351" s="0" t="s">
        <v>419</v>
      </c>
      <c r="D351" s="18" t="n">
        <f aca="false">(D340+D344)/fx/D332*1000</f>
        <v>159.399762088039</v>
      </c>
      <c r="E351" s="18" t="n">
        <f aca="false">(E340+E344)/fx/E332*1000</f>
        <v>172.941137799774</v>
      </c>
      <c r="F351" s="18" t="n">
        <f aca="false">(F340+F344)/fx/F332*1000</f>
        <v>187.92655900362</v>
      </c>
      <c r="G351" s="18" t="n">
        <f aca="false">(G340+G344)/fx/G332*1000</f>
        <v>184.768639188668</v>
      </c>
    </row>
    <row r="352" customFormat="false" ht="17.15" hidden="false" customHeight="false" outlineLevel="0" collapsed="false">
      <c r="A352" s="6" t="s">
        <v>478</v>
      </c>
    </row>
    <row r="353" customFormat="false" ht="17.15" hidden="false" customHeight="false" outlineLevel="0" collapsed="false">
      <c r="A353" s="4" t="s">
        <v>479</v>
      </c>
      <c r="B353" s="0" t="s">
        <v>49</v>
      </c>
      <c r="D353" s="14" t="n">
        <f aca="false">a26_gp/D347-d_lc*D349</f>
        <v>0.302821503074929</v>
      </c>
      <c r="H353" s="8" t="s">
        <v>480</v>
      </c>
    </row>
    <row r="354" customFormat="false" ht="15" hidden="false" customHeight="false" outlineLevel="0" collapsed="false">
      <c r="A354" s="4" t="s">
        <v>357</v>
      </c>
      <c r="B354" s="0" t="s">
        <v>189</v>
      </c>
      <c r="C354" s="19" t="n">
        <f aca="false">a25_gp</f>
        <v>36.034</v>
      </c>
      <c r="D354" s="19" t="n">
        <f aca="false">a26_gp</f>
        <v>72.5193552</v>
      </c>
      <c r="E354" s="19" t="n">
        <f aca="false">$D$353*E347+d_lc*E340</f>
        <v>113.243109733554</v>
      </c>
      <c r="F354" s="19" t="n">
        <f aca="false">$D$353*F347+d_lc*F340</f>
        <v>145.722024660491</v>
      </c>
      <c r="G354" s="19" t="n">
        <f aca="false">$D$353*G347+d_lc*G340</f>
        <v>160.701966055406</v>
      </c>
    </row>
    <row r="355" customFormat="false" ht="15" hidden="false" customHeight="false" outlineLevel="0" collapsed="false">
      <c r="A355" s="4" t="s">
        <v>360</v>
      </c>
      <c r="B355" s="0" t="s">
        <v>49</v>
      </c>
      <c r="C355" s="14" t="n">
        <f aca="false">C354/C347</f>
        <v>0.258051117524474</v>
      </c>
      <c r="D355" s="14" t="n">
        <f aca="false">D354/D347</f>
        <v>0.322021503074929</v>
      </c>
      <c r="E355" s="14" t="n">
        <f aca="false">E354/E347</f>
        <v>0.329863034613896</v>
      </c>
      <c r="F355" s="14" t="n">
        <f aca="false">F354/F347</f>
        <v>0.334009878842604</v>
      </c>
      <c r="G355" s="14" t="n">
        <f aca="false">G354/G347</f>
        <v>0.335147954041609</v>
      </c>
    </row>
    <row r="356" customFormat="false" ht="15" hidden="false" customHeight="false" outlineLevel="0" collapsed="false">
      <c r="A356" s="4" t="s">
        <v>481</v>
      </c>
      <c r="B356" s="0" t="s">
        <v>189</v>
      </c>
      <c r="C356" s="19" t="n">
        <f aca="false">a25_opx</f>
        <v>8.4832253</v>
      </c>
      <c r="D356" s="19" t="n">
        <f aca="false">a26_opx</f>
        <v>11.7048599</v>
      </c>
      <c r="E356" s="19" t="n">
        <f aca="false">D356*(1+MAX(0,phi*E348))</f>
        <v>16.0017713695396</v>
      </c>
      <c r="F356" s="19" t="n">
        <f aca="false">E356*(1+MAX(0,phi*F348))</f>
        <v>19.0354126733449</v>
      </c>
      <c r="G356" s="19" t="n">
        <f aca="false">F356*(1+MAX(0,phi*G348))</f>
        <v>20.355276244961</v>
      </c>
    </row>
    <row r="357" customFormat="false" ht="15" hidden="false" customHeight="false" outlineLevel="0" collapsed="false">
      <c r="A357" s="4" t="s">
        <v>362</v>
      </c>
      <c r="B357" s="0" t="s">
        <v>189</v>
      </c>
      <c r="C357" s="19" t="n">
        <f aca="false">C356</f>
        <v>8.4832253</v>
      </c>
      <c r="D357" s="19" t="n">
        <f aca="false">D356</f>
        <v>11.7048599</v>
      </c>
      <c r="E357" s="19" t="n">
        <f aca="false">E356+0*E347</f>
        <v>16.0017713695396</v>
      </c>
      <c r="F357" s="19" t="n">
        <f aca="false">F356+0*F347</f>
        <v>19.0354126733449</v>
      </c>
      <c r="G357" s="19" t="n">
        <f aca="false">G356+0*G347</f>
        <v>20.355276244961</v>
      </c>
    </row>
    <row r="358" customFormat="false" ht="15" hidden="false" customHeight="false" outlineLevel="0" collapsed="false">
      <c r="A358" s="4" t="s">
        <v>364</v>
      </c>
      <c r="B358" s="0" t="s">
        <v>189</v>
      </c>
      <c r="C358" s="19" t="n">
        <f aca="false">C354-C357</f>
        <v>27.5507747</v>
      </c>
      <c r="D358" s="19" t="n">
        <f aca="false">D354-D357</f>
        <v>60.8144953</v>
      </c>
      <c r="E358" s="19" t="n">
        <f aca="false">E354-E357</f>
        <v>97.2413383640146</v>
      </c>
      <c r="F358" s="19" t="n">
        <f aca="false">F354-F357</f>
        <v>126.686611987146</v>
      </c>
      <c r="G358" s="19" t="n">
        <f aca="false">G354-G357</f>
        <v>140.346689810445</v>
      </c>
    </row>
    <row r="359" customFormat="false" ht="15" hidden="false" customHeight="false" outlineLevel="0" collapsed="false">
      <c r="A359" s="4" t="s">
        <v>367</v>
      </c>
      <c r="B359" s="0" t="s">
        <v>49</v>
      </c>
      <c r="C359" s="14" t="n">
        <f aca="false">C358/C347</f>
        <v>0.1973</v>
      </c>
      <c r="D359" s="14" t="n">
        <f aca="false">D358/D347</f>
        <v>0.27004618465291</v>
      </c>
      <c r="E359" s="14" t="n">
        <f aca="false">E358/E347</f>
        <v>0.283251873232215</v>
      </c>
      <c r="F359" s="14" t="n">
        <f aca="false">F358/F347</f>
        <v>0.290378753790945</v>
      </c>
      <c r="G359" s="14" t="n">
        <f aca="false">G358/G347</f>
        <v>0.292696518288182</v>
      </c>
    </row>
    <row r="360" customFormat="false" ht="15" hidden="false" customHeight="false" outlineLevel="0" collapsed="false">
      <c r="A360" s="4" t="s">
        <v>369</v>
      </c>
      <c r="B360" s="0" t="s">
        <v>189</v>
      </c>
      <c r="C360" s="19" t="n">
        <f aca="false">a25_nop</f>
        <v>1.23179436863779</v>
      </c>
      <c r="D360" s="19" t="n">
        <f aca="false">a26_nop</f>
        <v>0.8186111</v>
      </c>
      <c r="E360" s="19" t="n">
        <f aca="false">nop_f</f>
        <v>1</v>
      </c>
      <c r="F360" s="19" t="n">
        <f aca="false">nop_f</f>
        <v>1</v>
      </c>
      <c r="G360" s="19" t="n">
        <f aca="false">nop_f</f>
        <v>1</v>
      </c>
    </row>
    <row r="361" customFormat="false" ht="17.15" hidden="false" customHeight="false" outlineLevel="0" collapsed="false">
      <c r="A361" s="4" t="s">
        <v>232</v>
      </c>
      <c r="B361" s="0" t="s">
        <v>49</v>
      </c>
      <c r="C361" s="14" t="n">
        <f aca="false">a25_ni/(a25_oi+a25_nop)</f>
        <v>0.666583999303438</v>
      </c>
      <c r="D361" s="14" t="n">
        <f aca="false">a26_ni/(a26_oi+a26_nop)</f>
        <v>0.674837141220258</v>
      </c>
      <c r="E361" s="14" t="n">
        <f aca="false">nir_f</f>
        <v>0.675</v>
      </c>
      <c r="F361" s="14" t="n">
        <f aca="false">nir_f</f>
        <v>0.675</v>
      </c>
      <c r="G361" s="14" t="n">
        <f aca="false">nir_f</f>
        <v>0.675</v>
      </c>
    </row>
    <row r="362" customFormat="false" ht="15" hidden="false" customHeight="false" outlineLevel="0" collapsed="false">
      <c r="A362" s="4" t="s">
        <v>373</v>
      </c>
      <c r="B362" s="0" t="s">
        <v>189</v>
      </c>
      <c r="C362" s="19" t="n">
        <f aca="false">a25_ni</f>
        <v>19.186</v>
      </c>
      <c r="D362" s="19" t="n">
        <f aca="false">a26_ni</f>
        <v>41.5923093275</v>
      </c>
      <c r="E362" s="19" t="n">
        <f aca="false">(E358+E360)*E361</f>
        <v>66.3129033957098</v>
      </c>
      <c r="F362" s="19" t="n">
        <f aca="false">(F358+F360)*F361</f>
        <v>86.1884630913236</v>
      </c>
      <c r="G362" s="19" t="n">
        <f aca="false">(G358+G360)*G361</f>
        <v>95.4090156220504</v>
      </c>
    </row>
    <row r="363" customFormat="false" ht="15" hidden="false" customHeight="false" outlineLevel="0" collapsed="false">
      <c r="A363" s="4" t="s">
        <v>482</v>
      </c>
      <c r="B363" s="4" t="s">
        <v>215</v>
      </c>
      <c r="C363" s="22" t="n">
        <f aca="false">a25_sh</f>
        <v>0.390197274761033</v>
      </c>
      <c r="D363" s="22" t="n">
        <f aca="false">a26_sh</f>
        <v>0.392523574315222</v>
      </c>
      <c r="E363" s="22" t="n">
        <f aca="false">D363*(1+sh_g)</f>
        <v>0.392523574315222</v>
      </c>
      <c r="F363" s="22" t="n">
        <f aca="false">E363*(1+sh_g)</f>
        <v>0.392523574315222</v>
      </c>
      <c r="G363" s="22" t="n">
        <f aca="false">F363*(1+sh_g)</f>
        <v>0.392523574315222</v>
      </c>
    </row>
    <row r="364" customFormat="false" ht="15" hidden="false" customHeight="false" outlineLevel="0" collapsed="false">
      <c r="A364" s="0" t="s">
        <v>378</v>
      </c>
      <c r="B364" s="0" t="s">
        <v>252</v>
      </c>
      <c r="C364" s="20" t="n">
        <f aca="false">C362/C363</f>
        <v>49.17</v>
      </c>
      <c r="D364" s="20" t="n">
        <f aca="false">D362/D363</f>
        <v>105.961302834002</v>
      </c>
      <c r="E364" s="20" t="n">
        <f aca="false">E362/E363</f>
        <v>168.939925484466</v>
      </c>
      <c r="F364" s="20" t="n">
        <f aca="false">F362/F363</f>
        <v>219.575252879229</v>
      </c>
      <c r="G364" s="20" t="n">
        <f aca="false">G362/G363</f>
        <v>243.065695578912</v>
      </c>
    </row>
    <row r="365" customFormat="false" ht="17.15" hidden="false" customHeight="false" outlineLevel="0" collapsed="false">
      <c r="A365" s="0" t="s">
        <v>483</v>
      </c>
      <c r="B365" s="0" t="s">
        <v>49</v>
      </c>
      <c r="D365" s="14" t="n">
        <f aca="false">D364/C364-1</f>
        <v>1.15499904075659</v>
      </c>
      <c r="E365" s="14" t="n">
        <f aca="false">E364/D364-1</f>
        <v>0.594354929262489</v>
      </c>
      <c r="F365" s="14" t="n">
        <f aca="false">F364/E364-1</f>
        <v>0.299723864856438</v>
      </c>
      <c r="G365" s="14" t="n">
        <f aca="false">G364/F364-1</f>
        <v>0.106981284965679</v>
      </c>
    </row>
    <row r="368" customFormat="false" ht="17.15" hidden="false" customHeight="false" outlineLevel="0" collapsed="false">
      <c r="A368" s="1" t="s">
        <v>797</v>
      </c>
    </row>
    <row r="369" customFormat="false" ht="17.15" hidden="false" customHeight="false" outlineLevel="0" collapsed="false">
      <c r="A369" s="5" t="s">
        <v>18</v>
      </c>
      <c r="B369" s="5" t="s">
        <v>19</v>
      </c>
      <c r="C369" s="11" t="s">
        <v>347</v>
      </c>
      <c r="D369" s="11" t="s">
        <v>436</v>
      </c>
      <c r="E369" s="11" t="s">
        <v>437</v>
      </c>
      <c r="F369" s="11" t="s">
        <v>438</v>
      </c>
      <c r="G369" s="11" t="s">
        <v>439</v>
      </c>
      <c r="H369" s="5" t="s">
        <v>412</v>
      </c>
    </row>
    <row r="370" customFormat="false" ht="17.15" hidden="false" customHeight="false" outlineLevel="0" collapsed="false">
      <c r="A370" s="6" t="s">
        <v>455</v>
      </c>
    </row>
    <row r="371" customFormat="false" ht="17.15" hidden="false" customHeight="false" outlineLevel="0" collapsed="false">
      <c r="A371" s="0" t="s">
        <v>456</v>
      </c>
      <c r="B371" s="0" t="s">
        <v>29</v>
      </c>
      <c r="D371" s="20" t="n">
        <f aca="false">itc_26*1</f>
        <v>781.872916666667</v>
      </c>
      <c r="E371" s="20" t="n">
        <f aca="false">itc_27*1*mf_lo</f>
        <v>1252.28</v>
      </c>
      <c r="F371" s="20" t="n">
        <f aca="false">itc_28*um28_A*mf_lo</f>
        <v>1587.41111111111</v>
      </c>
      <c r="G371" s="20" t="n">
        <f aca="false">itc_29*um29_A*mf_lo</f>
        <v>1808.31222222222</v>
      </c>
    </row>
    <row r="372" customFormat="false" ht="17.15" hidden="false" customHeight="false" outlineLevel="0" collapsed="false">
      <c r="A372" s="4" t="s">
        <v>457</v>
      </c>
      <c r="B372" s="0" t="s">
        <v>29</v>
      </c>
      <c r="D372" s="20" t="n">
        <f aca="false">itpg_gb*(1-vr26)+itpg_vr*vr26</f>
        <v>33.41403216</v>
      </c>
      <c r="E372" s="20" t="n">
        <f aca="false">itpg_vr</f>
        <v>37.586352</v>
      </c>
      <c r="F372" s="20" t="n">
        <f aca="false">itpg_vr</f>
        <v>37.586352</v>
      </c>
      <c r="G372" s="20" t="n">
        <f aca="false">itpg_vr</f>
        <v>37.586352</v>
      </c>
    </row>
    <row r="373" customFormat="false" ht="17.15" hidden="false" customHeight="false" outlineLevel="0" collapsed="false">
      <c r="A373" s="4" t="s">
        <v>458</v>
      </c>
      <c r="B373" s="0" t="s">
        <v>414</v>
      </c>
      <c r="D373" s="17" t="n">
        <f aca="false">D371/D372</f>
        <v>23.3995380420639</v>
      </c>
      <c r="E373" s="17" t="n">
        <f aca="false">E371/E372</f>
        <v>33.3174126608509</v>
      </c>
      <c r="F373" s="17" t="n">
        <f aca="false">F371/F372</f>
        <v>42.2337105529984</v>
      </c>
      <c r="G373" s="17" t="n">
        <f aca="false">G371/G372</f>
        <v>48.1108733888892</v>
      </c>
    </row>
    <row r="374" customFormat="false" ht="17.15" hidden="false" customHeight="false" outlineLevel="0" collapsed="false">
      <c r="A374" s="4" t="s">
        <v>459</v>
      </c>
      <c r="B374" s="0" t="s">
        <v>49</v>
      </c>
      <c r="D374" s="14" t="n">
        <f aca="false">lpen_26</f>
        <v>0.55</v>
      </c>
      <c r="E374" s="14" t="n">
        <f aca="false">lpen_27</f>
        <v>0.75</v>
      </c>
      <c r="F374" s="14" t="n">
        <f aca="false">lpen_28</f>
        <v>0.85</v>
      </c>
      <c r="G374" s="14" t="n">
        <f aca="false">lpen_29</f>
        <v>0.9</v>
      </c>
    </row>
    <row r="375" customFormat="false" ht="17.15" hidden="false" customHeight="false" outlineLevel="0" collapsed="false">
      <c r="A375" s="4" t="s">
        <v>460</v>
      </c>
      <c r="B375" s="0" t="s">
        <v>419</v>
      </c>
      <c r="D375" s="18" t="n">
        <f aca="false">((1-vr26)*racks_gb*(cool_gb+mani)+vr26*racks_vr*(cool_vr+mani))/1000</f>
        <v>350.7208</v>
      </c>
      <c r="E375" s="18" t="n">
        <f aca="false">racks_vr*(cool_vr+mani)*lcadj_27/1000</f>
        <v>326.5912</v>
      </c>
      <c r="F375" s="18" t="n">
        <f aca="false">racks_vr*(cool_vr+mani)*lcadj_28/1000</f>
        <v>351.7136</v>
      </c>
      <c r="G375" s="18" t="n">
        <f aca="false">racks_vr*(cool_vr+mani)*lcadj_29/1000</f>
        <v>351.7136</v>
      </c>
      <c r="H375" s="4" t="s">
        <v>461</v>
      </c>
    </row>
    <row r="376" customFormat="false" ht="17.15" hidden="false" customHeight="false" outlineLevel="0" collapsed="false">
      <c r="A376" s="0" t="s">
        <v>462</v>
      </c>
      <c r="B376" s="0" t="s">
        <v>29</v>
      </c>
      <c r="D376" s="20" t="n">
        <f aca="false">D373*D374*D375/1000</f>
        <v>4.5136875859587</v>
      </c>
      <c r="E376" s="20" t="n">
        <f aca="false">E373*E374*E375/1000</f>
        <v>8.16088033635188</v>
      </c>
      <c r="F376" s="20" t="n">
        <f aca="false">F373*F374*F375/1000</f>
        <v>12.6260448229601</v>
      </c>
      <c r="G376" s="20" t="n">
        <f aca="false">G373*G374*G375/1000</f>
        <v>15.2291236308754</v>
      </c>
    </row>
    <row r="377" customFormat="false" ht="17.15" hidden="false" customHeight="false" outlineLevel="0" collapsed="false">
      <c r="A377" s="0" t="s">
        <v>463</v>
      </c>
      <c r="B377" s="0" t="s">
        <v>189</v>
      </c>
      <c r="D377" s="19" t="n">
        <f aca="false">D376*fx</f>
        <v>144.438002750678</v>
      </c>
      <c r="E377" s="19" t="n">
        <f aca="false">E376*fx</f>
        <v>261.14817076326</v>
      </c>
      <c r="F377" s="19" t="n">
        <f aca="false">F376*fx</f>
        <v>404.033434334723</v>
      </c>
      <c r="G377" s="19" t="n">
        <f aca="false">G376*fx</f>
        <v>487.331956188013</v>
      </c>
    </row>
    <row r="378" customFormat="false" ht="17.15" hidden="false" customHeight="false" outlineLevel="0" collapsed="false">
      <c r="A378" s="4" t="s">
        <v>464</v>
      </c>
      <c r="B378" s="0" t="s">
        <v>49</v>
      </c>
      <c r="D378" s="14" t="n">
        <f aca="false">a26_lc/D377</f>
        <v>0.498927641116676</v>
      </c>
      <c r="H378" s="8" t="s">
        <v>465</v>
      </c>
    </row>
    <row r="379" customFormat="false" ht="17.15" hidden="false" customHeight="false" outlineLevel="0" collapsed="false">
      <c r="A379" s="4" t="s">
        <v>466</v>
      </c>
      <c r="B379" s="0" t="s">
        <v>70</v>
      </c>
      <c r="D379" s="15" t="n">
        <f aca="false">1</f>
        <v>1</v>
      </c>
      <c r="E379" s="15" t="n">
        <f aca="false">rel_27</f>
        <v>0.95</v>
      </c>
      <c r="F379" s="15" t="n">
        <f aca="false">rel_28</f>
        <v>0.9</v>
      </c>
      <c r="G379" s="15" t="n">
        <f aca="false">rel_29</f>
        <v>0.85</v>
      </c>
    </row>
    <row r="380" customFormat="false" ht="15" hidden="false" customHeight="false" outlineLevel="0" collapsed="false">
      <c r="A380" s="4" t="s">
        <v>426</v>
      </c>
      <c r="B380" s="0" t="s">
        <v>49</v>
      </c>
      <c r="D380" s="14" t="n">
        <f aca="false">$D$378*D379</f>
        <v>0.498927641116676</v>
      </c>
      <c r="E380" s="14" t="n">
        <f aca="false">$D$378*E379</f>
        <v>0.473981259060843</v>
      </c>
      <c r="F380" s="14" t="n">
        <f aca="false">$D$378*F379</f>
        <v>0.449034877005009</v>
      </c>
      <c r="G380" s="14" t="n">
        <f aca="false">$D$378*G379</f>
        <v>0.424088494949175</v>
      </c>
    </row>
    <row r="381" customFormat="false" ht="15" hidden="false" customHeight="false" outlineLevel="0" collapsed="false">
      <c r="A381" s="4" t="s">
        <v>467</v>
      </c>
      <c r="B381" s="0" t="s">
        <v>189</v>
      </c>
      <c r="C381" s="19" t="n">
        <f aca="false">a25_lc</f>
        <v>20.94585</v>
      </c>
      <c r="D381" s="19" t="n">
        <f aca="false">D377*D380</f>
        <v>72.064112</v>
      </c>
      <c r="E381" s="19" t="n">
        <f aca="false">E377*E380</f>
        <v>123.779338779806</v>
      </c>
      <c r="F381" s="19" t="n">
        <f aca="false">F377*F380</f>
        <v>181.425103492404</v>
      </c>
      <c r="G381" s="19" t="n">
        <f aca="false">G377*G380</f>
        <v>206.671875840411</v>
      </c>
    </row>
    <row r="382" customFormat="false" ht="17.15" hidden="false" customHeight="false" outlineLevel="0" collapsed="false">
      <c r="A382" s="6" t="s">
        <v>468</v>
      </c>
    </row>
    <row r="383" customFormat="false" ht="17.15" hidden="false" customHeight="false" outlineLevel="0" collapsed="false">
      <c r="A383" s="0" t="s">
        <v>469</v>
      </c>
      <c r="B383" s="0" t="s">
        <v>470</v>
      </c>
      <c r="D383" s="22" t="n">
        <f aca="false">a26_air/D373</f>
        <v>2.02106868156909</v>
      </c>
    </row>
    <row r="384" customFormat="false" ht="17.15" hidden="false" customHeight="false" outlineLevel="0" collapsed="false">
      <c r="A384" s="0" t="s">
        <v>471</v>
      </c>
      <c r="B384" s="0" t="s">
        <v>70</v>
      </c>
      <c r="D384" s="15" t="n">
        <f aca="false">1</f>
        <v>1</v>
      </c>
      <c r="E384" s="15" t="n">
        <f aca="false">acr_27</f>
        <v>0.75</v>
      </c>
      <c r="F384" s="15" t="n">
        <f aca="false">acr_28</f>
        <v>0.65</v>
      </c>
      <c r="G384" s="15" t="n">
        <f aca="false">acr_29</f>
        <v>0.6</v>
      </c>
    </row>
    <row r="385" customFormat="false" ht="17.15" hidden="false" customHeight="false" outlineLevel="0" collapsed="false">
      <c r="A385" s="0" t="s">
        <v>472</v>
      </c>
      <c r="B385" s="0" t="s">
        <v>189</v>
      </c>
      <c r="C385" s="19" t="n">
        <f aca="false">a25_air</f>
        <v>30.999858</v>
      </c>
      <c r="D385" s="19" t="n">
        <f aca="false">D373*$D$383*D384</f>
        <v>47.2920735</v>
      </c>
      <c r="E385" s="19" t="n">
        <f aca="false">E373*$D$383*E384</f>
        <v>50.5025844598196</v>
      </c>
      <c r="F385" s="19" t="n">
        <f aca="false">F373*$D$383*F384</f>
        <v>55.4821993083275</v>
      </c>
      <c r="G385" s="19" t="n">
        <f aca="false">G373*$D$383*G384</f>
        <v>58.341227669532</v>
      </c>
    </row>
    <row r="386" customFormat="false" ht="15" hidden="false" customHeight="false" outlineLevel="0" collapsed="false">
      <c r="A386" s="4" t="s">
        <v>473</v>
      </c>
      <c r="B386" s="0" t="s">
        <v>189</v>
      </c>
      <c r="C386" s="19" t="n">
        <f aca="false">a25_gen</f>
        <v>20.666572</v>
      </c>
      <c r="D386" s="19" t="n">
        <f aca="false">a26_gen</f>
        <v>31.528049</v>
      </c>
      <c r="E386" s="19" t="n">
        <f aca="false">D386*(1+g_gen_27)</f>
        <v>34.05029292</v>
      </c>
      <c r="F386" s="19" t="n">
        <f aca="false">E386*(1+g_gen_28)</f>
        <v>36.0933104952</v>
      </c>
      <c r="G386" s="19" t="n">
        <f aca="false">F386*(1+g_gen_29)</f>
        <v>37.89797601996</v>
      </c>
    </row>
    <row r="387" customFormat="false" ht="17.15" hidden="false" customHeight="false" outlineLevel="0" collapsed="false">
      <c r="A387" s="4" t="s">
        <v>474</v>
      </c>
      <c r="B387" s="0" t="s">
        <v>189</v>
      </c>
      <c r="C387" s="19" t="n">
        <f aca="false">a25_nai</f>
        <v>67.02672</v>
      </c>
      <c r="D387" s="19" t="n">
        <f aca="false">a26_nai</f>
        <v>74.3161155</v>
      </c>
      <c r="E387" s="19" t="n">
        <f aca="false">D387*(1+g_nai_27)</f>
        <v>78.77508243</v>
      </c>
      <c r="F387" s="19" t="n">
        <f aca="false">E387*(1+g_nai_28)</f>
        <v>82.7138365515</v>
      </c>
      <c r="G387" s="19" t="n">
        <f aca="false">F387*(1+g_nai_29)</f>
        <v>86.02239001356</v>
      </c>
    </row>
    <row r="388" customFormat="false" ht="15" hidden="false" customHeight="false" outlineLevel="0" collapsed="false">
      <c r="A388" s="4" t="s">
        <v>353</v>
      </c>
      <c r="B388" s="0" t="s">
        <v>189</v>
      </c>
      <c r="C388" s="19" t="n">
        <f aca="false">C381+C385+C386+C387</f>
        <v>139.639</v>
      </c>
      <c r="D388" s="19" t="n">
        <f aca="false">D381+D385+D386+D387</f>
        <v>225.20035</v>
      </c>
      <c r="E388" s="19" t="n">
        <f aca="false">E381+E385+E386+E387</f>
        <v>287.107298589626</v>
      </c>
      <c r="F388" s="19" t="n">
        <f aca="false">F381+F385+F386+F387</f>
        <v>355.714449847431</v>
      </c>
      <c r="G388" s="19" t="n">
        <f aca="false">G381+G385+G386+G387</f>
        <v>388.933469543463</v>
      </c>
    </row>
    <row r="389" customFormat="false" ht="15" hidden="false" customHeight="false" outlineLevel="0" collapsed="false">
      <c r="A389" s="4" t="s">
        <v>475</v>
      </c>
      <c r="B389" s="0" t="s">
        <v>49</v>
      </c>
      <c r="D389" s="14" t="n">
        <f aca="false">D388/C388-1</f>
        <v>0.612732474451979</v>
      </c>
      <c r="E389" s="14" t="n">
        <f aca="false">E388/D388-1</f>
        <v>0.274897213035528</v>
      </c>
      <c r="F389" s="14" t="n">
        <f aca="false">F388/E388-1</f>
        <v>0.238959969303562</v>
      </c>
      <c r="G389" s="14" t="n">
        <f aca="false">G388/F388-1</f>
        <v>0.0933867592679472</v>
      </c>
    </row>
    <row r="390" customFormat="false" ht="17.15" hidden="false" customHeight="false" outlineLevel="0" collapsed="false">
      <c r="A390" s="4" t="s">
        <v>476</v>
      </c>
      <c r="B390" s="0" t="s">
        <v>49</v>
      </c>
      <c r="C390" s="14" t="n">
        <f aca="false">C381/C388</f>
        <v>0.15</v>
      </c>
      <c r="D390" s="14" t="n">
        <f aca="false">D381/D388</f>
        <v>0.32</v>
      </c>
      <c r="E390" s="14" t="n">
        <f aca="false">E381/E388</f>
        <v>0.43112571288802</v>
      </c>
      <c r="F390" s="14" t="n">
        <f aca="false">F381/F388</f>
        <v>0.510030176087079</v>
      </c>
      <c r="G390" s="14" t="n">
        <f aca="false">G381/G388</f>
        <v>0.531381051065125</v>
      </c>
    </row>
    <row r="391" customFormat="false" ht="17.15" hidden="false" customHeight="false" outlineLevel="0" collapsed="false">
      <c r="A391" s="0" t="s">
        <v>477</v>
      </c>
      <c r="B391" s="0" t="s">
        <v>49</v>
      </c>
      <c r="C391" s="14" t="n">
        <f aca="false">(C381+C385)/C388</f>
        <v>0.372</v>
      </c>
      <c r="D391" s="14" t="n">
        <f aca="false">(D381+D385)/D388</f>
        <v>0.53</v>
      </c>
      <c r="E391" s="14" t="n">
        <f aca="false">(E381+E385)/E388</f>
        <v>0.607027143147392</v>
      </c>
      <c r="F391" s="14" t="n">
        <f aca="false">(F381+F385)/F388</f>
        <v>0.66600415839824</v>
      </c>
      <c r="G391" s="14" t="n">
        <f aca="false">(G381+G385)/G388</f>
        <v>0.681384155035616</v>
      </c>
    </row>
    <row r="392" customFormat="false" ht="17.15" hidden="false" customHeight="false" outlineLevel="0" collapsed="false">
      <c r="A392" s="4" t="s">
        <v>431</v>
      </c>
      <c r="B392" s="0" t="s">
        <v>419</v>
      </c>
      <c r="D392" s="18" t="n">
        <f aca="false">(D381+D385)/fx/D373*1000</f>
        <v>159.399762088039</v>
      </c>
      <c r="E392" s="18" t="n">
        <f aca="false">(E381+E385)/fx/E373*1000</f>
        <v>163.467378354919</v>
      </c>
      <c r="F392" s="18" t="n">
        <f aca="false">(F381+F385)/fx/F373*1000</f>
        <v>175.294879743813</v>
      </c>
      <c r="G392" s="18" t="n">
        <f aca="false">(G381+G385)/fx/G373*1000</f>
        <v>172.136959928861</v>
      </c>
    </row>
    <row r="393" customFormat="false" ht="17.15" hidden="false" customHeight="false" outlineLevel="0" collapsed="false">
      <c r="A393" s="6" t="s">
        <v>478</v>
      </c>
    </row>
    <row r="394" customFormat="false" ht="17.15" hidden="false" customHeight="false" outlineLevel="0" collapsed="false">
      <c r="A394" s="4" t="s">
        <v>479</v>
      </c>
      <c r="B394" s="0" t="s">
        <v>49</v>
      </c>
      <c r="D394" s="14" t="n">
        <f aca="false">a26_gp/D388-d_lc*D390</f>
        <v>0.302821503074929</v>
      </c>
      <c r="H394" s="8" t="s">
        <v>480</v>
      </c>
    </row>
    <row r="395" customFormat="false" ht="15" hidden="false" customHeight="false" outlineLevel="0" collapsed="false">
      <c r="A395" s="4" t="s">
        <v>357</v>
      </c>
      <c r="B395" s="0" t="s">
        <v>189</v>
      </c>
      <c r="C395" s="19" t="n">
        <f aca="false">a25_gp</f>
        <v>36.034</v>
      </c>
      <c r="D395" s="19" t="n">
        <f aca="false">a26_gp</f>
        <v>72.5193552</v>
      </c>
      <c r="E395" s="19" t="n">
        <f aca="false">$D$394*E388+d_lc*E381</f>
        <v>94.3690240294811</v>
      </c>
      <c r="F395" s="19" t="n">
        <f aca="false">$D$394*F388+d_lc*F381</f>
        <v>118.603490577815</v>
      </c>
      <c r="G395" s="19" t="n">
        <f aca="false">$D$394*G388+d_lc*G381</f>
        <v>130.177730393723</v>
      </c>
    </row>
    <row r="396" customFormat="false" ht="15" hidden="false" customHeight="false" outlineLevel="0" collapsed="false">
      <c r="A396" s="4" t="s">
        <v>360</v>
      </c>
      <c r="B396" s="0" t="s">
        <v>49</v>
      </c>
      <c r="C396" s="14" t="n">
        <f aca="false">C395/C388</f>
        <v>0.258051117524474</v>
      </c>
      <c r="D396" s="14" t="n">
        <f aca="false">D395/D388</f>
        <v>0.322021503074929</v>
      </c>
      <c r="E396" s="14" t="n">
        <f aca="false">E395/E388</f>
        <v>0.32868904584821</v>
      </c>
      <c r="F396" s="14" t="n">
        <f aca="false">F395/F388</f>
        <v>0.333423313640154</v>
      </c>
      <c r="G396" s="14" t="n">
        <f aca="false">G395/G388</f>
        <v>0.334704366138836</v>
      </c>
    </row>
    <row r="397" customFormat="false" ht="15" hidden="false" customHeight="false" outlineLevel="0" collapsed="false">
      <c r="A397" s="4" t="s">
        <v>481</v>
      </c>
      <c r="B397" s="0" t="s">
        <v>189</v>
      </c>
      <c r="C397" s="19" t="n">
        <f aca="false">a25_opx</f>
        <v>8.4832253</v>
      </c>
      <c r="D397" s="19" t="n">
        <f aca="false">a26_opx</f>
        <v>11.7048599</v>
      </c>
      <c r="E397" s="19" t="n">
        <f aca="false">D397*(1+MAX(0,phi*E389))</f>
        <v>13.9572032558369</v>
      </c>
      <c r="F397" s="19" t="n">
        <f aca="false">E397*(1+MAX(0,phi*F389))</f>
        <v>16.2918522589418</v>
      </c>
      <c r="G397" s="19" t="n">
        <f aca="false">F397*(1+MAX(0,phi*G389))</f>
        <v>17.3568625583961</v>
      </c>
    </row>
    <row r="398" customFormat="false" ht="15" hidden="false" customHeight="false" outlineLevel="0" collapsed="false">
      <c r="A398" s="4" t="s">
        <v>362</v>
      </c>
      <c r="B398" s="0" t="s">
        <v>189</v>
      </c>
      <c r="C398" s="19" t="n">
        <f aca="false">C397</f>
        <v>8.4832253</v>
      </c>
      <c r="D398" s="19" t="n">
        <f aca="false">D397</f>
        <v>11.7048599</v>
      </c>
      <c r="E398" s="19" t="n">
        <f aca="false">E397+0*E388</f>
        <v>13.9572032558369</v>
      </c>
      <c r="F398" s="19" t="n">
        <f aca="false">F397+0*F388</f>
        <v>16.2918522589418</v>
      </c>
      <c r="G398" s="19" t="n">
        <f aca="false">G397+0*G388</f>
        <v>17.3568625583961</v>
      </c>
    </row>
    <row r="399" customFormat="false" ht="15" hidden="false" customHeight="false" outlineLevel="0" collapsed="false">
      <c r="A399" s="4" t="s">
        <v>364</v>
      </c>
      <c r="B399" s="0" t="s">
        <v>189</v>
      </c>
      <c r="C399" s="19" t="n">
        <f aca="false">C395-C398</f>
        <v>27.5507747</v>
      </c>
      <c r="D399" s="19" t="n">
        <f aca="false">D395-D398</f>
        <v>60.8144953</v>
      </c>
      <c r="E399" s="19" t="n">
        <f aca="false">E395-E398</f>
        <v>80.4118207736442</v>
      </c>
      <c r="F399" s="19" t="n">
        <f aca="false">F395-F398</f>
        <v>102.311638318873</v>
      </c>
      <c r="G399" s="19" t="n">
        <f aca="false">G395-G398</f>
        <v>112.820867835327</v>
      </c>
    </row>
    <row r="400" customFormat="false" ht="15" hidden="false" customHeight="false" outlineLevel="0" collapsed="false">
      <c r="A400" s="4" t="s">
        <v>367</v>
      </c>
      <c r="B400" s="0" t="s">
        <v>49</v>
      </c>
      <c r="C400" s="14" t="n">
        <f aca="false">C399/C388</f>
        <v>0.1973</v>
      </c>
      <c r="D400" s="14" t="n">
        <f aca="false">D399/D388</f>
        <v>0.27004618465291</v>
      </c>
      <c r="E400" s="14" t="n">
        <f aca="false">E399/E388</f>
        <v>0.280075850278471</v>
      </c>
      <c r="F400" s="14" t="n">
        <f aca="false">F399/F388</f>
        <v>0.287622946896746</v>
      </c>
      <c r="G400" s="14" t="n">
        <f aca="false">G399/G388</f>
        <v>0.290077549684161</v>
      </c>
    </row>
    <row r="401" customFormat="false" ht="15" hidden="false" customHeight="false" outlineLevel="0" collapsed="false">
      <c r="A401" s="4" t="s">
        <v>369</v>
      </c>
      <c r="B401" s="0" t="s">
        <v>189</v>
      </c>
      <c r="C401" s="19" t="n">
        <f aca="false">a25_nop</f>
        <v>1.23179436863779</v>
      </c>
      <c r="D401" s="19" t="n">
        <f aca="false">a26_nop</f>
        <v>0.8186111</v>
      </c>
      <c r="E401" s="19" t="n">
        <f aca="false">nop_f</f>
        <v>1</v>
      </c>
      <c r="F401" s="19" t="n">
        <f aca="false">nop_f</f>
        <v>1</v>
      </c>
      <c r="G401" s="19" t="n">
        <f aca="false">nop_f</f>
        <v>1</v>
      </c>
    </row>
    <row r="402" customFormat="false" ht="17.15" hidden="false" customHeight="false" outlineLevel="0" collapsed="false">
      <c r="A402" s="4" t="s">
        <v>232</v>
      </c>
      <c r="B402" s="0" t="s">
        <v>49</v>
      </c>
      <c r="C402" s="14" t="n">
        <f aca="false">a25_ni/(a25_oi+a25_nop)</f>
        <v>0.666583999303438</v>
      </c>
      <c r="D402" s="14" t="n">
        <f aca="false">a26_ni/(a26_oi+a26_nop)</f>
        <v>0.674837141220258</v>
      </c>
      <c r="E402" s="14" t="n">
        <f aca="false">nir_f</f>
        <v>0.675</v>
      </c>
      <c r="F402" s="14" t="n">
        <f aca="false">nir_f</f>
        <v>0.675</v>
      </c>
      <c r="G402" s="14" t="n">
        <f aca="false">nir_f</f>
        <v>0.675</v>
      </c>
    </row>
    <row r="403" customFormat="false" ht="15" hidden="false" customHeight="false" outlineLevel="0" collapsed="false">
      <c r="A403" s="4" t="s">
        <v>373</v>
      </c>
      <c r="B403" s="0" t="s">
        <v>189</v>
      </c>
      <c r="C403" s="19" t="n">
        <f aca="false">a25_ni</f>
        <v>19.186</v>
      </c>
      <c r="D403" s="19" t="n">
        <f aca="false">a26_ni</f>
        <v>41.5923093275</v>
      </c>
      <c r="E403" s="19" t="n">
        <f aca="false">(E399+E401)*E402</f>
        <v>54.9529790222098</v>
      </c>
      <c r="F403" s="19" t="n">
        <f aca="false">(F399+F401)*F402</f>
        <v>69.7353558652392</v>
      </c>
      <c r="G403" s="19" t="n">
        <f aca="false">(G399+G401)*G402</f>
        <v>76.8290857888458</v>
      </c>
    </row>
    <row r="404" customFormat="false" ht="15" hidden="false" customHeight="false" outlineLevel="0" collapsed="false">
      <c r="A404" s="4" t="s">
        <v>482</v>
      </c>
      <c r="B404" s="4" t="s">
        <v>215</v>
      </c>
      <c r="C404" s="22" t="n">
        <f aca="false">a25_sh</f>
        <v>0.390197274761033</v>
      </c>
      <c r="D404" s="22" t="n">
        <f aca="false">a26_sh</f>
        <v>0.392523574315222</v>
      </c>
      <c r="E404" s="22" t="n">
        <f aca="false">D404*(1+sh_g)</f>
        <v>0.392523574315222</v>
      </c>
      <c r="F404" s="22" t="n">
        <f aca="false">E404*(1+sh_g)</f>
        <v>0.392523574315222</v>
      </c>
      <c r="G404" s="22" t="n">
        <f aca="false">F404*(1+sh_g)</f>
        <v>0.392523574315222</v>
      </c>
    </row>
    <row r="405" customFormat="false" ht="15" hidden="false" customHeight="false" outlineLevel="0" collapsed="false">
      <c r="A405" s="0" t="s">
        <v>378</v>
      </c>
      <c r="B405" s="0" t="s">
        <v>252</v>
      </c>
      <c r="C405" s="20" t="n">
        <f aca="false">C403/C404</f>
        <v>49.17</v>
      </c>
      <c r="D405" s="20" t="n">
        <f aca="false">D403/D404</f>
        <v>105.961302834002</v>
      </c>
      <c r="E405" s="20" t="n">
        <f aca="false">E403/E404</f>
        <v>139.999181241733</v>
      </c>
      <c r="F405" s="20" t="n">
        <f aca="false">F403/F404</f>
        <v>177.659025924484</v>
      </c>
      <c r="G405" s="20" t="n">
        <f aca="false">G403/G404</f>
        <v>195.731137735812</v>
      </c>
    </row>
    <row r="406" customFormat="false" ht="17.15" hidden="false" customHeight="false" outlineLevel="0" collapsed="false">
      <c r="A406" s="0" t="s">
        <v>483</v>
      </c>
      <c r="B406" s="0" t="s">
        <v>49</v>
      </c>
      <c r="D406" s="14" t="n">
        <f aca="false">D405/C405-1</f>
        <v>1.15499904075659</v>
      </c>
      <c r="E406" s="14" t="n">
        <f aca="false">E405/D405-1</f>
        <v>0.321229330872379</v>
      </c>
      <c r="F406" s="14" t="n">
        <f aca="false">F405/E405-1</f>
        <v>0.269000463779314</v>
      </c>
      <c r="G406" s="14" t="n">
        <f aca="false">G405/F405-1</f>
        <v>0.101723578170519</v>
      </c>
    </row>
    <row r="409" customFormat="false" ht="17.15" hidden="false" customHeight="false" outlineLevel="0" collapsed="false">
      <c r="A409" s="1" t="s">
        <v>798</v>
      </c>
    </row>
    <row r="410" customFormat="false" ht="17.15" hidden="false" customHeight="false" outlineLevel="0" collapsed="false">
      <c r="A410" s="5" t="s">
        <v>18</v>
      </c>
      <c r="B410" s="5" t="s">
        <v>19</v>
      </c>
      <c r="C410" s="11" t="s">
        <v>347</v>
      </c>
      <c r="D410" s="11" t="s">
        <v>436</v>
      </c>
      <c r="E410" s="11" t="s">
        <v>437</v>
      </c>
      <c r="F410" s="11" t="s">
        <v>438</v>
      </c>
      <c r="G410" s="11" t="s">
        <v>439</v>
      </c>
      <c r="H410" s="5" t="s">
        <v>412</v>
      </c>
    </row>
    <row r="411" customFormat="false" ht="17.15" hidden="false" customHeight="false" outlineLevel="0" collapsed="false">
      <c r="A411" s="6" t="s">
        <v>455</v>
      </c>
    </row>
    <row r="412" customFormat="false" ht="17.15" hidden="false" customHeight="false" outlineLevel="0" collapsed="false">
      <c r="A412" s="0" t="s">
        <v>456</v>
      </c>
      <c r="B412" s="0" t="s">
        <v>29</v>
      </c>
      <c r="D412" s="20" t="n">
        <f aca="false">itc_26*1</f>
        <v>781.872916666667</v>
      </c>
      <c r="E412" s="20" t="n">
        <f aca="false">itc_27*1*mf_hi</f>
        <v>1878.42</v>
      </c>
      <c r="F412" s="20" t="n">
        <f aca="false">itc_28*um28_A*mf_hi</f>
        <v>2381.11666666667</v>
      </c>
      <c r="G412" s="20" t="n">
        <f aca="false">itc_29*um29_A*mf_hi</f>
        <v>2712.46833333334</v>
      </c>
    </row>
    <row r="413" customFormat="false" ht="17.15" hidden="false" customHeight="false" outlineLevel="0" collapsed="false">
      <c r="A413" s="4" t="s">
        <v>457</v>
      </c>
      <c r="B413" s="0" t="s">
        <v>29</v>
      </c>
      <c r="D413" s="20" t="n">
        <f aca="false">itpg_gb*(1-vr26)+itpg_vr*vr26</f>
        <v>33.41403216</v>
      </c>
      <c r="E413" s="20" t="n">
        <f aca="false">itpg_vr</f>
        <v>37.586352</v>
      </c>
      <c r="F413" s="20" t="n">
        <f aca="false">itpg_vr</f>
        <v>37.586352</v>
      </c>
      <c r="G413" s="20" t="n">
        <f aca="false">itpg_vr</f>
        <v>37.586352</v>
      </c>
    </row>
    <row r="414" customFormat="false" ht="17.15" hidden="false" customHeight="false" outlineLevel="0" collapsed="false">
      <c r="A414" s="4" t="s">
        <v>458</v>
      </c>
      <c r="B414" s="0" t="s">
        <v>414</v>
      </c>
      <c r="D414" s="17" t="n">
        <f aca="false">D412/D413</f>
        <v>23.3995380420639</v>
      </c>
      <c r="E414" s="17" t="n">
        <f aca="false">E412/E413</f>
        <v>49.9761189912764</v>
      </c>
      <c r="F414" s="17" t="n">
        <f aca="false">F412/F413</f>
        <v>63.3505658294976</v>
      </c>
      <c r="G414" s="17" t="n">
        <f aca="false">G412/G413</f>
        <v>72.1663100833339</v>
      </c>
    </row>
    <row r="415" customFormat="false" ht="17.15" hidden="false" customHeight="false" outlineLevel="0" collapsed="false">
      <c r="A415" s="4" t="s">
        <v>459</v>
      </c>
      <c r="B415" s="0" t="s">
        <v>49</v>
      </c>
      <c r="D415" s="14" t="n">
        <f aca="false">lpen_26</f>
        <v>0.55</v>
      </c>
      <c r="E415" s="14" t="n">
        <f aca="false">lpen_27</f>
        <v>0.75</v>
      </c>
      <c r="F415" s="14" t="n">
        <f aca="false">lpen_28</f>
        <v>0.85</v>
      </c>
      <c r="G415" s="14" t="n">
        <f aca="false">lpen_29</f>
        <v>0.9</v>
      </c>
    </row>
    <row r="416" customFormat="false" ht="17.15" hidden="false" customHeight="false" outlineLevel="0" collapsed="false">
      <c r="A416" s="4" t="s">
        <v>460</v>
      </c>
      <c r="B416" s="0" t="s">
        <v>419</v>
      </c>
      <c r="D416" s="18" t="n">
        <f aca="false">((1-vr26)*racks_gb*(cool_gb+mani)+vr26*racks_vr*(cool_vr+mani))/1000</f>
        <v>350.7208</v>
      </c>
      <c r="E416" s="18" t="n">
        <f aca="false">racks_vr*(cool_vr+mani)*lcadj_27/1000</f>
        <v>326.5912</v>
      </c>
      <c r="F416" s="18" t="n">
        <f aca="false">racks_vr*(cool_vr+mani)*lcadj_28/1000</f>
        <v>351.7136</v>
      </c>
      <c r="G416" s="18" t="n">
        <f aca="false">racks_vr*(cool_vr+mani)*lcadj_29/1000</f>
        <v>351.7136</v>
      </c>
      <c r="H416" s="4" t="s">
        <v>461</v>
      </c>
    </row>
    <row r="417" customFormat="false" ht="17.15" hidden="false" customHeight="false" outlineLevel="0" collapsed="false">
      <c r="A417" s="0" t="s">
        <v>462</v>
      </c>
      <c r="B417" s="0" t="s">
        <v>29</v>
      </c>
      <c r="D417" s="20" t="n">
        <f aca="false">D414*D415*D416/1000</f>
        <v>4.5136875859587</v>
      </c>
      <c r="E417" s="20" t="n">
        <f aca="false">E414*E415*E416/1000</f>
        <v>12.2413205045278</v>
      </c>
      <c r="F417" s="20" t="n">
        <f aca="false">F414*F415*F416/1000</f>
        <v>18.9390672344401</v>
      </c>
      <c r="G417" s="20" t="n">
        <f aca="false">G414*G415*G416/1000</f>
        <v>22.8436854463131</v>
      </c>
    </row>
    <row r="418" customFormat="false" ht="17.15" hidden="false" customHeight="false" outlineLevel="0" collapsed="false">
      <c r="A418" s="0" t="s">
        <v>463</v>
      </c>
      <c r="B418" s="0" t="s">
        <v>189</v>
      </c>
      <c r="D418" s="19" t="n">
        <f aca="false">D417*fx</f>
        <v>144.438002750678</v>
      </c>
      <c r="E418" s="19" t="n">
        <f aca="false">E417*fx</f>
        <v>391.72225614489</v>
      </c>
      <c r="F418" s="19" t="n">
        <f aca="false">F417*fx</f>
        <v>606.050151502085</v>
      </c>
      <c r="G418" s="19" t="n">
        <f aca="false">G417*fx</f>
        <v>730.997934282019</v>
      </c>
    </row>
    <row r="419" customFormat="false" ht="17.15" hidden="false" customHeight="false" outlineLevel="0" collapsed="false">
      <c r="A419" s="4" t="s">
        <v>464</v>
      </c>
      <c r="B419" s="0" t="s">
        <v>49</v>
      </c>
      <c r="D419" s="14" t="n">
        <f aca="false">a26_lc/D418</f>
        <v>0.498927641116676</v>
      </c>
      <c r="H419" s="8" t="s">
        <v>465</v>
      </c>
    </row>
    <row r="420" customFormat="false" ht="17.15" hidden="false" customHeight="false" outlineLevel="0" collapsed="false">
      <c r="A420" s="4" t="s">
        <v>466</v>
      </c>
      <c r="B420" s="0" t="s">
        <v>70</v>
      </c>
      <c r="D420" s="15" t="n">
        <f aca="false">1</f>
        <v>1</v>
      </c>
      <c r="E420" s="15" t="n">
        <f aca="false">rel_27</f>
        <v>0.95</v>
      </c>
      <c r="F420" s="15" t="n">
        <f aca="false">rel_28</f>
        <v>0.9</v>
      </c>
      <c r="G420" s="15" t="n">
        <f aca="false">rel_29</f>
        <v>0.85</v>
      </c>
    </row>
    <row r="421" customFormat="false" ht="15" hidden="false" customHeight="false" outlineLevel="0" collapsed="false">
      <c r="A421" s="4" t="s">
        <v>426</v>
      </c>
      <c r="B421" s="0" t="s">
        <v>49</v>
      </c>
      <c r="D421" s="14" t="n">
        <f aca="false">$D$419*D420</f>
        <v>0.498927641116676</v>
      </c>
      <c r="E421" s="14" t="n">
        <f aca="false">$D$419*E420</f>
        <v>0.473981259060843</v>
      </c>
      <c r="F421" s="14" t="n">
        <f aca="false">$D$419*F420</f>
        <v>0.449034877005009</v>
      </c>
      <c r="G421" s="14" t="n">
        <f aca="false">$D$419*G420</f>
        <v>0.424088494949175</v>
      </c>
    </row>
    <row r="422" customFormat="false" ht="15" hidden="false" customHeight="false" outlineLevel="0" collapsed="false">
      <c r="A422" s="4" t="s">
        <v>467</v>
      </c>
      <c r="B422" s="0" t="s">
        <v>189</v>
      </c>
      <c r="C422" s="19" t="n">
        <f aca="false">a25_lc</f>
        <v>20.94585</v>
      </c>
      <c r="D422" s="19" t="n">
        <f aca="false">D418*D421</f>
        <v>72.064112</v>
      </c>
      <c r="E422" s="19" t="n">
        <f aca="false">E418*E421</f>
        <v>185.669008169709</v>
      </c>
      <c r="F422" s="19" t="n">
        <f aca="false">F418*F421</f>
        <v>272.137655238605</v>
      </c>
      <c r="G422" s="19" t="n">
        <f aca="false">G418*G421</f>
        <v>310.007813760617</v>
      </c>
    </row>
    <row r="423" customFormat="false" ht="17.15" hidden="false" customHeight="false" outlineLevel="0" collapsed="false">
      <c r="A423" s="6" t="s">
        <v>468</v>
      </c>
    </row>
    <row r="424" customFormat="false" ht="17.15" hidden="false" customHeight="false" outlineLevel="0" collapsed="false">
      <c r="A424" s="0" t="s">
        <v>469</v>
      </c>
      <c r="B424" s="0" t="s">
        <v>470</v>
      </c>
      <c r="D424" s="22" t="n">
        <f aca="false">a26_air/D414</f>
        <v>2.02106868156909</v>
      </c>
    </row>
    <row r="425" customFormat="false" ht="17.15" hidden="false" customHeight="false" outlineLevel="0" collapsed="false">
      <c r="A425" s="0" t="s">
        <v>471</v>
      </c>
      <c r="B425" s="0" t="s">
        <v>70</v>
      </c>
      <c r="D425" s="15" t="n">
        <f aca="false">1</f>
        <v>1</v>
      </c>
      <c r="E425" s="15" t="n">
        <f aca="false">acr_27</f>
        <v>0.75</v>
      </c>
      <c r="F425" s="15" t="n">
        <f aca="false">acr_28</f>
        <v>0.65</v>
      </c>
      <c r="G425" s="15" t="n">
        <f aca="false">acr_29</f>
        <v>0.6</v>
      </c>
    </row>
    <row r="426" customFormat="false" ht="17.15" hidden="false" customHeight="false" outlineLevel="0" collapsed="false">
      <c r="A426" s="0" t="s">
        <v>472</v>
      </c>
      <c r="B426" s="0" t="s">
        <v>189</v>
      </c>
      <c r="C426" s="19" t="n">
        <f aca="false">a25_air</f>
        <v>30.999858</v>
      </c>
      <c r="D426" s="19" t="n">
        <f aca="false">D414*$D$424*D425</f>
        <v>47.2920735</v>
      </c>
      <c r="E426" s="19" t="n">
        <f aca="false">E414*$D$424*E425</f>
        <v>75.7538766897294</v>
      </c>
      <c r="F426" s="19" t="n">
        <f aca="false">F414*$D$424*F425</f>
        <v>83.2232989624913</v>
      </c>
      <c r="G426" s="19" t="n">
        <f aca="false">G414*$D$424*G425</f>
        <v>87.511841504298</v>
      </c>
    </row>
    <row r="427" customFormat="false" ht="15" hidden="false" customHeight="false" outlineLevel="0" collapsed="false">
      <c r="A427" s="4" t="s">
        <v>473</v>
      </c>
      <c r="B427" s="0" t="s">
        <v>189</v>
      </c>
      <c r="C427" s="19" t="n">
        <f aca="false">a25_gen</f>
        <v>20.666572</v>
      </c>
      <c r="D427" s="19" t="n">
        <f aca="false">a26_gen</f>
        <v>31.528049</v>
      </c>
      <c r="E427" s="19" t="n">
        <f aca="false">D427*(1+g_gen_27)</f>
        <v>34.05029292</v>
      </c>
      <c r="F427" s="19" t="n">
        <f aca="false">E427*(1+g_gen_28)</f>
        <v>36.0933104952</v>
      </c>
      <c r="G427" s="19" t="n">
        <f aca="false">F427*(1+g_gen_29)</f>
        <v>37.89797601996</v>
      </c>
    </row>
    <row r="428" customFormat="false" ht="17.15" hidden="false" customHeight="false" outlineLevel="0" collapsed="false">
      <c r="A428" s="4" t="s">
        <v>474</v>
      </c>
      <c r="B428" s="0" t="s">
        <v>189</v>
      </c>
      <c r="C428" s="19" t="n">
        <f aca="false">a25_nai</f>
        <v>67.02672</v>
      </c>
      <c r="D428" s="19" t="n">
        <f aca="false">a26_nai</f>
        <v>74.3161155</v>
      </c>
      <c r="E428" s="19" t="n">
        <f aca="false">D428*(1+g_nai_27)</f>
        <v>78.77508243</v>
      </c>
      <c r="F428" s="19" t="n">
        <f aca="false">E428*(1+g_nai_28)</f>
        <v>82.7138365515</v>
      </c>
      <c r="G428" s="19" t="n">
        <f aca="false">F428*(1+g_nai_29)</f>
        <v>86.02239001356</v>
      </c>
    </row>
    <row r="429" customFormat="false" ht="15" hidden="false" customHeight="false" outlineLevel="0" collapsed="false">
      <c r="A429" s="4" t="s">
        <v>353</v>
      </c>
      <c r="B429" s="0" t="s">
        <v>189</v>
      </c>
      <c r="C429" s="19" t="n">
        <f aca="false">C422+C426+C427+C428</f>
        <v>139.639</v>
      </c>
      <c r="D429" s="19" t="n">
        <f aca="false">D422+D426+D427+D428</f>
        <v>225.20035</v>
      </c>
      <c r="E429" s="19" t="n">
        <f aca="false">E422+E426+E427+E428</f>
        <v>374.248260209438</v>
      </c>
      <c r="F429" s="19" t="n">
        <f aca="false">F422+F426+F427+F428</f>
        <v>474.168101247797</v>
      </c>
      <c r="G429" s="19" t="n">
        <f aca="false">G422+G426+G427+G428</f>
        <v>521.440021298435</v>
      </c>
    </row>
    <row r="430" customFormat="false" ht="15" hidden="false" customHeight="false" outlineLevel="0" collapsed="false">
      <c r="A430" s="4" t="s">
        <v>475</v>
      </c>
      <c r="B430" s="0" t="s">
        <v>49</v>
      </c>
      <c r="D430" s="14" t="n">
        <f aca="false">D429/C429-1</f>
        <v>0.612732474451979</v>
      </c>
      <c r="E430" s="14" t="n">
        <f aca="false">E429/D429-1</f>
        <v>0.661845819553292</v>
      </c>
      <c r="F430" s="14" t="n">
        <f aca="false">F429/E429-1</f>
        <v>0.266988124360126</v>
      </c>
      <c r="G430" s="14" t="n">
        <f aca="false">G429/F429-1</f>
        <v>0.0996944331055594</v>
      </c>
    </row>
    <row r="431" customFormat="false" ht="17.15" hidden="false" customHeight="false" outlineLevel="0" collapsed="false">
      <c r="A431" s="4" t="s">
        <v>476</v>
      </c>
      <c r="B431" s="0" t="s">
        <v>49</v>
      </c>
      <c r="C431" s="14" t="n">
        <f aca="false">C422/C429</f>
        <v>0.15</v>
      </c>
      <c r="D431" s="14" t="n">
        <f aca="false">D422/D429</f>
        <v>0.32</v>
      </c>
      <c r="E431" s="14" t="n">
        <f aca="false">E422/E429</f>
        <v>0.496111880562395</v>
      </c>
      <c r="F431" s="14" t="n">
        <f aca="false">F422/F429</f>
        <v>0.573926534750992</v>
      </c>
      <c r="G431" s="14" t="n">
        <f aca="false">G422/G429</f>
        <v>0.594522478325826</v>
      </c>
    </row>
    <row r="432" customFormat="false" ht="17.15" hidden="false" customHeight="false" outlineLevel="0" collapsed="false">
      <c r="A432" s="0" t="s">
        <v>477</v>
      </c>
      <c r="B432" s="0" t="s">
        <v>49</v>
      </c>
      <c r="C432" s="14" t="n">
        <f aca="false">(C422+C426)/C429</f>
        <v>0.372</v>
      </c>
      <c r="D432" s="14" t="n">
        <f aca="false">(D422+D426)/D429</f>
        <v>0.53</v>
      </c>
      <c r="E432" s="14" t="n">
        <f aca="false">(E422+E426)/E429</f>
        <v>0.69852798971768</v>
      </c>
      <c r="F432" s="14" t="n">
        <f aca="false">(F422+F426)/F429</f>
        <v>0.749440869737856</v>
      </c>
      <c r="G432" s="14" t="n">
        <f aca="false">(G422+G426)/G429</f>
        <v>0.762349721977714</v>
      </c>
    </row>
    <row r="433" customFormat="false" ht="17.15" hidden="false" customHeight="false" outlineLevel="0" collapsed="false">
      <c r="A433" s="4" t="s">
        <v>431</v>
      </c>
      <c r="B433" s="0" t="s">
        <v>419</v>
      </c>
      <c r="D433" s="18" t="n">
        <f aca="false">(D422+D426)/fx/D414*1000</f>
        <v>159.399762088039</v>
      </c>
      <c r="E433" s="18" t="n">
        <f aca="false">(E422+E426)/fx/E414*1000</f>
        <v>163.467378354919</v>
      </c>
      <c r="F433" s="18" t="n">
        <f aca="false">(F422+F426)/fx/F414*1000</f>
        <v>175.294879743813</v>
      </c>
      <c r="G433" s="18" t="n">
        <f aca="false">(G422+G426)/fx/G414*1000</f>
        <v>172.136959928861</v>
      </c>
    </row>
    <row r="434" customFormat="false" ht="17.15" hidden="false" customHeight="false" outlineLevel="0" collapsed="false">
      <c r="A434" s="6" t="s">
        <v>478</v>
      </c>
    </row>
    <row r="435" customFormat="false" ht="17.15" hidden="false" customHeight="false" outlineLevel="0" collapsed="false">
      <c r="A435" s="4" t="s">
        <v>479</v>
      </c>
      <c r="B435" s="0" t="s">
        <v>49</v>
      </c>
      <c r="D435" s="14" t="n">
        <f aca="false">a26_gp/D429-d_lc*D431</f>
        <v>0.302821503074929</v>
      </c>
      <c r="H435" s="8" t="s">
        <v>480</v>
      </c>
    </row>
    <row r="436" customFormat="false" ht="15" hidden="false" customHeight="false" outlineLevel="0" collapsed="false">
      <c r="A436" s="4" t="s">
        <v>357</v>
      </c>
      <c r="B436" s="0" t="s">
        <v>189</v>
      </c>
      <c r="C436" s="19" t="n">
        <f aca="false">a25_gp</f>
        <v>36.034</v>
      </c>
      <c r="D436" s="19" t="n">
        <f aca="false">a26_gp</f>
        <v>72.5193552</v>
      </c>
      <c r="E436" s="19" t="n">
        <f aca="false">$D$435*E429+d_lc*E422</f>
        <v>124.470561169982</v>
      </c>
      <c r="F436" s="19" t="n">
        <f aca="false">$D$435*F429+d_lc*F422</f>
        <v>159.916556444359</v>
      </c>
      <c r="G436" s="19" t="n">
        <f aca="false">$D$435*G429+d_lc*G422</f>
        <v>176.503719838652</v>
      </c>
    </row>
    <row r="437" customFormat="false" ht="15" hidden="false" customHeight="false" outlineLevel="0" collapsed="false">
      <c r="A437" s="4" t="s">
        <v>360</v>
      </c>
      <c r="B437" s="0" t="s">
        <v>49</v>
      </c>
      <c r="C437" s="14" t="n">
        <f aca="false">C436/C429</f>
        <v>0.258051117524474</v>
      </c>
      <c r="D437" s="14" t="n">
        <f aca="false">D436/D429</f>
        <v>0.322021503074929</v>
      </c>
      <c r="E437" s="14" t="n">
        <f aca="false">E436/E429</f>
        <v>0.332588215908672</v>
      </c>
      <c r="F437" s="14" t="n">
        <f aca="false">F436/F429</f>
        <v>0.337257095159988</v>
      </c>
      <c r="G437" s="14" t="n">
        <f aca="false">G436/G429</f>
        <v>0.338492851774478</v>
      </c>
    </row>
    <row r="438" customFormat="false" ht="15" hidden="false" customHeight="false" outlineLevel="0" collapsed="false">
      <c r="A438" s="4" t="s">
        <v>481</v>
      </c>
      <c r="B438" s="0" t="s">
        <v>189</v>
      </c>
      <c r="C438" s="19" t="n">
        <f aca="false">a25_opx</f>
        <v>8.4832253</v>
      </c>
      <c r="D438" s="19" t="n">
        <f aca="false">a26_opx</f>
        <v>11.7048599</v>
      </c>
      <c r="E438" s="19" t="n">
        <f aca="false">D438*(1+MAX(0,phi*E430))</f>
        <v>17.1276287152904</v>
      </c>
      <c r="F438" s="19" t="n">
        <f aca="false">E438*(1+MAX(0,phi*F430))</f>
        <v>20.3286401410928</v>
      </c>
      <c r="G438" s="19" t="n">
        <f aca="false">F438*(1+MAX(0,phi*G430))</f>
        <v>21.747296719364</v>
      </c>
    </row>
    <row r="439" customFormat="false" ht="15" hidden="false" customHeight="false" outlineLevel="0" collapsed="false">
      <c r="A439" s="4" t="s">
        <v>362</v>
      </c>
      <c r="B439" s="0" t="s">
        <v>189</v>
      </c>
      <c r="C439" s="19" t="n">
        <f aca="false">C438</f>
        <v>8.4832253</v>
      </c>
      <c r="D439" s="19" t="n">
        <f aca="false">D438</f>
        <v>11.7048599</v>
      </c>
      <c r="E439" s="19" t="n">
        <f aca="false">E438+0*E429</f>
        <v>17.1276287152904</v>
      </c>
      <c r="F439" s="19" t="n">
        <f aca="false">F438+0*F429</f>
        <v>20.3286401410928</v>
      </c>
      <c r="G439" s="19" t="n">
        <f aca="false">G438+0*G429</f>
        <v>21.747296719364</v>
      </c>
    </row>
    <row r="440" customFormat="false" ht="15" hidden="false" customHeight="false" outlineLevel="0" collapsed="false">
      <c r="A440" s="4" t="s">
        <v>364</v>
      </c>
      <c r="B440" s="0" t="s">
        <v>189</v>
      </c>
      <c r="C440" s="19" t="n">
        <f aca="false">C436-C439</f>
        <v>27.5507747</v>
      </c>
      <c r="D440" s="19" t="n">
        <f aca="false">D436-D439</f>
        <v>60.8144953</v>
      </c>
      <c r="E440" s="19" t="n">
        <f aca="false">E436-E439</f>
        <v>107.342932454691</v>
      </c>
      <c r="F440" s="19" t="n">
        <f aca="false">F436-F439</f>
        <v>139.587916303266</v>
      </c>
      <c r="G440" s="19" t="n">
        <f aca="false">G436-G439</f>
        <v>154.756423119288</v>
      </c>
    </row>
    <row r="441" customFormat="false" ht="15" hidden="false" customHeight="false" outlineLevel="0" collapsed="false">
      <c r="A441" s="4" t="s">
        <v>367</v>
      </c>
      <c r="B441" s="0" t="s">
        <v>49</v>
      </c>
      <c r="C441" s="14" t="n">
        <f aca="false">C440/C429</f>
        <v>0.1973</v>
      </c>
      <c r="D441" s="14" t="n">
        <f aca="false">D440/D429</f>
        <v>0.27004618465291</v>
      </c>
      <c r="E441" s="14" t="n">
        <f aca="false">E440/E429</f>
        <v>0.286822796169098</v>
      </c>
      <c r="F441" s="14" t="n">
        <f aca="false">F440/F429</f>
        <v>0.294384873077573</v>
      </c>
      <c r="G441" s="14" t="n">
        <f aca="false">G440/G429</f>
        <v>0.296786623193843</v>
      </c>
    </row>
    <row r="442" customFormat="false" ht="15" hidden="false" customHeight="false" outlineLevel="0" collapsed="false">
      <c r="A442" s="4" t="s">
        <v>369</v>
      </c>
      <c r="B442" s="0" t="s">
        <v>189</v>
      </c>
      <c r="C442" s="19" t="n">
        <f aca="false">a25_nop</f>
        <v>1.23179436863779</v>
      </c>
      <c r="D442" s="19" t="n">
        <f aca="false">a26_nop</f>
        <v>0.8186111</v>
      </c>
      <c r="E442" s="19" t="n">
        <f aca="false">nop_f</f>
        <v>1</v>
      </c>
      <c r="F442" s="19" t="n">
        <f aca="false">nop_f</f>
        <v>1</v>
      </c>
      <c r="G442" s="19" t="n">
        <f aca="false">nop_f</f>
        <v>1</v>
      </c>
    </row>
    <row r="443" customFormat="false" ht="17.15" hidden="false" customHeight="false" outlineLevel="0" collapsed="false">
      <c r="A443" s="4" t="s">
        <v>232</v>
      </c>
      <c r="B443" s="0" t="s">
        <v>49</v>
      </c>
      <c r="C443" s="14" t="n">
        <f aca="false">a25_ni/(a25_oi+a25_nop)</f>
        <v>0.666583999303438</v>
      </c>
      <c r="D443" s="14" t="n">
        <f aca="false">a26_ni/(a26_oi+a26_nop)</f>
        <v>0.674837141220258</v>
      </c>
      <c r="E443" s="14" t="n">
        <f aca="false">nir_f</f>
        <v>0.675</v>
      </c>
      <c r="F443" s="14" t="n">
        <f aca="false">nir_f</f>
        <v>0.675</v>
      </c>
      <c r="G443" s="14" t="n">
        <f aca="false">nir_f</f>
        <v>0.675</v>
      </c>
    </row>
    <row r="444" customFormat="false" ht="15" hidden="false" customHeight="false" outlineLevel="0" collapsed="false">
      <c r="A444" s="4" t="s">
        <v>373</v>
      </c>
      <c r="B444" s="0" t="s">
        <v>189</v>
      </c>
      <c r="C444" s="19" t="n">
        <f aca="false">a25_ni</f>
        <v>19.186</v>
      </c>
      <c r="D444" s="19" t="n">
        <f aca="false">a26_ni</f>
        <v>41.5923093275</v>
      </c>
      <c r="E444" s="19" t="n">
        <f aca="false">(E440+E442)*E443</f>
        <v>73.1314794069166</v>
      </c>
      <c r="F444" s="19" t="n">
        <f aca="false">(F440+F442)*F443</f>
        <v>94.8968435047048</v>
      </c>
      <c r="G444" s="19" t="n">
        <f aca="false">(G440+G442)*G443</f>
        <v>105.135585605519</v>
      </c>
    </row>
    <row r="445" customFormat="false" ht="15" hidden="false" customHeight="false" outlineLevel="0" collapsed="false">
      <c r="A445" s="4" t="s">
        <v>482</v>
      </c>
      <c r="B445" s="4" t="s">
        <v>215</v>
      </c>
      <c r="C445" s="22" t="n">
        <f aca="false">a25_sh</f>
        <v>0.390197274761033</v>
      </c>
      <c r="D445" s="22" t="n">
        <f aca="false">a26_sh</f>
        <v>0.392523574315222</v>
      </c>
      <c r="E445" s="22" t="n">
        <f aca="false">D445*(1+sh_g)</f>
        <v>0.392523574315222</v>
      </c>
      <c r="F445" s="22" t="n">
        <f aca="false">E445*(1+sh_g)</f>
        <v>0.392523574315222</v>
      </c>
      <c r="G445" s="22" t="n">
        <f aca="false">F445*(1+sh_g)</f>
        <v>0.392523574315222</v>
      </c>
    </row>
    <row r="446" customFormat="false" ht="15" hidden="false" customHeight="false" outlineLevel="0" collapsed="false">
      <c r="A446" s="0" t="s">
        <v>378</v>
      </c>
      <c r="B446" s="0" t="s">
        <v>252</v>
      </c>
      <c r="C446" s="20" t="n">
        <f aca="false">C444/C445</f>
        <v>49.17</v>
      </c>
      <c r="D446" s="20" t="n">
        <f aca="false">D444/D445</f>
        <v>105.961302834002</v>
      </c>
      <c r="E446" s="20" t="n">
        <f aca="false">E444/E445</f>
        <v>186.31105032226</v>
      </c>
      <c r="F446" s="20" t="n">
        <f aca="false">F444/F445</f>
        <v>241.760876834614</v>
      </c>
      <c r="G446" s="20" t="n">
        <f aca="false">G444/G445</f>
        <v>267.845277290501</v>
      </c>
    </row>
    <row r="447" customFormat="false" ht="17.15" hidden="false" customHeight="false" outlineLevel="0" collapsed="false">
      <c r="A447" s="0" t="s">
        <v>483</v>
      </c>
      <c r="B447" s="0" t="s">
        <v>49</v>
      </c>
      <c r="D447" s="14" t="n">
        <f aca="false">D446/C446-1</f>
        <v>1.15499904075659</v>
      </c>
      <c r="E447" s="14" t="n">
        <f aca="false">E446/D446-1</f>
        <v>0.758293314061394</v>
      </c>
      <c r="F447" s="14" t="n">
        <f aca="false">F446/E446-1</f>
        <v>0.297619633491643</v>
      </c>
      <c r="G447" s="14" t="n">
        <f aca="false">G446/F446-1</f>
        <v>0.107893389523615</v>
      </c>
    </row>
    <row r="450" customFormat="false" ht="17.15" hidden="false" customHeight="false" outlineLevel="0" collapsed="false">
      <c r="A450" s="1" t="s">
        <v>799</v>
      </c>
    </row>
    <row r="451" customFormat="false" ht="17.15" hidden="false" customHeight="false" outlineLevel="0" collapsed="false">
      <c r="A451" s="5" t="s">
        <v>18</v>
      </c>
      <c r="B451" s="5" t="s">
        <v>19</v>
      </c>
      <c r="C451" s="11" t="s">
        <v>347</v>
      </c>
      <c r="D451" s="11" t="s">
        <v>436</v>
      </c>
      <c r="E451" s="11" t="s">
        <v>437</v>
      </c>
      <c r="F451" s="11" t="s">
        <v>438</v>
      </c>
      <c r="G451" s="11" t="s">
        <v>439</v>
      </c>
      <c r="H451" s="5" t="s">
        <v>412</v>
      </c>
    </row>
    <row r="452" customFormat="false" ht="17.15" hidden="false" customHeight="false" outlineLevel="0" collapsed="false">
      <c r="A452" s="6" t="s">
        <v>455</v>
      </c>
    </row>
    <row r="453" customFormat="false" ht="17.15" hidden="false" customHeight="false" outlineLevel="0" collapsed="false">
      <c r="A453" s="0" t="s">
        <v>456</v>
      </c>
      <c r="B453" s="0" t="s">
        <v>29</v>
      </c>
      <c r="D453" s="20" t="n">
        <f aca="false">itc_26*1</f>
        <v>781.872916666667</v>
      </c>
      <c r="E453" s="20" t="n">
        <f aca="false">itc_27*1*1</f>
        <v>1565.35</v>
      </c>
      <c r="F453" s="20" t="n">
        <f aca="false">itc_28*um28_A*1</f>
        <v>1984.26388888889</v>
      </c>
      <c r="G453" s="20" t="n">
        <f aca="false">itc_29*um29_A*1</f>
        <v>2260.39027777778</v>
      </c>
    </row>
    <row r="454" customFormat="false" ht="17.15" hidden="false" customHeight="false" outlineLevel="0" collapsed="false">
      <c r="A454" s="4" t="s">
        <v>457</v>
      </c>
      <c r="B454" s="0" t="s">
        <v>29</v>
      </c>
      <c r="D454" s="20" t="n">
        <f aca="false">itpg_gb*(1-vr26)+itpg_vr*vr26</f>
        <v>33.41403216</v>
      </c>
      <c r="E454" s="20" t="n">
        <f aca="false">itpg_vr</f>
        <v>37.586352</v>
      </c>
      <c r="F454" s="20" t="n">
        <f aca="false">itpg_vr</f>
        <v>37.586352</v>
      </c>
      <c r="G454" s="20" t="n">
        <f aca="false">itpg_vr</f>
        <v>37.586352</v>
      </c>
    </row>
    <row r="455" customFormat="false" ht="17.15" hidden="false" customHeight="false" outlineLevel="0" collapsed="false">
      <c r="A455" s="4" t="s">
        <v>458</v>
      </c>
      <c r="B455" s="0" t="s">
        <v>414</v>
      </c>
      <c r="D455" s="17" t="n">
        <f aca="false">D453/D454</f>
        <v>23.3995380420639</v>
      </c>
      <c r="E455" s="17" t="n">
        <f aca="false">E453/E454</f>
        <v>41.6467658260637</v>
      </c>
      <c r="F455" s="17" t="n">
        <f aca="false">F453/F454</f>
        <v>52.792138191248</v>
      </c>
      <c r="G455" s="17" t="n">
        <f aca="false">G453/G454</f>
        <v>60.1385917361116</v>
      </c>
    </row>
    <row r="456" customFormat="false" ht="17.15" hidden="false" customHeight="false" outlineLevel="0" collapsed="false">
      <c r="A456" s="4" t="s">
        <v>459</v>
      </c>
      <c r="B456" s="0" t="s">
        <v>49</v>
      </c>
      <c r="D456" s="14" t="n">
        <f aca="false">lpen_26</f>
        <v>0.55</v>
      </c>
      <c r="E456" s="14" t="n">
        <f aca="false">lpen_27</f>
        <v>0.75</v>
      </c>
      <c r="F456" s="14" t="n">
        <f aca="false">lpen_28</f>
        <v>0.85</v>
      </c>
      <c r="G456" s="14" t="n">
        <f aca="false">lpen_29</f>
        <v>0.9</v>
      </c>
    </row>
    <row r="457" customFormat="false" ht="17.15" hidden="false" customHeight="false" outlineLevel="0" collapsed="false">
      <c r="A457" s="4" t="s">
        <v>460</v>
      </c>
      <c r="B457" s="0" t="s">
        <v>419</v>
      </c>
      <c r="D457" s="18" t="n">
        <f aca="false">((1-vr26)*racks_gb*(cool_gb+mani)+vr26*racks_vr*(cool_vr+mani))/1000</f>
        <v>350.7208</v>
      </c>
      <c r="E457" s="18" t="n">
        <f aca="false">racks_vr*(cool_vr+mani)*lcadj_27/1000</f>
        <v>326.5912</v>
      </c>
      <c r="F457" s="18" t="n">
        <f aca="false">racks_vr*(cool_vr+mani)*lcadj_28/1000</f>
        <v>351.7136</v>
      </c>
      <c r="G457" s="18" t="n">
        <f aca="false">racks_vr*(cool_vr+mani)*lcadj_29/1000</f>
        <v>351.7136</v>
      </c>
      <c r="H457" s="4" t="s">
        <v>461</v>
      </c>
    </row>
    <row r="458" customFormat="false" ht="17.15" hidden="false" customHeight="false" outlineLevel="0" collapsed="false">
      <c r="A458" s="0" t="s">
        <v>462</v>
      </c>
      <c r="B458" s="0" t="s">
        <v>29</v>
      </c>
      <c r="D458" s="20" t="n">
        <f aca="false">D455*D456*D457/1000</f>
        <v>4.5136875859587</v>
      </c>
      <c r="E458" s="20" t="n">
        <f aca="false">E455*E456*E457/1000</f>
        <v>10.2011004204398</v>
      </c>
      <c r="F458" s="20" t="n">
        <f aca="false">F455*F456*F457/1000</f>
        <v>15.7825560287001</v>
      </c>
      <c r="G458" s="20" t="n">
        <f aca="false">G455*G456*G457/1000</f>
        <v>19.0364045385942</v>
      </c>
    </row>
    <row r="459" customFormat="false" ht="17.15" hidden="false" customHeight="false" outlineLevel="0" collapsed="false">
      <c r="A459" s="0" t="s">
        <v>463</v>
      </c>
      <c r="B459" s="0" t="s">
        <v>189</v>
      </c>
      <c r="D459" s="19" t="n">
        <f aca="false">D458*fx</f>
        <v>144.438002750678</v>
      </c>
      <c r="E459" s="19" t="n">
        <f aca="false">E458*fx</f>
        <v>326.435213454075</v>
      </c>
      <c r="F459" s="19" t="n">
        <f aca="false">F458*fx</f>
        <v>505.041792918404</v>
      </c>
      <c r="G459" s="19" t="n">
        <f aca="false">G458*fx</f>
        <v>609.164945235016</v>
      </c>
    </row>
    <row r="460" customFormat="false" ht="17.15" hidden="false" customHeight="false" outlineLevel="0" collapsed="false">
      <c r="A460" s="4" t="s">
        <v>464</v>
      </c>
      <c r="B460" s="0" t="s">
        <v>49</v>
      </c>
      <c r="D460" s="14" t="n">
        <f aca="false">a26_lc/D459</f>
        <v>0.498927641116676</v>
      </c>
      <c r="H460" s="8" t="s">
        <v>465</v>
      </c>
    </row>
    <row r="461" customFormat="false" ht="17.15" hidden="false" customHeight="false" outlineLevel="0" collapsed="false">
      <c r="A461" s="4" t="s">
        <v>466</v>
      </c>
      <c r="B461" s="0" t="s">
        <v>70</v>
      </c>
      <c r="D461" s="15" t="n">
        <f aca="false">1</f>
        <v>1</v>
      </c>
      <c r="E461" s="15" t="n">
        <f aca="false">rel_27</f>
        <v>0.95</v>
      </c>
      <c r="F461" s="15" t="n">
        <f aca="false">rel_28</f>
        <v>0.9</v>
      </c>
      <c r="G461" s="15" t="n">
        <f aca="false">rel_29</f>
        <v>0.85</v>
      </c>
    </row>
    <row r="462" customFormat="false" ht="15" hidden="false" customHeight="false" outlineLevel="0" collapsed="false">
      <c r="A462" s="4" t="s">
        <v>426</v>
      </c>
      <c r="B462" s="0" t="s">
        <v>49</v>
      </c>
      <c r="D462" s="14" t="n">
        <f aca="false">$D$460*D461</f>
        <v>0.498927641116676</v>
      </c>
      <c r="E462" s="14" t="n">
        <f aca="false">$D$460*E461</f>
        <v>0.473981259060843</v>
      </c>
      <c r="F462" s="14" t="n">
        <f aca="false">$D$460*F461</f>
        <v>0.449034877005009</v>
      </c>
      <c r="G462" s="14" t="n">
        <f aca="false">$D$460*G461</f>
        <v>0.424088494949175</v>
      </c>
    </row>
    <row r="463" customFormat="false" ht="15" hidden="false" customHeight="false" outlineLevel="0" collapsed="false">
      <c r="A463" s="4" t="s">
        <v>467</v>
      </c>
      <c r="B463" s="0" t="s">
        <v>189</v>
      </c>
      <c r="C463" s="19" t="n">
        <f aca="false">a25_lc</f>
        <v>20.94585</v>
      </c>
      <c r="D463" s="19" t="n">
        <f aca="false">D459*D462</f>
        <v>72.064112</v>
      </c>
      <c r="E463" s="19" t="n">
        <f aca="false">E459*E462</f>
        <v>154.724173474757</v>
      </c>
      <c r="F463" s="19" t="n">
        <f aca="false">F459*F462</f>
        <v>226.781379365505</v>
      </c>
      <c r="G463" s="19" t="n">
        <f aca="false">G459*G462</f>
        <v>258.339844800514</v>
      </c>
    </row>
    <row r="464" customFormat="false" ht="17.15" hidden="false" customHeight="false" outlineLevel="0" collapsed="false">
      <c r="A464" s="6" t="s">
        <v>468</v>
      </c>
    </row>
    <row r="465" customFormat="false" ht="17.15" hidden="false" customHeight="false" outlineLevel="0" collapsed="false">
      <c r="A465" s="0" t="s">
        <v>469</v>
      </c>
      <c r="B465" s="0" t="s">
        <v>470</v>
      </c>
      <c r="D465" s="22" t="n">
        <f aca="false">a26_air/D455</f>
        <v>2.02106868156909</v>
      </c>
    </row>
    <row r="466" customFormat="false" ht="17.15" hidden="false" customHeight="false" outlineLevel="0" collapsed="false">
      <c r="A466" s="0" t="s">
        <v>471</v>
      </c>
      <c r="B466" s="0" t="s">
        <v>70</v>
      </c>
      <c r="D466" s="15" t="n">
        <f aca="false">1</f>
        <v>1</v>
      </c>
      <c r="E466" s="15" t="n">
        <f aca="false">acr_27</f>
        <v>0.75</v>
      </c>
      <c r="F466" s="15" t="n">
        <f aca="false">acr_28</f>
        <v>0.65</v>
      </c>
      <c r="G466" s="15" t="n">
        <f aca="false">acr_29</f>
        <v>0.6</v>
      </c>
    </row>
    <row r="467" customFormat="false" ht="17.15" hidden="false" customHeight="false" outlineLevel="0" collapsed="false">
      <c r="A467" s="0" t="s">
        <v>472</v>
      </c>
      <c r="B467" s="0" t="s">
        <v>189</v>
      </c>
      <c r="C467" s="19" t="n">
        <f aca="false">a25_air</f>
        <v>30.999858</v>
      </c>
      <c r="D467" s="19" t="n">
        <f aca="false">D455*$D$465*D466</f>
        <v>47.2920735</v>
      </c>
      <c r="E467" s="19" t="n">
        <f aca="false">E455*$D$465*E466</f>
        <v>63.1282305747745</v>
      </c>
      <c r="F467" s="19" t="n">
        <f aca="false">F455*$D$465*F466</f>
        <v>69.3527491354094</v>
      </c>
      <c r="G467" s="19" t="n">
        <f aca="false">G455*$D$465*G466</f>
        <v>72.926534586915</v>
      </c>
    </row>
    <row r="468" customFormat="false" ht="15" hidden="false" customHeight="false" outlineLevel="0" collapsed="false">
      <c r="A468" s="4" t="s">
        <v>473</v>
      </c>
      <c r="B468" s="0" t="s">
        <v>189</v>
      </c>
      <c r="C468" s="19" t="n">
        <f aca="false">a25_gen</f>
        <v>20.666572</v>
      </c>
      <c r="D468" s="19" t="n">
        <f aca="false">a26_gen</f>
        <v>31.528049</v>
      </c>
      <c r="E468" s="19" t="n">
        <f aca="false">D468*(1+GGLO_27)</f>
        <v>31.528049</v>
      </c>
      <c r="F468" s="19" t="n">
        <f aca="false">E468*(1+GGLO_28)</f>
        <v>31.528049</v>
      </c>
      <c r="G468" s="19" t="n">
        <f aca="false">F468*(1+GGLO_29)</f>
        <v>31.528049</v>
      </c>
    </row>
    <row r="469" customFormat="false" ht="17.15" hidden="false" customHeight="false" outlineLevel="0" collapsed="false">
      <c r="A469" s="4" t="s">
        <v>474</v>
      </c>
      <c r="B469" s="0" t="s">
        <v>189</v>
      </c>
      <c r="C469" s="19" t="n">
        <f aca="false">a25_nai</f>
        <v>67.02672</v>
      </c>
      <c r="D469" s="19" t="n">
        <f aca="false">a26_nai</f>
        <v>74.3161155</v>
      </c>
      <c r="E469" s="19" t="n">
        <f aca="false">D469*(1+GNLO_27)</f>
        <v>74.3161155</v>
      </c>
      <c r="F469" s="19" t="n">
        <f aca="false">E469*(1+GNLO_28)</f>
        <v>74.3161155</v>
      </c>
      <c r="G469" s="19" t="n">
        <f aca="false">F469*(1+GNLO_29)</f>
        <v>74.3161155</v>
      </c>
    </row>
    <row r="470" customFormat="false" ht="15" hidden="false" customHeight="false" outlineLevel="0" collapsed="false">
      <c r="A470" s="4" t="s">
        <v>353</v>
      </c>
      <c r="B470" s="0" t="s">
        <v>189</v>
      </c>
      <c r="C470" s="19" t="n">
        <f aca="false">C463+C467+C468+C469</f>
        <v>139.639</v>
      </c>
      <c r="D470" s="19" t="n">
        <f aca="false">D463+D467+D468+D469</f>
        <v>225.20035</v>
      </c>
      <c r="E470" s="19" t="n">
        <f aca="false">E463+E467+E468+E469</f>
        <v>323.696568549532</v>
      </c>
      <c r="F470" s="19" t="n">
        <f aca="false">F463+F467+F468+F469</f>
        <v>401.978293000914</v>
      </c>
      <c r="G470" s="19" t="n">
        <f aca="false">G463+G467+G468+G469</f>
        <v>437.110543887429</v>
      </c>
    </row>
    <row r="471" customFormat="false" ht="15" hidden="false" customHeight="false" outlineLevel="0" collapsed="false">
      <c r="A471" s="4" t="s">
        <v>475</v>
      </c>
      <c r="B471" s="0" t="s">
        <v>49</v>
      </c>
      <c r="D471" s="14" t="n">
        <f aca="false">D470/C470-1</f>
        <v>0.612732474451979</v>
      </c>
      <c r="E471" s="14" t="n">
        <f aca="false">E470/D470-1</f>
        <v>0.43737151629441</v>
      </c>
      <c r="F471" s="14" t="n">
        <f aca="false">F470/E470-1</f>
        <v>0.241836744832231</v>
      </c>
      <c r="G471" s="14" t="n">
        <f aca="false">G470/F470-1</f>
        <v>0.0873983782164964</v>
      </c>
    </row>
    <row r="472" customFormat="false" ht="17.15" hidden="false" customHeight="false" outlineLevel="0" collapsed="false">
      <c r="A472" s="4" t="s">
        <v>476</v>
      </c>
      <c r="B472" s="0" t="s">
        <v>49</v>
      </c>
      <c r="C472" s="14" t="n">
        <f aca="false">C463/C470</f>
        <v>0.15</v>
      </c>
      <c r="D472" s="14" t="n">
        <f aca="false">D463/D470</f>
        <v>0.32</v>
      </c>
      <c r="E472" s="14" t="n">
        <f aca="false">E463/E470</f>
        <v>0.477991392272302</v>
      </c>
      <c r="F472" s="14" t="n">
        <f aca="false">F463/F470</f>
        <v>0.564163247902018</v>
      </c>
      <c r="G472" s="14" t="n">
        <f aca="false">G463/G470</f>
        <v>0.591017188702374</v>
      </c>
    </row>
    <row r="473" customFormat="false" ht="17.15" hidden="false" customHeight="false" outlineLevel="0" collapsed="false">
      <c r="A473" s="0" t="s">
        <v>477</v>
      </c>
      <c r="B473" s="0" t="s">
        <v>49</v>
      </c>
      <c r="C473" s="14" t="n">
        <f aca="false">(C463+C467)/C470</f>
        <v>0.372</v>
      </c>
      <c r="D473" s="14" t="n">
        <f aca="false">(D463+D467)/D470</f>
        <v>0.53</v>
      </c>
      <c r="E473" s="14" t="n">
        <f aca="false">(E463+E467)/E470</f>
        <v>0.673014252284841</v>
      </c>
      <c r="F473" s="14" t="n">
        <f aca="false">(F463+F467)/F470</f>
        <v>0.736691840472691</v>
      </c>
      <c r="G473" s="14" t="n">
        <f aca="false">(G463+G467)/G470</f>
        <v>0.757854927134271</v>
      </c>
    </row>
    <row r="474" customFormat="false" ht="17.15" hidden="false" customHeight="false" outlineLevel="0" collapsed="false">
      <c r="A474" s="4" t="s">
        <v>431</v>
      </c>
      <c r="B474" s="0" t="s">
        <v>419</v>
      </c>
      <c r="D474" s="18" t="n">
        <f aca="false">(D463+D467)/fx/D455*1000</f>
        <v>159.399762088039</v>
      </c>
      <c r="E474" s="18" t="n">
        <f aca="false">(E463+E467)/fx/E455*1000</f>
        <v>163.467378354919</v>
      </c>
      <c r="F474" s="18" t="n">
        <f aca="false">(F463+F467)/fx/F455*1000</f>
        <v>175.294879743813</v>
      </c>
      <c r="G474" s="18" t="n">
        <f aca="false">(G463+G467)/fx/G455*1000</f>
        <v>172.136959928861</v>
      </c>
    </row>
    <row r="475" customFormat="false" ht="17.15" hidden="false" customHeight="false" outlineLevel="0" collapsed="false">
      <c r="A475" s="6" t="s">
        <v>478</v>
      </c>
    </row>
    <row r="476" customFormat="false" ht="17.15" hidden="false" customHeight="false" outlineLevel="0" collapsed="false">
      <c r="A476" s="4" t="s">
        <v>479</v>
      </c>
      <c r="B476" s="0" t="s">
        <v>49</v>
      </c>
      <c r="D476" s="14" t="n">
        <f aca="false">a26_gp/D470-d_lc*D472</f>
        <v>0.302821503074929</v>
      </c>
      <c r="H476" s="8" t="s">
        <v>480</v>
      </c>
    </row>
    <row r="477" customFormat="false" ht="15" hidden="false" customHeight="false" outlineLevel="0" collapsed="false">
      <c r="A477" s="4" t="s">
        <v>357</v>
      </c>
      <c r="B477" s="0" t="s">
        <v>189</v>
      </c>
      <c r="C477" s="19" t="n">
        <f aca="false">a25_gp</f>
        <v>36.034</v>
      </c>
      <c r="D477" s="19" t="n">
        <f aca="false">a26_gp</f>
        <v>72.5193552</v>
      </c>
      <c r="E477" s="19" t="n">
        <f aca="false">$D$476*E470+d_lc*E463</f>
        <v>107.305731836851</v>
      </c>
      <c r="F477" s="19" t="n">
        <f aca="false">$D$476*F470+d_lc*F463</f>
        <v>135.334553651961</v>
      </c>
      <c r="G477" s="19" t="n">
        <f aca="false">$D$476*G470+d_lc*G463</f>
        <v>147.866862597922</v>
      </c>
    </row>
    <row r="478" customFormat="false" ht="15" hidden="false" customHeight="false" outlineLevel="0" collapsed="false">
      <c r="A478" s="4" t="s">
        <v>360</v>
      </c>
      <c r="B478" s="0" t="s">
        <v>49</v>
      </c>
      <c r="C478" s="14" t="n">
        <f aca="false">C477/C470</f>
        <v>0.258051117524474</v>
      </c>
      <c r="D478" s="14" t="n">
        <f aca="false">D477/D470</f>
        <v>0.322021503074929</v>
      </c>
      <c r="E478" s="14" t="n">
        <f aca="false">E477/E470</f>
        <v>0.331500986611267</v>
      </c>
      <c r="F478" s="14" t="n">
        <f aca="false">F477/F470</f>
        <v>0.33667129794905</v>
      </c>
      <c r="G478" s="14" t="n">
        <f aca="false">G477/G470</f>
        <v>0.338282534397071</v>
      </c>
    </row>
    <row r="479" customFormat="false" ht="15" hidden="false" customHeight="false" outlineLevel="0" collapsed="false">
      <c r="A479" s="4" t="s">
        <v>481</v>
      </c>
      <c r="B479" s="0" t="s">
        <v>189</v>
      </c>
      <c r="C479" s="19" t="n">
        <f aca="false">a25_opx</f>
        <v>8.4832253</v>
      </c>
      <c r="D479" s="19" t="n">
        <f aca="false">a26_opx</f>
        <v>11.7048599</v>
      </c>
      <c r="E479" s="19" t="n">
        <f aca="false">D479*(1+MAX(0,phi*E471))</f>
        <v>15.2884205257336</v>
      </c>
      <c r="F479" s="19" t="n">
        <f aca="false">E479*(1+MAX(0,phi*F471))</f>
        <v>17.8765318232324</v>
      </c>
      <c r="G479" s="19" t="n">
        <f aca="false">F479*(1+MAX(0,phi*G471))</f>
        <v>18.9701977458727</v>
      </c>
    </row>
    <row r="480" customFormat="false" ht="15" hidden="false" customHeight="false" outlineLevel="0" collapsed="false">
      <c r="A480" s="4" t="s">
        <v>362</v>
      </c>
      <c r="B480" s="0" t="s">
        <v>189</v>
      </c>
      <c r="C480" s="19" t="n">
        <f aca="false">C479</f>
        <v>8.4832253</v>
      </c>
      <c r="D480" s="19" t="n">
        <f aca="false">D479</f>
        <v>11.7048599</v>
      </c>
      <c r="E480" s="19" t="n">
        <f aca="false">E479+0*E470</f>
        <v>15.2884205257336</v>
      </c>
      <c r="F480" s="19" t="n">
        <f aca="false">F479+0*F470</f>
        <v>17.8765318232324</v>
      </c>
      <c r="G480" s="19" t="n">
        <f aca="false">G479+0*G470</f>
        <v>18.9701977458727</v>
      </c>
    </row>
    <row r="481" customFormat="false" ht="15" hidden="false" customHeight="false" outlineLevel="0" collapsed="false">
      <c r="A481" s="4" t="s">
        <v>364</v>
      </c>
      <c r="B481" s="0" t="s">
        <v>189</v>
      </c>
      <c r="C481" s="19" t="n">
        <f aca="false">C477-C480</f>
        <v>27.5507747</v>
      </c>
      <c r="D481" s="19" t="n">
        <f aca="false">D477-D480</f>
        <v>60.8144953</v>
      </c>
      <c r="E481" s="19" t="n">
        <f aca="false">E477-E480</f>
        <v>92.0173113111177</v>
      </c>
      <c r="F481" s="19" t="n">
        <f aca="false">F477-F480</f>
        <v>117.458021828729</v>
      </c>
      <c r="G481" s="19" t="n">
        <f aca="false">G477-G480</f>
        <v>128.896664852049</v>
      </c>
    </row>
    <row r="482" customFormat="false" ht="15" hidden="false" customHeight="false" outlineLevel="0" collapsed="false">
      <c r="A482" s="4" t="s">
        <v>367</v>
      </c>
      <c r="B482" s="0" t="s">
        <v>49</v>
      </c>
      <c r="C482" s="14" t="n">
        <f aca="false">C481/C470</f>
        <v>0.1973</v>
      </c>
      <c r="D482" s="14" t="n">
        <f aca="false">D481/D470</f>
        <v>0.27004618465291</v>
      </c>
      <c r="E482" s="14" t="n">
        <f aca="false">E481/E470</f>
        <v>0.284270271147583</v>
      </c>
      <c r="F482" s="14" t="n">
        <f aca="false">F481/F470</f>
        <v>0.292199911970027</v>
      </c>
      <c r="G482" s="14" t="n">
        <f aca="false">G481/G470</f>
        <v>0.294883449174459</v>
      </c>
    </row>
    <row r="483" customFormat="false" ht="15" hidden="false" customHeight="false" outlineLevel="0" collapsed="false">
      <c r="A483" s="4" t="s">
        <v>369</v>
      </c>
      <c r="B483" s="0" t="s">
        <v>189</v>
      </c>
      <c r="C483" s="19" t="n">
        <f aca="false">a25_nop</f>
        <v>1.23179436863779</v>
      </c>
      <c r="D483" s="19" t="n">
        <f aca="false">a26_nop</f>
        <v>0.8186111</v>
      </c>
      <c r="E483" s="19" t="n">
        <f aca="false">nop_f</f>
        <v>1</v>
      </c>
      <c r="F483" s="19" t="n">
        <f aca="false">nop_f</f>
        <v>1</v>
      </c>
      <c r="G483" s="19" t="n">
        <f aca="false">nop_f</f>
        <v>1</v>
      </c>
    </row>
    <row r="484" customFormat="false" ht="17.15" hidden="false" customHeight="false" outlineLevel="0" collapsed="false">
      <c r="A484" s="4" t="s">
        <v>232</v>
      </c>
      <c r="B484" s="0" t="s">
        <v>49</v>
      </c>
      <c r="C484" s="14" t="n">
        <f aca="false">a25_ni/(a25_oi+a25_nop)</f>
        <v>0.666583999303438</v>
      </c>
      <c r="D484" s="14" t="n">
        <f aca="false">a26_ni/(a26_oi+a26_nop)</f>
        <v>0.674837141220258</v>
      </c>
      <c r="E484" s="14" t="n">
        <f aca="false">nir_f</f>
        <v>0.675</v>
      </c>
      <c r="F484" s="14" t="n">
        <f aca="false">nir_f</f>
        <v>0.675</v>
      </c>
      <c r="G484" s="14" t="n">
        <f aca="false">nir_f</f>
        <v>0.675</v>
      </c>
    </row>
    <row r="485" customFormat="false" ht="15" hidden="false" customHeight="false" outlineLevel="0" collapsed="false">
      <c r="A485" s="4" t="s">
        <v>373</v>
      </c>
      <c r="B485" s="0" t="s">
        <v>189</v>
      </c>
      <c r="C485" s="19" t="n">
        <f aca="false">a25_ni</f>
        <v>19.186</v>
      </c>
      <c r="D485" s="19" t="n">
        <f aca="false">a26_ni</f>
        <v>41.5923093275</v>
      </c>
      <c r="E485" s="19" t="n">
        <f aca="false">(E481+E483)*E484</f>
        <v>62.7866851350045</v>
      </c>
      <c r="F485" s="19" t="n">
        <f aca="false">(F481+F483)*F484</f>
        <v>79.9591647343919</v>
      </c>
      <c r="G485" s="19" t="n">
        <f aca="false">(G481+G483)*G484</f>
        <v>87.6802487751332</v>
      </c>
    </row>
    <row r="486" customFormat="false" ht="15" hidden="false" customHeight="false" outlineLevel="0" collapsed="false">
      <c r="A486" s="4" t="s">
        <v>482</v>
      </c>
      <c r="B486" s="4" t="s">
        <v>215</v>
      </c>
      <c r="C486" s="22" t="n">
        <f aca="false">a25_sh</f>
        <v>0.390197274761033</v>
      </c>
      <c r="D486" s="22" t="n">
        <f aca="false">a26_sh</f>
        <v>0.392523574315222</v>
      </c>
      <c r="E486" s="22" t="n">
        <f aca="false">D486*(1+sh_g)</f>
        <v>0.392523574315222</v>
      </c>
      <c r="F486" s="22" t="n">
        <f aca="false">E486*(1+sh_g)</f>
        <v>0.392523574315222</v>
      </c>
      <c r="G486" s="22" t="n">
        <f aca="false">F486*(1+sh_g)</f>
        <v>0.392523574315222</v>
      </c>
    </row>
    <row r="487" customFormat="false" ht="15" hidden="false" customHeight="false" outlineLevel="0" collapsed="false">
      <c r="A487" s="0" t="s">
        <v>378</v>
      </c>
      <c r="B487" s="0" t="s">
        <v>252</v>
      </c>
      <c r="C487" s="20" t="n">
        <f aca="false">C485/C486</f>
        <v>49.17</v>
      </c>
      <c r="D487" s="20" t="n">
        <f aca="false">D485/D486</f>
        <v>105.961302834002</v>
      </c>
      <c r="E487" s="20" t="n">
        <f aca="false">E485/E486</f>
        <v>159.956469479672</v>
      </c>
      <c r="F487" s="20" t="n">
        <f aca="false">F485/F486</f>
        <v>203.705382215284</v>
      </c>
      <c r="G487" s="20" t="n">
        <f aca="false">G485/G486</f>
        <v>223.375752470653</v>
      </c>
    </row>
    <row r="488" customFormat="false" ht="17.15" hidden="false" customHeight="false" outlineLevel="0" collapsed="false">
      <c r="A488" s="0" t="s">
        <v>483</v>
      </c>
      <c r="B488" s="0" t="s">
        <v>49</v>
      </c>
      <c r="D488" s="14" t="n">
        <f aca="false">D487/C487-1</f>
        <v>1.15499904075659</v>
      </c>
      <c r="E488" s="14" t="n">
        <f aca="false">E487/D487-1</f>
        <v>0.509574393684632</v>
      </c>
      <c r="F488" s="14" t="n">
        <f aca="false">F487/E487-1</f>
        <v>0.273505115972646</v>
      </c>
      <c r="G488" s="14" t="n">
        <f aca="false">G487/F487-1</f>
        <v>0.0965628401245708</v>
      </c>
    </row>
    <row r="491" customFormat="false" ht="17.15" hidden="false" customHeight="false" outlineLevel="0" collapsed="false">
      <c r="A491" s="1" t="s">
        <v>800</v>
      </c>
    </row>
    <row r="492" customFormat="false" ht="17.15" hidden="false" customHeight="false" outlineLevel="0" collapsed="false">
      <c r="A492" s="5" t="s">
        <v>18</v>
      </c>
      <c r="B492" s="5" t="s">
        <v>19</v>
      </c>
      <c r="C492" s="11" t="s">
        <v>347</v>
      </c>
      <c r="D492" s="11" t="s">
        <v>436</v>
      </c>
      <c r="E492" s="11" t="s">
        <v>437</v>
      </c>
      <c r="F492" s="11" t="s">
        <v>438</v>
      </c>
      <c r="G492" s="11" t="s">
        <v>439</v>
      </c>
      <c r="H492" s="5" t="s">
        <v>412</v>
      </c>
    </row>
    <row r="493" customFormat="false" ht="17.15" hidden="false" customHeight="false" outlineLevel="0" collapsed="false">
      <c r="A493" s="6" t="s">
        <v>455</v>
      </c>
    </row>
    <row r="494" customFormat="false" ht="17.15" hidden="false" customHeight="false" outlineLevel="0" collapsed="false">
      <c r="A494" s="0" t="s">
        <v>456</v>
      </c>
      <c r="B494" s="0" t="s">
        <v>29</v>
      </c>
      <c r="D494" s="20" t="n">
        <f aca="false">itc_26*1</f>
        <v>781.872916666667</v>
      </c>
      <c r="E494" s="20" t="n">
        <f aca="false">itc_27*1*1</f>
        <v>1565.35</v>
      </c>
      <c r="F494" s="20" t="n">
        <f aca="false">itc_28*um28_A*1</f>
        <v>1984.26388888889</v>
      </c>
      <c r="G494" s="20" t="n">
        <f aca="false">itc_29*um29_A*1</f>
        <v>2260.39027777778</v>
      </c>
    </row>
    <row r="495" customFormat="false" ht="17.15" hidden="false" customHeight="false" outlineLevel="0" collapsed="false">
      <c r="A495" s="4" t="s">
        <v>457</v>
      </c>
      <c r="B495" s="0" t="s">
        <v>29</v>
      </c>
      <c r="D495" s="20" t="n">
        <f aca="false">itpg_gb*(1-vr26)+itpg_vr*vr26</f>
        <v>33.41403216</v>
      </c>
      <c r="E495" s="20" t="n">
        <f aca="false">itpg_vr</f>
        <v>37.586352</v>
      </c>
      <c r="F495" s="20" t="n">
        <f aca="false">itpg_vr</f>
        <v>37.586352</v>
      </c>
      <c r="G495" s="20" t="n">
        <f aca="false">itpg_vr</f>
        <v>37.586352</v>
      </c>
    </row>
    <row r="496" customFormat="false" ht="17.15" hidden="false" customHeight="false" outlineLevel="0" collapsed="false">
      <c r="A496" s="4" t="s">
        <v>458</v>
      </c>
      <c r="B496" s="0" t="s">
        <v>414</v>
      </c>
      <c r="D496" s="17" t="n">
        <f aca="false">D494/D495</f>
        <v>23.3995380420639</v>
      </c>
      <c r="E496" s="17" t="n">
        <f aca="false">E494/E495</f>
        <v>41.6467658260637</v>
      </c>
      <c r="F496" s="17" t="n">
        <f aca="false">F494/F495</f>
        <v>52.792138191248</v>
      </c>
      <c r="G496" s="17" t="n">
        <f aca="false">G494/G495</f>
        <v>60.1385917361116</v>
      </c>
    </row>
    <row r="497" customFormat="false" ht="17.15" hidden="false" customHeight="false" outlineLevel="0" collapsed="false">
      <c r="A497" s="4" t="s">
        <v>459</v>
      </c>
      <c r="B497" s="0" t="s">
        <v>49</v>
      </c>
      <c r="D497" s="14" t="n">
        <f aca="false">lpen_26</f>
        <v>0.55</v>
      </c>
      <c r="E497" s="14" t="n">
        <f aca="false">lpen_27</f>
        <v>0.75</v>
      </c>
      <c r="F497" s="14" t="n">
        <f aca="false">lpen_28</f>
        <v>0.85</v>
      </c>
      <c r="G497" s="14" t="n">
        <f aca="false">lpen_29</f>
        <v>0.9</v>
      </c>
    </row>
    <row r="498" customFormat="false" ht="17.15" hidden="false" customHeight="false" outlineLevel="0" collapsed="false">
      <c r="A498" s="4" t="s">
        <v>460</v>
      </c>
      <c r="B498" s="0" t="s">
        <v>419</v>
      </c>
      <c r="D498" s="18" t="n">
        <f aca="false">((1-vr26)*racks_gb*(cool_gb+mani)+vr26*racks_vr*(cool_vr+mani))/1000</f>
        <v>350.7208</v>
      </c>
      <c r="E498" s="18" t="n">
        <f aca="false">racks_vr*(cool_vr+mani)*lcadj_27/1000</f>
        <v>326.5912</v>
      </c>
      <c r="F498" s="18" t="n">
        <f aca="false">racks_vr*(cool_vr+mani)*lcadj_28/1000</f>
        <v>351.7136</v>
      </c>
      <c r="G498" s="18" t="n">
        <f aca="false">racks_vr*(cool_vr+mani)*lcadj_29/1000</f>
        <v>351.7136</v>
      </c>
      <c r="H498" s="4" t="s">
        <v>461</v>
      </c>
    </row>
    <row r="499" customFormat="false" ht="17.15" hidden="false" customHeight="false" outlineLevel="0" collapsed="false">
      <c r="A499" s="0" t="s">
        <v>462</v>
      </c>
      <c r="B499" s="0" t="s">
        <v>29</v>
      </c>
      <c r="D499" s="20" t="n">
        <f aca="false">D496*D497*D498/1000</f>
        <v>4.5136875859587</v>
      </c>
      <c r="E499" s="20" t="n">
        <f aca="false">E496*E497*E498/1000</f>
        <v>10.2011004204398</v>
      </c>
      <c r="F499" s="20" t="n">
        <f aca="false">F496*F497*F498/1000</f>
        <v>15.7825560287001</v>
      </c>
      <c r="G499" s="20" t="n">
        <f aca="false">G496*G497*G498/1000</f>
        <v>19.0364045385942</v>
      </c>
    </row>
    <row r="500" customFormat="false" ht="17.15" hidden="false" customHeight="false" outlineLevel="0" collapsed="false">
      <c r="A500" s="0" t="s">
        <v>463</v>
      </c>
      <c r="B500" s="0" t="s">
        <v>189</v>
      </c>
      <c r="D500" s="19" t="n">
        <f aca="false">D499*fx</f>
        <v>144.438002750678</v>
      </c>
      <c r="E500" s="19" t="n">
        <f aca="false">E499*fx</f>
        <v>326.435213454075</v>
      </c>
      <c r="F500" s="19" t="n">
        <f aca="false">F499*fx</f>
        <v>505.041792918404</v>
      </c>
      <c r="G500" s="19" t="n">
        <f aca="false">G499*fx</f>
        <v>609.164945235016</v>
      </c>
    </row>
    <row r="501" customFormat="false" ht="17.15" hidden="false" customHeight="false" outlineLevel="0" collapsed="false">
      <c r="A501" s="4" t="s">
        <v>464</v>
      </c>
      <c r="B501" s="0" t="s">
        <v>49</v>
      </c>
      <c r="D501" s="14" t="n">
        <f aca="false">a26_lc/D500</f>
        <v>0.498927641116676</v>
      </c>
      <c r="H501" s="8" t="s">
        <v>465</v>
      </c>
    </row>
    <row r="502" customFormat="false" ht="17.15" hidden="false" customHeight="false" outlineLevel="0" collapsed="false">
      <c r="A502" s="4" t="s">
        <v>466</v>
      </c>
      <c r="B502" s="0" t="s">
        <v>70</v>
      </c>
      <c r="D502" s="15" t="n">
        <f aca="false">1</f>
        <v>1</v>
      </c>
      <c r="E502" s="15" t="n">
        <f aca="false">rel_27</f>
        <v>0.95</v>
      </c>
      <c r="F502" s="15" t="n">
        <f aca="false">rel_28</f>
        <v>0.9</v>
      </c>
      <c r="G502" s="15" t="n">
        <f aca="false">rel_29</f>
        <v>0.85</v>
      </c>
    </row>
    <row r="503" customFormat="false" ht="15" hidden="false" customHeight="false" outlineLevel="0" collapsed="false">
      <c r="A503" s="4" t="s">
        <v>426</v>
      </c>
      <c r="B503" s="0" t="s">
        <v>49</v>
      </c>
      <c r="D503" s="14" t="n">
        <f aca="false">$D$501*D502</f>
        <v>0.498927641116676</v>
      </c>
      <c r="E503" s="14" t="n">
        <f aca="false">$D$501*E502</f>
        <v>0.473981259060843</v>
      </c>
      <c r="F503" s="14" t="n">
        <f aca="false">$D$501*F502</f>
        <v>0.449034877005009</v>
      </c>
      <c r="G503" s="14" t="n">
        <f aca="false">$D$501*G502</f>
        <v>0.424088494949175</v>
      </c>
    </row>
    <row r="504" customFormat="false" ht="15" hidden="false" customHeight="false" outlineLevel="0" collapsed="false">
      <c r="A504" s="4" t="s">
        <v>467</v>
      </c>
      <c r="B504" s="0" t="s">
        <v>189</v>
      </c>
      <c r="C504" s="19" t="n">
        <f aca="false">a25_lc</f>
        <v>20.94585</v>
      </c>
      <c r="D504" s="19" t="n">
        <f aca="false">D500*D503</f>
        <v>72.064112</v>
      </c>
      <c r="E504" s="19" t="n">
        <f aca="false">E500*E503</f>
        <v>154.724173474757</v>
      </c>
      <c r="F504" s="19" t="n">
        <f aca="false">F500*F503</f>
        <v>226.781379365505</v>
      </c>
      <c r="G504" s="19" t="n">
        <f aca="false">G500*G503</f>
        <v>258.339844800514</v>
      </c>
    </row>
    <row r="505" customFormat="false" ht="17.15" hidden="false" customHeight="false" outlineLevel="0" collapsed="false">
      <c r="A505" s="6" t="s">
        <v>468</v>
      </c>
    </row>
    <row r="506" customFormat="false" ht="17.15" hidden="false" customHeight="false" outlineLevel="0" collapsed="false">
      <c r="A506" s="0" t="s">
        <v>469</v>
      </c>
      <c r="B506" s="0" t="s">
        <v>470</v>
      </c>
      <c r="D506" s="22" t="n">
        <f aca="false">a26_air/D496</f>
        <v>2.02106868156909</v>
      </c>
    </row>
    <row r="507" customFormat="false" ht="17.15" hidden="false" customHeight="false" outlineLevel="0" collapsed="false">
      <c r="A507" s="0" t="s">
        <v>471</v>
      </c>
      <c r="B507" s="0" t="s">
        <v>70</v>
      </c>
      <c r="D507" s="15" t="n">
        <f aca="false">1</f>
        <v>1</v>
      </c>
      <c r="E507" s="15" t="n">
        <f aca="false">acr_27</f>
        <v>0.75</v>
      </c>
      <c r="F507" s="15" t="n">
        <f aca="false">acr_28</f>
        <v>0.65</v>
      </c>
      <c r="G507" s="15" t="n">
        <f aca="false">acr_29</f>
        <v>0.6</v>
      </c>
    </row>
    <row r="508" customFormat="false" ht="17.15" hidden="false" customHeight="false" outlineLevel="0" collapsed="false">
      <c r="A508" s="0" t="s">
        <v>472</v>
      </c>
      <c r="B508" s="0" t="s">
        <v>189</v>
      </c>
      <c r="C508" s="19" t="n">
        <f aca="false">a25_air</f>
        <v>30.999858</v>
      </c>
      <c r="D508" s="19" t="n">
        <f aca="false">D496*$D$506*D507</f>
        <v>47.2920735</v>
      </c>
      <c r="E508" s="19" t="n">
        <f aca="false">E496*$D$506*E507</f>
        <v>63.1282305747745</v>
      </c>
      <c r="F508" s="19" t="n">
        <f aca="false">F496*$D$506*F507</f>
        <v>69.3527491354094</v>
      </c>
      <c r="G508" s="19" t="n">
        <f aca="false">G496*$D$506*G507</f>
        <v>72.926534586915</v>
      </c>
    </row>
    <row r="509" customFormat="false" ht="15" hidden="false" customHeight="false" outlineLevel="0" collapsed="false">
      <c r="A509" s="4" t="s">
        <v>473</v>
      </c>
      <c r="B509" s="0" t="s">
        <v>189</v>
      </c>
      <c r="C509" s="19" t="n">
        <f aca="false">a25_gen</f>
        <v>20.666572</v>
      </c>
      <c r="D509" s="19" t="n">
        <f aca="false">a26_gen</f>
        <v>31.528049</v>
      </c>
      <c r="E509" s="19" t="n">
        <f aca="false">D509*(1+GGHI_27)</f>
        <v>36.25725635</v>
      </c>
      <c r="F509" s="19" t="n">
        <f aca="false">E509*(1+GGHI_28)</f>
        <v>40.608127112</v>
      </c>
      <c r="G509" s="19" t="n">
        <f aca="false">F509*(1+GGHI_29)</f>
        <v>44.6689398232</v>
      </c>
    </row>
    <row r="510" customFormat="false" ht="17.15" hidden="false" customHeight="false" outlineLevel="0" collapsed="false">
      <c r="A510" s="4" t="s">
        <v>474</v>
      </c>
      <c r="B510" s="0" t="s">
        <v>189</v>
      </c>
      <c r="C510" s="19" t="n">
        <f aca="false">a25_nai</f>
        <v>67.02672</v>
      </c>
      <c r="D510" s="19" t="n">
        <f aca="false">a26_nai</f>
        <v>74.3161155</v>
      </c>
      <c r="E510" s="19" t="n">
        <f aca="false">D510*(1+GNHI_27)</f>
        <v>83.23404936</v>
      </c>
      <c r="F510" s="19" t="n">
        <f aca="false">E510*(1+GNHI_28)</f>
        <v>91.557454296</v>
      </c>
      <c r="G510" s="19" t="n">
        <f aca="false">F510*(1+GNHI_29)</f>
        <v>98.88205063968</v>
      </c>
    </row>
    <row r="511" customFormat="false" ht="15" hidden="false" customHeight="false" outlineLevel="0" collapsed="false">
      <c r="A511" s="4" t="s">
        <v>353</v>
      </c>
      <c r="B511" s="0" t="s">
        <v>189</v>
      </c>
      <c r="C511" s="19" t="n">
        <f aca="false">C504+C508+C509+C510</f>
        <v>139.639</v>
      </c>
      <c r="D511" s="19" t="n">
        <f aca="false">D504+D508+D509+D510</f>
        <v>225.20035</v>
      </c>
      <c r="E511" s="19" t="n">
        <f aca="false">E504+E508+E509+E510</f>
        <v>337.343709759532</v>
      </c>
      <c r="F511" s="19" t="n">
        <f aca="false">F504+F508+F509+F510</f>
        <v>428.299709908914</v>
      </c>
      <c r="G511" s="19" t="n">
        <f aca="false">G504+G508+G509+G510</f>
        <v>474.817369850309</v>
      </c>
    </row>
    <row r="512" customFormat="false" ht="15" hidden="false" customHeight="false" outlineLevel="0" collapsed="false">
      <c r="A512" s="4" t="s">
        <v>475</v>
      </c>
      <c r="B512" s="0" t="s">
        <v>49</v>
      </c>
      <c r="D512" s="14" t="n">
        <f aca="false">D511/C511-1</f>
        <v>0.612732474451979</v>
      </c>
      <c r="E512" s="14" t="n">
        <f aca="false">E511/D511-1</f>
        <v>0.497971516294411</v>
      </c>
      <c r="F512" s="14" t="n">
        <f aca="false">F511/E511-1</f>
        <v>0.269624117829907</v>
      </c>
      <c r="G512" s="14" t="n">
        <f aca="false">G511/F511-1</f>
        <v>0.108610066421218</v>
      </c>
    </row>
    <row r="513" customFormat="false" ht="17.15" hidden="false" customHeight="false" outlineLevel="0" collapsed="false">
      <c r="A513" s="4" t="s">
        <v>476</v>
      </c>
      <c r="B513" s="0" t="s">
        <v>49</v>
      </c>
      <c r="C513" s="14" t="n">
        <f aca="false">C504/C511</f>
        <v>0.15</v>
      </c>
      <c r="D513" s="14" t="n">
        <f aca="false">D504/D511</f>
        <v>0.32</v>
      </c>
      <c r="E513" s="14" t="n">
        <f aca="false">E504/E511</f>
        <v>0.458654390162037</v>
      </c>
      <c r="F513" s="14" t="n">
        <f aca="false">F504/F511</f>
        <v>0.529492255350194</v>
      </c>
      <c r="G513" s="14" t="n">
        <f aca="false">G504/G511</f>
        <v>0.544082548795463</v>
      </c>
    </row>
    <row r="514" customFormat="false" ht="17.15" hidden="false" customHeight="false" outlineLevel="0" collapsed="false">
      <c r="A514" s="0" t="s">
        <v>477</v>
      </c>
      <c r="B514" s="0" t="s">
        <v>49</v>
      </c>
      <c r="C514" s="14" t="n">
        <f aca="false">(C504+C508)/C511</f>
        <v>0.372</v>
      </c>
      <c r="D514" s="14" t="n">
        <f aca="false">(D504+D508)/D511</f>
        <v>0.53</v>
      </c>
      <c r="E514" s="14" t="n">
        <f aca="false">(E504+E508)/E511</f>
        <v>0.645787657356419</v>
      </c>
      <c r="F514" s="14" t="n">
        <f aca="false">(F504+F508)/F511</f>
        <v>0.691417999241448</v>
      </c>
      <c r="G514" s="14" t="n">
        <f aca="false">(G504+G508)/G511</f>
        <v>0.697671147733842</v>
      </c>
    </row>
    <row r="515" customFormat="false" ht="17.15" hidden="false" customHeight="false" outlineLevel="0" collapsed="false">
      <c r="A515" s="4" t="s">
        <v>431</v>
      </c>
      <c r="B515" s="0" t="s">
        <v>419</v>
      </c>
      <c r="D515" s="18" t="n">
        <f aca="false">(D504+D508)/fx/D496*1000</f>
        <v>159.399762088039</v>
      </c>
      <c r="E515" s="18" t="n">
        <f aca="false">(E504+E508)/fx/E496*1000</f>
        <v>163.467378354919</v>
      </c>
      <c r="F515" s="18" t="n">
        <f aca="false">(F504+F508)/fx/F496*1000</f>
        <v>175.294879743813</v>
      </c>
      <c r="G515" s="18" t="n">
        <f aca="false">(G504+G508)/fx/G496*1000</f>
        <v>172.136959928861</v>
      </c>
    </row>
    <row r="516" customFormat="false" ht="17.15" hidden="false" customHeight="false" outlineLevel="0" collapsed="false">
      <c r="A516" s="6" t="s">
        <v>478</v>
      </c>
    </row>
    <row r="517" customFormat="false" ht="17.15" hidden="false" customHeight="false" outlineLevel="0" collapsed="false">
      <c r="A517" s="4" t="s">
        <v>479</v>
      </c>
      <c r="B517" s="0" t="s">
        <v>49</v>
      </c>
      <c r="D517" s="14" t="n">
        <f aca="false">a26_gp/D511-d_lc*D513</f>
        <v>0.302821503074929</v>
      </c>
      <c r="H517" s="8" t="s">
        <v>480</v>
      </c>
    </row>
    <row r="518" customFormat="false" ht="15" hidden="false" customHeight="false" outlineLevel="0" collapsed="false">
      <c r="A518" s="4" t="s">
        <v>357</v>
      </c>
      <c r="B518" s="0" t="s">
        <v>189</v>
      </c>
      <c r="C518" s="19" t="n">
        <f aca="false">a25_gp</f>
        <v>36.034</v>
      </c>
      <c r="D518" s="19" t="n">
        <f aca="false">a26_gp</f>
        <v>72.5193552</v>
      </c>
      <c r="E518" s="19" t="n">
        <f aca="false">$D$517*E511+d_lc*E504</f>
        <v>111.438379650739</v>
      </c>
      <c r="F518" s="19" t="n">
        <f aca="false">$D$517*F511+d_lc*F504</f>
        <v>143.305244683104</v>
      </c>
      <c r="G518" s="19" t="n">
        <f aca="false">$D$517*G511+d_lc*G504</f>
        <v>159.285300312186</v>
      </c>
    </row>
    <row r="519" customFormat="false" ht="15" hidden="false" customHeight="false" outlineLevel="0" collapsed="false">
      <c r="A519" s="4" t="s">
        <v>360</v>
      </c>
      <c r="B519" s="0" t="s">
        <v>49</v>
      </c>
      <c r="C519" s="14" t="n">
        <f aca="false">C518/C511</f>
        <v>0.258051117524474</v>
      </c>
      <c r="D519" s="14" t="n">
        <f aca="false">D518/D511</f>
        <v>0.322021503074929</v>
      </c>
      <c r="E519" s="14" t="n">
        <f aca="false">E518/E511</f>
        <v>0.330340766484651</v>
      </c>
      <c r="F519" s="14" t="n">
        <f aca="false">F518/F511</f>
        <v>0.33459103839594</v>
      </c>
      <c r="G519" s="14" t="n">
        <f aca="false">G518/G511</f>
        <v>0.335466456002656</v>
      </c>
    </row>
    <row r="520" customFormat="false" ht="15" hidden="false" customHeight="false" outlineLevel="0" collapsed="false">
      <c r="A520" s="4" t="s">
        <v>481</v>
      </c>
      <c r="B520" s="0" t="s">
        <v>189</v>
      </c>
      <c r="C520" s="19" t="n">
        <f aca="false">a25_opx</f>
        <v>8.4832253</v>
      </c>
      <c r="D520" s="19" t="n">
        <f aca="false">a26_opx</f>
        <v>11.7048599</v>
      </c>
      <c r="E520" s="19" t="n">
        <f aca="false">D520*(1+MAX(0,phi*E512))</f>
        <v>15.7849406826917</v>
      </c>
      <c r="F520" s="19" t="n">
        <f aca="false">E520*(1+MAX(0,phi*F512))</f>
        <v>18.7641411772894</v>
      </c>
      <c r="G520" s="19" t="n">
        <f aca="false">F520*(1+MAX(0,phi*G512))</f>
        <v>20.1907234110111</v>
      </c>
    </row>
    <row r="521" customFormat="false" ht="15" hidden="false" customHeight="false" outlineLevel="0" collapsed="false">
      <c r="A521" s="4" t="s">
        <v>362</v>
      </c>
      <c r="B521" s="0" t="s">
        <v>189</v>
      </c>
      <c r="C521" s="19" t="n">
        <f aca="false">C520</f>
        <v>8.4832253</v>
      </c>
      <c r="D521" s="19" t="n">
        <f aca="false">D520</f>
        <v>11.7048599</v>
      </c>
      <c r="E521" s="19" t="n">
        <f aca="false">E520+0*E511</f>
        <v>15.7849406826917</v>
      </c>
      <c r="F521" s="19" t="n">
        <f aca="false">F520+0*F511</f>
        <v>18.7641411772894</v>
      </c>
      <c r="G521" s="19" t="n">
        <f aca="false">G520+0*G511</f>
        <v>20.1907234110111</v>
      </c>
    </row>
    <row r="522" customFormat="false" ht="15" hidden="false" customHeight="false" outlineLevel="0" collapsed="false">
      <c r="A522" s="4" t="s">
        <v>364</v>
      </c>
      <c r="B522" s="0" t="s">
        <v>189</v>
      </c>
      <c r="C522" s="19" t="n">
        <f aca="false">C518-C521</f>
        <v>27.5507747</v>
      </c>
      <c r="D522" s="19" t="n">
        <f aca="false">D518-D521</f>
        <v>60.8144953</v>
      </c>
      <c r="E522" s="19" t="n">
        <f aca="false">E518-E521</f>
        <v>95.6534389680477</v>
      </c>
      <c r="F522" s="19" t="n">
        <f aca="false">F518-F521</f>
        <v>124.541103505814</v>
      </c>
      <c r="G522" s="19" t="n">
        <f aca="false">G518-G521</f>
        <v>139.094576901175</v>
      </c>
    </row>
    <row r="523" customFormat="false" ht="15" hidden="false" customHeight="false" outlineLevel="0" collapsed="false">
      <c r="A523" s="4" t="s">
        <v>367</v>
      </c>
      <c r="B523" s="0" t="s">
        <v>49</v>
      </c>
      <c r="C523" s="14" t="n">
        <f aca="false">C522/C511</f>
        <v>0.1973</v>
      </c>
      <c r="D523" s="14" t="n">
        <f aca="false">D522/D511</f>
        <v>0.27004618465291</v>
      </c>
      <c r="E523" s="14" t="n">
        <f aca="false">E522/E511</f>
        <v>0.283548903390646</v>
      </c>
      <c r="F523" s="14" t="n">
        <f aca="false">F522/F511</f>
        <v>0.290780265838378</v>
      </c>
      <c r="G523" s="14" t="n">
        <f aca="false">G522/G511</f>
        <v>0.292943320386585</v>
      </c>
    </row>
    <row r="524" customFormat="false" ht="15" hidden="false" customHeight="false" outlineLevel="0" collapsed="false">
      <c r="A524" s="4" t="s">
        <v>369</v>
      </c>
      <c r="B524" s="0" t="s">
        <v>189</v>
      </c>
      <c r="C524" s="19" t="n">
        <f aca="false">a25_nop</f>
        <v>1.23179436863779</v>
      </c>
      <c r="D524" s="19" t="n">
        <f aca="false">a26_nop</f>
        <v>0.8186111</v>
      </c>
      <c r="E524" s="19" t="n">
        <f aca="false">nop_f</f>
        <v>1</v>
      </c>
      <c r="F524" s="19" t="n">
        <f aca="false">nop_f</f>
        <v>1</v>
      </c>
      <c r="G524" s="19" t="n">
        <f aca="false">nop_f</f>
        <v>1</v>
      </c>
    </row>
    <row r="525" customFormat="false" ht="17.15" hidden="false" customHeight="false" outlineLevel="0" collapsed="false">
      <c r="A525" s="4" t="s">
        <v>232</v>
      </c>
      <c r="B525" s="0" t="s">
        <v>49</v>
      </c>
      <c r="C525" s="14" t="n">
        <f aca="false">a25_ni/(a25_oi+a25_nop)</f>
        <v>0.666583999303438</v>
      </c>
      <c r="D525" s="14" t="n">
        <f aca="false">a26_ni/(a26_oi+a26_nop)</f>
        <v>0.674837141220258</v>
      </c>
      <c r="E525" s="14" t="n">
        <f aca="false">nir_f</f>
        <v>0.675</v>
      </c>
      <c r="F525" s="14" t="n">
        <f aca="false">nir_f</f>
        <v>0.675</v>
      </c>
      <c r="G525" s="14" t="n">
        <f aca="false">nir_f</f>
        <v>0.675</v>
      </c>
    </row>
    <row r="526" customFormat="false" ht="15" hidden="false" customHeight="false" outlineLevel="0" collapsed="false">
      <c r="A526" s="4" t="s">
        <v>373</v>
      </c>
      <c r="B526" s="0" t="s">
        <v>189</v>
      </c>
      <c r="C526" s="19" t="n">
        <f aca="false">a25_ni</f>
        <v>19.186</v>
      </c>
      <c r="D526" s="19" t="n">
        <f aca="false">a26_ni</f>
        <v>41.5923093275</v>
      </c>
      <c r="E526" s="19" t="n">
        <f aca="false">(E522+E524)*E525</f>
        <v>65.2410713034322</v>
      </c>
      <c r="F526" s="19" t="n">
        <f aca="false">(F522+F524)*F525</f>
        <v>84.7402448664246</v>
      </c>
      <c r="G526" s="19" t="n">
        <f aca="false">(G522+G524)*G525</f>
        <v>94.563839408293</v>
      </c>
    </row>
    <row r="527" customFormat="false" ht="15" hidden="false" customHeight="false" outlineLevel="0" collapsed="false">
      <c r="A527" s="4" t="s">
        <v>482</v>
      </c>
      <c r="B527" s="4" t="s">
        <v>215</v>
      </c>
      <c r="C527" s="22" t="n">
        <f aca="false">a25_sh</f>
        <v>0.390197274761033</v>
      </c>
      <c r="D527" s="22" t="n">
        <f aca="false">a26_sh</f>
        <v>0.392523574315222</v>
      </c>
      <c r="E527" s="22" t="n">
        <f aca="false">D527*(1+sh_g)</f>
        <v>0.392523574315222</v>
      </c>
      <c r="F527" s="22" t="n">
        <f aca="false">E527*(1+sh_g)</f>
        <v>0.392523574315222</v>
      </c>
      <c r="G527" s="22" t="n">
        <f aca="false">F527*(1+sh_g)</f>
        <v>0.392523574315222</v>
      </c>
    </row>
    <row r="528" customFormat="false" ht="15" hidden="false" customHeight="false" outlineLevel="0" collapsed="false">
      <c r="A528" s="0" t="s">
        <v>378</v>
      </c>
      <c r="B528" s="0" t="s">
        <v>252</v>
      </c>
      <c r="C528" s="20" t="n">
        <f aca="false">C526/C527</f>
        <v>49.17</v>
      </c>
      <c r="D528" s="20" t="n">
        <f aca="false">D526/D527</f>
        <v>105.961302834002</v>
      </c>
      <c r="E528" s="20" t="n">
        <f aca="false">E526/E527</f>
        <v>166.209307090023</v>
      </c>
      <c r="F528" s="20" t="n">
        <f aca="false">F526/F527</f>
        <v>215.885746516648</v>
      </c>
      <c r="G528" s="20" t="n">
        <f aca="false">G526/G527</f>
        <v>240.912509709167</v>
      </c>
    </row>
    <row r="529" customFormat="false" ht="17.15" hidden="false" customHeight="false" outlineLevel="0" collapsed="false">
      <c r="A529" s="0" t="s">
        <v>483</v>
      </c>
      <c r="B529" s="0" t="s">
        <v>49</v>
      </c>
      <c r="D529" s="14" t="n">
        <f aca="false">D528/C528-1</f>
        <v>1.15499904075659</v>
      </c>
      <c r="E529" s="14" t="n">
        <f aca="false">E528/D528-1</f>
        <v>0.568584970594459</v>
      </c>
      <c r="F529" s="14" t="n">
        <f aca="false">F528/E528-1</f>
        <v>0.298878807067758</v>
      </c>
      <c r="G529" s="14" t="n">
        <f aca="false">G528/F528-1</f>
        <v>0.115925963600333</v>
      </c>
    </row>
    <row r="532" customFormat="false" ht="17.15" hidden="false" customHeight="false" outlineLevel="0" collapsed="false">
      <c r="A532" s="1" t="s">
        <v>801</v>
      </c>
    </row>
    <row r="533" customFormat="false" ht="17.15" hidden="false" customHeight="false" outlineLevel="0" collapsed="false">
      <c r="A533" s="5" t="s">
        <v>18</v>
      </c>
      <c r="B533" s="5" t="s">
        <v>19</v>
      </c>
      <c r="C533" s="11" t="s">
        <v>347</v>
      </c>
      <c r="D533" s="11" t="s">
        <v>436</v>
      </c>
      <c r="E533" s="11" t="s">
        <v>437</v>
      </c>
      <c r="F533" s="11" t="s">
        <v>438</v>
      </c>
      <c r="G533" s="11" t="s">
        <v>439</v>
      </c>
      <c r="H533" s="5" t="s">
        <v>412</v>
      </c>
    </row>
    <row r="534" customFormat="false" ht="17.15" hidden="false" customHeight="false" outlineLevel="0" collapsed="false">
      <c r="A534" s="6" t="s">
        <v>455</v>
      </c>
    </row>
    <row r="535" customFormat="false" ht="17.15" hidden="false" customHeight="false" outlineLevel="0" collapsed="false">
      <c r="A535" s="0" t="s">
        <v>456</v>
      </c>
      <c r="B535" s="0" t="s">
        <v>29</v>
      </c>
      <c r="D535" s="20" t="n">
        <f aca="false">itc_26*1</f>
        <v>781.872916666667</v>
      </c>
      <c r="E535" s="20" t="n">
        <f aca="false">itc_27*1*1</f>
        <v>1565.35</v>
      </c>
      <c r="F535" s="20" t="n">
        <f aca="false">itc_28*um28_A*1</f>
        <v>1984.26388888889</v>
      </c>
      <c r="G535" s="20" t="n">
        <f aca="false">itc_29*um29_A*1</f>
        <v>2260.39027777778</v>
      </c>
    </row>
    <row r="536" customFormat="false" ht="17.15" hidden="false" customHeight="false" outlineLevel="0" collapsed="false">
      <c r="A536" s="4" t="s">
        <v>457</v>
      </c>
      <c r="B536" s="0" t="s">
        <v>29</v>
      </c>
      <c r="D536" s="20" t="n">
        <f aca="false">itpg_gb*(1-vr26)+itpg_vr*vr26</f>
        <v>33.41403216</v>
      </c>
      <c r="E536" s="20" t="n">
        <f aca="false">itpg_vr</f>
        <v>37.586352</v>
      </c>
      <c r="F536" s="20" t="n">
        <f aca="false">itpg_vr</f>
        <v>37.586352</v>
      </c>
      <c r="G536" s="20" t="n">
        <f aca="false">itpg_vr</f>
        <v>37.586352</v>
      </c>
    </row>
    <row r="537" customFormat="false" ht="17.15" hidden="false" customHeight="false" outlineLevel="0" collapsed="false">
      <c r="A537" s="4" t="s">
        <v>458</v>
      </c>
      <c r="B537" s="0" t="s">
        <v>414</v>
      </c>
      <c r="D537" s="17" t="n">
        <f aca="false">D535/D536</f>
        <v>23.3995380420639</v>
      </c>
      <c r="E537" s="17" t="n">
        <f aca="false">E535/E536</f>
        <v>41.6467658260637</v>
      </c>
      <c r="F537" s="17" t="n">
        <f aca="false">F535/F536</f>
        <v>52.792138191248</v>
      </c>
      <c r="G537" s="17" t="n">
        <f aca="false">G535/G536</f>
        <v>60.1385917361116</v>
      </c>
    </row>
    <row r="538" customFormat="false" ht="17.15" hidden="false" customHeight="false" outlineLevel="0" collapsed="false">
      <c r="A538" s="4" t="s">
        <v>459</v>
      </c>
      <c r="B538" s="0" t="s">
        <v>49</v>
      </c>
      <c r="D538" s="14" t="n">
        <f aca="false">lpen_26</f>
        <v>0.55</v>
      </c>
      <c r="E538" s="14" t="n">
        <f aca="false">lpen_27</f>
        <v>0.75</v>
      </c>
      <c r="F538" s="14" t="n">
        <f aca="false">lpen_28</f>
        <v>0.85</v>
      </c>
      <c r="G538" s="14" t="n">
        <f aca="false">lpen_29</f>
        <v>0.9</v>
      </c>
    </row>
    <row r="539" customFormat="false" ht="17.15" hidden="false" customHeight="false" outlineLevel="0" collapsed="false">
      <c r="A539" s="4" t="s">
        <v>460</v>
      </c>
      <c r="B539" s="0" t="s">
        <v>419</v>
      </c>
      <c r="D539" s="18" t="n">
        <f aca="false">((1-vr26)*racks_gb*(cool_gb+mani)+vr26*racks_vr*(cool_vr+mani))/1000</f>
        <v>350.7208</v>
      </c>
      <c r="E539" s="18" t="n">
        <f aca="false">racks_vr*(cool_vr+mani)*lcadj_27/1000</f>
        <v>326.5912</v>
      </c>
      <c r="F539" s="18" t="n">
        <f aca="false">racks_vr*(cool_vr+mani)*lcadj_28/1000</f>
        <v>351.7136</v>
      </c>
      <c r="G539" s="18" t="n">
        <f aca="false">racks_vr*(cool_vr+mani)*lcadj_29/1000</f>
        <v>351.7136</v>
      </c>
      <c r="H539" s="4" t="s">
        <v>461</v>
      </c>
    </row>
    <row r="540" customFormat="false" ht="17.15" hidden="false" customHeight="false" outlineLevel="0" collapsed="false">
      <c r="A540" s="0" t="s">
        <v>462</v>
      </c>
      <c r="B540" s="0" t="s">
        <v>29</v>
      </c>
      <c r="D540" s="20" t="n">
        <f aca="false">D537*D538*D539/1000</f>
        <v>4.5136875859587</v>
      </c>
      <c r="E540" s="20" t="n">
        <f aca="false">E537*E538*E539/1000</f>
        <v>10.2011004204398</v>
      </c>
      <c r="F540" s="20" t="n">
        <f aca="false">F537*F538*F539/1000</f>
        <v>15.7825560287001</v>
      </c>
      <c r="G540" s="20" t="n">
        <f aca="false">G537*G538*G539/1000</f>
        <v>19.0364045385942</v>
      </c>
    </row>
    <row r="541" customFormat="false" ht="17.15" hidden="false" customHeight="false" outlineLevel="0" collapsed="false">
      <c r="A541" s="0" t="s">
        <v>463</v>
      </c>
      <c r="B541" s="0" t="s">
        <v>189</v>
      </c>
      <c r="D541" s="19" t="n">
        <f aca="false">D540*fx</f>
        <v>144.438002750678</v>
      </c>
      <c r="E541" s="19" t="n">
        <f aca="false">E540*fx</f>
        <v>326.435213454075</v>
      </c>
      <c r="F541" s="19" t="n">
        <f aca="false">F540*fx</f>
        <v>505.041792918404</v>
      </c>
      <c r="G541" s="19" t="n">
        <f aca="false">G540*fx</f>
        <v>609.164945235016</v>
      </c>
    </row>
    <row r="542" customFormat="false" ht="17.15" hidden="false" customHeight="false" outlineLevel="0" collapsed="false">
      <c r="A542" s="4" t="s">
        <v>464</v>
      </c>
      <c r="B542" s="0" t="s">
        <v>49</v>
      </c>
      <c r="D542" s="14" t="n">
        <f aca="false">a26_lc/D541</f>
        <v>0.498927641116676</v>
      </c>
      <c r="H542" s="8" t="s">
        <v>465</v>
      </c>
    </row>
    <row r="543" customFormat="false" ht="17.15" hidden="false" customHeight="false" outlineLevel="0" collapsed="false">
      <c r="A543" s="4" t="s">
        <v>466</v>
      </c>
      <c r="B543" s="0" t="s">
        <v>70</v>
      </c>
      <c r="D543" s="15" t="n">
        <f aca="false">1</f>
        <v>1</v>
      </c>
      <c r="E543" s="15" t="n">
        <f aca="false">rel_27</f>
        <v>0.95</v>
      </c>
      <c r="F543" s="15" t="n">
        <f aca="false">rel_28</f>
        <v>0.9</v>
      </c>
      <c r="G543" s="15" t="n">
        <f aca="false">rel_29</f>
        <v>0.85</v>
      </c>
    </row>
    <row r="544" customFormat="false" ht="15" hidden="false" customHeight="false" outlineLevel="0" collapsed="false">
      <c r="A544" s="4" t="s">
        <v>426</v>
      </c>
      <c r="B544" s="0" t="s">
        <v>49</v>
      </c>
      <c r="D544" s="14" t="n">
        <f aca="false">$D$542*D543</f>
        <v>0.498927641116676</v>
      </c>
      <c r="E544" s="14" t="n">
        <f aca="false">$D$542*E543</f>
        <v>0.473981259060843</v>
      </c>
      <c r="F544" s="14" t="n">
        <f aca="false">$D$542*F543</f>
        <v>0.449034877005009</v>
      </c>
      <c r="G544" s="14" t="n">
        <f aca="false">$D$542*G543</f>
        <v>0.424088494949175</v>
      </c>
    </row>
    <row r="545" customFormat="false" ht="15" hidden="false" customHeight="false" outlineLevel="0" collapsed="false">
      <c r="A545" s="4" t="s">
        <v>467</v>
      </c>
      <c r="B545" s="0" t="s">
        <v>189</v>
      </c>
      <c r="C545" s="19" t="n">
        <f aca="false">a25_lc</f>
        <v>20.94585</v>
      </c>
      <c r="D545" s="19" t="n">
        <f aca="false">D541*D544</f>
        <v>72.064112</v>
      </c>
      <c r="E545" s="19" t="n">
        <f aca="false">E541*E544</f>
        <v>154.724173474757</v>
      </c>
      <c r="F545" s="19" t="n">
        <f aca="false">F541*F544</f>
        <v>226.781379365505</v>
      </c>
      <c r="G545" s="19" t="n">
        <f aca="false">G541*G544</f>
        <v>258.339844800514</v>
      </c>
    </row>
    <row r="546" customFormat="false" ht="17.15" hidden="false" customHeight="false" outlineLevel="0" collapsed="false">
      <c r="A546" s="6" t="s">
        <v>468</v>
      </c>
    </row>
    <row r="547" customFormat="false" ht="17.15" hidden="false" customHeight="false" outlineLevel="0" collapsed="false">
      <c r="A547" s="0" t="s">
        <v>469</v>
      </c>
      <c r="B547" s="0" t="s">
        <v>470</v>
      </c>
      <c r="D547" s="22" t="n">
        <f aca="false">a26_air/D537</f>
        <v>2.02106868156909</v>
      </c>
    </row>
    <row r="548" customFormat="false" ht="17.15" hidden="false" customHeight="false" outlineLevel="0" collapsed="false">
      <c r="A548" s="0" t="s">
        <v>471</v>
      </c>
      <c r="B548" s="0" t="s">
        <v>70</v>
      </c>
      <c r="D548" s="15" t="n">
        <f aca="false">1</f>
        <v>1</v>
      </c>
      <c r="E548" s="15" t="n">
        <f aca="false">acr_27</f>
        <v>0.75</v>
      </c>
      <c r="F548" s="15" t="n">
        <f aca="false">acr_28</f>
        <v>0.65</v>
      </c>
      <c r="G548" s="15" t="n">
        <f aca="false">acr_29</f>
        <v>0.6</v>
      </c>
    </row>
    <row r="549" customFormat="false" ht="17.15" hidden="false" customHeight="false" outlineLevel="0" collapsed="false">
      <c r="A549" s="0" t="s">
        <v>472</v>
      </c>
      <c r="B549" s="0" t="s">
        <v>189</v>
      </c>
      <c r="C549" s="19" t="n">
        <f aca="false">a25_air</f>
        <v>30.999858</v>
      </c>
      <c r="D549" s="19" t="n">
        <f aca="false">D537*$D$547*D548</f>
        <v>47.2920735</v>
      </c>
      <c r="E549" s="19" t="n">
        <f aca="false">E537*$D$547*E548</f>
        <v>63.1282305747745</v>
      </c>
      <c r="F549" s="19" t="n">
        <f aca="false">F537*$D$547*F548</f>
        <v>69.3527491354094</v>
      </c>
      <c r="G549" s="19" t="n">
        <f aca="false">G537*$D$547*G548</f>
        <v>72.926534586915</v>
      </c>
    </row>
    <row r="550" customFormat="false" ht="15" hidden="false" customHeight="false" outlineLevel="0" collapsed="false">
      <c r="A550" s="4" t="s">
        <v>473</v>
      </c>
      <c r="B550" s="0" t="s">
        <v>189</v>
      </c>
      <c r="C550" s="19" t="n">
        <f aca="false">a25_gen</f>
        <v>20.666572</v>
      </c>
      <c r="D550" s="19" t="n">
        <f aca="false">a26_gen</f>
        <v>31.528049</v>
      </c>
      <c r="E550" s="19" t="n">
        <f aca="false">D550*(1+g_gen_27)</f>
        <v>34.05029292</v>
      </c>
      <c r="F550" s="19" t="n">
        <f aca="false">E550*(1+g_gen_28)</f>
        <v>36.0933104952</v>
      </c>
      <c r="G550" s="19" t="n">
        <f aca="false">F550*(1+g_gen_29)</f>
        <v>37.89797601996</v>
      </c>
    </row>
    <row r="551" customFormat="false" ht="17.15" hidden="false" customHeight="false" outlineLevel="0" collapsed="false">
      <c r="A551" s="4" t="s">
        <v>474</v>
      </c>
      <c r="B551" s="0" t="s">
        <v>189</v>
      </c>
      <c r="C551" s="19" t="n">
        <f aca="false">a25_nai</f>
        <v>67.02672</v>
      </c>
      <c r="D551" s="19" t="n">
        <f aca="false">a26_nai</f>
        <v>74.3161155</v>
      </c>
      <c r="E551" s="19" t="n">
        <f aca="false">D551*(1+g_nai_27)</f>
        <v>78.77508243</v>
      </c>
      <c r="F551" s="19" t="n">
        <f aca="false">E551*(1+g_nai_28)</f>
        <v>82.7138365515</v>
      </c>
      <c r="G551" s="19" t="n">
        <f aca="false">F551*(1+g_nai_29)</f>
        <v>86.02239001356</v>
      </c>
    </row>
    <row r="552" customFormat="false" ht="15" hidden="false" customHeight="false" outlineLevel="0" collapsed="false">
      <c r="A552" s="4" t="s">
        <v>353</v>
      </c>
      <c r="B552" s="0" t="s">
        <v>189</v>
      </c>
      <c r="C552" s="19" t="n">
        <f aca="false">C545+C549+C550+C551</f>
        <v>139.639</v>
      </c>
      <c r="D552" s="19" t="n">
        <f aca="false">D545+D549+D550+D551</f>
        <v>225.20035</v>
      </c>
      <c r="E552" s="19" t="n">
        <f aca="false">E545+E549+E550+E551</f>
        <v>330.677779399532</v>
      </c>
      <c r="F552" s="19" t="n">
        <f aca="false">F545+F549+F550+F551</f>
        <v>414.941275547614</v>
      </c>
      <c r="G552" s="19" t="n">
        <f aca="false">G545+G549+G550+G551</f>
        <v>455.186745420949</v>
      </c>
    </row>
    <row r="553" customFormat="false" ht="15" hidden="false" customHeight="false" outlineLevel="0" collapsed="false">
      <c r="A553" s="4" t="s">
        <v>475</v>
      </c>
      <c r="B553" s="0" t="s">
        <v>49</v>
      </c>
      <c r="D553" s="14" t="n">
        <f aca="false">D552/C552-1</f>
        <v>0.612732474451979</v>
      </c>
      <c r="E553" s="14" t="n">
        <f aca="false">E552/D552-1</f>
        <v>0.46837151629441</v>
      </c>
      <c r="F553" s="14" t="n">
        <f aca="false">F552/E552-1</f>
        <v>0.254820557647065</v>
      </c>
      <c r="G553" s="14" t="n">
        <f aca="false">G552/F552-1</f>
        <v>0.0969907604882692</v>
      </c>
    </row>
    <row r="554" customFormat="false" ht="17.15" hidden="false" customHeight="false" outlineLevel="0" collapsed="false">
      <c r="A554" s="4" t="s">
        <v>476</v>
      </c>
      <c r="B554" s="0" t="s">
        <v>49</v>
      </c>
      <c r="C554" s="14" t="n">
        <f aca="false">C545/C552</f>
        <v>0.15</v>
      </c>
      <c r="D554" s="14" t="n">
        <f aca="false">D545/D552</f>
        <v>0.32</v>
      </c>
      <c r="E554" s="14" t="n">
        <f aca="false">E545/E552</f>
        <v>0.46790012245672</v>
      </c>
      <c r="F554" s="14" t="n">
        <f aca="false">F545/F552</f>
        <v>0.546538492865557</v>
      </c>
      <c r="G554" s="14" t="n">
        <f aca="false">G545/G552</f>
        <v>0.567546940677295</v>
      </c>
    </row>
    <row r="555" customFormat="false" ht="17.15" hidden="false" customHeight="false" outlineLevel="0" collapsed="false">
      <c r="A555" s="0" t="s">
        <v>477</v>
      </c>
      <c r="B555" s="0" t="s">
        <v>49</v>
      </c>
      <c r="C555" s="14" t="n">
        <f aca="false">(C545+C549)/C552</f>
        <v>0.372</v>
      </c>
      <c r="D555" s="14" t="n">
        <f aca="false">(D545+D549)/D552</f>
        <v>0.53</v>
      </c>
      <c r="E555" s="14" t="n">
        <f aca="false">(E545+E549)/E552</f>
        <v>0.658805694307987</v>
      </c>
      <c r="F555" s="14" t="n">
        <f aca="false">(F545+F549)/F552</f>
        <v>0.713677201936815</v>
      </c>
      <c r="G555" s="14" t="n">
        <f aca="false">(G545+G549)/G552</f>
        <v>0.727759282799589</v>
      </c>
    </row>
    <row r="556" customFormat="false" ht="17.15" hidden="false" customHeight="false" outlineLevel="0" collapsed="false">
      <c r="A556" s="4" t="s">
        <v>431</v>
      </c>
      <c r="B556" s="0" t="s">
        <v>419</v>
      </c>
      <c r="D556" s="18" t="n">
        <f aca="false">(D545+D549)/fx/D537*1000</f>
        <v>159.399762088039</v>
      </c>
      <c r="E556" s="18" t="n">
        <f aca="false">(E545+E549)/fx/E537*1000</f>
        <v>163.467378354919</v>
      </c>
      <c r="F556" s="18" t="n">
        <f aca="false">(F545+F549)/fx/F537*1000</f>
        <v>175.294879743813</v>
      </c>
      <c r="G556" s="18" t="n">
        <f aca="false">(G545+G549)/fx/G537*1000</f>
        <v>172.136959928861</v>
      </c>
    </row>
    <row r="557" customFormat="false" ht="17.15" hidden="false" customHeight="false" outlineLevel="0" collapsed="false">
      <c r="A557" s="6" t="s">
        <v>478</v>
      </c>
    </row>
    <row r="558" customFormat="false" ht="17.15" hidden="false" customHeight="false" outlineLevel="0" collapsed="false">
      <c r="A558" s="4" t="s">
        <v>479</v>
      </c>
      <c r="B558" s="0" t="s">
        <v>49</v>
      </c>
      <c r="D558" s="14" t="n">
        <f aca="false">a26_gp/D552-d_lc_lo*D554</f>
        <v>0.315621503074929</v>
      </c>
      <c r="H558" s="8" t="s">
        <v>480</v>
      </c>
    </row>
    <row r="559" customFormat="false" ht="15" hidden="false" customHeight="false" outlineLevel="0" collapsed="false">
      <c r="A559" s="4" t="s">
        <v>357</v>
      </c>
      <c r="B559" s="0" t="s">
        <v>189</v>
      </c>
      <c r="C559" s="19" t="n">
        <f aca="false">a25_gp</f>
        <v>36.034</v>
      </c>
      <c r="D559" s="19" t="n">
        <f aca="false">a26_gp</f>
        <v>72.5193552</v>
      </c>
      <c r="E559" s="19" t="n">
        <f aca="false">$D$558*E552+d_lc_lo*E545</f>
        <v>107.463501237055</v>
      </c>
      <c r="F559" s="19" t="n">
        <f aca="false">$D$558*F552+d_lc_lo*F545</f>
        <v>135.500016663476</v>
      </c>
      <c r="G559" s="19" t="n">
        <f aca="false">$D$558*G552+d_lc_lo*G545</f>
        <v>148.833521665555</v>
      </c>
    </row>
    <row r="560" customFormat="false" ht="15" hidden="false" customHeight="false" outlineLevel="0" collapsed="false">
      <c r="A560" s="4" t="s">
        <v>360</v>
      </c>
      <c r="B560" s="0" t="s">
        <v>49</v>
      </c>
      <c r="C560" s="14" t="n">
        <f aca="false">C559/C552</f>
        <v>0.258051117524474</v>
      </c>
      <c r="D560" s="14" t="n">
        <f aca="false">D559/D552</f>
        <v>0.322021503074929</v>
      </c>
      <c r="E560" s="14" t="n">
        <f aca="false">E559/E552</f>
        <v>0.324979505524063</v>
      </c>
      <c r="F560" s="14" t="n">
        <f aca="false">F559/F552</f>
        <v>0.32655227293224</v>
      </c>
      <c r="G560" s="14" t="n">
        <f aca="false">G559/G552</f>
        <v>0.326972441888475</v>
      </c>
    </row>
    <row r="561" customFormat="false" ht="15" hidden="false" customHeight="false" outlineLevel="0" collapsed="false">
      <c r="A561" s="4" t="s">
        <v>481</v>
      </c>
      <c r="B561" s="0" t="s">
        <v>189</v>
      </c>
      <c r="C561" s="19" t="n">
        <f aca="false">a25_opx</f>
        <v>8.4832253</v>
      </c>
      <c r="D561" s="19" t="n">
        <f aca="false">a26_opx</f>
        <v>11.7048599</v>
      </c>
      <c r="E561" s="19" t="n">
        <f aca="false">D561*(1+MAX(0,phi*E553))</f>
        <v>15.5424159855636</v>
      </c>
      <c r="F561" s="19" t="n">
        <f aca="false">E561*(1+MAX(0,phi*F553))</f>
        <v>18.3147849616004</v>
      </c>
      <c r="G561" s="19" t="n">
        <f aca="false">F561*(1+MAX(0,phi*G553))</f>
        <v>19.5582404067238</v>
      </c>
    </row>
    <row r="562" customFormat="false" ht="15" hidden="false" customHeight="false" outlineLevel="0" collapsed="false">
      <c r="A562" s="4" t="s">
        <v>362</v>
      </c>
      <c r="B562" s="0" t="s">
        <v>189</v>
      </c>
      <c r="C562" s="19" t="n">
        <f aca="false">C561</f>
        <v>8.4832253</v>
      </c>
      <c r="D562" s="19" t="n">
        <f aca="false">D561</f>
        <v>11.7048599</v>
      </c>
      <c r="E562" s="19" t="n">
        <f aca="false">E561+0*E552</f>
        <v>15.5424159855636</v>
      </c>
      <c r="F562" s="19" t="n">
        <f aca="false">F561+0*F552</f>
        <v>18.3147849616004</v>
      </c>
      <c r="G562" s="19" t="n">
        <f aca="false">G561+0*G552</f>
        <v>19.5582404067238</v>
      </c>
    </row>
    <row r="563" customFormat="false" ht="15" hidden="false" customHeight="false" outlineLevel="0" collapsed="false">
      <c r="A563" s="4" t="s">
        <v>364</v>
      </c>
      <c r="B563" s="0" t="s">
        <v>189</v>
      </c>
      <c r="C563" s="19" t="n">
        <f aca="false">C559-C562</f>
        <v>27.5507747</v>
      </c>
      <c r="D563" s="19" t="n">
        <f aca="false">D559-D562</f>
        <v>60.8144953</v>
      </c>
      <c r="E563" s="19" t="n">
        <f aca="false">E559-E562</f>
        <v>91.9210852514914</v>
      </c>
      <c r="F563" s="19" t="n">
        <f aca="false">F559-F562</f>
        <v>117.185231701876</v>
      </c>
      <c r="G563" s="19" t="n">
        <f aca="false">G559-G562</f>
        <v>129.275281258831</v>
      </c>
    </row>
    <row r="564" customFormat="false" ht="15" hidden="false" customHeight="false" outlineLevel="0" collapsed="false">
      <c r="A564" s="4" t="s">
        <v>367</v>
      </c>
      <c r="B564" s="0" t="s">
        <v>49</v>
      </c>
      <c r="C564" s="14" t="n">
        <f aca="false">C563/C552</f>
        <v>0.1973</v>
      </c>
      <c r="D564" s="14" t="n">
        <f aca="false">D563/D552</f>
        <v>0.27004618465291</v>
      </c>
      <c r="E564" s="14" t="n">
        <f aca="false">E563/E552</f>
        <v>0.277977810962709</v>
      </c>
      <c r="F564" s="14" t="n">
        <f aca="false">F563/F552</f>
        <v>0.282414015205457</v>
      </c>
      <c r="G564" s="14" t="n">
        <f aca="false">G563/G552</f>
        <v>0.284004933270365</v>
      </c>
    </row>
    <row r="565" customFormat="false" ht="15" hidden="false" customHeight="false" outlineLevel="0" collapsed="false">
      <c r="A565" s="4" t="s">
        <v>369</v>
      </c>
      <c r="B565" s="0" t="s">
        <v>189</v>
      </c>
      <c r="C565" s="19" t="n">
        <f aca="false">a25_nop</f>
        <v>1.23179436863779</v>
      </c>
      <c r="D565" s="19" t="n">
        <f aca="false">a26_nop</f>
        <v>0.8186111</v>
      </c>
      <c r="E565" s="19" t="n">
        <f aca="false">nop_f</f>
        <v>1</v>
      </c>
      <c r="F565" s="19" t="n">
        <f aca="false">nop_f</f>
        <v>1</v>
      </c>
      <c r="G565" s="19" t="n">
        <f aca="false">nop_f</f>
        <v>1</v>
      </c>
    </row>
    <row r="566" customFormat="false" ht="17.15" hidden="false" customHeight="false" outlineLevel="0" collapsed="false">
      <c r="A566" s="4" t="s">
        <v>232</v>
      </c>
      <c r="B566" s="0" t="s">
        <v>49</v>
      </c>
      <c r="C566" s="14" t="n">
        <f aca="false">a25_ni/(a25_oi+a25_nop)</f>
        <v>0.666583999303438</v>
      </c>
      <c r="D566" s="14" t="n">
        <f aca="false">a26_ni/(a26_oi+a26_nop)</f>
        <v>0.674837141220258</v>
      </c>
      <c r="E566" s="14" t="n">
        <f aca="false">nir_f</f>
        <v>0.675</v>
      </c>
      <c r="F566" s="14" t="n">
        <f aca="false">nir_f</f>
        <v>0.675</v>
      </c>
      <c r="G566" s="14" t="n">
        <f aca="false">nir_f</f>
        <v>0.675</v>
      </c>
    </row>
    <row r="567" customFormat="false" ht="15" hidden="false" customHeight="false" outlineLevel="0" collapsed="false">
      <c r="A567" s="4" t="s">
        <v>373</v>
      </c>
      <c r="B567" s="0" t="s">
        <v>189</v>
      </c>
      <c r="C567" s="19" t="n">
        <f aca="false">a25_ni</f>
        <v>19.186</v>
      </c>
      <c r="D567" s="19" t="n">
        <f aca="false">a26_ni</f>
        <v>41.5923093275</v>
      </c>
      <c r="E567" s="19" t="n">
        <f aca="false">(E563+E565)*E566</f>
        <v>62.7217325447567</v>
      </c>
      <c r="F567" s="19" t="n">
        <f aca="false">(F563+F565)*F566</f>
        <v>79.7750313987661</v>
      </c>
      <c r="G567" s="19" t="n">
        <f aca="false">(G563+G565)*G566</f>
        <v>87.9358148497112</v>
      </c>
    </row>
    <row r="568" customFormat="false" ht="15" hidden="false" customHeight="false" outlineLevel="0" collapsed="false">
      <c r="A568" s="4" t="s">
        <v>482</v>
      </c>
      <c r="B568" s="4" t="s">
        <v>215</v>
      </c>
      <c r="C568" s="22" t="n">
        <f aca="false">a25_sh</f>
        <v>0.390197274761033</v>
      </c>
      <c r="D568" s="22" t="n">
        <f aca="false">a26_sh</f>
        <v>0.392523574315222</v>
      </c>
      <c r="E568" s="22" t="n">
        <f aca="false">D568*(1+sh_g)</f>
        <v>0.392523574315222</v>
      </c>
      <c r="F568" s="22" t="n">
        <f aca="false">E568*(1+sh_g)</f>
        <v>0.392523574315222</v>
      </c>
      <c r="G568" s="22" t="n">
        <f aca="false">F568*(1+sh_g)</f>
        <v>0.392523574315222</v>
      </c>
    </row>
    <row r="569" customFormat="false" ht="15" hidden="false" customHeight="false" outlineLevel="0" collapsed="false">
      <c r="A569" s="0" t="s">
        <v>378</v>
      </c>
      <c r="B569" s="0" t="s">
        <v>252</v>
      </c>
      <c r="C569" s="20" t="n">
        <f aca="false">C567/C568</f>
        <v>49.17</v>
      </c>
      <c r="D569" s="20" t="n">
        <f aca="false">D567/D568</f>
        <v>105.961302834002</v>
      </c>
      <c r="E569" s="20" t="n">
        <f aca="false">E567/E568</f>
        <v>159.790995112021</v>
      </c>
      <c r="F569" s="20" t="n">
        <f aca="false">F567/F568</f>
        <v>203.236280872908</v>
      </c>
      <c r="G569" s="20" t="n">
        <f aca="false">G567/G568</f>
        <v>224.026837122127</v>
      </c>
    </row>
    <row r="570" customFormat="false" ht="17.15" hidden="false" customHeight="false" outlineLevel="0" collapsed="false">
      <c r="A570" s="0" t="s">
        <v>483</v>
      </c>
      <c r="B570" s="0" t="s">
        <v>49</v>
      </c>
      <c r="D570" s="14" t="n">
        <f aca="false">D569/C569-1</f>
        <v>1.15499904075659</v>
      </c>
      <c r="E570" s="14" t="n">
        <f aca="false">E569/D569-1</f>
        <v>0.508012744637057</v>
      </c>
      <c r="F570" s="14" t="n">
        <f aca="false">F569/E569-1</f>
        <v>0.27188819827068</v>
      </c>
      <c r="G570" s="14" t="n">
        <f aca="false">G569/F569-1</f>
        <v>0.102297464605841</v>
      </c>
    </row>
    <row r="573" customFormat="false" ht="17.15" hidden="false" customHeight="false" outlineLevel="0" collapsed="false">
      <c r="A573" s="1" t="s">
        <v>802</v>
      </c>
    </row>
    <row r="574" customFormat="false" ht="17.15" hidden="false" customHeight="false" outlineLevel="0" collapsed="false">
      <c r="A574" s="5" t="s">
        <v>18</v>
      </c>
      <c r="B574" s="5" t="s">
        <v>19</v>
      </c>
      <c r="C574" s="11" t="s">
        <v>347</v>
      </c>
      <c r="D574" s="11" t="s">
        <v>436</v>
      </c>
      <c r="E574" s="11" t="s">
        <v>437</v>
      </c>
      <c r="F574" s="11" t="s">
        <v>438</v>
      </c>
      <c r="G574" s="11" t="s">
        <v>439</v>
      </c>
      <c r="H574" s="5" t="s">
        <v>412</v>
      </c>
    </row>
    <row r="575" customFormat="false" ht="17.15" hidden="false" customHeight="false" outlineLevel="0" collapsed="false">
      <c r="A575" s="6" t="s">
        <v>455</v>
      </c>
    </row>
    <row r="576" customFormat="false" ht="17.15" hidden="false" customHeight="false" outlineLevel="0" collapsed="false">
      <c r="A576" s="0" t="s">
        <v>456</v>
      </c>
      <c r="B576" s="0" t="s">
        <v>29</v>
      </c>
      <c r="D576" s="20" t="n">
        <f aca="false">itc_26*1</f>
        <v>781.872916666667</v>
      </c>
      <c r="E576" s="20" t="n">
        <f aca="false">itc_27*1*1</f>
        <v>1565.35</v>
      </c>
      <c r="F576" s="20" t="n">
        <f aca="false">itc_28*um28_A*1</f>
        <v>1984.26388888889</v>
      </c>
      <c r="G576" s="20" t="n">
        <f aca="false">itc_29*um29_A*1</f>
        <v>2260.39027777778</v>
      </c>
    </row>
    <row r="577" customFormat="false" ht="17.15" hidden="false" customHeight="false" outlineLevel="0" collapsed="false">
      <c r="A577" s="4" t="s">
        <v>457</v>
      </c>
      <c r="B577" s="0" t="s">
        <v>29</v>
      </c>
      <c r="D577" s="20" t="n">
        <f aca="false">itpg_gb*(1-vr26)+itpg_vr*vr26</f>
        <v>33.41403216</v>
      </c>
      <c r="E577" s="20" t="n">
        <f aca="false">itpg_vr</f>
        <v>37.586352</v>
      </c>
      <c r="F577" s="20" t="n">
        <f aca="false">itpg_vr</f>
        <v>37.586352</v>
      </c>
      <c r="G577" s="20" t="n">
        <f aca="false">itpg_vr</f>
        <v>37.586352</v>
      </c>
    </row>
    <row r="578" customFormat="false" ht="17.15" hidden="false" customHeight="false" outlineLevel="0" collapsed="false">
      <c r="A578" s="4" t="s">
        <v>458</v>
      </c>
      <c r="B578" s="0" t="s">
        <v>414</v>
      </c>
      <c r="D578" s="17" t="n">
        <f aca="false">D576/D577</f>
        <v>23.3995380420639</v>
      </c>
      <c r="E578" s="17" t="n">
        <f aca="false">E576/E577</f>
        <v>41.6467658260637</v>
      </c>
      <c r="F578" s="17" t="n">
        <f aca="false">F576/F577</f>
        <v>52.792138191248</v>
      </c>
      <c r="G578" s="17" t="n">
        <f aca="false">G576/G577</f>
        <v>60.1385917361116</v>
      </c>
    </row>
    <row r="579" customFormat="false" ht="17.15" hidden="false" customHeight="false" outlineLevel="0" collapsed="false">
      <c r="A579" s="4" t="s">
        <v>459</v>
      </c>
      <c r="B579" s="0" t="s">
        <v>49</v>
      </c>
      <c r="D579" s="14" t="n">
        <f aca="false">lpen_26</f>
        <v>0.55</v>
      </c>
      <c r="E579" s="14" t="n">
        <f aca="false">lpen_27</f>
        <v>0.75</v>
      </c>
      <c r="F579" s="14" t="n">
        <f aca="false">lpen_28</f>
        <v>0.85</v>
      </c>
      <c r="G579" s="14" t="n">
        <f aca="false">lpen_29</f>
        <v>0.9</v>
      </c>
    </row>
    <row r="580" customFormat="false" ht="17.15" hidden="false" customHeight="false" outlineLevel="0" collapsed="false">
      <c r="A580" s="4" t="s">
        <v>460</v>
      </c>
      <c r="B580" s="0" t="s">
        <v>419</v>
      </c>
      <c r="D580" s="18" t="n">
        <f aca="false">((1-vr26)*racks_gb*(cool_gb+mani)+vr26*racks_vr*(cool_vr+mani))/1000</f>
        <v>350.7208</v>
      </c>
      <c r="E580" s="18" t="n">
        <f aca="false">racks_vr*(cool_vr+mani)*lcadj_27/1000</f>
        <v>326.5912</v>
      </c>
      <c r="F580" s="18" t="n">
        <f aca="false">racks_vr*(cool_vr+mani)*lcadj_28/1000</f>
        <v>351.7136</v>
      </c>
      <c r="G580" s="18" t="n">
        <f aca="false">racks_vr*(cool_vr+mani)*lcadj_29/1000</f>
        <v>351.7136</v>
      </c>
      <c r="H580" s="4" t="s">
        <v>461</v>
      </c>
    </row>
    <row r="581" customFormat="false" ht="17.15" hidden="false" customHeight="false" outlineLevel="0" collapsed="false">
      <c r="A581" s="0" t="s">
        <v>462</v>
      </c>
      <c r="B581" s="0" t="s">
        <v>29</v>
      </c>
      <c r="D581" s="20" t="n">
        <f aca="false">D578*D579*D580/1000</f>
        <v>4.5136875859587</v>
      </c>
      <c r="E581" s="20" t="n">
        <f aca="false">E578*E579*E580/1000</f>
        <v>10.2011004204398</v>
      </c>
      <c r="F581" s="20" t="n">
        <f aca="false">F578*F579*F580/1000</f>
        <v>15.7825560287001</v>
      </c>
      <c r="G581" s="20" t="n">
        <f aca="false">G578*G579*G580/1000</f>
        <v>19.0364045385942</v>
      </c>
    </row>
    <row r="582" customFormat="false" ht="17.15" hidden="false" customHeight="false" outlineLevel="0" collapsed="false">
      <c r="A582" s="0" t="s">
        <v>463</v>
      </c>
      <c r="B582" s="0" t="s">
        <v>189</v>
      </c>
      <c r="D582" s="19" t="n">
        <f aca="false">D581*fx</f>
        <v>144.438002750678</v>
      </c>
      <c r="E582" s="19" t="n">
        <f aca="false">E581*fx</f>
        <v>326.435213454075</v>
      </c>
      <c r="F582" s="19" t="n">
        <f aca="false">F581*fx</f>
        <v>505.041792918404</v>
      </c>
      <c r="G582" s="19" t="n">
        <f aca="false">G581*fx</f>
        <v>609.164945235016</v>
      </c>
    </row>
    <row r="583" customFormat="false" ht="17.15" hidden="false" customHeight="false" outlineLevel="0" collapsed="false">
      <c r="A583" s="4" t="s">
        <v>464</v>
      </c>
      <c r="B583" s="0" t="s">
        <v>49</v>
      </c>
      <c r="D583" s="14" t="n">
        <f aca="false">a26_lc/D582</f>
        <v>0.498927641116676</v>
      </c>
      <c r="H583" s="8" t="s">
        <v>465</v>
      </c>
    </row>
    <row r="584" customFormat="false" ht="17.15" hidden="false" customHeight="false" outlineLevel="0" collapsed="false">
      <c r="A584" s="4" t="s">
        <v>466</v>
      </c>
      <c r="B584" s="0" t="s">
        <v>70</v>
      </c>
      <c r="D584" s="15" t="n">
        <f aca="false">1</f>
        <v>1</v>
      </c>
      <c r="E584" s="15" t="n">
        <f aca="false">rel_27</f>
        <v>0.95</v>
      </c>
      <c r="F584" s="15" t="n">
        <f aca="false">rel_28</f>
        <v>0.9</v>
      </c>
      <c r="G584" s="15" t="n">
        <f aca="false">rel_29</f>
        <v>0.85</v>
      </c>
    </row>
    <row r="585" customFormat="false" ht="15" hidden="false" customHeight="false" outlineLevel="0" collapsed="false">
      <c r="A585" s="4" t="s">
        <v>426</v>
      </c>
      <c r="B585" s="0" t="s">
        <v>49</v>
      </c>
      <c r="D585" s="14" t="n">
        <f aca="false">$D$583*D584</f>
        <v>0.498927641116676</v>
      </c>
      <c r="E585" s="14" t="n">
        <f aca="false">$D$583*E584</f>
        <v>0.473981259060843</v>
      </c>
      <c r="F585" s="14" t="n">
        <f aca="false">$D$583*F584</f>
        <v>0.449034877005009</v>
      </c>
      <c r="G585" s="14" t="n">
        <f aca="false">$D$583*G584</f>
        <v>0.424088494949175</v>
      </c>
    </row>
    <row r="586" customFormat="false" ht="15" hidden="false" customHeight="false" outlineLevel="0" collapsed="false">
      <c r="A586" s="4" t="s">
        <v>467</v>
      </c>
      <c r="B586" s="0" t="s">
        <v>189</v>
      </c>
      <c r="C586" s="19" t="n">
        <f aca="false">a25_lc</f>
        <v>20.94585</v>
      </c>
      <c r="D586" s="19" t="n">
        <f aca="false">D582*D585</f>
        <v>72.064112</v>
      </c>
      <c r="E586" s="19" t="n">
        <f aca="false">E582*E585</f>
        <v>154.724173474757</v>
      </c>
      <c r="F586" s="19" t="n">
        <f aca="false">F582*F585</f>
        <v>226.781379365505</v>
      </c>
      <c r="G586" s="19" t="n">
        <f aca="false">G582*G585</f>
        <v>258.339844800514</v>
      </c>
    </row>
    <row r="587" customFormat="false" ht="17.15" hidden="false" customHeight="false" outlineLevel="0" collapsed="false">
      <c r="A587" s="6" t="s">
        <v>468</v>
      </c>
    </row>
    <row r="588" customFormat="false" ht="17.15" hidden="false" customHeight="false" outlineLevel="0" collapsed="false">
      <c r="A588" s="0" t="s">
        <v>469</v>
      </c>
      <c r="B588" s="0" t="s">
        <v>470</v>
      </c>
      <c r="D588" s="22" t="n">
        <f aca="false">a26_air/D578</f>
        <v>2.02106868156909</v>
      </c>
    </row>
    <row r="589" customFormat="false" ht="17.15" hidden="false" customHeight="false" outlineLevel="0" collapsed="false">
      <c r="A589" s="0" t="s">
        <v>471</v>
      </c>
      <c r="B589" s="0" t="s">
        <v>70</v>
      </c>
      <c r="D589" s="15" t="n">
        <f aca="false">1</f>
        <v>1</v>
      </c>
      <c r="E589" s="15" t="n">
        <f aca="false">acr_27</f>
        <v>0.75</v>
      </c>
      <c r="F589" s="15" t="n">
        <f aca="false">acr_28</f>
        <v>0.65</v>
      </c>
      <c r="G589" s="15" t="n">
        <f aca="false">acr_29</f>
        <v>0.6</v>
      </c>
    </row>
    <row r="590" customFormat="false" ht="17.15" hidden="false" customHeight="false" outlineLevel="0" collapsed="false">
      <c r="A590" s="0" t="s">
        <v>472</v>
      </c>
      <c r="B590" s="0" t="s">
        <v>189</v>
      </c>
      <c r="C590" s="19" t="n">
        <f aca="false">a25_air</f>
        <v>30.999858</v>
      </c>
      <c r="D590" s="19" t="n">
        <f aca="false">D578*$D$588*D589</f>
        <v>47.2920735</v>
      </c>
      <c r="E590" s="19" t="n">
        <f aca="false">E578*$D$588*E589</f>
        <v>63.1282305747745</v>
      </c>
      <c r="F590" s="19" t="n">
        <f aca="false">F578*$D$588*F589</f>
        <v>69.3527491354094</v>
      </c>
      <c r="G590" s="19" t="n">
        <f aca="false">G578*$D$588*G589</f>
        <v>72.926534586915</v>
      </c>
    </row>
    <row r="591" customFormat="false" ht="15" hidden="false" customHeight="false" outlineLevel="0" collapsed="false">
      <c r="A591" s="4" t="s">
        <v>473</v>
      </c>
      <c r="B591" s="0" t="s">
        <v>189</v>
      </c>
      <c r="C591" s="19" t="n">
        <f aca="false">a25_gen</f>
        <v>20.666572</v>
      </c>
      <c r="D591" s="19" t="n">
        <f aca="false">a26_gen</f>
        <v>31.528049</v>
      </c>
      <c r="E591" s="19" t="n">
        <f aca="false">D591*(1+g_gen_27)</f>
        <v>34.05029292</v>
      </c>
      <c r="F591" s="19" t="n">
        <f aca="false">E591*(1+g_gen_28)</f>
        <v>36.0933104952</v>
      </c>
      <c r="G591" s="19" t="n">
        <f aca="false">F591*(1+g_gen_29)</f>
        <v>37.89797601996</v>
      </c>
    </row>
    <row r="592" customFormat="false" ht="17.15" hidden="false" customHeight="false" outlineLevel="0" collapsed="false">
      <c r="A592" s="4" t="s">
        <v>474</v>
      </c>
      <c r="B592" s="0" t="s">
        <v>189</v>
      </c>
      <c r="C592" s="19" t="n">
        <f aca="false">a25_nai</f>
        <v>67.02672</v>
      </c>
      <c r="D592" s="19" t="n">
        <f aca="false">a26_nai</f>
        <v>74.3161155</v>
      </c>
      <c r="E592" s="19" t="n">
        <f aca="false">D592*(1+g_nai_27)</f>
        <v>78.77508243</v>
      </c>
      <c r="F592" s="19" t="n">
        <f aca="false">E592*(1+g_nai_28)</f>
        <v>82.7138365515</v>
      </c>
      <c r="G592" s="19" t="n">
        <f aca="false">F592*(1+g_nai_29)</f>
        <v>86.02239001356</v>
      </c>
    </row>
    <row r="593" customFormat="false" ht="15" hidden="false" customHeight="false" outlineLevel="0" collapsed="false">
      <c r="A593" s="4" t="s">
        <v>353</v>
      </c>
      <c r="B593" s="0" t="s">
        <v>189</v>
      </c>
      <c r="C593" s="19" t="n">
        <f aca="false">C586+C590+C591+C592</f>
        <v>139.639</v>
      </c>
      <c r="D593" s="19" t="n">
        <f aca="false">D586+D590+D591+D592</f>
        <v>225.20035</v>
      </c>
      <c r="E593" s="19" t="n">
        <f aca="false">E586+E590+E591+E592</f>
        <v>330.677779399532</v>
      </c>
      <c r="F593" s="19" t="n">
        <f aca="false">F586+F590+F591+F592</f>
        <v>414.941275547614</v>
      </c>
      <c r="G593" s="19" t="n">
        <f aca="false">G586+G590+G591+G592</f>
        <v>455.186745420949</v>
      </c>
    </row>
    <row r="594" customFormat="false" ht="15" hidden="false" customHeight="false" outlineLevel="0" collapsed="false">
      <c r="A594" s="4" t="s">
        <v>475</v>
      </c>
      <c r="B594" s="0" t="s">
        <v>49</v>
      </c>
      <c r="D594" s="14" t="n">
        <f aca="false">D593/C593-1</f>
        <v>0.612732474451979</v>
      </c>
      <c r="E594" s="14" t="n">
        <f aca="false">E593/D593-1</f>
        <v>0.46837151629441</v>
      </c>
      <c r="F594" s="14" t="n">
        <f aca="false">F593/E593-1</f>
        <v>0.254820557647065</v>
      </c>
      <c r="G594" s="14" t="n">
        <f aca="false">G593/F593-1</f>
        <v>0.0969907604882692</v>
      </c>
    </row>
    <row r="595" customFormat="false" ht="17.15" hidden="false" customHeight="false" outlineLevel="0" collapsed="false">
      <c r="A595" s="4" t="s">
        <v>476</v>
      </c>
      <c r="B595" s="0" t="s">
        <v>49</v>
      </c>
      <c r="C595" s="14" t="n">
        <f aca="false">C586/C593</f>
        <v>0.15</v>
      </c>
      <c r="D595" s="14" t="n">
        <f aca="false">D586/D593</f>
        <v>0.32</v>
      </c>
      <c r="E595" s="14" t="n">
        <f aca="false">E586/E593</f>
        <v>0.46790012245672</v>
      </c>
      <c r="F595" s="14" t="n">
        <f aca="false">F586/F593</f>
        <v>0.546538492865557</v>
      </c>
      <c r="G595" s="14" t="n">
        <f aca="false">G586/G593</f>
        <v>0.567546940677295</v>
      </c>
    </row>
    <row r="596" customFormat="false" ht="17.15" hidden="false" customHeight="false" outlineLevel="0" collapsed="false">
      <c r="A596" s="0" t="s">
        <v>477</v>
      </c>
      <c r="B596" s="0" t="s">
        <v>49</v>
      </c>
      <c r="C596" s="14" t="n">
        <f aca="false">(C586+C590)/C593</f>
        <v>0.372</v>
      </c>
      <c r="D596" s="14" t="n">
        <f aca="false">(D586+D590)/D593</f>
        <v>0.53</v>
      </c>
      <c r="E596" s="14" t="n">
        <f aca="false">(E586+E590)/E593</f>
        <v>0.658805694307987</v>
      </c>
      <c r="F596" s="14" t="n">
        <f aca="false">(F586+F590)/F593</f>
        <v>0.713677201936815</v>
      </c>
      <c r="G596" s="14" t="n">
        <f aca="false">(G586+G590)/G593</f>
        <v>0.727759282799589</v>
      </c>
    </row>
    <row r="597" customFormat="false" ht="17.15" hidden="false" customHeight="false" outlineLevel="0" collapsed="false">
      <c r="A597" s="4" t="s">
        <v>431</v>
      </c>
      <c r="B597" s="0" t="s">
        <v>419</v>
      </c>
      <c r="D597" s="18" t="n">
        <f aca="false">(D586+D590)/fx/D578*1000</f>
        <v>159.399762088039</v>
      </c>
      <c r="E597" s="18" t="n">
        <f aca="false">(E586+E590)/fx/E578*1000</f>
        <v>163.467378354919</v>
      </c>
      <c r="F597" s="18" t="n">
        <f aca="false">(F586+F590)/fx/F578*1000</f>
        <v>175.294879743813</v>
      </c>
      <c r="G597" s="18" t="n">
        <f aca="false">(G586+G590)/fx/G578*1000</f>
        <v>172.136959928861</v>
      </c>
    </row>
    <row r="598" customFormat="false" ht="17.15" hidden="false" customHeight="false" outlineLevel="0" collapsed="false">
      <c r="A598" s="6" t="s">
        <v>478</v>
      </c>
    </row>
    <row r="599" customFormat="false" ht="17.15" hidden="false" customHeight="false" outlineLevel="0" collapsed="false">
      <c r="A599" s="4" t="s">
        <v>479</v>
      </c>
      <c r="B599" s="0" t="s">
        <v>49</v>
      </c>
      <c r="D599" s="14" t="n">
        <f aca="false">a26_gp/D593-d_lc_hi*D595</f>
        <v>0.290021503074929</v>
      </c>
      <c r="H599" s="8" t="s">
        <v>480</v>
      </c>
    </row>
    <row r="600" customFormat="false" ht="15" hidden="false" customHeight="false" outlineLevel="0" collapsed="false">
      <c r="A600" s="4" t="s">
        <v>357</v>
      </c>
      <c r="B600" s="0" t="s">
        <v>189</v>
      </c>
      <c r="C600" s="19" t="n">
        <f aca="false">a25_gp</f>
        <v>36.034</v>
      </c>
      <c r="D600" s="19" t="n">
        <f aca="false">a26_gp</f>
        <v>72.5193552</v>
      </c>
      <c r="E600" s="19" t="n">
        <f aca="false">$D$599*E593+d_lc_hi*E586</f>
        <v>111.376083962408</v>
      </c>
      <c r="F600" s="19" t="n">
        <f aca="false">$D$599*F593+d_lc_hi*F586</f>
        <v>143.020030358698</v>
      </c>
      <c r="G600" s="19" t="n">
        <f aca="false">$D$599*G593+d_lc_hi*G586</f>
        <v>157.84792856682</v>
      </c>
    </row>
    <row r="601" customFormat="false" ht="15" hidden="false" customHeight="false" outlineLevel="0" collapsed="false">
      <c r="A601" s="4" t="s">
        <v>360</v>
      </c>
      <c r="B601" s="0" t="s">
        <v>49</v>
      </c>
      <c r="C601" s="14" t="n">
        <f aca="false">C600/C593</f>
        <v>0.258051117524474</v>
      </c>
      <c r="D601" s="14" t="n">
        <f aca="false">D600/D593</f>
        <v>0.322021503074929</v>
      </c>
      <c r="E601" s="14" t="n">
        <f aca="false">E600/E593</f>
        <v>0.336811515320601</v>
      </c>
      <c r="F601" s="14" t="n">
        <f aca="false">F600/F593</f>
        <v>0.344675352361484</v>
      </c>
      <c r="G601" s="14" t="n">
        <f aca="false">G600/G593</f>
        <v>0.346776197142658</v>
      </c>
    </row>
    <row r="602" customFormat="false" ht="15" hidden="false" customHeight="false" outlineLevel="0" collapsed="false">
      <c r="A602" s="4" t="s">
        <v>481</v>
      </c>
      <c r="B602" s="0" t="s">
        <v>189</v>
      </c>
      <c r="C602" s="19" t="n">
        <f aca="false">a25_opx</f>
        <v>8.4832253</v>
      </c>
      <c r="D602" s="19" t="n">
        <f aca="false">a26_opx</f>
        <v>11.7048599</v>
      </c>
      <c r="E602" s="19" t="n">
        <f aca="false">D602*(1+MAX(0,phi*E594))</f>
        <v>15.5424159855636</v>
      </c>
      <c r="F602" s="19" t="n">
        <f aca="false">E602*(1+MAX(0,phi*F594))</f>
        <v>18.3147849616004</v>
      </c>
      <c r="G602" s="19" t="n">
        <f aca="false">F602*(1+MAX(0,phi*G594))</f>
        <v>19.5582404067238</v>
      </c>
    </row>
    <row r="603" customFormat="false" ht="15" hidden="false" customHeight="false" outlineLevel="0" collapsed="false">
      <c r="A603" s="4" t="s">
        <v>362</v>
      </c>
      <c r="B603" s="0" t="s">
        <v>189</v>
      </c>
      <c r="C603" s="19" t="n">
        <f aca="false">C602</f>
        <v>8.4832253</v>
      </c>
      <c r="D603" s="19" t="n">
        <f aca="false">D602</f>
        <v>11.7048599</v>
      </c>
      <c r="E603" s="19" t="n">
        <f aca="false">E602+0*E593</f>
        <v>15.5424159855636</v>
      </c>
      <c r="F603" s="19" t="n">
        <f aca="false">F602+0*F593</f>
        <v>18.3147849616004</v>
      </c>
      <c r="G603" s="19" t="n">
        <f aca="false">G602+0*G593</f>
        <v>19.5582404067238</v>
      </c>
    </row>
    <row r="604" customFormat="false" ht="15" hidden="false" customHeight="false" outlineLevel="0" collapsed="false">
      <c r="A604" s="4" t="s">
        <v>364</v>
      </c>
      <c r="B604" s="0" t="s">
        <v>189</v>
      </c>
      <c r="C604" s="19" t="n">
        <f aca="false">C600-C603</f>
        <v>27.5507747</v>
      </c>
      <c r="D604" s="19" t="n">
        <f aca="false">D600-D603</f>
        <v>60.8144953</v>
      </c>
      <c r="E604" s="19" t="n">
        <f aca="false">E600-E603</f>
        <v>95.833667976844</v>
      </c>
      <c r="F604" s="19" t="n">
        <f aca="false">F600-F603</f>
        <v>124.705245397097</v>
      </c>
      <c r="G604" s="19" t="n">
        <f aca="false">G600-G603</f>
        <v>138.289688160096</v>
      </c>
    </row>
    <row r="605" customFormat="false" ht="15" hidden="false" customHeight="false" outlineLevel="0" collapsed="false">
      <c r="A605" s="4" t="s">
        <v>367</v>
      </c>
      <c r="B605" s="0" t="s">
        <v>49</v>
      </c>
      <c r="C605" s="14" t="n">
        <f aca="false">C604/C593</f>
        <v>0.1973</v>
      </c>
      <c r="D605" s="14" t="n">
        <f aca="false">D604/D593</f>
        <v>0.27004618465291</v>
      </c>
      <c r="E605" s="14" t="n">
        <f aca="false">E604/E593</f>
        <v>0.289809820759247</v>
      </c>
      <c r="F605" s="14" t="n">
        <f aca="false">F604/F593</f>
        <v>0.300537094634702</v>
      </c>
      <c r="G605" s="14" t="n">
        <f aca="false">G604/G593</f>
        <v>0.303808688524549</v>
      </c>
    </row>
    <row r="606" customFormat="false" ht="15" hidden="false" customHeight="false" outlineLevel="0" collapsed="false">
      <c r="A606" s="4" t="s">
        <v>369</v>
      </c>
      <c r="B606" s="0" t="s">
        <v>189</v>
      </c>
      <c r="C606" s="19" t="n">
        <f aca="false">a25_nop</f>
        <v>1.23179436863779</v>
      </c>
      <c r="D606" s="19" t="n">
        <f aca="false">a26_nop</f>
        <v>0.8186111</v>
      </c>
      <c r="E606" s="19" t="n">
        <f aca="false">nop_f</f>
        <v>1</v>
      </c>
      <c r="F606" s="19" t="n">
        <f aca="false">nop_f</f>
        <v>1</v>
      </c>
      <c r="G606" s="19" t="n">
        <f aca="false">nop_f</f>
        <v>1</v>
      </c>
    </row>
    <row r="607" customFormat="false" ht="17.15" hidden="false" customHeight="false" outlineLevel="0" collapsed="false">
      <c r="A607" s="4" t="s">
        <v>232</v>
      </c>
      <c r="B607" s="0" t="s">
        <v>49</v>
      </c>
      <c r="C607" s="14" t="n">
        <f aca="false">a25_ni/(a25_oi+a25_nop)</f>
        <v>0.666583999303438</v>
      </c>
      <c r="D607" s="14" t="n">
        <f aca="false">a26_ni/(a26_oi+a26_nop)</f>
        <v>0.674837141220258</v>
      </c>
      <c r="E607" s="14" t="n">
        <f aca="false">nir_f</f>
        <v>0.675</v>
      </c>
      <c r="F607" s="14" t="n">
        <f aca="false">nir_f</f>
        <v>0.675</v>
      </c>
      <c r="G607" s="14" t="n">
        <f aca="false">nir_f</f>
        <v>0.675</v>
      </c>
    </row>
    <row r="608" customFormat="false" ht="15" hidden="false" customHeight="false" outlineLevel="0" collapsed="false">
      <c r="A608" s="4" t="s">
        <v>373</v>
      </c>
      <c r="B608" s="0" t="s">
        <v>189</v>
      </c>
      <c r="C608" s="19" t="n">
        <f aca="false">a25_ni</f>
        <v>19.186</v>
      </c>
      <c r="D608" s="19" t="n">
        <f aca="false">a26_ni</f>
        <v>41.5923093275</v>
      </c>
      <c r="E608" s="19" t="n">
        <f aca="false">(E604+E606)*E607</f>
        <v>65.3627258843697</v>
      </c>
      <c r="F608" s="19" t="n">
        <f aca="false">(F604+F606)*F607</f>
        <v>84.8510406430406</v>
      </c>
      <c r="G608" s="19" t="n">
        <f aca="false">(G604+G606)*G607</f>
        <v>94.020539508065</v>
      </c>
    </row>
    <row r="609" customFormat="false" ht="15" hidden="false" customHeight="false" outlineLevel="0" collapsed="false">
      <c r="A609" s="4" t="s">
        <v>482</v>
      </c>
      <c r="B609" s="4" t="s">
        <v>215</v>
      </c>
      <c r="C609" s="22" t="n">
        <f aca="false">a25_sh</f>
        <v>0.390197274761033</v>
      </c>
      <c r="D609" s="22" t="n">
        <f aca="false">a26_sh</f>
        <v>0.392523574315222</v>
      </c>
      <c r="E609" s="22" t="n">
        <f aca="false">D609*(1+sh_g)</f>
        <v>0.392523574315222</v>
      </c>
      <c r="F609" s="22" t="n">
        <f aca="false">E609*(1+sh_g)</f>
        <v>0.392523574315222</v>
      </c>
      <c r="G609" s="22" t="n">
        <f aca="false">F609*(1+sh_g)</f>
        <v>0.392523574315222</v>
      </c>
    </row>
    <row r="610" customFormat="false" ht="15" hidden="false" customHeight="false" outlineLevel="0" collapsed="false">
      <c r="A610" s="0" t="s">
        <v>378</v>
      </c>
      <c r="B610" s="0" t="s">
        <v>252</v>
      </c>
      <c r="C610" s="20" t="n">
        <f aca="false">C608/C609</f>
        <v>49.17</v>
      </c>
      <c r="D610" s="20" t="n">
        <f aca="false">D608/D609</f>
        <v>105.961302834002</v>
      </c>
      <c r="E610" s="20" t="n">
        <f aca="false">E608/E609</f>
        <v>166.519236451972</v>
      </c>
      <c r="F610" s="20" t="n">
        <f aca="false">F608/F609</f>
        <v>216.168011796661</v>
      </c>
      <c r="G610" s="20" t="n">
        <f aca="false">G608/G609</f>
        <v>239.528389274679</v>
      </c>
    </row>
    <row r="611" customFormat="false" ht="17.15" hidden="false" customHeight="false" outlineLevel="0" collapsed="false">
      <c r="A611" s="0" t="s">
        <v>483</v>
      </c>
      <c r="B611" s="0" t="s">
        <v>49</v>
      </c>
      <c r="D611" s="14" t="n">
        <f aca="false">D610/C610-1</f>
        <v>1.15499904075659</v>
      </c>
      <c r="E611" s="14" t="n">
        <f aca="false">E610/D610-1</f>
        <v>0.571509900296716</v>
      </c>
      <c r="F611" s="14" t="n">
        <f aca="false">F610/E610-1</f>
        <v>0.298156395636662</v>
      </c>
      <c r="G611" s="14" t="n">
        <f aca="false">G610/F610-1</f>
        <v>0.108065838621822</v>
      </c>
    </row>
    <row r="614" customFormat="false" ht="17.15" hidden="false" customHeight="false" outlineLevel="0" collapsed="false">
      <c r="A614" s="1" t="s">
        <v>803</v>
      </c>
    </row>
    <row r="615" customFormat="false" ht="17.15" hidden="false" customHeight="false" outlineLevel="0" collapsed="false">
      <c r="A615" s="5" t="s">
        <v>18</v>
      </c>
      <c r="B615" s="5" t="s">
        <v>19</v>
      </c>
      <c r="C615" s="11" t="s">
        <v>347</v>
      </c>
      <c r="D615" s="11" t="s">
        <v>436</v>
      </c>
      <c r="E615" s="11" t="s">
        <v>437</v>
      </c>
      <c r="F615" s="11" t="s">
        <v>438</v>
      </c>
      <c r="G615" s="11" t="s">
        <v>439</v>
      </c>
      <c r="H615" s="5" t="s">
        <v>412</v>
      </c>
    </row>
    <row r="616" customFormat="false" ht="17.15" hidden="false" customHeight="false" outlineLevel="0" collapsed="false">
      <c r="A616" s="6" t="s">
        <v>455</v>
      </c>
    </row>
    <row r="617" customFormat="false" ht="17.15" hidden="false" customHeight="false" outlineLevel="0" collapsed="false">
      <c r="A617" s="0" t="s">
        <v>456</v>
      </c>
      <c r="B617" s="0" t="s">
        <v>29</v>
      </c>
      <c r="D617" s="20" t="n">
        <f aca="false">itc_26*1</f>
        <v>781.872916666667</v>
      </c>
      <c r="E617" s="20" t="n">
        <f aca="false">itc_27*1*1</f>
        <v>1565.35</v>
      </c>
      <c r="F617" s="20" t="n">
        <f aca="false">itc_28*um28_A*1</f>
        <v>1984.26388888889</v>
      </c>
      <c r="G617" s="20" t="n">
        <f aca="false">itc_29*um29_A*1</f>
        <v>2260.39027777778</v>
      </c>
    </row>
    <row r="618" customFormat="false" ht="17.15" hidden="false" customHeight="false" outlineLevel="0" collapsed="false">
      <c r="A618" s="4" t="s">
        <v>457</v>
      </c>
      <c r="B618" s="0" t="s">
        <v>29</v>
      </c>
      <c r="D618" s="20" t="n">
        <f aca="false">itpg_gb*(1-vr26)+itpg_vr*vr26</f>
        <v>33.41403216</v>
      </c>
      <c r="E618" s="20" t="n">
        <f aca="false">itpg_vr</f>
        <v>37.586352</v>
      </c>
      <c r="F618" s="20" t="n">
        <f aca="false">itpg_vr</f>
        <v>37.586352</v>
      </c>
      <c r="G618" s="20" t="n">
        <f aca="false">itpg_vr</f>
        <v>37.586352</v>
      </c>
    </row>
    <row r="619" customFormat="false" ht="17.15" hidden="false" customHeight="false" outlineLevel="0" collapsed="false">
      <c r="A619" s="4" t="s">
        <v>458</v>
      </c>
      <c r="B619" s="0" t="s">
        <v>414</v>
      </c>
      <c r="D619" s="17" t="n">
        <f aca="false">D617/D618</f>
        <v>23.3995380420639</v>
      </c>
      <c r="E619" s="17" t="n">
        <f aca="false">E617/E618</f>
        <v>41.6467658260637</v>
      </c>
      <c r="F619" s="17" t="n">
        <f aca="false">F617/F618</f>
        <v>52.792138191248</v>
      </c>
      <c r="G619" s="17" t="n">
        <f aca="false">G617/G618</f>
        <v>60.1385917361116</v>
      </c>
    </row>
    <row r="620" customFormat="false" ht="17.15" hidden="false" customHeight="false" outlineLevel="0" collapsed="false">
      <c r="A620" s="4" t="s">
        <v>459</v>
      </c>
      <c r="B620" s="0" t="s">
        <v>49</v>
      </c>
      <c r="D620" s="14" t="n">
        <f aca="false">lpen_26</f>
        <v>0.55</v>
      </c>
      <c r="E620" s="14" t="n">
        <f aca="false">lpen_27</f>
        <v>0.75</v>
      </c>
      <c r="F620" s="14" t="n">
        <f aca="false">lpen_28</f>
        <v>0.85</v>
      </c>
      <c r="G620" s="14" t="n">
        <f aca="false">lpen_29</f>
        <v>0.9</v>
      </c>
    </row>
    <row r="621" customFormat="false" ht="17.15" hidden="false" customHeight="false" outlineLevel="0" collapsed="false">
      <c r="A621" s="4" t="s">
        <v>460</v>
      </c>
      <c r="B621" s="0" t="s">
        <v>419</v>
      </c>
      <c r="D621" s="18" t="n">
        <f aca="false">((1-vr26)*racks_gb*(cool_gb+mani)+vr26*racks_vr*(cool_vr+mani))/1000</f>
        <v>350.7208</v>
      </c>
      <c r="E621" s="18" t="n">
        <f aca="false">racks_vr*(cool_vr+mani)*lcadj_27/1000</f>
        <v>326.5912</v>
      </c>
      <c r="F621" s="18" t="n">
        <f aca="false">racks_vr*(cool_vr+mani)*lcadj_28/1000</f>
        <v>351.7136</v>
      </c>
      <c r="G621" s="18" t="n">
        <f aca="false">racks_vr*(cool_vr+mani)*lcadj_29/1000</f>
        <v>351.7136</v>
      </c>
      <c r="H621" s="4" t="s">
        <v>461</v>
      </c>
    </row>
    <row r="622" customFormat="false" ht="17.15" hidden="false" customHeight="false" outlineLevel="0" collapsed="false">
      <c r="A622" s="0" t="s">
        <v>462</v>
      </c>
      <c r="B622" s="0" t="s">
        <v>29</v>
      </c>
      <c r="D622" s="20" t="n">
        <f aca="false">D619*D620*D621/1000</f>
        <v>4.5136875859587</v>
      </c>
      <c r="E622" s="20" t="n">
        <f aca="false">E619*E620*E621/1000</f>
        <v>10.2011004204398</v>
      </c>
      <c r="F622" s="20" t="n">
        <f aca="false">F619*F620*F621/1000</f>
        <v>15.7825560287001</v>
      </c>
      <c r="G622" s="20" t="n">
        <f aca="false">G619*G620*G621/1000</f>
        <v>19.0364045385942</v>
      </c>
    </row>
    <row r="623" customFormat="false" ht="17.15" hidden="false" customHeight="false" outlineLevel="0" collapsed="false">
      <c r="A623" s="0" t="s">
        <v>463</v>
      </c>
      <c r="B623" s="0" t="s">
        <v>189</v>
      </c>
      <c r="D623" s="19" t="n">
        <f aca="false">D622*fx</f>
        <v>144.438002750678</v>
      </c>
      <c r="E623" s="19" t="n">
        <f aca="false">E622*fx</f>
        <v>326.435213454075</v>
      </c>
      <c r="F623" s="19" t="n">
        <f aca="false">F622*fx</f>
        <v>505.041792918404</v>
      </c>
      <c r="G623" s="19" t="n">
        <f aca="false">G622*fx</f>
        <v>609.164945235016</v>
      </c>
    </row>
    <row r="624" customFormat="false" ht="17.15" hidden="false" customHeight="false" outlineLevel="0" collapsed="false">
      <c r="A624" s="4" t="s">
        <v>464</v>
      </c>
      <c r="B624" s="0" t="s">
        <v>49</v>
      </c>
      <c r="D624" s="14" t="n">
        <f aca="false">a26_lc/D623</f>
        <v>0.498927641116676</v>
      </c>
      <c r="H624" s="8" t="s">
        <v>465</v>
      </c>
    </row>
    <row r="625" customFormat="false" ht="17.15" hidden="false" customHeight="false" outlineLevel="0" collapsed="false">
      <c r="A625" s="4" t="s">
        <v>466</v>
      </c>
      <c r="B625" s="0" t="s">
        <v>70</v>
      </c>
      <c r="D625" s="15" t="n">
        <f aca="false">1</f>
        <v>1</v>
      </c>
      <c r="E625" s="15" t="n">
        <f aca="false">rel_27</f>
        <v>0.95</v>
      </c>
      <c r="F625" s="15" t="n">
        <f aca="false">rel_28</f>
        <v>0.9</v>
      </c>
      <c r="G625" s="15" t="n">
        <f aca="false">rel_29</f>
        <v>0.85</v>
      </c>
    </row>
    <row r="626" customFormat="false" ht="15" hidden="false" customHeight="false" outlineLevel="0" collapsed="false">
      <c r="A626" s="4" t="s">
        <v>426</v>
      </c>
      <c r="B626" s="0" t="s">
        <v>49</v>
      </c>
      <c r="D626" s="14" t="n">
        <f aca="false">$D$624*D625</f>
        <v>0.498927641116676</v>
      </c>
      <c r="E626" s="14" t="n">
        <f aca="false">$D$624*E625</f>
        <v>0.473981259060843</v>
      </c>
      <c r="F626" s="14" t="n">
        <f aca="false">$D$624*F625</f>
        <v>0.449034877005009</v>
      </c>
      <c r="G626" s="14" t="n">
        <f aca="false">$D$624*G625</f>
        <v>0.424088494949175</v>
      </c>
    </row>
    <row r="627" customFormat="false" ht="15" hidden="false" customHeight="false" outlineLevel="0" collapsed="false">
      <c r="A627" s="4" t="s">
        <v>467</v>
      </c>
      <c r="B627" s="0" t="s">
        <v>189</v>
      </c>
      <c r="C627" s="19" t="n">
        <f aca="false">a25_lc</f>
        <v>20.94585</v>
      </c>
      <c r="D627" s="19" t="n">
        <f aca="false">D623*D626</f>
        <v>72.064112</v>
      </c>
      <c r="E627" s="19" t="n">
        <f aca="false">E623*E626</f>
        <v>154.724173474757</v>
      </c>
      <c r="F627" s="19" t="n">
        <f aca="false">F623*F626</f>
        <v>226.781379365505</v>
      </c>
      <c r="G627" s="19" t="n">
        <f aca="false">G623*G626</f>
        <v>258.339844800514</v>
      </c>
    </row>
    <row r="628" customFormat="false" ht="17.15" hidden="false" customHeight="false" outlineLevel="0" collapsed="false">
      <c r="A628" s="6" t="s">
        <v>468</v>
      </c>
    </row>
    <row r="629" customFormat="false" ht="17.15" hidden="false" customHeight="false" outlineLevel="0" collapsed="false">
      <c r="A629" s="0" t="s">
        <v>469</v>
      </c>
      <c r="B629" s="0" t="s">
        <v>470</v>
      </c>
      <c r="D629" s="22" t="n">
        <f aca="false">a26_air/D619</f>
        <v>2.02106868156909</v>
      </c>
    </row>
    <row r="630" customFormat="false" ht="17.15" hidden="false" customHeight="false" outlineLevel="0" collapsed="false">
      <c r="A630" s="0" t="s">
        <v>471</v>
      </c>
      <c r="B630" s="0" t="s">
        <v>70</v>
      </c>
      <c r="D630" s="15" t="n">
        <f aca="false">1</f>
        <v>1</v>
      </c>
      <c r="E630" s="15" t="n">
        <f aca="false">acr_27</f>
        <v>0.75</v>
      </c>
      <c r="F630" s="15" t="n">
        <f aca="false">acr_28</f>
        <v>0.65</v>
      </c>
      <c r="G630" s="15" t="n">
        <f aca="false">acr_29</f>
        <v>0.6</v>
      </c>
    </row>
    <row r="631" customFormat="false" ht="17.15" hidden="false" customHeight="false" outlineLevel="0" collapsed="false">
      <c r="A631" s="0" t="s">
        <v>472</v>
      </c>
      <c r="B631" s="0" t="s">
        <v>189</v>
      </c>
      <c r="C631" s="19" t="n">
        <f aca="false">a25_air</f>
        <v>30.999858</v>
      </c>
      <c r="D631" s="19" t="n">
        <f aca="false">D619*$D$629*D630</f>
        <v>47.2920735</v>
      </c>
      <c r="E631" s="19" t="n">
        <f aca="false">E619*$D$629*E630</f>
        <v>63.1282305747745</v>
      </c>
      <c r="F631" s="19" t="n">
        <f aca="false">F619*$D$629*F630</f>
        <v>69.3527491354094</v>
      </c>
      <c r="G631" s="19" t="n">
        <f aca="false">G619*$D$629*G630</f>
        <v>72.926534586915</v>
      </c>
    </row>
    <row r="632" customFormat="false" ht="15" hidden="false" customHeight="false" outlineLevel="0" collapsed="false">
      <c r="A632" s="4" t="s">
        <v>473</v>
      </c>
      <c r="B632" s="0" t="s">
        <v>189</v>
      </c>
      <c r="C632" s="19" t="n">
        <f aca="false">a25_gen</f>
        <v>20.666572</v>
      </c>
      <c r="D632" s="19" t="n">
        <f aca="false">a26_gen</f>
        <v>31.528049</v>
      </c>
      <c r="E632" s="19" t="n">
        <f aca="false">D632*(1+g_gen_27)</f>
        <v>34.05029292</v>
      </c>
      <c r="F632" s="19" t="n">
        <f aca="false">E632*(1+g_gen_28)</f>
        <v>36.0933104952</v>
      </c>
      <c r="G632" s="19" t="n">
        <f aca="false">F632*(1+g_gen_29)</f>
        <v>37.89797601996</v>
      </c>
    </row>
    <row r="633" customFormat="false" ht="17.15" hidden="false" customHeight="false" outlineLevel="0" collapsed="false">
      <c r="A633" s="4" t="s">
        <v>474</v>
      </c>
      <c r="B633" s="0" t="s">
        <v>189</v>
      </c>
      <c r="C633" s="19" t="n">
        <f aca="false">a25_nai</f>
        <v>67.02672</v>
      </c>
      <c r="D633" s="19" t="n">
        <f aca="false">a26_nai</f>
        <v>74.3161155</v>
      </c>
      <c r="E633" s="19" t="n">
        <f aca="false">D633*(1+g_nai_27)</f>
        <v>78.77508243</v>
      </c>
      <c r="F633" s="19" t="n">
        <f aca="false">E633*(1+g_nai_28)</f>
        <v>82.7138365515</v>
      </c>
      <c r="G633" s="19" t="n">
        <f aca="false">F633*(1+g_nai_29)</f>
        <v>86.02239001356</v>
      </c>
    </row>
    <row r="634" customFormat="false" ht="15" hidden="false" customHeight="false" outlineLevel="0" collapsed="false">
      <c r="A634" s="4" t="s">
        <v>353</v>
      </c>
      <c r="B634" s="0" t="s">
        <v>189</v>
      </c>
      <c r="C634" s="19" t="n">
        <f aca="false">C627+C631+C632+C633</f>
        <v>139.639</v>
      </c>
      <c r="D634" s="19" t="n">
        <f aca="false">D627+D631+D632+D633</f>
        <v>225.20035</v>
      </c>
      <c r="E634" s="19" t="n">
        <f aca="false">E627+E631+E632+E633</f>
        <v>330.677779399532</v>
      </c>
      <c r="F634" s="19" t="n">
        <f aca="false">F627+F631+F632+F633</f>
        <v>414.941275547614</v>
      </c>
      <c r="G634" s="19" t="n">
        <f aca="false">G627+G631+G632+G633</f>
        <v>455.186745420949</v>
      </c>
    </row>
    <row r="635" customFormat="false" ht="15" hidden="false" customHeight="false" outlineLevel="0" collapsed="false">
      <c r="A635" s="4" t="s">
        <v>475</v>
      </c>
      <c r="B635" s="0" t="s">
        <v>49</v>
      </c>
      <c r="D635" s="14" t="n">
        <f aca="false">D634/C634-1</f>
        <v>0.612732474451979</v>
      </c>
      <c r="E635" s="14" t="n">
        <f aca="false">E634/D634-1</f>
        <v>0.46837151629441</v>
      </c>
      <c r="F635" s="14" t="n">
        <f aca="false">F634/E634-1</f>
        <v>0.254820557647065</v>
      </c>
      <c r="G635" s="14" t="n">
        <f aca="false">G634/F634-1</f>
        <v>0.0969907604882692</v>
      </c>
    </row>
    <row r="636" customFormat="false" ht="17.15" hidden="false" customHeight="false" outlineLevel="0" collapsed="false">
      <c r="A636" s="4" t="s">
        <v>476</v>
      </c>
      <c r="B636" s="0" t="s">
        <v>49</v>
      </c>
      <c r="C636" s="14" t="n">
        <f aca="false">C627/C634</f>
        <v>0.15</v>
      </c>
      <c r="D636" s="14" t="n">
        <f aca="false">D627/D634</f>
        <v>0.32</v>
      </c>
      <c r="E636" s="14" t="n">
        <f aca="false">E627/E634</f>
        <v>0.46790012245672</v>
      </c>
      <c r="F636" s="14" t="n">
        <f aca="false">F627/F634</f>
        <v>0.546538492865557</v>
      </c>
      <c r="G636" s="14" t="n">
        <f aca="false">G627/G634</f>
        <v>0.567546940677295</v>
      </c>
    </row>
    <row r="637" customFormat="false" ht="17.15" hidden="false" customHeight="false" outlineLevel="0" collapsed="false">
      <c r="A637" s="0" t="s">
        <v>477</v>
      </c>
      <c r="B637" s="0" t="s">
        <v>49</v>
      </c>
      <c r="C637" s="14" t="n">
        <f aca="false">(C627+C631)/C634</f>
        <v>0.372</v>
      </c>
      <c r="D637" s="14" t="n">
        <f aca="false">(D627+D631)/D634</f>
        <v>0.53</v>
      </c>
      <c r="E637" s="14" t="n">
        <f aca="false">(E627+E631)/E634</f>
        <v>0.658805694307987</v>
      </c>
      <c r="F637" s="14" t="n">
        <f aca="false">(F627+F631)/F634</f>
        <v>0.713677201936815</v>
      </c>
      <c r="G637" s="14" t="n">
        <f aca="false">(G627+G631)/G634</f>
        <v>0.727759282799589</v>
      </c>
    </row>
    <row r="638" customFormat="false" ht="17.15" hidden="false" customHeight="false" outlineLevel="0" collapsed="false">
      <c r="A638" s="4" t="s">
        <v>431</v>
      </c>
      <c r="B638" s="0" t="s">
        <v>419</v>
      </c>
      <c r="D638" s="18" t="n">
        <f aca="false">(D627+D631)/fx/D619*1000</f>
        <v>159.399762088039</v>
      </c>
      <c r="E638" s="18" t="n">
        <f aca="false">(E627+E631)/fx/E619*1000</f>
        <v>163.467378354919</v>
      </c>
      <c r="F638" s="18" t="n">
        <f aca="false">(F627+F631)/fx/F619*1000</f>
        <v>175.294879743813</v>
      </c>
      <c r="G638" s="18" t="n">
        <f aca="false">(G627+G631)/fx/G619*1000</f>
        <v>172.136959928861</v>
      </c>
    </row>
    <row r="639" customFormat="false" ht="17.15" hidden="false" customHeight="false" outlineLevel="0" collapsed="false">
      <c r="A639" s="6" t="s">
        <v>478</v>
      </c>
    </row>
    <row r="640" customFormat="false" ht="17.15" hidden="false" customHeight="false" outlineLevel="0" collapsed="false">
      <c r="A640" s="4" t="s">
        <v>479</v>
      </c>
      <c r="B640" s="0" t="s">
        <v>49</v>
      </c>
      <c r="D640" s="14" t="n">
        <f aca="false">a26_gp/D634-d_lc*D636</f>
        <v>0.302821503074929</v>
      </c>
      <c r="H640" s="8" t="s">
        <v>480</v>
      </c>
    </row>
    <row r="641" customFormat="false" ht="15" hidden="false" customHeight="false" outlineLevel="0" collapsed="false">
      <c r="A641" s="4" t="s">
        <v>357</v>
      </c>
      <c r="B641" s="0" t="s">
        <v>189</v>
      </c>
      <c r="C641" s="19" t="n">
        <f aca="false">a25_gp</f>
        <v>36.034</v>
      </c>
      <c r="D641" s="19" t="n">
        <f aca="false">a26_gp</f>
        <v>72.5193552</v>
      </c>
      <c r="E641" s="19" t="n">
        <f aca="false">$D$640*E634+d_lc*E627</f>
        <v>109.419792599731</v>
      </c>
      <c r="F641" s="19" t="n">
        <f aca="false">$D$640*F634+d_lc*F627</f>
        <v>139.260023511087</v>
      </c>
      <c r="G641" s="19" t="n">
        <f aca="false">$D$640*G634+d_lc*G627</f>
        <v>153.340725116188</v>
      </c>
    </row>
    <row r="642" customFormat="false" ht="15" hidden="false" customHeight="false" outlineLevel="0" collapsed="false">
      <c r="A642" s="4" t="s">
        <v>360</v>
      </c>
      <c r="B642" s="0" t="s">
        <v>49</v>
      </c>
      <c r="C642" s="14" t="n">
        <f aca="false">C641/C634</f>
        <v>0.258051117524474</v>
      </c>
      <c r="D642" s="14" t="n">
        <f aca="false">D641/D634</f>
        <v>0.322021503074929</v>
      </c>
      <c r="E642" s="14" t="n">
        <f aca="false">E641/E634</f>
        <v>0.330895510422332</v>
      </c>
      <c r="F642" s="14" t="n">
        <f aca="false">F641/F634</f>
        <v>0.335613812646862</v>
      </c>
      <c r="G642" s="14" t="n">
        <f aca="false">G641/G634</f>
        <v>0.336874319515566</v>
      </c>
    </row>
    <row r="643" customFormat="false" ht="15" hidden="false" customHeight="false" outlineLevel="0" collapsed="false">
      <c r="A643" s="4" t="s">
        <v>481</v>
      </c>
      <c r="B643" s="0" t="s">
        <v>189</v>
      </c>
      <c r="C643" s="19" t="n">
        <f aca="false">a25_opx</f>
        <v>8.4832253</v>
      </c>
      <c r="D643" s="19" t="n">
        <f aca="false">a26_opx</f>
        <v>11.7048599</v>
      </c>
      <c r="E643" s="19" t="n">
        <f aca="false">D643*(1+MAX(0,phi*E635))</f>
        <v>15.5424159855636</v>
      </c>
      <c r="F643" s="19" t="n">
        <f aca="false">E643*(1+MAX(0,phi*F635))</f>
        <v>18.3147849616004</v>
      </c>
      <c r="G643" s="19" t="n">
        <f aca="false">F643*(1+MAX(0,phi*G635))</f>
        <v>19.5582404067238</v>
      </c>
    </row>
    <row r="644" customFormat="false" ht="15" hidden="false" customHeight="false" outlineLevel="0" collapsed="false">
      <c r="A644" s="4" t="s">
        <v>362</v>
      </c>
      <c r="B644" s="0" t="s">
        <v>189</v>
      </c>
      <c r="C644" s="19" t="n">
        <f aca="false">C643</f>
        <v>8.4832253</v>
      </c>
      <c r="D644" s="19" t="n">
        <f aca="false">D643</f>
        <v>11.7048599</v>
      </c>
      <c r="E644" s="19" t="n">
        <f aca="false">E643+opx_adj_hi*E634</f>
        <v>22.1559715735543</v>
      </c>
      <c r="F644" s="19" t="n">
        <f aca="false">F643+opx_adj_hi*F634</f>
        <v>26.6136104725527</v>
      </c>
      <c r="G644" s="19" t="n">
        <f aca="false">G643+opx_adj_hi*G634</f>
        <v>28.6619753151428</v>
      </c>
    </row>
    <row r="645" customFormat="false" ht="15" hidden="false" customHeight="false" outlineLevel="0" collapsed="false">
      <c r="A645" s="4" t="s">
        <v>364</v>
      </c>
      <c r="B645" s="0" t="s">
        <v>189</v>
      </c>
      <c r="C645" s="19" t="n">
        <f aca="false">C641-C644</f>
        <v>27.5507747</v>
      </c>
      <c r="D645" s="19" t="n">
        <f aca="false">D641-D644</f>
        <v>60.8144953</v>
      </c>
      <c r="E645" s="19" t="n">
        <f aca="false">E641-E644</f>
        <v>87.2638210261771</v>
      </c>
      <c r="F645" s="19" t="n">
        <f aca="false">F641-F644</f>
        <v>112.646413038534</v>
      </c>
      <c r="G645" s="19" t="n">
        <f aca="false">G641-G644</f>
        <v>124.678749801045</v>
      </c>
    </row>
    <row r="646" customFormat="false" ht="15" hidden="false" customHeight="false" outlineLevel="0" collapsed="false">
      <c r="A646" s="4" t="s">
        <v>367</v>
      </c>
      <c r="B646" s="0" t="s">
        <v>49</v>
      </c>
      <c r="C646" s="14" t="n">
        <f aca="false">C645/C634</f>
        <v>0.1973</v>
      </c>
      <c r="D646" s="14" t="n">
        <f aca="false">D645/D634</f>
        <v>0.27004618465291</v>
      </c>
      <c r="E646" s="14" t="n">
        <f aca="false">E645/E634</f>
        <v>0.263893815860978</v>
      </c>
      <c r="F646" s="14" t="n">
        <f aca="false">F645/F634</f>
        <v>0.27147555492008</v>
      </c>
      <c r="G646" s="14" t="n">
        <f aca="false">G645/G634</f>
        <v>0.273906810897457</v>
      </c>
    </row>
    <row r="647" customFormat="false" ht="15" hidden="false" customHeight="false" outlineLevel="0" collapsed="false">
      <c r="A647" s="4" t="s">
        <v>369</v>
      </c>
      <c r="B647" s="0" t="s">
        <v>189</v>
      </c>
      <c r="C647" s="19" t="n">
        <f aca="false">a25_nop</f>
        <v>1.23179436863779</v>
      </c>
      <c r="D647" s="19" t="n">
        <f aca="false">a26_nop</f>
        <v>0.8186111</v>
      </c>
      <c r="E647" s="19" t="n">
        <f aca="false">nop_f</f>
        <v>1</v>
      </c>
      <c r="F647" s="19" t="n">
        <f aca="false">nop_f</f>
        <v>1</v>
      </c>
      <c r="G647" s="19" t="n">
        <f aca="false">nop_f</f>
        <v>1</v>
      </c>
    </row>
    <row r="648" customFormat="false" ht="17.15" hidden="false" customHeight="false" outlineLevel="0" collapsed="false">
      <c r="A648" s="4" t="s">
        <v>232</v>
      </c>
      <c r="B648" s="0" t="s">
        <v>49</v>
      </c>
      <c r="C648" s="14" t="n">
        <f aca="false">a25_ni/(a25_oi+a25_nop)</f>
        <v>0.666583999303438</v>
      </c>
      <c r="D648" s="14" t="n">
        <f aca="false">a26_ni/(a26_oi+a26_nop)</f>
        <v>0.674837141220258</v>
      </c>
      <c r="E648" s="14" t="n">
        <f aca="false">nir_f</f>
        <v>0.675</v>
      </c>
      <c r="F648" s="14" t="n">
        <f aca="false">nir_f</f>
        <v>0.675</v>
      </c>
      <c r="G648" s="14" t="n">
        <f aca="false">nir_f</f>
        <v>0.675</v>
      </c>
    </row>
    <row r="649" customFormat="false" ht="15" hidden="false" customHeight="false" outlineLevel="0" collapsed="false">
      <c r="A649" s="4" t="s">
        <v>373</v>
      </c>
      <c r="B649" s="0" t="s">
        <v>189</v>
      </c>
      <c r="C649" s="19" t="n">
        <f aca="false">a25_ni</f>
        <v>19.186</v>
      </c>
      <c r="D649" s="19" t="n">
        <f aca="false">a26_ni</f>
        <v>41.5923093275</v>
      </c>
      <c r="E649" s="19" t="n">
        <f aca="false">(E645+E647)*E648</f>
        <v>59.5780791926696</v>
      </c>
      <c r="F649" s="19" t="n">
        <f aca="false">(F645+F647)*F648</f>
        <v>76.7113288010106</v>
      </c>
      <c r="G649" s="19" t="n">
        <f aca="false">(G645+G647)*G648</f>
        <v>84.8331561157053</v>
      </c>
    </row>
    <row r="650" customFormat="false" ht="15" hidden="false" customHeight="false" outlineLevel="0" collapsed="false">
      <c r="A650" s="4" t="s">
        <v>482</v>
      </c>
      <c r="B650" s="4" t="s">
        <v>215</v>
      </c>
      <c r="C650" s="22" t="n">
        <f aca="false">a25_sh</f>
        <v>0.390197274761033</v>
      </c>
      <c r="D650" s="22" t="n">
        <f aca="false">a26_sh</f>
        <v>0.392523574315222</v>
      </c>
      <c r="E650" s="22" t="n">
        <f aca="false">D650*(1+sh_g)</f>
        <v>0.392523574315222</v>
      </c>
      <c r="F650" s="22" t="n">
        <f aca="false">E650*(1+sh_g)</f>
        <v>0.392523574315222</v>
      </c>
      <c r="G650" s="22" t="n">
        <f aca="false">F650*(1+sh_g)</f>
        <v>0.392523574315222</v>
      </c>
    </row>
    <row r="651" customFormat="false" ht="15" hidden="false" customHeight="false" outlineLevel="0" collapsed="false">
      <c r="A651" s="0" t="s">
        <v>378</v>
      </c>
      <c r="B651" s="0" t="s">
        <v>252</v>
      </c>
      <c r="C651" s="20" t="n">
        <f aca="false">C649/C650</f>
        <v>49.17</v>
      </c>
      <c r="D651" s="20" t="n">
        <f aca="false">D649/D650</f>
        <v>105.961302834002</v>
      </c>
      <c r="E651" s="20" t="n">
        <f aca="false">E649/E650</f>
        <v>151.782168234371</v>
      </c>
      <c r="F651" s="20" t="n">
        <f aca="false">F649/F650</f>
        <v>195.431137950982</v>
      </c>
      <c r="G651" s="20" t="n">
        <f aca="false">G649/G650</f>
        <v>216.122448858521</v>
      </c>
    </row>
    <row r="652" customFormat="false" ht="17.15" hidden="false" customHeight="false" outlineLevel="0" collapsed="false">
      <c r="A652" s="0" t="s">
        <v>483</v>
      </c>
      <c r="B652" s="0" t="s">
        <v>49</v>
      </c>
      <c r="D652" s="14" t="n">
        <f aca="false">D651/C651-1</f>
        <v>1.15499904075659</v>
      </c>
      <c r="E652" s="14" t="n">
        <f aca="false">E651/D651-1</f>
        <v>0.432430181347919</v>
      </c>
      <c r="F652" s="14" t="n">
        <f aca="false">F651/E651-1</f>
        <v>0.287576401262179</v>
      </c>
      <c r="G652" s="14" t="n">
        <f aca="false">G651/F651-1</f>
        <v>0.105875200464364</v>
      </c>
    </row>
    <row r="655" customFormat="false" ht="17.15" hidden="false" customHeight="false" outlineLevel="0" collapsed="false">
      <c r="A655" s="1" t="s">
        <v>804</v>
      </c>
    </row>
    <row r="656" customFormat="false" ht="17.15" hidden="false" customHeight="false" outlineLevel="0" collapsed="false">
      <c r="A656" s="5" t="s">
        <v>18</v>
      </c>
      <c r="B656" s="5" t="s">
        <v>19</v>
      </c>
      <c r="C656" s="11" t="s">
        <v>347</v>
      </c>
      <c r="D656" s="11" t="s">
        <v>436</v>
      </c>
      <c r="E656" s="11" t="s">
        <v>437</v>
      </c>
      <c r="F656" s="11" t="s">
        <v>438</v>
      </c>
      <c r="G656" s="11" t="s">
        <v>439</v>
      </c>
      <c r="H656" s="5" t="s">
        <v>412</v>
      </c>
    </row>
    <row r="657" customFormat="false" ht="17.15" hidden="false" customHeight="false" outlineLevel="0" collapsed="false">
      <c r="A657" s="6" t="s">
        <v>455</v>
      </c>
    </row>
    <row r="658" customFormat="false" ht="17.15" hidden="false" customHeight="false" outlineLevel="0" collapsed="false">
      <c r="A658" s="0" t="s">
        <v>456</v>
      </c>
      <c r="B658" s="0" t="s">
        <v>29</v>
      </c>
      <c r="D658" s="20" t="n">
        <f aca="false">itc_26*1</f>
        <v>781.872916666667</v>
      </c>
      <c r="E658" s="20" t="n">
        <f aca="false">itc_27*1*1</f>
        <v>1565.35</v>
      </c>
      <c r="F658" s="20" t="n">
        <f aca="false">itc_28*um28_A*1</f>
        <v>1984.26388888889</v>
      </c>
      <c r="G658" s="20" t="n">
        <f aca="false">itc_29*um29_A*1</f>
        <v>2260.39027777778</v>
      </c>
    </row>
    <row r="659" customFormat="false" ht="17.15" hidden="false" customHeight="false" outlineLevel="0" collapsed="false">
      <c r="A659" s="4" t="s">
        <v>457</v>
      </c>
      <c r="B659" s="0" t="s">
        <v>29</v>
      </c>
      <c r="D659" s="20" t="n">
        <f aca="false">itpg_gb*(1-vr26)+itpg_vr*vr26</f>
        <v>33.41403216</v>
      </c>
      <c r="E659" s="20" t="n">
        <f aca="false">itpg_vr</f>
        <v>37.586352</v>
      </c>
      <c r="F659" s="20" t="n">
        <f aca="false">itpg_vr</f>
        <v>37.586352</v>
      </c>
      <c r="G659" s="20" t="n">
        <f aca="false">itpg_vr</f>
        <v>37.586352</v>
      </c>
    </row>
    <row r="660" customFormat="false" ht="17.15" hidden="false" customHeight="false" outlineLevel="0" collapsed="false">
      <c r="A660" s="4" t="s">
        <v>458</v>
      </c>
      <c r="B660" s="0" t="s">
        <v>414</v>
      </c>
      <c r="D660" s="17" t="n">
        <f aca="false">D658/D659</f>
        <v>23.3995380420639</v>
      </c>
      <c r="E660" s="17" t="n">
        <f aca="false">E658/E659</f>
        <v>41.6467658260637</v>
      </c>
      <c r="F660" s="17" t="n">
        <f aca="false">F658/F659</f>
        <v>52.792138191248</v>
      </c>
      <c r="G660" s="17" t="n">
        <f aca="false">G658/G659</f>
        <v>60.1385917361116</v>
      </c>
    </row>
    <row r="661" customFormat="false" ht="17.15" hidden="false" customHeight="false" outlineLevel="0" collapsed="false">
      <c r="A661" s="4" t="s">
        <v>459</v>
      </c>
      <c r="B661" s="0" t="s">
        <v>49</v>
      </c>
      <c r="D661" s="14" t="n">
        <f aca="false">lpen_26</f>
        <v>0.55</v>
      </c>
      <c r="E661" s="14" t="n">
        <f aca="false">lpen_27</f>
        <v>0.75</v>
      </c>
      <c r="F661" s="14" t="n">
        <f aca="false">lpen_28</f>
        <v>0.85</v>
      </c>
      <c r="G661" s="14" t="n">
        <f aca="false">lpen_29</f>
        <v>0.9</v>
      </c>
    </row>
    <row r="662" customFormat="false" ht="17.15" hidden="false" customHeight="false" outlineLevel="0" collapsed="false">
      <c r="A662" s="4" t="s">
        <v>460</v>
      </c>
      <c r="B662" s="0" t="s">
        <v>419</v>
      </c>
      <c r="D662" s="18" t="n">
        <f aca="false">((1-vr26)*racks_gb*(cool_gb+mani)+vr26*racks_vr*(cool_vr+mani))/1000</f>
        <v>350.7208</v>
      </c>
      <c r="E662" s="18" t="n">
        <f aca="false">racks_vr*(cool_vr+mani)*lcadj_27/1000</f>
        <v>326.5912</v>
      </c>
      <c r="F662" s="18" t="n">
        <f aca="false">racks_vr*(cool_vr+mani)*lcadj_28/1000</f>
        <v>351.7136</v>
      </c>
      <c r="G662" s="18" t="n">
        <f aca="false">racks_vr*(cool_vr+mani)*lcadj_29/1000</f>
        <v>351.7136</v>
      </c>
      <c r="H662" s="4" t="s">
        <v>461</v>
      </c>
    </row>
    <row r="663" customFormat="false" ht="17.15" hidden="false" customHeight="false" outlineLevel="0" collapsed="false">
      <c r="A663" s="0" t="s">
        <v>462</v>
      </c>
      <c r="B663" s="0" t="s">
        <v>29</v>
      </c>
      <c r="D663" s="20" t="n">
        <f aca="false">D660*D661*D662/1000</f>
        <v>4.5136875859587</v>
      </c>
      <c r="E663" s="20" t="n">
        <f aca="false">E660*E661*E662/1000</f>
        <v>10.2011004204398</v>
      </c>
      <c r="F663" s="20" t="n">
        <f aca="false">F660*F661*F662/1000</f>
        <v>15.7825560287001</v>
      </c>
      <c r="G663" s="20" t="n">
        <f aca="false">G660*G661*G662/1000</f>
        <v>19.0364045385942</v>
      </c>
    </row>
    <row r="664" customFormat="false" ht="17.15" hidden="false" customHeight="false" outlineLevel="0" collapsed="false">
      <c r="A664" s="0" t="s">
        <v>463</v>
      </c>
      <c r="B664" s="0" t="s">
        <v>189</v>
      </c>
      <c r="D664" s="19" t="n">
        <f aca="false">D663*fx</f>
        <v>144.438002750678</v>
      </c>
      <c r="E664" s="19" t="n">
        <f aca="false">E663*fx</f>
        <v>326.435213454075</v>
      </c>
      <c r="F664" s="19" t="n">
        <f aca="false">F663*fx</f>
        <v>505.041792918404</v>
      </c>
      <c r="G664" s="19" t="n">
        <f aca="false">G663*fx</f>
        <v>609.164945235016</v>
      </c>
    </row>
    <row r="665" customFormat="false" ht="17.15" hidden="false" customHeight="false" outlineLevel="0" collapsed="false">
      <c r="A665" s="4" t="s">
        <v>464</v>
      </c>
      <c r="B665" s="0" t="s">
        <v>49</v>
      </c>
      <c r="D665" s="14" t="n">
        <f aca="false">a26_lcLL/D664</f>
        <v>0.436561685977092</v>
      </c>
      <c r="H665" s="8" t="s">
        <v>465</v>
      </c>
    </row>
    <row r="666" customFormat="false" ht="17.15" hidden="false" customHeight="false" outlineLevel="0" collapsed="false">
      <c r="A666" s="4" t="s">
        <v>466</v>
      </c>
      <c r="B666" s="0" t="s">
        <v>70</v>
      </c>
      <c r="D666" s="15" t="n">
        <f aca="false">1</f>
        <v>1</v>
      </c>
      <c r="E666" s="15" t="n">
        <f aca="false">rel_27</f>
        <v>0.95</v>
      </c>
      <c r="F666" s="15" t="n">
        <f aca="false">rel_28</f>
        <v>0.9</v>
      </c>
      <c r="G666" s="15" t="n">
        <f aca="false">rel_29</f>
        <v>0.85</v>
      </c>
    </row>
    <row r="667" customFormat="false" ht="15" hidden="false" customHeight="false" outlineLevel="0" collapsed="false">
      <c r="A667" s="4" t="s">
        <v>426</v>
      </c>
      <c r="B667" s="0" t="s">
        <v>49</v>
      </c>
      <c r="D667" s="14" t="n">
        <f aca="false">$D$665*D666</f>
        <v>0.436561685977092</v>
      </c>
      <c r="E667" s="14" t="n">
        <f aca="false">$D$665*E666</f>
        <v>0.414733601678237</v>
      </c>
      <c r="F667" s="14" t="n">
        <f aca="false">$D$665*F666</f>
        <v>0.392905517379383</v>
      </c>
      <c r="G667" s="14" t="n">
        <f aca="false">$D$665*G666</f>
        <v>0.371077433080528</v>
      </c>
    </row>
    <row r="668" customFormat="false" ht="15" hidden="false" customHeight="false" outlineLevel="0" collapsed="false">
      <c r="A668" s="4" t="s">
        <v>467</v>
      </c>
      <c r="B668" s="0" t="s">
        <v>189</v>
      </c>
      <c r="C668" s="19" t="n">
        <f aca="false">a25_lc</f>
        <v>20.94585</v>
      </c>
      <c r="D668" s="19" t="n">
        <f aca="false">D664*D667</f>
        <v>63.056098</v>
      </c>
      <c r="E668" s="19" t="n">
        <f aca="false">E664*E667</f>
        <v>135.383651790413</v>
      </c>
      <c r="F668" s="19" t="n">
        <f aca="false">F664*F667</f>
        <v>198.433706944816</v>
      </c>
      <c r="G668" s="19" t="n">
        <f aca="false">G664*G667</f>
        <v>226.04736420045</v>
      </c>
    </row>
    <row r="669" customFormat="false" ht="17.15" hidden="false" customHeight="false" outlineLevel="0" collapsed="false">
      <c r="A669" s="6" t="s">
        <v>468</v>
      </c>
    </row>
    <row r="670" customFormat="false" ht="17.15" hidden="false" customHeight="false" outlineLevel="0" collapsed="false">
      <c r="A670" s="0" t="s">
        <v>469</v>
      </c>
      <c r="B670" s="0" t="s">
        <v>470</v>
      </c>
      <c r="D670" s="22" t="n">
        <f aca="false">a26_airLL/D660</f>
        <v>2.25204795946271</v>
      </c>
    </row>
    <row r="671" customFormat="false" ht="17.15" hidden="false" customHeight="false" outlineLevel="0" collapsed="false">
      <c r="A671" s="0" t="s">
        <v>471</v>
      </c>
      <c r="B671" s="0" t="s">
        <v>70</v>
      </c>
      <c r="D671" s="15" t="n">
        <f aca="false">1</f>
        <v>1</v>
      </c>
      <c r="E671" s="15" t="n">
        <f aca="false">acr_27</f>
        <v>0.75</v>
      </c>
      <c r="F671" s="15" t="n">
        <f aca="false">acr_28</f>
        <v>0.65</v>
      </c>
      <c r="G671" s="15" t="n">
        <f aca="false">acr_29</f>
        <v>0.6</v>
      </c>
    </row>
    <row r="672" customFormat="false" ht="17.15" hidden="false" customHeight="false" outlineLevel="0" collapsed="false">
      <c r="A672" s="0" t="s">
        <v>472</v>
      </c>
      <c r="B672" s="0" t="s">
        <v>189</v>
      </c>
      <c r="C672" s="19" t="n">
        <f aca="false">a25_air</f>
        <v>30.999858</v>
      </c>
      <c r="D672" s="19" t="n">
        <f aca="false">D660*$D$670*D671</f>
        <v>52.6968819</v>
      </c>
      <c r="E672" s="19" t="n">
        <f aca="false">E660*$D$670*E671</f>
        <v>70.3428854976059</v>
      </c>
      <c r="F672" s="19" t="n">
        <f aca="false">F660*$D$670*F671</f>
        <v>77.2787776080276</v>
      </c>
      <c r="G672" s="19" t="n">
        <f aca="false">G660*$D$670*G671</f>
        <v>81.2609956825625</v>
      </c>
    </row>
    <row r="673" customFormat="false" ht="15" hidden="false" customHeight="false" outlineLevel="0" collapsed="false">
      <c r="A673" s="4" t="s">
        <v>473</v>
      </c>
      <c r="B673" s="0" t="s">
        <v>189</v>
      </c>
      <c r="C673" s="19" t="n">
        <f aca="false">a25_gen</f>
        <v>20.666572</v>
      </c>
      <c r="D673" s="19" t="n">
        <f aca="false">a26_genLL</f>
        <v>35.1312546</v>
      </c>
      <c r="E673" s="19" t="n">
        <f aca="false">D673*(1+g_gen_27)</f>
        <v>37.941754968</v>
      </c>
      <c r="F673" s="19" t="n">
        <f aca="false">E673*(1+g_gen_28)</f>
        <v>40.21826026608</v>
      </c>
      <c r="G673" s="19" t="n">
        <f aca="false">F673*(1+g_gen_29)</f>
        <v>42.229173279384</v>
      </c>
    </row>
    <row r="674" customFormat="false" ht="17.15" hidden="false" customHeight="false" outlineLevel="0" collapsed="false">
      <c r="A674" s="4" t="s">
        <v>474</v>
      </c>
      <c r="B674" s="0" t="s">
        <v>189</v>
      </c>
      <c r="C674" s="19" t="n">
        <f aca="false">a25_nai</f>
        <v>67.02672</v>
      </c>
      <c r="D674" s="19" t="n">
        <f aca="false">a26_nai</f>
        <v>74.3161155</v>
      </c>
      <c r="E674" s="19" t="n">
        <f aca="false">D674*(1+g_nai_27)</f>
        <v>78.77508243</v>
      </c>
      <c r="F674" s="19" t="n">
        <f aca="false">E674*(1+g_nai_28)</f>
        <v>82.7138365515</v>
      </c>
      <c r="G674" s="19" t="n">
        <f aca="false">F674*(1+g_nai_29)</f>
        <v>86.02239001356</v>
      </c>
    </row>
    <row r="675" customFormat="false" ht="15" hidden="false" customHeight="false" outlineLevel="0" collapsed="false">
      <c r="A675" s="4" t="s">
        <v>353</v>
      </c>
      <c r="B675" s="0" t="s">
        <v>189</v>
      </c>
      <c r="C675" s="19" t="n">
        <f aca="false">C668+C672+C673+C674</f>
        <v>139.639</v>
      </c>
      <c r="D675" s="19" t="n">
        <f aca="false">D668+D672+D673+D674</f>
        <v>225.20035</v>
      </c>
      <c r="E675" s="19" t="n">
        <f aca="false">E668+E672+E673+E674</f>
        <v>322.443374686019</v>
      </c>
      <c r="F675" s="19" t="n">
        <f aca="false">F668+F672+F673+F674</f>
        <v>398.644581370424</v>
      </c>
      <c r="G675" s="19" t="n">
        <f aca="false">G668+G672+G673+G674</f>
        <v>435.559923175956</v>
      </c>
    </row>
    <row r="676" customFormat="false" ht="15" hidden="false" customHeight="false" outlineLevel="0" collapsed="false">
      <c r="A676" s="4" t="s">
        <v>475</v>
      </c>
      <c r="B676" s="0" t="s">
        <v>49</v>
      </c>
      <c r="D676" s="14" t="n">
        <f aca="false">D675/C675-1</f>
        <v>0.612732474451979</v>
      </c>
      <c r="E676" s="14" t="n">
        <f aca="false">E675/D675-1</f>
        <v>0.431806720931023</v>
      </c>
      <c r="F676" s="14" t="n">
        <f aca="false">F675/E675-1</f>
        <v>0.236324305805963</v>
      </c>
      <c r="G676" s="14" t="n">
        <f aca="false">G675/F675-1</f>
        <v>0.092602141182073</v>
      </c>
    </row>
    <row r="677" customFormat="false" ht="17.15" hidden="false" customHeight="false" outlineLevel="0" collapsed="false">
      <c r="A677" s="4" t="s">
        <v>476</v>
      </c>
      <c r="B677" s="0" t="s">
        <v>49</v>
      </c>
      <c r="C677" s="14" t="n">
        <f aca="false">C668/C675</f>
        <v>0.15</v>
      </c>
      <c r="D677" s="14" t="n">
        <f aca="false">D668/D675</f>
        <v>0.28</v>
      </c>
      <c r="E677" s="14" t="n">
        <f aca="false">E668/E675</f>
        <v>0.419867990533977</v>
      </c>
      <c r="F677" s="14" t="n">
        <f aca="false">F668/F675</f>
        <v>0.497770987536465</v>
      </c>
      <c r="G677" s="14" t="n">
        <f aca="false">G668/G675</f>
        <v>0.51898109117154</v>
      </c>
    </row>
    <row r="678" customFormat="false" ht="17.15" hidden="false" customHeight="false" outlineLevel="0" collapsed="false">
      <c r="A678" s="0" t="s">
        <v>477</v>
      </c>
      <c r="B678" s="0" t="s">
        <v>49</v>
      </c>
      <c r="C678" s="14" t="n">
        <f aca="false">(C668+C672)/C675</f>
        <v>0.372</v>
      </c>
      <c r="D678" s="14" t="n">
        <f aca="false">(D668+D672)/D675</f>
        <v>0.514</v>
      </c>
      <c r="E678" s="14" t="n">
        <f aca="false">(E668+E672)/E675</f>
        <v>0.638023769253582</v>
      </c>
      <c r="F678" s="14" t="n">
        <f aca="false">(F668+F672)/F675</f>
        <v>0.69162481427698</v>
      </c>
      <c r="G678" s="14" t="n">
        <f aca="false">(G668+G672)/G675</f>
        <v>0.705547832872738</v>
      </c>
    </row>
    <row r="679" customFormat="false" ht="17.15" hidden="false" customHeight="false" outlineLevel="0" collapsed="false">
      <c r="A679" s="4" t="s">
        <v>431</v>
      </c>
      <c r="B679" s="0" t="s">
        <v>419</v>
      </c>
      <c r="D679" s="18" t="n">
        <f aca="false">(D668+D672)/fx/D660*1000</f>
        <v>154.587693798589</v>
      </c>
      <c r="E679" s="18" t="n">
        <f aca="false">(E668+E672)/fx/E660*1000</f>
        <v>154.36863253922</v>
      </c>
      <c r="F679" s="18" t="n">
        <f aca="false">(F668+F672)/fx/F660*1000</f>
        <v>163.206406057347</v>
      </c>
      <c r="G679" s="18" t="n">
        <f aca="false">(G668+G672)/fx/G660*1000</f>
        <v>159.687581120686</v>
      </c>
    </row>
    <row r="680" customFormat="false" ht="17.15" hidden="false" customHeight="false" outlineLevel="0" collapsed="false">
      <c r="A680" s="6" t="s">
        <v>478</v>
      </c>
    </row>
    <row r="681" customFormat="false" ht="17.15" hidden="false" customHeight="false" outlineLevel="0" collapsed="false">
      <c r="A681" s="4" t="s">
        <v>479</v>
      </c>
      <c r="B681" s="0" t="s">
        <v>49</v>
      </c>
      <c r="D681" s="14" t="n">
        <f aca="false">a26_gp/D675-d_lc*D677</f>
        <v>0.305221503074929</v>
      </c>
      <c r="H681" s="8" t="s">
        <v>480</v>
      </c>
    </row>
    <row r="682" customFormat="false" ht="15" hidden="false" customHeight="false" outlineLevel="0" collapsed="false">
      <c r="A682" s="4" t="s">
        <v>357</v>
      </c>
      <c r="B682" s="0" t="s">
        <v>189</v>
      </c>
      <c r="C682" s="19" t="n">
        <f aca="false">a25_gp</f>
        <v>36.034</v>
      </c>
      <c r="D682" s="19" t="n">
        <f aca="false">a26_gp</f>
        <v>72.5193552</v>
      </c>
      <c r="E682" s="19" t="n">
        <f aca="false">$D$681*E675+d_lc*E668</f>
        <v>106.539670585644</v>
      </c>
      <c r="F682" s="19" t="n">
        <f aca="false">$D$681*F675+d_lc*F668</f>
        <v>133.580920735246</v>
      </c>
      <c r="G682" s="19" t="n">
        <f aca="false">$D$681*G675+d_lc*G668</f>
        <v>146.505096282993</v>
      </c>
    </row>
    <row r="683" customFormat="false" ht="15" hidden="false" customHeight="false" outlineLevel="0" collapsed="false">
      <c r="A683" s="4" t="s">
        <v>360</v>
      </c>
      <c r="B683" s="0" t="s">
        <v>49</v>
      </c>
      <c r="C683" s="14" t="n">
        <f aca="false">C682/C675</f>
        <v>0.258051117524474</v>
      </c>
      <c r="D683" s="14" t="n">
        <f aca="false">D682/D675</f>
        <v>0.322021503074929</v>
      </c>
      <c r="E683" s="14" t="n">
        <f aca="false">E682/E675</f>
        <v>0.330413582506967</v>
      </c>
      <c r="F683" s="14" t="n">
        <f aca="false">F682/F675</f>
        <v>0.335087762327117</v>
      </c>
      <c r="G683" s="14" t="n">
        <f aca="false">G682/G675</f>
        <v>0.336360368545221</v>
      </c>
    </row>
    <row r="684" customFormat="false" ht="15" hidden="false" customHeight="false" outlineLevel="0" collapsed="false">
      <c r="A684" s="4" t="s">
        <v>481</v>
      </c>
      <c r="B684" s="0" t="s">
        <v>189</v>
      </c>
      <c r="C684" s="19" t="n">
        <f aca="false">a25_opx</f>
        <v>8.4832253</v>
      </c>
      <c r="D684" s="19" t="n">
        <f aca="false">a26_opx</f>
        <v>11.7048599</v>
      </c>
      <c r="E684" s="19" t="n">
        <f aca="false">D684*(1+MAX(0,phi*E676))</f>
        <v>15.2428259206632</v>
      </c>
      <c r="F684" s="19" t="n">
        <f aca="false">E684*(1+MAX(0,phi*F676))</f>
        <v>17.7644010986185</v>
      </c>
      <c r="G684" s="19" t="n">
        <f aca="false">F684*(1+MAX(0,phi*G676))</f>
        <v>18.915916203603</v>
      </c>
    </row>
    <row r="685" customFormat="false" ht="15" hidden="false" customHeight="false" outlineLevel="0" collapsed="false">
      <c r="A685" s="4" t="s">
        <v>362</v>
      </c>
      <c r="B685" s="0" t="s">
        <v>189</v>
      </c>
      <c r="C685" s="19" t="n">
        <f aca="false">C684</f>
        <v>8.4832253</v>
      </c>
      <c r="D685" s="19" t="n">
        <f aca="false">D684</f>
        <v>11.7048599</v>
      </c>
      <c r="E685" s="19" t="n">
        <f aca="false">E684+0*E675</f>
        <v>15.2428259206632</v>
      </c>
      <c r="F685" s="19" t="n">
        <f aca="false">F684+0*F675</f>
        <v>17.7644010986185</v>
      </c>
      <c r="G685" s="19" t="n">
        <f aca="false">G684+0*G675</f>
        <v>18.915916203603</v>
      </c>
    </row>
    <row r="686" customFormat="false" ht="15" hidden="false" customHeight="false" outlineLevel="0" collapsed="false">
      <c r="A686" s="4" t="s">
        <v>364</v>
      </c>
      <c r="B686" s="0" t="s">
        <v>189</v>
      </c>
      <c r="C686" s="19" t="n">
        <f aca="false">C682-C685</f>
        <v>27.5507747</v>
      </c>
      <c r="D686" s="19" t="n">
        <f aca="false">D682-D685</f>
        <v>60.8144953</v>
      </c>
      <c r="E686" s="19" t="n">
        <f aca="false">E682-E685</f>
        <v>91.2968446649806</v>
      </c>
      <c r="F686" s="19" t="n">
        <f aca="false">F682-F685</f>
        <v>115.816519636627</v>
      </c>
      <c r="G686" s="19" t="n">
        <f aca="false">G682-G685</f>
        <v>127.58918007939</v>
      </c>
    </row>
    <row r="687" customFormat="false" ht="15" hidden="false" customHeight="false" outlineLevel="0" collapsed="false">
      <c r="A687" s="4" t="s">
        <v>367</v>
      </c>
      <c r="B687" s="0" t="s">
        <v>49</v>
      </c>
      <c r="C687" s="14" t="n">
        <f aca="false">C686/C675</f>
        <v>0.1973</v>
      </c>
      <c r="D687" s="14" t="n">
        <f aca="false">D686/D675</f>
        <v>0.27004618465291</v>
      </c>
      <c r="E687" s="14" t="n">
        <f aca="false">E686/E675</f>
        <v>0.283140705725095</v>
      </c>
      <c r="F687" s="14" t="n">
        <f aca="false">F686/F675</f>
        <v>0.290525759157402</v>
      </c>
      <c r="G687" s="14" t="n">
        <f aca="false">G686/G675</f>
        <v>0.292931404590791</v>
      </c>
    </row>
    <row r="688" customFormat="false" ht="15" hidden="false" customHeight="false" outlineLevel="0" collapsed="false">
      <c r="A688" s="4" t="s">
        <v>369</v>
      </c>
      <c r="B688" s="0" t="s">
        <v>189</v>
      </c>
      <c r="C688" s="19" t="n">
        <f aca="false">a25_nop</f>
        <v>1.23179436863779</v>
      </c>
      <c r="D688" s="19" t="n">
        <f aca="false">a26_nop</f>
        <v>0.8186111</v>
      </c>
      <c r="E688" s="19" t="n">
        <f aca="false">nop_f</f>
        <v>1</v>
      </c>
      <c r="F688" s="19" t="n">
        <f aca="false">nop_f</f>
        <v>1</v>
      </c>
      <c r="G688" s="19" t="n">
        <f aca="false">nop_f</f>
        <v>1</v>
      </c>
    </row>
    <row r="689" customFormat="false" ht="17.15" hidden="false" customHeight="false" outlineLevel="0" collapsed="false">
      <c r="A689" s="4" t="s">
        <v>232</v>
      </c>
      <c r="B689" s="0" t="s">
        <v>49</v>
      </c>
      <c r="C689" s="14" t="n">
        <f aca="false">a25_ni/(a25_oi+a25_nop)</f>
        <v>0.666583999303438</v>
      </c>
      <c r="D689" s="14" t="n">
        <f aca="false">a26_ni/(a26_oi+a26_nop)</f>
        <v>0.674837141220258</v>
      </c>
      <c r="E689" s="14" t="n">
        <f aca="false">nir_f</f>
        <v>0.675</v>
      </c>
      <c r="F689" s="14" t="n">
        <f aca="false">nir_f</f>
        <v>0.675</v>
      </c>
      <c r="G689" s="14" t="n">
        <f aca="false">nir_f</f>
        <v>0.675</v>
      </c>
    </row>
    <row r="690" customFormat="false" ht="15" hidden="false" customHeight="false" outlineLevel="0" collapsed="false">
      <c r="A690" s="4" t="s">
        <v>373</v>
      </c>
      <c r="B690" s="0" t="s">
        <v>189</v>
      </c>
      <c r="C690" s="19" t="n">
        <f aca="false">a25_ni</f>
        <v>19.186</v>
      </c>
      <c r="D690" s="19" t="n">
        <f aca="false">a26_ni</f>
        <v>41.5923093275</v>
      </c>
      <c r="E690" s="19" t="n">
        <f aca="false">(E686+E688)*E689</f>
        <v>62.3003701488619</v>
      </c>
      <c r="F690" s="19" t="n">
        <f aca="false">(F686+F688)*F689</f>
        <v>78.8511507547233</v>
      </c>
      <c r="G690" s="19" t="n">
        <f aca="false">(G686+G688)*G689</f>
        <v>86.7976965535882</v>
      </c>
    </row>
    <row r="691" customFormat="false" ht="15" hidden="false" customHeight="false" outlineLevel="0" collapsed="false">
      <c r="A691" s="4" t="s">
        <v>482</v>
      </c>
      <c r="B691" s="4" t="s">
        <v>215</v>
      </c>
      <c r="C691" s="22" t="n">
        <f aca="false">a25_sh</f>
        <v>0.390197274761033</v>
      </c>
      <c r="D691" s="22" t="n">
        <f aca="false">a26_sh</f>
        <v>0.392523574315222</v>
      </c>
      <c r="E691" s="22" t="n">
        <f aca="false">D691*(1+sh_g)</f>
        <v>0.392523574315222</v>
      </c>
      <c r="F691" s="22" t="n">
        <f aca="false">E691*(1+sh_g)</f>
        <v>0.392523574315222</v>
      </c>
      <c r="G691" s="22" t="n">
        <f aca="false">F691*(1+sh_g)</f>
        <v>0.392523574315222</v>
      </c>
    </row>
    <row r="692" customFormat="false" ht="15" hidden="false" customHeight="false" outlineLevel="0" collapsed="false">
      <c r="A692" s="0" t="s">
        <v>378</v>
      </c>
      <c r="B692" s="0" t="s">
        <v>252</v>
      </c>
      <c r="C692" s="20" t="n">
        <f aca="false">C690/C691</f>
        <v>49.17</v>
      </c>
      <c r="D692" s="20" t="n">
        <f aca="false">D690/D691</f>
        <v>105.961302834002</v>
      </c>
      <c r="E692" s="20" t="n">
        <f aca="false">E690/E691</f>
        <v>158.717524820129</v>
      </c>
      <c r="F692" s="20" t="n">
        <f aca="false">F690/F691</f>
        <v>200.88258620462</v>
      </c>
      <c r="G692" s="20" t="n">
        <f aca="false">G690/G691</f>
        <v>221.127346822446</v>
      </c>
    </row>
    <row r="693" customFormat="false" ht="17.15" hidden="false" customHeight="false" outlineLevel="0" collapsed="false">
      <c r="A693" s="0" t="s">
        <v>483</v>
      </c>
      <c r="B693" s="0" t="s">
        <v>49</v>
      </c>
      <c r="D693" s="14" t="n">
        <f aca="false">D692/C692-1</f>
        <v>1.15499904075659</v>
      </c>
      <c r="E693" s="14" t="n">
        <f aca="false">E692/D692-1</f>
        <v>0.497881967993302</v>
      </c>
      <c r="F693" s="14" t="n">
        <f aca="false">F692/E692-1</f>
        <v>0.265661031649003</v>
      </c>
      <c r="G693" s="14" t="n">
        <f aca="false">G692/F692-1</f>
        <v>0.100779071995838</v>
      </c>
    </row>
    <row r="696" customFormat="false" ht="17.15" hidden="false" customHeight="false" outlineLevel="0" collapsed="false">
      <c r="A696" s="1" t="s">
        <v>805</v>
      </c>
    </row>
    <row r="697" customFormat="false" ht="17.15" hidden="false" customHeight="false" outlineLevel="0" collapsed="false">
      <c r="A697" s="5" t="s">
        <v>18</v>
      </c>
      <c r="B697" s="5" t="s">
        <v>19</v>
      </c>
      <c r="C697" s="11" t="s">
        <v>347</v>
      </c>
      <c r="D697" s="11" t="s">
        <v>436</v>
      </c>
      <c r="E697" s="11" t="s">
        <v>437</v>
      </c>
      <c r="F697" s="11" t="s">
        <v>438</v>
      </c>
      <c r="G697" s="11" t="s">
        <v>439</v>
      </c>
      <c r="H697" s="5" t="s">
        <v>412</v>
      </c>
    </row>
    <row r="698" customFormat="false" ht="17.15" hidden="false" customHeight="false" outlineLevel="0" collapsed="false">
      <c r="A698" s="6" t="s">
        <v>455</v>
      </c>
    </row>
    <row r="699" customFormat="false" ht="17.15" hidden="false" customHeight="false" outlineLevel="0" collapsed="false">
      <c r="A699" s="0" t="s">
        <v>456</v>
      </c>
      <c r="B699" s="0" t="s">
        <v>29</v>
      </c>
      <c r="D699" s="20" t="n">
        <f aca="false">itc_26*1</f>
        <v>781.872916666667</v>
      </c>
      <c r="E699" s="20" t="n">
        <f aca="false">itc_27*1*1</f>
        <v>1565.35</v>
      </c>
      <c r="F699" s="20" t="n">
        <f aca="false">itc_28*um28_A*1</f>
        <v>1984.26388888889</v>
      </c>
      <c r="G699" s="20" t="n">
        <f aca="false">itc_29*um29_A*1</f>
        <v>2260.39027777778</v>
      </c>
    </row>
    <row r="700" customFormat="false" ht="17.15" hidden="false" customHeight="false" outlineLevel="0" collapsed="false">
      <c r="A700" s="4" t="s">
        <v>457</v>
      </c>
      <c r="B700" s="0" t="s">
        <v>29</v>
      </c>
      <c r="D700" s="20" t="n">
        <f aca="false">itpg_gb*(1-vr26)+itpg_vr*vr26</f>
        <v>33.41403216</v>
      </c>
      <c r="E700" s="20" t="n">
        <f aca="false">itpg_vr</f>
        <v>37.586352</v>
      </c>
      <c r="F700" s="20" t="n">
        <f aca="false">itpg_vr</f>
        <v>37.586352</v>
      </c>
      <c r="G700" s="20" t="n">
        <f aca="false">itpg_vr</f>
        <v>37.586352</v>
      </c>
    </row>
    <row r="701" customFormat="false" ht="17.15" hidden="false" customHeight="false" outlineLevel="0" collapsed="false">
      <c r="A701" s="4" t="s">
        <v>458</v>
      </c>
      <c r="B701" s="0" t="s">
        <v>414</v>
      </c>
      <c r="D701" s="17" t="n">
        <f aca="false">D699/D700</f>
        <v>23.3995380420639</v>
      </c>
      <c r="E701" s="17" t="n">
        <f aca="false">E699/E700</f>
        <v>41.6467658260637</v>
      </c>
      <c r="F701" s="17" t="n">
        <f aca="false">F699/F700</f>
        <v>52.792138191248</v>
      </c>
      <c r="G701" s="17" t="n">
        <f aca="false">G699/G700</f>
        <v>60.1385917361116</v>
      </c>
    </row>
    <row r="702" customFormat="false" ht="17.15" hidden="false" customHeight="false" outlineLevel="0" collapsed="false">
      <c r="A702" s="4" t="s">
        <v>459</v>
      </c>
      <c r="B702" s="0" t="s">
        <v>49</v>
      </c>
      <c r="D702" s="14" t="n">
        <f aca="false">lpen_26</f>
        <v>0.55</v>
      </c>
      <c r="E702" s="14" t="n">
        <f aca="false">lpen_27</f>
        <v>0.75</v>
      </c>
      <c r="F702" s="14" t="n">
        <f aca="false">lpen_28</f>
        <v>0.85</v>
      </c>
      <c r="G702" s="14" t="n">
        <f aca="false">lpen_29</f>
        <v>0.9</v>
      </c>
    </row>
    <row r="703" customFormat="false" ht="17.15" hidden="false" customHeight="false" outlineLevel="0" collapsed="false">
      <c r="A703" s="4" t="s">
        <v>460</v>
      </c>
      <c r="B703" s="0" t="s">
        <v>419</v>
      </c>
      <c r="D703" s="18" t="n">
        <f aca="false">((1-vr26)*racks_gb*(cool_gb+mani)+vr26*racks_vr*(cool_vr+mani))/1000</f>
        <v>350.7208</v>
      </c>
      <c r="E703" s="18" t="n">
        <f aca="false">racks_vr*(cool_vr+mani)*lcadj_27/1000</f>
        <v>326.5912</v>
      </c>
      <c r="F703" s="18" t="n">
        <f aca="false">racks_vr*(cool_vr+mani)*lcadj_28/1000</f>
        <v>351.7136</v>
      </c>
      <c r="G703" s="18" t="n">
        <f aca="false">racks_vr*(cool_vr+mani)*lcadj_29/1000</f>
        <v>351.7136</v>
      </c>
      <c r="H703" s="4" t="s">
        <v>461</v>
      </c>
    </row>
    <row r="704" customFormat="false" ht="17.15" hidden="false" customHeight="false" outlineLevel="0" collapsed="false">
      <c r="A704" s="0" t="s">
        <v>462</v>
      </c>
      <c r="B704" s="0" t="s">
        <v>29</v>
      </c>
      <c r="D704" s="20" t="n">
        <f aca="false">D701*D702*D703/1000</f>
        <v>4.5136875859587</v>
      </c>
      <c r="E704" s="20" t="n">
        <f aca="false">E701*E702*E703/1000</f>
        <v>10.2011004204398</v>
      </c>
      <c r="F704" s="20" t="n">
        <f aca="false">F701*F702*F703/1000</f>
        <v>15.7825560287001</v>
      </c>
      <c r="G704" s="20" t="n">
        <f aca="false">G701*G702*G703/1000</f>
        <v>19.0364045385942</v>
      </c>
    </row>
    <row r="705" customFormat="false" ht="17.15" hidden="false" customHeight="false" outlineLevel="0" collapsed="false">
      <c r="A705" s="0" t="s">
        <v>463</v>
      </c>
      <c r="B705" s="0" t="s">
        <v>189</v>
      </c>
      <c r="D705" s="19" t="n">
        <f aca="false">D704*fx</f>
        <v>144.438002750678</v>
      </c>
      <c r="E705" s="19" t="n">
        <f aca="false">E704*fx</f>
        <v>326.435213454075</v>
      </c>
      <c r="F705" s="19" t="n">
        <f aca="false">F704*fx</f>
        <v>505.041792918404</v>
      </c>
      <c r="G705" s="19" t="n">
        <f aca="false">G704*fx</f>
        <v>609.164945235016</v>
      </c>
    </row>
    <row r="706" customFormat="false" ht="17.15" hidden="false" customHeight="false" outlineLevel="0" collapsed="false">
      <c r="A706" s="4" t="s">
        <v>464</v>
      </c>
      <c r="B706" s="0" t="s">
        <v>49</v>
      </c>
      <c r="D706" s="14" t="n">
        <f aca="false">a26_lcLH/D705</f>
        <v>0.545702107471365</v>
      </c>
      <c r="H706" s="8" t="s">
        <v>465</v>
      </c>
    </row>
    <row r="707" customFormat="false" ht="17.15" hidden="false" customHeight="false" outlineLevel="0" collapsed="false">
      <c r="A707" s="4" t="s">
        <v>466</v>
      </c>
      <c r="B707" s="0" t="s">
        <v>70</v>
      </c>
      <c r="D707" s="15" t="n">
        <f aca="false">1</f>
        <v>1</v>
      </c>
      <c r="E707" s="15" t="n">
        <f aca="false">rel_27</f>
        <v>0.95</v>
      </c>
      <c r="F707" s="15" t="n">
        <f aca="false">rel_28</f>
        <v>0.9</v>
      </c>
      <c r="G707" s="15" t="n">
        <f aca="false">rel_29</f>
        <v>0.85</v>
      </c>
    </row>
    <row r="708" customFormat="false" ht="15" hidden="false" customHeight="false" outlineLevel="0" collapsed="false">
      <c r="A708" s="4" t="s">
        <v>426</v>
      </c>
      <c r="B708" s="0" t="s">
        <v>49</v>
      </c>
      <c r="D708" s="14" t="n">
        <f aca="false">$D$706*D707</f>
        <v>0.545702107471365</v>
      </c>
      <c r="E708" s="14" t="n">
        <f aca="false">$D$706*E707</f>
        <v>0.518417002097797</v>
      </c>
      <c r="F708" s="14" t="n">
        <f aca="false">$D$706*F707</f>
        <v>0.491131896724228</v>
      </c>
      <c r="G708" s="14" t="n">
        <f aca="false">$D$706*G707</f>
        <v>0.46384679135066</v>
      </c>
    </row>
    <row r="709" customFormat="false" ht="15" hidden="false" customHeight="false" outlineLevel="0" collapsed="false">
      <c r="A709" s="4" t="s">
        <v>467</v>
      </c>
      <c r="B709" s="0" t="s">
        <v>189</v>
      </c>
      <c r="C709" s="19" t="n">
        <f aca="false">a25_lc</f>
        <v>20.94585</v>
      </c>
      <c r="D709" s="19" t="n">
        <f aca="false">D705*D708</f>
        <v>78.8201225</v>
      </c>
      <c r="E709" s="19" t="n">
        <f aca="false">E705*E708</f>
        <v>169.229564738016</v>
      </c>
      <c r="F709" s="19" t="n">
        <f aca="false">F705*F708</f>
        <v>248.042133681021</v>
      </c>
      <c r="G709" s="19" t="n">
        <f aca="false">G705*G708</f>
        <v>282.559205250563</v>
      </c>
    </row>
    <row r="710" customFormat="false" ht="17.15" hidden="false" customHeight="false" outlineLevel="0" collapsed="false">
      <c r="A710" s="6" t="s">
        <v>468</v>
      </c>
    </row>
    <row r="711" customFormat="false" ht="17.15" hidden="false" customHeight="false" outlineLevel="0" collapsed="false">
      <c r="A711" s="0" t="s">
        <v>469</v>
      </c>
      <c r="B711" s="0" t="s">
        <v>470</v>
      </c>
      <c r="D711" s="22" t="n">
        <f aca="false">a26_airLH/D701</f>
        <v>1.84783422314889</v>
      </c>
    </row>
    <row r="712" customFormat="false" ht="17.15" hidden="false" customHeight="false" outlineLevel="0" collapsed="false">
      <c r="A712" s="0" t="s">
        <v>471</v>
      </c>
      <c r="B712" s="0" t="s">
        <v>70</v>
      </c>
      <c r="D712" s="15" t="n">
        <f aca="false">1</f>
        <v>1</v>
      </c>
      <c r="E712" s="15" t="n">
        <f aca="false">acr_27</f>
        <v>0.75</v>
      </c>
      <c r="F712" s="15" t="n">
        <f aca="false">acr_28</f>
        <v>0.65</v>
      </c>
      <c r="G712" s="15" t="n">
        <f aca="false">acr_29</f>
        <v>0.6</v>
      </c>
    </row>
    <row r="713" customFormat="false" ht="17.15" hidden="false" customHeight="false" outlineLevel="0" collapsed="false">
      <c r="A713" s="0" t="s">
        <v>472</v>
      </c>
      <c r="B713" s="0" t="s">
        <v>189</v>
      </c>
      <c r="C713" s="19" t="n">
        <f aca="false">a25_air</f>
        <v>30.999858</v>
      </c>
      <c r="D713" s="19" t="n">
        <f aca="false">D701*$D$711*D712</f>
        <v>43.2384672</v>
      </c>
      <c r="E713" s="19" t="n">
        <f aca="false">E701*$D$711*E712</f>
        <v>57.717239382651</v>
      </c>
      <c r="F713" s="19" t="n">
        <f aca="false">F701*$D$711*F712</f>
        <v>63.4082277809457</v>
      </c>
      <c r="G713" s="19" t="n">
        <f aca="false">G701*$D$711*G712</f>
        <v>66.6756887651794</v>
      </c>
    </row>
    <row r="714" customFormat="false" ht="15" hidden="false" customHeight="false" outlineLevel="0" collapsed="false">
      <c r="A714" s="4" t="s">
        <v>473</v>
      </c>
      <c r="B714" s="0" t="s">
        <v>189</v>
      </c>
      <c r="C714" s="19" t="n">
        <f aca="false">a25_gen</f>
        <v>20.666572</v>
      </c>
      <c r="D714" s="19" t="n">
        <f aca="false">a26_genLH</f>
        <v>28.8256448</v>
      </c>
      <c r="E714" s="19" t="n">
        <f aca="false">D714*(1+g_gen_27)</f>
        <v>31.131696384</v>
      </c>
      <c r="F714" s="19" t="n">
        <f aca="false">E714*(1+g_gen_28)</f>
        <v>32.99959816704</v>
      </c>
      <c r="G714" s="19" t="n">
        <f aca="false">F714*(1+g_gen_29)</f>
        <v>34.649578075392</v>
      </c>
    </row>
    <row r="715" customFormat="false" ht="17.15" hidden="false" customHeight="false" outlineLevel="0" collapsed="false">
      <c r="A715" s="4" t="s">
        <v>474</v>
      </c>
      <c r="B715" s="0" t="s">
        <v>189</v>
      </c>
      <c r="C715" s="19" t="n">
        <f aca="false">a25_nai</f>
        <v>67.02672</v>
      </c>
      <c r="D715" s="19" t="n">
        <f aca="false">a26_nai</f>
        <v>74.3161155</v>
      </c>
      <c r="E715" s="19" t="n">
        <f aca="false">D715*(1+g_nai_27)</f>
        <v>78.77508243</v>
      </c>
      <c r="F715" s="19" t="n">
        <f aca="false">E715*(1+g_nai_28)</f>
        <v>82.7138365515</v>
      </c>
      <c r="G715" s="19" t="n">
        <f aca="false">F715*(1+g_nai_29)</f>
        <v>86.02239001356</v>
      </c>
    </row>
    <row r="716" customFormat="false" ht="15" hidden="false" customHeight="false" outlineLevel="0" collapsed="false">
      <c r="A716" s="4" t="s">
        <v>353</v>
      </c>
      <c r="B716" s="0" t="s">
        <v>189</v>
      </c>
      <c r="C716" s="19" t="n">
        <f aca="false">C709+C713+C714+C715</f>
        <v>139.639</v>
      </c>
      <c r="D716" s="19" t="n">
        <f aca="false">D709+D713+D714+D715</f>
        <v>225.20035</v>
      </c>
      <c r="E716" s="19" t="n">
        <f aca="false">E709+E713+E714+E715</f>
        <v>336.853582934667</v>
      </c>
      <c r="F716" s="19" t="n">
        <f aca="false">F709+F713+F714+F715</f>
        <v>427.163796180506</v>
      </c>
      <c r="G716" s="19" t="n">
        <f aca="false">G709+G713+G714+G715</f>
        <v>469.906862104694</v>
      </c>
    </row>
    <row r="717" customFormat="false" ht="15" hidden="false" customHeight="false" outlineLevel="0" collapsed="false">
      <c r="A717" s="4" t="s">
        <v>475</v>
      </c>
      <c r="B717" s="0" t="s">
        <v>49</v>
      </c>
      <c r="D717" s="14" t="n">
        <f aca="false">D716/C716-1</f>
        <v>0.612732474451979</v>
      </c>
      <c r="E717" s="14" t="n">
        <f aca="false">E716/D716-1</f>
        <v>0.495795112816951</v>
      </c>
      <c r="F717" s="14" t="n">
        <f aca="false">F716/E716-1</f>
        <v>0.26809931026726</v>
      </c>
      <c r="G717" s="14" t="n">
        <f aca="false">G716/F716-1</f>
        <v>0.100062473239482</v>
      </c>
    </row>
    <row r="718" customFormat="false" ht="17.15" hidden="false" customHeight="false" outlineLevel="0" collapsed="false">
      <c r="A718" s="4" t="s">
        <v>476</v>
      </c>
      <c r="B718" s="0" t="s">
        <v>49</v>
      </c>
      <c r="C718" s="14" t="n">
        <f aca="false">C709/C716</f>
        <v>0.15</v>
      </c>
      <c r="D718" s="14" t="n">
        <f aca="false">D709/D716</f>
        <v>0.35</v>
      </c>
      <c r="E718" s="14" t="n">
        <f aca="false">E709/E716</f>
        <v>0.502383151943015</v>
      </c>
      <c r="F718" s="14" t="n">
        <f aca="false">F709/F716</f>
        <v>0.580672182190753</v>
      </c>
      <c r="G718" s="14" t="n">
        <f aca="false">G709/G716</f>
        <v>0.601308957236741</v>
      </c>
    </row>
    <row r="719" customFormat="false" ht="17.15" hidden="false" customHeight="false" outlineLevel="0" collapsed="false">
      <c r="A719" s="0" t="s">
        <v>477</v>
      </c>
      <c r="B719" s="0" t="s">
        <v>49</v>
      </c>
      <c r="C719" s="14" t="n">
        <f aca="false">(C709+C713)/C716</f>
        <v>0.372</v>
      </c>
      <c r="D719" s="14" t="n">
        <f aca="false">(D709+D713)/D716</f>
        <v>0.542</v>
      </c>
      <c r="E719" s="14" t="n">
        <f aca="false">(E709+E713)/E716</f>
        <v>0.673725367987799</v>
      </c>
      <c r="F719" s="14" t="n">
        <f aca="false">(F709+F713)/F716</f>
        <v>0.729112261495019</v>
      </c>
      <c r="G719" s="14" t="n">
        <f aca="false">(G709+G713)/G716</f>
        <v>0.743200242813082</v>
      </c>
    </row>
    <row r="720" customFormat="false" ht="17.15" hidden="false" customHeight="false" outlineLevel="0" collapsed="false">
      <c r="A720" s="4" t="s">
        <v>431</v>
      </c>
      <c r="B720" s="0" t="s">
        <v>419</v>
      </c>
      <c r="D720" s="18" t="n">
        <f aca="false">(D709+D713)/fx/D701*1000</f>
        <v>163.008813305126</v>
      </c>
      <c r="E720" s="18" t="n">
        <f aca="false">(E709+E713)/fx/E701*1000</f>
        <v>170.291437716693</v>
      </c>
      <c r="F720" s="18" t="n">
        <f aca="false">(F709+F713)/fx/F701*1000</f>
        <v>184.361235008662</v>
      </c>
      <c r="G720" s="18" t="n">
        <f aca="false">(G709+G713)/fx/G701*1000</f>
        <v>181.473994034992</v>
      </c>
    </row>
    <row r="721" customFormat="false" ht="17.15" hidden="false" customHeight="false" outlineLevel="0" collapsed="false">
      <c r="A721" s="6" t="s">
        <v>478</v>
      </c>
    </row>
    <row r="722" customFormat="false" ht="17.15" hidden="false" customHeight="false" outlineLevel="0" collapsed="false">
      <c r="A722" s="4" t="s">
        <v>479</v>
      </c>
      <c r="B722" s="0" t="s">
        <v>49</v>
      </c>
      <c r="D722" s="14" t="n">
        <f aca="false">a26_gp/D716-d_lc*D718</f>
        <v>0.301021503074929</v>
      </c>
      <c r="H722" s="8" t="s">
        <v>480</v>
      </c>
    </row>
    <row r="723" customFormat="false" ht="15" hidden="false" customHeight="false" outlineLevel="0" collapsed="false">
      <c r="A723" s="4" t="s">
        <v>357</v>
      </c>
      <c r="B723" s="0" t="s">
        <v>189</v>
      </c>
      <c r="C723" s="19" t="n">
        <f aca="false">a25_gp</f>
        <v>36.034</v>
      </c>
      <c r="D723" s="19" t="n">
        <f aca="false">a26_gp</f>
        <v>72.5193552</v>
      </c>
      <c r="E723" s="19" t="n">
        <f aca="false">$D$722*E716+d_lc*E709</f>
        <v>111.55394573545</v>
      </c>
      <c r="F723" s="19" t="n">
        <f aca="false">$D$722*F716+d_lc*F709</f>
        <v>143.46801600631</v>
      </c>
      <c r="G723" s="19" t="n">
        <f aca="false">$D$722*G716+d_lc*G709</f>
        <v>158.405622251012</v>
      </c>
    </row>
    <row r="724" customFormat="false" ht="15" hidden="false" customHeight="false" outlineLevel="0" collapsed="false">
      <c r="A724" s="4" t="s">
        <v>360</v>
      </c>
      <c r="B724" s="0" t="s">
        <v>49</v>
      </c>
      <c r="C724" s="14" t="n">
        <f aca="false">C723/C716</f>
        <v>0.258051117524474</v>
      </c>
      <c r="D724" s="14" t="n">
        <f aca="false">D723/D716</f>
        <v>0.322021503074929</v>
      </c>
      <c r="E724" s="14" t="n">
        <f aca="false">E723/E716</f>
        <v>0.33116449219151</v>
      </c>
      <c r="F724" s="14" t="n">
        <f aca="false">F723/F716</f>
        <v>0.335861834006374</v>
      </c>
      <c r="G724" s="14" t="n">
        <f aca="false">G723/G716</f>
        <v>0.337100040509133</v>
      </c>
    </row>
    <row r="725" customFormat="false" ht="15" hidden="false" customHeight="false" outlineLevel="0" collapsed="false">
      <c r="A725" s="4" t="s">
        <v>481</v>
      </c>
      <c r="B725" s="0" t="s">
        <v>189</v>
      </c>
      <c r="C725" s="19" t="n">
        <f aca="false">a25_opx</f>
        <v>8.4832253</v>
      </c>
      <c r="D725" s="19" t="n">
        <f aca="false">a26_opx</f>
        <v>11.7048599</v>
      </c>
      <c r="E725" s="19" t="n">
        <f aca="false">D725*(1+MAX(0,phi*E717))</f>
        <v>15.767108534239</v>
      </c>
      <c r="F725" s="19" t="n">
        <f aca="false">E725*(1+MAX(0,phi*F717))</f>
        <v>18.7261141802959</v>
      </c>
      <c r="G725" s="19" t="n">
        <f aca="false">F725*(1+MAX(0,phi*G717))</f>
        <v>20.0377610896277</v>
      </c>
    </row>
    <row r="726" customFormat="false" ht="15" hidden="false" customHeight="false" outlineLevel="0" collapsed="false">
      <c r="A726" s="4" t="s">
        <v>362</v>
      </c>
      <c r="B726" s="0" t="s">
        <v>189</v>
      </c>
      <c r="C726" s="19" t="n">
        <f aca="false">C725</f>
        <v>8.4832253</v>
      </c>
      <c r="D726" s="19" t="n">
        <f aca="false">D725</f>
        <v>11.7048599</v>
      </c>
      <c r="E726" s="19" t="n">
        <f aca="false">E725+0*E716</f>
        <v>15.767108534239</v>
      </c>
      <c r="F726" s="19" t="n">
        <f aca="false">F725+0*F716</f>
        <v>18.7261141802959</v>
      </c>
      <c r="G726" s="19" t="n">
        <f aca="false">G725+0*G716</f>
        <v>20.0377610896277</v>
      </c>
    </row>
    <row r="727" customFormat="false" ht="15" hidden="false" customHeight="false" outlineLevel="0" collapsed="false">
      <c r="A727" s="4" t="s">
        <v>364</v>
      </c>
      <c r="B727" s="0" t="s">
        <v>189</v>
      </c>
      <c r="C727" s="19" t="n">
        <f aca="false">C723-C726</f>
        <v>27.5507747</v>
      </c>
      <c r="D727" s="19" t="n">
        <f aca="false">D723-D726</f>
        <v>60.8144953</v>
      </c>
      <c r="E727" s="19" t="n">
        <f aca="false">E723-E726</f>
        <v>95.7868372012106</v>
      </c>
      <c r="F727" s="19" t="n">
        <f aca="false">F723-F726</f>
        <v>124.741901826014</v>
      </c>
      <c r="G727" s="19" t="n">
        <f aca="false">G723-G726</f>
        <v>138.367861161384</v>
      </c>
    </row>
    <row r="728" customFormat="false" ht="15" hidden="false" customHeight="false" outlineLevel="0" collapsed="false">
      <c r="A728" s="4" t="s">
        <v>367</v>
      </c>
      <c r="B728" s="0" t="s">
        <v>49</v>
      </c>
      <c r="C728" s="14" t="n">
        <f aca="false">C727/C716</f>
        <v>0.1973</v>
      </c>
      <c r="D728" s="14" t="n">
        <f aca="false">D727/D716</f>
        <v>0.27004618465291</v>
      </c>
      <c r="E728" s="14" t="n">
        <f aca="false">E727/E716</f>
        <v>0.284357483648284</v>
      </c>
      <c r="F728" s="14" t="n">
        <f aca="false">F727/F716</f>
        <v>0.292023581917279</v>
      </c>
      <c r="G728" s="14" t="n">
        <f aca="false">G727/G716</f>
        <v>0.294458056095713</v>
      </c>
    </row>
    <row r="729" customFormat="false" ht="15" hidden="false" customHeight="false" outlineLevel="0" collapsed="false">
      <c r="A729" s="4" t="s">
        <v>369</v>
      </c>
      <c r="B729" s="0" t="s">
        <v>189</v>
      </c>
      <c r="C729" s="19" t="n">
        <f aca="false">a25_nop</f>
        <v>1.23179436863779</v>
      </c>
      <c r="D729" s="19" t="n">
        <f aca="false">a26_nop</f>
        <v>0.8186111</v>
      </c>
      <c r="E729" s="19" t="n">
        <f aca="false">nop_f</f>
        <v>1</v>
      </c>
      <c r="F729" s="19" t="n">
        <f aca="false">nop_f</f>
        <v>1</v>
      </c>
      <c r="G729" s="19" t="n">
        <f aca="false">nop_f</f>
        <v>1</v>
      </c>
    </row>
    <row r="730" customFormat="false" ht="17.15" hidden="false" customHeight="false" outlineLevel="0" collapsed="false">
      <c r="A730" s="4" t="s">
        <v>232</v>
      </c>
      <c r="B730" s="0" t="s">
        <v>49</v>
      </c>
      <c r="C730" s="14" t="n">
        <f aca="false">a25_ni/(a25_oi+a25_nop)</f>
        <v>0.666583999303438</v>
      </c>
      <c r="D730" s="14" t="n">
        <f aca="false">a26_ni/(a26_oi+a26_nop)</f>
        <v>0.674837141220258</v>
      </c>
      <c r="E730" s="14" t="n">
        <f aca="false">nir_f</f>
        <v>0.675</v>
      </c>
      <c r="F730" s="14" t="n">
        <f aca="false">nir_f</f>
        <v>0.675</v>
      </c>
      <c r="G730" s="14" t="n">
        <f aca="false">nir_f</f>
        <v>0.675</v>
      </c>
    </row>
    <row r="731" customFormat="false" ht="15" hidden="false" customHeight="false" outlineLevel="0" collapsed="false">
      <c r="A731" s="4" t="s">
        <v>373</v>
      </c>
      <c r="B731" s="0" t="s">
        <v>189</v>
      </c>
      <c r="C731" s="19" t="n">
        <f aca="false">a25_ni</f>
        <v>19.186</v>
      </c>
      <c r="D731" s="19" t="n">
        <f aca="false">a26_ni</f>
        <v>41.5923093275</v>
      </c>
      <c r="E731" s="19" t="n">
        <f aca="false">(E727+E729)*E730</f>
        <v>65.3311151108171</v>
      </c>
      <c r="F731" s="19" t="n">
        <f aca="false">(F727+F729)*F730</f>
        <v>84.8757837325593</v>
      </c>
      <c r="G731" s="19" t="n">
        <f aca="false">(G727+G729)*G730</f>
        <v>94.0733062839344</v>
      </c>
    </row>
    <row r="732" customFormat="false" ht="15" hidden="false" customHeight="false" outlineLevel="0" collapsed="false">
      <c r="A732" s="4" t="s">
        <v>482</v>
      </c>
      <c r="B732" s="4" t="s">
        <v>215</v>
      </c>
      <c r="C732" s="22" t="n">
        <f aca="false">a25_sh</f>
        <v>0.390197274761033</v>
      </c>
      <c r="D732" s="22" t="n">
        <f aca="false">a26_sh</f>
        <v>0.392523574315222</v>
      </c>
      <c r="E732" s="22" t="n">
        <f aca="false">D732*(1+sh_g)</f>
        <v>0.392523574315222</v>
      </c>
      <c r="F732" s="22" t="n">
        <f aca="false">E732*(1+sh_g)</f>
        <v>0.392523574315222</v>
      </c>
      <c r="G732" s="22" t="n">
        <f aca="false">F732*(1+sh_g)</f>
        <v>0.392523574315222</v>
      </c>
    </row>
    <row r="733" customFormat="false" ht="15" hidden="false" customHeight="false" outlineLevel="0" collapsed="false">
      <c r="A733" s="0" t="s">
        <v>378</v>
      </c>
      <c r="B733" s="0" t="s">
        <v>252</v>
      </c>
      <c r="C733" s="20" t="n">
        <f aca="false">C731/C732</f>
        <v>49.17</v>
      </c>
      <c r="D733" s="20" t="n">
        <f aca="false">D731/D732</f>
        <v>105.961302834002</v>
      </c>
      <c r="E733" s="20" t="n">
        <f aca="false">E731/E732</f>
        <v>166.438704286209</v>
      </c>
      <c r="F733" s="20" t="n">
        <f aca="false">F731/F732</f>
        <v>216.231047729119</v>
      </c>
      <c r="G733" s="20" t="n">
        <f aca="false">G731/G732</f>
        <v>239.662818846104</v>
      </c>
    </row>
    <row r="734" customFormat="false" ht="17.15" hidden="false" customHeight="false" outlineLevel="0" collapsed="false">
      <c r="A734" s="0" t="s">
        <v>483</v>
      </c>
      <c r="B734" s="0" t="s">
        <v>49</v>
      </c>
      <c r="D734" s="14" t="n">
        <f aca="false">D733/C733-1</f>
        <v>1.15499904075659</v>
      </c>
      <c r="E734" s="14" t="n">
        <f aca="false">E733/D733-1</f>
        <v>0.570749885427052</v>
      </c>
      <c r="F734" s="14" t="n">
        <f aca="false">F733/E733-1</f>
        <v>0.29916324845504</v>
      </c>
      <c r="G734" s="14" t="n">
        <f aca="false">G733/F733-1</f>
        <v>0.108364508071656</v>
      </c>
    </row>
    <row r="737" customFormat="false" ht="17.15" hidden="false" customHeight="false" outlineLevel="0" collapsed="false">
      <c r="A737" s="1" t="s">
        <v>806</v>
      </c>
    </row>
    <row r="738" customFormat="false" ht="17.15" hidden="false" customHeight="false" outlineLevel="0" collapsed="false">
      <c r="A738" s="5" t="s">
        <v>18</v>
      </c>
      <c r="B738" s="5" t="s">
        <v>19</v>
      </c>
      <c r="C738" s="11" t="s">
        <v>347</v>
      </c>
      <c r="D738" s="11" t="s">
        <v>436</v>
      </c>
      <c r="E738" s="11" t="s">
        <v>437</v>
      </c>
      <c r="F738" s="11" t="s">
        <v>438</v>
      </c>
      <c r="G738" s="11" t="s">
        <v>439</v>
      </c>
      <c r="H738" s="5" t="s">
        <v>412</v>
      </c>
    </row>
    <row r="739" customFormat="false" ht="17.15" hidden="false" customHeight="false" outlineLevel="0" collapsed="false">
      <c r="A739" s="6" t="s">
        <v>455</v>
      </c>
    </row>
    <row r="740" customFormat="false" ht="17.15" hidden="false" customHeight="false" outlineLevel="0" collapsed="false">
      <c r="A740" s="0" t="s">
        <v>456</v>
      </c>
      <c r="B740" s="0" t="s">
        <v>29</v>
      </c>
      <c r="D740" s="20" t="n">
        <f aca="false">itc_26*1</f>
        <v>781.872916666667</v>
      </c>
      <c r="E740" s="20" t="n">
        <f aca="false">itc_27*1*1</f>
        <v>1565.35</v>
      </c>
      <c r="F740" s="20" t="n">
        <f aca="false">itc_28*um28_A*1</f>
        <v>1984.26388888889</v>
      </c>
      <c r="G740" s="20" t="n">
        <f aca="false">itc_29*um29_A*1</f>
        <v>2260.39027777778</v>
      </c>
    </row>
    <row r="741" customFormat="false" ht="17.15" hidden="false" customHeight="false" outlineLevel="0" collapsed="false">
      <c r="A741" s="4" t="s">
        <v>457</v>
      </c>
      <c r="B741" s="0" t="s">
        <v>29</v>
      </c>
      <c r="D741" s="20" t="n">
        <f aca="false">itpg_gb*(1-vr26)+itpg_vr*vr26</f>
        <v>33.41403216</v>
      </c>
      <c r="E741" s="20" t="n">
        <f aca="false">itpg_vr</f>
        <v>37.586352</v>
      </c>
      <c r="F741" s="20" t="n">
        <f aca="false">itpg_vr</f>
        <v>37.586352</v>
      </c>
      <c r="G741" s="20" t="n">
        <f aca="false">itpg_vr</f>
        <v>37.586352</v>
      </c>
    </row>
    <row r="742" customFormat="false" ht="17.15" hidden="false" customHeight="false" outlineLevel="0" collapsed="false">
      <c r="A742" s="4" t="s">
        <v>458</v>
      </c>
      <c r="B742" s="0" t="s">
        <v>414</v>
      </c>
      <c r="D742" s="17" t="n">
        <f aca="false">D740/D741</f>
        <v>23.3995380420639</v>
      </c>
      <c r="E742" s="17" t="n">
        <f aca="false">E740/E741</f>
        <v>41.6467658260637</v>
      </c>
      <c r="F742" s="17" t="n">
        <f aca="false">F740/F741</f>
        <v>52.792138191248</v>
      </c>
      <c r="G742" s="17" t="n">
        <f aca="false">G740/G741</f>
        <v>60.1385917361116</v>
      </c>
    </row>
    <row r="743" customFormat="false" ht="17.15" hidden="false" customHeight="false" outlineLevel="0" collapsed="false">
      <c r="A743" s="4" t="s">
        <v>459</v>
      </c>
      <c r="B743" s="0" t="s">
        <v>49</v>
      </c>
      <c r="D743" s="14" t="n">
        <f aca="false">lpen_26</f>
        <v>0.55</v>
      </c>
      <c r="E743" s="14" t="n">
        <f aca="false">lpen_27</f>
        <v>0.75</v>
      </c>
      <c r="F743" s="14" t="n">
        <f aca="false">lpen_28</f>
        <v>0.85</v>
      </c>
      <c r="G743" s="14" t="n">
        <f aca="false">lpen_29</f>
        <v>0.9</v>
      </c>
    </row>
    <row r="744" customFormat="false" ht="17.15" hidden="false" customHeight="false" outlineLevel="0" collapsed="false">
      <c r="A744" s="4" t="s">
        <v>460</v>
      </c>
      <c r="B744" s="0" t="s">
        <v>419</v>
      </c>
      <c r="D744" s="18" t="n">
        <f aca="false">((1-vr26)*racks_gb*(cool_gb+mani)+vr26*racks_vr*(cool_vr+mani))/1000</f>
        <v>350.7208</v>
      </c>
      <c r="E744" s="18" t="n">
        <f aca="false">racks_vr*(cool_vr+mani)*lcadj_27/1000</f>
        <v>326.5912</v>
      </c>
      <c r="F744" s="18" t="n">
        <f aca="false">racks_vr*(cool_vr+mani)*lcadj_28/1000</f>
        <v>351.7136</v>
      </c>
      <c r="G744" s="18" t="n">
        <f aca="false">racks_vr*(cool_vr+mani)*lcadj_29/1000</f>
        <v>351.7136</v>
      </c>
      <c r="H744" s="4" t="s">
        <v>461</v>
      </c>
    </row>
    <row r="745" customFormat="false" ht="17.15" hidden="false" customHeight="false" outlineLevel="0" collapsed="false">
      <c r="A745" s="0" t="s">
        <v>462</v>
      </c>
      <c r="B745" s="0" t="s">
        <v>29</v>
      </c>
      <c r="D745" s="20" t="n">
        <f aca="false">D742*D743*D744/1000</f>
        <v>4.5136875859587</v>
      </c>
      <c r="E745" s="20" t="n">
        <f aca="false">E742*E743*E744/1000</f>
        <v>10.2011004204398</v>
      </c>
      <c r="F745" s="20" t="n">
        <f aca="false">F742*F743*F744/1000</f>
        <v>15.7825560287001</v>
      </c>
      <c r="G745" s="20" t="n">
        <f aca="false">G742*G743*G744/1000</f>
        <v>19.0364045385942</v>
      </c>
    </row>
    <row r="746" customFormat="false" ht="17.15" hidden="false" customHeight="false" outlineLevel="0" collapsed="false">
      <c r="A746" s="0" t="s">
        <v>463</v>
      </c>
      <c r="B746" s="0" t="s">
        <v>189</v>
      </c>
      <c r="D746" s="19" t="n">
        <f aca="false">D745*fx</f>
        <v>144.438002750678</v>
      </c>
      <c r="E746" s="19" t="n">
        <f aca="false">E745*fx</f>
        <v>326.435213454075</v>
      </c>
      <c r="F746" s="19" t="n">
        <f aca="false">F745*fx</f>
        <v>505.041792918404</v>
      </c>
      <c r="G746" s="19" t="n">
        <f aca="false">G745*fx</f>
        <v>609.164945235016</v>
      </c>
    </row>
    <row r="747" customFormat="false" ht="17.15" hidden="false" customHeight="false" outlineLevel="0" collapsed="false">
      <c r="A747" s="4" t="s">
        <v>464</v>
      </c>
      <c r="B747" s="0" t="s">
        <v>49</v>
      </c>
      <c r="D747" s="14" t="n">
        <f aca="false">a26_lc/D746</f>
        <v>0.498927641116676</v>
      </c>
      <c r="H747" s="8" t="s">
        <v>465</v>
      </c>
    </row>
    <row r="748" customFormat="false" ht="17.15" hidden="false" customHeight="false" outlineLevel="0" collapsed="false">
      <c r="A748" s="4" t="s">
        <v>466</v>
      </c>
      <c r="B748" s="0" t="s">
        <v>70</v>
      </c>
      <c r="D748" s="15" t="n">
        <f aca="false">1</f>
        <v>1</v>
      </c>
      <c r="E748" s="15" t="n">
        <f aca="false">rel_27</f>
        <v>0.95</v>
      </c>
      <c r="F748" s="15" t="n">
        <f aca="false">rel_28</f>
        <v>0.9</v>
      </c>
      <c r="G748" s="15" t="n">
        <f aca="false">rel_29</f>
        <v>0.85</v>
      </c>
    </row>
    <row r="749" customFormat="false" ht="15" hidden="false" customHeight="false" outlineLevel="0" collapsed="false">
      <c r="A749" s="4" t="s">
        <v>426</v>
      </c>
      <c r="B749" s="0" t="s">
        <v>49</v>
      </c>
      <c r="D749" s="14" t="n">
        <f aca="false">$D$747*D748</f>
        <v>0.498927641116676</v>
      </c>
      <c r="E749" s="14" t="n">
        <f aca="false">$D$747*E748</f>
        <v>0.473981259060843</v>
      </c>
      <c r="F749" s="14" t="n">
        <f aca="false">$D$747*F748</f>
        <v>0.449034877005009</v>
      </c>
      <c r="G749" s="14" t="n">
        <f aca="false">$D$747*G748</f>
        <v>0.424088494949175</v>
      </c>
    </row>
    <row r="750" customFormat="false" ht="15" hidden="false" customHeight="false" outlineLevel="0" collapsed="false">
      <c r="A750" s="4" t="s">
        <v>467</v>
      </c>
      <c r="B750" s="0" t="s">
        <v>189</v>
      </c>
      <c r="C750" s="19" t="n">
        <f aca="false">a25_lc</f>
        <v>20.94585</v>
      </c>
      <c r="D750" s="19" t="n">
        <f aca="false">D746*D749</f>
        <v>72.064112</v>
      </c>
      <c r="E750" s="19" t="n">
        <f aca="false">E746*E749</f>
        <v>154.724173474757</v>
      </c>
      <c r="F750" s="19" t="n">
        <f aca="false">F746*F749</f>
        <v>226.781379365505</v>
      </c>
      <c r="G750" s="19" t="n">
        <f aca="false">G746*G749</f>
        <v>258.339844800514</v>
      </c>
    </row>
    <row r="751" customFormat="false" ht="17.15" hidden="false" customHeight="false" outlineLevel="0" collapsed="false">
      <c r="A751" s="6" t="s">
        <v>468</v>
      </c>
    </row>
    <row r="752" customFormat="false" ht="17.15" hidden="false" customHeight="false" outlineLevel="0" collapsed="false">
      <c r="A752" s="0" t="s">
        <v>469</v>
      </c>
      <c r="B752" s="0" t="s">
        <v>470</v>
      </c>
      <c r="D752" s="22" t="n">
        <f aca="false">a26_airL/D742</f>
        <v>1.34737912104606</v>
      </c>
    </row>
    <row r="753" customFormat="false" ht="17.15" hidden="false" customHeight="false" outlineLevel="0" collapsed="false">
      <c r="A753" s="0" t="s">
        <v>471</v>
      </c>
      <c r="B753" s="0" t="s">
        <v>70</v>
      </c>
      <c r="D753" s="15" t="n">
        <f aca="false">1</f>
        <v>1</v>
      </c>
      <c r="E753" s="15" t="n">
        <f aca="false">acr_27</f>
        <v>0.75</v>
      </c>
      <c r="F753" s="15" t="n">
        <f aca="false">acr_28</f>
        <v>0.65</v>
      </c>
      <c r="G753" s="15" t="n">
        <f aca="false">acr_29</f>
        <v>0.6</v>
      </c>
    </row>
    <row r="754" customFormat="false" ht="17.15" hidden="false" customHeight="false" outlineLevel="0" collapsed="false">
      <c r="A754" s="0" t="s">
        <v>472</v>
      </c>
      <c r="B754" s="0" t="s">
        <v>189</v>
      </c>
      <c r="C754" s="19" t="n">
        <f aca="false">a25_air</f>
        <v>30.999858</v>
      </c>
      <c r="D754" s="19" t="n">
        <f aca="false">D742*$D$752*D753</f>
        <v>31.528049</v>
      </c>
      <c r="E754" s="19" t="n">
        <f aca="false">E742*$D$752*E753</f>
        <v>42.0854870498497</v>
      </c>
      <c r="F754" s="19" t="n">
        <f aca="false">F742*$D$752*F753</f>
        <v>46.2351660902729</v>
      </c>
      <c r="G754" s="19" t="n">
        <f aca="false">G742*$D$752*G753</f>
        <v>48.61768972461</v>
      </c>
    </row>
    <row r="755" customFormat="false" ht="15" hidden="false" customHeight="false" outlineLevel="0" collapsed="false">
      <c r="A755" s="4" t="s">
        <v>473</v>
      </c>
      <c r="B755" s="0" t="s">
        <v>189</v>
      </c>
      <c r="C755" s="19" t="n">
        <f aca="false">a25_gen</f>
        <v>20.666572</v>
      </c>
      <c r="D755" s="19" t="n">
        <f aca="false">a26_genL</f>
        <v>47.2920735</v>
      </c>
      <c r="E755" s="19" t="n">
        <f aca="false">D755*(1+g_gen_27)</f>
        <v>51.07543938</v>
      </c>
      <c r="F755" s="19" t="n">
        <f aca="false">E755*(1+g_gen_28)</f>
        <v>54.1399657428</v>
      </c>
      <c r="G755" s="19" t="n">
        <f aca="false">F755*(1+g_gen_29)</f>
        <v>56.84696402994</v>
      </c>
    </row>
    <row r="756" customFormat="false" ht="17.15" hidden="false" customHeight="false" outlineLevel="0" collapsed="false">
      <c r="A756" s="4" t="s">
        <v>474</v>
      </c>
      <c r="B756" s="0" t="s">
        <v>189</v>
      </c>
      <c r="C756" s="19" t="n">
        <f aca="false">a25_nai</f>
        <v>67.02672</v>
      </c>
      <c r="D756" s="19" t="n">
        <f aca="false">a26_nai</f>
        <v>74.3161155</v>
      </c>
      <c r="E756" s="19" t="n">
        <f aca="false">D756*(1+g_nai_27)</f>
        <v>78.77508243</v>
      </c>
      <c r="F756" s="19" t="n">
        <f aca="false">E756*(1+g_nai_28)</f>
        <v>82.7138365515</v>
      </c>
      <c r="G756" s="19" t="n">
        <f aca="false">F756*(1+g_nai_29)</f>
        <v>86.02239001356</v>
      </c>
    </row>
    <row r="757" customFormat="false" ht="15" hidden="false" customHeight="false" outlineLevel="0" collapsed="false">
      <c r="A757" s="4" t="s">
        <v>353</v>
      </c>
      <c r="B757" s="0" t="s">
        <v>189</v>
      </c>
      <c r="C757" s="19" t="n">
        <f aca="false">C750+C754+C755+C756</f>
        <v>139.639</v>
      </c>
      <c r="D757" s="19" t="n">
        <f aca="false">D750+D754+D755+D756</f>
        <v>225.20035</v>
      </c>
      <c r="E757" s="19" t="n">
        <f aca="false">E750+E754+E755+E756</f>
        <v>326.660182334607</v>
      </c>
      <c r="F757" s="19" t="n">
        <f aca="false">F750+F754+F755+F756</f>
        <v>409.870347750077</v>
      </c>
      <c r="G757" s="19" t="n">
        <f aca="false">G750+G754+G755+G756</f>
        <v>449.826888568624</v>
      </c>
    </row>
    <row r="758" customFormat="false" ht="15" hidden="false" customHeight="false" outlineLevel="0" collapsed="false">
      <c r="A758" s="4" t="s">
        <v>475</v>
      </c>
      <c r="B758" s="0" t="s">
        <v>49</v>
      </c>
      <c r="D758" s="14" t="n">
        <f aca="false">D757/C757-1</f>
        <v>0.612732474451979</v>
      </c>
      <c r="E758" s="14" t="n">
        <f aca="false">E757/D757-1</f>
        <v>0.450531414958312</v>
      </c>
      <c r="F758" s="14" t="n">
        <f aca="false">F757/E757-1</f>
        <v>0.254730052560358</v>
      </c>
      <c r="G758" s="14" t="n">
        <f aca="false">G757/F757-1</f>
        <v>0.097485805054897</v>
      </c>
    </row>
    <row r="759" customFormat="false" ht="17.15" hidden="false" customHeight="false" outlineLevel="0" collapsed="false">
      <c r="A759" s="4" t="s">
        <v>476</v>
      </c>
      <c r="B759" s="0" t="s">
        <v>49</v>
      </c>
      <c r="C759" s="14" t="n">
        <f aca="false">C750/C757</f>
        <v>0.15</v>
      </c>
      <c r="D759" s="14" t="n">
        <f aca="false">D750/D757</f>
        <v>0.32</v>
      </c>
      <c r="E759" s="14" t="n">
        <f aca="false">E750/E757</f>
        <v>0.473654831050909</v>
      </c>
      <c r="F759" s="14" t="n">
        <f aca="false">F750/F757</f>
        <v>0.553300282907479</v>
      </c>
      <c r="G759" s="14" t="n">
        <f aca="false">G750/G757</f>
        <v>0.574309476302244</v>
      </c>
    </row>
    <row r="760" customFormat="false" ht="17.15" hidden="false" customHeight="false" outlineLevel="0" collapsed="false">
      <c r="A760" s="0" t="s">
        <v>477</v>
      </c>
      <c r="B760" s="0" t="s">
        <v>49</v>
      </c>
      <c r="C760" s="14" t="n">
        <f aca="false">(C750+C754)/C757</f>
        <v>0.372</v>
      </c>
      <c r="D760" s="14" t="n">
        <f aca="false">(D750+D754)/D757</f>
        <v>0.46</v>
      </c>
      <c r="E760" s="14" t="n">
        <f aca="false">(E750+E754)/E757</f>
        <v>0.602490512060663</v>
      </c>
      <c r="F760" s="14" t="n">
        <f aca="false">(F750+F754)/F757</f>
        <v>0.666104652250306</v>
      </c>
      <c r="G760" s="14" t="n">
        <f aca="false">(G750+G754)/G757</f>
        <v>0.682390364662018</v>
      </c>
    </row>
    <row r="761" customFormat="false" ht="17.15" hidden="false" customHeight="false" outlineLevel="0" collapsed="false">
      <c r="A761" s="4" t="s">
        <v>431</v>
      </c>
      <c r="B761" s="0" t="s">
        <v>419</v>
      </c>
      <c r="D761" s="18" t="n">
        <f aca="false">(D750+D754)/fx/D742*1000</f>
        <v>138.346963321694</v>
      </c>
      <c r="E761" s="18" t="n">
        <f aca="false">(E750+E754)/fx/E742*1000</f>
        <v>147.677779280161</v>
      </c>
      <c r="F761" s="18" t="n">
        <f aca="false">(F750+F754)/fx/F742*1000</f>
        <v>161.610560545689</v>
      </c>
      <c r="G761" s="18" t="n">
        <f aca="false">(G750+G754)/fx/G742*1000</f>
        <v>159.505280669054</v>
      </c>
    </row>
    <row r="762" customFormat="false" ht="17.15" hidden="false" customHeight="false" outlineLevel="0" collapsed="false">
      <c r="A762" s="6" t="s">
        <v>478</v>
      </c>
    </row>
    <row r="763" customFormat="false" ht="17.15" hidden="false" customHeight="false" outlineLevel="0" collapsed="false">
      <c r="A763" s="4" t="s">
        <v>479</v>
      </c>
      <c r="B763" s="0" t="s">
        <v>49</v>
      </c>
      <c r="D763" s="14" t="n">
        <f aca="false">a26_gp/D757-d_lc*D759</f>
        <v>0.302821503074929</v>
      </c>
      <c r="H763" s="8" t="s">
        <v>480</v>
      </c>
    </row>
    <row r="764" customFormat="false" ht="15" hidden="false" customHeight="false" outlineLevel="0" collapsed="false">
      <c r="A764" s="4" t="s">
        <v>357</v>
      </c>
      <c r="B764" s="0" t="s">
        <v>189</v>
      </c>
      <c r="C764" s="19" t="n">
        <f aca="false">a25_gp</f>
        <v>36.034</v>
      </c>
      <c r="D764" s="19" t="n">
        <f aca="false">a26_gp</f>
        <v>72.5193552</v>
      </c>
      <c r="E764" s="19" t="n">
        <f aca="false">$D$763*E757+d_lc*E750</f>
        <v>108.203177817781</v>
      </c>
      <c r="F764" s="19" t="n">
        <f aca="false">$D$763*F757+d_lc*F750</f>
        <v>137.724437533452</v>
      </c>
      <c r="G764" s="19" t="n">
        <f aca="false">$D$763*G757+d_lc*G750</f>
        <v>151.7176452079</v>
      </c>
    </row>
    <row r="765" customFormat="false" ht="15" hidden="false" customHeight="false" outlineLevel="0" collapsed="false">
      <c r="A765" s="4" t="s">
        <v>360</v>
      </c>
      <c r="B765" s="0" t="s">
        <v>49</v>
      </c>
      <c r="C765" s="14" t="n">
        <f aca="false">C764/C757</f>
        <v>0.258051117524474</v>
      </c>
      <c r="D765" s="14" t="n">
        <f aca="false">D764/D757</f>
        <v>0.322021503074929</v>
      </c>
      <c r="E765" s="14" t="n">
        <f aca="false">E764/E757</f>
        <v>0.331240792937983</v>
      </c>
      <c r="F765" s="14" t="n">
        <f aca="false">F764/F757</f>
        <v>0.336019520049377</v>
      </c>
      <c r="G765" s="14" t="n">
        <f aca="false">G764/G757</f>
        <v>0.337280071653063</v>
      </c>
    </row>
    <row r="766" customFormat="false" ht="15" hidden="false" customHeight="false" outlineLevel="0" collapsed="false">
      <c r="A766" s="4" t="s">
        <v>481</v>
      </c>
      <c r="B766" s="0" t="s">
        <v>189</v>
      </c>
      <c r="C766" s="19" t="n">
        <f aca="false">a25_opx</f>
        <v>8.4832253</v>
      </c>
      <c r="D766" s="19" t="n">
        <f aca="false">a26_opx</f>
        <v>11.7048599</v>
      </c>
      <c r="E766" s="19" t="n">
        <f aca="false">D766*(1+MAX(0,phi*E758))</f>
        <v>15.3962448648451</v>
      </c>
      <c r="F766" s="19" t="n">
        <f aca="false">E766*(1+MAX(0,phi*F758))</f>
        <v>18.1415652494029</v>
      </c>
      <c r="G766" s="19" t="n">
        <f aca="false">F766*(1+MAX(0,phi*G758))</f>
        <v>19.3795468147087</v>
      </c>
    </row>
    <row r="767" customFormat="false" ht="15" hidden="false" customHeight="false" outlineLevel="0" collapsed="false">
      <c r="A767" s="4" t="s">
        <v>362</v>
      </c>
      <c r="B767" s="0" t="s">
        <v>189</v>
      </c>
      <c r="C767" s="19" t="n">
        <f aca="false">C766</f>
        <v>8.4832253</v>
      </c>
      <c r="D767" s="19" t="n">
        <f aca="false">D766</f>
        <v>11.7048599</v>
      </c>
      <c r="E767" s="19" t="n">
        <f aca="false">E766+0*E757</f>
        <v>15.3962448648451</v>
      </c>
      <c r="F767" s="19" t="n">
        <f aca="false">F766+0*F757</f>
        <v>18.1415652494029</v>
      </c>
      <c r="G767" s="19" t="n">
        <f aca="false">G766+0*G757</f>
        <v>19.3795468147087</v>
      </c>
    </row>
    <row r="768" customFormat="false" ht="15" hidden="false" customHeight="false" outlineLevel="0" collapsed="false">
      <c r="A768" s="4" t="s">
        <v>364</v>
      </c>
      <c r="B768" s="0" t="s">
        <v>189</v>
      </c>
      <c r="C768" s="19" t="n">
        <f aca="false">C764-C767</f>
        <v>27.5507747</v>
      </c>
      <c r="D768" s="19" t="n">
        <f aca="false">D764-D767</f>
        <v>60.8144953</v>
      </c>
      <c r="E768" s="19" t="n">
        <f aca="false">E764-E767</f>
        <v>92.8069329529364</v>
      </c>
      <c r="F768" s="19" t="n">
        <f aca="false">F764-F767</f>
        <v>119.582872284049</v>
      </c>
      <c r="G768" s="19" t="n">
        <f aca="false">G764-G767</f>
        <v>132.338098393191</v>
      </c>
    </row>
    <row r="769" customFormat="false" ht="15" hidden="false" customHeight="false" outlineLevel="0" collapsed="false">
      <c r="A769" s="4" t="s">
        <v>367</v>
      </c>
      <c r="B769" s="0" t="s">
        <v>49</v>
      </c>
      <c r="C769" s="14" t="n">
        <f aca="false">C768/C757</f>
        <v>0.1973</v>
      </c>
      <c r="D769" s="14" t="n">
        <f aca="false">D768/D757</f>
        <v>0.27004618465291</v>
      </c>
      <c r="E769" s="14" t="n">
        <f aca="false">E768/E757</f>
        <v>0.284108495530905</v>
      </c>
      <c r="F769" s="14" t="n">
        <f aca="false">F768/F757</f>
        <v>0.291757803267501</v>
      </c>
      <c r="G769" s="14" t="n">
        <f aca="false">G768/G757</f>
        <v>0.294197838671448</v>
      </c>
    </row>
    <row r="770" customFormat="false" ht="15" hidden="false" customHeight="false" outlineLevel="0" collapsed="false">
      <c r="A770" s="4" t="s">
        <v>369</v>
      </c>
      <c r="B770" s="0" t="s">
        <v>189</v>
      </c>
      <c r="C770" s="19" t="n">
        <f aca="false">a25_nop</f>
        <v>1.23179436863779</v>
      </c>
      <c r="D770" s="19" t="n">
        <f aca="false">a26_nop</f>
        <v>0.8186111</v>
      </c>
      <c r="E770" s="19" t="n">
        <f aca="false">nop_f</f>
        <v>1</v>
      </c>
      <c r="F770" s="19" t="n">
        <f aca="false">nop_f</f>
        <v>1</v>
      </c>
      <c r="G770" s="19" t="n">
        <f aca="false">nop_f</f>
        <v>1</v>
      </c>
    </row>
    <row r="771" customFormat="false" ht="17.15" hidden="false" customHeight="false" outlineLevel="0" collapsed="false">
      <c r="A771" s="4" t="s">
        <v>232</v>
      </c>
      <c r="B771" s="0" t="s">
        <v>49</v>
      </c>
      <c r="C771" s="14" t="n">
        <f aca="false">a25_ni/(a25_oi+a25_nop)</f>
        <v>0.666583999303438</v>
      </c>
      <c r="D771" s="14" t="n">
        <f aca="false">a26_ni/(a26_oi+a26_nop)</f>
        <v>0.674837141220258</v>
      </c>
      <c r="E771" s="14" t="n">
        <f aca="false">nir_f</f>
        <v>0.675</v>
      </c>
      <c r="F771" s="14" t="n">
        <f aca="false">nir_f</f>
        <v>0.675</v>
      </c>
      <c r="G771" s="14" t="n">
        <f aca="false">nir_f</f>
        <v>0.675</v>
      </c>
    </row>
    <row r="772" customFormat="false" ht="15" hidden="false" customHeight="false" outlineLevel="0" collapsed="false">
      <c r="A772" s="4" t="s">
        <v>373</v>
      </c>
      <c r="B772" s="0" t="s">
        <v>189</v>
      </c>
      <c r="C772" s="19" t="n">
        <f aca="false">a25_ni</f>
        <v>19.186</v>
      </c>
      <c r="D772" s="19" t="n">
        <f aca="false">a26_ni</f>
        <v>41.5923093275</v>
      </c>
      <c r="E772" s="19" t="n">
        <f aca="false">(E768+E770)*E771</f>
        <v>63.319679743232</v>
      </c>
      <c r="F772" s="19" t="n">
        <f aca="false">(F768+F770)*F771</f>
        <v>81.3934387917334</v>
      </c>
      <c r="G772" s="19" t="n">
        <f aca="false">(G768+G770)*G771</f>
        <v>90.0032164154042</v>
      </c>
    </row>
    <row r="773" customFormat="false" ht="15" hidden="false" customHeight="false" outlineLevel="0" collapsed="false">
      <c r="A773" s="4" t="s">
        <v>482</v>
      </c>
      <c r="B773" s="4" t="s">
        <v>215</v>
      </c>
      <c r="C773" s="22" t="n">
        <f aca="false">a25_sh</f>
        <v>0.390197274761033</v>
      </c>
      <c r="D773" s="22" t="n">
        <f aca="false">a26_sh</f>
        <v>0.392523574315222</v>
      </c>
      <c r="E773" s="22" t="n">
        <f aca="false">D773*(1+sh_g)</f>
        <v>0.392523574315222</v>
      </c>
      <c r="F773" s="22" t="n">
        <f aca="false">E773*(1+sh_g)</f>
        <v>0.392523574315222</v>
      </c>
      <c r="G773" s="22" t="n">
        <f aca="false">F773*(1+sh_g)</f>
        <v>0.392523574315222</v>
      </c>
    </row>
    <row r="774" customFormat="false" ht="15" hidden="false" customHeight="false" outlineLevel="0" collapsed="false">
      <c r="A774" s="0" t="s">
        <v>378</v>
      </c>
      <c r="B774" s="0" t="s">
        <v>252</v>
      </c>
      <c r="C774" s="20" t="n">
        <f aca="false">C772/C773</f>
        <v>49.17</v>
      </c>
      <c r="D774" s="20" t="n">
        <f aca="false">D772/D773</f>
        <v>105.961302834002</v>
      </c>
      <c r="E774" s="20" t="n">
        <f aca="false">E772/E773</f>
        <v>161.314335970003</v>
      </c>
      <c r="F774" s="20" t="n">
        <f aca="false">F772/F773</f>
        <v>207.359364169983</v>
      </c>
      <c r="G774" s="20" t="n">
        <f aca="false">G772/G773</f>
        <v>229.293785914437</v>
      </c>
    </row>
    <row r="775" customFormat="false" ht="17.15" hidden="false" customHeight="false" outlineLevel="0" collapsed="false">
      <c r="A775" s="0" t="s">
        <v>483</v>
      </c>
      <c r="B775" s="0" t="s">
        <v>49</v>
      </c>
      <c r="D775" s="14" t="n">
        <f aca="false">D774/C774-1</f>
        <v>1.15499904075659</v>
      </c>
      <c r="E775" s="14" t="n">
        <f aca="false">E774/D774-1</f>
        <v>0.522389133160403</v>
      </c>
      <c r="F775" s="14" t="n">
        <f aca="false">F774/E774-1</f>
        <v>0.28543667816692</v>
      </c>
      <c r="G775" s="14" t="n">
        <f aca="false">G774/F774-1</f>
        <v>0.105779750204451</v>
      </c>
    </row>
    <row r="778" customFormat="false" ht="17.15" hidden="false" customHeight="false" outlineLevel="0" collapsed="false">
      <c r="A778" s="1" t="s">
        <v>807</v>
      </c>
    </row>
    <row r="779" customFormat="false" ht="17.15" hidden="false" customHeight="false" outlineLevel="0" collapsed="false">
      <c r="A779" s="5" t="s">
        <v>18</v>
      </c>
      <c r="B779" s="5" t="s">
        <v>19</v>
      </c>
      <c r="C779" s="11" t="s">
        <v>347</v>
      </c>
      <c r="D779" s="11" t="s">
        <v>436</v>
      </c>
      <c r="E779" s="11" t="s">
        <v>437</v>
      </c>
      <c r="F779" s="11" t="s">
        <v>438</v>
      </c>
      <c r="G779" s="11" t="s">
        <v>439</v>
      </c>
      <c r="H779" s="5" t="s">
        <v>412</v>
      </c>
    </row>
    <row r="780" customFormat="false" ht="17.15" hidden="false" customHeight="false" outlineLevel="0" collapsed="false">
      <c r="A780" s="6" t="s">
        <v>455</v>
      </c>
    </row>
    <row r="781" customFormat="false" ht="17.15" hidden="false" customHeight="false" outlineLevel="0" collapsed="false">
      <c r="A781" s="0" t="s">
        <v>456</v>
      </c>
      <c r="B781" s="0" t="s">
        <v>29</v>
      </c>
      <c r="D781" s="20" t="n">
        <f aca="false">itc_26*1</f>
        <v>781.872916666667</v>
      </c>
      <c r="E781" s="20" t="n">
        <f aca="false">itc_27*1*1</f>
        <v>1565.35</v>
      </c>
      <c r="F781" s="20" t="n">
        <f aca="false">itc_28*um28_A*1</f>
        <v>1984.26388888889</v>
      </c>
      <c r="G781" s="20" t="n">
        <f aca="false">itc_29*um29_A*1</f>
        <v>2260.39027777778</v>
      </c>
    </row>
    <row r="782" customFormat="false" ht="17.15" hidden="false" customHeight="false" outlineLevel="0" collapsed="false">
      <c r="A782" s="4" t="s">
        <v>457</v>
      </c>
      <c r="B782" s="0" t="s">
        <v>29</v>
      </c>
      <c r="D782" s="20" t="n">
        <f aca="false">itpg_gb*(1-vr26)+itpg_vr*vr26</f>
        <v>33.41403216</v>
      </c>
      <c r="E782" s="20" t="n">
        <f aca="false">itpg_vr</f>
        <v>37.586352</v>
      </c>
      <c r="F782" s="20" t="n">
        <f aca="false">itpg_vr</f>
        <v>37.586352</v>
      </c>
      <c r="G782" s="20" t="n">
        <f aca="false">itpg_vr</f>
        <v>37.586352</v>
      </c>
    </row>
    <row r="783" customFormat="false" ht="17.15" hidden="false" customHeight="false" outlineLevel="0" collapsed="false">
      <c r="A783" s="4" t="s">
        <v>458</v>
      </c>
      <c r="B783" s="0" t="s">
        <v>414</v>
      </c>
      <c r="D783" s="17" t="n">
        <f aca="false">D781/D782</f>
        <v>23.3995380420639</v>
      </c>
      <c r="E783" s="17" t="n">
        <f aca="false">E781/E782</f>
        <v>41.6467658260637</v>
      </c>
      <c r="F783" s="17" t="n">
        <f aca="false">F781/F782</f>
        <v>52.792138191248</v>
      </c>
      <c r="G783" s="17" t="n">
        <f aca="false">G781/G782</f>
        <v>60.1385917361116</v>
      </c>
    </row>
    <row r="784" customFormat="false" ht="17.15" hidden="false" customHeight="false" outlineLevel="0" collapsed="false">
      <c r="A784" s="4" t="s">
        <v>459</v>
      </c>
      <c r="B784" s="0" t="s">
        <v>49</v>
      </c>
      <c r="D784" s="14" t="n">
        <f aca="false">lpen_26</f>
        <v>0.55</v>
      </c>
      <c r="E784" s="14" t="n">
        <f aca="false">lpen_27</f>
        <v>0.75</v>
      </c>
      <c r="F784" s="14" t="n">
        <f aca="false">lpen_28</f>
        <v>0.85</v>
      </c>
      <c r="G784" s="14" t="n">
        <f aca="false">lpen_29</f>
        <v>0.9</v>
      </c>
    </row>
    <row r="785" customFormat="false" ht="17.15" hidden="false" customHeight="false" outlineLevel="0" collapsed="false">
      <c r="A785" s="4" t="s">
        <v>460</v>
      </c>
      <c r="B785" s="0" t="s">
        <v>419</v>
      </c>
      <c r="D785" s="18" t="n">
        <f aca="false">((1-vr26)*racks_gb*(cool_gb+mani)+vr26*racks_vr*(cool_vr+mani))/1000</f>
        <v>350.7208</v>
      </c>
      <c r="E785" s="18" t="n">
        <f aca="false">racks_vr*(cool_vr+mani)*lcadj_27/1000</f>
        <v>326.5912</v>
      </c>
      <c r="F785" s="18" t="n">
        <f aca="false">racks_vr*(cool_vr+mani)*lcadj_28/1000</f>
        <v>351.7136</v>
      </c>
      <c r="G785" s="18" t="n">
        <f aca="false">racks_vr*(cool_vr+mani)*lcadj_29/1000</f>
        <v>351.7136</v>
      </c>
      <c r="H785" s="4" t="s">
        <v>461</v>
      </c>
    </row>
    <row r="786" customFormat="false" ht="17.15" hidden="false" customHeight="false" outlineLevel="0" collapsed="false">
      <c r="A786" s="0" t="s">
        <v>462</v>
      </c>
      <c r="B786" s="0" t="s">
        <v>29</v>
      </c>
      <c r="D786" s="20" t="n">
        <f aca="false">D783*D784*D785/1000</f>
        <v>4.5136875859587</v>
      </c>
      <c r="E786" s="20" t="n">
        <f aca="false">E783*E784*E785/1000</f>
        <v>10.2011004204398</v>
      </c>
      <c r="F786" s="20" t="n">
        <f aca="false">F783*F784*F785/1000</f>
        <v>15.7825560287001</v>
      </c>
      <c r="G786" s="20" t="n">
        <f aca="false">G783*G784*G785/1000</f>
        <v>19.0364045385942</v>
      </c>
    </row>
    <row r="787" customFormat="false" ht="17.15" hidden="false" customHeight="false" outlineLevel="0" collapsed="false">
      <c r="A787" s="0" t="s">
        <v>463</v>
      </c>
      <c r="B787" s="0" t="s">
        <v>189</v>
      </c>
      <c r="D787" s="19" t="n">
        <f aca="false">D786*fx</f>
        <v>144.438002750678</v>
      </c>
      <c r="E787" s="19" t="n">
        <f aca="false">E786*fx</f>
        <v>326.435213454075</v>
      </c>
      <c r="F787" s="19" t="n">
        <f aca="false">F786*fx</f>
        <v>505.041792918404</v>
      </c>
      <c r="G787" s="19" t="n">
        <f aca="false">G786*fx</f>
        <v>609.164945235016</v>
      </c>
    </row>
    <row r="788" customFormat="false" ht="17.15" hidden="false" customHeight="false" outlineLevel="0" collapsed="false">
      <c r="A788" s="4" t="s">
        <v>464</v>
      </c>
      <c r="B788" s="0" t="s">
        <v>49</v>
      </c>
      <c r="D788" s="14" t="n">
        <f aca="false">a26_lc/D787</f>
        <v>0.498927641116676</v>
      </c>
      <c r="H788" s="8" t="s">
        <v>465</v>
      </c>
    </row>
    <row r="789" customFormat="false" ht="17.15" hidden="false" customHeight="false" outlineLevel="0" collapsed="false">
      <c r="A789" s="4" t="s">
        <v>466</v>
      </c>
      <c r="B789" s="0" t="s">
        <v>70</v>
      </c>
      <c r="D789" s="15" t="n">
        <f aca="false">1</f>
        <v>1</v>
      </c>
      <c r="E789" s="15" t="n">
        <f aca="false">rel_27</f>
        <v>0.95</v>
      </c>
      <c r="F789" s="15" t="n">
        <f aca="false">rel_28</f>
        <v>0.9</v>
      </c>
      <c r="G789" s="15" t="n">
        <f aca="false">rel_29</f>
        <v>0.85</v>
      </c>
    </row>
    <row r="790" customFormat="false" ht="15" hidden="false" customHeight="false" outlineLevel="0" collapsed="false">
      <c r="A790" s="4" t="s">
        <v>426</v>
      </c>
      <c r="B790" s="0" t="s">
        <v>49</v>
      </c>
      <c r="D790" s="14" t="n">
        <f aca="false">$D$788*D789</f>
        <v>0.498927641116676</v>
      </c>
      <c r="E790" s="14" t="n">
        <f aca="false">$D$788*E789</f>
        <v>0.473981259060843</v>
      </c>
      <c r="F790" s="14" t="n">
        <f aca="false">$D$788*F789</f>
        <v>0.449034877005009</v>
      </c>
      <c r="G790" s="14" t="n">
        <f aca="false">$D$788*G789</f>
        <v>0.424088494949175</v>
      </c>
    </row>
    <row r="791" customFormat="false" ht="15" hidden="false" customHeight="false" outlineLevel="0" collapsed="false">
      <c r="A791" s="4" t="s">
        <v>467</v>
      </c>
      <c r="B791" s="0" t="s">
        <v>189</v>
      </c>
      <c r="C791" s="19" t="n">
        <f aca="false">a25_lc</f>
        <v>20.94585</v>
      </c>
      <c r="D791" s="19" t="n">
        <f aca="false">D787*D790</f>
        <v>72.064112</v>
      </c>
      <c r="E791" s="19" t="n">
        <f aca="false">E787*E790</f>
        <v>154.724173474757</v>
      </c>
      <c r="F791" s="19" t="n">
        <f aca="false">F787*F790</f>
        <v>226.781379365505</v>
      </c>
      <c r="G791" s="19" t="n">
        <f aca="false">G787*G790</f>
        <v>258.339844800514</v>
      </c>
    </row>
    <row r="792" customFormat="false" ht="17.15" hidden="false" customHeight="false" outlineLevel="0" collapsed="false">
      <c r="A792" s="6" t="s">
        <v>468</v>
      </c>
    </row>
    <row r="793" customFormat="false" ht="17.15" hidden="false" customHeight="false" outlineLevel="0" collapsed="false">
      <c r="A793" s="0" t="s">
        <v>469</v>
      </c>
      <c r="B793" s="0" t="s">
        <v>470</v>
      </c>
      <c r="D793" s="22" t="n">
        <f aca="false">a26_airH/D783</f>
        <v>2.69475824209213</v>
      </c>
    </row>
    <row r="794" customFormat="false" ht="17.15" hidden="false" customHeight="false" outlineLevel="0" collapsed="false">
      <c r="A794" s="0" t="s">
        <v>471</v>
      </c>
      <c r="B794" s="0" t="s">
        <v>70</v>
      </c>
      <c r="D794" s="15" t="n">
        <f aca="false">1</f>
        <v>1</v>
      </c>
      <c r="E794" s="15" t="n">
        <f aca="false">acr_27</f>
        <v>0.75</v>
      </c>
      <c r="F794" s="15" t="n">
        <f aca="false">acr_28</f>
        <v>0.65</v>
      </c>
      <c r="G794" s="15" t="n">
        <f aca="false">acr_29</f>
        <v>0.6</v>
      </c>
    </row>
    <row r="795" customFormat="false" ht="17.15" hidden="false" customHeight="false" outlineLevel="0" collapsed="false">
      <c r="A795" s="0" t="s">
        <v>472</v>
      </c>
      <c r="B795" s="0" t="s">
        <v>189</v>
      </c>
      <c r="C795" s="19" t="n">
        <f aca="false">a25_air</f>
        <v>30.999858</v>
      </c>
      <c r="D795" s="19" t="n">
        <f aca="false">D783*$D$793*D794</f>
        <v>63.056098</v>
      </c>
      <c r="E795" s="19" t="n">
        <f aca="false">E783*$D$793*E794</f>
        <v>84.1709740996993</v>
      </c>
      <c r="F795" s="19" t="n">
        <f aca="false">F783*$D$793*F794</f>
        <v>92.4703321805458</v>
      </c>
      <c r="G795" s="19" t="n">
        <f aca="false">G783*$D$793*G794</f>
        <v>97.23537944922</v>
      </c>
    </row>
    <row r="796" customFormat="false" ht="15" hidden="false" customHeight="false" outlineLevel="0" collapsed="false">
      <c r="A796" s="4" t="s">
        <v>473</v>
      </c>
      <c r="B796" s="0" t="s">
        <v>189</v>
      </c>
      <c r="C796" s="19" t="n">
        <f aca="false">a25_gen</f>
        <v>20.666572</v>
      </c>
      <c r="D796" s="19" t="n">
        <f aca="false">a26_genH</f>
        <v>15.7640245</v>
      </c>
      <c r="E796" s="19" t="n">
        <f aca="false">D796*(1+g_gen_27)</f>
        <v>17.02514646</v>
      </c>
      <c r="F796" s="19" t="n">
        <f aca="false">E796*(1+g_gen_28)</f>
        <v>18.0466552476</v>
      </c>
      <c r="G796" s="19" t="n">
        <f aca="false">F796*(1+g_gen_29)</f>
        <v>18.94898800998</v>
      </c>
    </row>
    <row r="797" customFormat="false" ht="17.15" hidden="false" customHeight="false" outlineLevel="0" collapsed="false">
      <c r="A797" s="4" t="s">
        <v>474</v>
      </c>
      <c r="B797" s="0" t="s">
        <v>189</v>
      </c>
      <c r="C797" s="19" t="n">
        <f aca="false">a25_nai</f>
        <v>67.02672</v>
      </c>
      <c r="D797" s="19" t="n">
        <f aca="false">a26_nai</f>
        <v>74.3161155</v>
      </c>
      <c r="E797" s="19" t="n">
        <f aca="false">D797*(1+g_nai_27)</f>
        <v>78.77508243</v>
      </c>
      <c r="F797" s="19" t="n">
        <f aca="false">E797*(1+g_nai_28)</f>
        <v>82.7138365515</v>
      </c>
      <c r="G797" s="19" t="n">
        <f aca="false">F797*(1+g_nai_29)</f>
        <v>86.02239001356</v>
      </c>
    </row>
    <row r="798" customFormat="false" ht="15" hidden="false" customHeight="false" outlineLevel="0" collapsed="false">
      <c r="A798" s="4" t="s">
        <v>353</v>
      </c>
      <c r="B798" s="0" t="s">
        <v>189</v>
      </c>
      <c r="C798" s="19" t="n">
        <f aca="false">C791+C795+C796+C797</f>
        <v>139.639</v>
      </c>
      <c r="D798" s="19" t="n">
        <f aca="false">D791+D795+D796+D797</f>
        <v>225.20035</v>
      </c>
      <c r="E798" s="19" t="n">
        <f aca="false">E791+E795+E796+E797</f>
        <v>334.695376464457</v>
      </c>
      <c r="F798" s="19" t="n">
        <f aca="false">F791+F795+F796+F797</f>
        <v>420.01220334515</v>
      </c>
      <c r="G798" s="19" t="n">
        <f aca="false">G791+G795+G796+G797</f>
        <v>460.546602273274</v>
      </c>
    </row>
    <row r="799" customFormat="false" ht="15" hidden="false" customHeight="false" outlineLevel="0" collapsed="false">
      <c r="A799" s="4" t="s">
        <v>475</v>
      </c>
      <c r="B799" s="0" t="s">
        <v>49</v>
      </c>
      <c r="D799" s="14" t="n">
        <f aca="false">D798/C798-1</f>
        <v>0.612732474451979</v>
      </c>
      <c r="E799" s="14" t="n">
        <f aca="false">E798/D798-1</f>
        <v>0.486211617630509</v>
      </c>
      <c r="F799" s="14" t="n">
        <f aca="false">F798/E798-1</f>
        <v>0.254908889934289</v>
      </c>
      <c r="G799" s="14" t="n">
        <f aca="false">G798/F798-1</f>
        <v>0.0965076695517211</v>
      </c>
    </row>
    <row r="800" customFormat="false" ht="17.15" hidden="false" customHeight="false" outlineLevel="0" collapsed="false">
      <c r="A800" s="4" t="s">
        <v>476</v>
      </c>
      <c r="B800" s="0" t="s">
        <v>49</v>
      </c>
      <c r="C800" s="14" t="n">
        <f aca="false">C791/C798</f>
        <v>0.15</v>
      </c>
      <c r="D800" s="14" t="n">
        <f aca="false">D791/D798</f>
        <v>0.32</v>
      </c>
      <c r="E800" s="14" t="n">
        <f aca="false">E791/E798</f>
        <v>0.462283569941064</v>
      </c>
      <c r="F800" s="14" t="n">
        <f aca="false">F791/F798</f>
        <v>0.539939976884777</v>
      </c>
      <c r="G800" s="14" t="n">
        <f aca="false">G791/G798</f>
        <v>0.560941810286602</v>
      </c>
    </row>
    <row r="801" customFormat="false" ht="17.15" hidden="false" customHeight="false" outlineLevel="0" collapsed="false">
      <c r="A801" s="0" t="s">
        <v>477</v>
      </c>
      <c r="B801" s="0" t="s">
        <v>49</v>
      </c>
      <c r="C801" s="14" t="n">
        <f aca="false">(C791+C795)/C798</f>
        <v>0.372</v>
      </c>
      <c r="D801" s="14" t="n">
        <f aca="false">(D791+D795)/D798</f>
        <v>0.6</v>
      </c>
      <c r="E801" s="14" t="n">
        <f aca="false">(E791+E795)/E798</f>
        <v>0.713768890679093</v>
      </c>
      <c r="F801" s="14" t="n">
        <f aca="false">(F791+F795)/F798</f>
        <v>0.760101037549381</v>
      </c>
      <c r="G801" s="14" t="n">
        <f aca="false">(G791+G795)/G798</f>
        <v>0.772072190945721</v>
      </c>
    </row>
    <row r="802" customFormat="false" ht="17.15" hidden="false" customHeight="false" outlineLevel="0" collapsed="false">
      <c r="A802" s="4" t="s">
        <v>431</v>
      </c>
      <c r="B802" s="0" t="s">
        <v>419</v>
      </c>
      <c r="D802" s="18" t="n">
        <f aca="false">(D791+D795)/fx/D783*1000</f>
        <v>180.452560854383</v>
      </c>
      <c r="E802" s="18" t="n">
        <f aca="false">(E791+E795)/fx/E783*1000</f>
        <v>179.256977429678</v>
      </c>
      <c r="F802" s="18" t="n">
        <f aca="false">(F791+F795)/fx/F783*1000</f>
        <v>188.979198941937</v>
      </c>
      <c r="G802" s="18" t="n">
        <f aca="false">(G791+G795)/fx/G783*1000</f>
        <v>184.768639188668</v>
      </c>
    </row>
    <row r="803" customFormat="false" ht="17.15" hidden="false" customHeight="false" outlineLevel="0" collapsed="false">
      <c r="A803" s="6" t="s">
        <v>478</v>
      </c>
    </row>
    <row r="804" customFormat="false" ht="17.15" hidden="false" customHeight="false" outlineLevel="0" collapsed="false">
      <c r="A804" s="4" t="s">
        <v>479</v>
      </c>
      <c r="B804" s="0" t="s">
        <v>49</v>
      </c>
      <c r="D804" s="14" t="n">
        <f aca="false">a26_gp/D798-d_lc*D800</f>
        <v>0.302821503074929</v>
      </c>
      <c r="H804" s="8" t="s">
        <v>480</v>
      </c>
    </row>
    <row r="805" customFormat="false" ht="15" hidden="false" customHeight="false" outlineLevel="0" collapsed="false">
      <c r="A805" s="4" t="s">
        <v>357</v>
      </c>
      <c r="B805" s="0" t="s">
        <v>189</v>
      </c>
      <c r="C805" s="19" t="n">
        <f aca="false">a25_gp</f>
        <v>36.034</v>
      </c>
      <c r="D805" s="19" t="n">
        <f aca="false">a26_gp</f>
        <v>72.5193552</v>
      </c>
      <c r="E805" s="19" t="n">
        <f aca="false">$D$804*E798+d_lc*E791</f>
        <v>110.636407381681</v>
      </c>
      <c r="F805" s="19" t="n">
        <f aca="false">$D$804*F798+d_lc*F791</f>
        <v>140.795609488721</v>
      </c>
      <c r="G805" s="19" t="n">
        <f aca="false">$D$804*G798+d_lc*G791</f>
        <v>154.963805024475</v>
      </c>
    </row>
    <row r="806" customFormat="false" ht="15" hidden="false" customHeight="false" outlineLevel="0" collapsed="false">
      <c r="A806" s="4" t="s">
        <v>360</v>
      </c>
      <c r="B806" s="0" t="s">
        <v>49</v>
      </c>
      <c r="C806" s="14" t="n">
        <f aca="false">C805/C798</f>
        <v>0.258051117524474</v>
      </c>
      <c r="D806" s="14" t="n">
        <f aca="false">D805/D798</f>
        <v>0.322021503074929</v>
      </c>
      <c r="E806" s="14" t="n">
        <f aca="false">E805/E798</f>
        <v>0.330558517271393</v>
      </c>
      <c r="F806" s="14" t="n">
        <f aca="false">F805/F798</f>
        <v>0.335217901688015</v>
      </c>
      <c r="G806" s="14" t="n">
        <f aca="false">G805/G798</f>
        <v>0.336478011692125</v>
      </c>
    </row>
    <row r="807" customFormat="false" ht="15" hidden="false" customHeight="false" outlineLevel="0" collapsed="false">
      <c r="A807" s="4" t="s">
        <v>481</v>
      </c>
      <c r="B807" s="0" t="s">
        <v>189</v>
      </c>
      <c r="C807" s="19" t="n">
        <f aca="false">a25_opx</f>
        <v>8.4832253</v>
      </c>
      <c r="D807" s="19" t="n">
        <f aca="false">a26_opx</f>
        <v>11.7048599</v>
      </c>
      <c r="E807" s="19" t="n">
        <f aca="false">D807*(1+MAX(0,phi*E799))</f>
        <v>15.6885871062822</v>
      </c>
      <c r="F807" s="19" t="n">
        <f aca="false">E807*(1+MAX(0,phi*F799))</f>
        <v>18.4879993330121</v>
      </c>
      <c r="G807" s="19" t="n">
        <f aca="false">F807*(1+MAX(0,phi*G799))</f>
        <v>19.736962944224</v>
      </c>
    </row>
    <row r="808" customFormat="false" ht="15" hidden="false" customHeight="false" outlineLevel="0" collapsed="false">
      <c r="A808" s="4" t="s">
        <v>362</v>
      </c>
      <c r="B808" s="0" t="s">
        <v>189</v>
      </c>
      <c r="C808" s="19" t="n">
        <f aca="false">C807</f>
        <v>8.4832253</v>
      </c>
      <c r="D808" s="19" t="n">
        <f aca="false">D807</f>
        <v>11.7048599</v>
      </c>
      <c r="E808" s="19" t="n">
        <f aca="false">E807+0*E798</f>
        <v>15.6885871062822</v>
      </c>
      <c r="F808" s="19" t="n">
        <f aca="false">F807+0*F798</f>
        <v>18.4879993330121</v>
      </c>
      <c r="G808" s="19" t="n">
        <f aca="false">G807+0*G798</f>
        <v>19.736962944224</v>
      </c>
    </row>
    <row r="809" customFormat="false" ht="15" hidden="false" customHeight="false" outlineLevel="0" collapsed="false">
      <c r="A809" s="4" t="s">
        <v>364</v>
      </c>
      <c r="B809" s="0" t="s">
        <v>189</v>
      </c>
      <c r="C809" s="19" t="n">
        <f aca="false">C805-C808</f>
        <v>27.5507747</v>
      </c>
      <c r="D809" s="19" t="n">
        <f aca="false">D805-D808</f>
        <v>60.8144953</v>
      </c>
      <c r="E809" s="19" t="n">
        <f aca="false">E805-E808</f>
        <v>94.9478202753991</v>
      </c>
      <c r="F809" s="19" t="n">
        <f aca="false">F805-F808</f>
        <v>122.307610155709</v>
      </c>
      <c r="G809" s="19" t="n">
        <f aca="false">G805-G808</f>
        <v>135.226842080251</v>
      </c>
    </row>
    <row r="810" customFormat="false" ht="15" hidden="false" customHeight="false" outlineLevel="0" collapsed="false">
      <c r="A810" s="4" t="s">
        <v>367</v>
      </c>
      <c r="B810" s="0" t="s">
        <v>49</v>
      </c>
      <c r="C810" s="14" t="n">
        <f aca="false">C809/C798</f>
        <v>0.1973</v>
      </c>
      <c r="D810" s="14" t="n">
        <f aca="false">D809/D798</f>
        <v>0.27004618465291</v>
      </c>
      <c r="E810" s="14" t="n">
        <f aca="false">E809/E798</f>
        <v>0.283684290109942</v>
      </c>
      <c r="F810" s="14" t="n">
        <f aca="false">F809/F798</f>
        <v>0.291200134618949</v>
      </c>
      <c r="G810" s="14" t="n">
        <f aca="false">G809/G798</f>
        <v>0.293622494255232</v>
      </c>
    </row>
    <row r="811" customFormat="false" ht="15" hidden="false" customHeight="false" outlineLevel="0" collapsed="false">
      <c r="A811" s="4" t="s">
        <v>369</v>
      </c>
      <c r="B811" s="0" t="s">
        <v>189</v>
      </c>
      <c r="C811" s="19" t="n">
        <f aca="false">a25_nop</f>
        <v>1.23179436863779</v>
      </c>
      <c r="D811" s="19" t="n">
        <f aca="false">a26_nop</f>
        <v>0.8186111</v>
      </c>
      <c r="E811" s="19" t="n">
        <f aca="false">nop_f</f>
        <v>1</v>
      </c>
      <c r="F811" s="19" t="n">
        <f aca="false">nop_f</f>
        <v>1</v>
      </c>
      <c r="G811" s="19" t="n">
        <f aca="false">nop_f</f>
        <v>1</v>
      </c>
    </row>
    <row r="812" customFormat="false" ht="17.15" hidden="false" customHeight="false" outlineLevel="0" collapsed="false">
      <c r="A812" s="4" t="s">
        <v>232</v>
      </c>
      <c r="B812" s="0" t="s">
        <v>49</v>
      </c>
      <c r="C812" s="14" t="n">
        <f aca="false">a25_ni/(a25_oi+a25_nop)</f>
        <v>0.666583999303438</v>
      </c>
      <c r="D812" s="14" t="n">
        <f aca="false">a26_ni/(a26_oi+a26_nop)</f>
        <v>0.674837141220258</v>
      </c>
      <c r="E812" s="14" t="n">
        <f aca="false">nir_f</f>
        <v>0.675</v>
      </c>
      <c r="F812" s="14" t="n">
        <f aca="false">nir_f</f>
        <v>0.675</v>
      </c>
      <c r="G812" s="14" t="n">
        <f aca="false">nir_f</f>
        <v>0.675</v>
      </c>
    </row>
    <row r="813" customFormat="false" ht="15" hidden="false" customHeight="false" outlineLevel="0" collapsed="false">
      <c r="A813" s="4" t="s">
        <v>373</v>
      </c>
      <c r="B813" s="0" t="s">
        <v>189</v>
      </c>
      <c r="C813" s="19" t="n">
        <f aca="false">a25_ni</f>
        <v>19.186</v>
      </c>
      <c r="D813" s="19" t="n">
        <f aca="false">a26_ni</f>
        <v>41.5923093275</v>
      </c>
      <c r="E813" s="19" t="n">
        <f aca="false">(E809+E811)*E812</f>
        <v>64.7647786858944</v>
      </c>
      <c r="F813" s="19" t="n">
        <f aca="false">(F809+F811)*F812</f>
        <v>83.2326368551037</v>
      </c>
      <c r="G813" s="19" t="n">
        <f aca="false">(G809+G811)*G812</f>
        <v>91.9531184041695</v>
      </c>
    </row>
    <row r="814" customFormat="false" ht="15" hidden="false" customHeight="false" outlineLevel="0" collapsed="false">
      <c r="A814" s="4" t="s">
        <v>482</v>
      </c>
      <c r="B814" s="4" t="s">
        <v>215</v>
      </c>
      <c r="C814" s="22" t="n">
        <f aca="false">a25_sh</f>
        <v>0.390197274761033</v>
      </c>
      <c r="D814" s="22" t="n">
        <f aca="false">a26_sh</f>
        <v>0.392523574315222</v>
      </c>
      <c r="E814" s="22" t="n">
        <f aca="false">D814*(1+sh_g)</f>
        <v>0.392523574315222</v>
      </c>
      <c r="F814" s="22" t="n">
        <f aca="false">E814*(1+sh_g)</f>
        <v>0.392523574315222</v>
      </c>
      <c r="G814" s="22" t="n">
        <f aca="false">F814*(1+sh_g)</f>
        <v>0.392523574315222</v>
      </c>
    </row>
    <row r="815" customFormat="false" ht="15" hidden="false" customHeight="false" outlineLevel="0" collapsed="false">
      <c r="A815" s="0" t="s">
        <v>378</v>
      </c>
      <c r="B815" s="0" t="s">
        <v>252</v>
      </c>
      <c r="C815" s="20" t="n">
        <f aca="false">C813/C814</f>
        <v>49.17</v>
      </c>
      <c r="D815" s="20" t="n">
        <f aca="false">D813/D814</f>
        <v>105.961302834002</v>
      </c>
      <c r="E815" s="20" t="n">
        <f aca="false">E813/E814</f>
        <v>164.995895593991</v>
      </c>
      <c r="F815" s="20" t="n">
        <f aca="false">F813/F814</f>
        <v>212.044937683825</v>
      </c>
      <c r="G815" s="20" t="n">
        <f aca="false">G813/G814</f>
        <v>234.261390706498</v>
      </c>
    </row>
    <row r="816" customFormat="false" ht="17.15" hidden="false" customHeight="false" outlineLevel="0" collapsed="false">
      <c r="A816" s="0" t="s">
        <v>483</v>
      </c>
      <c r="B816" s="0" t="s">
        <v>49</v>
      </c>
      <c r="D816" s="14" t="n">
        <f aca="false">D815/C815-1</f>
        <v>1.15499904075659</v>
      </c>
      <c r="E816" s="14" t="n">
        <f aca="false">E815/D815-1</f>
        <v>0.557133511773371</v>
      </c>
      <c r="F816" s="14" t="n">
        <f aca="false">F815/E815-1</f>
        <v>0.285152802864924</v>
      </c>
      <c r="G816" s="14" t="n">
        <f aca="false">G815/F815-1</f>
        <v>0.104772381106307</v>
      </c>
    </row>
    <row r="819" customFormat="false" ht="17.15" hidden="false" customHeight="false" outlineLevel="0" collapsed="false">
      <c r="A819" s="1" t="s">
        <v>808</v>
      </c>
    </row>
    <row r="820" customFormat="false" ht="17.15" hidden="false" customHeight="false" outlineLevel="0" collapsed="false">
      <c r="A820" s="5" t="s">
        <v>733</v>
      </c>
      <c r="B820" s="5" t="s">
        <v>734</v>
      </c>
      <c r="C820" s="11" t="s">
        <v>809</v>
      </c>
      <c r="D820" s="11" t="s">
        <v>810</v>
      </c>
      <c r="E820" s="5" t="s">
        <v>811</v>
      </c>
      <c r="F820" s="5" t="s">
        <v>812</v>
      </c>
    </row>
    <row r="821" customFormat="false" ht="17.15" hidden="false" customHeight="false" outlineLevel="0" collapsed="false">
      <c r="A821" s="4" t="s">
        <v>21</v>
      </c>
      <c r="B821" s="0" t="s">
        <v>813</v>
      </c>
      <c r="C821" s="1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3027.16031088643</v>
      </c>
      <c r="D821" s="18" t="n">
        <f aca="false">Val!B115</f>
        <v>4884.62765488289</v>
      </c>
      <c r="E821" s="18" t="n">
        <f aca="false">tp_w_dcf*C821+(1-tp_w_dcf)*D821</f>
        <v>3955.89398288466</v>
      </c>
      <c r="F821" s="14" t="n">
        <f aca="false">E821/E$821-1</f>
        <v>0</v>
      </c>
    </row>
    <row r="822" customFormat="false" ht="17.15" hidden="false" customHeight="false" outlineLevel="0" collapsed="false">
      <c r="A822" s="4" t="s">
        <v>814</v>
      </c>
      <c r="B822" s="0" t="s">
        <v>815</v>
      </c>
      <c r="C822" s="18" t="n">
        <f aca="false">(tp_wA*(Val!B89*(1-MIN(tp_g/tp_roe,0.8))/(1+(tp_r+0.01))^1+Val!B90*(1-MIN(tp_g/tp_roe,0.8))/(1+(tp_r+0.01))^2+Val!B91*(1-MIN(tp_g/tp_roe,0.8))/(1+(tp_r+0.01))^3+Val!B92*(1-MIN(tp_g/tp_roe,0.8))/(1+(tp_r+0.01))^4+Val!B93*(1-MIN(tp_g/tp_roe,0.8))/(1+(tp_r+0.01))^5+Val!B94*(1-MIN(tp_g/tp_roe,0.8))/(1+(tp_r+0.01))^6+Val!B94*(1-MIN(tp_g/tp_roe,0.8))*(1+tp_g)/((tp_r+0.01)-tp_g)/(1+(tp_r+0.01))^6)+tp_wB*(Val!C89*(1-MIN(tp_g/tp_roe,0.8))/(1+(tp_r+0.01))^1+Val!C90*(1-MIN(tp_g/tp_roe,0.8))/(1+(tp_r+0.01))^2+Val!C91*(1-MIN(tp_g/tp_roe,0.8))/(1+(tp_r+0.01))^3+Val!C92*(1-MIN(tp_g/tp_roe,0.8))/(1+(tp_r+0.01))^4+Val!C93*(1-MIN(tp_g/tp_roe,0.8))/(1+(tp_r+0.01))^5+Val!C94*(1-MIN(tp_g/tp_roe,0.8))/(1+(tp_r+0.01))^6+Val!C94*(1-MIN(tp_g/tp_roe,0.8))*(1+tp_g)/((tp_r+0.01)-tp_g)/(1+(tp_r+0.01))^6)+tp_wC*(Val!D89*(1-MIN(tp_g/tp_roe,0.8))/(1+(tp_r+0.01))^1+Val!D90*(1-MIN(tp_g/tp_roe,0.8))/(1+(tp_r+0.01))^2+Val!D91*(1-MIN(tp_g/tp_roe,0.8))/(1+(tp_r+0.01))^3+Val!D92*(1-MIN(tp_g/tp_roe,0.8))/(1+(tp_r+0.01))^4+Val!D93*(1-MIN(tp_g/tp_roe,0.8))/(1+(tp_r+0.01))^5+Val!D94*(1-MIN(tp_g/tp_roe,0.8))/(1+(tp_r+0.01))^6+Val!D94*(1-MIN(tp_g/tp_roe,0.8))*(1+tp_g)/((tp_r+0.01)-tp_g)/(1+(tp_r+0.01))^6))*(1+(tp_r+0.01))</f>
        <v>2614.66907420623</v>
      </c>
      <c r="D822" s="18" t="n">
        <f aca="false">Val!B115</f>
        <v>4884.62765488289</v>
      </c>
      <c r="E822" s="18" t="n">
        <f aca="false">tp_w_dcf*C822+(1-tp_w_dcf)*D822</f>
        <v>3749.64836454456</v>
      </c>
      <c r="F822" s="14" t="n">
        <f aca="false">E822/E$821-1</f>
        <v>-0.0521362855608443</v>
      </c>
    </row>
    <row r="823" customFormat="false" ht="17.15" hidden="false" customHeight="false" outlineLevel="0" collapsed="false">
      <c r="A823" s="4" t="s">
        <v>816</v>
      </c>
      <c r="B823" s="0" t="s">
        <v>817</v>
      </c>
      <c r="C823" s="18" t="n">
        <f aca="false">(tp_wA*(Val!B89*(1-MIN(tp_g/tp_roe,0.8))/(1+(tp_r-0.01))^1+Val!B90*(1-MIN(tp_g/tp_roe,0.8))/(1+(tp_r-0.01))^2+Val!B91*(1-MIN(tp_g/tp_roe,0.8))/(1+(tp_r-0.01))^3+Val!B92*(1-MIN(tp_g/tp_roe,0.8))/(1+(tp_r-0.01))^4+Val!B93*(1-MIN(tp_g/tp_roe,0.8))/(1+(tp_r-0.01))^5+Val!B94*(1-MIN(tp_g/tp_roe,0.8))/(1+(tp_r-0.01))^6+Val!B94*(1-MIN(tp_g/tp_roe,0.8))*(1+tp_g)/((tp_r-0.01)-tp_g)/(1+(tp_r-0.01))^6)+tp_wB*(Val!C89*(1-MIN(tp_g/tp_roe,0.8))/(1+(tp_r-0.01))^1+Val!C90*(1-MIN(tp_g/tp_roe,0.8))/(1+(tp_r-0.01))^2+Val!C91*(1-MIN(tp_g/tp_roe,0.8))/(1+(tp_r-0.01))^3+Val!C92*(1-MIN(tp_g/tp_roe,0.8))/(1+(tp_r-0.01))^4+Val!C93*(1-MIN(tp_g/tp_roe,0.8))/(1+(tp_r-0.01))^5+Val!C94*(1-MIN(tp_g/tp_roe,0.8))/(1+(tp_r-0.01))^6+Val!C94*(1-MIN(tp_g/tp_roe,0.8))*(1+tp_g)/((tp_r-0.01)-tp_g)/(1+(tp_r-0.01))^6)+tp_wC*(Val!D89*(1-MIN(tp_g/tp_roe,0.8))/(1+(tp_r-0.01))^1+Val!D90*(1-MIN(tp_g/tp_roe,0.8))/(1+(tp_r-0.01))^2+Val!D91*(1-MIN(tp_g/tp_roe,0.8))/(1+(tp_r-0.01))^3+Val!D92*(1-MIN(tp_g/tp_roe,0.8))/(1+(tp_r-0.01))^4+Val!D93*(1-MIN(tp_g/tp_roe,0.8))/(1+(tp_r-0.01))^5+Val!D94*(1-MIN(tp_g/tp_roe,0.8))/(1+(tp_r-0.01))^6+Val!D94*(1-MIN(tp_g/tp_roe,0.8))*(1+tp_g)/((tp_r-0.01)-tp_g)/(1+(tp_r-0.01))^6))*(1+(tp_r-0.01))</f>
        <v>3604.60969576352</v>
      </c>
      <c r="D823" s="18" t="n">
        <f aca="false">Val!B115</f>
        <v>4884.62765488289</v>
      </c>
      <c r="E823" s="18" t="n">
        <f aca="false">tp_w_dcf*C823+(1-tp_w_dcf)*D823</f>
        <v>4244.61867532321</v>
      </c>
      <c r="F823" s="14" t="n">
        <f aca="false">E823/E$821-1</f>
        <v>0.0729859530330508</v>
      </c>
    </row>
    <row r="824" customFormat="false" ht="17.15" hidden="false" customHeight="false" outlineLevel="0" collapsed="false">
      <c r="A824" s="4" t="s">
        <v>818</v>
      </c>
      <c r="B824" s="0" t="s">
        <v>819</v>
      </c>
      <c r="C824" s="18" t="n">
        <f aca="false">(tp_wA*(Val!B89*(1-MIN((tp_g+0.01)/tp_roe,0.8))/(1+tp_r)^1+Val!B90*(1-MIN((tp_g+0.01)/tp_roe,0.8))/(1+tp_r)^2+Val!B91*(1-MIN((tp_g+0.01)/tp_roe,0.8))/(1+tp_r)^3+Val!B92*(1-MIN((tp_g+0.01)/tp_roe,0.8))/(1+tp_r)^4+Val!B93*(1-MIN((tp_g+0.01)/tp_roe,0.8))/(1+tp_r)^5+Val!B94*(1-MIN((tp_g+0.01)/tp_roe,0.8))/(1+tp_r)^6+Val!B94*(1-MIN((tp_g+0.01)/tp_roe,0.8))*(1+(tp_g+0.01))/(tp_r-(tp_g+0.01))/(1+tp_r)^6)+tp_wB*(Val!C89*(1-MIN((tp_g+0.01)/tp_roe,0.8))/(1+tp_r)^1+Val!C90*(1-MIN((tp_g+0.01)/tp_roe,0.8))/(1+tp_r)^2+Val!C91*(1-MIN((tp_g+0.01)/tp_roe,0.8))/(1+tp_r)^3+Val!C92*(1-MIN((tp_g+0.01)/tp_roe,0.8))/(1+tp_r)^4+Val!C93*(1-MIN((tp_g+0.01)/tp_roe,0.8))/(1+tp_r)^5+Val!C94*(1-MIN((tp_g+0.01)/tp_roe,0.8))/(1+tp_r)^6+Val!C94*(1-MIN((tp_g+0.01)/tp_roe,0.8))*(1+(tp_g+0.01))/(tp_r-(tp_g+0.01))/(1+tp_r)^6)+tp_wC*(Val!D89*(1-MIN((tp_g+0.01)/tp_roe,0.8))/(1+tp_r)^1+Val!D90*(1-MIN((tp_g+0.01)/tp_roe,0.8))/(1+tp_r)^2+Val!D91*(1-MIN((tp_g+0.01)/tp_roe,0.8))/(1+tp_r)^3+Val!D92*(1-MIN((tp_g+0.01)/tp_roe,0.8))/(1+tp_r)^4+Val!D93*(1-MIN((tp_g+0.01)/tp_roe,0.8))/(1+tp_r)^5+Val!D94*(1-MIN((tp_g+0.01)/tp_roe,0.8))/(1+tp_r)^6+Val!D94*(1-MIN((tp_g+0.01)/tp_roe,0.8))*(1+(tp_g+0.01))/(tp_r-(tp_g+0.01))/(1+tp_r)^6))*(1+tp_r)</f>
        <v>3379.14049385033</v>
      </c>
      <c r="D824" s="18" t="n">
        <f aca="false">Val!B115</f>
        <v>4884.62765488289</v>
      </c>
      <c r="E824" s="18" t="n">
        <f aca="false">tp_w_dcf*C824+(1-tp_w_dcf)*D824</f>
        <v>4131.88407436661</v>
      </c>
      <c r="F824" s="14" t="n">
        <f aca="false">E824/E$821-1</f>
        <v>0.044488070773226</v>
      </c>
    </row>
    <row r="825" customFormat="false" ht="17.15" hidden="false" customHeight="false" outlineLevel="0" collapsed="false">
      <c r="A825" s="4" t="s">
        <v>820</v>
      </c>
      <c r="B825" s="0" t="s">
        <v>821</v>
      </c>
      <c r="C825" s="18" t="n">
        <f aca="false">(tp_wA*(Val!B89*(1-MIN((tp_g-0.01)/tp_roe,0.8))/(1+tp_r)^1+Val!B90*(1-MIN((tp_g-0.01)/tp_roe,0.8))/(1+tp_r)^2+Val!B91*(1-MIN((tp_g-0.01)/tp_roe,0.8))/(1+tp_r)^3+Val!B92*(1-MIN((tp_g-0.01)/tp_roe,0.8))/(1+tp_r)^4+Val!B93*(1-MIN((tp_g-0.01)/tp_roe,0.8))/(1+tp_r)^5+Val!B94*(1-MIN((tp_g-0.01)/tp_roe,0.8))/(1+tp_r)^6+Val!B94*(1-MIN((tp_g-0.01)/tp_roe,0.8))*(1+(tp_g-0.01))/(tp_r-(tp_g-0.01))/(1+tp_r)^6)+tp_wB*(Val!C89*(1-MIN((tp_g-0.01)/tp_roe,0.8))/(1+tp_r)^1+Val!C90*(1-MIN((tp_g-0.01)/tp_roe,0.8))/(1+tp_r)^2+Val!C91*(1-MIN((tp_g-0.01)/tp_roe,0.8))/(1+tp_r)^3+Val!C92*(1-MIN((tp_g-0.01)/tp_roe,0.8))/(1+tp_r)^4+Val!C93*(1-MIN((tp_g-0.01)/tp_roe,0.8))/(1+tp_r)^5+Val!C94*(1-MIN((tp_g-0.01)/tp_roe,0.8))/(1+tp_r)^6+Val!C94*(1-MIN((tp_g-0.01)/tp_roe,0.8))*(1+(tp_g-0.01))/(tp_r-(tp_g-0.01))/(1+tp_r)^6)+tp_wC*(Val!D89*(1-MIN((tp_g-0.01)/tp_roe,0.8))/(1+tp_r)^1+Val!D90*(1-MIN((tp_g-0.01)/tp_roe,0.8))/(1+tp_r)^2+Val!D91*(1-MIN((tp_g-0.01)/tp_roe,0.8))/(1+tp_r)^3+Val!D92*(1-MIN((tp_g-0.01)/tp_roe,0.8))/(1+tp_r)^4+Val!D93*(1-MIN((tp_g-0.01)/tp_roe,0.8))/(1+tp_r)^5+Val!D94*(1-MIN((tp_g-0.01)/tp_roe,0.8))/(1+tp_r)^6+Val!D94*(1-MIN((tp_g-0.01)/tp_roe,0.8))*(1+(tp_g-0.01))/(tp_r-(tp_g-0.01))/(1+tp_r)^6))*(1+tp_r)</f>
        <v>2782.19841545509</v>
      </c>
      <c r="D825" s="18" t="n">
        <f aca="false">Val!B115</f>
        <v>4884.62765488289</v>
      </c>
      <c r="E825" s="18" t="n">
        <f aca="false">tp_w_dcf*C825+(1-tp_w_dcf)*D825</f>
        <v>3833.41303516899</v>
      </c>
      <c r="F825" s="14" t="n">
        <f aca="false">E825/E$821-1</f>
        <v>-0.0309616355356304</v>
      </c>
    </row>
    <row r="826" customFormat="false" ht="17.15" hidden="false" customHeight="false" outlineLevel="0" collapsed="false">
      <c r="A826" s="0" t="s">
        <v>822</v>
      </c>
      <c r="B826" s="0" t="s">
        <v>823</v>
      </c>
      <c r="C826" s="1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3027.16031088643</v>
      </c>
      <c r="D826" s="18" t="n">
        <f aca="false">Val!B115</f>
        <v>4884.62765488289</v>
      </c>
      <c r="E826" s="18" t="n">
        <f aca="false">0.4*C826+(1-0.4)*D826</f>
        <v>4141.6407172843</v>
      </c>
      <c r="F826" s="14" t="n">
        <f aca="false">E826/E$821-1</f>
        <v>0.0469544267877975</v>
      </c>
    </row>
    <row r="827" customFormat="false" ht="17.15" hidden="false" customHeight="false" outlineLevel="0" collapsed="false">
      <c r="A827" s="0" t="s">
        <v>824</v>
      </c>
      <c r="B827" s="0" t="s">
        <v>825</v>
      </c>
      <c r="C827" s="1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3027.16031088643</v>
      </c>
      <c r="D827" s="18" t="n">
        <f aca="false">Val!B115</f>
        <v>4884.62765488289</v>
      </c>
      <c r="E827" s="18" t="n">
        <f aca="false">0.8*C827+(1-0.8)*D827</f>
        <v>3398.65377968572</v>
      </c>
      <c r="F827" s="14" t="n">
        <f aca="false">E827/E$821-1</f>
        <v>-0.140863280363392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826</v>
      </c>
    </row>
    <row r="2" customFormat="false" ht="17.15" hidden="false" customHeight="false" outlineLevel="0" collapsed="false">
      <c r="A2" s="4" t="s">
        <v>827</v>
      </c>
      <c r="B2" s="0" t="s">
        <v>828</v>
      </c>
    </row>
    <row r="3" customFormat="false" ht="17.15" hidden="false" customHeight="false" outlineLevel="0" collapsed="false">
      <c r="A3" s="4" t="s">
        <v>829</v>
      </c>
      <c r="B3" s="0" t="s">
        <v>830</v>
      </c>
    </row>
    <row r="4" customFormat="false" ht="17.15" hidden="false" customHeight="false" outlineLevel="0" collapsed="false">
      <c r="A4" s="4" t="s">
        <v>831</v>
      </c>
      <c r="B4" s="0" t="s">
        <v>832</v>
      </c>
    </row>
    <row r="5" customFormat="false" ht="17.15" hidden="false" customHeight="false" outlineLevel="0" collapsed="false">
      <c r="A5" s="4" t="s">
        <v>833</v>
      </c>
      <c r="B5" s="0" t="s">
        <v>834</v>
      </c>
    </row>
    <row r="6" customFormat="false" ht="17.15" hidden="false" customHeight="false" outlineLevel="0" collapsed="false">
      <c r="A6" s="4" t="s">
        <v>835</v>
      </c>
      <c r="B6" s="0" t="s">
        <v>836</v>
      </c>
    </row>
    <row r="7" customFormat="false" ht="17.15" hidden="false" customHeight="false" outlineLevel="0" collapsed="false">
      <c r="A7" s="4" t="s">
        <v>837</v>
      </c>
      <c r="B7" s="0" t="s">
        <v>208</v>
      </c>
    </row>
    <row r="8" customFormat="false" ht="17.15" hidden="false" customHeight="false" outlineLevel="0" collapsed="false">
      <c r="A8" s="4" t="s">
        <v>838</v>
      </c>
      <c r="B8" s="0" t="s">
        <v>246</v>
      </c>
    </row>
    <row r="9" customFormat="false" ht="17.15" hidden="false" customHeight="false" outlineLevel="0" collapsed="false">
      <c r="A9" s="4" t="s">
        <v>839</v>
      </c>
      <c r="B9" s="0" t="s">
        <v>840</v>
      </c>
    </row>
    <row r="10" customFormat="false" ht="17.15" hidden="false" customHeight="false" outlineLevel="0" collapsed="false">
      <c r="A10" s="4" t="s">
        <v>841</v>
      </c>
      <c r="B10" s="0" t="s">
        <v>249</v>
      </c>
    </row>
    <row r="11" customFormat="false" ht="17.15" hidden="false" customHeight="false" outlineLevel="0" collapsed="false">
      <c r="A11" s="4" t="s">
        <v>842</v>
      </c>
      <c r="B11" s="0" t="s">
        <v>843</v>
      </c>
    </row>
    <row r="12" customFormat="false" ht="17.15" hidden="false" customHeight="false" outlineLevel="0" collapsed="false">
      <c r="A12" s="4" t="s">
        <v>844</v>
      </c>
      <c r="B12" s="0" t="s">
        <v>845</v>
      </c>
    </row>
    <row r="13" customFormat="false" ht="17.15" hidden="false" customHeight="false" outlineLevel="0" collapsed="false">
      <c r="A13" s="4" t="s">
        <v>846</v>
      </c>
      <c r="B13" s="0" t="s">
        <v>285</v>
      </c>
    </row>
    <row r="14" customFormat="false" ht="17.15" hidden="false" customHeight="false" outlineLevel="0" collapsed="false">
      <c r="A14" s="4" t="s">
        <v>847</v>
      </c>
      <c r="B14" s="0" t="s">
        <v>848</v>
      </c>
    </row>
    <row r="15" customFormat="false" ht="17.15" hidden="false" customHeight="false" outlineLevel="0" collapsed="false">
      <c r="A15" s="4" t="s">
        <v>849</v>
      </c>
      <c r="B15" s="0" t="s">
        <v>850</v>
      </c>
    </row>
    <row r="16" customFormat="false" ht="17.15" hidden="false" customHeight="false" outlineLevel="0" collapsed="false">
      <c r="A16" s="4" t="s">
        <v>851</v>
      </c>
      <c r="B16" s="0" t="s">
        <v>852</v>
      </c>
    </row>
    <row r="17" customFormat="false" ht="17.15" hidden="false" customHeight="false" outlineLevel="0" collapsed="false">
      <c r="A17" s="4" t="s">
        <v>853</v>
      </c>
      <c r="B17" s="0" t="s">
        <v>854</v>
      </c>
    </row>
    <row r="18" customFormat="false" ht="17.15" hidden="false" customHeight="false" outlineLevel="0" collapsed="false">
      <c r="A18" s="4" t="s">
        <v>855</v>
      </c>
    </row>
    <row r="19" customFormat="false" ht="17.15" hidden="false" customHeight="false" outlineLevel="0" collapsed="false">
      <c r="A19" s="4" t="s">
        <v>856</v>
      </c>
      <c r="B19" s="4" t="s">
        <v>857</v>
      </c>
    </row>
    <row r="20" customFormat="false" ht="15" hidden="false" customHeight="false" outlineLevel="0" collapsed="false">
      <c r="A20" s="0" t="s">
        <v>858</v>
      </c>
      <c r="B20" s="4" t="s">
        <v>859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2026-10-25T04:09:37Z</dcterms:created>
  <dc:creator>openpyxl</dc:creator>
  <dc:description/>
  <dc:language>en-US</dc:language>
  <cp:lastModifiedBy/>
  <dcterms:modified xsi:type="dcterms:W3CDTF">2026-10-25T04:09:38Z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