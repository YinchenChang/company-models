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i" vbProcedure="false">Q!$B$4</definedName>
    <definedName function="false" hidden="false" name="a26_csg" vbProcedure="false">Q!$B$8</definedName>
    <definedName function="false" hidden="false" name="a26_csgoi" vbProcedure="false">Q!$B$12</definedName>
    <definedName function="false" hidden="false" name="a26_eps" vbProcedure="false">Q!$B$18</definedName>
    <definedName function="false" hidden="false" name="a26_isgoi" vbProcedure="false">Q!$B$11</definedName>
    <definedName function="false" hidden="false" name="a26_ni" vbProcedure="false">Q!$B$15</definedName>
    <definedName function="false" hidden="false" name="a26_oi" vbProcedure="false">Q!$B$13</definedName>
    <definedName function="false" hidden="false" name="a26_oth" vbProcedure="false">Q!$B$9</definedName>
    <definedName function="false" hidden="false" name="a26_rev" vbProcedure="false">Q!$B$10</definedName>
    <definedName function="false" hidden="false" name="a26_sh" vbProcedure="false">Q!$B$17</definedName>
    <definedName function="false" hidden="false" name="a26_st" vbProcedure="false">Q!$B$6</definedName>
    <definedName function="false" hidden="false" name="a26_tr" vbProcedure="false">Q!$B$5</definedName>
    <definedName function="false" hidden="false" name="a27_ai" vbProcedure="false">Q!$E$4</definedName>
    <definedName function="false" hidden="false" name="a27_csg" vbProcedure="false">Q!$E$8</definedName>
    <definedName function="false" hidden="false" name="a27_csgoi" vbProcedure="false">Q!$E$12</definedName>
    <definedName function="false" hidden="false" name="a27_eps" vbProcedure="false">Q!$E$18</definedName>
    <definedName function="false" hidden="false" name="a27_isgoi" vbProcedure="false">Q!$E$11</definedName>
    <definedName function="false" hidden="false" name="a27_ni" vbProcedure="false">Q!$E$15</definedName>
    <definedName function="false" hidden="false" name="a27_oi" vbProcedure="false">Q!$E$13</definedName>
    <definedName function="false" hidden="false" name="a27_oth" vbProcedure="false">Q!$E$9</definedName>
    <definedName function="false" hidden="false" name="a27_rev" vbProcedure="false">Q!$E$10</definedName>
    <definedName function="false" hidden="false" name="a27_sh" vbProcedure="false">Q!$E$17</definedName>
    <definedName function="false" hidden="false" name="a27_st" vbProcedure="false">Q!$E$6</definedName>
    <definedName function="false" hidden="false" name="a27_tr" vbProcedure="false">Q!$E$5</definedName>
    <definedName function="false" hidden="false" name="ai_dm" vbProcedure="false">In!$E$41</definedName>
    <definedName function="false" hidden="false" name="ai_dm_hi" vbProcedure="false">In!$F$41</definedName>
    <definedName function="false" hidden="false" name="ai_dm_lo" vbProcedure="false">In!$D$41</definedName>
    <definedName function="false" hidden="false" name="cons_feps" vbProcedure="false">In!$E$69</definedName>
    <definedName function="false" hidden="false" name="cons_tp" vbProcedure="false">In!$E$70</definedName>
    <definedName function="false" hidden="false" name="cons_tp_hi" vbProcedure="false">In!$F$70</definedName>
    <definedName function="false" hidden="false" name="cons_tp_lo" vbProcedure="false">In!$D$70</definedName>
    <definedName function="false" hidden="false" name="csg_h2" vbProcedure="false">In!$E$35</definedName>
    <definedName function="false" hidden="false" name="csg_h2m" vbProcedure="false">In!$E$37</definedName>
    <definedName function="false" hidden="false" name="csg_h2m_hi" vbProcedure="false">In!$F$37</definedName>
    <definedName function="false" hidden="false" name="csg_h2m_lo" vbProcedure="false">In!$D$37</definedName>
    <definedName function="false" hidden="false" name="csg_h2_hi" vbProcedure="false">In!$F$35</definedName>
    <definedName function="false" hidden="false" name="csg_h2_lo" vbProcedure="false">In!$D$35</definedName>
    <definedName function="false" hidden="false" name="c_eps27" vbProcedure="false">In!$E$62</definedName>
    <definedName function="false" hidden="false" name="c_eps28" vbProcedure="false">In!$E$64</definedName>
    <definedName function="false" hidden="false" name="c_rev27" vbProcedure="false">In!$E$61</definedName>
    <definedName function="false" hidden="false" name="c_rev28" vbProcedure="false">In!$E$63</definedName>
    <definedName function="false" hidden="false" name="dm_A" vbProcedure="false">In!$E$42</definedName>
    <definedName function="false" hidden="false" name="dm_B" vbProcedure="false">In!$E$43</definedName>
    <definedName function="false" hidden="false" name="dm_C" vbProcedure="false">In!$E$44</definedName>
    <definedName function="false" hidden="false" name="fade_gA" vbProcedure="false">In!$E$81</definedName>
    <definedName function="false" hidden="false" name="fade_gB" vbProcedure="false">In!$E$82</definedName>
    <definedName function="false" hidden="false" name="fade_gC" vbProcedure="false">In!$E$83</definedName>
    <definedName function="false" hidden="false" name="fade_mA" vbProcedure="false">In!$E$84</definedName>
    <definedName function="false" hidden="false" name="fade_mB" vbProcedure="false">In!$E$85</definedName>
    <definedName function="false" hidden="false" name="fade_mC" vbProcedure="false">In!$E$86</definedName>
    <definedName function="false" hidden="false" name="fpe" vbProcedure="false">In!$E$68</definedName>
    <definedName function="false" hidden="false" name="g_ai" vbProcedure="false">In!$E$31</definedName>
    <definedName function="false" hidden="false" name="g_csg28" vbProcedure="false">In!$E$54</definedName>
    <definedName function="false" hidden="false" name="g_csg28_hi" vbProcedure="false">In!$F$54</definedName>
    <definedName function="false" hidden="false" name="g_csg28_lo" vbProcedure="false">In!$D$54</definedName>
    <definedName function="false" hidden="false" name="g_csg29" vbProcedure="false">In!$E$55</definedName>
    <definedName function="false" hidden="false" name="g_csg29_hi" vbProcedure="false">In!$F$55</definedName>
    <definedName function="false" hidden="false" name="g_csg29_lo" vbProcedure="false">In!$D$55</definedName>
    <definedName function="false" hidden="false" name="g_csg30" vbProcedure="false">In!$E$56</definedName>
    <definedName function="false" hidden="false" name="g_csg30_hi" vbProcedure="false">In!$F$56</definedName>
    <definedName function="false" hidden="false" name="g_csg30_lo" vbProcedure="false">In!$D$56</definedName>
    <definedName function="false" hidden="false" name="g_eps" vbProcedure="false">In!$E$32</definedName>
    <definedName function="false" hidden="false" name="g_eps_hi" vbProcedure="false">In!$F$32</definedName>
    <definedName function="false" hidden="false" name="g_eps_lo" vbProcedure="false">In!$D$32</definedName>
    <definedName function="false" hidden="false" name="g_q3rev" vbProcedure="false">In!$E$33</definedName>
    <definedName function="false" hidden="false" name="g_q3rev_hi" vbProcedure="false">In!$F$33</definedName>
    <definedName function="false" hidden="false" name="g_q3rev_lo" vbProcedure="false">In!$D$33</definedName>
    <definedName function="false" hidden="false" name="g_rev" vbProcedure="false">In!$E$30</definedName>
    <definedName function="false" hidden="false" name="g_rev_hi" vbProcedure="false">In!$F$30</definedName>
    <definedName function="false" hidden="false" name="g_rev_lo" vbProcedure="false">In!$D$30</definedName>
    <definedName function="false" hidden="false" name="g_st28" vbProcedure="false">In!$E$51</definedName>
    <definedName function="false" hidden="false" name="g_st28_hi" vbProcedure="false">In!$F$51</definedName>
    <definedName function="false" hidden="false" name="g_st28_lo" vbProcedure="false">In!$D$51</definedName>
    <definedName function="false" hidden="false" name="g_st29" vbProcedure="false">In!$E$52</definedName>
    <definedName function="false" hidden="false" name="g_st29_hi" vbProcedure="false">In!$F$52</definedName>
    <definedName function="false" hidden="false" name="g_st29_lo" vbProcedure="false">In!$D$52</definedName>
    <definedName function="false" hidden="false" name="g_st30" vbProcedure="false">In!$E$53</definedName>
    <definedName function="false" hidden="false" name="g_st30_hi" vbProcedure="false">In!$F$53</definedName>
    <definedName function="false" hidden="false" name="g_st30_lo" vbProcedure="false">In!$D$53</definedName>
    <definedName function="false" hidden="false" name="g_tr28" vbProcedure="false">In!$E$48</definedName>
    <definedName function="false" hidden="false" name="g_tr28_hi" vbProcedure="false">In!$F$48</definedName>
    <definedName function="false" hidden="false" name="g_tr28_lo" vbProcedure="false">In!$D$48</definedName>
    <definedName function="false" hidden="false" name="g_tr29" vbProcedure="false">In!$E$49</definedName>
    <definedName function="false" hidden="false" name="g_tr29_hi" vbProcedure="false">In!$F$49</definedName>
    <definedName function="false" hidden="false" name="g_tr29_lo" vbProcedure="false">In!$D$49</definedName>
    <definedName function="false" hidden="false" name="g_tr30" vbProcedure="false">In!$E$50</definedName>
    <definedName function="false" hidden="false" name="g_tr30_hi" vbProcedure="false">In!$F$50</definedName>
    <definedName function="false" hidden="false" name="g_tr30_lo" vbProcedure="false">In!$D$50</definedName>
    <definedName function="false" hidden="false" name="h2_sh" vbProcedure="false">In!$E$38</definedName>
    <definedName function="false" hidden="false" name="h2_sh_hi" vbProcedure="false">In!$F$38</definedName>
    <definedName function="false" hidden="false" name="h2_sh_lo" vbProcedure="false">In!$D$38</definedName>
    <definedName function="false" hidden="false" name="isg_h2m" vbProcedure="false">In!$E$36</definedName>
    <definedName function="false" hidden="false" name="isg_h2m_hi" vbProcedure="false">In!$F$36</definedName>
    <definedName function="false" hidden="false" name="isg_h2m_lo" vbProcedure="false">In!$D$36</definedName>
    <definedName function="false" hidden="false" name="mf" vbProcedure="false">In!$E$21</definedName>
    <definedName function="false" hidden="false" name="mf_hi" vbProcedure="false">In!$F$21</definedName>
    <definedName function="false" hidden="false" name="mf_lo" vbProcedure="false">In!$D$21</definedName>
    <definedName function="false" hidden="false" name="m_csgf" vbProcedure="false">In!$E$46</definedName>
    <definedName function="false" hidden="false" name="m_csgf_hi" vbProcedure="false">In!$F$46</definedName>
    <definedName function="false" hidden="false" name="m_csgf_lo" vbProcedure="false">In!$D$46</definedName>
    <definedName function="false" hidden="false" name="m_nai" vbProcedure="false">In!$E$39</definedName>
    <definedName function="false" hidden="false" name="m_naif" vbProcedure="false">In!$E$45</definedName>
    <definedName function="false" hidden="false" name="m_naif_hi" vbProcedure="false">In!$F$45</definedName>
    <definedName function="false" hidden="false" name="m_naif_lo" vbProcedure="false">In!$D$45</definedName>
    <definedName function="false" hidden="false" name="m_nai_hi" vbProcedure="false">In!$F$39</definedName>
    <definedName function="false" hidden="false" name="m_nai_lo" vbProcedure="false">In!$D$39</definedName>
    <definedName function="false" hidden="false" name="nio_f" vbProcedure="false">In!$E$58</definedName>
    <definedName function="false" hidden="false" name="nio_f_hi" vbProcedure="false">In!$F$58</definedName>
    <definedName function="false" hidden="false" name="nio_f_lo" vbProcedure="false">In!$D$58</definedName>
    <definedName function="false" hidden="false" name="nm10_k" vbProcedure="false">In!$E$80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In!$E$67</definedName>
    <definedName function="false" hidden="false" name="px" vbProcedure="false">In!$E$66</definedName>
    <definedName function="false" hidden="false" name="rel_28" vbProcedure="false">In!$E$23</definedName>
    <definedName function="false" hidden="false" name="rel_28_hi" vbProcedure="false">In!$F$23</definedName>
    <definedName function="false" hidden="false" name="rel_28_lo" vbProcedure="false">In!$D$23</definedName>
    <definedName function="false" hidden="false" name="rel_29" vbProcedure="false">In!$E$24</definedName>
    <definedName function="false" hidden="false" name="rel_29_hi" vbProcedure="false">In!$F$24</definedName>
    <definedName function="false" hidden="false" name="rel_29_lo" vbProcedure="false">In!$D$24</definedName>
    <definedName function="false" hidden="false" name="rel_30" vbProcedure="false">In!$E$25</definedName>
    <definedName function="false" hidden="false" name="rel_30_hi" vbProcedure="false">In!$F$25</definedName>
    <definedName function="false" hidden="false" name="rel_30_lo" vbProcedure="false">In!$D$25</definedName>
    <definedName function="false" hidden="false" name="rm_factor" vbProcedure="false">Val!$B$153</definedName>
    <definedName function="false" hidden="false" name="sh_g" vbProcedure="false">In!$E$59</definedName>
    <definedName function="false" hidden="false" name="sh_g_hi" vbProcedure="false">In!$F$59</definedName>
    <definedName function="false" hidden="false" name="sh_g_lo" vbProcedure="false">In!$D$59</definedName>
    <definedName function="false" hidden="false" name="so" vbProcedure="false">In!$E$71</definedName>
    <definedName function="false" hidden="false" name="srel_A" vbProcedure="false">In!$E$26</definedName>
    <definedName function="false" hidden="false" name="srel_B" vbProcedure="false">In!$E$27</definedName>
    <definedName function="false" hidden="false" name="srel_C" vbProcedure="false">In!$E$28</definedName>
    <definedName function="false" hidden="false" name="st_h2" vbProcedure="false">In!$E$34</definedName>
    <definedName function="false" hidden="false" name="st_h2_hi" vbProcedure="false">In!$F$34</definedName>
    <definedName function="false" hidden="false" name="st_h2_lo" vbProcedure="false">In!$D$34</definedName>
    <definedName function="false" hidden="false" name="tp_comp_adj" vbProcedure="false">Val!$B$154</definedName>
    <definedName function="false" hidden="false" name="tp_g" vbProcedure="false">In!$E$77</definedName>
    <definedName function="false" hidden="false" name="tp_r" vbProcedure="false">In!$E$76</definedName>
    <definedName function="false" hidden="false" name="tp_roe" vbProcedure="false">In!$E$78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tp_w_dcf" vbProcedure="false">In!$E$79</definedName>
    <definedName function="false" hidden="false" name="ug_26" vbProcedure="false">In!$E$5</definedName>
    <definedName function="false" hidden="false" name="ug_27" vbProcedure="false">In!$E$6</definedName>
    <definedName function="false" hidden="false" name="ug_28" vbProcedure="false">In!$E$7</definedName>
    <definedName function="false" hidden="false" name="ug_29" vbProcedure="false">In!$E$8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v_26" vbProcedure="false">In!$E$9</definedName>
    <definedName function="false" hidden="false" name="uv_27" vbProcedure="false">In!$E$10</definedName>
    <definedName function="false" hidden="false" name="uv_28" vbProcedure="false">In!$E$11</definedName>
    <definedName function="false" hidden="false" name="uv_29" vbProcedure="false">In!$E$12</definedName>
    <definedName function="false" hidden="false" name="v_gb" vbProcedure="false">In!$E$19</definedName>
    <definedName function="false" hidden="false" name="v_gb_hi" vbProcedure="false">In!$F$19</definedName>
    <definedName function="false" hidden="false" name="v_gb_lo" vbProcedure="false">In!$D$19</definedName>
    <definedName function="false" hidden="false" name="v_vr" vbProcedure="false">In!$E$20</definedName>
    <definedName function="false" hidden="false" name="v_vr_hi" vbProcedure="false">In!$F$20</definedName>
    <definedName function="false" hidden="false" name="v_vr_lo" vbProcedure="false">In!$D$20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<sst xmlns="http://schemas.openxmlformats.org/spreadsheetml/2006/main" count="2871" uniqueCount="798">
  <si>
    <r>
      <rPr>
        <b val="true"/>
        <sz val="11"/>
        <rFont val="Cambria"/>
        <family val="0"/>
        <charset val="1"/>
      </rPr>
      <t xml:space="preserve">Dell Technologies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DELL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伺服器品牌，樣板＝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</si>
  <si>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是企業與 </t>
    </r>
    <r>
      <rPr>
        <sz val="11"/>
        <rFont val="Cambria"/>
        <family val="0"/>
        <charset val="1"/>
      </rPr>
      <t xml:space="preserve">neocloud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伺服器品牌（</t>
    </r>
    <r>
      <rPr>
        <sz val="11"/>
        <rFont val="Cambria"/>
        <family val="0"/>
        <charset val="1"/>
      </rPr>
      <t xml:space="preserve">ISG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伺服器、傳統伺服器與網通、儲存）兼 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大廠（</t>
    </r>
    <r>
      <rPr>
        <sz val="11"/>
        <rFont val="Cambria"/>
        <family val="0"/>
        <charset val="1"/>
      </rPr>
      <t xml:space="preserve">CSG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 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份額推；傳統伺服器、儲存、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另列，不隨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</si>
  <si>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份額相對值；營業利益＝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殘差校準）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營收＋非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</si>
  <si>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25.50 </t>
    </r>
    <r>
      <rPr>
        <sz val="11"/>
        <rFont val="Noto Sans CJK SC"/>
        <family val="2"/>
      </rPr>
      <t xml:space="preserve">美元已比年初指引高一倍；在手訂單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億美元能否在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轉成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營收再成長、同時守住約 </t>
    </r>
    <r>
      <rPr>
        <sz val="11"/>
        <rFont val="Cambria"/>
        <family val="0"/>
        <charset val="1"/>
      </rPr>
      <t xml:space="preserve">10%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營益率？現價約 </t>
    </r>
    <r>
      <rPr>
        <sz val="11"/>
        <rFont val="Cambria"/>
        <family val="0"/>
        <charset val="1"/>
      </rPr>
      <t xml:space="preserve">16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OEM </t>
    </r>
    <r>
      <rPr>
        <sz val="11"/>
        <rFont val="Noto Sans CJK SC"/>
        <family val="2"/>
      </rPr>
      <t xml:space="preserve">同業約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倍，隱含什麼路徑？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</si>
  <si>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FY2028 EPS 30.20</t>
    </r>
    <r>
      <rPr>
        <sz val="11"/>
        <rFont val="Noto Sans CJK SC"/>
        <family val="2"/>
      </rPr>
      <t xml:space="preserve">（三情境相同）比共識 </t>
    </r>
    <r>
      <rPr>
        <sz val="11"/>
        <rFont val="Cambria"/>
        <family val="0"/>
        <charset val="1"/>
      </rPr>
      <t xml:space="preserve">29.93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0.9%</t>
    </r>
    <r>
      <rPr>
        <sz val="11"/>
        <rFont val="Noto Sans CJK SC"/>
        <family val="2"/>
      </rPr>
      <t xml:space="preserve">，前提是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伺服器營收由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億美元升到 </t>
    </r>
    <r>
      <rPr>
        <sz val="11"/>
        <rFont val="Cambria"/>
        <family val="0"/>
        <charset val="1"/>
      </rPr>
      <t xml:space="preserve">1,221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+65%</t>
    </r>
    <r>
      <rPr>
        <sz val="11"/>
        <rFont val="Noto Sans CJK SC"/>
        <family val="2"/>
      </rPr>
      <t xml:space="preserve">；份額相對值 </t>
    </r>
    <r>
      <rPr>
        <sz val="11"/>
        <rFont val="Cambria"/>
        <family val="0"/>
        <charset val="1"/>
      </rPr>
      <t xml:space="preserve">0.90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2Q FY27 </t>
    </r>
    <r>
      <rPr>
        <sz val="11"/>
        <rFont val="Noto Sans CJK SC"/>
        <family val="2"/>
      </rPr>
      <t xml:space="preserve">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億美元可支撐約八成。追蹤 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訂單、在手訂單與出貨。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</si>
  <si>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伺服器營益率是最大的不確定：公司不揭露，本模型以非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拆分得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11.1%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5.4%</t>
    </r>
    <r>
      <rPr>
        <sz val="11"/>
        <rFont val="Noto Sans CJK SC"/>
        <family val="2"/>
      </rPr>
      <t xml:space="preserve">）；拆分改用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時 </t>
    </r>
    <r>
      <rPr>
        <sz val="11"/>
        <rFont val="Cambria"/>
        <family val="0"/>
        <charset val="1"/>
      </rPr>
      <t xml:space="preserve">FY2028 EPS −11%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−</t>
    </r>
    <r>
      <rPr>
        <sz val="11"/>
        <rFont val="Cambria"/>
        <family val="0"/>
        <charset val="1"/>
      </rPr>
      <t xml:space="preserve">3pt </t>
    </r>
    <r>
      <rPr>
        <sz val="11"/>
        <rFont val="Noto Sans CJK SC"/>
        <family val="2"/>
      </rPr>
      <t xml:space="preserve">時 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15.0%</t>
    </r>
    <r>
      <rPr>
        <sz val="11"/>
        <rFont val="Noto Sans CJK SC"/>
        <family val="2"/>
      </rPr>
      <t xml:space="preserve">）是第一個檢驗點。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</si>
  <si>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FY2027≈CY2026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FY2030≈CY2029</t>
    </r>
    <r>
      <rPr>
        <sz val="11"/>
        <rFont val="Noto Sans CJK SC"/>
        <family val="2"/>
      </rPr>
      <t xml:space="preserve">）。金額：十億美元。口徑：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（公司指引、共識、同業倍數一致）；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頁對照。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</si>
  <si>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</si>
  <si>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另含 </t>
    </r>
    <r>
      <rPr>
        <sz val="11"/>
        <rFont val="Cambria"/>
        <family val="0"/>
        <charset val="1"/>
      </rPr>
      <t xml:space="preserve">AMD MI355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起另含 </t>
    </r>
    <r>
      <rPr>
        <sz val="11"/>
        <rFont val="Cambria"/>
        <family val="0"/>
        <charset val="1"/>
      </rPr>
      <t xml:space="preserve">AMD MI450</t>
    </r>
    <r>
      <rPr>
        <sz val="11"/>
        <rFont val="Noto Sans CJK SC"/>
        <family val="2"/>
      </rPr>
      <t xml:space="preserve">）顆數（世代分組與 </t>
    </r>
    <r>
      <rPr>
        <sz val="11"/>
        <rFont val="Cambria"/>
        <family val="0"/>
        <charset val="1"/>
      </rPr>
      <t xml:space="preserve">Siliconomics Rack </t>
    </r>
    <r>
      <rPr>
        <sz val="11"/>
        <rFont val="Noto Sans CJK SC"/>
        <family val="2"/>
      </rPr>
      <t xml:space="preserve">頁、美超微模型相同，</t>
    </r>
    <r>
      <rPr>
        <sz val="11"/>
        <rFont val="Cambria"/>
        <family val="0"/>
        <charset val="1"/>
      </rPr>
      <t xml:space="preserve">CF10</t>
    </r>
    <r>
      <rPr>
        <sz val="11"/>
        <rFont val="Noto Sans CJK SC"/>
        <family val="2"/>
      </rPr>
      <t xml:space="preserve">）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 </t>
    </r>
    <r>
      <rPr>
        <sz val="11"/>
        <rFont val="Cambria"/>
        <family val="0"/>
        <charset val="1"/>
      </rPr>
      <t xml:space="preserve">Tokenomics v20.1 </t>
    </r>
    <r>
      <rPr>
        <sz val="11"/>
        <rFont val="Noto Sans CJK SC"/>
        <family val="2"/>
      </rPr>
      <t xml:space="preserve">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59.7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116.7 </t>
    </r>
    <r>
      <rPr>
        <sz val="11"/>
        <rFont val="Noto Sans CJK SC"/>
        <family val="2"/>
      </rPr>
      <t xml:space="preserve">千美元）＝商用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情境份額乘數（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</si>
  <si>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：傳統伺服器與網通、儲存、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依成長率推（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情境）。營業利益：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營益率＝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營業利益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營收）＋</t>
    </r>
    <r>
      <rPr>
        <sz val="11"/>
        <rFont val="Cambria"/>
        <family val="0"/>
        <charset val="1"/>
      </rPr>
      <t xml:space="preserve">ai_dm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起加情境變動）；非 </t>
    </r>
    <r>
      <rPr>
        <sz val="11"/>
        <rFont val="Cambria"/>
        <family val="0"/>
        <charset val="1"/>
      </rPr>
      <t xml:space="preserve">AI ISG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。淨利＝分部營業利益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淨利係數；股數每年 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（回購）。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</si>
  <si>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公司全年指引（營收、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1H FY27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</si>
  <si>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只計一個月，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Lenovo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 Inc.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NetApp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</si>
  <si>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FY2028–FY2030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FY2031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FY2030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</si>
  <si>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</si>
  <si>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營益率公司不揭露，以非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案例）；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份額相對值、情境份額乘數與營益率變動是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AMD Helios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每顆系統價值假設同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股東權益為負，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</t>
    </r>
    <r>
      <rPr>
        <sz val="11"/>
        <rFont val="Noto Sans CJK SC"/>
        <family val="2"/>
      </rPr>
      <t xml:space="preserve">，且為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FY2029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</si>
  <si>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</si>
  <si>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</si>
  <si>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）；每顆系統價值：千美元／顆；比例：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</si>
  <si>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）；公司指引與展望為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成品、每顆系統價值讀橋接表（唯讀）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</si>
  <si>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</si>
  <si>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</si>
  <si>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</si>
  <si>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</si>
  <si>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</si>
  <si>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</si>
  <si>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</si>
  <si>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</si>
  <si>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</si>
  <si>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</si>
  <si>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ug_26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</si>
  <si>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</si>
  <si>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</si>
  <si>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</si>
  <si>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</si>
  <si>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u_bw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u_hp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；世代分組與 </t>
    </r>
    <r>
      <rPr>
        <sz val="11"/>
        <color theme="1"/>
        <rFont val="Calibri"/>
        <family val="2"/>
        <charset val="1"/>
      </rPr>
      <t xml:space="preserve">Siliconomics Rack </t>
    </r>
    <r>
      <rPr>
        <sz val="11"/>
        <color theme="1"/>
        <rFont val="Noto Sans CJK SC"/>
        <family val="2"/>
      </rPr>
      <t xml:space="preserve">頁、美超微模型相同（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）</t>
    </r>
  </si>
  <si>
    <t xml:space="preserve">ug_27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</si>
  <si>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</si>
  <si>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</si>
  <si>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ug_28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</si>
  <si>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</si>
  <si>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ug_29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</si>
  <si>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</si>
  <si>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uv_26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</si>
  <si>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</si>
  <si>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u_rb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u_ru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不含（雲端自建，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不是主要供應商）</t>
    </r>
  </si>
  <si>
    <t xml:space="preserve">uv_27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</si>
  <si>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</si>
  <si>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</si>
  <si>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</si>
  <si>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</si>
  <si>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</si>
  <si>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</si>
  <si>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</si>
  <si>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</si>
  <si>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</si>
  <si>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</si>
  <si>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＝不如預期；與台積電、廣達、緯穎模型同字母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</si>
  <si>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</si>
  <si>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</si>
  <si>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</si>
  <si>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</si>
  <si>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</si>
  <si>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</si>
  <si>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</si>
  <si>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</si>
  <si>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</si>
  <si>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</si>
  <si>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</si>
  <si>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</si>
  <si>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</si>
  <si>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</si>
  <si>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</si>
  <si>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</si>
  <si>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</si>
  <si>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</si>
  <si>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In!D5:I5</t>
    </r>
    <r>
      <rPr>
        <sz val="11"/>
        <color theme="1"/>
        <rFont val="Noto Sans CJK SC"/>
        <family val="2"/>
      </rPr>
      <t xml:space="preserve">（機架單價）</t>
    </r>
    <r>
      <rPr>
        <sz val="11"/>
        <color theme="1"/>
        <rFont val="Calibri"/>
        <family val="2"/>
        <charset val="1"/>
      </rPr>
      <t xml:space="preserve">÷ In!E14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</si>
  <si>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機架單價（經橋接表；唯讀）；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，營收含整櫃（含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</si>
  <si>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</si>
  <si>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假設相同）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</si>
  <si>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每顆價值未另訂（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</si>
  <si>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</si>
  <si>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</si>
  <si>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</si>
  <si>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</si>
  <si>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B. 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伺服器營收指引校準）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</si>
  <si>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</si>
  <si>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（全部情境）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</si>
  <si>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609 </t>
    </r>
    <r>
      <rPr>
        <sz val="11"/>
        <color theme="1"/>
        <rFont val="Noto Sans CJK SC"/>
        <family val="2"/>
      </rPr>
      <t xml:space="preserve">億美元、在手訂單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</si>
  <si>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：近四季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億美元；份額下檔：雲端與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直接向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採購、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競價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</si>
  <si>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</si>
  <si>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</si>
  <si>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同上；客戶集中於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與大型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等，媒體）</t>
    </r>
  </si>
  <si>
    <t xml:space="preserve">—</t>
  </si>
  <si>
    <t xml:space="preserve">rel_30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</si>
  <si>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FY2030 ÷ FY2027</t>
    </r>
  </si>
  <si>
    <t xml:space="preserve">srel_A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</si>
  <si>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</si>
  <si>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</si>
  <si>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srel_B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</si>
  <si>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</si>
  <si>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資本支出消化時，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客戶（信用較弱）先縮</t>
    </r>
  </si>
  <si>
    <t xml:space="preserve">srel_C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</si>
  <si>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</si>
  <si>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t xml:space="preserve">同上，下修更深</t>
  </si>
  <si>
    <r>
      <rPr>
        <b val="true"/>
        <sz val="11"/>
        <rFont val="Cambria"/>
        <family val="0"/>
        <charset val="1"/>
      </rPr>
      <t xml:space="preserve">C.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 FY27 </t>
    </r>
    <r>
      <rPr>
        <b val="true"/>
        <sz val="11"/>
        <rFont val="Noto Sans CJK SC"/>
        <family val="2"/>
      </rPr>
      <t xml:space="preserve">實績＋公司全年指引＋</t>
    </r>
    <r>
      <rPr>
        <b val="true"/>
        <sz val="11"/>
        <rFont val="Cambria"/>
        <family val="0"/>
        <charset val="1"/>
      </rPr>
      <t xml:space="preserve">2H </t>
    </r>
    <r>
      <rPr>
        <b val="true"/>
        <sz val="11"/>
        <rFont val="Noto Sans CJK SC"/>
        <family val="2"/>
      </rPr>
      <t xml:space="preserve">假設）</t>
    </r>
  </si>
  <si>
    <t xml:space="preserve">g_rev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</si>
  <si>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</si>
  <si>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</si>
  <si>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</si>
  <si>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1,670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</si>
  <si>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±20 </t>
    </r>
    <r>
      <rPr>
        <sz val="11"/>
        <color theme="1"/>
        <rFont val="Noto Sans CJK SC"/>
        <family val="2"/>
      </rPr>
      <t xml:space="preserve">億美元</t>
    </r>
  </si>
  <si>
    <t xml:space="preserve">g_ai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</si>
  <si>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伺服器營收指引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</si>
  <si>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AI-Optimized Servers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</si>
  <si>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：同</t>
    </r>
  </si>
  <si>
    <t xml:space="preserve">g_eps</t>
  </si>
  <si>
    <r>
      <rPr>
        <sz val="11"/>
        <color theme="1"/>
        <rFont val="Calibri"/>
        <family val="2"/>
        <charset val="1"/>
      </rPr>
      <t xml:space="preserve">FY2027 non-GAAP 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</si>
  <si>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</si>
  <si>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25.50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24.37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</si>
  <si>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±0.25</t>
    </r>
  </si>
  <si>
    <t xml:space="preserve">g_q3rev</t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</si>
  <si>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營收指引（參考）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</si>
  <si>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490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non-GAAP EPS 6.50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</si>
  <si>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</t>
    </r>
  </si>
  <si>
    <t xml:space="preserve">st_h2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</si>
  <si>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儲存營收 </t>
    </r>
    <r>
      <rPr>
        <sz val="11"/>
        <color theme="1"/>
        <rFont val="Calibri"/>
        <family val="2"/>
        <charset val="1"/>
      </rPr>
      <t xml:space="preserve">÷ 1H</t>
    </r>
  </si>
  <si>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儲存年增約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億美元（媒體轉述）</t>
    </r>
  </si>
  <si>
    <r>
      <rPr>
        <sz val="11"/>
        <color theme="1"/>
        <rFont val="Calibri"/>
        <family val="2"/>
        <charset val="1"/>
      </rPr>
      <t xml:space="preserve">1H FY27 91.84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1.12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2H 102.9 </t>
    </r>
    <r>
      <rPr>
        <sz val="11"/>
        <color theme="1"/>
        <rFont val="Noto Sans CJK SC"/>
        <family val="2"/>
      </rPr>
      <t xml:space="preserve">億（全年 </t>
    </r>
    <r>
      <rPr>
        <sz val="11"/>
        <color theme="1"/>
        <rFont val="Calibri"/>
        <family val="2"/>
        <charset val="1"/>
      </rPr>
      <t xml:space="preserve">194.7 </t>
    </r>
    <r>
      <rPr>
        <sz val="11"/>
        <color theme="1"/>
        <rFont val="Noto Sans CJK SC"/>
        <family val="2"/>
      </rPr>
      <t xml:space="preserve">億）</t>
    </r>
  </si>
  <si>
    <t xml:space="preserve">csg_h2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</si>
  <si>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1H − 1</t>
    </r>
  </si>
  <si>
    <t xml:space="preserve">%</t>
  </si>
  <si>
    <r>
      <rPr>
        <sz val="11"/>
        <color theme="1"/>
        <rFont val="Calibri"/>
        <family val="2"/>
        <charset val="1"/>
      </rPr>
      <t xml:space="preserve">CSG 2Q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</si>
  <si>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全年指引：未找到</t>
    </r>
  </si>
  <si>
    <t xml:space="preserve">isg_h2m</t>
  </si>
  <si>
    <r>
      <rPr>
        <sz val="11"/>
        <color theme="1"/>
        <rFont val="Calibri"/>
        <family val="2"/>
        <charset val="1"/>
      </rPr>
      <t xml:space="preserve">2H FY27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</si>
  <si>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12.9%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</si>
  <si>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比重上升稀釋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</si>
  <si>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csg_h2m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</si>
  <si>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</si>
  <si>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CSG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7.8%</t>
    </r>
    <r>
      <rPr>
        <sz val="11"/>
        <color theme="1"/>
        <rFont val="Noto Sans CJK SC"/>
        <family val="2"/>
      </rPr>
      <t xml:space="preserve">（公司）</t>
    </r>
  </si>
  <si>
    <t xml:space="preserve">FY26 5.6%</t>
  </si>
  <si>
    <t xml:space="preserve">h2_sh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</si>
  <si>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平均）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</si>
  <si>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</si>
  <si>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6.52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 6.54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萬股（均價 </t>
    </r>
    <r>
      <rPr>
        <sz val="11"/>
        <color theme="1"/>
        <rFont val="Calibri"/>
        <family val="2"/>
        <charset val="1"/>
      </rPr>
      <t xml:space="preserve">401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</si>
  <si>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（統計）：流通股數 </t>
    </r>
    <r>
      <rPr>
        <sz val="11"/>
        <color theme="1"/>
        <rFont val="Calibri"/>
        <family val="2"/>
        <charset val="1"/>
      </rPr>
      <t xml:space="preserve">6.3581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</si>
  <si>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</si>
  <si>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</t>
    </r>
    <r>
      <rPr>
        <sz val="11"/>
        <color theme="1"/>
        <rFont val="Noto Sans CJK SC"/>
        <family val="2"/>
      </rPr>
      <t xml:space="preserve">（傳統伺服器、網通、儲存）營業利益率（拆分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毛利用）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</si>
  <si>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伺服器營益率：未找到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</si>
  <si>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16%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</si>
  <si>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</si>
  <si>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ai_dm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</si>
  <si>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起，相對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校準值；全部情境）</t>
    </r>
  </si>
  <si>
    <t xml:space="preserve">pt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</si>
  <si>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機架單價較高、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轉手比重高，營益率（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）下降；規模效益為上檔</t>
    </r>
  </si>
  <si>
    <t xml:space="preserve">dm_A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</si>
  <si>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</si>
  <si>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</si>
  <si>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dm_B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</si>
  <si>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</si>
  <si>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需求放緩時價格競爭（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</si>
  <si>
    <t xml:space="preserve">dm_C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</si>
  <si>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</si>
  <si>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t xml:space="preserve">同上，更深</t>
  </si>
  <si>
    <t xml:space="preserve">m_naif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</si>
  <si>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</si>
  <si>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傳統伺服器受記憶體漲價帶動（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起正常化</t>
    </r>
  </si>
  <si>
    <t xml:space="preserve">m_csgf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</si>
  <si>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</si>
  <si>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FY26 5.6%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7.8%</t>
    </r>
    <r>
      <rPr>
        <sz val="11"/>
        <color theme="1"/>
        <rFont val="Noto Sans CJK SC"/>
        <family val="2"/>
      </rPr>
      <t xml:space="preserve">（公司）</t>
    </r>
  </si>
  <si>
    <t xml:space="preserve">記憶體成本上升為下檔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</si>
  <si>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營收成長（不隨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</si>
  <si>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g_tr28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</si>
  <si>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</si>
  <si>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FY27 1H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115%</t>
    </r>
    <r>
      <rPr>
        <sz val="11"/>
        <color theme="1"/>
        <rFont val="Noto Sans CJK SC"/>
        <family val="2"/>
      </rPr>
      <t xml:space="preserve">（記憶體轉嫁與換機潮，公司）</t>
    </r>
  </si>
  <si>
    <t xml:space="preserve">g_tr29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</si>
  <si>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</si>
  <si>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g_tr30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</si>
  <si>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</si>
  <si>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g_st28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</si>
  <si>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</si>
  <si>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+26%</t>
    </r>
    <r>
      <rPr>
        <sz val="11"/>
        <color theme="1"/>
        <rFont val="Noto Sans CJK SC"/>
        <family val="2"/>
      </rPr>
      <t xml:space="preserve">（公司）</t>
    </r>
  </si>
  <si>
    <t xml:space="preserve">g_st29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</si>
  <si>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</si>
  <si>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g_st30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</si>
  <si>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</si>
  <si>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g_csg28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</si>
  <si>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</si>
  <si>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換機、商用；公司）</t>
    </r>
  </si>
  <si>
    <t xml:space="preserve">g_csg29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</si>
  <si>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</si>
  <si>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g_csg30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</si>
  <si>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FY2030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</si>
  <si>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淨利係數、股數（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</si>
  <si>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nio_f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</si>
  <si>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</si>
  <si>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1H FY27 7.781 ÷ 10.148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7.046 ÷ 9.944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</si>
  <si>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利息費用、稅率（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固定稅率；數值未找到）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</si>
  <si>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</si>
  <si>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</si>
  <si>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FY26→1H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6.84 → 6.54 </t>
    </r>
    <r>
      <rPr>
        <sz val="11"/>
        <color theme="1"/>
        <rFont val="Noto Sans CJK SC"/>
        <family val="2"/>
      </rPr>
      <t xml:space="preserve">億股（−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</si>
  <si>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回購授權與自由現金流（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</si>
  <si>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</si>
  <si>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</si>
  <si>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</si>
  <si>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</si>
  <si>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</si>
  <si>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</si>
  <si>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28.93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25.50</t>
    </r>
    <r>
      <rPr>
        <sz val="11"/>
        <color theme="1"/>
        <rFont val="Noto Sans CJK SC"/>
        <family val="2"/>
      </rPr>
      <t xml:space="preserve">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</si>
  <si>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</si>
  <si>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</si>
  <si>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+18.44%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</si>
  <si>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</si>
  <si>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</si>
  <si>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EPS Next Year +15.56%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</si>
  <si>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</si>
  <si>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</si>
  <si>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</si>
  <si>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</si>
  <si>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</si>
  <si>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</si>
  <si>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</si>
  <si>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</si>
  <si>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</si>
  <si>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</si>
  <si>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</si>
  <si>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</si>
  <si>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</si>
  <si>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</si>
  <si>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</si>
  <si>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</si>
  <si>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</si>
  <si>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</si>
  <si>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（日期不明）</t>
    </r>
  </si>
  <si>
    <t xml:space="preserve">so</t>
  </si>
  <si>
    <t xml:space="preserve">流通股數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</si>
  <si>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</si>
  <si>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</si>
  <si>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</si>
  <si>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</si>
  <si>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</si>
  <si>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</si>
  <si>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</si>
  <si>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</si>
  <si>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</si>
  <si>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</si>
  <si>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</si>
  <si>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</si>
  <si>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</si>
  <si>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237 </t>
    </r>
    <r>
      <rPr>
        <sz val="11"/>
        <color theme="1"/>
        <rFont val="Noto Sans CJK SC"/>
        <family val="2"/>
      </rPr>
      <t xml:space="preserve">億美元、股東權益為負，財務槓桿高於同業；未改折現率，只在方法欄說明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</si>
  <si>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</si>
  <si>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</si>
  <si>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</si>
  <si>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</si>
  <si>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</si>
  <si>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</si>
  <si>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Noto Sans CJK SC"/>
        <family val="2"/>
      </rPr>
      <t xml:space="preserve">股東權益為負（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年底 −</t>
    </r>
    <r>
      <rPr>
        <sz val="11"/>
        <color theme="1"/>
        <rFont val="Calibri"/>
        <family val="2"/>
        <charset val="1"/>
      </rPr>
      <t xml:space="preserve">24.70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FY27 −14.27 </t>
    </r>
    <r>
      <rPr>
        <sz val="11"/>
        <color theme="1"/>
        <rFont val="Noto Sans CJK SC"/>
        <family val="2"/>
      </rPr>
      <t xml:space="preserve">億美元，公司），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無意義：未找到</t>
    </r>
  </si>
  <si>
    <r>
      <rPr>
        <sz val="11"/>
        <color theme="1"/>
        <rFont val="Noto Sans CJK SC"/>
        <family val="2"/>
      </rPr>
      <t xml:space="preserve">依工作單用預設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ROE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ROIC 29.36%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</si>
  <si>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</si>
  <si>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</si>
  <si>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</si>
  <si>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</si>
  <si>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</si>
  <si>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十年淨利率序列：未找到（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併購虧損，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不可比）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</si>
  <si>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</si>
  <si>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</si>
  <si>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</si>
  <si>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</si>
  <si>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</si>
  <si>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</si>
  <si>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</si>
  <si>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</si>
  <si>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</si>
  <si>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</si>
  <si>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FY2030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</si>
  <si>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FY2030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</si>
  <si>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</si>
  <si>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</si>
  <si>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FY2030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</si>
  <si>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</si>
  <si>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</si>
  <si>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FY2030 × nm10_k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</si>
  <si>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）。藍字＝輸入；黑字＝公式。實績取自 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</si>
  <si>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錨點＝公司全年指引（營收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non-GAAP EPS 25.50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假設（儲存、</t>
    </r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營益率、股數）；傳統伺服器與網通為全年營收殘差。分部營業利益合計約等於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）</t>
    </r>
  </si>
  <si>
    <t xml:space="preserve">FY2026A</t>
  </si>
  <si>
    <r>
      <rPr>
        <b val="true"/>
        <sz val="11"/>
        <rFont val="Cambria"/>
        <family val="0"/>
        <charset val="1"/>
      </rPr>
      <t xml:space="preserve">1H FY27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</si>
  <si>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2H FY27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</si>
  <si>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</si>
  <si>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</si>
  <si>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</t>
    </r>
    <r>
      <rPr>
        <sz val="11"/>
        <color theme="1"/>
        <rFont val="Calibri"/>
        <family val="2"/>
        <charset val="1"/>
      </rPr>
      <t xml:space="preserve">AI-Optimized 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</si>
  <si>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（全年指引）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</si>
  <si>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</si>
  <si>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FY27 161.32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164.01 </t>
    </r>
    <r>
      <rPr>
        <sz val="11"/>
        <color theme="1"/>
        <rFont val="Noto Sans CJK SC"/>
        <family val="2"/>
      </rPr>
      <t xml:space="preserve">億</t>
    </r>
  </si>
  <si>
    <t xml:space="preserve">傳統伺服器與網通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</si>
  <si>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（全年殘差）</t>
    </r>
  </si>
  <si>
    <r>
      <rPr>
        <sz val="11"/>
        <color theme="1"/>
        <rFont val="Calibri"/>
        <family val="2"/>
        <charset val="1"/>
      </rPr>
      <t xml:space="preserve">1Q 85.43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105.31 </t>
    </r>
    <r>
      <rPr>
        <sz val="11"/>
        <color theme="1"/>
        <rFont val="Noto Sans CJK SC"/>
        <family val="2"/>
      </rPr>
      <t xml:space="preserve">億</t>
    </r>
  </si>
  <si>
    <t xml:space="preserve">儲存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</si>
  <si>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</si>
  <si>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43.34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48.50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</si>
  <si>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</si>
  <si>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FY26 608.26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FY27 607.91</t>
    </r>
    <r>
      <rPr>
        <sz val="11"/>
        <color theme="1"/>
        <rFont val="Noto Sans CJK SC"/>
        <family val="2"/>
      </rPr>
      <t xml:space="preserve">（公司合計）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</si>
  <si>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營收（商用＋消費）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</si>
  <si>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440.62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69.22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262.12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34.31</t>
    </r>
  </si>
  <si>
    <r>
      <rPr>
        <sz val="11"/>
        <color theme="1"/>
        <rFont val="Noto Sans CJK SC"/>
        <family val="2"/>
      </rPr>
      <t xml:space="preserve">其他業務（營收 − </t>
    </r>
    <r>
      <rPr>
        <sz val="11"/>
        <color theme="1"/>
        <rFont val="Calibri"/>
        <family val="2"/>
        <charset val="1"/>
      </rPr>
      <t xml:space="preserve">ISG − CSG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</si>
  <si>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</si>
  <si>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Secureworks </t>
    </r>
    <r>
      <rPr>
        <sz val="11"/>
        <color theme="1"/>
        <rFont val="Noto Sans CJK SC"/>
        <family val="2"/>
      </rPr>
      <t xml:space="preserve">出售後的剩餘業務、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轉售等；營業利益併入淨利係數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</si>
  <si>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</si>
  <si>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錨點＝全年指引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</si>
  <si>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</si>
  <si>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47.81 </t>
    </r>
    <r>
      <rPr>
        <sz val="11"/>
        <color theme="1"/>
        <rFont val="Noto Sans CJK SC"/>
        <family val="2"/>
      </rPr>
      <t xml:space="preserve">億（營益率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</si>
  <si>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</si>
  <si>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11.42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）</t>
    </r>
  </si>
  <si>
    <t xml:space="preserve">分部營業利益合計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</si>
  <si>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FY26 99.91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FY27 101.64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</si>
  <si>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  non-GAAP </t>
    </r>
    <r>
      <rPr>
        <sz val="11"/>
        <color theme="1"/>
        <rFont val="Noto Sans CJK SC"/>
        <family val="2"/>
      </rPr>
      <t xml:space="preserve">營業利益（公司揭露）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</si>
  <si>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</si>
  <si>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</si>
  <si>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</si>
  <si>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FY26 59.36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75.71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</si>
  <si>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</si>
  <si>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nio_f </t>
    </r>
    <r>
      <rPr>
        <sz val="11"/>
        <color theme="1"/>
        <rFont val="Noto Sans CJK SC"/>
        <family val="2"/>
      </rPr>
      <t xml:space="preserve">的對照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</si>
  <si>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</si>
  <si>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</si>
  <si>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6.54 </t>
    </r>
    <r>
      <rPr>
        <sz val="11"/>
        <color theme="1"/>
        <rFont val="Noto Sans CJK SC"/>
        <family val="2"/>
      </rPr>
      <t xml:space="preserve">億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</si>
  <si>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</si>
  <si>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</si>
  <si>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</si>
  <si>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</si>
  <si>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8.68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24.37</t>
    </r>
  </si>
  <si>
    <t xml:space="preserve">錨點與拆分的檢查（參考；校準未使用券商數字）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</si>
  <si>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</si>
  <si>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傳統伺服器與網通 </t>
    </r>
    <r>
      <rPr>
        <sz val="11"/>
        <color theme="1"/>
        <rFont val="Calibri"/>
        <family val="2"/>
        <charset val="1"/>
      </rPr>
      <t xml:space="preserve">÷ 1H − 1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</si>
  <si>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伺服器營業利益率（隱含；非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m_nai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</si>
  <si>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伺服器營業利益率（隱含；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</si>
  <si>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25.90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</si>
  <si>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 FY27 EPS </t>
    </r>
    <r>
      <rPr>
        <sz val="11"/>
        <color theme="1"/>
        <rFont val="Noto Sans CJK SC"/>
        <family val="2"/>
      </rPr>
      <t xml:space="preserve">自算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</si>
  <si>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（隱含；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</si>
  <si>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</si>
  <si>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追加）：其他業務為差額；分部宣告見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</si>
  <si>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橋接表每顆系統價值）、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份額與組裝廠份額對照（情境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</si>
  <si>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</si>
  <si>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</si>
  <si>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</si>
  <si>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</si>
  <si>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</si>
  <si>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</si>
  <si>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</si>
  <si>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</si>
  <si>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</si>
  <si>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橋接表機架價 </t>
    </r>
    <r>
      <rPr>
        <sz val="11"/>
        <color theme="1"/>
        <rFont val="Calibri"/>
        <family val="2"/>
        <charset val="1"/>
      </rPr>
      <t xml:space="preserve">÷ 72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</si>
  <si>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</si>
  <si>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系統市場（整櫃售價）</t>
    </r>
  </si>
  <si>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／整櫃售價口徑（含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</si>
  <si>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</si>
  <si>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億校準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</si>
  <si>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</si>
  <si>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等值，按當年組合）</t>
    </r>
  </si>
  <si>
    <t xml:space="preserve">千櫃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</si>
  <si>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平均每櫃售價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</si>
  <si>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價，廣達模型；含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</si>
  <si>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</si>
  <si>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</si>
  <si>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售價、含加價，同口徑時份額更低</t>
    </r>
  </si>
  <si>
    <t xml:space="preserve">對照：鴻海＋廣達＋緯創（含緯穎）合計有效份額（緯創模型）</t>
  </si>
  <si>
    <r>
      <rPr>
        <sz val="11"/>
        <color theme="1"/>
        <rFont val="Calibri"/>
        <family val="2"/>
        <charset val="1"/>
      </rPr>
      <t xml:space="preserve">wistron/dist/20261028_</t>
    </r>
    <r>
      <rPr>
        <sz val="11"/>
        <color theme="1"/>
        <rFont val="Noto Sans CJK SC"/>
        <family val="2"/>
      </rPr>
      <t xml:space="preserve">緯創個股模型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Units!C11:F11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</si>
  <si>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（未扣重複）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</si>
  <si>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的機架多由鴻海、緯創代工，兩者重複計算；未扣重複仍低於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</si>
  <si>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份額的分母是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的整櫃售價（不含 </t>
    </r>
    <r>
      <rPr>
        <b val="true"/>
        <sz val="11"/>
        <rFont val="Cambria"/>
        <family val="0"/>
        <charset val="1"/>
      </rPr>
      <t xml:space="preserve">Google TPU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不是其主要供應商）。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份額約一成，換算到廣達模型的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）約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；鴻海、廣達、緯創（含緯穎）合計約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，加上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仍約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，其餘為 </t>
    </r>
    <r>
      <rPr>
        <b val="true"/>
        <sz val="11"/>
        <rFont val="Cambria"/>
        <family val="0"/>
        <charset val="1"/>
      </rPr>
      <t xml:space="preserve">Supermicro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Lenovo</t>
    </r>
    <r>
      <rPr>
        <b val="true"/>
        <sz val="11"/>
        <rFont val="Noto Sans CJK SC"/>
        <family val="2"/>
      </rPr>
      <t xml:space="preserve">、英業達與雲端自建。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的機架多由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代工，兩者營收有重複，所以實際份額合計更低，不會超過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</si>
  <si>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Dell </t>
    </r>
    <r>
      <rPr>
        <sz val="11"/>
        <color theme="1"/>
        <rFont val="Noto Sans CJK SC"/>
        <family val="2"/>
      </rPr>
      <t xml:space="preserve">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錨點（公司指引＋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</si>
  <si>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FY2031–FY2032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</si>
  <si>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</si>
  <si>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</si>
  <si>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</si>
  <si>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</si>
  <si>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</si>
  <si>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</si>
  <si>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</si>
  <si>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</si>
  <si>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</si>
  <si>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</si>
  <si>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傳統伺服器與網通</t>
  </si>
  <si>
    <t xml:space="preserve">  儲存</t>
  </si>
  <si>
    <r>
      <rPr>
        <sz val="11"/>
        <color theme="1"/>
        <rFont val="Calibri"/>
        <family val="2"/>
        <charset val="1"/>
      </rPr>
      <t xml:space="preserve">  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</si>
  <si>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</t>
    </r>
  </si>
  <si>
    <t xml:space="preserve">營業利益率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</si>
  <si>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</si>
  <si>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</si>
  <si>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</si>
  <si>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</si>
  <si>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</si>
  <si>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</si>
  <si>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</si>
  <si>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營業利益差（以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</si>
  <si>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</si>
  <si>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系統市場與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</si>
  <si>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</si>
  <si>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</si>
  <si>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</si>
  <si>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千美元／顆＝十億美元；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等）不含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</si>
  <si>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</si>
  <si>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FY27 AI </t>
    </r>
    <r>
      <rPr>
        <sz val="11"/>
        <color theme="1"/>
        <rFont val="Noto Sans CJK SC"/>
        <family val="2"/>
      </rPr>
      <t xml:space="preserve">伺服器營收指引；分母為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全部商用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系統價值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</si>
  <si>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；全部情境）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</si>
  <si>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</si>
  <si>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</si>
  <si>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營收（傳統伺服器、儲存、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；不隨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</si>
  <si>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</si>
  <si>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t xml:space="preserve">其他業務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</si>
  <si>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</si>
  <si>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</si>
  <si>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</si>
  <si>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</si>
  <si>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</si>
  <si>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m_nai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ai_dm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起再加情境變動）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</si>
  <si>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</si>
  <si>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</si>
  <si>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分部營業利益（≈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</si>
  <si>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</si>
  <si>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</si>
  <si>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</si>
  <si>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</si>
  <si>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顆數（每顆）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</si>
  <si>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</si>
  <si>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</si>
  <si>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</si>
  <si>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</si>
  <si>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</si>
  <si>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</si>
  <si>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</si>
  <si>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</si>
  <si>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</si>
  <si>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</si>
  <si>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</si>
  <si>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</si>
  <si>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</si>
  <si>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</si>
  <si>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年底的年數（會計年度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</si>
  <si>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</si>
  <si>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</si>
  <si>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</si>
  <si>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</si>
  <si>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</si>
  <si>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</si>
  <si>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</si>
  <si>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下列六列＝</t>
    </r>
    <r>
      <rPr>
        <sz val="11"/>
        <color theme="1"/>
        <rFont val="Calibri"/>
        <family val="2"/>
        <charset val="1"/>
      </rPr>
      <t xml:space="preserve">EPS × (1 − </t>
    </r>
    <r>
      <rPr>
        <sz val="11"/>
        <color theme="1"/>
        <rFont val="Noto Sans CJK SC"/>
        <family val="2"/>
      </rPr>
      <t xml:space="preserve">再投資率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期內占比（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</si>
  <si>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</si>
  <si>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（股東權益為負，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</si>
  <si>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</si>
  <si>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</si>
  <si>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</si>
  <si>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</si>
  <si>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</si>
  <si>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</si>
  <si>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</si>
  <si>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</si>
  <si>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</si>
  <si>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</si>
  <si>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</si>
  <si>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Hewlett Packard Enterprise</t>
  </si>
  <si>
    <t xml:space="preserve">HPE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</si>
  <si>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</si>
  <si>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</si>
  <si>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Super Micro Computer</t>
    </r>
    <r>
      <rPr>
        <sz val="11"/>
        <color theme="1"/>
        <rFont val="Noto Sans CJK SC"/>
        <family val="2"/>
      </rPr>
      <t xml:space="preserve">（美超微）</t>
    </r>
  </si>
  <si>
    <t xml:space="preserve">SMCI</t>
  </si>
  <si>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（聯想）</t>
    </r>
  </si>
  <si>
    <t xml:space="preserve">0992.HK</t>
  </si>
  <si>
    <t xml:space="preserve">2026-10-20</t>
  </si>
  <si>
    <t xml:space="preserve">HP Inc.</t>
  </si>
  <si>
    <t xml:space="preserve">HPQ</t>
  </si>
  <si>
    <t xml:space="preserve">NetApp</t>
  </si>
  <si>
    <t xml:space="preserve">NTAP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</si>
  <si>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</si>
  <si>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伺服器、儲存與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品牌同業：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</si>
  <si>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</si>
  <si>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</si>
  <si>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</si>
  <si>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</si>
  <si>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</si>
  <si>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</si>
  <si>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</si>
  <si>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</si>
  <si>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</si>
  <si>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</si>
  <si>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</si>
  <si>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MarketScreener 29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593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</si>
  <si>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</si>
  <si>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</si>
  <si>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</si>
  <si>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</si>
  <si>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</si>
  <si>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</si>
  <si>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</si>
  <si>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</si>
  <si>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</si>
  <si>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</si>
  <si>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</si>
  <si>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</si>
  <si>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</si>
  <si>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</si>
  <si>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</si>
  <si>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</si>
  <si>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（股東權益為負，近三年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一個月，之後逐年折現。組裝型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資本支出低，未改用淨利＋折舊－資本支出。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排除攤銷與股票薪酬（偏高）；同業多為成長較低的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／伺服器公司，未給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份額溢價（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偏低）；淨負債高、股東權益為負未反映在折現率。情境對應：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</si>
  <si>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</si>
  <si>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</si>
  <si>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</si>
  <si>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</si>
  <si>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</si>
  <si>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</si>
  <si>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</si>
  <si>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</si>
  <si>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</si>
  <si>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</si>
  <si>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</si>
  <si>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3/12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</si>
  <si>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</si>
  <si>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</si>
  <si>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</si>
  <si>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FY2027–FY2030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</si>
  <si>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</si>
  <si>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</si>
  <si>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</si>
  <si>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</si>
  <si>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</si>
  <si>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</si>
  <si>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</si>
  <si>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</si>
  <si>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</si>
  <si>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</si>
  <si>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</si>
  <si>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</si>
  <si>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</si>
  <si>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</si>
  <si>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</si>
  <si>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</si>
  <si>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</si>
  <si>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（含一次性稅務與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利益），與本模型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</si>
  <si>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2018-12 </t>
    </r>
    <r>
      <rPr>
        <b val="true"/>
        <sz val="11"/>
        <rFont val="Noto Sans CJK SC"/>
        <family val="2"/>
      </rPr>
      <t xml:space="preserve">重新上市，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無可比市價）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</si>
  <si>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</si>
  <si>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</si>
  <si>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</si>
  <si>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Macrotrends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</si>
  <si>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</si>
  <si>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</si>
  <si>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</si>
  <si>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</si>
  <si>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</si>
  <si>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</si>
  <si>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</si>
  <si>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</si>
  <si>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</si>
  <si>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</si>
  <si>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</si>
  <si>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</si>
  <si>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Dell 2018-12 </t>
    </r>
    <r>
      <rPr>
        <sz val="11"/>
        <color theme="1"/>
        <rFont val="Noto Sans CJK SC"/>
        <family val="2"/>
      </rPr>
      <t xml:space="preserve">重新上市，只有 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。兩來源都是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含稅務利益與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持股利益，倍數偏低（</t>
    </r>
    <r>
      <rPr>
        <sz val="11"/>
        <color theme="1"/>
        <rFont val="Calibri"/>
        <family val="2"/>
        <charset val="1"/>
      </rPr>
      <t xml:space="preserve">4–8x</t>
    </r>
    <r>
      <rPr>
        <sz val="11"/>
        <color theme="1"/>
        <rFont val="Noto Sans CJK SC"/>
        <family val="2"/>
      </rPr>
      <t xml:space="preserve">），規則值偏低。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</si>
  <si>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</si>
  <si>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</si>
  <si>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</si>
  <si>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</si>
  <si>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2019–2024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）未列）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</si>
  <si>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</si>
  <si>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</si>
  <si>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</si>
  <si>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</si>
  <si>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</si>
  <si>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</si>
  <si>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</si>
  <si>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</si>
  <si>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</si>
  <si>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</si>
  <si>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</si>
  <si>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</si>
  <si>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</si>
  <si>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</si>
  <si>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</si>
  <si>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</si>
  <si>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</si>
  <si>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</si>
  <si>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</si>
  <si>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</si>
  <si>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</si>
  <si>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</si>
  <si>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</si>
  <si>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</si>
  <si>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</si>
  <si>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</si>
  <si>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</si>
  <si>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</si>
  <si>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</si>
  <si>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</si>
  <si>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</si>
  <si>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</si>
  <si>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</si>
  <si>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</si>
  <si>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</si>
  <si>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</si>
  <si>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</si>
  <si>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</si>
  <si>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</si>
  <si>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</si>
  <si>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</si>
  <si>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戴爾</t>
  </si>
  <si>
    <t xml:space="preserve">DELL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</si>
  <si>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</si>
  <si>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DELL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</si>
  <si>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</si>
  <si>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</si>
  <si>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</si>
  <si>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0992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</si>
  <si>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HPQ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</si>
  <si>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NTAP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</si>
  <si>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</si>
  <si>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</si>
  <si>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</si>
  <si>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</si>
  <si>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</si>
  <si>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</si>
  <si>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</si>
  <si>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</si>
  <si>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</si>
  <si>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</si>
  <si>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</si>
  <si>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</si>
  <si>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</si>
  <si>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</si>
  <si>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公司指引、共識與組裝廠份額。只作事後對照，不為對上數字而調參數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</si>
  <si>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</si>
  <si>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</si>
  <si>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</si>
  <si>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</si>
  <si>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</si>
  <si>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</si>
  <si>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</si>
  <si>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</si>
  <si>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</si>
  <si>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</si>
  <si>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</si>
  <si>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</si>
  <si>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</si>
  <si>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</si>
  <si>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25.50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</si>
  <si>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</si>
  <si>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</si>
  <si>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</si>
  <si>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</si>
  <si>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</si>
  <si>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</si>
  <si>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</si>
  <si>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公司指引與在手訂單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</si>
  <si>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</t>
    </r>
  </si>
  <si>
    <t xml:space="preserve">Dell 8-K 2Q FY27</t>
  </si>
  <si>
    <r>
      <rPr>
        <sz val="11"/>
        <color theme="1"/>
        <rFont val="Noto Sans CJK SC"/>
        <family val="2"/>
      </rPr>
      <t xml:space="preserve">校準點（差距應為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</si>
  <si>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</si>
  <si>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億美元；近四季訂單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</si>
  <si>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份額與組裝廠合計（廣達、鴻海、緯創模型；唯讀）</t>
    </r>
  </si>
  <si>
    <r>
      <rPr>
        <sz val="11"/>
        <color theme="1"/>
        <rFont val="Calibri"/>
        <family val="2"/>
        <charset val="1"/>
      </rPr>
      <t xml:space="preserve">FY2027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</si>
  <si>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t xml:space="preserve">quanta Units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</si>
  <si>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售價，同口徑時更低</t>
    </r>
  </si>
  <si>
    <r>
      <rPr>
        <sz val="11"/>
        <color theme="1"/>
        <rFont val="Calibri"/>
        <family val="2"/>
        <charset val="1"/>
      </rPr>
      <t xml:space="preserve">FY2027 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合計份額（未扣重複）</t>
    </r>
  </si>
  <si>
    <t xml:space="preserve">wistron Units</t>
  </si>
  <si>
    <r>
      <rPr>
        <sz val="11"/>
        <color theme="1"/>
        <rFont val="Noto Sans CJK SC"/>
        <family val="2"/>
      </rPr>
      <t xml:space="preserve">應遠低於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、英業達、自建</t>
    </r>
  </si>
  <si>
    <r>
      <rPr>
        <sz val="11"/>
        <color theme="1"/>
        <rFont val="Calibri"/>
        <family val="2"/>
        <charset val="1"/>
      </rPr>
      <t xml:space="preserve">FY2028 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</si>
  <si>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</si>
  <si>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</si>
  <si>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</si>
  <si>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</si>
  <si>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</si>
  <si>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16%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</si>
  <si>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</si>
  <si>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</si>
  <si>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</si>
  <si>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</si>
  <si>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</si>
  <si>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</si>
  <si>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</si>
  <si>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</si>
  <si>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營收、營業利益率與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</si>
  <si>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</si>
  <si>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</si>
  <si>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</si>
  <si>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</si>
  <si>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</si>
  <si>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</si>
  <si>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</si>
  <si>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營益率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</si>
  <si>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</si>
  <si>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</si>
  <si>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</si>
  <si>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</si>
  <si>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</si>
  <si>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</si>
  <si>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</si>
  <si>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</si>
  <si>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</si>
  <si>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0.55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</si>
  <si>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</si>
  <si>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</si>
  <si>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</si>
  <si>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機架價取橋接表低值</t>
    </r>
  </si>
  <si>
    <t xml:space="preserve">每顆系統價值 高</t>
  </si>
  <si>
    <t xml:space="preserve">取高值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</si>
  <si>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</si>
  <si>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營益率比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</si>
  <si>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</si>
  <si>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</si>
  <si>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營益率拆分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</si>
  <si>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拆分用 </t>
    </r>
    <r>
      <rPr>
        <sz val="11"/>
        <color theme="1"/>
        <rFont val="Calibri"/>
        <family val="2"/>
        <charset val="1"/>
      </rPr>
      <t xml:space="preserve">m_nai 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營益率校準值較低）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</si>
  <si>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低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</si>
  <si>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</si>
  <si>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高</t>
    </r>
  </si>
  <si>
    <t xml:space="preserve">17.5%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</si>
  <si>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低</t>
    </r>
  </si>
  <si>
    <t xml:space="preserve">6%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</si>
  <si>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高</t>
    </r>
  </si>
  <si>
    <t xml:space="preserve">8%</t>
  </si>
  <si>
    <t xml:space="preserve">傳統伺服器 低</t>
  </si>
  <si>
    <r>
      <rPr>
        <sz val="11"/>
        <color theme="1"/>
        <rFont val="Calibri"/>
        <family val="2"/>
        <charset val="1"/>
      </rPr>
      <t xml:space="preserve">FY2028 −15%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FY2030 −3%</t>
    </r>
  </si>
  <si>
    <t xml:space="preserve">傳統伺服器 高</t>
  </si>
  <si>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</si>
  <si>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</si>
  <si>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FY2028 −6%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</si>
  <si>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</si>
  <si>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</si>
  <si>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</si>
  <si>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</si>
  <si>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Noto Sans CJK SC"/>
        <family val="2"/>
      </rPr>
      <t xml:space="preserve">回購 少（−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</si>
  <si>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</si>
  <si>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</si>
  <si>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</si>
  <si>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</si>
  <si>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</si>
  <si>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讀法：情境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主要受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份額、每顆系統價值與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營益率影響；非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（傳統伺服器、儲存、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）約占營業利益四成，營益率假設影響也大。每顆系統價值的變動大多被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份額校準抵銷（只剩世代組合效果）。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</si>
  <si>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</si>
  <si>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</si>
  <si>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</si>
  <si>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</si>
  <si>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</si>
  <si>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</si>
  <si>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</si>
  <si>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</si>
  <si>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</si>
  <si>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</si>
  <si>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</si>
  <si>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</si>
  <si>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</si>
  <si>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</si>
  <si>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</si>
  <si>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</si>
  <si>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</si>
  <si>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</si>
  <si>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</si>
  <si>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</si>
  <si>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</si>
  <si>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</si>
  <si>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</si>
  <si>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營益率拆分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</si>
  <si>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</si>
  <si>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</si>
  <si>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</si>
  <si>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</si>
  <si>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</si>
  <si>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</si>
  <si>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</si>
  <si>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</si>
  <si>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</si>
  <si>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少（−</t>
    </r>
    <r>
      <rPr>
        <b val="true"/>
        <sz val="11"/>
        <rFont val="Cambria"/>
        <family val="0"/>
        <charset val="1"/>
      </rPr>
      <t xml:space="preserve">1%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</si>
  <si>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 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附件 </t>
    </r>
    <r>
      <rPr>
        <b val="true"/>
        <sz val="11"/>
        <rFont val="Cambria"/>
        <family val="0"/>
        <charset val="1"/>
      </rPr>
      <t xml:space="preserve">99.1</t>
    </r>
    <r>
      <rPr>
        <b val="true"/>
        <sz val="11"/>
        <rFont val="Noto Sans CJK SC"/>
        <family val="2"/>
      </rPr>
      <t xml:space="preserve">；指引為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</si>
  <si>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全年實績、分部、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初始指引；股東權益）</t>
    </r>
  </si>
  <si>
    <t xml:space="preserve">https://www.sec.gov/Archives/edgar/data/1571996/000157199626000003/exhibit991earnings8kq4fy26.htm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</si>
  <si>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實績、分部、上修指引；股東權益）</t>
    </r>
  </si>
  <si>
    <t xml:space="preserve">https://www.sec.gov/Archives/edgar/data/0001571996/000157199626000021/exhibit991earnings8kq1fy27.htm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</si>
  <si>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實績、分部、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與全年指引；股東權益）</t>
    </r>
  </si>
  <si>
    <t xml:space="preserve">https://www.sec.gov/Archives/edgar/data/0001571996/000157199626000039/exhibit991earnings8kq2fy27.htm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</si>
  <si>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訂單、在手訂單、近四季訂單、自由現金流）</t>
    </r>
  </si>
  <si>
    <t xml:space="preserve">https://pulse2.com/dell-technologies-q2-revenue-hits-record-47-billion-as-ai-server-backlog-reaches-95-billion-and-fy27-outlook-rises-to-192-billion/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</si>
  <si>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（儲存全年約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儲存與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成長）</t>
    </r>
  </si>
  <si>
    <t xml:space="preserve">https://www.storagenewsletter.com/2026/09/03/dell-technologies-fiscal-2q27-financial-results/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</si>
  <si>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毛利率、指引區間、回購）</t>
    </r>
  </si>
  <si>
    <t xml:space="preserve">https://www.zacks.com/stock/news/2984030/dell-q2-earnings-beat-estimates-strong-ai-demand-aids-revenue-growth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</si>
  <si>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統計（價格、股數、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</si>
  <si>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</si>
  <si>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、營收、目標價）</t>
    </r>
  </si>
  <si>
    <t xml:space="preserve">https://stockanalysis.com/stocks/dell/forecast/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</si>
  <si>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收盤、目標價 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</si>
  <si>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t xml:space="preserve">https://uk.marketscreener.com/quote/stock/DELL-TECHNOLOGIES-INC-50061235/consensus/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</si>
  <si>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）</t>
    </r>
  </si>
  <si>
    <t xml:space="preserve">https://alphaspread.com/security/nyse/dell/analyst-estimates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</si>
  <si>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）</t>
    </r>
  </si>
  <si>
    <t xml:space="preserve">https://www.investing.com/equities/dell-inc-consensus-estimates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</si>
  <si>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</si>
  <si>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https://companiesmarketcap.com/dell/pe-ratio/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</si>
  <si>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（會計年度年底）</t>
    </r>
  </si>
  <si>
    <t xml:space="preserve">https://www.macrotrends.net/stocks/charts/DELL/dell/pe-ratio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</si>
  <si>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SMCI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0992.HK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</si>
  <si>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https://stockanalysis.com/stocks/hpe/statistics/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https://stockanalysis.com/stocks/hpq/statistics/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https://stockanalysis.com/stocks/ntap/statistics/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https://stockanalysis.com/quote/hkg/0992/statistics/</t>
    </r>
  </si>
  <si>
    <r>
      <rPr>
        <sz val="11"/>
        <color theme="1"/>
        <rFont val="Noto Sans CJK SC"/>
        <family val="2"/>
      </rPr>
      <t xml:space="preserve">市場層與組裝廠模型：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</si>
  <si>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wistron/dist/20261028_</t>
    </r>
    <r>
      <rPr>
        <sz val="11"/>
        <color theme="1"/>
        <rFont val="Noto Sans CJK SC"/>
        <family val="2"/>
      </rPr>
      <t xml:space="preserve">緯創個股模型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</si>
  <si>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稅率；共識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；十年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淨利率；主要客戶占比（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</si>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</sst>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00"/>
    <numFmt numFmtId="171" formatCode="0.0"/>
    <numFmt numFmtId="172" formatCode="#,##0.0"/>
    <numFmt numFmtId="173" formatCode="#,##0.00"/>
    <numFmt numFmtId="174" formatCode="0.0000"/>
    <numFmt numFmtId="175" formatCode="0%"/>
    <numFmt numFmtId="176" formatCode="@"/>
    <numFmt numFmtId="177" formatCode="#,##0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"&amp;Val!$B$48&amp;"、投資建議 "&amp;Val!$B$49&amp;"。相對倍數調整係數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28.54 只比共識前瞻 EPS 28.14 高 1.4%，但同業（HPE、Supermicro、Lenovo、HP Inc.、NetApp）前瞻 P/E 中位數 11.3 倍，現價隱含 16.2 倍、共識目標價 593 隱含 21.1 倍（比同業高 87%）；市場給"&amp;" Dell 的 AI 份額溢價，Comparable 未計入。"</f>
        <v>重點觀察 1：目標價 US$334.49（DCF 424.95、Comparable（相對倍數調整後）244.04；DCF 權重 50%），比現價 456.44（2026-10-23）低 26.7%，級距 −25%～−50%、投資建議 放空。相對倍數調整係數 0.74（本公司 10 年前瞻倍數中位數 ÷ 同業的中位數，夾在 0.5–2.0；Val 第 0.5 節），調整前加權上檔空間 −17.2%；Comparable 單獨（市場主流同業法、未調整）為 −27.4%。以下為 2026-10-29 相對倍數調整前撰寫的說明，其中數字為調整前：主因是倍數不是 EPS：本模型 12 個月後前瞻 EPS 28.54 只比共識前瞻 EPS 28.14 高 1.4%，但同業（HPE、Supermicro、Lenovo、HP Inc.、NetApp）前瞻 P/E 中位數 11.3 倍，現價隱含 16.2 倍、共識目標價 593 隱含 21.1 倍（比同業高 87%）；市場給 Dell 的 AI 份額溢價，Comparable 未計入。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1" customFormat="false" ht="17.15" hidden="false" customHeight="false" outlineLevel="0" collapsed="false">
      <c r="A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5" t="s">
        <v>31</v>
      </c>
      <c r="E5" s="7" t="n">
        <v>6.65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5" t="s">
        <v>31</v>
      </c>
      <c r="E6" s="7" t="n">
        <v>2.4</v>
      </c>
      <c r="G6" s="8" t="s">
        <v>32</v>
      </c>
      <c r="H6" s="5" t="s">
        <v>37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5" t="s">
        <v>31</v>
      </c>
      <c r="E7" s="7" t="n">
        <v>0.5</v>
      </c>
      <c r="G7" s="8" t="s">
        <v>32</v>
      </c>
      <c r="H7" s="5" t="s">
        <v>37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5" t="s">
        <v>31</v>
      </c>
      <c r="E8" s="7" t="n">
        <v>0.25</v>
      </c>
      <c r="G8" s="8" t="s">
        <v>32</v>
      </c>
      <c r="H8" s="5" t="s">
        <v>37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5" t="s">
        <v>31</v>
      </c>
      <c r="E9" s="7" t="n">
        <v>1.7</v>
      </c>
      <c r="G9" s="8" t="s">
        <v>32</v>
      </c>
      <c r="H9" s="8" t="s">
        <v>33</v>
      </c>
      <c r="I9" s="8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5" t="s">
        <v>31</v>
      </c>
      <c r="E10" s="7" t="n">
        <v>8.8</v>
      </c>
      <c r="G10" s="8" t="s">
        <v>32</v>
      </c>
      <c r="H10" s="5" t="s">
        <v>37</v>
      </c>
      <c r="I10" s="5" t="s">
        <v>37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5" t="s">
        <v>31</v>
      </c>
      <c r="E11" s="7" t="n">
        <v>11</v>
      </c>
      <c r="G11" s="8" t="s">
        <v>32</v>
      </c>
      <c r="H11" s="5" t="s">
        <v>37</v>
      </c>
      <c r="I11" s="5" t="s">
        <v>37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5" t="s">
        <v>31</v>
      </c>
      <c r="E12" s="7" t="n">
        <v>12.65</v>
      </c>
      <c r="G12" s="8" t="s">
        <v>32</v>
      </c>
      <c r="H12" s="5" t="s">
        <v>37</v>
      </c>
      <c r="I12" s="5" t="s">
        <v>37</v>
      </c>
    </row>
    <row r="13" customFormat="false" ht="17.15" hidden="false" customHeight="false" outlineLevel="0" collapsed="false">
      <c r="A13" s="0" t="s">
        <v>51</v>
      </c>
      <c r="B13" s="5" t="s">
        <v>52</v>
      </c>
      <c r="C13" s="0" t="s">
        <v>53</v>
      </c>
      <c r="E13" s="7" t="n">
        <v>1</v>
      </c>
      <c r="G13" s="8" t="s">
        <v>54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5" t="s">
        <v>58</v>
      </c>
      <c r="C14" s="0" t="s">
        <v>53</v>
      </c>
      <c r="E14" s="7" t="n">
        <v>1</v>
      </c>
      <c r="G14" s="8" t="s">
        <v>54</v>
      </c>
      <c r="H14" s="8" t="s">
        <v>59</v>
      </c>
      <c r="I14" s="5" t="s">
        <v>37</v>
      </c>
    </row>
    <row r="15" customFormat="false" ht="17.15" hidden="false" customHeight="false" outlineLevel="0" collapsed="false">
      <c r="A15" s="0" t="s">
        <v>60</v>
      </c>
      <c r="B15" s="5" t="s">
        <v>61</v>
      </c>
      <c r="C15" s="0" t="s">
        <v>53</v>
      </c>
      <c r="E15" s="7" t="n">
        <v>0.8</v>
      </c>
      <c r="G15" s="8" t="s">
        <v>54</v>
      </c>
      <c r="H15" s="8" t="s">
        <v>62</v>
      </c>
      <c r="I15" s="8" t="s">
        <v>56</v>
      </c>
    </row>
    <row r="16" customFormat="false" ht="17.15" hidden="false" customHeight="false" outlineLevel="0" collapsed="false">
      <c r="A16" s="0" t="s">
        <v>63</v>
      </c>
      <c r="B16" s="5" t="s">
        <v>64</v>
      </c>
      <c r="C16" s="0" t="s">
        <v>53</v>
      </c>
      <c r="E16" s="7" t="n">
        <v>0.85</v>
      </c>
      <c r="G16" s="8" t="s">
        <v>54</v>
      </c>
      <c r="H16" s="8" t="s">
        <v>65</v>
      </c>
      <c r="I16" s="5" t="s">
        <v>37</v>
      </c>
    </row>
    <row r="17" customFormat="false" ht="17.15" hidden="false" customHeight="false" outlineLevel="0" collapsed="false">
      <c r="A17" s="0" t="s">
        <v>66</v>
      </c>
      <c r="B17" s="5" t="s">
        <v>67</v>
      </c>
      <c r="C17" s="0" t="s">
        <v>53</v>
      </c>
      <c r="E17" s="7" t="n">
        <v>0.6</v>
      </c>
      <c r="G17" s="8" t="s">
        <v>54</v>
      </c>
      <c r="H17" s="8" t="s">
        <v>68</v>
      </c>
      <c r="I17" s="8" t="s">
        <v>56</v>
      </c>
    </row>
    <row r="18" customFormat="false" ht="17.15" hidden="false" customHeight="false" outlineLevel="0" collapsed="false">
      <c r="A18" s="0" t="s">
        <v>69</v>
      </c>
      <c r="B18" s="5" t="s">
        <v>70</v>
      </c>
      <c r="C18" s="0" t="s">
        <v>53</v>
      </c>
      <c r="E18" s="7" t="n">
        <v>0.6</v>
      </c>
      <c r="G18" s="8" t="s">
        <v>54</v>
      </c>
      <c r="H18" s="8" t="s">
        <v>71</v>
      </c>
      <c r="I18" s="5" t="s">
        <v>37</v>
      </c>
    </row>
    <row r="19" customFormat="false" ht="17.15" hidden="false" customHeight="false" outlineLevel="0" collapsed="false">
      <c r="A19" s="0" t="s">
        <v>72</v>
      </c>
      <c r="B19" s="5" t="s">
        <v>73</v>
      </c>
      <c r="C19" s="0" t="s">
        <v>74</v>
      </c>
      <c r="D19" s="7" t="n">
        <v>55.555556</v>
      </c>
      <c r="E19" s="7" t="n">
        <v>59.722222</v>
      </c>
      <c r="F19" s="7" t="n">
        <v>69.444444</v>
      </c>
      <c r="G19" s="8" t="s">
        <v>32</v>
      </c>
      <c r="H19" s="8" t="s">
        <v>75</v>
      </c>
      <c r="I19" s="8" t="s">
        <v>76</v>
      </c>
    </row>
    <row r="20" customFormat="false" ht="17.15" hidden="false" customHeight="false" outlineLevel="0" collapsed="false">
      <c r="A20" s="0" t="s">
        <v>77</v>
      </c>
      <c r="B20" s="5" t="s">
        <v>78</v>
      </c>
      <c r="C20" s="0" t="s">
        <v>74</v>
      </c>
      <c r="D20" s="7" t="n">
        <v>104.166667</v>
      </c>
      <c r="E20" s="7" t="n">
        <v>116.666667</v>
      </c>
      <c r="F20" s="7" t="n">
        <v>126.388889</v>
      </c>
      <c r="G20" s="8" t="s">
        <v>32</v>
      </c>
      <c r="H20" s="8" t="s">
        <v>75</v>
      </c>
      <c r="I20" s="5" t="s">
        <v>79</v>
      </c>
    </row>
    <row r="21" customFormat="false" ht="17.15" hidden="false" customHeight="false" outlineLevel="0" collapsed="false">
      <c r="A21" s="0" t="s">
        <v>80</v>
      </c>
      <c r="B21" s="0" t="s">
        <v>81</v>
      </c>
      <c r="C21" s="0" t="s">
        <v>53</v>
      </c>
      <c r="D21" s="7" t="n">
        <v>0.8</v>
      </c>
      <c r="E21" s="7" t="n">
        <v>1</v>
      </c>
      <c r="F21" s="7" t="n">
        <v>1.2</v>
      </c>
      <c r="G21" s="8" t="s">
        <v>54</v>
      </c>
      <c r="H21" s="5" t="s">
        <v>82</v>
      </c>
      <c r="I21" s="8" t="s">
        <v>83</v>
      </c>
    </row>
    <row r="22" customFormat="false" ht="17.15" hidden="false" customHeight="false" outlineLevel="0" collapsed="false">
      <c r="A22" s="1" t="s">
        <v>84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0" t="s">
        <v>53</v>
      </c>
      <c r="D23" s="7" t="n">
        <v>0.75</v>
      </c>
      <c r="E23" s="7" t="n">
        <v>0.9</v>
      </c>
      <c r="F23" s="7" t="n">
        <v>1.05</v>
      </c>
      <c r="G23" s="8" t="s">
        <v>54</v>
      </c>
      <c r="H23" s="8" t="s">
        <v>87</v>
      </c>
      <c r="I23" s="8" t="s">
        <v>88</v>
      </c>
    </row>
    <row r="24" customFormat="false" ht="17.15" hidden="false" customHeight="false" outlineLevel="0" collapsed="false">
      <c r="A24" s="0" t="s">
        <v>89</v>
      </c>
      <c r="B24" s="0" t="s">
        <v>90</v>
      </c>
      <c r="C24" s="0" t="s">
        <v>53</v>
      </c>
      <c r="D24" s="7" t="n">
        <v>0.65</v>
      </c>
      <c r="E24" s="7" t="n">
        <v>0.85</v>
      </c>
      <c r="F24" s="7" t="n">
        <v>1</v>
      </c>
      <c r="G24" s="8" t="s">
        <v>54</v>
      </c>
      <c r="H24" s="5" t="s">
        <v>91</v>
      </c>
      <c r="I24" s="8" t="s">
        <v>92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0" t="s">
        <v>53</v>
      </c>
      <c r="D25" s="7" t="n">
        <v>0.55</v>
      </c>
      <c r="E25" s="7" t="n">
        <v>0.8</v>
      </c>
      <c r="F25" s="7" t="n">
        <v>1</v>
      </c>
      <c r="G25" s="8" t="s">
        <v>54</v>
      </c>
      <c r="H25" s="5" t="s">
        <v>37</v>
      </c>
      <c r="I25" s="8" t="s">
        <v>92</v>
      </c>
    </row>
    <row r="26" customFormat="false" ht="17.15" hidden="false" customHeight="false" outlineLevel="0" collapsed="false">
      <c r="A26" s="0" t="s">
        <v>95</v>
      </c>
      <c r="B26" s="5" t="s">
        <v>96</v>
      </c>
      <c r="C26" s="0" t="s">
        <v>53</v>
      </c>
      <c r="E26" s="7" t="n">
        <v>1</v>
      </c>
      <c r="G26" s="8" t="s">
        <v>54</v>
      </c>
      <c r="H26" s="5" t="s">
        <v>97</v>
      </c>
      <c r="I26" s="8" t="s">
        <v>92</v>
      </c>
    </row>
    <row r="27" customFormat="false" ht="17.15" hidden="false" customHeight="false" outlineLevel="0" collapsed="false">
      <c r="A27" s="0" t="s">
        <v>98</v>
      </c>
      <c r="B27" s="5" t="s">
        <v>99</v>
      </c>
      <c r="C27" s="0" t="s">
        <v>53</v>
      </c>
      <c r="E27" s="7" t="n">
        <v>0.95</v>
      </c>
      <c r="G27" s="8" t="s">
        <v>54</v>
      </c>
      <c r="H27" s="8" t="s">
        <v>100</v>
      </c>
      <c r="I27" s="8" t="s">
        <v>92</v>
      </c>
    </row>
    <row r="28" customFormat="false" ht="17.15" hidden="false" customHeight="false" outlineLevel="0" collapsed="false">
      <c r="A28" s="0" t="s">
        <v>101</v>
      </c>
      <c r="B28" s="5" t="s">
        <v>102</v>
      </c>
      <c r="C28" s="0" t="s">
        <v>53</v>
      </c>
      <c r="E28" s="7" t="n">
        <v>0.85</v>
      </c>
      <c r="G28" s="8" t="s">
        <v>54</v>
      </c>
      <c r="H28" s="5" t="s">
        <v>103</v>
      </c>
      <c r="I28" s="8" t="s">
        <v>92</v>
      </c>
    </row>
    <row r="29" customFormat="false" ht="17.15" hidden="false" customHeight="false" outlineLevel="0" collapsed="false">
      <c r="A29" s="1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0" t="s">
        <v>107</v>
      </c>
      <c r="D30" s="7" t="n">
        <v>190</v>
      </c>
      <c r="E30" s="7" t="n">
        <v>192</v>
      </c>
      <c r="F30" s="7" t="n">
        <v>194</v>
      </c>
      <c r="G30" s="8" t="s">
        <v>108</v>
      </c>
      <c r="H30" s="8" t="s">
        <v>109</v>
      </c>
      <c r="I30" s="8" t="s">
        <v>110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0" t="s">
        <v>107</v>
      </c>
      <c r="E31" s="7" t="n">
        <v>74</v>
      </c>
      <c r="G31" s="8" t="s">
        <v>108</v>
      </c>
      <c r="H31" s="8" t="s">
        <v>113</v>
      </c>
      <c r="I31" s="8" t="s">
        <v>114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117</v>
      </c>
      <c r="D32" s="7" t="n">
        <v>25.25</v>
      </c>
      <c r="E32" s="7" t="n">
        <v>25.5</v>
      </c>
      <c r="F32" s="7" t="n">
        <v>25.75</v>
      </c>
      <c r="G32" s="8" t="s">
        <v>108</v>
      </c>
      <c r="H32" s="8" t="s">
        <v>118</v>
      </c>
      <c r="I32" s="8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107</v>
      </c>
      <c r="D33" s="7" t="n">
        <v>48.5</v>
      </c>
      <c r="E33" s="7" t="n">
        <v>49</v>
      </c>
      <c r="F33" s="7" t="n">
        <v>49.5</v>
      </c>
      <c r="G33" s="8" t="s">
        <v>108</v>
      </c>
      <c r="H33" s="8" t="s">
        <v>122</v>
      </c>
      <c r="I33" s="8" t="s">
        <v>123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53</v>
      </c>
      <c r="D34" s="7" t="n">
        <v>1.05</v>
      </c>
      <c r="E34" s="7" t="n">
        <v>1.12</v>
      </c>
      <c r="F34" s="7" t="n">
        <v>1.2</v>
      </c>
      <c r="G34" s="8" t="s">
        <v>54</v>
      </c>
      <c r="H34" s="8" t="s">
        <v>126</v>
      </c>
      <c r="I34" s="8" t="s">
        <v>127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130</v>
      </c>
      <c r="D35" s="7" t="n">
        <v>-0.03</v>
      </c>
      <c r="E35" s="7" t="n">
        <v>0.03</v>
      </c>
      <c r="F35" s="7" t="n">
        <v>0.08</v>
      </c>
      <c r="G35" s="8" t="s">
        <v>54</v>
      </c>
      <c r="H35" s="8" t="s">
        <v>131</v>
      </c>
      <c r="I35" s="5" t="s">
        <v>132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130</v>
      </c>
      <c r="D36" s="7" t="n">
        <v>0.12</v>
      </c>
      <c r="E36" s="7" t="n">
        <v>0.135</v>
      </c>
      <c r="F36" s="7" t="n">
        <v>0.155</v>
      </c>
      <c r="G36" s="8" t="s">
        <v>54</v>
      </c>
      <c r="H36" s="8" t="s">
        <v>135</v>
      </c>
      <c r="I36" s="8" t="s">
        <v>136</v>
      </c>
    </row>
    <row r="37" customFormat="false" ht="17.15" hidden="false" customHeight="false" outlineLevel="0" collapsed="false">
      <c r="A37" s="0" t="s">
        <v>137</v>
      </c>
      <c r="B37" s="0" t="s">
        <v>138</v>
      </c>
      <c r="C37" s="0" t="s">
        <v>130</v>
      </c>
      <c r="D37" s="7" t="n">
        <v>0.065</v>
      </c>
      <c r="E37" s="7" t="n">
        <v>0.075</v>
      </c>
      <c r="F37" s="7" t="n">
        <v>0.08</v>
      </c>
      <c r="G37" s="8" t="s">
        <v>54</v>
      </c>
      <c r="H37" s="8" t="s">
        <v>139</v>
      </c>
      <c r="I37" s="8" t="s">
        <v>140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5" t="s">
        <v>143</v>
      </c>
      <c r="D38" s="7" t="n">
        <v>0.635</v>
      </c>
      <c r="E38" s="7" t="n">
        <v>0.642</v>
      </c>
      <c r="F38" s="7" t="n">
        <v>0.65</v>
      </c>
      <c r="G38" s="8" t="s">
        <v>54</v>
      </c>
      <c r="H38" s="8" t="s">
        <v>144</v>
      </c>
      <c r="I38" s="8" t="s">
        <v>145</v>
      </c>
    </row>
    <row r="39" customFormat="false" ht="17.15" hidden="false" customHeight="false" outlineLevel="0" collapsed="false">
      <c r="A39" s="0" t="s">
        <v>146</v>
      </c>
      <c r="B39" s="5" t="s">
        <v>147</v>
      </c>
      <c r="C39" s="0" t="s">
        <v>130</v>
      </c>
      <c r="D39" s="7" t="n">
        <v>0.14</v>
      </c>
      <c r="E39" s="7" t="n">
        <v>0.16</v>
      </c>
      <c r="F39" s="7" t="n">
        <v>0.19</v>
      </c>
      <c r="G39" s="8" t="s">
        <v>54</v>
      </c>
      <c r="H39" s="5" t="s">
        <v>148</v>
      </c>
      <c r="I39" s="8" t="s">
        <v>149</v>
      </c>
    </row>
    <row r="40" customFormat="false" ht="17.15" hidden="false" customHeight="false" outlineLevel="0" collapsed="false">
      <c r="A40" s="1" t="s">
        <v>150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153</v>
      </c>
      <c r="D41" s="7" t="n">
        <v>-0.03</v>
      </c>
      <c r="E41" s="7" t="n">
        <v>-0.01</v>
      </c>
      <c r="F41" s="7" t="n">
        <v>0.01</v>
      </c>
      <c r="G41" s="8" t="s">
        <v>54</v>
      </c>
      <c r="H41" s="8" t="s">
        <v>154</v>
      </c>
      <c r="I41" s="8" t="s">
        <v>92</v>
      </c>
    </row>
    <row r="42" customFormat="false" ht="17.15" hidden="false" customHeight="false" outlineLevel="0" collapsed="false">
      <c r="A42" s="0" t="s">
        <v>155</v>
      </c>
      <c r="B42" s="5" t="s">
        <v>156</v>
      </c>
      <c r="C42" s="0" t="s">
        <v>153</v>
      </c>
      <c r="E42" s="7" t="n">
        <v>0</v>
      </c>
      <c r="G42" s="8" t="s">
        <v>54</v>
      </c>
      <c r="H42" s="5" t="s">
        <v>157</v>
      </c>
      <c r="I42" s="8" t="s">
        <v>92</v>
      </c>
    </row>
    <row r="43" customFormat="false" ht="17.15" hidden="false" customHeight="false" outlineLevel="0" collapsed="false">
      <c r="A43" s="0" t="s">
        <v>158</v>
      </c>
      <c r="B43" s="5" t="s">
        <v>159</v>
      </c>
      <c r="C43" s="0" t="s">
        <v>153</v>
      </c>
      <c r="E43" s="7" t="n">
        <v>-0.01</v>
      </c>
      <c r="G43" s="8" t="s">
        <v>54</v>
      </c>
      <c r="H43" s="5" t="s">
        <v>160</v>
      </c>
      <c r="I43" s="8" t="s">
        <v>92</v>
      </c>
    </row>
    <row r="44" customFormat="false" ht="17.15" hidden="false" customHeight="false" outlineLevel="0" collapsed="false">
      <c r="A44" s="0" t="s">
        <v>161</v>
      </c>
      <c r="B44" s="5" t="s">
        <v>162</v>
      </c>
      <c r="C44" s="0" t="s">
        <v>153</v>
      </c>
      <c r="E44" s="7" t="n">
        <v>-0.025</v>
      </c>
      <c r="G44" s="8" t="s">
        <v>54</v>
      </c>
      <c r="H44" s="5" t="s">
        <v>163</v>
      </c>
      <c r="I44" s="8" t="s">
        <v>92</v>
      </c>
    </row>
    <row r="45" customFormat="false" ht="17.15" hidden="false" customHeight="false" outlineLevel="0" collapsed="false">
      <c r="A45" s="0" t="s">
        <v>164</v>
      </c>
      <c r="B45" s="5" t="s">
        <v>165</v>
      </c>
      <c r="C45" s="0" t="s">
        <v>130</v>
      </c>
      <c r="D45" s="7" t="n">
        <v>0.135</v>
      </c>
      <c r="E45" s="7" t="n">
        <v>0.155</v>
      </c>
      <c r="F45" s="7" t="n">
        <v>0.175</v>
      </c>
      <c r="G45" s="8" t="s">
        <v>54</v>
      </c>
      <c r="H45" s="8" t="s">
        <v>166</v>
      </c>
      <c r="I45" s="8" t="s">
        <v>92</v>
      </c>
    </row>
    <row r="46" customFormat="false" ht="17.15" hidden="false" customHeight="false" outlineLevel="0" collapsed="false">
      <c r="A46" s="0" t="s">
        <v>167</v>
      </c>
      <c r="B46" s="0" t="s">
        <v>168</v>
      </c>
      <c r="C46" s="0" t="s">
        <v>130</v>
      </c>
      <c r="D46" s="7" t="n">
        <v>0.06</v>
      </c>
      <c r="E46" s="7" t="n">
        <v>0.07</v>
      </c>
      <c r="F46" s="7" t="n">
        <v>0.08</v>
      </c>
      <c r="G46" s="8" t="s">
        <v>54</v>
      </c>
      <c r="H46" s="8" t="s">
        <v>169</v>
      </c>
      <c r="I46" s="5" t="s">
        <v>170</v>
      </c>
    </row>
    <row r="47" customFormat="false" ht="17.15" hidden="false" customHeight="false" outlineLevel="0" collapsed="false">
      <c r="A47" s="1" t="s">
        <v>171</v>
      </c>
    </row>
    <row r="48" customFormat="false" ht="17.15" hidden="false" customHeight="false" outlineLevel="0" collapsed="false">
      <c r="A48" s="0" t="s">
        <v>172</v>
      </c>
      <c r="B48" s="5" t="s">
        <v>173</v>
      </c>
      <c r="C48" s="0" t="s">
        <v>130</v>
      </c>
      <c r="D48" s="7" t="n">
        <v>-0.15</v>
      </c>
      <c r="E48" s="7" t="n">
        <v>-0.05</v>
      </c>
      <c r="F48" s="7" t="n">
        <v>0.05</v>
      </c>
      <c r="G48" s="8" t="s">
        <v>54</v>
      </c>
      <c r="H48" s="8" t="s">
        <v>174</v>
      </c>
      <c r="I48" s="8" t="s">
        <v>92</v>
      </c>
    </row>
    <row r="49" customFormat="false" ht="17.15" hidden="false" customHeight="false" outlineLevel="0" collapsed="false">
      <c r="A49" s="0" t="s">
        <v>175</v>
      </c>
      <c r="B49" s="5" t="s">
        <v>176</v>
      </c>
      <c r="C49" s="0" t="s">
        <v>130</v>
      </c>
      <c r="D49" s="7" t="n">
        <v>-0.05</v>
      </c>
      <c r="E49" s="7" t="n">
        <v>0.02</v>
      </c>
      <c r="F49" s="7" t="n">
        <v>0.06</v>
      </c>
      <c r="G49" s="8" t="s">
        <v>54</v>
      </c>
      <c r="H49" s="5" t="s">
        <v>37</v>
      </c>
      <c r="I49" s="8" t="s">
        <v>92</v>
      </c>
    </row>
    <row r="50" customFormat="false" ht="17.15" hidden="false" customHeight="false" outlineLevel="0" collapsed="false">
      <c r="A50" s="0" t="s">
        <v>177</v>
      </c>
      <c r="B50" s="5" t="s">
        <v>178</v>
      </c>
      <c r="C50" s="0" t="s">
        <v>130</v>
      </c>
      <c r="D50" s="7" t="n">
        <v>-0.03</v>
      </c>
      <c r="E50" s="7" t="n">
        <v>0.03</v>
      </c>
      <c r="F50" s="7" t="n">
        <v>0.06</v>
      </c>
      <c r="G50" s="8" t="s">
        <v>54</v>
      </c>
      <c r="H50" s="5" t="s">
        <v>37</v>
      </c>
      <c r="I50" s="8" t="s">
        <v>92</v>
      </c>
    </row>
    <row r="51" customFormat="false" ht="17.15" hidden="false" customHeight="false" outlineLevel="0" collapsed="false">
      <c r="A51" s="0" t="s">
        <v>179</v>
      </c>
      <c r="B51" s="5" t="s">
        <v>180</v>
      </c>
      <c r="C51" s="0" t="s">
        <v>130</v>
      </c>
      <c r="D51" s="7" t="n">
        <v>-0.03</v>
      </c>
      <c r="E51" s="7" t="n">
        <v>0.04</v>
      </c>
      <c r="F51" s="7" t="n">
        <v>0.1</v>
      </c>
      <c r="G51" s="8" t="s">
        <v>54</v>
      </c>
      <c r="H51" s="8" t="s">
        <v>181</v>
      </c>
      <c r="I51" s="8" t="s">
        <v>92</v>
      </c>
    </row>
    <row r="52" customFormat="false" ht="17.15" hidden="false" customHeight="false" outlineLevel="0" collapsed="false">
      <c r="A52" s="0" t="s">
        <v>182</v>
      </c>
      <c r="B52" s="5" t="s">
        <v>183</v>
      </c>
      <c r="C52" s="0" t="s">
        <v>130</v>
      </c>
      <c r="D52" s="7" t="n">
        <v>-0.02</v>
      </c>
      <c r="E52" s="7" t="n">
        <v>0.04</v>
      </c>
      <c r="F52" s="7" t="n">
        <v>0.08</v>
      </c>
      <c r="G52" s="8" t="s">
        <v>54</v>
      </c>
      <c r="H52" s="5" t="s">
        <v>37</v>
      </c>
      <c r="I52" s="8" t="s">
        <v>92</v>
      </c>
    </row>
    <row r="53" customFormat="false" ht="17.15" hidden="false" customHeight="false" outlineLevel="0" collapsed="false">
      <c r="A53" s="0" t="s">
        <v>184</v>
      </c>
      <c r="B53" s="5" t="s">
        <v>185</v>
      </c>
      <c r="C53" s="0" t="s">
        <v>130</v>
      </c>
      <c r="D53" s="7" t="n">
        <v>-0.02</v>
      </c>
      <c r="E53" s="7" t="n">
        <v>0.04</v>
      </c>
      <c r="F53" s="7" t="n">
        <v>0.08</v>
      </c>
      <c r="G53" s="8" t="s">
        <v>54</v>
      </c>
      <c r="H53" s="5" t="s">
        <v>37</v>
      </c>
      <c r="I53" s="8" t="s">
        <v>92</v>
      </c>
    </row>
    <row r="54" customFormat="false" ht="17.15" hidden="false" customHeight="false" outlineLevel="0" collapsed="false">
      <c r="A54" s="0" t="s">
        <v>186</v>
      </c>
      <c r="B54" s="0" t="s">
        <v>187</v>
      </c>
      <c r="C54" s="0" t="s">
        <v>130</v>
      </c>
      <c r="D54" s="7" t="n">
        <v>-0.06</v>
      </c>
      <c r="E54" s="7" t="n">
        <v>0.03</v>
      </c>
      <c r="F54" s="7" t="n">
        <v>0.08</v>
      </c>
      <c r="G54" s="8" t="s">
        <v>54</v>
      </c>
      <c r="H54" s="8" t="s">
        <v>188</v>
      </c>
      <c r="I54" s="8" t="s">
        <v>92</v>
      </c>
    </row>
    <row r="55" customFormat="false" ht="17.15" hidden="false" customHeight="false" outlineLevel="0" collapsed="false">
      <c r="A55" s="0" t="s">
        <v>189</v>
      </c>
      <c r="B55" s="0" t="s">
        <v>190</v>
      </c>
      <c r="C55" s="0" t="s">
        <v>130</v>
      </c>
      <c r="D55" s="7" t="n">
        <v>-0.04</v>
      </c>
      <c r="E55" s="7" t="n">
        <v>0.03</v>
      </c>
      <c r="F55" s="7" t="n">
        <v>0.06</v>
      </c>
      <c r="G55" s="8" t="s">
        <v>54</v>
      </c>
      <c r="H55" s="5" t="s">
        <v>37</v>
      </c>
      <c r="I55" s="8" t="s">
        <v>92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130</v>
      </c>
      <c r="D56" s="7" t="n">
        <v>-0.04</v>
      </c>
      <c r="E56" s="7" t="n">
        <v>0.03</v>
      </c>
      <c r="F56" s="7" t="n">
        <v>0.06</v>
      </c>
      <c r="G56" s="8" t="s">
        <v>54</v>
      </c>
      <c r="H56" s="5" t="s">
        <v>37</v>
      </c>
      <c r="I56" s="8" t="s">
        <v>92</v>
      </c>
    </row>
    <row r="57" customFormat="false" ht="17.15" hidden="false" customHeight="false" outlineLevel="0" collapsed="false">
      <c r="A57" s="1" t="s">
        <v>193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130</v>
      </c>
      <c r="D58" s="7" t="n">
        <v>0.7</v>
      </c>
      <c r="E58" s="7" t="n">
        <v>0.75</v>
      </c>
      <c r="F58" s="7" t="n">
        <v>0.78</v>
      </c>
      <c r="G58" s="8" t="s">
        <v>32</v>
      </c>
      <c r="H58" s="8" t="s">
        <v>196</v>
      </c>
      <c r="I58" s="5" t="s">
        <v>197</v>
      </c>
    </row>
    <row r="59" customFormat="false" ht="17.15" hidden="false" customHeight="false" outlineLevel="0" collapsed="false">
      <c r="A59" s="0" t="s">
        <v>198</v>
      </c>
      <c r="B59" s="5" t="s">
        <v>199</v>
      </c>
      <c r="C59" s="0" t="s">
        <v>130</v>
      </c>
      <c r="D59" s="7" t="n">
        <v>-0.05</v>
      </c>
      <c r="E59" s="7" t="n">
        <v>-0.03</v>
      </c>
      <c r="F59" s="7" t="n">
        <v>-0.01</v>
      </c>
      <c r="G59" s="8" t="s">
        <v>54</v>
      </c>
      <c r="H59" s="8" t="s">
        <v>200</v>
      </c>
      <c r="I59" s="5" t="s">
        <v>201</v>
      </c>
    </row>
    <row r="60" customFormat="false" ht="17.15" hidden="false" customHeight="false" outlineLevel="0" collapsed="false">
      <c r="A60" s="1" t="s">
        <v>202</v>
      </c>
    </row>
    <row r="61" customFormat="false" ht="17.15" hidden="false" customHeight="false" outlineLevel="0" collapsed="false">
      <c r="A61" s="0" t="s">
        <v>203</v>
      </c>
      <c r="B61" s="5" t="s">
        <v>204</v>
      </c>
      <c r="C61" s="0" t="s">
        <v>107</v>
      </c>
      <c r="E61" s="7" t="n">
        <v>193.4</v>
      </c>
      <c r="G61" s="8" t="s">
        <v>108</v>
      </c>
      <c r="H61" s="8" t="s">
        <v>205</v>
      </c>
      <c r="I61" s="8" t="s">
        <v>92</v>
      </c>
    </row>
    <row r="62" customFormat="false" ht="17.15" hidden="false" customHeight="false" outlineLevel="0" collapsed="false">
      <c r="A62" s="0" t="s">
        <v>206</v>
      </c>
      <c r="B62" s="5" t="s">
        <v>207</v>
      </c>
      <c r="C62" s="0" t="s">
        <v>117</v>
      </c>
      <c r="E62" s="7" t="n">
        <v>25.9</v>
      </c>
      <c r="G62" s="8" t="s">
        <v>108</v>
      </c>
      <c r="H62" s="8" t="s">
        <v>208</v>
      </c>
      <c r="I62" s="8" t="s">
        <v>92</v>
      </c>
    </row>
    <row r="63" customFormat="false" ht="17.15" hidden="false" customHeight="false" outlineLevel="0" collapsed="false">
      <c r="A63" s="0" t="s">
        <v>209</v>
      </c>
      <c r="B63" s="5" t="s">
        <v>210</v>
      </c>
      <c r="C63" s="0" t="s">
        <v>107</v>
      </c>
      <c r="E63" s="7" t="n">
        <v>229.12</v>
      </c>
      <c r="G63" s="8" t="s">
        <v>108</v>
      </c>
      <c r="H63" s="8" t="s">
        <v>211</v>
      </c>
      <c r="I63" s="8" t="s">
        <v>92</v>
      </c>
    </row>
    <row r="64" customFormat="false" ht="17.15" hidden="false" customHeight="false" outlineLevel="0" collapsed="false">
      <c r="A64" s="0" t="s">
        <v>212</v>
      </c>
      <c r="B64" s="5" t="s">
        <v>213</v>
      </c>
      <c r="C64" s="0" t="s">
        <v>117</v>
      </c>
      <c r="E64" s="7" t="n">
        <v>29.93</v>
      </c>
      <c r="G64" s="8" t="s">
        <v>108</v>
      </c>
      <c r="H64" s="8" t="s">
        <v>214</v>
      </c>
      <c r="I64" s="8" t="s">
        <v>215</v>
      </c>
    </row>
    <row r="65" customFormat="false" ht="17.15" hidden="false" customHeight="false" outlineLevel="0" collapsed="false">
      <c r="A65" s="1" t="s">
        <v>216</v>
      </c>
    </row>
    <row r="66" customFormat="false" ht="17.15" hidden="false" customHeight="false" outlineLevel="0" collapsed="false">
      <c r="A66" s="0" t="s">
        <v>217</v>
      </c>
      <c r="B66" s="5" t="s">
        <v>218</v>
      </c>
      <c r="C66" s="0" t="s">
        <v>117</v>
      </c>
      <c r="E66" s="7" t="n">
        <v>456.44</v>
      </c>
      <c r="G66" s="8" t="s">
        <v>108</v>
      </c>
      <c r="H66" s="8" t="s">
        <v>219</v>
      </c>
      <c r="I66" s="8" t="s">
        <v>220</v>
      </c>
    </row>
    <row r="67" customFormat="false" ht="17.15" hidden="false" customHeight="false" outlineLevel="0" collapsed="false">
      <c r="A67" s="0" t="s">
        <v>221</v>
      </c>
      <c r="B67" s="5" t="s">
        <v>222</v>
      </c>
      <c r="C67" s="0" t="s">
        <v>53</v>
      </c>
      <c r="E67" s="7" t="n">
        <v>26.63</v>
      </c>
      <c r="G67" s="8" t="s">
        <v>108</v>
      </c>
      <c r="H67" s="8" t="s">
        <v>223</v>
      </c>
      <c r="I67" s="8" t="s">
        <v>92</v>
      </c>
    </row>
    <row r="68" customFormat="false" ht="17.15" hidden="false" customHeight="false" outlineLevel="0" collapsed="false">
      <c r="A68" s="0" t="s">
        <v>224</v>
      </c>
      <c r="B68" s="5" t="s">
        <v>225</v>
      </c>
      <c r="C68" s="0" t="s">
        <v>53</v>
      </c>
      <c r="E68" s="7" t="n">
        <v>16.22</v>
      </c>
      <c r="G68" s="8" t="s">
        <v>108</v>
      </c>
      <c r="H68" s="8" t="s">
        <v>223</v>
      </c>
      <c r="I68" s="8" t="s">
        <v>92</v>
      </c>
    </row>
    <row r="69" customFormat="false" ht="17.15" hidden="false" customHeight="false" outlineLevel="0" collapsed="false">
      <c r="A69" s="0" t="s">
        <v>226</v>
      </c>
      <c r="B69" s="5" t="s">
        <v>227</v>
      </c>
      <c r="C69" s="0" t="s">
        <v>117</v>
      </c>
      <c r="E69" s="0" t="n">
        <f aca="false">px/fpe</f>
        <v>28.1405672009864</v>
      </c>
      <c r="G69" s="0" t="s">
        <v>32</v>
      </c>
      <c r="H69" s="0" t="s">
        <v>228</v>
      </c>
      <c r="I69" s="5" t="s">
        <v>229</v>
      </c>
    </row>
    <row r="70" customFormat="false" ht="17.15" hidden="false" customHeight="false" outlineLevel="0" collapsed="false">
      <c r="A70" s="0" t="s">
        <v>230</v>
      </c>
      <c r="B70" s="5" t="s">
        <v>231</v>
      </c>
      <c r="C70" s="0" t="s">
        <v>117</v>
      </c>
      <c r="D70" s="7" t="n">
        <v>480</v>
      </c>
      <c r="E70" s="7" t="n">
        <v>593</v>
      </c>
      <c r="F70" s="7" t="n">
        <v>735</v>
      </c>
      <c r="G70" s="8" t="s">
        <v>108</v>
      </c>
      <c r="H70" s="8" t="s">
        <v>232</v>
      </c>
      <c r="I70" s="8" t="s">
        <v>233</v>
      </c>
    </row>
    <row r="71" customFormat="false" ht="17.15" hidden="false" customHeight="false" outlineLevel="0" collapsed="false">
      <c r="A71" s="0" t="s">
        <v>234</v>
      </c>
      <c r="B71" s="5" t="s">
        <v>235</v>
      </c>
      <c r="C71" s="5" t="s">
        <v>143</v>
      </c>
      <c r="E71" s="7" t="n">
        <v>0.63581</v>
      </c>
      <c r="G71" s="8" t="s">
        <v>108</v>
      </c>
      <c r="H71" s="8" t="s">
        <v>236</v>
      </c>
      <c r="I71" s="8" t="s">
        <v>92</v>
      </c>
    </row>
    <row r="72" customFormat="false" ht="17.15" hidden="false" customHeight="false" outlineLevel="0" collapsed="false">
      <c r="A72" s="1" t="s">
        <v>237</v>
      </c>
    </row>
    <row r="73" customFormat="false" ht="17.15" hidden="false" customHeight="false" outlineLevel="0" collapsed="false">
      <c r="A73" s="9" t="s">
        <v>238</v>
      </c>
      <c r="B73" s="10" t="s">
        <v>239</v>
      </c>
      <c r="C73" s="9" t="s">
        <v>130</v>
      </c>
      <c r="D73" s="9"/>
      <c r="E73" s="11" t="n">
        <v>0.3</v>
      </c>
      <c r="F73" s="9"/>
      <c r="G73" s="9" t="s">
        <v>54</v>
      </c>
      <c r="H73" s="9" t="s">
        <v>240</v>
      </c>
      <c r="I73" s="10" t="s">
        <v>241</v>
      </c>
    </row>
    <row r="74" customFormat="false" ht="17.15" hidden="false" customHeight="false" outlineLevel="0" collapsed="false">
      <c r="A74" s="9" t="s">
        <v>242</v>
      </c>
      <c r="B74" s="10" t="s">
        <v>243</v>
      </c>
      <c r="C74" s="9" t="s">
        <v>130</v>
      </c>
      <c r="D74" s="9"/>
      <c r="E74" s="11" t="n">
        <v>0.5</v>
      </c>
      <c r="F74" s="9"/>
      <c r="G74" s="9" t="s">
        <v>54</v>
      </c>
      <c r="H74" s="9" t="s">
        <v>240</v>
      </c>
      <c r="I74" s="10" t="s">
        <v>241</v>
      </c>
    </row>
    <row r="75" customFormat="false" ht="17.15" hidden="false" customHeight="false" outlineLevel="0" collapsed="false">
      <c r="A75" s="9" t="s">
        <v>244</v>
      </c>
      <c r="B75" s="10" t="s">
        <v>245</v>
      </c>
      <c r="C75" s="9" t="s">
        <v>130</v>
      </c>
      <c r="D75" s="9"/>
      <c r="E75" s="11" t="n">
        <v>0.2</v>
      </c>
      <c r="F75" s="9"/>
      <c r="G75" s="9" t="s">
        <v>54</v>
      </c>
      <c r="H75" s="9" t="s">
        <v>240</v>
      </c>
      <c r="I75" s="10" t="s">
        <v>241</v>
      </c>
    </row>
    <row r="76" customFormat="false" ht="17.15" hidden="false" customHeight="false" outlineLevel="0" collapsed="false">
      <c r="A76" s="9" t="s">
        <v>246</v>
      </c>
      <c r="B76" s="10" t="s">
        <v>247</v>
      </c>
      <c r="C76" s="9" t="s">
        <v>130</v>
      </c>
      <c r="D76" s="9"/>
      <c r="E76" s="11" t="n">
        <v>0.1</v>
      </c>
      <c r="F76" s="9"/>
      <c r="G76" s="9" t="s">
        <v>54</v>
      </c>
      <c r="H76" s="9" t="s">
        <v>248</v>
      </c>
      <c r="I76" s="10" t="s">
        <v>249</v>
      </c>
    </row>
    <row r="77" customFormat="false" ht="17.15" hidden="false" customHeight="false" outlineLevel="0" collapsed="false">
      <c r="A77" s="9" t="s">
        <v>250</v>
      </c>
      <c r="B77" s="10" t="s">
        <v>251</v>
      </c>
      <c r="C77" s="9" t="s">
        <v>130</v>
      </c>
      <c r="D77" s="9"/>
      <c r="E77" s="11" t="n">
        <v>0.04</v>
      </c>
      <c r="F77" s="9"/>
      <c r="G77" s="9" t="s">
        <v>54</v>
      </c>
      <c r="H77" s="9" t="s">
        <v>252</v>
      </c>
      <c r="I77" s="9" t="s">
        <v>253</v>
      </c>
    </row>
    <row r="78" customFormat="false" ht="17.15" hidden="false" customHeight="false" outlineLevel="0" collapsed="false">
      <c r="A78" s="9" t="s">
        <v>254</v>
      </c>
      <c r="B78" s="9" t="s">
        <v>255</v>
      </c>
      <c r="C78" s="9" t="s">
        <v>130</v>
      </c>
      <c r="D78" s="9"/>
      <c r="E78" s="11" t="n">
        <v>0.2</v>
      </c>
      <c r="F78" s="9"/>
      <c r="G78" s="9" t="s">
        <v>54</v>
      </c>
      <c r="H78" s="10" t="s">
        <v>256</v>
      </c>
      <c r="I78" s="10" t="s">
        <v>257</v>
      </c>
    </row>
    <row r="79" customFormat="false" ht="17.15" hidden="false" customHeight="false" outlineLevel="0" collapsed="false">
      <c r="A79" s="9" t="s">
        <v>258</v>
      </c>
      <c r="B79" s="10" t="s">
        <v>259</v>
      </c>
      <c r="C79" s="9" t="s">
        <v>130</v>
      </c>
      <c r="D79" s="9"/>
      <c r="E79" s="11" t="n">
        <v>0.5</v>
      </c>
      <c r="F79" s="9"/>
      <c r="G79" s="9" t="s">
        <v>54</v>
      </c>
      <c r="H79" s="9" t="s">
        <v>260</v>
      </c>
      <c r="I79" s="9" t="s">
        <v>92</v>
      </c>
    </row>
    <row r="80" customFormat="false" ht="17.15" hidden="false" customHeight="false" outlineLevel="0" collapsed="false">
      <c r="A80" s="9" t="s">
        <v>261</v>
      </c>
      <c r="B80" s="10" t="s">
        <v>262</v>
      </c>
      <c r="C80" s="9" t="s">
        <v>53</v>
      </c>
      <c r="D80" s="9"/>
      <c r="E80" s="11" t="n">
        <v>0.8</v>
      </c>
      <c r="F80" s="9"/>
      <c r="G80" s="9" t="s">
        <v>54</v>
      </c>
      <c r="H80" s="9" t="s">
        <v>263</v>
      </c>
      <c r="I80" s="10" t="s">
        <v>264</v>
      </c>
    </row>
    <row r="81" customFormat="false" ht="17.15" hidden="false" customHeight="false" outlineLevel="0" collapsed="false">
      <c r="A81" s="9" t="s">
        <v>265</v>
      </c>
      <c r="B81" s="10" t="s">
        <v>266</v>
      </c>
      <c r="C81" s="9" t="s">
        <v>130</v>
      </c>
      <c r="D81" s="9"/>
      <c r="E81" s="9" t="n">
        <f aca="false">tp_g+0.02</f>
        <v>0.06</v>
      </c>
      <c r="F81" s="9"/>
      <c r="G81" s="9" t="s">
        <v>54</v>
      </c>
      <c r="H81" s="10" t="s">
        <v>267</v>
      </c>
      <c r="I81" s="9" t="s">
        <v>268</v>
      </c>
    </row>
    <row r="82" customFormat="false" ht="17.15" hidden="false" customHeight="false" outlineLevel="0" collapsed="false">
      <c r="A82" s="9" t="s">
        <v>269</v>
      </c>
      <c r="B82" s="10" t="s">
        <v>270</v>
      </c>
      <c r="C82" s="9" t="s">
        <v>130</v>
      </c>
      <c r="D82" s="9"/>
      <c r="E82" s="9" t="n">
        <f aca="false">tp_g</f>
        <v>0.04</v>
      </c>
      <c r="F82" s="9"/>
      <c r="G82" s="9" t="s">
        <v>54</v>
      </c>
      <c r="H82" s="10" t="s">
        <v>37</v>
      </c>
      <c r="I82" s="9" t="s">
        <v>92</v>
      </c>
    </row>
    <row r="83" customFormat="false" ht="17.15" hidden="false" customHeight="false" outlineLevel="0" collapsed="false">
      <c r="A83" s="9" t="s">
        <v>271</v>
      </c>
      <c r="B83" s="10" t="s">
        <v>272</v>
      </c>
      <c r="C83" s="9" t="s">
        <v>130</v>
      </c>
      <c r="D83" s="9"/>
      <c r="E83" s="9" t="n">
        <f aca="false">tp_g-0.02</f>
        <v>0.02</v>
      </c>
      <c r="F83" s="9"/>
      <c r="G83" s="9" t="s">
        <v>54</v>
      </c>
      <c r="H83" s="10" t="s">
        <v>37</v>
      </c>
      <c r="I83" s="9" t="s">
        <v>92</v>
      </c>
    </row>
    <row r="84" customFormat="false" ht="17.15" hidden="false" customHeight="false" outlineLevel="0" collapsed="false">
      <c r="A84" s="9" t="s">
        <v>273</v>
      </c>
      <c r="B84" s="10" t="s">
        <v>274</v>
      </c>
      <c r="C84" s="9" t="s">
        <v>130</v>
      </c>
      <c r="D84" s="9"/>
      <c r="E84" s="12" t="n">
        <f aca="false">PL!G14</f>
        <v>0.0786254197837229</v>
      </c>
      <c r="F84" s="9"/>
      <c r="G84" s="9" t="s">
        <v>32</v>
      </c>
      <c r="H84" s="9" t="s">
        <v>275</v>
      </c>
      <c r="I84" s="9" t="s">
        <v>92</v>
      </c>
    </row>
    <row r="85" customFormat="false" ht="17.15" hidden="false" customHeight="false" outlineLevel="0" collapsed="false">
      <c r="A85" s="9" t="s">
        <v>276</v>
      </c>
      <c r="B85" s="10" t="s">
        <v>277</v>
      </c>
      <c r="C85" s="9" t="s">
        <v>130</v>
      </c>
      <c r="D85" s="9"/>
      <c r="E85" s="13" t="n">
        <f aca="false">PL!G28*(1+nm10_k)/2</f>
        <v>0.0677972768984243</v>
      </c>
      <c r="F85" s="9"/>
      <c r="G85" s="9" t="s">
        <v>32</v>
      </c>
      <c r="H85" s="9" t="s">
        <v>278</v>
      </c>
      <c r="I85" s="9" t="s">
        <v>92</v>
      </c>
    </row>
    <row r="86" customFormat="false" ht="17.15" hidden="false" customHeight="false" outlineLevel="0" collapsed="false">
      <c r="A86" s="9" t="s">
        <v>279</v>
      </c>
      <c r="B86" s="10" t="s">
        <v>280</v>
      </c>
      <c r="C86" s="9" t="s">
        <v>130</v>
      </c>
      <c r="D86" s="9"/>
      <c r="E86" s="13" t="n">
        <f aca="false">PL!G42*nm10_k</f>
        <v>0.0581659884996697</v>
      </c>
      <c r="F86" s="9"/>
      <c r="G86" s="9" t="s">
        <v>54</v>
      </c>
      <c r="H86" s="9" t="s">
        <v>281</v>
      </c>
      <c r="I86" s="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282</v>
      </c>
    </row>
    <row r="2" customFormat="false" ht="17.15" hidden="false" customHeight="false" outlineLevel="0" collapsed="false">
      <c r="A2" s="0" t="s">
        <v>283</v>
      </c>
    </row>
    <row r="3" customFormat="false" ht="17.15" hidden="false" customHeight="false" outlineLevel="0" collapsed="false">
      <c r="A3" s="6" t="s">
        <v>20</v>
      </c>
      <c r="B3" s="14" t="s">
        <v>284</v>
      </c>
      <c r="C3" s="14" t="s">
        <v>285</v>
      </c>
      <c r="D3" s="14" t="s">
        <v>286</v>
      </c>
      <c r="E3" s="14" t="s">
        <v>287</v>
      </c>
      <c r="F3" s="14"/>
      <c r="G3" s="6" t="s">
        <v>25</v>
      </c>
      <c r="H3" s="6" t="s">
        <v>288</v>
      </c>
      <c r="I3" s="6" t="s">
        <v>27</v>
      </c>
    </row>
    <row r="4" customFormat="false" ht="17.15" hidden="false" customHeight="false" outlineLevel="0" collapsed="false">
      <c r="A4" s="0" t="s">
        <v>289</v>
      </c>
      <c r="B4" s="15" t="n">
        <v>24.683</v>
      </c>
      <c r="C4" s="15" t="n">
        <v>32.533</v>
      </c>
      <c r="D4" s="16" t="n">
        <f aca="false">g_ai-C4</f>
        <v>41.467</v>
      </c>
      <c r="E4" s="16" t="n">
        <f aca="false">g_ai</f>
        <v>74</v>
      </c>
      <c r="G4" s="8" t="s">
        <v>290</v>
      </c>
      <c r="H4" s="8" t="s">
        <v>291</v>
      </c>
      <c r="I4" s="8" t="s">
        <v>292</v>
      </c>
    </row>
    <row r="5" customFormat="false" ht="17.15" hidden="false" customHeight="false" outlineLevel="0" collapsed="false">
      <c r="A5" s="5" t="s">
        <v>293</v>
      </c>
      <c r="B5" s="15" t="n">
        <v>19.512</v>
      </c>
      <c r="C5" s="15" t="n">
        <v>19.074</v>
      </c>
      <c r="D5" s="16" t="n">
        <f aca="false">E5-C5</f>
        <v>18.52263</v>
      </c>
      <c r="E5" s="16" t="n">
        <f aca="false">g_rev-E4-E6-E8-E9</f>
        <v>37.59663</v>
      </c>
      <c r="G5" s="8" t="s">
        <v>294</v>
      </c>
      <c r="H5" s="8" t="s">
        <v>291</v>
      </c>
      <c r="I5" s="8" t="s">
        <v>295</v>
      </c>
    </row>
    <row r="6" customFormat="false" ht="17.15" hidden="false" customHeight="false" outlineLevel="0" collapsed="false">
      <c r="A6" s="5" t="s">
        <v>296</v>
      </c>
      <c r="B6" s="15" t="n">
        <v>16.631</v>
      </c>
      <c r="C6" s="15" t="n">
        <v>9.184</v>
      </c>
      <c r="D6" s="16" t="n">
        <f aca="false">C6*st_h2</f>
        <v>10.28608</v>
      </c>
      <c r="E6" s="16" t="n">
        <f aca="false">C6+D6</f>
        <v>19.47008</v>
      </c>
      <c r="G6" s="8" t="s">
        <v>297</v>
      </c>
      <c r="H6" s="8" t="s">
        <v>291</v>
      </c>
      <c r="I6" s="8" t="s">
        <v>298</v>
      </c>
    </row>
    <row r="7" customFormat="false" ht="17.15" hidden="false" customHeight="false" outlineLevel="0" collapsed="false">
      <c r="A7" s="0" t="s">
        <v>299</v>
      </c>
      <c r="B7" s="16" t="n">
        <f aca="false">B4+B5+B6</f>
        <v>60.826</v>
      </c>
      <c r="C7" s="16" t="n">
        <f aca="false">C4+C5+C6</f>
        <v>60.791</v>
      </c>
      <c r="D7" s="16" t="n">
        <f aca="false">D4+D5+D6</f>
        <v>70.27571</v>
      </c>
      <c r="E7" s="16" t="n">
        <f aca="false">C7+D7</f>
        <v>131.06671</v>
      </c>
      <c r="G7" s="8" t="s">
        <v>32</v>
      </c>
      <c r="H7" s="8" t="s">
        <v>291</v>
      </c>
      <c r="I7" s="8" t="s">
        <v>300</v>
      </c>
    </row>
    <row r="8" customFormat="false" ht="17.15" hidden="false" customHeight="false" outlineLevel="0" collapsed="false">
      <c r="A8" s="0" t="s">
        <v>301</v>
      </c>
      <c r="B8" s="15" t="n">
        <v>50.984</v>
      </c>
      <c r="C8" s="15" t="n">
        <v>29.643</v>
      </c>
      <c r="D8" s="16" t="n">
        <f aca="false">C8*(1+csg_h2)</f>
        <v>30.53229</v>
      </c>
      <c r="E8" s="16" t="n">
        <f aca="false">C8+D8</f>
        <v>60.17529</v>
      </c>
      <c r="G8" s="8" t="s">
        <v>297</v>
      </c>
      <c r="H8" s="8" t="s">
        <v>291</v>
      </c>
      <c r="I8" s="8" t="s">
        <v>302</v>
      </c>
    </row>
    <row r="9" customFormat="false" ht="17.15" hidden="false" customHeight="false" outlineLevel="0" collapsed="false">
      <c r="A9" s="5" t="s">
        <v>303</v>
      </c>
      <c r="B9" s="16" t="n">
        <f aca="false">B10-B7-B8</f>
        <v>1.72799999999999</v>
      </c>
      <c r="C9" s="16" t="n">
        <f aca="false">C10-C7-C8</f>
        <v>0.379000000000005</v>
      </c>
      <c r="D9" s="16" t="n">
        <f aca="false">C9</f>
        <v>0.379000000000005</v>
      </c>
      <c r="E9" s="16" t="n">
        <f aca="false">C9+D9</f>
        <v>0.75800000000001</v>
      </c>
      <c r="G9" s="8" t="s">
        <v>304</v>
      </c>
      <c r="H9" s="8" t="s">
        <v>291</v>
      </c>
      <c r="I9" s="8" t="s">
        <v>305</v>
      </c>
    </row>
    <row r="10" customFormat="false" ht="17.15" hidden="false" customHeight="false" outlineLevel="0" collapsed="false">
      <c r="A10" s="5" t="s">
        <v>306</v>
      </c>
      <c r="B10" s="15" t="n">
        <v>113.538</v>
      </c>
      <c r="C10" s="15" t="n">
        <v>90.813</v>
      </c>
      <c r="D10" s="16" t="n">
        <f aca="false">E10-C10</f>
        <v>101.187</v>
      </c>
      <c r="E10" s="16" t="n">
        <f aca="false">g_rev</f>
        <v>192</v>
      </c>
      <c r="G10" s="8" t="s">
        <v>290</v>
      </c>
      <c r="H10" s="8" t="s">
        <v>291</v>
      </c>
      <c r="I10" s="8" t="s">
        <v>307</v>
      </c>
    </row>
    <row r="11" customFormat="false" ht="17.15" hidden="false" customHeight="false" outlineLevel="0" collapsed="false">
      <c r="A11" s="0" t="s">
        <v>308</v>
      </c>
      <c r="B11" s="15" t="n">
        <v>7.111</v>
      </c>
      <c r="C11" s="15" t="n">
        <v>7.836</v>
      </c>
      <c r="D11" s="16" t="n">
        <f aca="false">D7*isg_h2m</f>
        <v>9.48722085</v>
      </c>
      <c r="E11" s="16" t="n">
        <f aca="false">C11+D11</f>
        <v>17.32322085</v>
      </c>
      <c r="G11" s="8" t="s">
        <v>297</v>
      </c>
      <c r="H11" s="8" t="s">
        <v>291</v>
      </c>
      <c r="I11" s="8" t="s">
        <v>309</v>
      </c>
    </row>
    <row r="12" customFormat="false" ht="17.15" hidden="false" customHeight="false" outlineLevel="0" collapsed="false">
      <c r="A12" s="0" t="s">
        <v>310</v>
      </c>
      <c r="B12" s="15" t="n">
        <v>2.833</v>
      </c>
      <c r="C12" s="15" t="n">
        <v>2.312</v>
      </c>
      <c r="D12" s="16" t="n">
        <f aca="false">D8*csg_h2m</f>
        <v>2.28992175</v>
      </c>
      <c r="E12" s="16" t="n">
        <f aca="false">C12+D12</f>
        <v>4.60192175</v>
      </c>
      <c r="G12" s="8" t="s">
        <v>297</v>
      </c>
      <c r="H12" s="8" t="s">
        <v>291</v>
      </c>
      <c r="I12" s="8" t="s">
        <v>311</v>
      </c>
    </row>
    <row r="13" customFormat="false" ht="17.15" hidden="false" customHeight="false" outlineLevel="0" collapsed="false">
      <c r="A13" s="5" t="s">
        <v>312</v>
      </c>
      <c r="B13" s="16" t="n">
        <f aca="false">B11+B12</f>
        <v>9.944</v>
      </c>
      <c r="C13" s="16" t="n">
        <f aca="false">C11+C12</f>
        <v>10.148</v>
      </c>
      <c r="D13" s="16" t="n">
        <f aca="false">D11+D12</f>
        <v>11.7771426</v>
      </c>
      <c r="E13" s="16" t="n">
        <f aca="false">C13+D13</f>
        <v>21.9251426</v>
      </c>
      <c r="G13" s="8" t="s">
        <v>32</v>
      </c>
      <c r="H13" s="8" t="s">
        <v>291</v>
      </c>
      <c r="I13" s="8" t="s">
        <v>313</v>
      </c>
    </row>
    <row r="14" customFormat="false" ht="17.15" hidden="false" customHeight="false" outlineLevel="0" collapsed="false">
      <c r="A14" s="0" t="s">
        <v>314</v>
      </c>
      <c r="B14" s="15" t="n">
        <v>9.991</v>
      </c>
      <c r="C14" s="15" t="n">
        <v>10.164</v>
      </c>
      <c r="G14" s="8" t="s">
        <v>315</v>
      </c>
      <c r="H14" s="8" t="s">
        <v>291</v>
      </c>
      <c r="I14" s="8" t="s">
        <v>92</v>
      </c>
    </row>
    <row r="15" customFormat="false" ht="17.15" hidden="false" customHeight="false" outlineLevel="0" collapsed="false">
      <c r="A15" s="0" t="s">
        <v>316</v>
      </c>
      <c r="B15" s="15" t="n">
        <v>7.046</v>
      </c>
      <c r="C15" s="15" t="n">
        <v>7.781</v>
      </c>
      <c r="D15" s="16" t="n">
        <f aca="false">E15-C15</f>
        <v>8.743</v>
      </c>
      <c r="E15" s="16" t="n">
        <f aca="false">g_eps*E17</f>
        <v>16.524</v>
      </c>
      <c r="G15" s="8" t="s">
        <v>317</v>
      </c>
      <c r="H15" s="8" t="s">
        <v>291</v>
      </c>
      <c r="I15" s="8" t="s">
        <v>318</v>
      </c>
    </row>
    <row r="16" customFormat="false" ht="17.15" hidden="false" customHeight="false" outlineLevel="0" collapsed="false">
      <c r="A16" s="5" t="s">
        <v>319</v>
      </c>
      <c r="B16" s="17" t="n">
        <f aca="false">B15/B13</f>
        <v>0.708567980691875</v>
      </c>
      <c r="C16" s="17" t="n">
        <f aca="false">C15/C13</f>
        <v>0.766752069373276</v>
      </c>
      <c r="D16" s="17" t="n">
        <f aca="false">D15/D13</f>
        <v>0.742370224845541</v>
      </c>
      <c r="E16" s="17" t="n">
        <f aca="false">E15/E13</f>
        <v>0.753655303477935</v>
      </c>
      <c r="G16" s="8" t="s">
        <v>32</v>
      </c>
      <c r="H16" s="8" t="s">
        <v>92</v>
      </c>
      <c r="I16" s="8" t="s">
        <v>320</v>
      </c>
    </row>
    <row r="17" customFormat="false" ht="17.15" hidden="false" customHeight="false" outlineLevel="0" collapsed="false">
      <c r="A17" s="5" t="s">
        <v>321</v>
      </c>
      <c r="B17" s="16" t="n">
        <f aca="false">7.046/10.3</f>
        <v>0.684077669902913</v>
      </c>
      <c r="C17" s="15" t="n">
        <v>0.654</v>
      </c>
      <c r="D17" s="16" t="n">
        <f aca="false">h2_sh</f>
        <v>0.642</v>
      </c>
      <c r="E17" s="16" t="n">
        <f aca="false">(C17+D17)/2</f>
        <v>0.648</v>
      </c>
      <c r="G17" s="8" t="s">
        <v>322</v>
      </c>
      <c r="H17" s="8" t="s">
        <v>291</v>
      </c>
      <c r="I17" s="8" t="s">
        <v>323</v>
      </c>
    </row>
    <row r="18" customFormat="false" ht="17.15" hidden="false" customHeight="false" outlineLevel="0" collapsed="false">
      <c r="A18" s="0" t="s">
        <v>324</v>
      </c>
      <c r="B18" s="18" t="n">
        <f aca="false">B15/B17</f>
        <v>10.3</v>
      </c>
      <c r="C18" s="18" t="n">
        <f aca="false">C15/C17</f>
        <v>11.8975535168196</v>
      </c>
      <c r="D18" s="18" t="n">
        <f aca="false">D15/D17</f>
        <v>13.6183800623053</v>
      </c>
      <c r="E18" s="18" t="n">
        <f aca="false">E15/E17</f>
        <v>25.5</v>
      </c>
      <c r="G18" s="8" t="s">
        <v>32</v>
      </c>
      <c r="H18" s="5" t="s">
        <v>325</v>
      </c>
      <c r="I18" s="8" t="s">
        <v>92</v>
      </c>
    </row>
    <row r="19" customFormat="false" ht="17.15" hidden="false" customHeight="false" outlineLevel="0" collapsed="false">
      <c r="A19" s="5" t="s">
        <v>326</v>
      </c>
      <c r="B19" s="19" t="n">
        <v>10.3</v>
      </c>
      <c r="C19" s="19" t="n">
        <v>11.9</v>
      </c>
      <c r="E19" s="18" t="n">
        <f aca="false">g_eps</f>
        <v>25.5</v>
      </c>
      <c r="G19" s="8" t="s">
        <v>327</v>
      </c>
      <c r="H19" s="8" t="s">
        <v>291</v>
      </c>
      <c r="I19" s="8" t="s">
        <v>328</v>
      </c>
    </row>
    <row r="21" customFormat="false" ht="15" hidden="false" customHeight="false" outlineLevel="0" collapsed="false">
      <c r="A21" s="3" t="s">
        <v>329</v>
      </c>
    </row>
    <row r="22" customFormat="false" ht="17.15" hidden="false" customHeight="false" outlineLevel="0" collapsed="false">
      <c r="A22" s="0" t="s">
        <v>330</v>
      </c>
      <c r="B22" s="17" t="n">
        <f aca="false">E10/B10-1</f>
        <v>0.691063784812134</v>
      </c>
    </row>
    <row r="23" customFormat="false" ht="17.15" hidden="false" customHeight="false" outlineLevel="0" collapsed="false">
      <c r="A23" s="0" t="s">
        <v>331</v>
      </c>
      <c r="B23" s="17" t="n">
        <f aca="false">D5/C5-1</f>
        <v>-0.0289068889587928</v>
      </c>
    </row>
    <row r="24" customFormat="false" ht="17.15" hidden="false" customHeight="false" outlineLevel="0" collapsed="false">
      <c r="A24" s="0" t="s">
        <v>332</v>
      </c>
      <c r="B24" s="17" t="n">
        <f aca="false">(B11-m_nai*(B5+B6))/B4</f>
        <v>0.0538070736944455</v>
      </c>
    </row>
    <row r="25" customFormat="false" ht="17.15" hidden="false" customHeight="false" outlineLevel="0" collapsed="false">
      <c r="A25" s="0" t="s">
        <v>333</v>
      </c>
      <c r="B25" s="17" t="n">
        <f aca="false">(E11-m_nai*(E5+E6))/E4</f>
        <v>0.110710097972973</v>
      </c>
    </row>
    <row r="26" customFormat="false" ht="17.15" hidden="false" customHeight="false" outlineLevel="0" collapsed="false">
      <c r="A26" s="0" t="s">
        <v>334</v>
      </c>
      <c r="B26" s="17" t="n">
        <f aca="false">E18/c_eps27-1</f>
        <v>-0.0154440154440154</v>
      </c>
    </row>
    <row r="27" customFormat="false" ht="17.15" hidden="false" customHeight="false" outlineLevel="0" collapsed="false">
      <c r="A27" s="0" t="s">
        <v>335</v>
      </c>
      <c r="B27" s="18" t="n">
        <f aca="false">C18-C19</f>
        <v>-0.00244648318042984</v>
      </c>
    </row>
    <row r="28" customFormat="false" ht="17.15" hidden="false" customHeight="false" outlineLevel="0" collapsed="false">
      <c r="A28" s="0" t="s">
        <v>336</v>
      </c>
      <c r="B28" s="18" t="n">
        <f aca="false">D18</f>
        <v>13.6183800623053</v>
      </c>
    </row>
    <row r="30" customFormat="false" ht="15" hidden="false" customHeight="false" outlineLevel="0" collapsed="false">
      <c r="A30" s="3" t="s">
        <v>337</v>
      </c>
      <c r="B30" s="20" t="n">
        <f aca="false">ROUND(B7+B8+B9-B10,3)</f>
        <v>0</v>
      </c>
      <c r="C30" s="20" t="n">
        <f aca="false">ROUND(C7+C8+C9-C10,3)</f>
        <v>0</v>
      </c>
      <c r="D30" s="20" t="n">
        <f aca="false">ROUND(D7+D8+D9-D10,3)</f>
        <v>0</v>
      </c>
      <c r="E30" s="20" t="n">
        <f aca="false">ROUND(E7+E8+E9-E10,3)</f>
        <v>0</v>
      </c>
    </row>
    <row r="31" customFormat="false" ht="17.15" hidden="false" customHeight="false" outlineLevel="0" collapsed="false">
      <c r="A31" s="5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339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14" t="s">
        <v>340</v>
      </c>
      <c r="D3" s="14" t="s">
        <v>341</v>
      </c>
      <c r="E3" s="14" t="s">
        <v>342</v>
      </c>
      <c r="F3" s="14" t="s">
        <v>343</v>
      </c>
      <c r="G3" s="6" t="s">
        <v>344</v>
      </c>
    </row>
    <row r="4" customFormat="false" ht="17.15" hidden="false" customHeight="false" outlineLevel="0" collapsed="false">
      <c r="A4" s="0" t="s">
        <v>345</v>
      </c>
      <c r="B4" s="5" t="s">
        <v>31</v>
      </c>
      <c r="C4" s="18" t="n">
        <f aca="false">PL!D63</f>
        <v>6.65</v>
      </c>
      <c r="D4" s="18" t="n">
        <f aca="false">PL!E63</f>
        <v>2.4</v>
      </c>
      <c r="E4" s="18" t="n">
        <f aca="false">PL!F63</f>
        <v>0.5</v>
      </c>
      <c r="F4" s="18" t="n">
        <f aca="false">PL!G63</f>
        <v>0.25</v>
      </c>
      <c r="G4" s="8" t="s">
        <v>346</v>
      </c>
    </row>
    <row r="5" customFormat="false" ht="17.15" hidden="false" customHeight="false" outlineLevel="0" collapsed="false">
      <c r="A5" s="0" t="s">
        <v>347</v>
      </c>
      <c r="B5" s="5" t="s">
        <v>31</v>
      </c>
      <c r="C5" s="18" t="n">
        <f aca="false">PL!D64</f>
        <v>1.7</v>
      </c>
      <c r="D5" s="18" t="n">
        <f aca="false">PL!E64</f>
        <v>8.8</v>
      </c>
      <c r="E5" s="18" t="n">
        <f aca="false">PL!F64</f>
        <v>11</v>
      </c>
      <c r="F5" s="18" t="n">
        <f aca="false">PL!G64</f>
        <v>12.65</v>
      </c>
      <c r="G5" s="8" t="s">
        <v>346</v>
      </c>
    </row>
    <row r="6" customFormat="false" ht="17.15" hidden="false" customHeight="false" outlineLevel="0" collapsed="false">
      <c r="A6" s="5" t="s">
        <v>348</v>
      </c>
      <c r="B6" s="0" t="s">
        <v>74</v>
      </c>
      <c r="C6" s="21" t="n">
        <f aca="false">v_gb</f>
        <v>59.722222</v>
      </c>
      <c r="D6" s="21" t="n">
        <f aca="false">v_gb</f>
        <v>59.722222</v>
      </c>
      <c r="E6" s="21" t="n">
        <f aca="false">v_gb</f>
        <v>59.722222</v>
      </c>
      <c r="F6" s="21" t="n">
        <f aca="false">v_gb</f>
        <v>59.722222</v>
      </c>
      <c r="G6" s="5" t="s">
        <v>349</v>
      </c>
    </row>
    <row r="7" customFormat="false" ht="17.15" hidden="false" customHeight="false" outlineLevel="0" collapsed="false">
      <c r="A7" s="5" t="s">
        <v>350</v>
      </c>
      <c r="B7" s="0" t="s">
        <v>74</v>
      </c>
      <c r="C7" s="21" t="n">
        <f aca="false">v_vr</f>
        <v>116.666667</v>
      </c>
      <c r="D7" s="21" t="n">
        <f aca="false">v_vr</f>
        <v>116.666667</v>
      </c>
      <c r="E7" s="21" t="n">
        <f aca="false">v_vr</f>
        <v>116.666667</v>
      </c>
      <c r="F7" s="21" t="n">
        <f aca="false">v_vr</f>
        <v>116.666667</v>
      </c>
      <c r="G7" s="5" t="s">
        <v>37</v>
      </c>
    </row>
    <row r="8" customFormat="false" ht="17.15" hidden="false" customHeight="false" outlineLevel="0" collapsed="false">
      <c r="A8" s="5" t="s">
        <v>351</v>
      </c>
      <c r="B8" s="0" t="s">
        <v>107</v>
      </c>
      <c r="C8" s="22" t="n">
        <f aca="false">PL!D65</f>
        <v>595.4861102</v>
      </c>
      <c r="D8" s="22" t="n">
        <f aca="false">PL!E65</f>
        <v>1170.0000024</v>
      </c>
      <c r="E8" s="22" t="n">
        <f aca="false">PL!F65</f>
        <v>1313.194448</v>
      </c>
      <c r="F8" s="22" t="n">
        <f aca="false">PL!G65</f>
        <v>1490.76389305</v>
      </c>
      <c r="G8" s="8" t="s">
        <v>352</v>
      </c>
    </row>
    <row r="9" customFormat="false" ht="17.15" hidden="false" customHeight="false" outlineLevel="0" collapsed="false">
      <c r="A9" s="0" t="s">
        <v>353</v>
      </c>
      <c r="B9" s="0" t="s">
        <v>130</v>
      </c>
      <c r="C9" s="23" t="n">
        <f aca="false">PL!D69</f>
        <v>0.124268221764478</v>
      </c>
      <c r="D9" s="23" t="n">
        <f aca="false">PL!E69</f>
        <v>0.11184139958803</v>
      </c>
      <c r="E9" s="23" t="n">
        <f aca="false">PL!F69</f>
        <v>0.105627988499806</v>
      </c>
      <c r="F9" s="23" t="n">
        <f aca="false">PL!G69</f>
        <v>0.0994145774115824</v>
      </c>
      <c r="G9" s="8" t="s">
        <v>354</v>
      </c>
    </row>
    <row r="10" customFormat="false" ht="17.15" hidden="false" customHeight="false" outlineLevel="0" collapsed="false">
      <c r="A10" s="0" t="s">
        <v>355</v>
      </c>
      <c r="B10" s="0" t="s">
        <v>107</v>
      </c>
      <c r="C10" s="22" t="n">
        <f aca="false">PL!D70</f>
        <v>74</v>
      </c>
      <c r="D10" s="22" t="n">
        <f aca="false">PL!E70</f>
        <v>130.854437786415</v>
      </c>
      <c r="E10" s="22" t="n">
        <f aca="false">PL!F70</f>
        <v>138.710088051354</v>
      </c>
      <c r="F10" s="22" t="n">
        <f aca="false">PL!G70</f>
        <v>148.203662448011</v>
      </c>
    </row>
    <row r="11" customFormat="false" ht="17.15" hidden="false" customHeight="false" outlineLevel="0" collapsed="false">
      <c r="A11" s="5" t="s">
        <v>356</v>
      </c>
      <c r="B11" s="5" t="s">
        <v>357</v>
      </c>
      <c r="C11" s="22" t="n">
        <f aca="false">PL!D70/PL!D65*(PL!D63+PL!D64)/72*1000</f>
        <v>14.4116618296304</v>
      </c>
      <c r="D11" s="22" t="n">
        <f aca="false">PL!E70/PL!E65*(PL!E63+PL!E64)/72*1000</f>
        <v>17.3975510470269</v>
      </c>
      <c r="E11" s="22" t="n">
        <f aca="false">PL!F70/PL!F65*(PL!F63+PL!F64)/72*1000</f>
        <v>16.8711370520524</v>
      </c>
      <c r="F11" s="22" t="n">
        <f aca="false">PL!G70/PL!G65*(PL!G63+PL!G64)/72*1000</f>
        <v>17.8117784529085</v>
      </c>
      <c r="G11" s="5" t="s">
        <v>358</v>
      </c>
    </row>
    <row r="12" customFormat="false" ht="17.15" hidden="false" customHeight="false" outlineLevel="0" collapsed="false">
      <c r="A12" s="5" t="s">
        <v>359</v>
      </c>
      <c r="B12" s="0" t="s">
        <v>107</v>
      </c>
      <c r="C12" s="24" t="n">
        <v>634.61653128501</v>
      </c>
      <c r="D12" s="24" t="n">
        <v>1139.08069210867</v>
      </c>
      <c r="E12" s="24" t="n">
        <v>1443.91777166882</v>
      </c>
      <c r="F12" s="24" t="n">
        <v>1644.85062257439</v>
      </c>
      <c r="G12" s="8" t="s">
        <v>360</v>
      </c>
    </row>
    <row r="13" customFormat="false" ht="17.15" hidden="false" customHeight="false" outlineLevel="0" collapsed="false">
      <c r="A13" s="0" t="s">
        <v>361</v>
      </c>
      <c r="B13" s="0" t="s">
        <v>130</v>
      </c>
      <c r="C13" s="23" t="n">
        <f aca="false">C10/C12</f>
        <v>0.116605849914058</v>
      </c>
      <c r="D13" s="23" t="n">
        <f aca="false">D10/D12</f>
        <v>0.114877232748258</v>
      </c>
      <c r="E13" s="23" t="n">
        <f aca="false">E10/E12</f>
        <v>0.096065088173988</v>
      </c>
      <c r="F13" s="23" t="n">
        <f aca="false">F10/F12</f>
        <v>0.0901015936730197</v>
      </c>
      <c r="G13" s="8" t="s">
        <v>362</v>
      </c>
    </row>
    <row r="14" customFormat="false" ht="17.15" hidden="false" customHeight="false" outlineLevel="0" collapsed="false">
      <c r="A14" s="5" t="s">
        <v>363</v>
      </c>
      <c r="B14" s="0" t="s">
        <v>130</v>
      </c>
      <c r="C14" s="25" t="n">
        <v>0.430185133088829</v>
      </c>
      <c r="D14" s="25" t="n">
        <v>0.430185133088829</v>
      </c>
      <c r="E14" s="25" t="n">
        <v>0.419114844380449</v>
      </c>
      <c r="F14" s="25" t="n">
        <v>0.397605587726008</v>
      </c>
      <c r="G14" s="8" t="s">
        <v>364</v>
      </c>
    </row>
    <row r="15" customFormat="false" ht="17.15" hidden="false" customHeight="false" outlineLevel="0" collapsed="false">
      <c r="A15" s="5" t="s">
        <v>365</v>
      </c>
      <c r="B15" s="0" t="s">
        <v>130</v>
      </c>
      <c r="C15" s="23" t="n">
        <f aca="false">C14+C13</f>
        <v>0.546790983002887</v>
      </c>
      <c r="D15" s="23" t="n">
        <f aca="false">D14+D13</f>
        <v>0.545062365837087</v>
      </c>
      <c r="E15" s="23" t="n">
        <f aca="false">E14+E13</f>
        <v>0.515179932554437</v>
      </c>
      <c r="F15" s="23" t="n">
        <f aca="false">F14+F13</f>
        <v>0.487707181399028</v>
      </c>
      <c r="G15" s="8" t="s">
        <v>366</v>
      </c>
    </row>
    <row r="17" customFormat="false" ht="17.15" hidden="false" customHeight="false" outlineLevel="0" collapsed="false">
      <c r="A17" s="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9" min="3" style="0" width="13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368</v>
      </c>
    </row>
    <row r="2" customFormat="false" ht="17.15" hidden="false" customHeight="false" outlineLevel="0" collapsed="false">
      <c r="A2" s="5" t="s">
        <v>369</v>
      </c>
    </row>
    <row r="3" customFormat="false" ht="17.15" hidden="false" customHeight="false" outlineLevel="0" collapsed="false">
      <c r="A3" s="6" t="s">
        <v>370</v>
      </c>
      <c r="B3" s="6" t="s">
        <v>21</v>
      </c>
      <c r="C3" s="14" t="s">
        <v>284</v>
      </c>
      <c r="D3" s="14" t="s">
        <v>371</v>
      </c>
      <c r="E3" s="14" t="s">
        <v>372</v>
      </c>
      <c r="F3" s="14" t="s">
        <v>373</v>
      </c>
      <c r="G3" s="14" t="s">
        <v>374</v>
      </c>
      <c r="H3" s="14" t="s">
        <v>375</v>
      </c>
      <c r="I3" s="14" t="s">
        <v>376</v>
      </c>
      <c r="J3" s="6" t="s">
        <v>344</v>
      </c>
    </row>
    <row r="4" customFormat="false" ht="17.15" hidden="false" customHeight="false" outlineLevel="0" collapsed="false">
      <c r="A4" s="3" t="s">
        <v>377</v>
      </c>
    </row>
    <row r="5" customFormat="false" ht="15" hidden="false" customHeight="false" outlineLevel="0" collapsed="false">
      <c r="A5" s="5" t="s">
        <v>306</v>
      </c>
      <c r="B5" s="0" t="s">
        <v>107</v>
      </c>
      <c r="C5" s="22" t="n">
        <f aca="false">C77</f>
        <v>113.538</v>
      </c>
      <c r="D5" s="22" t="n">
        <f aca="false">D77</f>
        <v>192</v>
      </c>
      <c r="E5" s="22" t="n">
        <f aca="false">E77</f>
        <v>249.558668186415</v>
      </c>
      <c r="F5" s="22" t="n">
        <f aca="false">F77</f>
        <v>260.798026210354</v>
      </c>
      <c r="G5" s="22" t="n">
        <f aca="false">G77</f>
        <v>274.142087137061</v>
      </c>
      <c r="H5" s="26" t="n">
        <f aca="false">H77</f>
        <v>289.37976309346</v>
      </c>
      <c r="I5" s="26" t="n">
        <f aca="false">I77</f>
        <v>306.742548879068</v>
      </c>
    </row>
    <row r="6" customFormat="false" ht="15" hidden="false" customHeight="false" outlineLevel="0" collapsed="false">
      <c r="A6" s="5" t="s">
        <v>378</v>
      </c>
      <c r="B6" s="0" t="s">
        <v>130</v>
      </c>
      <c r="D6" s="17" t="n">
        <f aca="false">D78</f>
        <v>0.691063784812134</v>
      </c>
      <c r="E6" s="17" t="n">
        <f aca="false">E78</f>
        <v>0.299784730137576</v>
      </c>
      <c r="F6" s="17" t="n">
        <f aca="false">F78</f>
        <v>0.0450369370281432</v>
      </c>
      <c r="G6" s="17" t="n">
        <f aca="false">G78</f>
        <v>0.0511662650235885</v>
      </c>
      <c r="H6" s="27" t="n">
        <f aca="false">H78</f>
        <v>0.0555831325117942</v>
      </c>
      <c r="I6" s="27" t="n">
        <f aca="false">I78</f>
        <v>0.06</v>
      </c>
    </row>
    <row r="7" customFormat="false" ht="17.15" hidden="false" customHeight="false" outlineLevel="0" collapsed="false">
      <c r="A7" s="0" t="s">
        <v>379</v>
      </c>
      <c r="B7" s="0" t="s">
        <v>107</v>
      </c>
      <c r="C7" s="22" t="n">
        <f aca="false">C70</f>
        <v>24.683</v>
      </c>
      <c r="D7" s="22" t="n">
        <f aca="false">D70</f>
        <v>74</v>
      </c>
      <c r="E7" s="22" t="n">
        <f aca="false">E70</f>
        <v>130.854437786415</v>
      </c>
      <c r="F7" s="22" t="n">
        <f aca="false">F70</f>
        <v>138.710088051354</v>
      </c>
      <c r="G7" s="22" t="n">
        <f aca="false">G70</f>
        <v>148.203662448011</v>
      </c>
    </row>
    <row r="8" customFormat="false" ht="15" hidden="false" customHeight="false" outlineLevel="0" collapsed="false">
      <c r="A8" s="5" t="s">
        <v>380</v>
      </c>
      <c r="B8" s="0" t="s">
        <v>107</v>
      </c>
      <c r="C8" s="22" t="n">
        <f aca="false">C72</f>
        <v>19.512</v>
      </c>
      <c r="D8" s="22" t="n">
        <f aca="false">D72</f>
        <v>37.59663</v>
      </c>
      <c r="E8" s="22" t="n">
        <f aca="false">E72</f>
        <v>35.7167985</v>
      </c>
      <c r="F8" s="22" t="n">
        <f aca="false">F72</f>
        <v>36.43113447</v>
      </c>
      <c r="G8" s="22" t="n">
        <f aca="false">G72</f>
        <v>37.5240685041</v>
      </c>
    </row>
    <row r="9" customFormat="false" ht="15" hidden="false" customHeight="false" outlineLevel="0" collapsed="false">
      <c r="A9" s="5" t="s">
        <v>381</v>
      </c>
      <c r="B9" s="0" t="s">
        <v>107</v>
      </c>
      <c r="C9" s="22" t="n">
        <f aca="false">C73</f>
        <v>16.631</v>
      </c>
      <c r="D9" s="22" t="n">
        <f aca="false">D73</f>
        <v>19.47008</v>
      </c>
      <c r="E9" s="22" t="n">
        <f aca="false">E73</f>
        <v>20.2488832</v>
      </c>
      <c r="F9" s="22" t="n">
        <f aca="false">F73</f>
        <v>21.058838528</v>
      </c>
      <c r="G9" s="22" t="n">
        <f aca="false">G73</f>
        <v>21.90119206912</v>
      </c>
    </row>
    <row r="10" customFormat="false" ht="17.15" hidden="false" customHeight="false" outlineLevel="0" collapsed="false">
      <c r="A10" s="0" t="s">
        <v>382</v>
      </c>
      <c r="B10" s="0" t="s">
        <v>107</v>
      </c>
      <c r="C10" s="22" t="n">
        <f aca="false">C75</f>
        <v>50.984</v>
      </c>
      <c r="D10" s="22" t="n">
        <f aca="false">D75</f>
        <v>60.17529</v>
      </c>
      <c r="E10" s="22" t="n">
        <f aca="false">E75</f>
        <v>61.9805487</v>
      </c>
      <c r="F10" s="22" t="n">
        <f aca="false">F75</f>
        <v>63.839965161</v>
      </c>
      <c r="G10" s="22" t="n">
        <f aca="false">G75</f>
        <v>65.75516411583</v>
      </c>
    </row>
    <row r="11" customFormat="false" ht="17.15" hidden="false" customHeight="false" outlineLevel="0" collapsed="false">
      <c r="A11" s="0" t="s">
        <v>383</v>
      </c>
      <c r="B11" s="0" t="s">
        <v>130</v>
      </c>
      <c r="C11" s="23" t="n">
        <f aca="false">C81</f>
        <v>0.0538070736944455</v>
      </c>
      <c r="D11" s="23" t="n">
        <f aca="false">D81</f>
        <v>0.110710097972973</v>
      </c>
      <c r="E11" s="23" t="n">
        <f aca="false">E81</f>
        <v>0.100710097972973</v>
      </c>
      <c r="F11" s="23" t="n">
        <f aca="false">F81</f>
        <v>0.100710097972973</v>
      </c>
      <c r="G11" s="23" t="n">
        <f aca="false">G81</f>
        <v>0.100710097972973</v>
      </c>
    </row>
    <row r="12" customFormat="false" ht="15" hidden="false" customHeight="false" outlineLevel="0" collapsed="false">
      <c r="A12" s="5" t="s">
        <v>384</v>
      </c>
      <c r="B12" s="0" t="s">
        <v>130</v>
      </c>
      <c r="C12" s="23" t="n">
        <f aca="false">C87</f>
        <v>0.0875830118550617</v>
      </c>
      <c r="D12" s="23" t="n">
        <f aca="false">D87</f>
        <v>0.114193451041667</v>
      </c>
      <c r="E12" s="23" t="n">
        <f aca="false">E87</f>
        <v>0.104952003921593</v>
      </c>
      <c r="F12" s="23" t="n">
        <f aca="false">F87</f>
        <v>0.104867549539628</v>
      </c>
      <c r="G12" s="23" t="n">
        <f aca="false">G87</f>
        <v>0.104833893044964</v>
      </c>
    </row>
    <row r="13" customFormat="false" ht="17.15" hidden="false" customHeight="false" outlineLevel="0" collapsed="false">
      <c r="A13" s="0" t="s">
        <v>316</v>
      </c>
      <c r="B13" s="0" t="s">
        <v>107</v>
      </c>
      <c r="C13" s="28" t="n">
        <f aca="false">C89</f>
        <v>7.046</v>
      </c>
      <c r="D13" s="28" t="n">
        <f aca="false">D89</f>
        <v>16.524</v>
      </c>
      <c r="E13" s="28" t="n">
        <f aca="false">E89</f>
        <v>19.6437617416261</v>
      </c>
      <c r="F13" s="28" t="n">
        <f aca="false">F89</f>
        <v>20.5119374500886</v>
      </c>
      <c r="G13" s="28" t="n">
        <f aca="false">G89</f>
        <v>21.5545366815374</v>
      </c>
      <c r="H13" s="29" t="n">
        <f aca="false">H89</f>
        <v>22.7526053501376</v>
      </c>
      <c r="I13" s="29" t="n">
        <f aca="false">I89</f>
        <v>24.1177616711458</v>
      </c>
    </row>
    <row r="14" customFormat="false" ht="15" hidden="false" customHeight="false" outlineLevel="0" collapsed="false">
      <c r="A14" s="5" t="s">
        <v>385</v>
      </c>
      <c r="B14" s="0" t="s">
        <v>130</v>
      </c>
      <c r="C14" s="23" t="n">
        <f aca="false">C93</f>
        <v>0.0620585178530536</v>
      </c>
      <c r="D14" s="23" t="n">
        <f aca="false">D93</f>
        <v>0.0860625</v>
      </c>
      <c r="E14" s="23" t="n">
        <f aca="false">E93</f>
        <v>0.0787140029411948</v>
      </c>
      <c r="F14" s="23" t="n">
        <f aca="false">F93</f>
        <v>0.0786506621547212</v>
      </c>
      <c r="G14" s="23" t="n">
        <f aca="false">G93</f>
        <v>0.0786254197837229</v>
      </c>
      <c r="H14" s="30" t="n">
        <f aca="false">H93</f>
        <v>0.0786254197837229</v>
      </c>
      <c r="I14" s="30" t="n">
        <f aca="false">I93</f>
        <v>0.0786254197837229</v>
      </c>
    </row>
    <row r="15" customFormat="false" ht="15" hidden="false" customHeight="false" outlineLevel="0" collapsed="false">
      <c r="A15" s="0" t="s">
        <v>324</v>
      </c>
      <c r="B15" s="0" t="s">
        <v>117</v>
      </c>
      <c r="C15" s="18" t="n">
        <f aca="false">C91</f>
        <v>10.3</v>
      </c>
      <c r="D15" s="18" t="n">
        <f aca="false">D91</f>
        <v>25.5</v>
      </c>
      <c r="E15" s="18" t="n">
        <f aca="false">E91</f>
        <v>31.2520073527207</v>
      </c>
      <c r="F15" s="18" t="n">
        <f aca="false">F91</f>
        <v>33.6424959719559</v>
      </c>
      <c r="G15" s="18" t="n">
        <f aca="false">G91</f>
        <v>36.4458835653749</v>
      </c>
      <c r="H15" s="31" t="n">
        <f aca="false">H91</f>
        <v>39.661505093916</v>
      </c>
      <c r="I15" s="31" t="n">
        <f aca="false">I91</f>
        <v>43.3414385562381</v>
      </c>
    </row>
    <row r="16" customFormat="false" ht="17.15" hidden="false" customHeight="false" outlineLevel="0" collapsed="false">
      <c r="A16" s="0" t="s">
        <v>386</v>
      </c>
      <c r="B16" s="0" t="s">
        <v>130</v>
      </c>
      <c r="D16" s="17" t="n">
        <f aca="false">D92</f>
        <v>1.47572815533981</v>
      </c>
      <c r="E16" s="17" t="n">
        <f aca="false">E92</f>
        <v>0.225568915792967</v>
      </c>
      <c r="F16" s="17" t="n">
        <f aca="false">F92</f>
        <v>0.0764907224120175</v>
      </c>
      <c r="G16" s="17" t="n">
        <f aca="false">G92</f>
        <v>0.0833287635898301</v>
      </c>
      <c r="H16" s="27" t="n">
        <f aca="false">H92</f>
        <v>0.0882300335173136</v>
      </c>
      <c r="I16" s="27" t="n">
        <f aca="false">I92</f>
        <v>0.0927835051546391</v>
      </c>
    </row>
    <row r="18" customFormat="false" ht="17.15" hidden="false" customHeight="false" outlineLevel="0" collapsed="false">
      <c r="A18" s="3" t="s">
        <v>387</v>
      </c>
    </row>
    <row r="19" customFormat="false" ht="15" hidden="false" customHeight="false" outlineLevel="0" collapsed="false">
      <c r="A19" s="5" t="s">
        <v>306</v>
      </c>
      <c r="B19" s="0" t="s">
        <v>107</v>
      </c>
      <c r="C19" s="22" t="n">
        <f aca="false">C114</f>
        <v>113.538</v>
      </c>
      <c r="D19" s="22" t="n">
        <f aca="false">D114</f>
        <v>192</v>
      </c>
      <c r="E19" s="22" t="n">
        <f aca="false">E114</f>
        <v>249.558668186415</v>
      </c>
      <c r="F19" s="22" t="n">
        <f aca="false">F114</f>
        <v>227.507605078029</v>
      </c>
      <c r="G19" s="22" t="n">
        <f aca="false">G114</f>
        <v>245.612882115819</v>
      </c>
      <c r="H19" s="26" t="n">
        <f aca="false">H114</f>
        <v>260.298196076916</v>
      </c>
      <c r="I19" s="26" t="n">
        <f aca="false">I114</f>
        <v>270.710123919993</v>
      </c>
    </row>
    <row r="20" customFormat="false" ht="15" hidden="false" customHeight="false" outlineLevel="0" collapsed="false">
      <c r="A20" s="5" t="s">
        <v>378</v>
      </c>
      <c r="B20" s="0" t="s">
        <v>130</v>
      </c>
      <c r="D20" s="17" t="n">
        <f aca="false">D115</f>
        <v>0.691063784812134</v>
      </c>
      <c r="E20" s="17" t="n">
        <f aca="false">E115</f>
        <v>0.299784730137576</v>
      </c>
      <c r="F20" s="17" t="n">
        <f aca="false">F115</f>
        <v>-0.0883602371684177</v>
      </c>
      <c r="G20" s="17" t="n">
        <f aca="false">G115</f>
        <v>0.0795809750253438</v>
      </c>
      <c r="H20" s="27" t="n">
        <f aca="false">H115</f>
        <v>0.0597904875126719</v>
      </c>
      <c r="I20" s="27" t="n">
        <f aca="false">I115</f>
        <v>0.04</v>
      </c>
    </row>
    <row r="21" customFormat="false" ht="17.15" hidden="false" customHeight="false" outlineLevel="0" collapsed="false">
      <c r="A21" s="0" t="s">
        <v>379</v>
      </c>
      <c r="B21" s="0" t="s">
        <v>107</v>
      </c>
      <c r="C21" s="22" t="n">
        <f aca="false">C107</f>
        <v>24.683</v>
      </c>
      <c r="D21" s="22" t="n">
        <f aca="false">D107</f>
        <v>74</v>
      </c>
      <c r="E21" s="22" t="n">
        <f aca="false">E107</f>
        <v>130.854437786415</v>
      </c>
      <c r="F21" s="22" t="n">
        <f aca="false">F107</f>
        <v>105.419666919029</v>
      </c>
      <c r="G21" s="22" t="n">
        <f aca="false">G107</f>
        <v>119.674457426769</v>
      </c>
    </row>
    <row r="22" customFormat="false" ht="15" hidden="false" customHeight="false" outlineLevel="0" collapsed="false">
      <c r="A22" s="5" t="s">
        <v>380</v>
      </c>
      <c r="B22" s="0" t="s">
        <v>107</v>
      </c>
      <c r="C22" s="22" t="n">
        <f aca="false">C109</f>
        <v>19.512</v>
      </c>
      <c r="D22" s="22" t="n">
        <f aca="false">D109</f>
        <v>37.59663</v>
      </c>
      <c r="E22" s="22" t="n">
        <f aca="false">E109</f>
        <v>35.7167985</v>
      </c>
      <c r="F22" s="22" t="n">
        <f aca="false">F109</f>
        <v>36.43113447</v>
      </c>
      <c r="G22" s="22" t="n">
        <f aca="false">G109</f>
        <v>37.5240685041</v>
      </c>
    </row>
    <row r="23" customFormat="false" ht="15" hidden="false" customHeight="false" outlineLevel="0" collapsed="false">
      <c r="A23" s="5" t="s">
        <v>381</v>
      </c>
      <c r="B23" s="0" t="s">
        <v>107</v>
      </c>
      <c r="C23" s="22" t="n">
        <f aca="false">C110</f>
        <v>16.631</v>
      </c>
      <c r="D23" s="22" t="n">
        <f aca="false">D110</f>
        <v>19.47008</v>
      </c>
      <c r="E23" s="22" t="n">
        <f aca="false">E110</f>
        <v>20.2488832</v>
      </c>
      <c r="F23" s="22" t="n">
        <f aca="false">F110</f>
        <v>21.058838528</v>
      </c>
      <c r="G23" s="22" t="n">
        <f aca="false">G110</f>
        <v>21.90119206912</v>
      </c>
    </row>
    <row r="24" customFormat="false" ht="17.15" hidden="false" customHeight="false" outlineLevel="0" collapsed="false">
      <c r="A24" s="0" t="s">
        <v>382</v>
      </c>
      <c r="B24" s="0" t="s">
        <v>107</v>
      </c>
      <c r="C24" s="22" t="n">
        <f aca="false">C112</f>
        <v>50.984</v>
      </c>
      <c r="D24" s="22" t="n">
        <f aca="false">D112</f>
        <v>60.17529</v>
      </c>
      <c r="E24" s="22" t="n">
        <f aca="false">E112</f>
        <v>61.9805487</v>
      </c>
      <c r="F24" s="22" t="n">
        <f aca="false">F112</f>
        <v>63.839965161</v>
      </c>
      <c r="G24" s="22" t="n">
        <f aca="false">G112</f>
        <v>65.75516411583</v>
      </c>
    </row>
    <row r="25" customFormat="false" ht="17.15" hidden="false" customHeight="false" outlineLevel="0" collapsed="false">
      <c r="A25" s="0" t="s">
        <v>383</v>
      </c>
      <c r="B25" s="0" t="s">
        <v>130</v>
      </c>
      <c r="C25" s="23" t="n">
        <f aca="false">C118</f>
        <v>0.0538070736944455</v>
      </c>
      <c r="D25" s="23" t="n">
        <f aca="false">D118</f>
        <v>0.110710097972973</v>
      </c>
      <c r="E25" s="23" t="n">
        <f aca="false">E118</f>
        <v>0.100710097972973</v>
      </c>
      <c r="F25" s="23" t="n">
        <f aca="false">F118</f>
        <v>0.090710097972973</v>
      </c>
      <c r="G25" s="23" t="n">
        <f aca="false">G118</f>
        <v>0.090710097972973</v>
      </c>
    </row>
    <row r="26" customFormat="false" ht="15" hidden="false" customHeight="false" outlineLevel="0" collapsed="false">
      <c r="A26" s="5" t="s">
        <v>384</v>
      </c>
      <c r="B26" s="0" t="s">
        <v>130</v>
      </c>
      <c r="C26" s="23" t="n">
        <f aca="false">C124</f>
        <v>0.0875830118550617</v>
      </c>
      <c r="D26" s="23" t="n">
        <f aca="false">D124</f>
        <v>0.114193451041667</v>
      </c>
      <c r="E26" s="23" t="n">
        <f aca="false">E124</f>
        <v>0.104952003921593</v>
      </c>
      <c r="F26" s="23" t="n">
        <f aca="false">F124</f>
        <v>0.100842218802289</v>
      </c>
      <c r="G26" s="23" t="n">
        <f aca="false">G124</f>
        <v>0.100440410219888</v>
      </c>
    </row>
    <row r="27" customFormat="false" ht="17.15" hidden="false" customHeight="false" outlineLevel="0" collapsed="false">
      <c r="A27" s="0" t="s">
        <v>316</v>
      </c>
      <c r="B27" s="0" t="s">
        <v>107</v>
      </c>
      <c r="C27" s="28" t="n">
        <f aca="false">C126</f>
        <v>7.046</v>
      </c>
      <c r="D27" s="28" t="n">
        <f aca="false">D126</f>
        <v>16.524</v>
      </c>
      <c r="E27" s="28" t="n">
        <f aca="false">E126</f>
        <v>19.6437617416261</v>
      </c>
      <c r="F27" s="28" t="n">
        <f aca="false">F126</f>
        <v>17.2067787678475</v>
      </c>
      <c r="G27" s="28" t="n">
        <f aca="false">G126</f>
        <v>18.5020939762514</v>
      </c>
      <c r="H27" s="29" t="n">
        <f aca="false">H126</f>
        <v>18.6279260353419</v>
      </c>
      <c r="I27" s="29" t="n">
        <f aca="false">I126</f>
        <v>18.3534092306105</v>
      </c>
    </row>
    <row r="28" customFormat="false" ht="15" hidden="false" customHeight="false" outlineLevel="0" collapsed="false">
      <c r="A28" s="5" t="s">
        <v>385</v>
      </c>
      <c r="B28" s="0" t="s">
        <v>130</v>
      </c>
      <c r="C28" s="23" t="n">
        <f aca="false">C130</f>
        <v>0.0620585178530536</v>
      </c>
      <c r="D28" s="23" t="n">
        <f aca="false">D130</f>
        <v>0.0860625</v>
      </c>
      <c r="E28" s="23" t="n">
        <f aca="false">E130</f>
        <v>0.0787140029411948</v>
      </c>
      <c r="F28" s="23" t="n">
        <f aca="false">F130</f>
        <v>0.0756316641017166</v>
      </c>
      <c r="G28" s="23" t="n">
        <f aca="false">G130</f>
        <v>0.0753303076649158</v>
      </c>
      <c r="H28" s="30" t="n">
        <f aca="false">H130</f>
        <v>0.0715637922816701</v>
      </c>
      <c r="I28" s="30" t="n">
        <f aca="false">I130</f>
        <v>0.0677972768984243</v>
      </c>
    </row>
    <row r="29" customFormat="false" ht="15" hidden="false" customHeight="false" outlineLevel="0" collapsed="false">
      <c r="A29" s="0" t="s">
        <v>324</v>
      </c>
      <c r="B29" s="0" t="s">
        <v>117</v>
      </c>
      <c r="C29" s="18" t="n">
        <f aca="false">C128</f>
        <v>10.3</v>
      </c>
      <c r="D29" s="18" t="n">
        <f aca="false">D128</f>
        <v>25.5</v>
      </c>
      <c r="E29" s="18" t="n">
        <f aca="false">E128</f>
        <v>31.2520073527207</v>
      </c>
      <c r="F29" s="18" t="n">
        <f aca="false">F128</f>
        <v>28.2215654565163</v>
      </c>
      <c r="G29" s="18" t="n">
        <f aca="false">G128</f>
        <v>31.2846048484854</v>
      </c>
      <c r="H29" s="31" t="n">
        <f aca="false">H128</f>
        <v>32.4715157657905</v>
      </c>
      <c r="I29" s="31" t="n">
        <f aca="false">I128</f>
        <v>32.9824620258056</v>
      </c>
    </row>
    <row r="30" customFormat="false" ht="17.15" hidden="false" customHeight="false" outlineLevel="0" collapsed="false">
      <c r="A30" s="0" t="s">
        <v>386</v>
      </c>
      <c r="B30" s="0" t="s">
        <v>130</v>
      </c>
      <c r="D30" s="17" t="n">
        <f aca="false">D129</f>
        <v>1.47572815533981</v>
      </c>
      <c r="E30" s="17" t="n">
        <f aca="false">E129</f>
        <v>0.225568915792967</v>
      </c>
      <c r="F30" s="17" t="n">
        <f aca="false">F129</f>
        <v>-0.0969679119168815</v>
      </c>
      <c r="G30" s="17" t="n">
        <f aca="false">G129</f>
        <v>0.108535417593635</v>
      </c>
      <c r="H30" s="27" t="n">
        <f aca="false">H129</f>
        <v>0.0379391372546785</v>
      </c>
      <c r="I30" s="27" t="n">
        <f aca="false">I129</f>
        <v>0.0157352143244711</v>
      </c>
    </row>
    <row r="32" customFormat="false" ht="17.15" hidden="false" customHeight="false" outlineLevel="0" collapsed="false">
      <c r="A32" s="3" t="s">
        <v>388</v>
      </c>
    </row>
    <row r="33" customFormat="false" ht="15" hidden="false" customHeight="false" outlineLevel="0" collapsed="false">
      <c r="A33" s="5" t="s">
        <v>306</v>
      </c>
      <c r="B33" s="0" t="s">
        <v>107</v>
      </c>
      <c r="C33" s="22" t="n">
        <f aca="false">C151</f>
        <v>113.538</v>
      </c>
      <c r="D33" s="22" t="n">
        <f aca="false">D151</f>
        <v>192</v>
      </c>
      <c r="E33" s="22" t="n">
        <f aca="false">E151</f>
        <v>249.558668186415</v>
      </c>
      <c r="F33" s="22" t="n">
        <f aca="false">F151</f>
        <v>192.83008306519</v>
      </c>
      <c r="G33" s="22" t="n">
        <f aca="false">G151</f>
        <v>201.522292537536</v>
      </c>
      <c r="H33" s="26" t="n">
        <f aca="false">H151</f>
        <v>208.079529738483</v>
      </c>
      <c r="I33" s="26" t="n">
        <f aca="false">I151</f>
        <v>212.241120333252</v>
      </c>
    </row>
    <row r="34" customFormat="false" ht="15" hidden="false" customHeight="false" outlineLevel="0" collapsed="false">
      <c r="A34" s="5" t="s">
        <v>378</v>
      </c>
      <c r="B34" s="0" t="s">
        <v>130</v>
      </c>
      <c r="D34" s="17" t="n">
        <f aca="false">D152</f>
        <v>0.691063784812134</v>
      </c>
      <c r="E34" s="17" t="n">
        <f aca="false">E152</f>
        <v>0.299784730137576</v>
      </c>
      <c r="F34" s="17" t="n">
        <f aca="false">F152</f>
        <v>-0.227315626956502</v>
      </c>
      <c r="G34" s="17" t="n">
        <f aca="false">G152</f>
        <v>0.0450770405435486</v>
      </c>
      <c r="H34" s="27" t="n">
        <f aca="false">H152</f>
        <v>0.0325385202717743</v>
      </c>
      <c r="I34" s="27" t="n">
        <f aca="false">I152</f>
        <v>0.02</v>
      </c>
    </row>
    <row r="35" customFormat="false" ht="17.15" hidden="false" customHeight="false" outlineLevel="0" collapsed="false">
      <c r="A35" s="0" t="s">
        <v>379</v>
      </c>
      <c r="B35" s="0" t="s">
        <v>107</v>
      </c>
      <c r="C35" s="22" t="n">
        <f aca="false">C144</f>
        <v>24.683</v>
      </c>
      <c r="D35" s="22" t="n">
        <f aca="false">D144</f>
        <v>74</v>
      </c>
      <c r="E35" s="22" t="n">
        <f aca="false">E144</f>
        <v>130.854437786415</v>
      </c>
      <c r="F35" s="22" t="n">
        <f aca="false">F144</f>
        <v>70.7421449061903</v>
      </c>
      <c r="G35" s="22" t="n">
        <f aca="false">G144</f>
        <v>75.5838678484857</v>
      </c>
    </row>
    <row r="36" customFormat="false" ht="15" hidden="false" customHeight="false" outlineLevel="0" collapsed="false">
      <c r="A36" s="5" t="s">
        <v>380</v>
      </c>
      <c r="B36" s="0" t="s">
        <v>107</v>
      </c>
      <c r="C36" s="22" t="n">
        <f aca="false">C146</f>
        <v>19.512</v>
      </c>
      <c r="D36" s="22" t="n">
        <f aca="false">D146</f>
        <v>37.59663</v>
      </c>
      <c r="E36" s="22" t="n">
        <f aca="false">E146</f>
        <v>35.7167985</v>
      </c>
      <c r="F36" s="22" t="n">
        <f aca="false">F146</f>
        <v>36.43113447</v>
      </c>
      <c r="G36" s="22" t="n">
        <f aca="false">G146</f>
        <v>37.5240685041</v>
      </c>
    </row>
    <row r="37" customFormat="false" ht="15" hidden="false" customHeight="false" outlineLevel="0" collapsed="false">
      <c r="A37" s="5" t="s">
        <v>381</v>
      </c>
      <c r="B37" s="0" t="s">
        <v>107</v>
      </c>
      <c r="C37" s="22" t="n">
        <f aca="false">C147</f>
        <v>16.631</v>
      </c>
      <c r="D37" s="22" t="n">
        <f aca="false">D147</f>
        <v>19.47008</v>
      </c>
      <c r="E37" s="22" t="n">
        <f aca="false">E147</f>
        <v>20.2488832</v>
      </c>
      <c r="F37" s="22" t="n">
        <f aca="false">F147</f>
        <v>21.058838528</v>
      </c>
      <c r="G37" s="22" t="n">
        <f aca="false">G147</f>
        <v>21.90119206912</v>
      </c>
    </row>
    <row r="38" customFormat="false" ht="17.15" hidden="false" customHeight="false" outlineLevel="0" collapsed="false">
      <c r="A38" s="0" t="s">
        <v>382</v>
      </c>
      <c r="B38" s="0" t="s">
        <v>107</v>
      </c>
      <c r="C38" s="22" t="n">
        <f aca="false">C149</f>
        <v>50.984</v>
      </c>
      <c r="D38" s="22" t="n">
        <f aca="false">D149</f>
        <v>60.17529</v>
      </c>
      <c r="E38" s="22" t="n">
        <f aca="false">E149</f>
        <v>61.9805487</v>
      </c>
      <c r="F38" s="22" t="n">
        <f aca="false">F149</f>
        <v>63.839965161</v>
      </c>
      <c r="G38" s="22" t="n">
        <f aca="false">G149</f>
        <v>65.75516411583</v>
      </c>
    </row>
    <row r="39" customFormat="false" ht="17.15" hidden="false" customHeight="false" outlineLevel="0" collapsed="false">
      <c r="A39" s="0" t="s">
        <v>383</v>
      </c>
      <c r="B39" s="0" t="s">
        <v>130</v>
      </c>
      <c r="C39" s="23" t="n">
        <f aca="false">C155</f>
        <v>0.0538070736944455</v>
      </c>
      <c r="D39" s="23" t="n">
        <f aca="false">D155</f>
        <v>0.110710097972973</v>
      </c>
      <c r="E39" s="23" t="n">
        <f aca="false">E155</f>
        <v>0.100710097972973</v>
      </c>
      <c r="F39" s="23" t="n">
        <f aca="false">F155</f>
        <v>0.075710097972973</v>
      </c>
      <c r="G39" s="23" t="n">
        <f aca="false">G155</f>
        <v>0.075710097972973</v>
      </c>
    </row>
    <row r="40" customFormat="false" ht="15" hidden="false" customHeight="false" outlineLevel="0" collapsed="false">
      <c r="A40" s="5" t="s">
        <v>384</v>
      </c>
      <c r="B40" s="0" t="s">
        <v>130</v>
      </c>
      <c r="C40" s="23" t="n">
        <f aca="false">C161</f>
        <v>0.0875830118550617</v>
      </c>
      <c r="D40" s="23" t="n">
        <f aca="false">D161</f>
        <v>0.114193451041667</v>
      </c>
      <c r="E40" s="23" t="n">
        <f aca="false">E161</f>
        <v>0.104952003921593</v>
      </c>
      <c r="F40" s="23" t="n">
        <f aca="false">F161</f>
        <v>0.0971613858159877</v>
      </c>
      <c r="G40" s="23" t="n">
        <f aca="false">G161</f>
        <v>0.0969433141661162</v>
      </c>
    </row>
    <row r="41" customFormat="false" ht="17.15" hidden="false" customHeight="false" outlineLevel="0" collapsed="false">
      <c r="A41" s="0" t="s">
        <v>316</v>
      </c>
      <c r="B41" s="0" t="s">
        <v>107</v>
      </c>
      <c r="C41" s="28" t="n">
        <f aca="false">C163</f>
        <v>7.046</v>
      </c>
      <c r="D41" s="28" t="n">
        <f aca="false">D163</f>
        <v>16.524</v>
      </c>
      <c r="E41" s="28" t="n">
        <f aca="false">E163</f>
        <v>19.6437617416261</v>
      </c>
      <c r="F41" s="28" t="n">
        <f aca="false">F163</f>
        <v>14.0517285732194</v>
      </c>
      <c r="G41" s="28" t="n">
        <f aca="false">G163</f>
        <v>14.6521791877067</v>
      </c>
      <c r="H41" s="29" t="n">
        <f aca="false">H163</f>
        <v>13.6160454755084</v>
      </c>
      <c r="I41" s="29" t="n">
        <f aca="false">I163</f>
        <v>12.345214564461</v>
      </c>
    </row>
    <row r="42" customFormat="false" ht="15" hidden="false" customHeight="false" outlineLevel="0" collapsed="false">
      <c r="A42" s="5" t="s">
        <v>385</v>
      </c>
      <c r="B42" s="0" t="s">
        <v>130</v>
      </c>
      <c r="C42" s="23" t="n">
        <f aca="false">C167</f>
        <v>0.0620585178530536</v>
      </c>
      <c r="D42" s="23" t="n">
        <f aca="false">D167</f>
        <v>0.0860625</v>
      </c>
      <c r="E42" s="23" t="n">
        <f aca="false">E167</f>
        <v>0.0787140029411948</v>
      </c>
      <c r="F42" s="23" t="n">
        <f aca="false">F167</f>
        <v>0.0728710393619908</v>
      </c>
      <c r="G42" s="23" t="n">
        <f aca="false">G167</f>
        <v>0.0727074856245871</v>
      </c>
      <c r="H42" s="30" t="n">
        <f aca="false">H167</f>
        <v>0.0654367370621284</v>
      </c>
      <c r="I42" s="30" t="n">
        <f aca="false">I167</f>
        <v>0.0581659884996697</v>
      </c>
    </row>
    <row r="43" customFormat="false" ht="15" hidden="false" customHeight="false" outlineLevel="0" collapsed="false">
      <c r="A43" s="0" t="s">
        <v>324</v>
      </c>
      <c r="B43" s="0" t="s">
        <v>117</v>
      </c>
      <c r="C43" s="18" t="n">
        <f aca="false">C165</f>
        <v>10.3</v>
      </c>
      <c r="D43" s="18" t="n">
        <f aca="false">D165</f>
        <v>25.5</v>
      </c>
      <c r="E43" s="18" t="n">
        <f aca="false">E165</f>
        <v>31.2520073527207</v>
      </c>
      <c r="F43" s="18" t="n">
        <f aca="false">F165</f>
        <v>23.0468342190421</v>
      </c>
      <c r="G43" s="18" t="n">
        <f aca="false">G165</f>
        <v>24.7749058374137</v>
      </c>
      <c r="H43" s="31" t="n">
        <f aca="false">H165</f>
        <v>23.7349898473321</v>
      </c>
      <c r="I43" s="31" t="n">
        <f aca="false">I165</f>
        <v>22.185282606441</v>
      </c>
    </row>
    <row r="44" customFormat="false" ht="17.15" hidden="false" customHeight="false" outlineLevel="0" collapsed="false">
      <c r="A44" s="0" t="s">
        <v>386</v>
      </c>
      <c r="B44" s="0" t="s">
        <v>130</v>
      </c>
      <c r="D44" s="17" t="n">
        <f aca="false">D166</f>
        <v>1.47572815533981</v>
      </c>
      <c r="E44" s="17" t="n">
        <f aca="false">E166</f>
        <v>0.225568915792967</v>
      </c>
      <c r="F44" s="17" t="n">
        <f aca="false">F166</f>
        <v>-0.262548675388184</v>
      </c>
      <c r="G44" s="17" t="n">
        <f aca="false">G166</f>
        <v>0.0749808673047105</v>
      </c>
      <c r="H44" s="27" t="n">
        <f aca="false">H166</f>
        <v>-0.0419745688200032</v>
      </c>
      <c r="I44" s="27" t="n">
        <f aca="false">I166</f>
        <v>-0.0652920962199313</v>
      </c>
    </row>
    <row r="46" customFormat="false" ht="17.15" hidden="false" customHeight="false" outlineLevel="0" collapsed="false">
      <c r="A46" s="3" t="s">
        <v>389</v>
      </c>
    </row>
    <row r="47" customFormat="false" ht="17.15" hidden="false" customHeight="false" outlineLevel="0" collapsed="false">
      <c r="A47" s="5" t="s">
        <v>390</v>
      </c>
      <c r="D47" s="32" t="n">
        <f aca="false">ABS(D77-a27_rev)+ABS(D114-a27_rev)+ABS(D151-a27_rev)</f>
        <v>0</v>
      </c>
    </row>
    <row r="48" customFormat="false" ht="17.15" hidden="false" customHeight="false" outlineLevel="0" collapsed="false">
      <c r="A48" s="5" t="s">
        <v>391</v>
      </c>
      <c r="D48" s="32" t="n">
        <f aca="false">ABS(D91-a27_eps)+ABS(D128-a27_eps)+ABS(D165-a27_eps)</f>
        <v>0</v>
      </c>
    </row>
    <row r="49" customFormat="false" ht="17.15" hidden="false" customHeight="false" outlineLevel="0" collapsed="false">
      <c r="A49" s="5" t="s">
        <v>392</v>
      </c>
      <c r="D49" s="32" t="n">
        <f aca="false">D70*D81+(D72+D73)*D82-a27_isgoi</f>
        <v>0</v>
      </c>
    </row>
    <row r="60" customFormat="false" ht="17.15" hidden="false" customHeight="false" outlineLevel="0" collapsed="false">
      <c r="A60" s="3" t="s">
        <v>393</v>
      </c>
    </row>
    <row r="61" customFormat="false" ht="17.15" hidden="false" customHeight="false" outlineLevel="0" collapsed="false">
      <c r="A61" s="6" t="s">
        <v>20</v>
      </c>
      <c r="B61" s="6" t="s">
        <v>21</v>
      </c>
      <c r="C61" s="14" t="s">
        <v>284</v>
      </c>
      <c r="D61" s="14" t="s">
        <v>371</v>
      </c>
      <c r="E61" s="14" t="s">
        <v>372</v>
      </c>
      <c r="F61" s="14" t="s">
        <v>373</v>
      </c>
      <c r="G61" s="14" t="s">
        <v>374</v>
      </c>
      <c r="H61" s="14" t="s">
        <v>375</v>
      </c>
      <c r="I61" s="14" t="s">
        <v>376</v>
      </c>
      <c r="J61" s="6" t="s">
        <v>344</v>
      </c>
    </row>
    <row r="62" customFormat="false" ht="17.15" hidden="false" customHeight="false" outlineLevel="0" collapsed="false">
      <c r="A62" s="1" t="s">
        <v>394</v>
      </c>
    </row>
    <row r="63" customFormat="false" ht="17.15" hidden="false" customHeight="false" outlineLevel="0" collapsed="false">
      <c r="A63" s="0" t="s">
        <v>395</v>
      </c>
      <c r="B63" s="5" t="s">
        <v>31</v>
      </c>
      <c r="D63" s="18" t="n">
        <f aca="false">ug_26</f>
        <v>6.65</v>
      </c>
      <c r="E63" s="18" t="n">
        <f aca="false">ug_27*1</f>
        <v>2.4</v>
      </c>
      <c r="F63" s="18" t="n">
        <f aca="false">ug_28*um28_A*1</f>
        <v>0.5</v>
      </c>
      <c r="G63" s="18" t="n">
        <f aca="false">ug_29*um29_A*1</f>
        <v>0.25</v>
      </c>
    </row>
    <row r="64" customFormat="false" ht="17.15" hidden="false" customHeight="false" outlineLevel="0" collapsed="false">
      <c r="A64" s="0" t="s">
        <v>396</v>
      </c>
      <c r="B64" s="5" t="s">
        <v>31</v>
      </c>
      <c r="D64" s="18" t="n">
        <f aca="false">uv_26</f>
        <v>1.7</v>
      </c>
      <c r="E64" s="18" t="n">
        <f aca="false">uv_27*1</f>
        <v>8.8</v>
      </c>
      <c r="F64" s="18" t="n">
        <f aca="false">uv_28*um28_A*1</f>
        <v>11</v>
      </c>
      <c r="G64" s="18" t="n">
        <f aca="false">uv_29*um29_A*1</f>
        <v>12.65</v>
      </c>
    </row>
    <row r="65" customFormat="false" ht="17.15" hidden="false" customHeight="false" outlineLevel="0" collapsed="false">
      <c r="A65" s="5" t="s">
        <v>397</v>
      </c>
      <c r="B65" s="0" t="s">
        <v>107</v>
      </c>
      <c r="D65" s="22" t="n">
        <f aca="false">D63*v_gb+D64*v_vr</f>
        <v>595.4861102</v>
      </c>
      <c r="E65" s="22" t="n">
        <f aca="false">E63*v_gb+E64*v_vr</f>
        <v>1170.0000024</v>
      </c>
      <c r="F65" s="22" t="n">
        <f aca="false">F63*v_gb+F64*v_vr</f>
        <v>1313.194448</v>
      </c>
      <c r="G65" s="22" t="n">
        <f aca="false">G63*v_gb+G64*v_vr</f>
        <v>1490.76389305</v>
      </c>
      <c r="J65" s="5" t="s">
        <v>398</v>
      </c>
    </row>
    <row r="66" customFormat="false" ht="17.15" hidden="false" customHeight="false" outlineLevel="0" collapsed="false">
      <c r="A66" s="0" t="s">
        <v>399</v>
      </c>
      <c r="B66" s="0" t="s">
        <v>130</v>
      </c>
      <c r="D66" s="23" t="n">
        <f aca="false">a27_ai/D65</f>
        <v>0.124268221764478</v>
      </c>
      <c r="J66" s="8" t="s">
        <v>400</v>
      </c>
    </row>
    <row r="67" customFormat="false" ht="17.15" hidden="false" customHeight="false" outlineLevel="0" collapsed="false">
      <c r="A67" s="5" t="s">
        <v>401</v>
      </c>
      <c r="B67" s="0" t="s">
        <v>53</v>
      </c>
      <c r="D67" s="18" t="n">
        <f aca="false">1</f>
        <v>1</v>
      </c>
      <c r="E67" s="18" t="n">
        <f aca="false">rel_28</f>
        <v>0.9</v>
      </c>
      <c r="F67" s="18" t="n">
        <f aca="false">rel_29</f>
        <v>0.85</v>
      </c>
      <c r="G67" s="18" t="n">
        <f aca="false">rel_30</f>
        <v>0.8</v>
      </c>
    </row>
    <row r="68" customFormat="false" ht="17.15" hidden="false" customHeight="false" outlineLevel="0" collapsed="false">
      <c r="A68" s="5" t="s">
        <v>402</v>
      </c>
      <c r="B68" s="0" t="s">
        <v>53</v>
      </c>
      <c r="D68" s="18" t="n">
        <f aca="false">1</f>
        <v>1</v>
      </c>
      <c r="E68" s="18" t="n">
        <f aca="false">1</f>
        <v>1</v>
      </c>
      <c r="F68" s="18" t="n">
        <f aca="false">srel_A</f>
        <v>1</v>
      </c>
      <c r="G68" s="18" t="n">
        <f aca="false">srel_A</f>
        <v>1</v>
      </c>
    </row>
    <row r="69" customFormat="false" ht="17.15" hidden="false" customHeight="false" outlineLevel="0" collapsed="false">
      <c r="A69" s="0" t="s">
        <v>353</v>
      </c>
      <c r="B69" s="0" t="s">
        <v>130</v>
      </c>
      <c r="D69" s="23" t="n">
        <f aca="false">$D$66*D67*D68</f>
        <v>0.124268221764478</v>
      </c>
      <c r="E69" s="23" t="n">
        <f aca="false">$D$66*E67*E68</f>
        <v>0.11184139958803</v>
      </c>
      <c r="F69" s="23" t="n">
        <f aca="false">$D$66*F67*F68</f>
        <v>0.105627988499806</v>
      </c>
      <c r="G69" s="23" t="n">
        <f aca="false">$D$66*G67*G68</f>
        <v>0.0994145774115824</v>
      </c>
    </row>
    <row r="70" customFormat="false" ht="17.15" hidden="false" customHeight="false" outlineLevel="0" collapsed="false">
      <c r="A70" s="0" t="s">
        <v>403</v>
      </c>
      <c r="B70" s="0" t="s">
        <v>107</v>
      </c>
      <c r="C70" s="22" t="n">
        <f aca="false">a26_ai</f>
        <v>24.683</v>
      </c>
      <c r="D70" s="22" t="n">
        <f aca="false">D65*D69</f>
        <v>74</v>
      </c>
      <c r="E70" s="22" t="n">
        <f aca="false">E65*E69</f>
        <v>130.854437786415</v>
      </c>
      <c r="F70" s="22" t="n">
        <f aca="false">F65*F69</f>
        <v>138.710088051354</v>
      </c>
      <c r="G70" s="22" t="n">
        <f aca="false">G65*G69</f>
        <v>148.203662448011</v>
      </c>
    </row>
    <row r="71" customFormat="false" ht="17.15" hidden="false" customHeight="false" outlineLevel="0" collapsed="false">
      <c r="A71" s="1" t="s">
        <v>404</v>
      </c>
    </row>
    <row r="72" customFormat="false" ht="15" hidden="false" customHeight="false" outlineLevel="0" collapsed="false">
      <c r="A72" s="5" t="s">
        <v>293</v>
      </c>
      <c r="B72" s="0" t="s">
        <v>107</v>
      </c>
      <c r="C72" s="22" t="n">
        <f aca="false">a26_tr</f>
        <v>19.512</v>
      </c>
      <c r="D72" s="22" t="n">
        <f aca="false">a27_tr</f>
        <v>37.59663</v>
      </c>
      <c r="E72" s="22" t="n">
        <f aca="false">D72*(1+g_tr28)</f>
        <v>35.7167985</v>
      </c>
      <c r="F72" s="22" t="n">
        <f aca="false">E72*(1+g_tr29)</f>
        <v>36.43113447</v>
      </c>
      <c r="G72" s="22" t="n">
        <f aca="false">F72*(1+g_tr30)</f>
        <v>37.5240685041</v>
      </c>
    </row>
    <row r="73" customFormat="false" ht="15" hidden="false" customHeight="false" outlineLevel="0" collapsed="false">
      <c r="A73" s="5" t="s">
        <v>296</v>
      </c>
      <c r="B73" s="0" t="s">
        <v>107</v>
      </c>
      <c r="C73" s="22" t="n">
        <f aca="false">a26_st</f>
        <v>16.631</v>
      </c>
      <c r="D73" s="22" t="n">
        <f aca="false">a27_st</f>
        <v>19.47008</v>
      </c>
      <c r="E73" s="22" t="n">
        <f aca="false">D73*(1+g_st28)</f>
        <v>20.2488832</v>
      </c>
      <c r="F73" s="22" t="n">
        <f aca="false">E73*(1+g_st29)</f>
        <v>21.058838528</v>
      </c>
      <c r="G73" s="22" t="n">
        <f aca="false">F73*(1+g_st30)</f>
        <v>21.90119206912</v>
      </c>
    </row>
    <row r="74" customFormat="false" ht="17.15" hidden="false" customHeight="false" outlineLevel="0" collapsed="false">
      <c r="A74" s="0" t="s">
        <v>299</v>
      </c>
      <c r="B74" s="0" t="s">
        <v>107</v>
      </c>
      <c r="C74" s="22" t="n">
        <f aca="false">C70+C72+C73</f>
        <v>60.826</v>
      </c>
      <c r="D74" s="22" t="n">
        <f aca="false">D70+D72+D73</f>
        <v>131.06671</v>
      </c>
      <c r="E74" s="22" t="n">
        <f aca="false">E70+E72+E73</f>
        <v>186.820119486415</v>
      </c>
      <c r="F74" s="22" t="n">
        <f aca="false">F70+F72+F73</f>
        <v>196.200061049354</v>
      </c>
      <c r="G74" s="22" t="n">
        <f aca="false">G70+G72+G73</f>
        <v>207.628923021231</v>
      </c>
    </row>
    <row r="75" customFormat="false" ht="17.15" hidden="false" customHeight="false" outlineLevel="0" collapsed="false">
      <c r="A75" s="0" t="s">
        <v>405</v>
      </c>
      <c r="B75" s="0" t="s">
        <v>107</v>
      </c>
      <c r="C75" s="22" t="n">
        <f aca="false">a26_csg</f>
        <v>50.984</v>
      </c>
      <c r="D75" s="22" t="n">
        <f aca="false">a27_csg</f>
        <v>60.17529</v>
      </c>
      <c r="E75" s="22" t="n">
        <f aca="false">D75*(1+g_csg28)</f>
        <v>61.9805487</v>
      </c>
      <c r="F75" s="22" t="n">
        <f aca="false">E75*(1+g_csg29)</f>
        <v>63.839965161</v>
      </c>
      <c r="G75" s="22" t="n">
        <f aca="false">F75*(1+g_csg30)</f>
        <v>65.75516411583</v>
      </c>
    </row>
    <row r="76" customFormat="false" ht="17.15" hidden="false" customHeight="false" outlineLevel="0" collapsed="false">
      <c r="A76" s="5" t="s">
        <v>406</v>
      </c>
      <c r="B76" s="0" t="s">
        <v>107</v>
      </c>
      <c r="C76" s="22" t="n">
        <f aca="false">a26_oth</f>
        <v>1.72799999999999</v>
      </c>
      <c r="D76" s="22" t="n">
        <f aca="false">a27_oth</f>
        <v>0.75800000000001</v>
      </c>
      <c r="E76" s="22" t="n">
        <f aca="false">D76</f>
        <v>0.75800000000001</v>
      </c>
      <c r="F76" s="22" t="n">
        <f aca="false">E76</f>
        <v>0.75800000000001</v>
      </c>
      <c r="G76" s="22" t="n">
        <f aca="false">F76</f>
        <v>0.75800000000001</v>
      </c>
      <c r="J76" s="8" t="s">
        <v>407</v>
      </c>
    </row>
    <row r="77" customFormat="false" ht="17.15" hidden="false" customHeight="false" outlineLevel="0" collapsed="false">
      <c r="A77" s="5" t="s">
        <v>306</v>
      </c>
      <c r="B77" s="0" t="s">
        <v>107</v>
      </c>
      <c r="C77" s="22" t="n">
        <f aca="false">C74+C75+C76</f>
        <v>113.538</v>
      </c>
      <c r="D77" s="22" t="n">
        <f aca="false">D74+D75+D76</f>
        <v>192</v>
      </c>
      <c r="E77" s="22" t="n">
        <f aca="false">E74+E75+E76</f>
        <v>249.558668186415</v>
      </c>
      <c r="F77" s="22" t="n">
        <f aca="false">F74+F75+F76</f>
        <v>260.798026210354</v>
      </c>
      <c r="G77" s="22" t="n">
        <f aca="false">G74+G75+G76</f>
        <v>274.142087137061</v>
      </c>
      <c r="H77" s="26" t="n">
        <f aca="false">G77*(1+H78)</f>
        <v>289.37976309346</v>
      </c>
      <c r="I77" s="26" t="n">
        <f aca="false">H77*(1+I78)</f>
        <v>306.742548879068</v>
      </c>
      <c r="J77" s="8" t="s">
        <v>408</v>
      </c>
    </row>
    <row r="78" customFormat="false" ht="15" hidden="false" customHeight="false" outlineLevel="0" collapsed="false">
      <c r="A78" s="5" t="s">
        <v>409</v>
      </c>
      <c r="B78" s="0" t="s">
        <v>130</v>
      </c>
      <c r="D78" s="17" t="n">
        <f aca="false">D77/C77-1</f>
        <v>0.691063784812134</v>
      </c>
      <c r="E78" s="17" t="n">
        <f aca="false">E77/D77-1</f>
        <v>0.299784730137576</v>
      </c>
      <c r="F78" s="17" t="n">
        <f aca="false">F77/E77-1</f>
        <v>0.0450369370281432</v>
      </c>
      <c r="G78" s="17" t="n">
        <f aca="false">G77/F77-1</f>
        <v>0.0511662650235885</v>
      </c>
      <c r="H78" s="27" t="n">
        <f aca="false">$G78+(fade_gA-$G78)*1/2</f>
        <v>0.0555831325117942</v>
      </c>
      <c r="I78" s="27" t="n">
        <f aca="false">$G78+(fade_gA-$G78)*2/2</f>
        <v>0.06</v>
      </c>
    </row>
    <row r="79" customFormat="false" ht="17.15" hidden="false" customHeight="false" outlineLevel="0" collapsed="false">
      <c r="A79" s="0" t="s">
        <v>410</v>
      </c>
      <c r="B79" s="0" t="s">
        <v>130</v>
      </c>
      <c r="C79" s="17" t="n">
        <f aca="false">C70/C77</f>
        <v>0.217398580211031</v>
      </c>
      <c r="D79" s="17" t="n">
        <f aca="false">D70/D77</f>
        <v>0.385416666666667</v>
      </c>
      <c r="E79" s="17" t="n">
        <f aca="false">E70/E77</f>
        <v>0.524343388820577</v>
      </c>
      <c r="F79" s="17" t="n">
        <f aca="false">F70/F77</f>
        <v>0.531867859841367</v>
      </c>
      <c r="G79" s="17" t="n">
        <f aca="false">G70/G77</f>
        <v>0.540608937488372</v>
      </c>
    </row>
    <row r="80" customFormat="false" ht="17.15" hidden="false" customHeight="false" outlineLevel="0" collapsed="false">
      <c r="A80" s="1" t="s">
        <v>411</v>
      </c>
    </row>
    <row r="81" customFormat="false" ht="17.15" hidden="false" customHeight="false" outlineLevel="0" collapsed="false">
      <c r="A81" s="0" t="s">
        <v>383</v>
      </c>
      <c r="B81" s="0" t="s">
        <v>130</v>
      </c>
      <c r="C81" s="23" t="n">
        <f aca="false">(a26_isgoi-m_nai*(a26_tr+a26_st))/a26_ai</f>
        <v>0.0538070736944455</v>
      </c>
      <c r="D81" s="23" t="n">
        <f aca="false">(a27_isgoi-m_nai*(a27_tr+a27_st))/a27_ai</f>
        <v>0.110710097972973</v>
      </c>
      <c r="E81" s="23" t="n">
        <f aca="false">$D81+ai_dm</f>
        <v>0.100710097972973</v>
      </c>
      <c r="F81" s="23" t="n">
        <f aca="false">$D81+ai_dm+dm_A</f>
        <v>0.100710097972973</v>
      </c>
      <c r="G81" s="23" t="n">
        <f aca="false">$D81+ai_dm+dm_A</f>
        <v>0.100710097972973</v>
      </c>
      <c r="J81" s="8" t="s">
        <v>412</v>
      </c>
    </row>
    <row r="82" customFormat="false" ht="17.15" hidden="false" customHeight="false" outlineLevel="0" collapsed="false">
      <c r="A82" s="5" t="s">
        <v>413</v>
      </c>
      <c r="B82" s="0" t="s">
        <v>130</v>
      </c>
      <c r="C82" s="23" t="n">
        <f aca="false">m_nai</f>
        <v>0.16</v>
      </c>
      <c r="D82" s="23" t="n">
        <f aca="false">m_nai</f>
        <v>0.16</v>
      </c>
      <c r="E82" s="23" t="n">
        <f aca="false">m_naif</f>
        <v>0.155</v>
      </c>
      <c r="F82" s="23" t="n">
        <f aca="false">m_naif</f>
        <v>0.155</v>
      </c>
      <c r="G82" s="23" t="n">
        <f aca="false">m_naif</f>
        <v>0.155</v>
      </c>
    </row>
    <row r="83" customFormat="false" ht="17.15" hidden="false" customHeight="false" outlineLevel="0" collapsed="false">
      <c r="A83" s="0" t="s">
        <v>308</v>
      </c>
      <c r="B83" s="0" t="s">
        <v>107</v>
      </c>
      <c r="C83" s="28" t="n">
        <f aca="false">a26_isgoi</f>
        <v>7.111</v>
      </c>
      <c r="D83" s="28" t="n">
        <f aca="false">a27_isgoi</f>
        <v>17.32322085</v>
      </c>
      <c r="E83" s="28" t="n">
        <f aca="false">E70*E81+(E72+E73)*E82</f>
        <v>21.8530439131681</v>
      </c>
      <c r="F83" s="28" t="n">
        <f aca="false">F70*F81+(F72+F73)*F82</f>
        <v>22.8804523721815</v>
      </c>
      <c r="G83" s="28" t="n">
        <f aca="false">G70*G81+(G72+G73)*G82</f>
        <v>24.1365207539417</v>
      </c>
    </row>
    <row r="84" customFormat="false" ht="17.15" hidden="false" customHeight="false" outlineLevel="0" collapsed="false">
      <c r="A84" s="0" t="s">
        <v>414</v>
      </c>
      <c r="B84" s="0" t="s">
        <v>130</v>
      </c>
      <c r="C84" s="23" t="n">
        <f aca="false">a26_csgoi/C75</f>
        <v>0.0555664522203044</v>
      </c>
      <c r="D84" s="23" t="n">
        <f aca="false">a27_csgoi/D75</f>
        <v>0.0764752733223222</v>
      </c>
      <c r="E84" s="23" t="n">
        <f aca="false">m_csgf</f>
        <v>0.07</v>
      </c>
      <c r="F84" s="23" t="n">
        <f aca="false">m_csgf</f>
        <v>0.07</v>
      </c>
      <c r="G84" s="23" t="n">
        <f aca="false">m_csgf</f>
        <v>0.07</v>
      </c>
    </row>
    <row r="85" customFormat="false" ht="17.15" hidden="false" customHeight="false" outlineLevel="0" collapsed="false">
      <c r="A85" s="0" t="s">
        <v>310</v>
      </c>
      <c r="B85" s="0" t="s">
        <v>107</v>
      </c>
      <c r="C85" s="28" t="n">
        <f aca="false">C75*C84</f>
        <v>2.833</v>
      </c>
      <c r="D85" s="28" t="n">
        <f aca="false">D75*D84</f>
        <v>4.60192175</v>
      </c>
      <c r="E85" s="28" t="n">
        <f aca="false">E75*E84</f>
        <v>4.338638409</v>
      </c>
      <c r="F85" s="28" t="n">
        <f aca="false">F75*F84</f>
        <v>4.46879756127</v>
      </c>
      <c r="G85" s="28" t="n">
        <f aca="false">G75*G84</f>
        <v>4.6028614881081</v>
      </c>
    </row>
    <row r="86" customFormat="false" ht="17.15" hidden="false" customHeight="false" outlineLevel="0" collapsed="false">
      <c r="A86" s="5" t="s">
        <v>415</v>
      </c>
      <c r="B86" s="0" t="s">
        <v>107</v>
      </c>
      <c r="C86" s="28" t="n">
        <f aca="false">C83+C85</f>
        <v>9.944</v>
      </c>
      <c r="D86" s="28" t="n">
        <f aca="false">D83+D85</f>
        <v>21.9251426</v>
      </c>
      <c r="E86" s="28" t="n">
        <f aca="false">E83+E85</f>
        <v>26.1916823221681</v>
      </c>
      <c r="F86" s="28" t="n">
        <f aca="false">F83+F85</f>
        <v>27.3492499334515</v>
      </c>
      <c r="G86" s="28" t="n">
        <f aca="false">G83+G85</f>
        <v>28.7393822420498</v>
      </c>
    </row>
    <row r="87" customFormat="false" ht="15" hidden="false" customHeight="false" outlineLevel="0" collapsed="false">
      <c r="A87" s="5" t="s">
        <v>384</v>
      </c>
      <c r="B87" s="0" t="s">
        <v>130</v>
      </c>
      <c r="C87" s="23" t="n">
        <f aca="false">C86/C77</f>
        <v>0.0875830118550617</v>
      </c>
      <c r="D87" s="23" t="n">
        <f aca="false">D86/D77</f>
        <v>0.114193451041667</v>
      </c>
      <c r="E87" s="23" t="n">
        <f aca="false">E86/E77</f>
        <v>0.104952003921593</v>
      </c>
      <c r="F87" s="23" t="n">
        <f aca="false">F86/F77</f>
        <v>0.104867549539628</v>
      </c>
      <c r="G87" s="23" t="n">
        <f aca="false">G86/G77</f>
        <v>0.104833893044964</v>
      </c>
    </row>
    <row r="88" customFormat="false" ht="17.15" hidden="false" customHeight="false" outlineLevel="0" collapsed="false">
      <c r="A88" s="5" t="s">
        <v>416</v>
      </c>
      <c r="B88" s="0" t="s">
        <v>130</v>
      </c>
      <c r="C88" s="17" t="n">
        <f aca="false">a26_ni/a26_oi</f>
        <v>0.708567980691875</v>
      </c>
      <c r="D88" s="17" t="n">
        <f aca="false">a27_ni/a27_oi</f>
        <v>0.753655303477935</v>
      </c>
      <c r="E88" s="17" t="n">
        <f aca="false">nio_f</f>
        <v>0.75</v>
      </c>
      <c r="F88" s="17" t="n">
        <f aca="false">nio_f</f>
        <v>0.75</v>
      </c>
      <c r="G88" s="17" t="n">
        <f aca="false">nio_f</f>
        <v>0.75</v>
      </c>
    </row>
    <row r="89" customFormat="false" ht="17.15" hidden="false" customHeight="false" outlineLevel="0" collapsed="false">
      <c r="A89" s="0" t="s">
        <v>316</v>
      </c>
      <c r="B89" s="0" t="s">
        <v>107</v>
      </c>
      <c r="C89" s="28" t="n">
        <f aca="false">a26_ni</f>
        <v>7.046</v>
      </c>
      <c r="D89" s="28" t="n">
        <f aca="false">a27_ni</f>
        <v>16.524</v>
      </c>
      <c r="E89" s="28" t="n">
        <f aca="false">E86*E88</f>
        <v>19.6437617416261</v>
      </c>
      <c r="F89" s="28" t="n">
        <f aca="false">F86*F88</f>
        <v>20.5119374500886</v>
      </c>
      <c r="G89" s="28" t="n">
        <f aca="false">G86*G88</f>
        <v>21.5545366815374</v>
      </c>
      <c r="H89" s="29" t="n">
        <f aca="false">H77*H93</f>
        <v>22.7526053501376</v>
      </c>
      <c r="I89" s="29" t="n">
        <f aca="false">I77*I93</f>
        <v>24.1177616711458</v>
      </c>
    </row>
    <row r="90" customFormat="false" ht="15" hidden="false" customHeight="false" outlineLevel="0" collapsed="false">
      <c r="A90" s="5" t="s">
        <v>417</v>
      </c>
      <c r="B90" s="5" t="s">
        <v>143</v>
      </c>
      <c r="C90" s="32" t="n">
        <f aca="false">a26_sh</f>
        <v>0.684077669902913</v>
      </c>
      <c r="D90" s="32" t="n">
        <f aca="false">a27_sh</f>
        <v>0.648</v>
      </c>
      <c r="E90" s="32" t="n">
        <f aca="false">D90*(1+sh_g)</f>
        <v>0.62856</v>
      </c>
      <c r="F90" s="32" t="n">
        <f aca="false">E90*(1+sh_g)</f>
        <v>0.6097032</v>
      </c>
      <c r="G90" s="32" t="n">
        <f aca="false">F90*(1+sh_g)</f>
        <v>0.591412104</v>
      </c>
      <c r="H90" s="33" t="n">
        <f aca="false">G90*(1+sh_g)</f>
        <v>0.57366974088</v>
      </c>
      <c r="I90" s="33" t="n">
        <f aca="false">H90*(1+sh_g)</f>
        <v>0.5564596486536</v>
      </c>
    </row>
    <row r="91" customFormat="false" ht="15" hidden="false" customHeight="false" outlineLevel="0" collapsed="false">
      <c r="A91" s="0" t="s">
        <v>324</v>
      </c>
      <c r="B91" s="0" t="s">
        <v>117</v>
      </c>
      <c r="C91" s="28" t="n">
        <f aca="false">C89/C90</f>
        <v>10.3</v>
      </c>
      <c r="D91" s="28" t="n">
        <f aca="false">D89/D90</f>
        <v>25.5</v>
      </c>
      <c r="E91" s="28" t="n">
        <f aca="false">E89/E90</f>
        <v>31.2520073527207</v>
      </c>
      <c r="F91" s="28" t="n">
        <f aca="false">F89/F90</f>
        <v>33.6424959719559</v>
      </c>
      <c r="G91" s="28" t="n">
        <f aca="false">G89/G90</f>
        <v>36.4458835653749</v>
      </c>
      <c r="H91" s="31" t="n">
        <f aca="false">H89/H90</f>
        <v>39.661505093916</v>
      </c>
      <c r="I91" s="31" t="n">
        <f aca="false">I89/I90</f>
        <v>43.3414385562381</v>
      </c>
    </row>
    <row r="92" customFormat="false" ht="17.15" hidden="false" customHeight="false" outlineLevel="0" collapsed="false">
      <c r="A92" s="0" t="s">
        <v>418</v>
      </c>
      <c r="B92" s="0" t="s">
        <v>130</v>
      </c>
      <c r="D92" s="17" t="n">
        <f aca="false">D91/C91-1</f>
        <v>1.47572815533981</v>
      </c>
      <c r="E92" s="17" t="n">
        <f aca="false">E91/D91-1</f>
        <v>0.225568915792967</v>
      </c>
      <c r="F92" s="17" t="n">
        <f aca="false">F91/E91-1</f>
        <v>0.0764907224120175</v>
      </c>
      <c r="G92" s="17" t="n">
        <f aca="false">G91/F91-1</f>
        <v>0.0833287635898301</v>
      </c>
      <c r="H92" s="27" t="n">
        <f aca="false">H91/G91-1</f>
        <v>0.0882300335173136</v>
      </c>
      <c r="I92" s="27" t="n">
        <f aca="false">I91/H91-1</f>
        <v>0.0927835051546391</v>
      </c>
    </row>
    <row r="93" customFormat="false" ht="17.15" hidden="false" customHeight="false" outlineLevel="0" collapsed="false">
      <c r="A93" s="5" t="s">
        <v>419</v>
      </c>
      <c r="B93" s="0" t="s">
        <v>130</v>
      </c>
      <c r="C93" s="23" t="n">
        <f aca="false">C89/C77</f>
        <v>0.0620585178530536</v>
      </c>
      <c r="D93" s="23" t="n">
        <f aca="false">D89/D77</f>
        <v>0.0860625</v>
      </c>
      <c r="E93" s="23" t="n">
        <f aca="false">E89/E77</f>
        <v>0.0787140029411948</v>
      </c>
      <c r="F93" s="23" t="n">
        <f aca="false">F89/F77</f>
        <v>0.0786506621547212</v>
      </c>
      <c r="G93" s="23" t="n">
        <f aca="false">G89/G77</f>
        <v>0.0786254197837229</v>
      </c>
      <c r="H93" s="30" t="n">
        <f aca="false">$G93+(fade_mA-$G93)*1/2</f>
        <v>0.0786254197837229</v>
      </c>
      <c r="I93" s="30" t="n">
        <f aca="false">$G93+(fade_mA-$G93)*2/2</f>
        <v>0.0786254197837229</v>
      </c>
    </row>
    <row r="94" customFormat="false" ht="17.15" hidden="false" customHeight="false" outlineLevel="0" collapsed="false">
      <c r="A94" s="0" t="s">
        <v>420</v>
      </c>
      <c r="B94" s="0" t="s">
        <v>74</v>
      </c>
      <c r="D94" s="20" t="n">
        <f aca="false">D70/(D63+D64)</f>
        <v>8.8622754491018</v>
      </c>
      <c r="E94" s="20" t="n">
        <f aca="false">E70/(E63+E64)</f>
        <v>11.6834319452156</v>
      </c>
      <c r="F94" s="20" t="n">
        <f aca="false">F70/(F63+F64)</f>
        <v>12.0617467870742</v>
      </c>
      <c r="G94" s="20" t="n">
        <f aca="false">G70/(G63+G64)</f>
        <v>11.4886560037218</v>
      </c>
    </row>
    <row r="97" customFormat="false" ht="17.15" hidden="false" customHeight="false" outlineLevel="0" collapsed="false">
      <c r="A97" s="3" t="s">
        <v>421</v>
      </c>
    </row>
    <row r="98" customFormat="false" ht="17.15" hidden="false" customHeight="false" outlineLevel="0" collapsed="false">
      <c r="A98" s="6" t="s">
        <v>20</v>
      </c>
      <c r="B98" s="6" t="s">
        <v>21</v>
      </c>
      <c r="C98" s="14" t="s">
        <v>284</v>
      </c>
      <c r="D98" s="14" t="s">
        <v>371</v>
      </c>
      <c r="E98" s="14" t="s">
        <v>372</v>
      </c>
      <c r="F98" s="14" t="s">
        <v>373</v>
      </c>
      <c r="G98" s="14" t="s">
        <v>374</v>
      </c>
      <c r="H98" s="14" t="s">
        <v>375</v>
      </c>
      <c r="I98" s="14" t="s">
        <v>376</v>
      </c>
      <c r="J98" s="6" t="s">
        <v>344</v>
      </c>
    </row>
    <row r="99" customFormat="false" ht="17.15" hidden="false" customHeight="false" outlineLevel="0" collapsed="false">
      <c r="A99" s="1" t="s">
        <v>394</v>
      </c>
    </row>
    <row r="100" customFormat="false" ht="17.15" hidden="false" customHeight="false" outlineLevel="0" collapsed="false">
      <c r="A100" s="0" t="s">
        <v>395</v>
      </c>
      <c r="B100" s="5" t="s">
        <v>31</v>
      </c>
      <c r="D100" s="18" t="n">
        <f aca="false">ug_26</f>
        <v>6.65</v>
      </c>
      <c r="E100" s="18" t="n">
        <f aca="false">ug_27*1</f>
        <v>2.4</v>
      </c>
      <c r="F100" s="18" t="n">
        <f aca="false">ug_28*um28_B*1</f>
        <v>0.4</v>
      </c>
      <c r="G100" s="18" t="n">
        <f aca="false">ug_29*um29_B*1</f>
        <v>0.2125</v>
      </c>
    </row>
    <row r="101" customFormat="false" ht="17.15" hidden="false" customHeight="false" outlineLevel="0" collapsed="false">
      <c r="A101" s="0" t="s">
        <v>396</v>
      </c>
      <c r="B101" s="5" t="s">
        <v>31</v>
      </c>
      <c r="D101" s="18" t="n">
        <f aca="false">uv_26</f>
        <v>1.7</v>
      </c>
      <c r="E101" s="18" t="n">
        <f aca="false">uv_27*1</f>
        <v>8.8</v>
      </c>
      <c r="F101" s="18" t="n">
        <f aca="false">uv_28*um28_B*1</f>
        <v>8.8</v>
      </c>
      <c r="G101" s="18" t="n">
        <f aca="false">uv_29*um29_B*1</f>
        <v>10.7525</v>
      </c>
    </row>
    <row r="102" customFormat="false" ht="17.15" hidden="false" customHeight="false" outlineLevel="0" collapsed="false">
      <c r="A102" s="5" t="s">
        <v>397</v>
      </c>
      <c r="B102" s="0" t="s">
        <v>107</v>
      </c>
      <c r="D102" s="22" t="n">
        <f aca="false">D100*v_gb+D101*v_vr</f>
        <v>595.4861102</v>
      </c>
      <c r="E102" s="22" t="n">
        <f aca="false">E100*v_gb+E101*v_vr</f>
        <v>1170.0000024</v>
      </c>
      <c r="F102" s="22" t="n">
        <f aca="false">F100*v_gb+F101*v_vr</f>
        <v>1050.5555584</v>
      </c>
      <c r="G102" s="22" t="n">
        <f aca="false">G100*v_gb+G101*v_vr</f>
        <v>1267.1493090925</v>
      </c>
      <c r="J102" s="5" t="s">
        <v>398</v>
      </c>
    </row>
    <row r="103" customFormat="false" ht="17.15" hidden="false" customHeight="false" outlineLevel="0" collapsed="false">
      <c r="A103" s="0" t="s">
        <v>399</v>
      </c>
      <c r="B103" s="0" t="s">
        <v>130</v>
      </c>
      <c r="D103" s="23" t="n">
        <f aca="false">a27_ai/D102</f>
        <v>0.124268221764478</v>
      </c>
      <c r="J103" s="8" t="s">
        <v>400</v>
      </c>
    </row>
    <row r="104" customFormat="false" ht="17.15" hidden="false" customHeight="false" outlineLevel="0" collapsed="false">
      <c r="A104" s="5" t="s">
        <v>401</v>
      </c>
      <c r="B104" s="0" t="s">
        <v>53</v>
      </c>
      <c r="D104" s="18" t="n">
        <f aca="false">1</f>
        <v>1</v>
      </c>
      <c r="E104" s="18" t="n">
        <f aca="false">rel_28</f>
        <v>0.9</v>
      </c>
      <c r="F104" s="18" t="n">
        <f aca="false">rel_29</f>
        <v>0.85</v>
      </c>
      <c r="G104" s="18" t="n">
        <f aca="false">rel_30</f>
        <v>0.8</v>
      </c>
    </row>
    <row r="105" customFormat="false" ht="17.15" hidden="false" customHeight="false" outlineLevel="0" collapsed="false">
      <c r="A105" s="5" t="s">
        <v>422</v>
      </c>
      <c r="B105" s="0" t="s">
        <v>53</v>
      </c>
      <c r="D105" s="18" t="n">
        <f aca="false">1</f>
        <v>1</v>
      </c>
      <c r="E105" s="18" t="n">
        <f aca="false">1</f>
        <v>1</v>
      </c>
      <c r="F105" s="18" t="n">
        <f aca="false">srel_B</f>
        <v>0.95</v>
      </c>
      <c r="G105" s="18" t="n">
        <f aca="false">srel_B</f>
        <v>0.95</v>
      </c>
    </row>
    <row r="106" customFormat="false" ht="17.15" hidden="false" customHeight="false" outlineLevel="0" collapsed="false">
      <c r="A106" s="0" t="s">
        <v>353</v>
      </c>
      <c r="B106" s="0" t="s">
        <v>130</v>
      </c>
      <c r="D106" s="23" t="n">
        <f aca="false">$D$103*D104*D105</f>
        <v>0.124268221764478</v>
      </c>
      <c r="E106" s="23" t="n">
        <f aca="false">$D$103*E104*E105</f>
        <v>0.11184139958803</v>
      </c>
      <c r="F106" s="23" t="n">
        <f aca="false">$D$103*F104*F105</f>
        <v>0.100346589074816</v>
      </c>
      <c r="G106" s="23" t="n">
        <f aca="false">$D$103*G104*G105</f>
        <v>0.0944438485410033</v>
      </c>
    </row>
    <row r="107" customFormat="false" ht="17.15" hidden="false" customHeight="false" outlineLevel="0" collapsed="false">
      <c r="A107" s="0" t="s">
        <v>403</v>
      </c>
      <c r="B107" s="0" t="s">
        <v>107</v>
      </c>
      <c r="C107" s="22" t="n">
        <f aca="false">a26_ai</f>
        <v>24.683</v>
      </c>
      <c r="D107" s="22" t="n">
        <f aca="false">D102*D106</f>
        <v>74</v>
      </c>
      <c r="E107" s="22" t="n">
        <f aca="false">E102*E106</f>
        <v>130.854437786415</v>
      </c>
      <c r="F107" s="22" t="n">
        <f aca="false">F102*F106</f>
        <v>105.419666919029</v>
      </c>
      <c r="G107" s="22" t="n">
        <f aca="false">G102*G106</f>
        <v>119.674457426769</v>
      </c>
    </row>
    <row r="108" customFormat="false" ht="17.15" hidden="false" customHeight="false" outlineLevel="0" collapsed="false">
      <c r="A108" s="1" t="s">
        <v>404</v>
      </c>
    </row>
    <row r="109" customFormat="false" ht="15" hidden="false" customHeight="false" outlineLevel="0" collapsed="false">
      <c r="A109" s="5" t="s">
        <v>293</v>
      </c>
      <c r="B109" s="0" t="s">
        <v>107</v>
      </c>
      <c r="C109" s="22" t="n">
        <f aca="false">a26_tr</f>
        <v>19.512</v>
      </c>
      <c r="D109" s="22" t="n">
        <f aca="false">a27_tr</f>
        <v>37.59663</v>
      </c>
      <c r="E109" s="22" t="n">
        <f aca="false">D109*(1+g_tr28)</f>
        <v>35.7167985</v>
      </c>
      <c r="F109" s="22" t="n">
        <f aca="false">E109*(1+g_tr29)</f>
        <v>36.43113447</v>
      </c>
      <c r="G109" s="22" t="n">
        <f aca="false">F109*(1+g_tr30)</f>
        <v>37.5240685041</v>
      </c>
    </row>
    <row r="110" customFormat="false" ht="15" hidden="false" customHeight="false" outlineLevel="0" collapsed="false">
      <c r="A110" s="5" t="s">
        <v>296</v>
      </c>
      <c r="B110" s="0" t="s">
        <v>107</v>
      </c>
      <c r="C110" s="22" t="n">
        <f aca="false">a26_st</f>
        <v>16.631</v>
      </c>
      <c r="D110" s="22" t="n">
        <f aca="false">a27_st</f>
        <v>19.47008</v>
      </c>
      <c r="E110" s="22" t="n">
        <f aca="false">D110*(1+g_st28)</f>
        <v>20.2488832</v>
      </c>
      <c r="F110" s="22" t="n">
        <f aca="false">E110*(1+g_st29)</f>
        <v>21.058838528</v>
      </c>
      <c r="G110" s="22" t="n">
        <f aca="false">F110*(1+g_st30)</f>
        <v>21.90119206912</v>
      </c>
    </row>
    <row r="111" customFormat="false" ht="17.15" hidden="false" customHeight="false" outlineLevel="0" collapsed="false">
      <c r="A111" s="0" t="s">
        <v>299</v>
      </c>
      <c r="B111" s="0" t="s">
        <v>107</v>
      </c>
      <c r="C111" s="22" t="n">
        <f aca="false">C107+C109+C110</f>
        <v>60.826</v>
      </c>
      <c r="D111" s="22" t="n">
        <f aca="false">D107+D109+D110</f>
        <v>131.06671</v>
      </c>
      <c r="E111" s="22" t="n">
        <f aca="false">E107+E109+E110</f>
        <v>186.820119486415</v>
      </c>
      <c r="F111" s="22" t="n">
        <f aca="false">F107+F109+F110</f>
        <v>162.909639917029</v>
      </c>
      <c r="G111" s="22" t="n">
        <f aca="false">G107+G109+G110</f>
        <v>179.099717999989</v>
      </c>
    </row>
    <row r="112" customFormat="false" ht="17.15" hidden="false" customHeight="false" outlineLevel="0" collapsed="false">
      <c r="A112" s="0" t="s">
        <v>405</v>
      </c>
      <c r="B112" s="0" t="s">
        <v>107</v>
      </c>
      <c r="C112" s="22" t="n">
        <f aca="false">a26_csg</f>
        <v>50.984</v>
      </c>
      <c r="D112" s="22" t="n">
        <f aca="false">a27_csg</f>
        <v>60.17529</v>
      </c>
      <c r="E112" s="22" t="n">
        <f aca="false">D112*(1+g_csg28)</f>
        <v>61.9805487</v>
      </c>
      <c r="F112" s="22" t="n">
        <f aca="false">E112*(1+g_csg29)</f>
        <v>63.839965161</v>
      </c>
      <c r="G112" s="22" t="n">
        <f aca="false">F112*(1+g_csg30)</f>
        <v>65.75516411583</v>
      </c>
    </row>
    <row r="113" customFormat="false" ht="17.15" hidden="false" customHeight="false" outlineLevel="0" collapsed="false">
      <c r="A113" s="5" t="s">
        <v>406</v>
      </c>
      <c r="B113" s="0" t="s">
        <v>107</v>
      </c>
      <c r="C113" s="22" t="n">
        <f aca="false">a26_oth</f>
        <v>1.72799999999999</v>
      </c>
      <c r="D113" s="22" t="n">
        <f aca="false">a27_oth</f>
        <v>0.75800000000001</v>
      </c>
      <c r="E113" s="22" t="n">
        <f aca="false">D113</f>
        <v>0.75800000000001</v>
      </c>
      <c r="F113" s="22" t="n">
        <f aca="false">E113</f>
        <v>0.75800000000001</v>
      </c>
      <c r="G113" s="22" t="n">
        <f aca="false">F113</f>
        <v>0.75800000000001</v>
      </c>
      <c r="J113" s="8" t="s">
        <v>407</v>
      </c>
    </row>
    <row r="114" customFormat="false" ht="17.15" hidden="false" customHeight="false" outlineLevel="0" collapsed="false">
      <c r="A114" s="5" t="s">
        <v>306</v>
      </c>
      <c r="B114" s="0" t="s">
        <v>107</v>
      </c>
      <c r="C114" s="22" t="n">
        <f aca="false">C111+C112+C113</f>
        <v>113.538</v>
      </c>
      <c r="D114" s="22" t="n">
        <f aca="false">D111+D112+D113</f>
        <v>192</v>
      </c>
      <c r="E114" s="22" t="n">
        <f aca="false">E111+E112+E113</f>
        <v>249.558668186415</v>
      </c>
      <c r="F114" s="22" t="n">
        <f aca="false">F111+F112+F113</f>
        <v>227.507605078029</v>
      </c>
      <c r="G114" s="22" t="n">
        <f aca="false">G111+G112+G113</f>
        <v>245.612882115819</v>
      </c>
      <c r="H114" s="26" t="n">
        <f aca="false">G114*(1+H115)</f>
        <v>260.298196076916</v>
      </c>
      <c r="I114" s="26" t="n">
        <f aca="false">H114*(1+I115)</f>
        <v>270.710123919993</v>
      </c>
      <c r="J114" s="8" t="s">
        <v>408</v>
      </c>
    </row>
    <row r="115" customFormat="false" ht="15" hidden="false" customHeight="false" outlineLevel="0" collapsed="false">
      <c r="A115" s="5" t="s">
        <v>409</v>
      </c>
      <c r="B115" s="0" t="s">
        <v>130</v>
      </c>
      <c r="D115" s="17" t="n">
        <f aca="false">D114/C114-1</f>
        <v>0.691063784812134</v>
      </c>
      <c r="E115" s="17" t="n">
        <f aca="false">E114/D114-1</f>
        <v>0.299784730137576</v>
      </c>
      <c r="F115" s="17" t="n">
        <f aca="false">F114/E114-1</f>
        <v>-0.0883602371684177</v>
      </c>
      <c r="G115" s="17" t="n">
        <f aca="false">G114/F114-1</f>
        <v>0.0795809750253438</v>
      </c>
      <c r="H115" s="27" t="n">
        <f aca="false">$G115+(fade_gB-$G115)*1/2</f>
        <v>0.0597904875126719</v>
      </c>
      <c r="I115" s="27" t="n">
        <f aca="false">$G115+(fade_gB-$G115)*2/2</f>
        <v>0.04</v>
      </c>
    </row>
    <row r="116" customFormat="false" ht="17.15" hidden="false" customHeight="false" outlineLevel="0" collapsed="false">
      <c r="A116" s="0" t="s">
        <v>410</v>
      </c>
      <c r="B116" s="0" t="s">
        <v>130</v>
      </c>
      <c r="C116" s="17" t="n">
        <f aca="false">C107/C114</f>
        <v>0.217398580211031</v>
      </c>
      <c r="D116" s="17" t="n">
        <f aca="false">D107/D114</f>
        <v>0.385416666666667</v>
      </c>
      <c r="E116" s="17" t="n">
        <f aca="false">E107/E114</f>
        <v>0.524343388820577</v>
      </c>
      <c r="F116" s="17" t="n">
        <f aca="false">F107/F114</f>
        <v>0.463367661414539</v>
      </c>
      <c r="G116" s="17" t="n">
        <f aca="false">G107/G114</f>
        <v>0.487248292499318</v>
      </c>
    </row>
    <row r="117" customFormat="false" ht="17.15" hidden="false" customHeight="false" outlineLevel="0" collapsed="false">
      <c r="A117" s="1" t="s">
        <v>411</v>
      </c>
    </row>
    <row r="118" customFormat="false" ht="17.15" hidden="false" customHeight="false" outlineLevel="0" collapsed="false">
      <c r="A118" s="0" t="s">
        <v>383</v>
      </c>
      <c r="B118" s="0" t="s">
        <v>130</v>
      </c>
      <c r="C118" s="23" t="n">
        <f aca="false">(a26_isgoi-m_nai*(a26_tr+a26_st))/a26_ai</f>
        <v>0.0538070736944455</v>
      </c>
      <c r="D118" s="23" t="n">
        <f aca="false">(a27_isgoi-m_nai*(a27_tr+a27_st))/a27_ai</f>
        <v>0.110710097972973</v>
      </c>
      <c r="E118" s="23" t="n">
        <f aca="false">$D118+ai_dm</f>
        <v>0.100710097972973</v>
      </c>
      <c r="F118" s="23" t="n">
        <f aca="false">$D118+ai_dm+dm_B</f>
        <v>0.090710097972973</v>
      </c>
      <c r="G118" s="23" t="n">
        <f aca="false">$D118+ai_dm+dm_B</f>
        <v>0.090710097972973</v>
      </c>
      <c r="J118" s="8" t="s">
        <v>412</v>
      </c>
    </row>
    <row r="119" customFormat="false" ht="17.15" hidden="false" customHeight="false" outlineLevel="0" collapsed="false">
      <c r="A119" s="5" t="s">
        <v>413</v>
      </c>
      <c r="B119" s="0" t="s">
        <v>130</v>
      </c>
      <c r="C119" s="23" t="n">
        <f aca="false">m_nai</f>
        <v>0.16</v>
      </c>
      <c r="D119" s="23" t="n">
        <f aca="false">m_nai</f>
        <v>0.16</v>
      </c>
      <c r="E119" s="23" t="n">
        <f aca="false">m_naif</f>
        <v>0.155</v>
      </c>
      <c r="F119" s="23" t="n">
        <f aca="false">m_naif</f>
        <v>0.155</v>
      </c>
      <c r="G119" s="23" t="n">
        <f aca="false">m_naif</f>
        <v>0.155</v>
      </c>
    </row>
    <row r="120" customFormat="false" ht="17.15" hidden="false" customHeight="false" outlineLevel="0" collapsed="false">
      <c r="A120" s="0" t="s">
        <v>308</v>
      </c>
      <c r="B120" s="0" t="s">
        <v>107</v>
      </c>
      <c r="C120" s="28" t="n">
        <f aca="false">a26_isgoi</f>
        <v>7.111</v>
      </c>
      <c r="D120" s="28" t="n">
        <f aca="false">a27_isgoi</f>
        <v>17.32322085</v>
      </c>
      <c r="E120" s="28" t="n">
        <f aca="false">E107*E118+(E109+E110)*E119</f>
        <v>21.8530439131681</v>
      </c>
      <c r="F120" s="28" t="n">
        <f aca="false">F107*F118+(F109+F110)*F119</f>
        <v>18.4735741291933</v>
      </c>
      <c r="G120" s="28" t="n">
        <f aca="false">G107*G118+(G109+G110)*G119</f>
        <v>20.0665971468937</v>
      </c>
    </row>
    <row r="121" customFormat="false" ht="17.15" hidden="false" customHeight="false" outlineLevel="0" collapsed="false">
      <c r="A121" s="0" t="s">
        <v>414</v>
      </c>
      <c r="B121" s="0" t="s">
        <v>130</v>
      </c>
      <c r="C121" s="23" t="n">
        <f aca="false">a26_csgoi/C112</f>
        <v>0.0555664522203044</v>
      </c>
      <c r="D121" s="23" t="n">
        <f aca="false">a27_csgoi/D112</f>
        <v>0.0764752733223222</v>
      </c>
      <c r="E121" s="23" t="n">
        <f aca="false">m_csgf</f>
        <v>0.07</v>
      </c>
      <c r="F121" s="23" t="n">
        <f aca="false">m_csgf</f>
        <v>0.07</v>
      </c>
      <c r="G121" s="23" t="n">
        <f aca="false">m_csgf</f>
        <v>0.07</v>
      </c>
    </row>
    <row r="122" customFormat="false" ht="17.15" hidden="false" customHeight="false" outlineLevel="0" collapsed="false">
      <c r="A122" s="0" t="s">
        <v>310</v>
      </c>
      <c r="B122" s="0" t="s">
        <v>107</v>
      </c>
      <c r="C122" s="28" t="n">
        <f aca="false">C112*C121</f>
        <v>2.833</v>
      </c>
      <c r="D122" s="28" t="n">
        <f aca="false">D112*D121</f>
        <v>4.60192175</v>
      </c>
      <c r="E122" s="28" t="n">
        <f aca="false">E112*E121</f>
        <v>4.338638409</v>
      </c>
      <c r="F122" s="28" t="n">
        <f aca="false">F112*F121</f>
        <v>4.46879756127</v>
      </c>
      <c r="G122" s="28" t="n">
        <f aca="false">G112*G121</f>
        <v>4.6028614881081</v>
      </c>
    </row>
    <row r="123" customFormat="false" ht="17.15" hidden="false" customHeight="false" outlineLevel="0" collapsed="false">
      <c r="A123" s="5" t="s">
        <v>415</v>
      </c>
      <c r="B123" s="0" t="s">
        <v>107</v>
      </c>
      <c r="C123" s="28" t="n">
        <f aca="false">C120+C122</f>
        <v>9.944</v>
      </c>
      <c r="D123" s="28" t="n">
        <f aca="false">D120+D122</f>
        <v>21.9251426</v>
      </c>
      <c r="E123" s="28" t="n">
        <f aca="false">E120+E122</f>
        <v>26.1916823221681</v>
      </c>
      <c r="F123" s="28" t="n">
        <f aca="false">F120+F122</f>
        <v>22.9423716904633</v>
      </c>
      <c r="G123" s="28" t="n">
        <f aca="false">G120+G122</f>
        <v>24.6694586350018</v>
      </c>
    </row>
    <row r="124" customFormat="false" ht="15" hidden="false" customHeight="false" outlineLevel="0" collapsed="false">
      <c r="A124" s="5" t="s">
        <v>384</v>
      </c>
      <c r="B124" s="0" t="s">
        <v>130</v>
      </c>
      <c r="C124" s="23" t="n">
        <f aca="false">C123/C114</f>
        <v>0.0875830118550617</v>
      </c>
      <c r="D124" s="23" t="n">
        <f aca="false">D123/D114</f>
        <v>0.114193451041667</v>
      </c>
      <c r="E124" s="23" t="n">
        <f aca="false">E123/E114</f>
        <v>0.104952003921593</v>
      </c>
      <c r="F124" s="23" t="n">
        <f aca="false">F123/F114</f>
        <v>0.100842218802289</v>
      </c>
      <c r="G124" s="23" t="n">
        <f aca="false">G123/G114</f>
        <v>0.100440410219888</v>
      </c>
    </row>
    <row r="125" customFormat="false" ht="17.15" hidden="false" customHeight="false" outlineLevel="0" collapsed="false">
      <c r="A125" s="5" t="s">
        <v>416</v>
      </c>
      <c r="B125" s="0" t="s">
        <v>130</v>
      </c>
      <c r="C125" s="17" t="n">
        <f aca="false">a26_ni/a26_oi</f>
        <v>0.708567980691875</v>
      </c>
      <c r="D125" s="17" t="n">
        <f aca="false">a27_ni/a27_oi</f>
        <v>0.753655303477935</v>
      </c>
      <c r="E125" s="17" t="n">
        <f aca="false">nio_f</f>
        <v>0.75</v>
      </c>
      <c r="F125" s="17" t="n">
        <f aca="false">nio_f</f>
        <v>0.75</v>
      </c>
      <c r="G125" s="17" t="n">
        <f aca="false">nio_f</f>
        <v>0.75</v>
      </c>
    </row>
    <row r="126" customFormat="false" ht="17.15" hidden="false" customHeight="false" outlineLevel="0" collapsed="false">
      <c r="A126" s="0" t="s">
        <v>316</v>
      </c>
      <c r="B126" s="0" t="s">
        <v>107</v>
      </c>
      <c r="C126" s="28" t="n">
        <f aca="false">a26_ni</f>
        <v>7.046</v>
      </c>
      <c r="D126" s="28" t="n">
        <f aca="false">a27_ni</f>
        <v>16.524</v>
      </c>
      <c r="E126" s="28" t="n">
        <f aca="false">E123*E125</f>
        <v>19.6437617416261</v>
      </c>
      <c r="F126" s="28" t="n">
        <f aca="false">F123*F125</f>
        <v>17.2067787678475</v>
      </c>
      <c r="G126" s="28" t="n">
        <f aca="false">G123*G125</f>
        <v>18.5020939762514</v>
      </c>
      <c r="H126" s="29" t="n">
        <f aca="false">H114*H130</f>
        <v>18.6279260353419</v>
      </c>
      <c r="I126" s="29" t="n">
        <f aca="false">I114*I130</f>
        <v>18.3534092306105</v>
      </c>
    </row>
    <row r="127" customFormat="false" ht="15" hidden="false" customHeight="false" outlineLevel="0" collapsed="false">
      <c r="A127" s="5" t="s">
        <v>417</v>
      </c>
      <c r="B127" s="5" t="s">
        <v>143</v>
      </c>
      <c r="C127" s="32" t="n">
        <f aca="false">a26_sh</f>
        <v>0.684077669902913</v>
      </c>
      <c r="D127" s="32" t="n">
        <f aca="false">a27_sh</f>
        <v>0.648</v>
      </c>
      <c r="E127" s="32" t="n">
        <f aca="false">D127*(1+sh_g)</f>
        <v>0.62856</v>
      </c>
      <c r="F127" s="32" t="n">
        <f aca="false">E127*(1+sh_g)</f>
        <v>0.6097032</v>
      </c>
      <c r="G127" s="32" t="n">
        <f aca="false">F127*(1+sh_g)</f>
        <v>0.591412104</v>
      </c>
      <c r="H127" s="33" t="n">
        <f aca="false">G127*(1+sh_g)</f>
        <v>0.57366974088</v>
      </c>
      <c r="I127" s="33" t="n">
        <f aca="false">H127*(1+sh_g)</f>
        <v>0.5564596486536</v>
      </c>
    </row>
    <row r="128" customFormat="false" ht="15" hidden="false" customHeight="false" outlineLevel="0" collapsed="false">
      <c r="A128" s="0" t="s">
        <v>324</v>
      </c>
      <c r="B128" s="0" t="s">
        <v>117</v>
      </c>
      <c r="C128" s="28" t="n">
        <f aca="false">C126/C127</f>
        <v>10.3</v>
      </c>
      <c r="D128" s="28" t="n">
        <f aca="false">D126/D127</f>
        <v>25.5</v>
      </c>
      <c r="E128" s="28" t="n">
        <f aca="false">E126/E127</f>
        <v>31.2520073527207</v>
      </c>
      <c r="F128" s="28" t="n">
        <f aca="false">F126/F127</f>
        <v>28.2215654565163</v>
      </c>
      <c r="G128" s="28" t="n">
        <f aca="false">G126/G127</f>
        <v>31.2846048484854</v>
      </c>
      <c r="H128" s="31" t="n">
        <f aca="false">H126/H127</f>
        <v>32.4715157657905</v>
      </c>
      <c r="I128" s="31" t="n">
        <f aca="false">I126/I127</f>
        <v>32.9824620258056</v>
      </c>
    </row>
    <row r="129" customFormat="false" ht="17.15" hidden="false" customHeight="false" outlineLevel="0" collapsed="false">
      <c r="A129" s="0" t="s">
        <v>418</v>
      </c>
      <c r="B129" s="0" t="s">
        <v>130</v>
      </c>
      <c r="D129" s="17" t="n">
        <f aca="false">D128/C128-1</f>
        <v>1.47572815533981</v>
      </c>
      <c r="E129" s="17" t="n">
        <f aca="false">E128/D128-1</f>
        <v>0.225568915792967</v>
      </c>
      <c r="F129" s="17" t="n">
        <f aca="false">F128/E128-1</f>
        <v>-0.0969679119168815</v>
      </c>
      <c r="G129" s="17" t="n">
        <f aca="false">G128/F128-1</f>
        <v>0.108535417593635</v>
      </c>
      <c r="H129" s="27" t="n">
        <f aca="false">H128/G128-1</f>
        <v>0.0379391372546785</v>
      </c>
      <c r="I129" s="27" t="n">
        <f aca="false">I128/H128-1</f>
        <v>0.0157352143244711</v>
      </c>
    </row>
    <row r="130" customFormat="false" ht="17.15" hidden="false" customHeight="false" outlineLevel="0" collapsed="false">
      <c r="A130" s="5" t="s">
        <v>419</v>
      </c>
      <c r="B130" s="0" t="s">
        <v>130</v>
      </c>
      <c r="C130" s="23" t="n">
        <f aca="false">C126/C114</f>
        <v>0.0620585178530536</v>
      </c>
      <c r="D130" s="23" t="n">
        <f aca="false">D126/D114</f>
        <v>0.0860625</v>
      </c>
      <c r="E130" s="23" t="n">
        <f aca="false">E126/E114</f>
        <v>0.0787140029411948</v>
      </c>
      <c r="F130" s="23" t="n">
        <f aca="false">F126/F114</f>
        <v>0.0756316641017166</v>
      </c>
      <c r="G130" s="23" t="n">
        <f aca="false">G126/G114</f>
        <v>0.0753303076649158</v>
      </c>
      <c r="H130" s="30" t="n">
        <f aca="false">$G130+(fade_mB-$G130)*1/2</f>
        <v>0.0715637922816701</v>
      </c>
      <c r="I130" s="30" t="n">
        <f aca="false">$G130+(fade_mB-$G130)*2/2</f>
        <v>0.0677972768984243</v>
      </c>
    </row>
    <row r="131" customFormat="false" ht="17.15" hidden="false" customHeight="false" outlineLevel="0" collapsed="false">
      <c r="A131" s="0" t="s">
        <v>420</v>
      </c>
      <c r="B131" s="0" t="s">
        <v>74</v>
      </c>
      <c r="D131" s="20" t="n">
        <f aca="false">D107/(D100+D101)</f>
        <v>8.8622754491018</v>
      </c>
      <c r="E131" s="20" t="n">
        <f aca="false">E107/(E100+E101)</f>
        <v>11.6834319452156</v>
      </c>
      <c r="F131" s="20" t="n">
        <f aca="false">F107/(F100+F101)</f>
        <v>11.4586594477205</v>
      </c>
      <c r="G131" s="20" t="n">
        <f aca="false">G107/(G100+G101)</f>
        <v>10.9142232035357</v>
      </c>
    </row>
    <row r="134" customFormat="false" ht="17.15" hidden="false" customHeight="false" outlineLevel="0" collapsed="false">
      <c r="A134" s="3" t="s">
        <v>423</v>
      </c>
    </row>
    <row r="135" customFormat="false" ht="17.15" hidden="false" customHeight="false" outlineLevel="0" collapsed="false">
      <c r="A135" s="6" t="s">
        <v>20</v>
      </c>
      <c r="B135" s="6" t="s">
        <v>21</v>
      </c>
      <c r="C135" s="14" t="s">
        <v>284</v>
      </c>
      <c r="D135" s="14" t="s">
        <v>371</v>
      </c>
      <c r="E135" s="14" t="s">
        <v>372</v>
      </c>
      <c r="F135" s="14" t="s">
        <v>373</v>
      </c>
      <c r="G135" s="14" t="s">
        <v>374</v>
      </c>
      <c r="H135" s="14" t="s">
        <v>375</v>
      </c>
      <c r="I135" s="14" t="s">
        <v>376</v>
      </c>
      <c r="J135" s="6" t="s">
        <v>344</v>
      </c>
    </row>
    <row r="136" customFormat="false" ht="17.15" hidden="false" customHeight="false" outlineLevel="0" collapsed="false">
      <c r="A136" s="1" t="s">
        <v>394</v>
      </c>
    </row>
    <row r="137" customFormat="false" ht="17.15" hidden="false" customHeight="false" outlineLevel="0" collapsed="false">
      <c r="A137" s="0" t="s">
        <v>395</v>
      </c>
      <c r="B137" s="5" t="s">
        <v>31</v>
      </c>
      <c r="D137" s="18" t="n">
        <f aca="false">ug_26</f>
        <v>6.65</v>
      </c>
      <c r="E137" s="18" t="n">
        <f aca="false">ug_27*1</f>
        <v>2.4</v>
      </c>
      <c r="F137" s="18" t="n">
        <f aca="false">ug_28*um28_C*1</f>
        <v>0.3</v>
      </c>
      <c r="G137" s="18" t="n">
        <f aca="false">ug_29*um29_C*1</f>
        <v>0.15</v>
      </c>
    </row>
    <row r="138" customFormat="false" ht="17.15" hidden="false" customHeight="false" outlineLevel="0" collapsed="false">
      <c r="A138" s="0" t="s">
        <v>396</v>
      </c>
      <c r="B138" s="5" t="s">
        <v>31</v>
      </c>
      <c r="D138" s="18" t="n">
        <f aca="false">uv_26</f>
        <v>1.7</v>
      </c>
      <c r="E138" s="18" t="n">
        <f aca="false">uv_27*1</f>
        <v>8.8</v>
      </c>
      <c r="F138" s="18" t="n">
        <f aca="false">uv_28*um28_C*1</f>
        <v>6.6</v>
      </c>
      <c r="G138" s="18" t="n">
        <f aca="false">uv_29*um29_C*1</f>
        <v>7.59</v>
      </c>
    </row>
    <row r="139" customFormat="false" ht="17.15" hidden="false" customHeight="false" outlineLevel="0" collapsed="false">
      <c r="A139" s="5" t="s">
        <v>397</v>
      </c>
      <c r="B139" s="0" t="s">
        <v>107</v>
      </c>
      <c r="D139" s="22" t="n">
        <f aca="false">D137*v_gb+D138*v_vr</f>
        <v>595.4861102</v>
      </c>
      <c r="E139" s="22" t="n">
        <f aca="false">E137*v_gb+E138*v_vr</f>
        <v>1170.0000024</v>
      </c>
      <c r="F139" s="22" t="n">
        <f aca="false">F137*v_gb+F138*v_vr</f>
        <v>787.9166688</v>
      </c>
      <c r="G139" s="22" t="n">
        <f aca="false">G137*v_gb+G138*v_vr</f>
        <v>894.45833583</v>
      </c>
      <c r="J139" s="5" t="s">
        <v>398</v>
      </c>
    </row>
    <row r="140" customFormat="false" ht="17.15" hidden="false" customHeight="false" outlineLevel="0" collapsed="false">
      <c r="A140" s="0" t="s">
        <v>399</v>
      </c>
      <c r="B140" s="0" t="s">
        <v>130</v>
      </c>
      <c r="D140" s="23" t="n">
        <f aca="false">a27_ai/D139</f>
        <v>0.124268221764478</v>
      </c>
      <c r="J140" s="8" t="s">
        <v>400</v>
      </c>
    </row>
    <row r="141" customFormat="false" ht="17.15" hidden="false" customHeight="false" outlineLevel="0" collapsed="false">
      <c r="A141" s="5" t="s">
        <v>401</v>
      </c>
      <c r="B141" s="0" t="s">
        <v>53</v>
      </c>
      <c r="D141" s="18" t="n">
        <f aca="false">1</f>
        <v>1</v>
      </c>
      <c r="E141" s="18" t="n">
        <f aca="false">rel_28</f>
        <v>0.9</v>
      </c>
      <c r="F141" s="18" t="n">
        <f aca="false">rel_29</f>
        <v>0.85</v>
      </c>
      <c r="G141" s="18" t="n">
        <f aca="false">rel_30</f>
        <v>0.8</v>
      </c>
    </row>
    <row r="142" customFormat="false" ht="17.15" hidden="false" customHeight="false" outlineLevel="0" collapsed="false">
      <c r="A142" s="5" t="s">
        <v>424</v>
      </c>
      <c r="B142" s="0" t="s">
        <v>53</v>
      </c>
      <c r="D142" s="18" t="n">
        <f aca="false">1</f>
        <v>1</v>
      </c>
      <c r="E142" s="18" t="n">
        <f aca="false">1</f>
        <v>1</v>
      </c>
      <c r="F142" s="18" t="n">
        <f aca="false">srel_C</f>
        <v>0.85</v>
      </c>
      <c r="G142" s="18" t="n">
        <f aca="false">srel_C</f>
        <v>0.85</v>
      </c>
    </row>
    <row r="143" customFormat="false" ht="17.15" hidden="false" customHeight="false" outlineLevel="0" collapsed="false">
      <c r="A143" s="0" t="s">
        <v>353</v>
      </c>
      <c r="B143" s="0" t="s">
        <v>130</v>
      </c>
      <c r="D143" s="23" t="n">
        <f aca="false">$D$140*D141*D142</f>
        <v>0.124268221764478</v>
      </c>
      <c r="E143" s="23" t="n">
        <f aca="false">$D$140*E141*E142</f>
        <v>0.11184139958803</v>
      </c>
      <c r="F143" s="23" t="n">
        <f aca="false">$D$140*F141*F142</f>
        <v>0.0897837902248354</v>
      </c>
      <c r="G143" s="23" t="n">
        <f aca="false">$D$140*G141*G142</f>
        <v>0.0845023907998451</v>
      </c>
    </row>
    <row r="144" customFormat="false" ht="17.15" hidden="false" customHeight="false" outlineLevel="0" collapsed="false">
      <c r="A144" s="0" t="s">
        <v>403</v>
      </c>
      <c r="B144" s="0" t="s">
        <v>107</v>
      </c>
      <c r="C144" s="22" t="n">
        <f aca="false">a26_ai</f>
        <v>24.683</v>
      </c>
      <c r="D144" s="22" t="n">
        <f aca="false">D139*D143</f>
        <v>74</v>
      </c>
      <c r="E144" s="22" t="n">
        <f aca="false">E139*E143</f>
        <v>130.854437786415</v>
      </c>
      <c r="F144" s="22" t="n">
        <f aca="false">F139*F143</f>
        <v>70.7421449061903</v>
      </c>
      <c r="G144" s="22" t="n">
        <f aca="false">G139*G143</f>
        <v>75.5838678484857</v>
      </c>
    </row>
    <row r="145" customFormat="false" ht="17.15" hidden="false" customHeight="false" outlineLevel="0" collapsed="false">
      <c r="A145" s="1" t="s">
        <v>404</v>
      </c>
    </row>
    <row r="146" customFormat="false" ht="15" hidden="false" customHeight="false" outlineLevel="0" collapsed="false">
      <c r="A146" s="5" t="s">
        <v>293</v>
      </c>
      <c r="B146" s="0" t="s">
        <v>107</v>
      </c>
      <c r="C146" s="22" t="n">
        <f aca="false">a26_tr</f>
        <v>19.512</v>
      </c>
      <c r="D146" s="22" t="n">
        <f aca="false">a27_tr</f>
        <v>37.59663</v>
      </c>
      <c r="E146" s="22" t="n">
        <f aca="false">D146*(1+g_tr28)</f>
        <v>35.7167985</v>
      </c>
      <c r="F146" s="22" t="n">
        <f aca="false">E146*(1+g_tr29)</f>
        <v>36.43113447</v>
      </c>
      <c r="G146" s="22" t="n">
        <f aca="false">F146*(1+g_tr30)</f>
        <v>37.5240685041</v>
      </c>
    </row>
    <row r="147" customFormat="false" ht="15" hidden="false" customHeight="false" outlineLevel="0" collapsed="false">
      <c r="A147" s="5" t="s">
        <v>296</v>
      </c>
      <c r="B147" s="0" t="s">
        <v>107</v>
      </c>
      <c r="C147" s="22" t="n">
        <f aca="false">a26_st</f>
        <v>16.631</v>
      </c>
      <c r="D147" s="22" t="n">
        <f aca="false">a27_st</f>
        <v>19.47008</v>
      </c>
      <c r="E147" s="22" t="n">
        <f aca="false">D147*(1+g_st28)</f>
        <v>20.2488832</v>
      </c>
      <c r="F147" s="22" t="n">
        <f aca="false">E147*(1+g_st29)</f>
        <v>21.058838528</v>
      </c>
      <c r="G147" s="22" t="n">
        <f aca="false">F147*(1+g_st30)</f>
        <v>21.90119206912</v>
      </c>
    </row>
    <row r="148" customFormat="false" ht="17.15" hidden="false" customHeight="false" outlineLevel="0" collapsed="false">
      <c r="A148" s="0" t="s">
        <v>299</v>
      </c>
      <c r="B148" s="0" t="s">
        <v>107</v>
      </c>
      <c r="C148" s="22" t="n">
        <f aca="false">C144+C146+C147</f>
        <v>60.826</v>
      </c>
      <c r="D148" s="22" t="n">
        <f aca="false">D144+D146+D147</f>
        <v>131.06671</v>
      </c>
      <c r="E148" s="22" t="n">
        <f aca="false">E144+E146+E147</f>
        <v>186.820119486415</v>
      </c>
      <c r="F148" s="22" t="n">
        <f aca="false">F144+F146+F147</f>
        <v>128.23211790419</v>
      </c>
      <c r="G148" s="22" t="n">
        <f aca="false">G144+G146+G147</f>
        <v>135.009128421706</v>
      </c>
    </row>
    <row r="149" customFormat="false" ht="17.15" hidden="false" customHeight="false" outlineLevel="0" collapsed="false">
      <c r="A149" s="0" t="s">
        <v>405</v>
      </c>
      <c r="B149" s="0" t="s">
        <v>107</v>
      </c>
      <c r="C149" s="22" t="n">
        <f aca="false">a26_csg</f>
        <v>50.984</v>
      </c>
      <c r="D149" s="22" t="n">
        <f aca="false">a27_csg</f>
        <v>60.17529</v>
      </c>
      <c r="E149" s="22" t="n">
        <f aca="false">D149*(1+g_csg28)</f>
        <v>61.9805487</v>
      </c>
      <c r="F149" s="22" t="n">
        <f aca="false">E149*(1+g_csg29)</f>
        <v>63.839965161</v>
      </c>
      <c r="G149" s="22" t="n">
        <f aca="false">F149*(1+g_csg30)</f>
        <v>65.75516411583</v>
      </c>
    </row>
    <row r="150" customFormat="false" ht="17.15" hidden="false" customHeight="false" outlineLevel="0" collapsed="false">
      <c r="A150" s="5" t="s">
        <v>406</v>
      </c>
      <c r="B150" s="0" t="s">
        <v>107</v>
      </c>
      <c r="C150" s="22" t="n">
        <f aca="false">a26_oth</f>
        <v>1.72799999999999</v>
      </c>
      <c r="D150" s="22" t="n">
        <f aca="false">a27_oth</f>
        <v>0.75800000000001</v>
      </c>
      <c r="E150" s="22" t="n">
        <f aca="false">D150</f>
        <v>0.75800000000001</v>
      </c>
      <c r="F150" s="22" t="n">
        <f aca="false">E150</f>
        <v>0.75800000000001</v>
      </c>
      <c r="G150" s="22" t="n">
        <f aca="false">F150</f>
        <v>0.75800000000001</v>
      </c>
      <c r="J150" s="8" t="s">
        <v>407</v>
      </c>
    </row>
    <row r="151" customFormat="false" ht="17.15" hidden="false" customHeight="false" outlineLevel="0" collapsed="false">
      <c r="A151" s="5" t="s">
        <v>306</v>
      </c>
      <c r="B151" s="0" t="s">
        <v>107</v>
      </c>
      <c r="C151" s="22" t="n">
        <f aca="false">C148+C149+C150</f>
        <v>113.538</v>
      </c>
      <c r="D151" s="22" t="n">
        <f aca="false">D148+D149+D150</f>
        <v>192</v>
      </c>
      <c r="E151" s="22" t="n">
        <f aca="false">E148+E149+E150</f>
        <v>249.558668186415</v>
      </c>
      <c r="F151" s="22" t="n">
        <f aca="false">F148+F149+F150</f>
        <v>192.83008306519</v>
      </c>
      <c r="G151" s="22" t="n">
        <f aca="false">G148+G149+G150</f>
        <v>201.522292537536</v>
      </c>
      <c r="H151" s="26" t="n">
        <f aca="false">G151*(1+H152)</f>
        <v>208.079529738483</v>
      </c>
      <c r="I151" s="26" t="n">
        <f aca="false">H151*(1+I152)</f>
        <v>212.241120333252</v>
      </c>
      <c r="J151" s="8" t="s">
        <v>408</v>
      </c>
    </row>
    <row r="152" customFormat="false" ht="15" hidden="false" customHeight="false" outlineLevel="0" collapsed="false">
      <c r="A152" s="5" t="s">
        <v>409</v>
      </c>
      <c r="B152" s="0" t="s">
        <v>130</v>
      </c>
      <c r="D152" s="17" t="n">
        <f aca="false">D151/C151-1</f>
        <v>0.691063784812134</v>
      </c>
      <c r="E152" s="17" t="n">
        <f aca="false">E151/D151-1</f>
        <v>0.299784730137576</v>
      </c>
      <c r="F152" s="17" t="n">
        <f aca="false">F151/E151-1</f>
        <v>-0.227315626956502</v>
      </c>
      <c r="G152" s="17" t="n">
        <f aca="false">G151/F151-1</f>
        <v>0.0450770405435486</v>
      </c>
      <c r="H152" s="27" t="n">
        <f aca="false">$G152+(fade_gC-$G152)*1/2</f>
        <v>0.0325385202717743</v>
      </c>
      <c r="I152" s="27" t="n">
        <f aca="false">$G152+(fade_gC-$G152)*2/2</f>
        <v>0.02</v>
      </c>
    </row>
    <row r="153" customFormat="false" ht="17.15" hidden="false" customHeight="false" outlineLevel="0" collapsed="false">
      <c r="A153" s="0" t="s">
        <v>410</v>
      </c>
      <c r="B153" s="0" t="s">
        <v>130</v>
      </c>
      <c r="C153" s="17" t="n">
        <f aca="false">C144/C151</f>
        <v>0.217398580211031</v>
      </c>
      <c r="D153" s="17" t="n">
        <f aca="false">D144/D151</f>
        <v>0.385416666666667</v>
      </c>
      <c r="E153" s="17" t="n">
        <f aca="false">E144/E151</f>
        <v>0.524343388820577</v>
      </c>
      <c r="F153" s="17" t="n">
        <f aca="false">F144/F151</f>
        <v>0.366862596238547</v>
      </c>
      <c r="G153" s="17" t="n">
        <f aca="false">G144/G151</f>
        <v>0.375064549419054</v>
      </c>
    </row>
    <row r="154" customFormat="false" ht="17.15" hidden="false" customHeight="false" outlineLevel="0" collapsed="false">
      <c r="A154" s="1" t="s">
        <v>411</v>
      </c>
    </row>
    <row r="155" customFormat="false" ht="17.15" hidden="false" customHeight="false" outlineLevel="0" collapsed="false">
      <c r="A155" s="0" t="s">
        <v>383</v>
      </c>
      <c r="B155" s="0" t="s">
        <v>130</v>
      </c>
      <c r="C155" s="23" t="n">
        <f aca="false">(a26_isgoi-m_nai*(a26_tr+a26_st))/a26_ai</f>
        <v>0.0538070736944455</v>
      </c>
      <c r="D155" s="23" t="n">
        <f aca="false">(a27_isgoi-m_nai*(a27_tr+a27_st))/a27_ai</f>
        <v>0.110710097972973</v>
      </c>
      <c r="E155" s="23" t="n">
        <f aca="false">$D155+ai_dm</f>
        <v>0.100710097972973</v>
      </c>
      <c r="F155" s="23" t="n">
        <f aca="false">$D155+ai_dm+dm_C</f>
        <v>0.075710097972973</v>
      </c>
      <c r="G155" s="23" t="n">
        <f aca="false">$D155+ai_dm+dm_C</f>
        <v>0.075710097972973</v>
      </c>
      <c r="J155" s="8" t="s">
        <v>412</v>
      </c>
    </row>
    <row r="156" customFormat="false" ht="17.15" hidden="false" customHeight="false" outlineLevel="0" collapsed="false">
      <c r="A156" s="5" t="s">
        <v>413</v>
      </c>
      <c r="B156" s="0" t="s">
        <v>130</v>
      </c>
      <c r="C156" s="23" t="n">
        <f aca="false">m_nai</f>
        <v>0.16</v>
      </c>
      <c r="D156" s="23" t="n">
        <f aca="false">m_nai</f>
        <v>0.16</v>
      </c>
      <c r="E156" s="23" t="n">
        <f aca="false">m_naif</f>
        <v>0.155</v>
      </c>
      <c r="F156" s="23" t="n">
        <f aca="false">m_naif</f>
        <v>0.155</v>
      </c>
      <c r="G156" s="23" t="n">
        <f aca="false">m_naif</f>
        <v>0.155</v>
      </c>
    </row>
    <row r="157" customFormat="false" ht="17.15" hidden="false" customHeight="false" outlineLevel="0" collapsed="false">
      <c r="A157" s="0" t="s">
        <v>308</v>
      </c>
      <c r="B157" s="0" t="s">
        <v>107</v>
      </c>
      <c r="C157" s="28" t="n">
        <f aca="false">a26_isgoi</f>
        <v>7.111</v>
      </c>
      <c r="D157" s="28" t="n">
        <f aca="false">a27_isgoi</f>
        <v>17.32322085</v>
      </c>
      <c r="E157" s="28" t="n">
        <f aca="false">E144*E155+(E146+E147)*E156</f>
        <v>21.8530439131681</v>
      </c>
      <c r="F157" s="28" t="n">
        <f aca="false">F144*F155+(F146+F147)*F156</f>
        <v>14.2668405363559</v>
      </c>
      <c r="G157" s="28" t="n">
        <f aca="false">G144*G155+(G146+G147)*G156</f>
        <v>14.9333774288342</v>
      </c>
    </row>
    <row r="158" customFormat="false" ht="17.15" hidden="false" customHeight="false" outlineLevel="0" collapsed="false">
      <c r="A158" s="0" t="s">
        <v>414</v>
      </c>
      <c r="B158" s="0" t="s">
        <v>130</v>
      </c>
      <c r="C158" s="23" t="n">
        <f aca="false">a26_csgoi/C149</f>
        <v>0.0555664522203044</v>
      </c>
      <c r="D158" s="23" t="n">
        <f aca="false">a27_csgoi/D149</f>
        <v>0.0764752733223222</v>
      </c>
      <c r="E158" s="23" t="n">
        <f aca="false">m_csgf</f>
        <v>0.07</v>
      </c>
      <c r="F158" s="23" t="n">
        <f aca="false">m_csgf</f>
        <v>0.07</v>
      </c>
      <c r="G158" s="23" t="n">
        <f aca="false">m_csgf</f>
        <v>0.07</v>
      </c>
    </row>
    <row r="159" customFormat="false" ht="17.15" hidden="false" customHeight="false" outlineLevel="0" collapsed="false">
      <c r="A159" s="0" t="s">
        <v>310</v>
      </c>
      <c r="B159" s="0" t="s">
        <v>107</v>
      </c>
      <c r="C159" s="28" t="n">
        <f aca="false">C149*C158</f>
        <v>2.833</v>
      </c>
      <c r="D159" s="28" t="n">
        <f aca="false">D149*D158</f>
        <v>4.60192175</v>
      </c>
      <c r="E159" s="28" t="n">
        <f aca="false">E149*E158</f>
        <v>4.338638409</v>
      </c>
      <c r="F159" s="28" t="n">
        <f aca="false">F149*F158</f>
        <v>4.46879756127</v>
      </c>
      <c r="G159" s="28" t="n">
        <f aca="false">G149*G158</f>
        <v>4.6028614881081</v>
      </c>
    </row>
    <row r="160" customFormat="false" ht="17.15" hidden="false" customHeight="false" outlineLevel="0" collapsed="false">
      <c r="A160" s="5" t="s">
        <v>415</v>
      </c>
      <c r="B160" s="0" t="s">
        <v>107</v>
      </c>
      <c r="C160" s="28" t="n">
        <f aca="false">C157+C159</f>
        <v>9.944</v>
      </c>
      <c r="D160" s="28" t="n">
        <f aca="false">D157+D159</f>
        <v>21.9251426</v>
      </c>
      <c r="E160" s="28" t="n">
        <f aca="false">E157+E159</f>
        <v>26.1916823221681</v>
      </c>
      <c r="F160" s="28" t="n">
        <f aca="false">F157+F159</f>
        <v>18.7356380976259</v>
      </c>
      <c r="G160" s="28" t="n">
        <f aca="false">G157+G159</f>
        <v>19.5362389169423</v>
      </c>
    </row>
    <row r="161" customFormat="false" ht="15" hidden="false" customHeight="false" outlineLevel="0" collapsed="false">
      <c r="A161" s="5" t="s">
        <v>384</v>
      </c>
      <c r="B161" s="0" t="s">
        <v>130</v>
      </c>
      <c r="C161" s="23" t="n">
        <f aca="false">C160/C151</f>
        <v>0.0875830118550617</v>
      </c>
      <c r="D161" s="23" t="n">
        <f aca="false">D160/D151</f>
        <v>0.114193451041667</v>
      </c>
      <c r="E161" s="23" t="n">
        <f aca="false">E160/E151</f>
        <v>0.104952003921593</v>
      </c>
      <c r="F161" s="23" t="n">
        <f aca="false">F160/F151</f>
        <v>0.0971613858159877</v>
      </c>
      <c r="G161" s="23" t="n">
        <f aca="false">G160/G151</f>
        <v>0.0969433141661162</v>
      </c>
    </row>
    <row r="162" customFormat="false" ht="17.15" hidden="false" customHeight="false" outlineLevel="0" collapsed="false">
      <c r="A162" s="5" t="s">
        <v>416</v>
      </c>
      <c r="B162" s="0" t="s">
        <v>130</v>
      </c>
      <c r="C162" s="17" t="n">
        <f aca="false">a26_ni/a26_oi</f>
        <v>0.708567980691875</v>
      </c>
      <c r="D162" s="17" t="n">
        <f aca="false">a27_ni/a27_oi</f>
        <v>0.753655303477935</v>
      </c>
      <c r="E162" s="17" t="n">
        <f aca="false">nio_f</f>
        <v>0.75</v>
      </c>
      <c r="F162" s="17" t="n">
        <f aca="false">nio_f</f>
        <v>0.75</v>
      </c>
      <c r="G162" s="17" t="n">
        <f aca="false">nio_f</f>
        <v>0.75</v>
      </c>
    </row>
    <row r="163" customFormat="false" ht="17.15" hidden="false" customHeight="false" outlineLevel="0" collapsed="false">
      <c r="A163" s="0" t="s">
        <v>316</v>
      </c>
      <c r="B163" s="0" t="s">
        <v>107</v>
      </c>
      <c r="C163" s="28" t="n">
        <f aca="false">a26_ni</f>
        <v>7.046</v>
      </c>
      <c r="D163" s="28" t="n">
        <f aca="false">a27_ni</f>
        <v>16.524</v>
      </c>
      <c r="E163" s="28" t="n">
        <f aca="false">E160*E162</f>
        <v>19.6437617416261</v>
      </c>
      <c r="F163" s="28" t="n">
        <f aca="false">F160*F162</f>
        <v>14.0517285732194</v>
      </c>
      <c r="G163" s="28" t="n">
        <f aca="false">G160*G162</f>
        <v>14.6521791877067</v>
      </c>
      <c r="H163" s="29" t="n">
        <f aca="false">H151*H167</f>
        <v>13.6160454755084</v>
      </c>
      <c r="I163" s="29" t="n">
        <f aca="false">I151*I167</f>
        <v>12.345214564461</v>
      </c>
    </row>
    <row r="164" customFormat="false" ht="15" hidden="false" customHeight="false" outlineLevel="0" collapsed="false">
      <c r="A164" s="5" t="s">
        <v>417</v>
      </c>
      <c r="B164" s="5" t="s">
        <v>143</v>
      </c>
      <c r="C164" s="32" t="n">
        <f aca="false">a26_sh</f>
        <v>0.684077669902913</v>
      </c>
      <c r="D164" s="32" t="n">
        <f aca="false">a27_sh</f>
        <v>0.648</v>
      </c>
      <c r="E164" s="32" t="n">
        <f aca="false">D164*(1+sh_g)</f>
        <v>0.62856</v>
      </c>
      <c r="F164" s="32" t="n">
        <f aca="false">E164*(1+sh_g)</f>
        <v>0.6097032</v>
      </c>
      <c r="G164" s="32" t="n">
        <f aca="false">F164*(1+sh_g)</f>
        <v>0.591412104</v>
      </c>
      <c r="H164" s="33" t="n">
        <f aca="false">G164*(1+sh_g)</f>
        <v>0.57366974088</v>
      </c>
      <c r="I164" s="33" t="n">
        <f aca="false">H164*(1+sh_g)</f>
        <v>0.5564596486536</v>
      </c>
    </row>
    <row r="165" customFormat="false" ht="15" hidden="false" customHeight="false" outlineLevel="0" collapsed="false">
      <c r="A165" s="0" t="s">
        <v>324</v>
      </c>
      <c r="B165" s="0" t="s">
        <v>117</v>
      </c>
      <c r="C165" s="28" t="n">
        <f aca="false">C163/C164</f>
        <v>10.3</v>
      </c>
      <c r="D165" s="28" t="n">
        <f aca="false">D163/D164</f>
        <v>25.5</v>
      </c>
      <c r="E165" s="28" t="n">
        <f aca="false">E163/E164</f>
        <v>31.2520073527207</v>
      </c>
      <c r="F165" s="28" t="n">
        <f aca="false">F163/F164</f>
        <v>23.0468342190421</v>
      </c>
      <c r="G165" s="28" t="n">
        <f aca="false">G163/G164</f>
        <v>24.7749058374137</v>
      </c>
      <c r="H165" s="31" t="n">
        <f aca="false">H163/H164</f>
        <v>23.7349898473321</v>
      </c>
      <c r="I165" s="31" t="n">
        <f aca="false">I163/I164</f>
        <v>22.185282606441</v>
      </c>
    </row>
    <row r="166" customFormat="false" ht="17.15" hidden="false" customHeight="false" outlineLevel="0" collapsed="false">
      <c r="A166" s="0" t="s">
        <v>418</v>
      </c>
      <c r="B166" s="0" t="s">
        <v>130</v>
      </c>
      <c r="D166" s="17" t="n">
        <f aca="false">D165/C165-1</f>
        <v>1.47572815533981</v>
      </c>
      <c r="E166" s="17" t="n">
        <f aca="false">E165/D165-1</f>
        <v>0.225568915792967</v>
      </c>
      <c r="F166" s="17" t="n">
        <f aca="false">F165/E165-1</f>
        <v>-0.262548675388184</v>
      </c>
      <c r="G166" s="17" t="n">
        <f aca="false">G165/F165-1</f>
        <v>0.0749808673047105</v>
      </c>
      <c r="H166" s="27" t="n">
        <f aca="false">H165/G165-1</f>
        <v>-0.0419745688200032</v>
      </c>
      <c r="I166" s="27" t="n">
        <f aca="false">I165/H165-1</f>
        <v>-0.0652920962199313</v>
      </c>
    </row>
    <row r="167" customFormat="false" ht="17.15" hidden="false" customHeight="false" outlineLevel="0" collapsed="false">
      <c r="A167" s="5" t="s">
        <v>419</v>
      </c>
      <c r="B167" s="0" t="s">
        <v>130</v>
      </c>
      <c r="C167" s="23" t="n">
        <f aca="false">C163/C151</f>
        <v>0.0620585178530536</v>
      </c>
      <c r="D167" s="23" t="n">
        <f aca="false">D163/D151</f>
        <v>0.0860625</v>
      </c>
      <c r="E167" s="23" t="n">
        <f aca="false">E163/E151</f>
        <v>0.0787140029411948</v>
      </c>
      <c r="F167" s="23" t="n">
        <f aca="false">F163/F151</f>
        <v>0.0728710393619908</v>
      </c>
      <c r="G167" s="23" t="n">
        <f aca="false">G163/G151</f>
        <v>0.0727074856245871</v>
      </c>
      <c r="H167" s="30" t="n">
        <f aca="false">$G167+(fade_mC-$G167)*1/2</f>
        <v>0.0654367370621284</v>
      </c>
      <c r="I167" s="30" t="n">
        <f aca="false">$G167+(fade_mC-$G167)*2/2</f>
        <v>0.0581659884996697</v>
      </c>
    </row>
    <row r="168" customFormat="false" ht="17.15" hidden="false" customHeight="false" outlineLevel="0" collapsed="false">
      <c r="A168" s="0" t="s">
        <v>420</v>
      </c>
      <c r="B168" s="0" t="s">
        <v>74</v>
      </c>
      <c r="D168" s="20" t="n">
        <f aca="false">D144/(D137+D138)</f>
        <v>8.8622754491018</v>
      </c>
      <c r="E168" s="20" t="n">
        <f aca="false">E144/(E137+E138)</f>
        <v>11.6834319452156</v>
      </c>
      <c r="F168" s="20" t="n">
        <f aca="false">F144/(F137+F138)</f>
        <v>10.2524847690131</v>
      </c>
      <c r="G168" s="20" t="n">
        <f aca="false">G144/(G137+G138)</f>
        <v>9.76535760316353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425</v>
      </c>
    </row>
    <row r="2" customFormat="false" ht="17.15" hidden="false" customHeight="false" outlineLevel="0" collapsed="false">
      <c r="A2" s="5" t="s">
        <v>426</v>
      </c>
    </row>
    <row r="4" customFormat="false" ht="17.15" hidden="false" customHeight="false" outlineLevel="0" collapsed="false">
      <c r="A4" s="1" t="s">
        <v>427</v>
      </c>
    </row>
    <row r="5" customFormat="false" ht="17.15" hidden="false" customHeight="false" outlineLevel="0" collapsed="false">
      <c r="A5" s="1" t="s">
        <v>428</v>
      </c>
    </row>
    <row r="6" customFormat="false" ht="17.15" hidden="false" customHeight="false" outlineLevel="0" collapsed="false">
      <c r="A6" s="6" t="s">
        <v>20</v>
      </c>
      <c r="B6" s="14" t="s">
        <v>429</v>
      </c>
      <c r="C6" s="14" t="s">
        <v>430</v>
      </c>
      <c r="D6" s="14" t="s">
        <v>431</v>
      </c>
      <c r="E6" s="6" t="s">
        <v>344</v>
      </c>
      <c r="F6" s="6" t="s">
        <v>432</v>
      </c>
      <c r="G6" s="6" t="s">
        <v>433</v>
      </c>
    </row>
    <row r="7" customFormat="false" ht="17.15" hidden="false" customHeight="false" outlineLevel="0" collapsed="false">
      <c r="A7" s="5" t="s">
        <v>434</v>
      </c>
      <c r="E7" s="0" t="s">
        <v>435</v>
      </c>
    </row>
    <row r="8" customFormat="false" ht="15" hidden="false" customHeight="false" outlineLevel="0" collapsed="false">
      <c r="A8" s="0" t="s">
        <v>436</v>
      </c>
      <c r="B8" s="18" t="n">
        <f aca="false">PL!D15</f>
        <v>25.5</v>
      </c>
      <c r="C8" s="18" t="n">
        <f aca="false">PL!D29</f>
        <v>25.5</v>
      </c>
      <c r="D8" s="18" t="n">
        <f aca="false">PL!D43</f>
        <v>25.5</v>
      </c>
      <c r="F8" s="20" t="n">
        <v>0.083333</v>
      </c>
      <c r="G8" s="20" t="n">
        <v>0.083333</v>
      </c>
    </row>
    <row r="9" customFormat="false" ht="15" hidden="false" customHeight="false" outlineLevel="0" collapsed="false">
      <c r="A9" s="0" t="s">
        <v>437</v>
      </c>
      <c r="B9" s="18" t="n">
        <f aca="false">PL!E15</f>
        <v>31.2520073527207</v>
      </c>
      <c r="C9" s="18" t="n">
        <f aca="false">PL!E29</f>
        <v>31.2520073527207</v>
      </c>
      <c r="D9" s="18" t="n">
        <f aca="false">PL!E43</f>
        <v>31.2520073527207</v>
      </c>
      <c r="F9" s="20" t="n">
        <v>1.083333</v>
      </c>
      <c r="G9" s="20" t="n">
        <v>1</v>
      </c>
    </row>
    <row r="10" customFormat="false" ht="15" hidden="false" customHeight="false" outlineLevel="0" collapsed="false">
      <c r="A10" s="0" t="s">
        <v>438</v>
      </c>
      <c r="B10" s="18" t="n">
        <f aca="false">PL!F15</f>
        <v>33.6424959719559</v>
      </c>
      <c r="C10" s="18" t="n">
        <f aca="false">PL!F29</f>
        <v>28.2215654565163</v>
      </c>
      <c r="D10" s="18" t="n">
        <f aca="false">PL!F43</f>
        <v>23.0468342190421</v>
      </c>
      <c r="F10" s="20" t="n">
        <v>2.083333</v>
      </c>
      <c r="G10" s="20" t="n">
        <v>1</v>
      </c>
    </row>
    <row r="11" customFormat="false" ht="15" hidden="false" customHeight="false" outlineLevel="0" collapsed="false">
      <c r="A11" s="0" t="s">
        <v>439</v>
      </c>
      <c r="B11" s="18" t="n">
        <f aca="false">PL!G15</f>
        <v>36.4458835653749</v>
      </c>
      <c r="C11" s="18" t="n">
        <f aca="false">PL!G29</f>
        <v>31.2846048484854</v>
      </c>
      <c r="D11" s="18" t="n">
        <f aca="false">PL!G43</f>
        <v>24.7749058374137</v>
      </c>
      <c r="F11" s="20" t="n">
        <v>3.083333</v>
      </c>
      <c r="G11" s="20" t="n">
        <v>1</v>
      </c>
    </row>
    <row r="12" customFormat="false" ht="15" hidden="false" customHeight="false" outlineLevel="0" collapsed="false">
      <c r="A12" s="0" t="s">
        <v>440</v>
      </c>
      <c r="B12" s="18" t="n">
        <f aca="false">PL!H15</f>
        <v>39.661505093916</v>
      </c>
      <c r="C12" s="18" t="n">
        <f aca="false">PL!H29</f>
        <v>32.4715157657905</v>
      </c>
      <c r="D12" s="18" t="n">
        <f aca="false">PL!H43</f>
        <v>23.7349898473321</v>
      </c>
      <c r="F12" s="20" t="n">
        <v>4.083333</v>
      </c>
      <c r="G12" s="20" t="n">
        <v>1</v>
      </c>
    </row>
    <row r="13" customFormat="false" ht="15" hidden="false" customHeight="false" outlineLevel="0" collapsed="false">
      <c r="A13" s="0" t="s">
        <v>441</v>
      </c>
      <c r="B13" s="18" t="n">
        <f aca="false">PL!I15</f>
        <v>43.3414385562381</v>
      </c>
      <c r="C13" s="18" t="n">
        <f aca="false">PL!I29</f>
        <v>32.9824620258056</v>
      </c>
      <c r="D13" s="18" t="n">
        <f aca="false">PL!I43</f>
        <v>22.185282606441</v>
      </c>
      <c r="F13" s="20" t="n">
        <v>5.083333</v>
      </c>
      <c r="G13" s="20" t="n">
        <v>1</v>
      </c>
    </row>
    <row r="14" customFormat="false" ht="17.15" hidden="false" customHeight="false" outlineLevel="0" collapsed="false">
      <c r="A14" s="5" t="s">
        <v>442</v>
      </c>
      <c r="E14" s="5" t="s">
        <v>443</v>
      </c>
    </row>
    <row r="15" customFormat="false" ht="17.15" hidden="false" customHeight="false" outlineLevel="0" collapsed="false">
      <c r="A15" s="5" t="s">
        <v>444</v>
      </c>
      <c r="B15" s="17" t="n">
        <f aca="false">MIN(tp_g/tp_roe,0.8)</f>
        <v>0.2</v>
      </c>
      <c r="E15" s="8" t="s">
        <v>445</v>
      </c>
    </row>
    <row r="16" customFormat="false" ht="15" hidden="false" customHeight="false" outlineLevel="0" collapsed="false">
      <c r="A16" s="0" t="s">
        <v>436</v>
      </c>
      <c r="B16" s="18" t="n">
        <f aca="false">B8*(1-$B$15)*$G$8</f>
        <v>1.6999932</v>
      </c>
      <c r="C16" s="18" t="n">
        <f aca="false">C8*(1-$B$15)*$G$8</f>
        <v>1.6999932</v>
      </c>
      <c r="D16" s="18" t="n">
        <f aca="false">D8*(1-$B$15)*$G$8</f>
        <v>1.6999932</v>
      </c>
    </row>
    <row r="17" customFormat="false" ht="15" hidden="false" customHeight="false" outlineLevel="0" collapsed="false">
      <c r="A17" s="0" t="s">
        <v>437</v>
      </c>
      <c r="B17" s="18" t="n">
        <f aca="false">B9*(1-$B$15)*$G$9</f>
        <v>25.0016058821765</v>
      </c>
      <c r="C17" s="18" t="n">
        <f aca="false">C9*(1-$B$15)*$G$9</f>
        <v>25.0016058821765</v>
      </c>
      <c r="D17" s="18" t="n">
        <f aca="false">D9*(1-$B$15)*$G$9</f>
        <v>25.0016058821765</v>
      </c>
    </row>
    <row r="18" customFormat="false" ht="15" hidden="false" customHeight="false" outlineLevel="0" collapsed="false">
      <c r="A18" s="0" t="s">
        <v>438</v>
      </c>
      <c r="B18" s="18" t="n">
        <f aca="false">B10*(1-$B$15)*$G$10</f>
        <v>26.9139967775648</v>
      </c>
      <c r="C18" s="18" t="n">
        <f aca="false">C10*(1-$B$15)*$G$10</f>
        <v>22.577252365213</v>
      </c>
      <c r="D18" s="18" t="n">
        <f aca="false">D10*(1-$B$15)*$G$10</f>
        <v>18.4374673752336</v>
      </c>
    </row>
    <row r="19" customFormat="false" ht="15" hidden="false" customHeight="false" outlineLevel="0" collapsed="false">
      <c r="A19" s="0" t="s">
        <v>439</v>
      </c>
      <c r="B19" s="18" t="n">
        <f aca="false">B11*(1-$B$15)*$G$11</f>
        <v>29.1567068522999</v>
      </c>
      <c r="C19" s="18" t="n">
        <f aca="false">C11*(1-$B$15)*$G$11</f>
        <v>25.0276838787883</v>
      </c>
      <c r="D19" s="18" t="n">
        <f aca="false">D11*(1-$B$15)*$G$11</f>
        <v>19.819924669931</v>
      </c>
    </row>
    <row r="20" customFormat="false" ht="15" hidden="false" customHeight="false" outlineLevel="0" collapsed="false">
      <c r="A20" s="0" t="s">
        <v>440</v>
      </c>
      <c r="B20" s="18" t="n">
        <f aca="false">B12*(1-$B$15)*$G$12</f>
        <v>31.7292040751328</v>
      </c>
      <c r="C20" s="18" t="n">
        <f aca="false">C12*(1-$B$15)*$G$12</f>
        <v>25.9772126126324</v>
      </c>
      <c r="D20" s="18" t="n">
        <f aca="false">D12*(1-$B$15)*$G$12</f>
        <v>18.9879918778657</v>
      </c>
    </row>
    <row r="21" customFormat="false" ht="15" hidden="false" customHeight="false" outlineLevel="0" collapsed="false">
      <c r="A21" s="0" t="s">
        <v>441</v>
      </c>
      <c r="B21" s="18" t="n">
        <f aca="false">B13*(1-$B$15)*$G$13</f>
        <v>34.6731508449905</v>
      </c>
      <c r="C21" s="18" t="n">
        <f aca="false">C13*(1-$B$15)*$G$13</f>
        <v>26.3859696206445</v>
      </c>
      <c r="D21" s="18" t="n">
        <f aca="false">D13*(1-$B$15)*$G$13</f>
        <v>17.7482260851528</v>
      </c>
    </row>
    <row r="22" customFormat="false" ht="17.15" hidden="false" customHeight="false" outlineLevel="0" collapsed="false">
      <c r="A22" s="0" t="s">
        <v>446</v>
      </c>
      <c r="B22" s="18" t="n">
        <f aca="false">MAX(0,SUMPRODUCT(B16:B21,1/(1+tp_r)^$F$8:$F$13)+B21*(1+tp_g)/(tp_r-tp_g)/(1+tp_r)^$F$13)</f>
        <v>481.116372419806</v>
      </c>
      <c r="C22" s="18" t="n">
        <f aca="false">MAX(0,SUMPRODUCT(C16:C21,1/(1+tp_r)^$F$8:$F$13)+C21*(1+tp_g)/(tp_r-tp_g)/(1+tp_r)^$F$13)</f>
        <v>376.994080215493</v>
      </c>
      <c r="D22" s="18" t="n">
        <f aca="false">MAX(0,SUMPRODUCT(D16:D21,1/(1+tp_r)^$F$8:$F$13)+D21*(1+tp_g)/(tp_r-tp_g)/(1+tp_r)^$F$13)</f>
        <v>267.431782588454</v>
      </c>
      <c r="E22" s="8" t="s">
        <v>447</v>
      </c>
    </row>
    <row r="23" customFormat="false" ht="17.15" hidden="false" customHeight="false" outlineLevel="0" collapsed="false">
      <c r="A23" s="0" t="s">
        <v>448</v>
      </c>
      <c r="B23" s="18" t="n">
        <f aca="false">B22*(1+tp_r)</f>
        <v>529.228009661786</v>
      </c>
      <c r="C23" s="18" t="n">
        <f aca="false">C22*(1+tp_r)</f>
        <v>414.693488237043</v>
      </c>
      <c r="D23" s="18" t="n">
        <f aca="false">D22*(1+tp_r)</f>
        <v>294.174960847299</v>
      </c>
    </row>
    <row r="24" customFormat="false" ht="17.15" hidden="false" customHeight="false" outlineLevel="0" collapsed="false">
      <c r="A24" s="0" t="s">
        <v>449</v>
      </c>
      <c r="B24" s="34" t="n">
        <f aca="false">tp_wA*B23+tp_wB*C23+tp_wC*D23</f>
        <v>424.950139186517</v>
      </c>
      <c r="E24" s="8" t="s">
        <v>450</v>
      </c>
    </row>
    <row r="26" customFormat="false" ht="17.15" hidden="false" customHeight="false" outlineLevel="0" collapsed="false">
      <c r="A26" s="1" t="s">
        <v>451</v>
      </c>
    </row>
    <row r="27" customFormat="false" ht="17.15" hidden="false" customHeight="false" outlineLevel="0" collapsed="false">
      <c r="A27" s="6" t="s">
        <v>452</v>
      </c>
      <c r="B27" s="6" t="s">
        <v>453</v>
      </c>
      <c r="C27" s="6" t="s">
        <v>454</v>
      </c>
      <c r="D27" s="6" t="s">
        <v>455</v>
      </c>
      <c r="E27" s="6" t="s">
        <v>456</v>
      </c>
      <c r="F27" s="6" t="s">
        <v>25</v>
      </c>
    </row>
    <row r="28" customFormat="false" ht="17.15" hidden="false" customHeight="false" outlineLevel="0" collapsed="false">
      <c r="A28" s="0" t="s">
        <v>457</v>
      </c>
      <c r="B28" s="0" t="s">
        <v>458</v>
      </c>
      <c r="C28" s="35" t="n">
        <v>12.19</v>
      </c>
      <c r="D28" s="8" t="s">
        <v>459</v>
      </c>
      <c r="E28" s="8" t="s">
        <v>460</v>
      </c>
      <c r="F28" s="8" t="s">
        <v>108</v>
      </c>
    </row>
    <row r="29" customFormat="false" ht="17.15" hidden="false" customHeight="false" outlineLevel="0" collapsed="false">
      <c r="A29" s="0" t="s">
        <v>461</v>
      </c>
      <c r="B29" s="0" t="s">
        <v>462</v>
      </c>
      <c r="C29" s="35" t="n">
        <v>7.06</v>
      </c>
      <c r="D29" s="8" t="s">
        <v>459</v>
      </c>
      <c r="E29" s="8" t="s">
        <v>460</v>
      </c>
      <c r="F29" s="8" t="s">
        <v>108</v>
      </c>
    </row>
    <row r="30" customFormat="false" ht="17.15" hidden="false" customHeight="false" outlineLevel="0" collapsed="false">
      <c r="A30" s="0" t="s">
        <v>463</v>
      </c>
      <c r="B30" s="0" t="s">
        <v>464</v>
      </c>
      <c r="C30" s="35" t="n">
        <v>9.6</v>
      </c>
      <c r="D30" s="8" t="s">
        <v>465</v>
      </c>
      <c r="E30" s="8" t="s">
        <v>460</v>
      </c>
      <c r="F30" s="8" t="s">
        <v>108</v>
      </c>
    </row>
    <row r="31" customFormat="false" ht="17.15" hidden="false" customHeight="false" outlineLevel="0" collapsed="false">
      <c r="A31" s="0" t="s">
        <v>466</v>
      </c>
      <c r="B31" s="0" t="s">
        <v>467</v>
      </c>
      <c r="C31" s="35" t="n">
        <v>11.26</v>
      </c>
      <c r="D31" s="8" t="s">
        <v>459</v>
      </c>
      <c r="E31" s="8" t="s">
        <v>460</v>
      </c>
      <c r="F31" s="8" t="s">
        <v>108</v>
      </c>
    </row>
    <row r="32" customFormat="false" ht="17.15" hidden="false" customHeight="false" outlineLevel="0" collapsed="false">
      <c r="A32" s="0" t="s">
        <v>468</v>
      </c>
      <c r="B32" s="0" t="s">
        <v>469</v>
      </c>
      <c r="C32" s="35" t="n">
        <v>21.69</v>
      </c>
      <c r="D32" s="8" t="s">
        <v>459</v>
      </c>
      <c r="E32" s="8" t="s">
        <v>460</v>
      </c>
      <c r="F32" s="8" t="s">
        <v>108</v>
      </c>
    </row>
    <row r="33" customFormat="false" ht="17.15" hidden="false" customHeight="false" outlineLevel="0" collapsed="false">
      <c r="A33" s="5" t="s">
        <v>470</v>
      </c>
      <c r="B33" s="21" t="n">
        <f aca="false">MEDIAN(C28:C32)</f>
        <v>11.26</v>
      </c>
      <c r="E33" s="5" t="s">
        <v>471</v>
      </c>
    </row>
    <row r="34" customFormat="false" ht="17.15" hidden="false" customHeight="false" outlineLevel="0" collapsed="false">
      <c r="A34" s="0" t="s">
        <v>472</v>
      </c>
      <c r="B34" s="18" t="n">
        <f aca="false">tp_wA*(3/12*B9+9/12*B10)+tp_wB*(3/12*C9+9/12*C10)+tp_wC*(3/12*D9+9/12*D10)</f>
        <v>29.4226756109202</v>
      </c>
      <c r="E34" s="5" t="s">
        <v>473</v>
      </c>
    </row>
    <row r="35" customFormat="false" ht="17.15" hidden="false" customHeight="false" outlineLevel="0" collapsed="false">
      <c r="A35" s="0" t="s">
        <v>474</v>
      </c>
      <c r="B35" s="34" t="n">
        <f aca="false">B33*B34</f>
        <v>331.299327378961</v>
      </c>
      <c r="E35" s="5" t="s">
        <v>475</v>
      </c>
    </row>
    <row r="37" customFormat="false" ht="17.15" hidden="false" customHeight="false" outlineLevel="0" collapsed="false">
      <c r="A37" s="1" t="s">
        <v>476</v>
      </c>
    </row>
    <row r="38" customFormat="false" ht="15" hidden="false" customHeight="false" outlineLevel="0" collapsed="false">
      <c r="A38" s="6" t="s">
        <v>20</v>
      </c>
      <c r="B38" s="6" t="s">
        <v>477</v>
      </c>
      <c r="C38" s="6" t="s">
        <v>478</v>
      </c>
      <c r="D38" s="6" t="s">
        <v>478</v>
      </c>
      <c r="E38" s="6" t="s">
        <v>344</v>
      </c>
    </row>
    <row r="39" customFormat="false" ht="17.15" hidden="false" customHeight="false" outlineLevel="0" collapsed="false">
      <c r="A39" s="5" t="s">
        <v>479</v>
      </c>
      <c r="B39" s="34" t="n">
        <f aca="false">tp_w_dcf*B24+(1-tp_w_dcf)*tp_comp_adj</f>
        <v>334.494549246525</v>
      </c>
      <c r="E39" s="8" t="s">
        <v>480</v>
      </c>
    </row>
    <row r="40" customFormat="false" ht="17.15" hidden="false" customHeight="false" outlineLevel="0" collapsed="false">
      <c r="A40" s="0" t="s">
        <v>481</v>
      </c>
      <c r="B40" s="18" t="n">
        <f aca="false">B35</f>
        <v>331.299327378961</v>
      </c>
    </row>
    <row r="41" customFormat="false" ht="17.15" hidden="false" customHeight="false" outlineLevel="0" collapsed="false">
      <c r="A41" s="5" t="s">
        <v>482</v>
      </c>
      <c r="B41" s="18" t="n">
        <f aca="false">cons_tp</f>
        <v>593</v>
      </c>
      <c r="E41" s="8" t="s">
        <v>483</v>
      </c>
    </row>
    <row r="42" customFormat="false" ht="17.15" hidden="false" customHeight="false" outlineLevel="0" collapsed="false">
      <c r="A42" s="5" t="s">
        <v>484</v>
      </c>
      <c r="B42" s="17" t="n">
        <f aca="false">B39/px-1</f>
        <v>-0.26716644192769</v>
      </c>
      <c r="E42" s="5" t="s">
        <v>485</v>
      </c>
    </row>
    <row r="43" customFormat="false" ht="17.15" hidden="false" customHeight="false" outlineLevel="0" collapsed="false">
      <c r="A43" s="5" t="s">
        <v>486</v>
      </c>
      <c r="B43" s="17" t="n">
        <f aca="false">B40/px-1</f>
        <v>-0.274166752740862</v>
      </c>
    </row>
    <row r="44" customFormat="false" ht="17.15" hidden="false" customHeight="false" outlineLevel="0" collapsed="false">
      <c r="A44" s="5" t="s">
        <v>487</v>
      </c>
      <c r="B44" s="17" t="n">
        <f aca="false">B34/C44-1</f>
        <v>0.0455608588404284</v>
      </c>
      <c r="C44" s="18" t="n">
        <f aca="false">cons_feps</f>
        <v>28.1405672009864</v>
      </c>
      <c r="E44" s="8" t="s">
        <v>488</v>
      </c>
    </row>
    <row r="45" customFormat="false" ht="17.15" hidden="false" customHeight="false" outlineLevel="0" collapsed="false">
      <c r="A45" s="5" t="s">
        <v>489</v>
      </c>
      <c r="B45" s="17" t="n">
        <f aca="false">C45/D45-1</f>
        <v>0.871472526665165</v>
      </c>
      <c r="C45" s="21" t="n">
        <f aca="false">cons_tp/cons_feps</f>
        <v>21.0727806502498</v>
      </c>
      <c r="D45" s="21" t="n">
        <f aca="false">B33</f>
        <v>11.26</v>
      </c>
      <c r="E45" s="8" t="s">
        <v>490</v>
      </c>
    </row>
    <row r="46" customFormat="false" ht="17.15" hidden="false" customHeight="false" outlineLevel="0" collapsed="false">
      <c r="A46" s="5" t="s">
        <v>491</v>
      </c>
      <c r="B46" s="18" t="n">
        <f aca="false">D23</f>
        <v>294.174960847299</v>
      </c>
      <c r="C46" s="18" t="n">
        <f aca="false">B23</f>
        <v>529.228009661786</v>
      </c>
      <c r="E46" s="8" t="s">
        <v>492</v>
      </c>
    </row>
    <row r="47" customFormat="false" ht="17.15" hidden="false" customHeight="false" outlineLevel="0" collapsed="false">
      <c r="A47" s="5" t="s">
        <v>493</v>
      </c>
      <c r="B47" s="36" t="n">
        <f aca="false">IF(px/B9&lt;=MIN($B$88:$B$97),0,IF(px/B9&gt;=MAX($B$88:$B$97),1,PERCENTRANK($B$88:$B$97,px/B9)))</f>
        <v>0.554</v>
      </c>
      <c r="C47" s="36" t="n">
        <f aca="false">IF(px/C9&lt;=MIN($B$88:$B$97),0,IF(px/C9&gt;=MAX($B$88:$B$97),1,PERCENTRANK($B$88:$B$97,px/C9)))</f>
        <v>0.554</v>
      </c>
      <c r="D47" s="36" t="n">
        <f aca="false">IF(px/D9&lt;=MIN($B$88:$B$97),0,IF(px/D9&gt;=MAX($B$88:$B$97),1,PERCENTRANK($B$88:$B$97,px/D9)))</f>
        <v>0.554</v>
      </c>
      <c r="E47" s="5" t="s">
        <v>494</v>
      </c>
    </row>
    <row r="48" customFormat="false" ht="17.15" hidden="false" customHeight="false" outlineLevel="0" collapsed="false">
      <c r="A48" s="5" t="s">
        <v>495</v>
      </c>
      <c r="B48" s="37" t="str">
        <f aca="false">IF(B42&gt;0.5,"大於 50%",IF(B42&gt;0.25,"25%–50%",IF(B42&gt;=0,"0%–25%",IF(B42&gt;=-0.25,"0%～−25%",IF(B42&gt;=-0.5,"−25%～−50%","小於 −50%")))))</f>
        <v>−25%～−50%</v>
      </c>
      <c r="E48" s="5" t="s">
        <v>496</v>
      </c>
    </row>
    <row r="49" customFormat="false" ht="17.15" hidden="false" customHeight="false" outlineLevel="0" collapsed="false">
      <c r="A49" s="5" t="s">
        <v>497</v>
      </c>
      <c r="B49" s="37" t="str">
        <f aca="false">IF(B42&gt;0.5,"強力買進",IF(B42&gt;0.25,"買進",IF(B42&gt;=-0.25,"中立",IF(B42&gt;=-0.5,"放空","強力放空"))))</f>
        <v>放空</v>
      </c>
      <c r="E49" s="5" t="s">
        <v>498</v>
      </c>
    </row>
    <row r="50" customFormat="false" ht="17.15" hidden="false" customHeight="false" outlineLevel="0" collapsed="false">
      <c r="A50" s="5" t="s">
        <v>499</v>
      </c>
      <c r="B50" s="0" t="s">
        <v>500</v>
      </c>
    </row>
    <row r="53" customFormat="false" ht="17.15" hidden="false" customHeight="false" outlineLevel="0" collapsed="false">
      <c r="A53" s="1" t="s">
        <v>501</v>
      </c>
    </row>
    <row r="54" customFormat="false" ht="15" hidden="false" customHeight="false" outlineLevel="0" collapsed="false">
      <c r="A54" s="6" t="s">
        <v>20</v>
      </c>
      <c r="B54" s="14" t="s">
        <v>502</v>
      </c>
      <c r="C54" s="14" t="s">
        <v>503</v>
      </c>
      <c r="D54" s="14" t="s">
        <v>504</v>
      </c>
      <c r="E54" s="6" t="s">
        <v>344</v>
      </c>
    </row>
    <row r="55" customFormat="false" ht="17.15" hidden="false" customHeight="false" outlineLevel="0" collapsed="false">
      <c r="A55" s="5" t="s">
        <v>505</v>
      </c>
      <c r="B55" s="28" t="n">
        <f aca="false">px</f>
        <v>456.44</v>
      </c>
    </row>
    <row r="56" customFormat="false" ht="17.15" hidden="false" customHeight="false" outlineLevel="0" collapsed="false">
      <c r="A56" s="5" t="s">
        <v>506</v>
      </c>
      <c r="B56" s="21" t="n">
        <f aca="false">px/PL!C15</f>
        <v>44.3145631067961</v>
      </c>
      <c r="C56" s="21" t="n">
        <f aca="false">px/PL!C29</f>
        <v>44.3145631067961</v>
      </c>
      <c r="D56" s="21" t="n">
        <f aca="false">px/PL!C43</f>
        <v>44.3145631067961</v>
      </c>
    </row>
    <row r="57" customFormat="false" ht="17.15" hidden="false" customHeight="false" outlineLevel="0" collapsed="false">
      <c r="A57" s="5" t="s">
        <v>507</v>
      </c>
      <c r="B57" s="21" t="n">
        <f aca="false">px/PL!D15</f>
        <v>17.8996078431373</v>
      </c>
      <c r="C57" s="21" t="n">
        <f aca="false">px/PL!D29</f>
        <v>17.8996078431373</v>
      </c>
      <c r="D57" s="21" t="n">
        <f aca="false">px/PL!D43</f>
        <v>17.8996078431373</v>
      </c>
      <c r="E57" s="8" t="s">
        <v>508</v>
      </c>
    </row>
    <row r="58" customFormat="false" ht="17.15" hidden="false" customHeight="false" outlineLevel="0" collapsed="false">
      <c r="A58" s="5" t="s">
        <v>509</v>
      </c>
      <c r="B58" s="21" t="n">
        <f aca="false">px/PL!E15</f>
        <v>14.6051418345217</v>
      </c>
      <c r="C58" s="21" t="n">
        <f aca="false">px/PL!E29</f>
        <v>14.6051418345217</v>
      </c>
      <c r="D58" s="21" t="n">
        <f aca="false">px/PL!E43</f>
        <v>14.6051418345217</v>
      </c>
      <c r="E58" s="8" t="s">
        <v>510</v>
      </c>
    </row>
    <row r="59" customFormat="false" ht="17.15" hidden="false" customHeight="false" outlineLevel="0" collapsed="false">
      <c r="A59" s="5" t="s">
        <v>511</v>
      </c>
      <c r="B59" s="21" t="n">
        <f aca="false">px/PL!F15</f>
        <v>13.5673643352884</v>
      </c>
      <c r="C59" s="21" t="n">
        <f aca="false">px/PL!F29</f>
        <v>16.1734472420845</v>
      </c>
      <c r="D59" s="21" t="n">
        <f aca="false">px/PL!F43</f>
        <v>19.8048892816209</v>
      </c>
    </row>
    <row r="60" customFormat="false" ht="17.15" hidden="false" customHeight="false" outlineLevel="0" collapsed="false">
      <c r="A60" s="5" t="s">
        <v>512</v>
      </c>
      <c r="B60" s="18" t="n">
        <f aca="false">3/12*PL!D29+9/12*PL!E29</f>
        <v>29.8140055145405</v>
      </c>
    </row>
    <row r="61" customFormat="false" ht="17.15" hidden="false" customHeight="false" outlineLevel="0" collapsed="false">
      <c r="A61" s="5" t="s">
        <v>513</v>
      </c>
      <c r="B61" s="21" t="n">
        <f aca="false">px/B60</f>
        <v>15.3095832687557</v>
      </c>
    </row>
    <row r="62" customFormat="false" ht="17.15" hidden="false" customHeight="false" outlineLevel="0" collapsed="false">
      <c r="A62" s="5" t="s">
        <v>222</v>
      </c>
      <c r="B62" s="21" t="n">
        <f aca="false">pe_ttm</f>
        <v>26.63</v>
      </c>
    </row>
    <row r="63" customFormat="false" ht="17.15" hidden="false" customHeight="false" outlineLevel="0" collapsed="false">
      <c r="A63" s="5" t="s">
        <v>225</v>
      </c>
      <c r="B63" s="21" t="n">
        <f aca="false">fpe</f>
        <v>16.22</v>
      </c>
    </row>
    <row r="65" customFormat="false" ht="17.15" hidden="false" customHeight="false" outlineLevel="0" collapsed="false">
      <c r="A65" s="1" t="s">
        <v>514</v>
      </c>
    </row>
    <row r="66" customFormat="false" ht="17.15" hidden="false" customHeight="false" outlineLevel="0" collapsed="false">
      <c r="A66" s="6" t="s">
        <v>515</v>
      </c>
      <c r="B66" s="6" t="s">
        <v>516</v>
      </c>
      <c r="C66" s="14" t="s">
        <v>517</v>
      </c>
      <c r="D66" s="6" t="s">
        <v>518</v>
      </c>
      <c r="E66" s="6" t="s">
        <v>519</v>
      </c>
      <c r="F66" s="6" t="s">
        <v>344</v>
      </c>
    </row>
    <row r="67" customFormat="false" ht="17.15" hidden="false" customHeight="false" outlineLevel="0" collapsed="false">
      <c r="A67" s="0" t="s">
        <v>502</v>
      </c>
      <c r="B67" s="0" t="n">
        <f aca="false">INDEX({2027,2028,2029,2030},MATCH(MAX(PL!D77:G77),PL!D77:G77,0))</f>
        <v>2030</v>
      </c>
      <c r="C67" s="0" t="str">
        <f aca="false">IF(B67=2030,"中段",IF(2027&lt;B67,"中段",IF(2027=B67,"見頂","谷底")))</f>
        <v>中段</v>
      </c>
      <c r="D67" s="21" t="n">
        <f aca="false">IF(C67="見頂",pe_peak,IF(C67="谷底",pe_trough,pe_mid))</f>
        <v>12.73</v>
      </c>
      <c r="E67" s="0" t="str">
        <f aca="false">IF(B67=2030,"是：營收到觀測期末仍在增加","否")</f>
        <v>是：營收到觀測期末仍在增加</v>
      </c>
      <c r="F67" s="8" t="s">
        <v>520</v>
      </c>
    </row>
    <row r="68" customFormat="false" ht="15" hidden="false" customHeight="false" outlineLevel="0" collapsed="false">
      <c r="A68" s="0" t="s">
        <v>503</v>
      </c>
      <c r="B68" s="0" t="n">
        <f aca="false">INDEX({2027,2028,2029,2030},MATCH(MAX(PL!D114:G114),PL!D114:G114,0))</f>
        <v>2028</v>
      </c>
      <c r="C68" s="0" t="str">
        <f aca="false">IF(B68=2030,"中段",IF(2027&lt;B68,"中段",IF(2027=B68,"見頂","谷底")))</f>
        <v>中段</v>
      </c>
      <c r="D68" s="21" t="n">
        <f aca="false">IF(C68="見頂",pe_peak,IF(C68="谷底",pe_trough,pe_mid))</f>
        <v>12.73</v>
      </c>
      <c r="E68" s="0" t="str">
        <f aca="false">IF(B68=2030,"是：營收到觀測期末仍在增加","否")</f>
        <v>否</v>
      </c>
      <c r="F68" s="5" t="s">
        <v>37</v>
      </c>
    </row>
    <row r="69" customFormat="false" ht="15" hidden="false" customHeight="false" outlineLevel="0" collapsed="false">
      <c r="A69" s="0" t="s">
        <v>504</v>
      </c>
      <c r="B69" s="0" t="n">
        <f aca="false">INDEX({2027,2028,2029,2030},MATCH(MAX(PL!D151:G151),PL!D151:G151,0))</f>
        <v>2028</v>
      </c>
      <c r="C69" s="0" t="str">
        <f aca="false">IF(B69=2030,"中段",IF(2027&lt;B69,"中段",IF(2027=B69,"見頂","谷底")))</f>
        <v>中段</v>
      </c>
      <c r="D69" s="21" t="n">
        <f aca="false">IF(C69="見頂",pe_peak,IF(C69="谷底",pe_trough,pe_mid))</f>
        <v>12.73</v>
      </c>
      <c r="E69" s="0" t="str">
        <f aca="false">IF(B69=2030,"是：營收到觀測期末仍在增加","否")</f>
        <v>否</v>
      </c>
      <c r="F69" s="5" t="s">
        <v>37</v>
      </c>
    </row>
    <row r="71" customFormat="false" ht="17.15" hidden="false" customHeight="false" outlineLevel="0" collapsed="false">
      <c r="A71" s="1" t="s">
        <v>521</v>
      </c>
    </row>
    <row r="72" customFormat="false" ht="17.15" hidden="false" customHeight="false" outlineLevel="0" collapsed="false">
      <c r="A72" s="6" t="s">
        <v>515</v>
      </c>
      <c r="B72" s="14" t="s">
        <v>522</v>
      </c>
      <c r="C72" s="6" t="s">
        <v>523</v>
      </c>
      <c r="D72" s="6" t="s">
        <v>524</v>
      </c>
      <c r="E72" s="6" t="s">
        <v>525</v>
      </c>
      <c r="F72" s="6" t="s">
        <v>526</v>
      </c>
      <c r="G72" s="6" t="s">
        <v>527</v>
      </c>
    </row>
    <row r="73" customFormat="false" ht="15" hidden="false" customHeight="false" outlineLevel="0" collapsed="false">
      <c r="A73" s="9" t="s">
        <v>502</v>
      </c>
      <c r="B73" s="34" t="n">
        <f aca="false">PL!D15</f>
        <v>25.5</v>
      </c>
      <c r="C73" s="34" t="n">
        <f aca="false">B73</f>
        <v>25.5</v>
      </c>
      <c r="D73" s="38" t="n">
        <f aca="false">D67</f>
        <v>12.73</v>
      </c>
      <c r="E73" s="39" t="n">
        <f aca="false">C73*D73</f>
        <v>324.615</v>
      </c>
      <c r="F73" s="40" t="n">
        <f aca="false">E73/px-1</f>
        <v>-0.288811234773464</v>
      </c>
      <c r="G73" s="38" t="n">
        <f aca="false">px/C73</f>
        <v>17.8996078431373</v>
      </c>
    </row>
    <row r="74" customFormat="false" ht="15" hidden="false" customHeight="false" outlineLevel="0" collapsed="false">
      <c r="A74" s="9" t="s">
        <v>503</v>
      </c>
      <c r="B74" s="34" t="n">
        <f aca="false">PL!D29</f>
        <v>25.5</v>
      </c>
      <c r="C74" s="34" t="n">
        <f aca="false">B74</f>
        <v>25.5</v>
      </c>
      <c r="D74" s="38" t="n">
        <f aca="false">D68</f>
        <v>12.73</v>
      </c>
      <c r="E74" s="39" t="n">
        <f aca="false">C74*D74</f>
        <v>324.615</v>
      </c>
      <c r="F74" s="40" t="n">
        <f aca="false">E74/px-1</f>
        <v>-0.288811234773464</v>
      </c>
      <c r="G74" s="38" t="n">
        <f aca="false">px/C74</f>
        <v>17.8996078431373</v>
      </c>
    </row>
    <row r="75" customFormat="false" ht="15" hidden="false" customHeight="false" outlineLevel="0" collapsed="false">
      <c r="A75" s="9" t="s">
        <v>504</v>
      </c>
      <c r="B75" s="34" t="n">
        <f aca="false">PL!D43</f>
        <v>25.5</v>
      </c>
      <c r="C75" s="34" t="n">
        <f aca="false">B75</f>
        <v>25.5</v>
      </c>
      <c r="D75" s="38" t="n">
        <f aca="false">D69</f>
        <v>12.73</v>
      </c>
      <c r="E75" s="39" t="n">
        <f aca="false">C75*D75</f>
        <v>324.615</v>
      </c>
      <c r="F75" s="40" t="n">
        <f aca="false">E75/px-1</f>
        <v>-0.288811234773464</v>
      </c>
      <c r="G75" s="38" t="n">
        <f aca="false">px/C75</f>
        <v>17.8996078431373</v>
      </c>
    </row>
    <row r="77" customFormat="false" ht="17.15" hidden="false" customHeight="false" outlineLevel="0" collapsed="false">
      <c r="A77" s="1" t="s">
        <v>528</v>
      </c>
    </row>
    <row r="78" customFormat="false" ht="17.15" hidden="false" customHeight="false" outlineLevel="0" collapsed="false">
      <c r="A78" s="14" t="s">
        <v>529</v>
      </c>
      <c r="B78" s="6" t="s">
        <v>530</v>
      </c>
      <c r="C78" s="6" t="s">
        <v>531</v>
      </c>
      <c r="D78" s="6" t="s">
        <v>532</v>
      </c>
      <c r="E78" s="6" t="s">
        <v>533</v>
      </c>
    </row>
    <row r="79" customFormat="false" ht="15" hidden="false" customHeight="false" outlineLevel="0" collapsed="false">
      <c r="A79" s="19" t="n">
        <v>1</v>
      </c>
      <c r="B79" s="21" t="n">
        <f aca="false">px*A79/PL!F15</f>
        <v>13.5673643352884</v>
      </c>
      <c r="C79" s="21" t="n">
        <f aca="false">px*A79/PL!F29</f>
        <v>16.1734472420845</v>
      </c>
      <c r="D79" s="21" t="n">
        <f aca="false">px*A79/PL!F43</f>
        <v>19.8048892816209</v>
      </c>
      <c r="E79" s="21" t="n">
        <f aca="false">pe_mid</f>
        <v>12.73</v>
      </c>
    </row>
    <row r="80" customFormat="false" ht="15" hidden="false" customHeight="false" outlineLevel="0" collapsed="false">
      <c r="A80" s="19" t="n">
        <v>1.1</v>
      </c>
      <c r="B80" s="21" t="n">
        <f aca="false">px*A80/PL!F15</f>
        <v>14.9241007688173</v>
      </c>
      <c r="C80" s="21" t="n">
        <f aca="false">px*A80/PL!F29</f>
        <v>17.7907919662929</v>
      </c>
      <c r="D80" s="21" t="n">
        <f aca="false">px*A80/PL!F43</f>
        <v>21.785378209783</v>
      </c>
      <c r="E80" s="21" t="n">
        <f aca="false">pe_mid</f>
        <v>12.73</v>
      </c>
    </row>
    <row r="81" customFormat="false" ht="15" hidden="false" customHeight="false" outlineLevel="0" collapsed="false">
      <c r="A81" s="19" t="n">
        <v>1.21</v>
      </c>
      <c r="B81" s="21" t="n">
        <f aca="false">px*A81/PL!F15</f>
        <v>16.416510845699</v>
      </c>
      <c r="C81" s="21" t="n">
        <f aca="false">px*A81/PL!F29</f>
        <v>19.5698711629222</v>
      </c>
      <c r="D81" s="21" t="n">
        <f aca="false">px*A81/PL!F43</f>
        <v>23.9639160307613</v>
      </c>
      <c r="E81" s="21" t="n">
        <f aca="false">pe_mid</f>
        <v>12.73</v>
      </c>
    </row>
    <row r="82" customFormat="false" ht="15" hidden="false" customHeight="false" outlineLevel="0" collapsed="false">
      <c r="A82" s="19" t="n">
        <v>1.5</v>
      </c>
      <c r="B82" s="21" t="n">
        <f aca="false">px*A82/PL!F15</f>
        <v>20.3510465029327</v>
      </c>
      <c r="C82" s="21" t="n">
        <f aca="false">px*A82/PL!F29</f>
        <v>24.2601708631267</v>
      </c>
      <c r="D82" s="21" t="n">
        <f aca="false">px*A82/PL!F43</f>
        <v>29.7073339224314</v>
      </c>
      <c r="E82" s="21" t="n">
        <f aca="false">pe_mid</f>
        <v>12.73</v>
      </c>
    </row>
    <row r="83" customFormat="false" ht="15" hidden="false" customHeight="false" outlineLevel="0" collapsed="false">
      <c r="A83" s="19" t="n">
        <v>2</v>
      </c>
      <c r="B83" s="21" t="n">
        <f aca="false">px*A83/PL!F15</f>
        <v>27.1347286705769</v>
      </c>
      <c r="C83" s="21" t="n">
        <f aca="false">px*A83/PL!F29</f>
        <v>32.3468944841689</v>
      </c>
      <c r="D83" s="21" t="n">
        <f aca="false">px*A83/PL!F43</f>
        <v>39.6097785632418</v>
      </c>
      <c r="E83" s="21" t="n">
        <f aca="false">pe_mid</f>
        <v>12.73</v>
      </c>
    </row>
    <row r="84" customFormat="false" ht="17.15" hidden="false" customHeight="false" outlineLevel="0" collapsed="false">
      <c r="A84" s="5" t="s">
        <v>534</v>
      </c>
    </row>
    <row r="86" customFormat="false" ht="17.15" hidden="false" customHeight="false" outlineLevel="0" collapsed="false">
      <c r="A86" s="1" t="s">
        <v>535</v>
      </c>
    </row>
    <row r="87" customFormat="false" ht="17.15" hidden="false" customHeight="false" outlineLevel="0" collapsed="false">
      <c r="A87" s="6" t="s">
        <v>536</v>
      </c>
      <c r="B87" s="6" t="s">
        <v>537</v>
      </c>
      <c r="C87" s="14" t="s">
        <v>538</v>
      </c>
      <c r="D87" s="14" t="s">
        <v>539</v>
      </c>
    </row>
    <row r="88" customFormat="false" ht="15" hidden="false" customHeight="false" outlineLevel="0" collapsed="false">
      <c r="A88" s="0" t="s">
        <v>540</v>
      </c>
    </row>
    <row r="89" customFormat="false" ht="15" hidden="false" customHeight="false" outlineLevel="0" collapsed="false">
      <c r="A89" s="0" t="s">
        <v>541</v>
      </c>
    </row>
    <row r="90" customFormat="false" ht="15" hidden="false" customHeight="false" outlineLevel="0" collapsed="false">
      <c r="A90" s="0" t="s">
        <v>542</v>
      </c>
    </row>
    <row r="91" customFormat="false" ht="15" hidden="false" customHeight="false" outlineLevel="0" collapsed="false">
      <c r="A91" s="0" t="s">
        <v>543</v>
      </c>
      <c r="B91" s="18" t="n">
        <f aca="false">AVERAGE(C91:D91)</f>
        <v>3.815</v>
      </c>
      <c r="C91" s="18" t="n">
        <f aca="false">B110</f>
        <v>4.12</v>
      </c>
      <c r="D91" s="18" t="n">
        <f aca="false">IF(C110="","",C110)</f>
        <v>3.51</v>
      </c>
    </row>
    <row r="92" customFormat="false" ht="15" hidden="false" customHeight="false" outlineLevel="0" collapsed="false">
      <c r="A92" s="0" t="s">
        <v>544</v>
      </c>
      <c r="B92" s="18" t="n">
        <f aca="false">AVERAGE(C92:D92)</f>
        <v>9.255</v>
      </c>
      <c r="C92" s="18" t="n">
        <f aca="false">B111</f>
        <v>10.5</v>
      </c>
      <c r="D92" s="18" t="n">
        <f aca="false">IF(C111="","",C111)</f>
        <v>8.01</v>
      </c>
    </row>
    <row r="93" customFormat="false" ht="15" hidden="false" customHeight="false" outlineLevel="0" collapsed="false">
      <c r="A93" s="0" t="s">
        <v>545</v>
      </c>
      <c r="B93" s="18" t="n">
        <f aca="false">AVERAGE(C93:D93)</f>
        <v>6.57</v>
      </c>
      <c r="C93" s="18" t="n">
        <f aca="false">B112</f>
        <v>5.79</v>
      </c>
      <c r="D93" s="18" t="n">
        <f aca="false">IF(C112="","",C112)</f>
        <v>7.35</v>
      </c>
    </row>
    <row r="94" customFormat="false" ht="15" hidden="false" customHeight="false" outlineLevel="0" collapsed="false">
      <c r="A94" s="0" t="s">
        <v>546</v>
      </c>
      <c r="B94" s="18" t="n">
        <f aca="false">AVERAGE(C94:D94)</f>
        <v>13.695</v>
      </c>
      <c r="C94" s="18" t="n">
        <f aca="false">B113</f>
        <v>15.5</v>
      </c>
      <c r="D94" s="18" t="n">
        <f aca="false">IF(C113="","",C113)</f>
        <v>11.89</v>
      </c>
    </row>
    <row r="95" customFormat="false" ht="15" hidden="false" customHeight="false" outlineLevel="0" collapsed="false">
      <c r="A95" s="0" t="s">
        <v>547</v>
      </c>
      <c r="B95" s="18" t="n">
        <f aca="false">AVERAGE(C95:D95)</f>
        <v>19.22</v>
      </c>
      <c r="C95" s="18" t="n">
        <f aca="false">B114</f>
        <v>20.1</v>
      </c>
      <c r="D95" s="18" t="n">
        <f aca="false">IF(C114="","",C114)</f>
        <v>18.34</v>
      </c>
    </row>
    <row r="96" customFormat="false" ht="15" hidden="false" customHeight="false" outlineLevel="0" collapsed="false">
      <c r="A96" s="0" t="s">
        <v>548</v>
      </c>
      <c r="B96" s="18" t="n">
        <f aca="false">AVERAGE(C96:D96)</f>
        <v>17.975</v>
      </c>
      <c r="C96" s="18" t="n">
        <f aca="false">B115</f>
        <v>19.6</v>
      </c>
      <c r="D96" s="18" t="n">
        <f aca="false">IF(C115="","",C115)</f>
        <v>16.35</v>
      </c>
    </row>
    <row r="97" customFormat="false" ht="15" hidden="false" customHeight="false" outlineLevel="0" collapsed="false">
      <c r="A97" s="0" t="s">
        <v>549</v>
      </c>
      <c r="B97" s="18" t="n">
        <f aca="false">AVERAGE(C97:D97)</f>
        <v>16.5</v>
      </c>
      <c r="C97" s="18" t="n">
        <f aca="false">B116</f>
        <v>16.5</v>
      </c>
      <c r="D97" s="18" t="str">
        <f aca="false">IF(C116="","",C116)</f>
        <v/>
      </c>
    </row>
    <row r="98" customFormat="false" ht="15" hidden="false" customHeight="false" outlineLevel="0" collapsed="false">
      <c r="A98" s="5" t="s">
        <v>550</v>
      </c>
      <c r="B98" s="0" t="n">
        <f aca="false">COUNT($B$88:$B$97)</f>
        <v>7</v>
      </c>
    </row>
    <row r="102" customFormat="false" ht="17.15" hidden="false" customHeight="false" outlineLevel="0" collapsed="false">
      <c r="A102" s="1" t="s">
        <v>551</v>
      </c>
    </row>
    <row r="103" customFormat="false" ht="17.15" hidden="false" customHeight="false" outlineLevel="0" collapsed="false">
      <c r="A103" s="5" t="s">
        <v>552</v>
      </c>
    </row>
    <row r="105" customFormat="false" ht="17.15" hidden="false" customHeight="false" outlineLevel="0" collapsed="false">
      <c r="A105" s="1" t="s">
        <v>553</v>
      </c>
    </row>
    <row r="106" customFormat="false" ht="17.15" hidden="false" customHeight="false" outlineLevel="0" collapsed="false">
      <c r="A106" s="6" t="s">
        <v>536</v>
      </c>
      <c r="B106" s="14" t="s">
        <v>554</v>
      </c>
      <c r="C106" s="14" t="s">
        <v>555</v>
      </c>
      <c r="D106" s="6" t="s">
        <v>556</v>
      </c>
    </row>
    <row r="107" customFormat="false" ht="17.15" hidden="false" customHeight="false" outlineLevel="0" collapsed="false">
      <c r="A107" s="0" t="s">
        <v>540</v>
      </c>
      <c r="D107" s="0" t="s">
        <v>557</v>
      </c>
    </row>
    <row r="108" customFormat="false" ht="15" hidden="false" customHeight="false" outlineLevel="0" collapsed="false">
      <c r="A108" s="0" t="s">
        <v>541</v>
      </c>
    </row>
    <row r="109" customFormat="false" ht="15" hidden="false" customHeight="false" outlineLevel="0" collapsed="false">
      <c r="A109" s="0" t="s">
        <v>542</v>
      </c>
    </row>
    <row r="110" customFormat="false" ht="15" hidden="false" customHeight="false" outlineLevel="0" collapsed="false">
      <c r="A110" s="0" t="s">
        <v>543</v>
      </c>
      <c r="B110" s="19" t="n">
        <v>4.12</v>
      </c>
      <c r="C110" s="19" t="n">
        <v>3.51</v>
      </c>
    </row>
    <row r="111" customFormat="false" ht="15" hidden="false" customHeight="false" outlineLevel="0" collapsed="false">
      <c r="A111" s="0" t="s">
        <v>544</v>
      </c>
      <c r="B111" s="19" t="n">
        <v>10.5</v>
      </c>
      <c r="C111" s="19" t="n">
        <v>8.01</v>
      </c>
    </row>
    <row r="112" customFormat="false" ht="15" hidden="false" customHeight="false" outlineLevel="0" collapsed="false">
      <c r="A112" s="0" t="s">
        <v>545</v>
      </c>
      <c r="B112" s="19" t="n">
        <v>5.79</v>
      </c>
      <c r="C112" s="19" t="n">
        <v>7.35</v>
      </c>
    </row>
    <row r="113" customFormat="false" ht="15" hidden="false" customHeight="false" outlineLevel="0" collapsed="false">
      <c r="A113" s="0" t="s">
        <v>546</v>
      </c>
      <c r="B113" s="19" t="n">
        <v>15.5</v>
      </c>
      <c r="C113" s="19" t="n">
        <v>11.89</v>
      </c>
    </row>
    <row r="114" customFormat="false" ht="15" hidden="false" customHeight="false" outlineLevel="0" collapsed="false">
      <c r="A114" s="0" t="s">
        <v>547</v>
      </c>
      <c r="B114" s="19" t="n">
        <v>20.1</v>
      </c>
      <c r="C114" s="19" t="n">
        <v>18.34</v>
      </c>
    </row>
    <row r="115" customFormat="false" ht="15" hidden="false" customHeight="false" outlineLevel="0" collapsed="false">
      <c r="A115" s="0" t="s">
        <v>548</v>
      </c>
      <c r="B115" s="19" t="n">
        <v>19.6</v>
      </c>
      <c r="C115" s="19" t="n">
        <v>16.35</v>
      </c>
    </row>
    <row r="116" customFormat="false" ht="15" hidden="false" customHeight="false" outlineLevel="0" collapsed="false">
      <c r="A116" s="0" t="s">
        <v>549</v>
      </c>
      <c r="B116" s="19" t="n">
        <v>16.5</v>
      </c>
    </row>
    <row r="117" customFormat="false" ht="17.15" hidden="false" customHeight="false" outlineLevel="0" collapsed="false">
      <c r="A117" s="0" t="s">
        <v>558</v>
      </c>
      <c r="B117" s="18" t="n">
        <f aca="false">PERCENTILE(B107:B116,0.25)</f>
        <v>8.145</v>
      </c>
      <c r="C117" s="18" t="n">
        <f aca="false">PERCENTILE(C107:C116,0.25)</f>
        <v>7.515</v>
      </c>
    </row>
    <row r="118" customFormat="false" ht="15" hidden="false" customHeight="false" outlineLevel="0" collapsed="false">
      <c r="A118" s="5" t="s">
        <v>559</v>
      </c>
      <c r="B118" s="18" t="n">
        <f aca="false">MEDIAN(B107:B116)</f>
        <v>15.5</v>
      </c>
      <c r="C118" s="18" t="n">
        <f aca="false">MEDIAN(C107:C116)</f>
        <v>9.95</v>
      </c>
    </row>
    <row r="119" customFormat="false" ht="17.15" hidden="false" customHeight="false" outlineLevel="0" collapsed="false">
      <c r="A119" s="0" t="s">
        <v>560</v>
      </c>
      <c r="B119" s="18" t="n">
        <f aca="false">PERCENTILE(B107:B116,0.75)</f>
        <v>18.05</v>
      </c>
      <c r="C119" s="18" t="n">
        <f aca="false">PERCENTILE(C107:C116,0.75)</f>
        <v>15.235</v>
      </c>
    </row>
    <row r="120" customFormat="false" ht="15" hidden="false" customHeight="false" outlineLevel="0" collapsed="false">
      <c r="A120" s="5" t="s">
        <v>561</v>
      </c>
      <c r="B120" s="18" t="n">
        <f aca="false">MIN(B107:B116)</f>
        <v>4.12</v>
      </c>
      <c r="C120" s="18" t="n">
        <f aca="false">MIN(C107:C116)</f>
        <v>3.51</v>
      </c>
    </row>
    <row r="121" customFormat="false" ht="15" hidden="false" customHeight="false" outlineLevel="0" collapsed="false">
      <c r="A121" s="5" t="s">
        <v>562</v>
      </c>
      <c r="B121" s="18" t="n">
        <f aca="false">MAX(B107:B116)</f>
        <v>20.1</v>
      </c>
      <c r="C121" s="18" t="n">
        <f aca="false">MAX(C107:C116)</f>
        <v>18.34</v>
      </c>
    </row>
    <row r="122" customFormat="false" ht="17.15" hidden="false" customHeight="false" outlineLevel="0" collapsed="false">
      <c r="A122" s="3" t="s">
        <v>563</v>
      </c>
      <c r="B122" s="18" t="n">
        <f aca="false">ROUND(AVERAGE(B117,C117),2)</f>
        <v>7.83</v>
      </c>
    </row>
    <row r="123" customFormat="false" ht="17.15" hidden="false" customHeight="false" outlineLevel="0" collapsed="false">
      <c r="A123" s="3" t="s">
        <v>564</v>
      </c>
      <c r="B123" s="18" t="n">
        <f aca="false">ROUND(AVERAGE(B118,C118),2)</f>
        <v>12.73</v>
      </c>
    </row>
    <row r="124" customFormat="false" ht="17.15" hidden="false" customHeight="false" outlineLevel="0" collapsed="false">
      <c r="A124" s="3" t="s">
        <v>565</v>
      </c>
      <c r="B124" s="18" t="n">
        <f aca="false">ROUND(AVERAGE(B119,C119),2)</f>
        <v>16.64</v>
      </c>
    </row>
    <row r="125" customFormat="false" ht="17.15" hidden="false" customHeight="false" outlineLevel="0" collapsed="false">
      <c r="A125" s="3" t="s">
        <v>566</v>
      </c>
      <c r="B125" s="18" t="n">
        <f aca="false">ROUND(MIN(B120,C120),2)</f>
        <v>3.51</v>
      </c>
    </row>
    <row r="126" customFormat="false" ht="17.15" hidden="false" customHeight="false" outlineLevel="0" collapsed="false">
      <c r="A126" s="3" t="s">
        <v>567</v>
      </c>
      <c r="B126" s="18" t="n">
        <f aca="false">ROUND(MAX(B121,C121),2)</f>
        <v>20.1</v>
      </c>
    </row>
    <row r="128" customFormat="false" ht="17.15" hidden="false" customHeight="false" outlineLevel="0" collapsed="false">
      <c r="A128" s="1" t="s">
        <v>568</v>
      </c>
    </row>
    <row r="129" customFormat="false" ht="17.15" hidden="false" customHeight="false" outlineLevel="0" collapsed="false">
      <c r="A129" s="6" t="s">
        <v>569</v>
      </c>
      <c r="B129" s="6" t="s">
        <v>570</v>
      </c>
      <c r="C129" s="6" t="s">
        <v>571</v>
      </c>
      <c r="D129" s="6" t="s">
        <v>23</v>
      </c>
      <c r="E129" s="6" t="s">
        <v>572</v>
      </c>
      <c r="F129" s="6" t="s">
        <v>525</v>
      </c>
      <c r="G129" s="6" t="s">
        <v>573</v>
      </c>
      <c r="H129" s="6" t="s">
        <v>574</v>
      </c>
    </row>
    <row r="130" customFormat="false" ht="17.15" hidden="false" customHeight="false" outlineLevel="0" collapsed="false">
      <c r="A130" s="5" t="s">
        <v>575</v>
      </c>
      <c r="B130" s="0" t="s">
        <v>576</v>
      </c>
      <c r="C130" s="18" t="n">
        <f aca="false">B122</f>
        <v>7.83</v>
      </c>
      <c r="D130" s="8" t="s">
        <v>577</v>
      </c>
      <c r="E130" s="18" t="n">
        <f aca="false">C74</f>
        <v>25.5</v>
      </c>
      <c r="F130" s="22" t="n">
        <f aca="false">C130*E130</f>
        <v>199.665</v>
      </c>
      <c r="G130" s="17" t="n">
        <f aca="false">F130/px-1</f>
        <v>-0.562560248882657</v>
      </c>
      <c r="H130" s="18" t="n">
        <f aca="false">px/E130</f>
        <v>17.8996078431373</v>
      </c>
    </row>
    <row r="131" customFormat="false" ht="17.15" hidden="false" customHeight="false" outlineLevel="0" collapsed="false">
      <c r="A131" s="5" t="s">
        <v>578</v>
      </c>
      <c r="B131" s="5" t="s">
        <v>579</v>
      </c>
      <c r="C131" s="18" t="n">
        <f aca="false">B123</f>
        <v>12.73</v>
      </c>
      <c r="D131" s="8" t="s">
        <v>577</v>
      </c>
      <c r="E131" s="18" t="n">
        <f aca="false">C74</f>
        <v>25.5</v>
      </c>
      <c r="F131" s="22" t="n">
        <f aca="false">C131*E131</f>
        <v>324.615</v>
      </c>
      <c r="G131" s="17" t="n">
        <f aca="false">F131/px-1</f>
        <v>-0.288811234773464</v>
      </c>
      <c r="H131" s="18" t="n">
        <f aca="false">px/E131</f>
        <v>17.8996078431373</v>
      </c>
    </row>
    <row r="132" customFormat="false" ht="17.15" hidden="false" customHeight="false" outlineLevel="0" collapsed="false">
      <c r="A132" s="5" t="s">
        <v>580</v>
      </c>
      <c r="B132" s="0" t="s">
        <v>581</v>
      </c>
      <c r="C132" s="18" t="n">
        <f aca="false">B124</f>
        <v>16.64</v>
      </c>
      <c r="D132" s="8" t="s">
        <v>577</v>
      </c>
      <c r="E132" s="18" t="n">
        <f aca="false">C74</f>
        <v>25.5</v>
      </c>
      <c r="F132" s="22" t="n">
        <f aca="false">C132*E132</f>
        <v>424.32</v>
      </c>
      <c r="G132" s="17" t="n">
        <f aca="false">F132/px-1</f>
        <v>-0.0703706949434756</v>
      </c>
      <c r="H132" s="18" t="n">
        <f aca="false">px/E132</f>
        <v>17.8996078431373</v>
      </c>
    </row>
    <row r="137" customFormat="false" ht="17.15" hidden="false" customHeight="false" outlineLevel="0" collapsed="false">
      <c r="A137" s="1" t="s">
        <v>582</v>
      </c>
    </row>
    <row r="138" customFormat="false" ht="17.15" hidden="false" customHeight="false" outlineLevel="0" collapsed="false">
      <c r="A138" s="5" t="s">
        <v>583</v>
      </c>
    </row>
    <row r="139" customFormat="false" ht="17.15" hidden="false" customHeight="false" outlineLevel="0" collapsed="false">
      <c r="A139" s="6" t="s">
        <v>584</v>
      </c>
      <c r="B139" s="6" t="s">
        <v>453</v>
      </c>
      <c r="C139" s="6" t="s">
        <v>585</v>
      </c>
      <c r="D139" s="14" t="s">
        <v>586</v>
      </c>
      <c r="E139" s="14" t="s">
        <v>587</v>
      </c>
      <c r="F139" s="14" t="s">
        <v>588</v>
      </c>
      <c r="G139" s="14" t="s">
        <v>589</v>
      </c>
      <c r="H139" s="14" t="s">
        <v>590</v>
      </c>
      <c r="I139" s="14" t="s">
        <v>591</v>
      </c>
      <c r="J139" s="14" t="s">
        <v>592</v>
      </c>
      <c r="K139" s="14" t="s">
        <v>593</v>
      </c>
      <c r="L139" s="14" t="s">
        <v>594</v>
      </c>
      <c r="M139" s="14" t="s">
        <v>595</v>
      </c>
      <c r="N139" s="6" t="s">
        <v>596</v>
      </c>
      <c r="O139" s="14" t="s">
        <v>597</v>
      </c>
      <c r="P139" s="6" t="s">
        <v>598</v>
      </c>
      <c r="Q139" s="6" t="s">
        <v>456</v>
      </c>
    </row>
    <row r="140" customFormat="false" ht="17.15" hidden="false" customHeight="false" outlineLevel="0" collapsed="false">
      <c r="A140" s="5" t="s">
        <v>599</v>
      </c>
      <c r="B140" s="0" t="s">
        <v>600</v>
      </c>
      <c r="C140" s="5" t="s">
        <v>601</v>
      </c>
      <c r="F140" s="19" t="n">
        <v>3.778</v>
      </c>
      <c r="G140" s="19" t="n">
        <v>4.0215</v>
      </c>
      <c r="H140" s="19" t="n">
        <v>5.623</v>
      </c>
      <c r="I140" s="19" t="n">
        <v>6.969</v>
      </c>
      <c r="J140" s="19" t="n">
        <v>7.838</v>
      </c>
      <c r="K140" s="19" t="n">
        <v>13.454</v>
      </c>
      <c r="L140" s="19" t="n">
        <v>12.0545</v>
      </c>
      <c r="M140" s="19" t="n">
        <v>16.151</v>
      </c>
      <c r="N140" s="8" t="n">
        <f aca="false">COUNT(D140:M140)</f>
        <v>8</v>
      </c>
      <c r="O140" s="18" t="n">
        <f aca="false">IF(N140&gt;0,MEDIAN(D140:M140),"")</f>
        <v>7.4035</v>
      </c>
      <c r="P140" s="18" t="n">
        <f aca="false">IF(N140&gt;=7,O140,"")</f>
        <v>7.4035</v>
      </c>
      <c r="Q140" s="8" t="s">
        <v>602</v>
      </c>
    </row>
    <row r="141" customFormat="false" ht="17.15" hidden="false" customHeight="false" outlineLevel="0" collapsed="false">
      <c r="A141" s="0" t="s">
        <v>457</v>
      </c>
      <c r="B141" s="0" t="s">
        <v>458</v>
      </c>
      <c r="C141" s="5" t="s">
        <v>603</v>
      </c>
      <c r="D141" s="19" t="n">
        <v>9.8045</v>
      </c>
      <c r="E141" s="19" t="n">
        <v>11.116</v>
      </c>
      <c r="F141" s="19" t="n">
        <v>8.738</v>
      </c>
      <c r="G141" s="19" t="n">
        <v>6.9755</v>
      </c>
      <c r="H141" s="19" t="n">
        <v>7.5105</v>
      </c>
      <c r="I141" s="19" t="n">
        <v>7.108</v>
      </c>
      <c r="J141" s="19" t="n">
        <v>7.8275</v>
      </c>
      <c r="K141" s="19" t="n">
        <v>8.972</v>
      </c>
      <c r="L141" s="19" t="n">
        <v>9.945</v>
      </c>
      <c r="M141" s="19" t="n">
        <v>11.4715</v>
      </c>
      <c r="N141" s="8" t="n">
        <f aca="false">COUNT(D141:M141)</f>
        <v>10</v>
      </c>
      <c r="O141" s="18" t="n">
        <f aca="false">IF(N141&gt;0,MEDIAN(D141:M141),"")</f>
        <v>8.855</v>
      </c>
      <c r="P141" s="18" t="n">
        <f aca="false">IF(N141&gt;=7,O141,"")</f>
        <v>8.855</v>
      </c>
      <c r="Q141" s="8" t="s">
        <v>604</v>
      </c>
    </row>
    <row r="142" customFormat="false" ht="17.15" hidden="false" customHeight="false" outlineLevel="0" collapsed="false">
      <c r="A142" s="0" t="s">
        <v>461</v>
      </c>
      <c r="B142" s="0" t="s">
        <v>462</v>
      </c>
      <c r="C142" s="5" t="s">
        <v>603</v>
      </c>
      <c r="D142" s="19" t="n">
        <v>12.9915</v>
      </c>
      <c r="E142" s="19" t="n">
        <v>8.744</v>
      </c>
      <c r="F142" s="19" t="n">
        <v>6.977</v>
      </c>
      <c r="G142" s="19" t="n">
        <v>10.273</v>
      </c>
      <c r="H142" s="19" t="n">
        <v>11.344</v>
      </c>
      <c r="I142" s="19" t="n">
        <v>9.2745</v>
      </c>
      <c r="J142" s="19" t="n">
        <v>12.0355</v>
      </c>
      <c r="K142" s="19" t="n">
        <v>20.3055</v>
      </c>
      <c r="L142" s="19" t="n">
        <v>13.3895</v>
      </c>
      <c r="M142" s="19" t="n">
        <v>9.288</v>
      </c>
      <c r="N142" s="8" t="n">
        <f aca="false">COUNT(D142:M142)</f>
        <v>10</v>
      </c>
      <c r="O142" s="18" t="n">
        <f aca="false">IF(N142&gt;0,MEDIAN(D142:M142),"")</f>
        <v>10.8085</v>
      </c>
      <c r="P142" s="18" t="n">
        <f aca="false">IF(N142&gt;=7,O142,"")</f>
        <v>10.8085</v>
      </c>
      <c r="Q142" s="8" t="s">
        <v>605</v>
      </c>
    </row>
    <row r="143" customFormat="false" ht="17.15" hidden="false" customHeight="false" outlineLevel="0" collapsed="false">
      <c r="A143" s="0" t="s">
        <v>463</v>
      </c>
      <c r="B143" s="0" t="s">
        <v>464</v>
      </c>
      <c r="C143" s="5" t="s">
        <v>603</v>
      </c>
      <c r="D143" s="19" t="n">
        <v>10.6655</v>
      </c>
      <c r="E143" s="19" t="n">
        <v>10.6425</v>
      </c>
      <c r="F143" s="19" t="n">
        <v>12.425</v>
      </c>
      <c r="G143" s="19" t="n">
        <v>9.122</v>
      </c>
      <c r="H143" s="19" t="n">
        <v>9.9575</v>
      </c>
      <c r="I143" s="19" t="n">
        <v>6.0195</v>
      </c>
      <c r="J143" s="19" t="n">
        <v>7.249</v>
      </c>
      <c r="K143" s="19" t="n">
        <v>10.7395</v>
      </c>
      <c r="L143" s="19" t="n">
        <v>10.113</v>
      </c>
      <c r="M143" s="19" t="n">
        <v>9.9885</v>
      </c>
      <c r="N143" s="8" t="n">
        <f aca="false">COUNT(D143:M143)</f>
        <v>10</v>
      </c>
      <c r="O143" s="18" t="n">
        <f aca="false">IF(N143&gt;0,MEDIAN(D143:M143),"")</f>
        <v>10.05075</v>
      </c>
      <c r="P143" s="18" t="n">
        <f aca="false">IF(N143&gt;=7,O143,"")</f>
        <v>10.05075</v>
      </c>
      <c r="Q143" s="8" t="s">
        <v>606</v>
      </c>
    </row>
    <row r="144" customFormat="false" ht="17.15" hidden="false" customHeight="false" outlineLevel="0" collapsed="false">
      <c r="A144" s="0" t="s">
        <v>466</v>
      </c>
      <c r="B144" s="0" t="s">
        <v>467</v>
      </c>
      <c r="C144" s="5" t="s">
        <v>603</v>
      </c>
      <c r="D144" s="19" t="n">
        <v>10.9445</v>
      </c>
      <c r="E144" s="19" t="n">
        <v>11.2735</v>
      </c>
      <c r="F144" s="19" t="n">
        <v>9.0215</v>
      </c>
      <c r="G144" s="19" t="n">
        <v>7.859</v>
      </c>
      <c r="H144" s="19" t="n">
        <v>8.381</v>
      </c>
      <c r="I144" s="19" t="n">
        <v>8.184</v>
      </c>
      <c r="J144" s="19" t="n">
        <v>8.5895</v>
      </c>
      <c r="K144" s="19" t="n">
        <v>9.178</v>
      </c>
      <c r="L144" s="19" t="n">
        <v>8.192</v>
      </c>
      <c r="M144" s="19" t="n">
        <v>7.541</v>
      </c>
      <c r="N144" s="8" t="n">
        <f aca="false">COUNT(D144:M144)</f>
        <v>10</v>
      </c>
      <c r="O144" s="18" t="n">
        <f aca="false">IF(N144&gt;0,MEDIAN(D144:M144),"")</f>
        <v>8.48525</v>
      </c>
      <c r="P144" s="18" t="n">
        <f aca="false">IF(N144&gt;=7,O144,"")</f>
        <v>8.48525</v>
      </c>
      <c r="Q144" s="8" t="s">
        <v>607</v>
      </c>
    </row>
    <row r="145" customFormat="false" ht="17.15" hidden="false" customHeight="false" outlineLevel="0" collapsed="false">
      <c r="A145" s="0" t="s">
        <v>468</v>
      </c>
      <c r="B145" s="0" t="s">
        <v>469</v>
      </c>
      <c r="C145" s="5" t="s">
        <v>603</v>
      </c>
      <c r="D145" s="19" t="n">
        <v>13.4845</v>
      </c>
      <c r="E145" s="19" t="n">
        <v>16.8835</v>
      </c>
      <c r="F145" s="19" t="n">
        <v>12.678</v>
      </c>
      <c r="G145" s="19" t="n">
        <v>12.341</v>
      </c>
      <c r="H145" s="19" t="n">
        <v>16.724</v>
      </c>
      <c r="I145" s="19" t="n">
        <v>13.262</v>
      </c>
      <c r="J145" s="19" t="n">
        <v>11.847</v>
      </c>
      <c r="K145" s="19" t="n">
        <v>15.688</v>
      </c>
      <c r="L145" s="19" t="n">
        <v>13.8255</v>
      </c>
      <c r="M145" s="19" t="n">
        <v>15.3225</v>
      </c>
      <c r="N145" s="8" t="n">
        <f aca="false">COUNT(D145:M145)</f>
        <v>10</v>
      </c>
      <c r="O145" s="18" t="n">
        <f aca="false">IF(N145&gt;0,MEDIAN(D145:M145),"")</f>
        <v>13.655</v>
      </c>
      <c r="P145" s="18" t="n">
        <f aca="false">IF(N145&gt;=7,O145,"")</f>
        <v>13.655</v>
      </c>
      <c r="Q145" s="8" t="s">
        <v>608</v>
      </c>
    </row>
    <row r="147" customFormat="false" ht="17.15" hidden="false" customHeight="false" outlineLevel="0" collapsed="false">
      <c r="A147" s="5" t="s">
        <v>609</v>
      </c>
      <c r="B147" s="18" t="n">
        <f aca="false">P140</f>
        <v>7.4035</v>
      </c>
      <c r="E147" s="5" t="s">
        <v>610</v>
      </c>
    </row>
    <row r="148" customFormat="false" ht="15" hidden="false" customHeight="false" outlineLevel="0" collapsed="false">
      <c r="A148" s="5" t="s">
        <v>611</v>
      </c>
      <c r="B148" s="41" t="n">
        <f aca="false">COUNT(P141:P145)</f>
        <v>5</v>
      </c>
    </row>
    <row r="149" customFormat="false" ht="17.15" hidden="false" customHeight="false" outlineLevel="0" collapsed="false">
      <c r="A149" s="5" t="s">
        <v>612</v>
      </c>
      <c r="B149" s="18" t="n">
        <f aca="false">IF(B148&gt;0,MEDIAN(P141:P145),"")</f>
        <v>10.05075</v>
      </c>
    </row>
    <row r="150" customFormat="false" ht="17.15" hidden="false" customHeight="false" outlineLevel="0" collapsed="false">
      <c r="A150" s="5" t="s">
        <v>613</v>
      </c>
      <c r="B150" s="18" t="n">
        <f aca="false">IF(AND(ISNUMBER(B147),B148&gt;=2),B147/B149,"")</f>
        <v>0.736611695644604</v>
      </c>
      <c r="E150" s="5" t="s">
        <v>614</v>
      </c>
    </row>
    <row r="151" customFormat="false" ht="17.15" hidden="false" customHeight="false" outlineLevel="0" collapsed="false">
      <c r="A151" s="5" t="s">
        <v>615</v>
      </c>
      <c r="B151" s="19" t="n">
        <v>0.5</v>
      </c>
      <c r="E151" s="8" t="s">
        <v>616</v>
      </c>
    </row>
    <row r="152" customFormat="false" ht="17.15" hidden="false" customHeight="false" outlineLevel="0" collapsed="false">
      <c r="A152" s="5" t="s">
        <v>617</v>
      </c>
      <c r="B152" s="19" t="n">
        <v>2</v>
      </c>
      <c r="E152" s="8" t="s">
        <v>618</v>
      </c>
    </row>
    <row r="153" customFormat="false" ht="17.15" hidden="false" customHeight="false" outlineLevel="0" collapsed="false">
      <c r="A153" s="3" t="s">
        <v>619</v>
      </c>
      <c r="B153" s="34" t="n">
        <f aca="false">IF(ISNUMBER(B150),MIN(MAX(B150,B151),B152),1)</f>
        <v>0.736611695644604</v>
      </c>
      <c r="E153" s="5" t="s">
        <v>620</v>
      </c>
    </row>
    <row r="154" customFormat="false" ht="17.15" hidden="false" customHeight="false" outlineLevel="0" collapsed="false">
      <c r="A154" s="1" t="s">
        <v>621</v>
      </c>
      <c r="B154" s="34" t="n">
        <f aca="false">Val!$B$35*B153</f>
        <v>244.038959306533</v>
      </c>
      <c r="E154" s="5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623</v>
      </c>
    </row>
    <row r="3" customFormat="false" ht="17.15" hidden="false" customHeight="false" outlineLevel="0" collapsed="false">
      <c r="A3" s="6" t="s">
        <v>20</v>
      </c>
      <c r="B3" s="6" t="s">
        <v>624</v>
      </c>
      <c r="C3" s="6" t="s">
        <v>625</v>
      </c>
      <c r="D3" s="6" t="s">
        <v>626</v>
      </c>
      <c r="E3" s="6" t="s">
        <v>627</v>
      </c>
      <c r="F3" s="6" t="s">
        <v>628</v>
      </c>
      <c r="G3" s="6" t="s">
        <v>629</v>
      </c>
      <c r="H3" s="6" t="s">
        <v>630</v>
      </c>
      <c r="I3" s="6" t="s">
        <v>631</v>
      </c>
      <c r="J3" s="6" t="s">
        <v>344</v>
      </c>
    </row>
    <row r="4" customFormat="false" ht="17.15" hidden="false" customHeight="false" outlineLevel="0" collapsed="false">
      <c r="A4" s="1" t="s">
        <v>632</v>
      </c>
    </row>
    <row r="5" customFormat="false" ht="17.15" hidden="false" customHeight="false" outlineLevel="0" collapsed="false">
      <c r="A5" s="0" t="s">
        <v>633</v>
      </c>
      <c r="B5" s="22" t="n">
        <f aca="false">c_rev27</f>
        <v>193.4</v>
      </c>
      <c r="C5" s="22" t="n">
        <f aca="false">PL!D77</f>
        <v>192</v>
      </c>
      <c r="D5" s="17" t="n">
        <f aca="false">C5/B5-1</f>
        <v>-0.00723888314374344</v>
      </c>
      <c r="E5" s="22" t="n">
        <f aca="false">PL!D114</f>
        <v>192</v>
      </c>
      <c r="F5" s="17" t="n">
        <f aca="false">E5/B5-1</f>
        <v>-0.00723888314374344</v>
      </c>
      <c r="G5" s="22" t="n">
        <f aca="false">PL!D151</f>
        <v>192</v>
      </c>
      <c r="H5" s="17" t="n">
        <f aca="false">G5/B5-1</f>
        <v>-0.00723888314374344</v>
      </c>
      <c r="I5" s="8" t="s">
        <v>634</v>
      </c>
      <c r="J5" s="5" t="s">
        <v>635</v>
      </c>
    </row>
    <row r="6" customFormat="false" ht="17.15" hidden="false" customHeight="false" outlineLevel="0" collapsed="false">
      <c r="A6" s="0" t="s">
        <v>636</v>
      </c>
      <c r="B6" s="28" t="n">
        <f aca="false">c_eps27</f>
        <v>25.9</v>
      </c>
      <c r="C6" s="28" t="n">
        <f aca="false">PL!D91</f>
        <v>25.5</v>
      </c>
      <c r="D6" s="17" t="n">
        <f aca="false">C6/B6-1</f>
        <v>-0.0154440154440154</v>
      </c>
      <c r="E6" s="28" t="n">
        <f aca="false">PL!D128</f>
        <v>25.5</v>
      </c>
      <c r="F6" s="17" t="n">
        <f aca="false">E6/B6-1</f>
        <v>-0.0154440154440154</v>
      </c>
      <c r="G6" s="28" t="n">
        <f aca="false">PL!D165</f>
        <v>25.5</v>
      </c>
      <c r="H6" s="17" t="n">
        <f aca="false">G6/B6-1</f>
        <v>-0.0154440154440154</v>
      </c>
      <c r="I6" s="8" t="s">
        <v>637</v>
      </c>
      <c r="J6" s="5" t="s">
        <v>638</v>
      </c>
    </row>
    <row r="7" customFormat="false" ht="17.15" hidden="false" customHeight="false" outlineLevel="0" collapsed="false">
      <c r="A7" s="0" t="s">
        <v>639</v>
      </c>
      <c r="B7" s="22" t="n">
        <f aca="false">c_rev28</f>
        <v>229.12</v>
      </c>
      <c r="C7" s="22" t="n">
        <f aca="false">PL!E77</f>
        <v>249.558668186415</v>
      </c>
      <c r="D7" s="17" t="n">
        <f aca="false">C7/B7-1</f>
        <v>0.0892050811208744</v>
      </c>
      <c r="E7" s="22" t="n">
        <f aca="false">PL!E114</f>
        <v>249.558668186415</v>
      </c>
      <c r="F7" s="17" t="n">
        <f aca="false">E7/B7-1</f>
        <v>0.0892050811208744</v>
      </c>
      <c r="G7" s="22" t="n">
        <f aca="false">PL!E151</f>
        <v>249.558668186415</v>
      </c>
      <c r="H7" s="17" t="n">
        <f aca="false">G7/B7-1</f>
        <v>0.0892050811208744</v>
      </c>
      <c r="I7" s="8" t="s">
        <v>640</v>
      </c>
    </row>
    <row r="8" customFormat="false" ht="17.15" hidden="false" customHeight="false" outlineLevel="0" collapsed="false">
      <c r="A8" s="0" t="s">
        <v>641</v>
      </c>
      <c r="B8" s="28" t="n">
        <f aca="false">c_eps28</f>
        <v>29.93</v>
      </c>
      <c r="C8" s="28" t="n">
        <f aca="false">PL!E91</f>
        <v>31.2520073527207</v>
      </c>
      <c r="D8" s="17" t="n">
        <f aca="false">C8/B8-1</f>
        <v>0.0441699750324307</v>
      </c>
      <c r="E8" s="28" t="n">
        <f aca="false">PL!E128</f>
        <v>31.2520073527207</v>
      </c>
      <c r="F8" s="17" t="n">
        <f aca="false">E8/B8-1</f>
        <v>0.0441699750324307</v>
      </c>
      <c r="G8" s="28" t="n">
        <f aca="false">PL!E165</f>
        <v>31.2520073527207</v>
      </c>
      <c r="H8" s="17" t="n">
        <f aca="false">G8/B8-1</f>
        <v>0.0441699750324307</v>
      </c>
      <c r="I8" s="8" t="s">
        <v>642</v>
      </c>
    </row>
    <row r="9" customFormat="false" ht="17.15" hidden="false" customHeight="false" outlineLevel="0" collapsed="false">
      <c r="A9" s="0" t="s">
        <v>643</v>
      </c>
      <c r="C9" s="28" t="n">
        <f aca="false">PL!F91</f>
        <v>33.6424959719559</v>
      </c>
      <c r="E9" s="28" t="n">
        <f aca="false">PL!F128</f>
        <v>28.2215654565163</v>
      </c>
      <c r="G9" s="28" t="n">
        <f aca="false">PL!F165</f>
        <v>23.0468342190421</v>
      </c>
      <c r="I9" s="5" t="s">
        <v>644</v>
      </c>
      <c r="J9" s="5" t="s">
        <v>645</v>
      </c>
    </row>
    <row r="10" customFormat="false" ht="17.15" hidden="false" customHeight="false" outlineLevel="0" collapsed="false">
      <c r="A10" s="1" t="s">
        <v>646</v>
      </c>
    </row>
    <row r="11" customFormat="false" ht="17.15" hidden="false" customHeight="false" outlineLevel="0" collapsed="false">
      <c r="A11" s="0" t="s">
        <v>647</v>
      </c>
      <c r="B11" s="22" t="n">
        <f aca="false">g_ai</f>
        <v>74</v>
      </c>
      <c r="C11" s="22" t="n">
        <f aca="false">PL!D70</f>
        <v>74</v>
      </c>
      <c r="D11" s="17" t="n">
        <f aca="false">C11/B11-1</f>
        <v>0</v>
      </c>
      <c r="E11" s="22" t="n">
        <f aca="false">PL!D107</f>
        <v>74</v>
      </c>
      <c r="F11" s="17" t="n">
        <f aca="false">E11/B11-1</f>
        <v>0</v>
      </c>
      <c r="G11" s="22" t="n">
        <f aca="false">PL!D144</f>
        <v>74</v>
      </c>
      <c r="H11" s="17" t="n">
        <f aca="false">G11/B11-1</f>
        <v>0</v>
      </c>
      <c r="I11" s="8" t="s">
        <v>648</v>
      </c>
      <c r="J11" s="5" t="s">
        <v>649</v>
      </c>
    </row>
    <row r="12" customFormat="false" ht="17.15" hidden="false" customHeight="false" outlineLevel="0" collapsed="false">
      <c r="A12" s="0" t="s">
        <v>650</v>
      </c>
      <c r="B12" s="22" t="n">
        <f aca="false">g_ai</f>
        <v>74</v>
      </c>
      <c r="C12" s="22" t="n">
        <f aca="false">PL!E70</f>
        <v>130.854437786415</v>
      </c>
      <c r="D12" s="17" t="n">
        <f aca="false">C12/B12-1</f>
        <v>0.768303213329929</v>
      </c>
      <c r="E12" s="22" t="n">
        <f aca="false">PL!E107</f>
        <v>130.854437786415</v>
      </c>
      <c r="F12" s="17" t="n">
        <f aca="false">E12/B12-1</f>
        <v>0.768303213329929</v>
      </c>
      <c r="G12" s="22" t="n">
        <f aca="false">PL!E144</f>
        <v>130.854437786415</v>
      </c>
      <c r="H12" s="17" t="n">
        <f aca="false">G12/B12-1</f>
        <v>0.768303213329929</v>
      </c>
      <c r="I12" s="8" t="s">
        <v>648</v>
      </c>
      <c r="J12" s="8" t="s">
        <v>651</v>
      </c>
    </row>
    <row r="13" customFormat="false" ht="17.15" hidden="false" customHeight="false" outlineLevel="0" collapsed="false">
      <c r="A13" s="1" t="s">
        <v>652</v>
      </c>
    </row>
    <row r="14" customFormat="false" ht="17.15" hidden="false" customHeight="false" outlineLevel="0" collapsed="false">
      <c r="A14" s="0" t="s">
        <v>653</v>
      </c>
      <c r="C14" s="23" t="n">
        <f aca="false">Units!C13</f>
        <v>0.116605849914058</v>
      </c>
      <c r="E14" s="23" t="n">
        <f aca="false">Units!C13</f>
        <v>0.116605849914058</v>
      </c>
      <c r="G14" s="23" t="n">
        <f aca="false">Units!C13</f>
        <v>0.116605849914058</v>
      </c>
      <c r="I14" s="8" t="s">
        <v>654</v>
      </c>
      <c r="J14" s="8" t="s">
        <v>655</v>
      </c>
    </row>
    <row r="15" customFormat="false" ht="17.15" hidden="false" customHeight="false" outlineLevel="0" collapsed="false">
      <c r="A15" s="0" t="s">
        <v>656</v>
      </c>
      <c r="C15" s="23" t="n">
        <f aca="false">Units!C15</f>
        <v>0.546790983002887</v>
      </c>
      <c r="E15" s="23" t="n">
        <f aca="false">Units!C15</f>
        <v>0.546790983002887</v>
      </c>
      <c r="G15" s="23" t="n">
        <f aca="false">Units!C15</f>
        <v>0.546790983002887</v>
      </c>
      <c r="I15" s="8" t="s">
        <v>657</v>
      </c>
      <c r="J15" s="5" t="s">
        <v>658</v>
      </c>
    </row>
    <row r="16" customFormat="false" ht="17.15" hidden="false" customHeight="false" outlineLevel="0" collapsed="false">
      <c r="A16" s="0" t="s">
        <v>659</v>
      </c>
      <c r="C16" s="23" t="n">
        <f aca="false">PL!E69</f>
        <v>0.11184139958803</v>
      </c>
      <c r="E16" s="23" t="n">
        <f aca="false">PL!E106</f>
        <v>0.11184139958803</v>
      </c>
      <c r="G16" s="23" t="n">
        <f aca="false">PL!E143</f>
        <v>0.11184139958803</v>
      </c>
      <c r="I16" s="8" t="s">
        <v>92</v>
      </c>
      <c r="J16" s="5" t="s">
        <v>660</v>
      </c>
    </row>
    <row r="17" customFormat="false" ht="17.15" hidden="false" customHeight="false" outlineLevel="0" collapsed="false">
      <c r="A17" s="0" t="s">
        <v>661</v>
      </c>
      <c r="C17" s="20" t="n">
        <f aca="false">PL!E94</f>
        <v>11.6834319452156</v>
      </c>
      <c r="E17" s="20" t="n">
        <f aca="false">PL!E131</f>
        <v>11.6834319452156</v>
      </c>
      <c r="G17" s="20" t="n">
        <f aca="false">PL!E168</f>
        <v>11.6834319452156</v>
      </c>
      <c r="I17" s="8" t="s">
        <v>92</v>
      </c>
    </row>
    <row r="18" customFormat="false" ht="17.15" hidden="false" customHeight="false" outlineLevel="0" collapsed="false">
      <c r="A18" s="1" t="s">
        <v>662</v>
      </c>
    </row>
    <row r="19" customFormat="false" ht="17.15" hidden="false" customHeight="false" outlineLevel="0" collapsed="false">
      <c r="A19" s="0" t="s">
        <v>663</v>
      </c>
      <c r="C19" s="23" t="n">
        <f aca="false">PL!D81</f>
        <v>0.110710097972973</v>
      </c>
      <c r="E19" s="23" t="n">
        <f aca="false">PL!D118</f>
        <v>0.110710097972973</v>
      </c>
      <c r="G19" s="23" t="n">
        <f aca="false">PL!D155</f>
        <v>0.110710097972973</v>
      </c>
      <c r="I19" s="8" t="s">
        <v>664</v>
      </c>
      <c r="J19" s="8" t="s">
        <v>665</v>
      </c>
    </row>
    <row r="20" customFormat="false" ht="17.15" hidden="false" customHeight="false" outlineLevel="0" collapsed="false">
      <c r="A20" s="0" t="s">
        <v>666</v>
      </c>
      <c r="C20" s="23" t="n">
        <f aca="false">PL!C81</f>
        <v>0.0538070736944455</v>
      </c>
      <c r="E20" s="23" t="n">
        <f aca="false">PL!C118</f>
        <v>0.0538070736944455</v>
      </c>
      <c r="G20" s="23" t="n">
        <f aca="false">PL!C155</f>
        <v>0.0538070736944455</v>
      </c>
      <c r="I20" s="8" t="s">
        <v>667</v>
      </c>
    </row>
    <row r="21" customFormat="false" ht="17.15" hidden="false" customHeight="false" outlineLevel="0" collapsed="false">
      <c r="A21" s="0" t="s">
        <v>668</v>
      </c>
      <c r="C21" s="18" t="n">
        <f aca="false">Q!D18</f>
        <v>13.6183800623053</v>
      </c>
      <c r="E21" s="18" t="n">
        <f aca="false">Q!D18</f>
        <v>13.6183800623053</v>
      </c>
      <c r="G21" s="18" t="n">
        <f aca="false">Q!D18</f>
        <v>13.6183800623053</v>
      </c>
      <c r="I21" s="8" t="s">
        <v>669</v>
      </c>
      <c r="J21" s="8" t="s">
        <v>670</v>
      </c>
    </row>
    <row r="22" customFormat="false" ht="17.15" hidden="false" customHeight="false" outlineLevel="0" collapsed="false">
      <c r="A22" s="1" t="s">
        <v>671</v>
      </c>
    </row>
    <row r="23" customFormat="false" ht="17.15" hidden="false" customHeight="false" outlineLevel="0" collapsed="false">
      <c r="A23" s="0" t="s">
        <v>672</v>
      </c>
      <c r="J23" s="5" t="s">
        <v>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674</v>
      </c>
    </row>
    <row r="3" customFormat="false" ht="17.15" hidden="false" customHeight="false" outlineLevel="0" collapsed="false">
      <c r="A3" s="6" t="s">
        <v>675</v>
      </c>
      <c r="B3" s="6" t="s">
        <v>676</v>
      </c>
      <c r="C3" s="14" t="s">
        <v>677</v>
      </c>
      <c r="D3" s="14" t="s">
        <v>678</v>
      </c>
      <c r="E3" s="14" t="s">
        <v>679</v>
      </c>
      <c r="F3" s="14" t="s">
        <v>680</v>
      </c>
      <c r="G3" s="14" t="s">
        <v>681</v>
      </c>
      <c r="H3" s="14" t="s">
        <v>682</v>
      </c>
      <c r="I3" s="14" t="s">
        <v>683</v>
      </c>
      <c r="J3" s="14" t="s">
        <v>684</v>
      </c>
    </row>
    <row r="4" customFormat="false" ht="17.15" hidden="false" customHeight="false" outlineLevel="0" collapsed="false">
      <c r="A4" s="5" t="s">
        <v>685</v>
      </c>
      <c r="B4" s="0" t="s">
        <v>686</v>
      </c>
      <c r="C4" s="22" t="n">
        <f aca="false">PL!E77</f>
        <v>249.558668186415</v>
      </c>
      <c r="D4" s="23" t="n">
        <f aca="false">PL!E87</f>
        <v>0.104952003921593</v>
      </c>
      <c r="E4" s="18" t="n">
        <f aca="false">PL!E91</f>
        <v>31.2520073527207</v>
      </c>
      <c r="F4" s="17" t="n">
        <f aca="false">E4/E$4-1</f>
        <v>0</v>
      </c>
      <c r="G4" s="22" t="n">
        <f aca="false">PL!F77</f>
        <v>260.798026210354</v>
      </c>
      <c r="H4" s="23" t="n">
        <f aca="false">PL!F87</f>
        <v>0.104867549539628</v>
      </c>
      <c r="I4" s="18" t="n">
        <f aca="false">PL!F91</f>
        <v>33.6424959719559</v>
      </c>
      <c r="J4" s="17" t="n">
        <f aca="false">I4/I$4-1</f>
        <v>0</v>
      </c>
    </row>
    <row r="5" customFormat="false" ht="17.15" hidden="false" customHeight="false" outlineLevel="0" collapsed="false">
      <c r="A5" s="0" t="s">
        <v>687</v>
      </c>
      <c r="B5" s="0" t="s">
        <v>688</v>
      </c>
      <c r="C5" s="22" t="n">
        <f aca="false">E59</f>
        <v>223.387780629132</v>
      </c>
      <c r="D5" s="23" t="n">
        <f aca="false">E69</f>
        <v>0.105448962364428</v>
      </c>
      <c r="E5" s="18" t="n">
        <f aca="false">E73</f>
        <v>28.1071134882523</v>
      </c>
      <c r="F5" s="17" t="n">
        <f aca="false">E5/E$4-1</f>
        <v>-0.100630139657079</v>
      </c>
      <c r="G5" s="22" t="n">
        <f aca="false">F59</f>
        <v>233.056008600083</v>
      </c>
      <c r="H5" s="23" t="n">
        <f aca="false">F69</f>
        <v>0.105362435276618</v>
      </c>
      <c r="I5" s="18" t="n">
        <f aca="false">F73</f>
        <v>30.2056992098203</v>
      </c>
      <c r="J5" s="17" t="n">
        <f aca="false">I5/I$4-1</f>
        <v>-0.102156414464626</v>
      </c>
    </row>
    <row r="6" customFormat="false" ht="17.15" hidden="false" customHeight="false" outlineLevel="0" collapsed="false">
      <c r="A6" s="0" t="s">
        <v>689</v>
      </c>
      <c r="B6" s="0" t="s">
        <v>690</v>
      </c>
      <c r="C6" s="22" t="n">
        <f aca="false">E96</f>
        <v>275.729555743698</v>
      </c>
      <c r="D6" s="23" t="n">
        <f aca="false">E106</f>
        <v>0.104549383160426</v>
      </c>
      <c r="E6" s="18" t="n">
        <f aca="false">E110</f>
        <v>34.396901217189</v>
      </c>
      <c r="F6" s="17" t="n">
        <f aca="false">E6/E$4-1</f>
        <v>0.100630139657079</v>
      </c>
      <c r="G6" s="22" t="n">
        <f aca="false">F96</f>
        <v>288.540043820624</v>
      </c>
      <c r="H6" s="23" t="n">
        <f aca="false">F106</f>
        <v>0.104467826530479</v>
      </c>
      <c r="I6" s="18" t="n">
        <f aca="false">F110</f>
        <v>37.0792927340916</v>
      </c>
      <c r="J6" s="17" t="n">
        <f aca="false">I6/I$4-1</f>
        <v>0.102156414464625</v>
      </c>
    </row>
    <row r="7" customFormat="false" ht="17.15" hidden="false" customHeight="false" outlineLevel="0" collapsed="false">
      <c r="A7" s="5" t="s">
        <v>691</v>
      </c>
      <c r="B7" s="5" t="s">
        <v>692</v>
      </c>
      <c r="C7" s="22" t="n">
        <f aca="false">E133</f>
        <v>227.749595222012</v>
      </c>
      <c r="D7" s="23" t="n">
        <f aca="false">E143</f>
        <v>0.105358204583559</v>
      </c>
      <c r="E7" s="18" t="n">
        <f aca="false">E147</f>
        <v>28.6312624656637</v>
      </c>
      <c r="F7" s="17" t="n">
        <f aca="false">E7/E$4-1</f>
        <v>-0.0838584497142324</v>
      </c>
      <c r="G7" s="22" t="n">
        <f aca="false">F133</f>
        <v>228.160358433564</v>
      </c>
      <c r="H7" s="23" t="n">
        <f aca="false">F143</f>
        <v>0.105462260750472</v>
      </c>
      <c r="I7" s="18" t="n">
        <f aca="false">F147</f>
        <v>29.5992056635611</v>
      </c>
      <c r="J7" s="17" t="n">
        <f aca="false">I7/I$4-1</f>
        <v>-0.120184017017207</v>
      </c>
    </row>
    <row r="8" customFormat="false" ht="17.15" hidden="false" customHeight="false" outlineLevel="0" collapsed="false">
      <c r="A8" s="5" t="s">
        <v>693</v>
      </c>
      <c r="B8" s="5" t="s">
        <v>694</v>
      </c>
      <c r="C8" s="22" t="n">
        <f aca="false">E170</f>
        <v>271.367741150817</v>
      </c>
      <c r="D8" s="23" t="n">
        <f aca="false">E180</f>
        <v>0.104611093701575</v>
      </c>
      <c r="E8" s="18" t="n">
        <f aca="false">E184</f>
        <v>33.8727522397776</v>
      </c>
      <c r="F8" s="17" t="n">
        <f aca="false">E8/E$4-1</f>
        <v>0.0838584497142325</v>
      </c>
      <c r="G8" s="22" t="n">
        <f aca="false">F170</f>
        <v>285.276277042945</v>
      </c>
      <c r="H8" s="23" t="n">
        <f aca="false">F180</f>
        <v>0.104510817660876</v>
      </c>
      <c r="I8" s="18" t="n">
        <f aca="false">F184</f>
        <v>36.6749637032521</v>
      </c>
      <c r="J8" s="17" t="n">
        <f aca="false">I8/I$4-1</f>
        <v>0.0901380127629046</v>
      </c>
    </row>
    <row r="9" customFormat="false" ht="17.15" hidden="false" customHeight="false" outlineLevel="0" collapsed="false">
      <c r="A9" s="5" t="s">
        <v>695</v>
      </c>
      <c r="B9" s="0" t="s">
        <v>696</v>
      </c>
      <c r="C9" s="22" t="n">
        <f aca="false">E207</f>
        <v>246.657470215295</v>
      </c>
      <c r="D9" s="23" t="n">
        <f aca="false">E217</f>
        <v>0.1050018974396</v>
      </c>
      <c r="E9" s="18" t="n">
        <f aca="false">E221</f>
        <v>30.903377231598</v>
      </c>
      <c r="F9" s="17" t="n">
        <f aca="false">E9/E$4-1</f>
        <v>-0.0111554473025646</v>
      </c>
      <c r="G9" s="22" t="n">
        <f aca="false">F207</f>
        <v>257.159094025784</v>
      </c>
      <c r="H9" s="23" t="n">
        <f aca="false">F217</f>
        <v>0.10492637959722</v>
      </c>
      <c r="I9" s="18" t="n">
        <f aca="false">F221</f>
        <v>33.1916898869317</v>
      </c>
      <c r="J9" s="17" t="n">
        <f aca="false">I9/I$4-1</f>
        <v>-0.0133999000965928</v>
      </c>
    </row>
    <row r="10" customFormat="false" ht="15" hidden="false" customHeight="false" outlineLevel="0" collapsed="false">
      <c r="A10" s="5" t="s">
        <v>697</v>
      </c>
      <c r="B10" s="5" t="s">
        <v>698</v>
      </c>
      <c r="C10" s="22" t="n">
        <f aca="false">E244</f>
        <v>244.577137309845</v>
      </c>
      <c r="D10" s="23" t="n">
        <f aca="false">E254</f>
        <v>0.10503840278001</v>
      </c>
      <c r="E10" s="18" t="n">
        <f aca="false">E258</f>
        <v>30.6533885303711</v>
      </c>
      <c r="F10" s="17" t="n">
        <f aca="false">E10/E$4-1</f>
        <v>-0.0191545719157611</v>
      </c>
      <c r="G10" s="22" t="n">
        <f aca="false">F244</f>
        <v>254.549761453647</v>
      </c>
      <c r="H10" s="23" t="n">
        <f aca="false">F254</f>
        <v>0.104969599755481</v>
      </c>
      <c r="I10" s="18" t="n">
        <f aca="false">F258</f>
        <v>32.8684348929641</v>
      </c>
      <c r="J10" s="17" t="n">
        <f aca="false">I10/I$4-1</f>
        <v>-0.0230084319438442</v>
      </c>
    </row>
    <row r="11" customFormat="false" ht="17.15" hidden="false" customHeight="false" outlineLevel="0" collapsed="false">
      <c r="A11" s="0" t="s">
        <v>699</v>
      </c>
      <c r="B11" s="0" t="s">
        <v>700</v>
      </c>
      <c r="C11" s="22" t="n">
        <f aca="false">E281</f>
        <v>249.558668186415</v>
      </c>
      <c r="D11" s="23" t="n">
        <f aca="false">E291</f>
        <v>0.0944651361451815</v>
      </c>
      <c r="E11" s="18" t="n">
        <f aca="false">E295</f>
        <v>28.1292878560995</v>
      </c>
      <c r="F11" s="17" t="n">
        <f aca="false">E11/E$4-1</f>
        <v>-0.0999206054631032</v>
      </c>
      <c r="G11" s="22" t="n">
        <f aca="false">F281</f>
        <v>260.798026210354</v>
      </c>
      <c r="H11" s="23" t="n">
        <f aca="false">F291</f>
        <v>0.0942301923428009</v>
      </c>
      <c r="I11" s="18" t="n">
        <f aca="false">F295</f>
        <v>30.229931759122</v>
      </c>
      <c r="J11" s="17" t="n">
        <f aca="false">I11/I$4-1</f>
        <v>-0.101436118642284</v>
      </c>
    </row>
    <row r="12" customFormat="false" ht="17.15" hidden="false" customHeight="false" outlineLevel="0" collapsed="false">
      <c r="A12" s="0" t="s">
        <v>701</v>
      </c>
      <c r="B12" s="5" t="s">
        <v>702</v>
      </c>
      <c r="C12" s="22" t="n">
        <f aca="false">E318</f>
        <v>249.558668186415</v>
      </c>
      <c r="D12" s="23" t="n">
        <f aca="false">E328</f>
        <v>0.115438871698005</v>
      </c>
      <c r="E12" s="18" t="n">
        <f aca="false">E332</f>
        <v>34.3747268493419</v>
      </c>
      <c r="F12" s="17" t="n">
        <f aca="false">E12/E$4-1</f>
        <v>0.0999206054631032</v>
      </c>
      <c r="G12" s="22" t="n">
        <f aca="false">F318</f>
        <v>260.798026210354</v>
      </c>
      <c r="H12" s="23" t="n">
        <f aca="false">F328</f>
        <v>0.115504906736456</v>
      </c>
      <c r="I12" s="18" t="n">
        <f aca="false">F332</f>
        <v>37.0550601847898</v>
      </c>
      <c r="J12" s="17" t="n">
        <f aca="false">I12/I$4-1</f>
        <v>0.101436118642284</v>
      </c>
    </row>
    <row r="13" customFormat="false" ht="17.15" hidden="false" customHeight="false" outlineLevel="0" collapsed="false">
      <c r="A13" s="5" t="s">
        <v>703</v>
      </c>
      <c r="B13" s="0" t="s">
        <v>704</v>
      </c>
      <c r="C13" s="22" t="n">
        <f aca="false">E355</f>
        <v>249.558668186415</v>
      </c>
      <c r="D13" s="23" t="n">
        <f aca="false">E365</f>
        <v>0.0928212395525763</v>
      </c>
      <c r="E13" s="18" t="n">
        <f aca="false">E369</f>
        <v>27.6397777326187</v>
      </c>
      <c r="F13" s="17" t="n">
        <f aca="false">E13/E$4-1</f>
        <v>-0.11558392327677</v>
      </c>
      <c r="G13" s="22" t="n">
        <f aca="false">F355</f>
        <v>260.798026210354</v>
      </c>
      <c r="H13" s="23" t="n">
        <f aca="false">F365</f>
        <v>0.0925627053845386</v>
      </c>
      <c r="I13" s="18" t="n">
        <f aca="false">F369</f>
        <v>29.6949862633714</v>
      </c>
      <c r="J13" s="17" t="n">
        <f aca="false">I13/I$4-1</f>
        <v>-0.117337004717936</v>
      </c>
    </row>
    <row r="14" customFormat="false" ht="17.15" hidden="false" customHeight="false" outlineLevel="0" collapsed="false">
      <c r="A14" s="5" t="s">
        <v>705</v>
      </c>
      <c r="B14" s="0" t="s">
        <v>706</v>
      </c>
      <c r="C14" s="22" t="n">
        <f aca="false">E392</f>
        <v>249.558668186415</v>
      </c>
      <c r="D14" s="23" t="n">
        <f aca="false">E402</f>
        <v>0.100466831588633</v>
      </c>
      <c r="E14" s="18" t="n">
        <f aca="false">E406</f>
        <v>29.9164383927168</v>
      </c>
      <c r="F14" s="17" t="n">
        <f aca="false">E14/E$4-1</f>
        <v>-0.0427354615954789</v>
      </c>
      <c r="G14" s="22" t="n">
        <f aca="false">F392</f>
        <v>260.798026210354</v>
      </c>
      <c r="H14" s="23" t="n">
        <f aca="false">F402</f>
        <v>0.100458775912513</v>
      </c>
      <c r="I14" s="18" t="n">
        <f aca="false">F406</f>
        <v>32.2281199362553</v>
      </c>
      <c r="J14" s="17" t="n">
        <f aca="false">I14/I$4-1</f>
        <v>-0.0420413526059322</v>
      </c>
    </row>
    <row r="15" customFormat="false" ht="17.15" hidden="false" customHeight="false" outlineLevel="0" collapsed="false">
      <c r="A15" s="5" t="s">
        <v>707</v>
      </c>
      <c r="B15" s="0" t="s">
        <v>708</v>
      </c>
      <c r="C15" s="22" t="n">
        <f aca="false">E429</f>
        <v>249.558668186415</v>
      </c>
      <c r="D15" s="23" t="n">
        <f aca="false">E439</f>
        <v>0.109437176254553</v>
      </c>
      <c r="E15" s="18" t="n">
        <f aca="false">E443</f>
        <v>32.5875763127245</v>
      </c>
      <c r="F15" s="17" t="n">
        <f aca="false">E15/E$4-1</f>
        <v>0.0427354615954787</v>
      </c>
      <c r="G15" s="22" t="n">
        <f aca="false">F429</f>
        <v>260.798026210354</v>
      </c>
      <c r="H15" s="23" t="n">
        <f aca="false">F439</f>
        <v>0.109276323166744</v>
      </c>
      <c r="I15" s="18" t="n">
        <f aca="false">F443</f>
        <v>35.0568720076566</v>
      </c>
      <c r="J15" s="17" t="n">
        <f aca="false">I15/I$4-1</f>
        <v>0.0420413526059318</v>
      </c>
    </row>
    <row r="16" customFormat="false" ht="17.15" hidden="false" customHeight="false" outlineLevel="0" collapsed="false">
      <c r="A16" s="0" t="s">
        <v>709</v>
      </c>
      <c r="B16" s="0" t="s">
        <v>710</v>
      </c>
      <c r="C16" s="22" t="n">
        <f aca="false">E466</f>
        <v>249.558668186415</v>
      </c>
      <c r="D16" s="23" t="n">
        <f aca="false">E476</f>
        <v>0.102468397595657</v>
      </c>
      <c r="E16" s="18" t="n">
        <f aca="false">E480</f>
        <v>30.512453268385</v>
      </c>
      <c r="F16" s="17" t="n">
        <f aca="false">E16/E$4-1</f>
        <v>-0.0236642106213778</v>
      </c>
      <c r="G16" s="22" t="n">
        <f aca="false">F466</f>
        <v>260.798026210354</v>
      </c>
      <c r="H16" s="23" t="n">
        <f aca="false">F476</f>
        <v>0.102419679588745</v>
      </c>
      <c r="I16" s="18" t="n">
        <f aca="false">F480</f>
        <v>32.8571962741563</v>
      </c>
      <c r="J16" s="17" t="n">
        <f aca="false">I16/I$4-1</f>
        <v>-0.0233424921401285</v>
      </c>
    </row>
    <row r="17" customFormat="false" ht="17.15" hidden="false" customHeight="false" outlineLevel="0" collapsed="false">
      <c r="A17" s="0" t="s">
        <v>711</v>
      </c>
      <c r="B17" s="0" t="s">
        <v>712</v>
      </c>
      <c r="C17" s="22" t="n">
        <f aca="false">E503</f>
        <v>249.558668186415</v>
      </c>
      <c r="D17" s="23" t="n">
        <f aca="false">E513</f>
        <v>0.107435610247529</v>
      </c>
      <c r="E17" s="18" t="n">
        <f aca="false">E517</f>
        <v>31.9915614370563</v>
      </c>
      <c r="F17" s="17" t="n">
        <f aca="false">E17/E$4-1</f>
        <v>0.0236642106213776</v>
      </c>
      <c r="G17" s="22" t="n">
        <f aca="false">F503</f>
        <v>260.798026210354</v>
      </c>
      <c r="H17" s="23" t="n">
        <f aca="false">F513</f>
        <v>0.107315419490512</v>
      </c>
      <c r="I17" s="18" t="n">
        <f aca="false">F517</f>
        <v>34.4277956697556</v>
      </c>
      <c r="J17" s="17" t="n">
        <f aca="false">I17/I$4-1</f>
        <v>0.0233424921401286</v>
      </c>
    </row>
    <row r="18" customFormat="false" ht="17.15" hidden="false" customHeight="false" outlineLevel="0" collapsed="false">
      <c r="A18" s="5" t="s">
        <v>713</v>
      </c>
      <c r="B18" s="0" t="s">
        <v>714</v>
      </c>
      <c r="C18" s="22" t="n">
        <f aca="false">E540</f>
        <v>245.799005186415</v>
      </c>
      <c r="D18" s="23" t="n">
        <f aca="false">E550</f>
        <v>0.104186485774205</v>
      </c>
      <c r="E18" s="18" t="n">
        <f aca="false">E554</f>
        <v>30.5566706724515</v>
      </c>
      <c r="F18" s="17" t="n">
        <f aca="false">E18/E$4-1</f>
        <v>-0.0222493445755783</v>
      </c>
      <c r="G18" s="22" t="n">
        <f aca="false">F540</f>
        <v>254.726170465354</v>
      </c>
      <c r="H18" s="23" t="n">
        <f aca="false">F550</f>
        <v>0.103672552548221</v>
      </c>
      <c r="I18" s="18" t="n">
        <f aca="false">F554</f>
        <v>32.4847962414047</v>
      </c>
      <c r="J18" s="17" t="n">
        <f aca="false">I18/I$4-1</f>
        <v>-0.0344118263851866</v>
      </c>
    </row>
    <row r="19" customFormat="false" ht="17.15" hidden="false" customHeight="false" outlineLevel="0" collapsed="false">
      <c r="A19" s="5" t="s">
        <v>715</v>
      </c>
      <c r="B19" s="0" t="s">
        <v>716</v>
      </c>
      <c r="C19" s="22" t="n">
        <f aca="false">E577</f>
        <v>253.318331186415</v>
      </c>
      <c r="D19" s="23" t="n">
        <f aca="false">E587</f>
        <v>0.105694798958174</v>
      </c>
      <c r="E19" s="18" t="n">
        <f aca="false">E591</f>
        <v>31.9473440329898</v>
      </c>
      <c r="F19" s="17" t="n">
        <f aca="false">E19/E$4-1</f>
        <v>0.022249344575578</v>
      </c>
      <c r="G19" s="22" t="n">
        <f aca="false">F577</f>
        <v>266.211940930354</v>
      </c>
      <c r="H19" s="23" t="n">
        <f aca="false">F587</f>
        <v>0.105887086118448</v>
      </c>
      <c r="I19" s="18" t="n">
        <f aca="false">F591</f>
        <v>34.6747483632834</v>
      </c>
      <c r="J19" s="17" t="n">
        <f aca="false">I19/I$4-1</f>
        <v>0.0306829907087727</v>
      </c>
    </row>
    <row r="20" customFormat="false" ht="17.15" hidden="false" customHeight="false" outlineLevel="0" collapsed="false">
      <c r="A20" s="0" t="s">
        <v>717</v>
      </c>
      <c r="B20" s="0" t="s">
        <v>718</v>
      </c>
      <c r="C20" s="22" t="n">
        <f aca="false">E614</f>
        <v>244.142892086415</v>
      </c>
      <c r="D20" s="23" t="n">
        <f aca="false">E624</f>
        <v>0.105727337685636</v>
      </c>
      <c r="E20" s="18" t="n">
        <f aca="false">E628</f>
        <v>30.7996587380299</v>
      </c>
      <c r="F20" s="17" t="n">
        <f aca="false">E20/E$4-1</f>
        <v>-0.0144742259140467</v>
      </c>
      <c r="G20" s="22" t="n">
        <f aca="false">F614</f>
        <v>251.260242745354</v>
      </c>
      <c r="H20" s="23" t="n">
        <f aca="false">F624</f>
        <v>0.10619111403925</v>
      </c>
      <c r="I20" s="18" t="n">
        <f aca="false">F628</f>
        <v>32.8212215684224</v>
      </c>
      <c r="J20" s="17" t="n">
        <f aca="false">I20/I$4-1</f>
        <v>-0.0244118154675019</v>
      </c>
    </row>
    <row r="21" customFormat="false" ht="17.15" hidden="false" customHeight="false" outlineLevel="0" collapsed="false">
      <c r="A21" s="0" t="s">
        <v>719</v>
      </c>
      <c r="B21" s="0" t="s">
        <v>720</v>
      </c>
      <c r="C21" s="22" t="n">
        <f aca="false">E651</f>
        <v>252.567432686415</v>
      </c>
      <c r="D21" s="23" t="n">
        <f aca="false">E661</f>
        <v>0.104535630569397</v>
      </c>
      <c r="E21" s="18" t="n">
        <f aca="false">E665</f>
        <v>31.5033121386599</v>
      </c>
      <c r="F21" s="17" t="n">
        <f aca="false">E21/E$4-1</f>
        <v>0.00804123661891443</v>
      </c>
      <c r="G21" s="22" t="n">
        <f aca="false">F651</f>
        <v>265.846733041354</v>
      </c>
      <c r="H21" s="23" t="n">
        <f aca="false">F661</f>
        <v>0.104205378394897</v>
      </c>
      <c r="I21" s="18" t="n">
        <f aca="false">F665</f>
        <v>34.077227343921</v>
      </c>
      <c r="J21" s="17" t="n">
        <f aca="false">I21/I$4-1</f>
        <v>0.0129220903326397</v>
      </c>
    </row>
    <row r="22" customFormat="false" ht="17.15" hidden="false" customHeight="false" outlineLevel="0" collapsed="false">
      <c r="A22" s="5" t="s">
        <v>721</v>
      </c>
      <c r="B22" s="0" t="s">
        <v>722</v>
      </c>
      <c r="C22" s="22" t="n">
        <f aca="false">E688</f>
        <v>249.558668186415</v>
      </c>
      <c r="D22" s="23" t="n">
        <f aca="false">E698</f>
        <v>0.104952003921593</v>
      </c>
      <c r="E22" s="18" t="n">
        <f aca="false">E702</f>
        <v>29.1685401958726</v>
      </c>
      <c r="F22" s="17" t="n">
        <f aca="false">E22/E$4-1</f>
        <v>-0.0666666666666668</v>
      </c>
      <c r="G22" s="22" t="n">
        <f aca="false">F688</f>
        <v>260.798026210354</v>
      </c>
      <c r="H22" s="23" t="n">
        <f aca="false">F698</f>
        <v>0.104867549539628</v>
      </c>
      <c r="I22" s="18" t="n">
        <f aca="false">F702</f>
        <v>31.3996629071589</v>
      </c>
      <c r="J22" s="17" t="n">
        <f aca="false">I22/I$4-1</f>
        <v>-0.0666666666666669</v>
      </c>
    </row>
    <row r="23" customFormat="false" ht="17.15" hidden="false" customHeight="false" outlineLevel="0" collapsed="false">
      <c r="A23" s="5" t="s">
        <v>723</v>
      </c>
      <c r="B23" s="5" t="s">
        <v>724</v>
      </c>
      <c r="C23" s="22" t="n">
        <f aca="false">E725</f>
        <v>249.558668186415</v>
      </c>
      <c r="D23" s="23" t="n">
        <f aca="false">E735</f>
        <v>0.104952003921593</v>
      </c>
      <c r="E23" s="18" t="n">
        <f aca="false">E739</f>
        <v>30.6206536688273</v>
      </c>
      <c r="F23" s="17" t="n">
        <f aca="false">E23/E$4-1</f>
        <v>-0.0202020202020202</v>
      </c>
      <c r="G23" s="22" t="n">
        <f aca="false">F725</f>
        <v>260.798026210354</v>
      </c>
      <c r="H23" s="23" t="n">
        <f aca="false">F735</f>
        <v>0.104867549539628</v>
      </c>
      <c r="I23" s="18" t="n">
        <f aca="false">F739</f>
        <v>32.2969334353774</v>
      </c>
      <c r="J23" s="17" t="n">
        <f aca="false">I23/I$4-1</f>
        <v>-0.0399959187837977</v>
      </c>
    </row>
    <row r="24" customFormat="false" ht="17.15" hidden="false" customHeight="false" outlineLevel="0" collapsed="false">
      <c r="A24" s="5" t="s">
        <v>725</v>
      </c>
      <c r="B24" s="0" t="s">
        <v>726</v>
      </c>
      <c r="C24" s="22" t="n">
        <f aca="false">PL!E114</f>
        <v>249.558668186415</v>
      </c>
      <c r="D24" s="23" t="n">
        <f aca="false">PL!E124</f>
        <v>0.104952003921593</v>
      </c>
      <c r="E24" s="18" t="n">
        <f aca="false">PL!E128</f>
        <v>31.2520073527207</v>
      </c>
      <c r="F24" s="17" t="n">
        <f aca="false">E24/E$4-1</f>
        <v>0</v>
      </c>
      <c r="G24" s="22" t="n">
        <f aca="false">PL!F114</f>
        <v>227.507605078029</v>
      </c>
      <c r="H24" s="23" t="n">
        <f aca="false">PL!F124</f>
        <v>0.100842218802289</v>
      </c>
      <c r="I24" s="18" t="n">
        <f aca="false">PL!F128</f>
        <v>28.2215654565163</v>
      </c>
      <c r="J24" s="17" t="n">
        <f aca="false">I24/I$4-1</f>
        <v>-0.161133422441619</v>
      </c>
    </row>
    <row r="25" customFormat="false" ht="17.15" hidden="false" customHeight="false" outlineLevel="0" collapsed="false">
      <c r="A25" s="5" t="s">
        <v>727</v>
      </c>
      <c r="B25" s="0" t="s">
        <v>728</v>
      </c>
      <c r="C25" s="22" t="n">
        <f aca="false">PL!E151</f>
        <v>249.558668186415</v>
      </c>
      <c r="D25" s="23" t="n">
        <f aca="false">PL!E161</f>
        <v>0.104952003921593</v>
      </c>
      <c r="E25" s="18" t="n">
        <f aca="false">PL!E165</f>
        <v>31.2520073527207</v>
      </c>
      <c r="F25" s="17" t="n">
        <f aca="false">E25/E$4-1</f>
        <v>0</v>
      </c>
      <c r="G25" s="22" t="n">
        <f aca="false">PL!F151</f>
        <v>192.83008306519</v>
      </c>
      <c r="H25" s="23" t="n">
        <f aca="false">PL!F161</f>
        <v>0.0971613858159877</v>
      </c>
      <c r="I25" s="18" t="n">
        <f aca="false">PL!F165</f>
        <v>23.0468342190421</v>
      </c>
      <c r="J25" s="17" t="n">
        <f aca="false">I25/I$4-1</f>
        <v>-0.314948741072789</v>
      </c>
    </row>
    <row r="27" customFormat="false" ht="17.15" hidden="false" customHeight="false" outlineLevel="0" collapsed="false">
      <c r="A27" s="5" t="s">
        <v>729</v>
      </c>
    </row>
    <row r="29" customFormat="false" ht="17.15" hidden="false" customHeight="false" outlineLevel="0" collapsed="false">
      <c r="A29" s="3" t="s">
        <v>730</v>
      </c>
    </row>
    <row r="30" customFormat="false" ht="17.15" hidden="false" customHeight="false" outlineLevel="0" collapsed="false">
      <c r="A30" s="6" t="s">
        <v>675</v>
      </c>
      <c r="B30" s="6" t="s">
        <v>676</v>
      </c>
      <c r="C30" s="14" t="s">
        <v>731</v>
      </c>
      <c r="D30" s="14" t="s">
        <v>621</v>
      </c>
      <c r="E30" s="6" t="s">
        <v>732</v>
      </c>
      <c r="F30" s="6" t="s">
        <v>733</v>
      </c>
    </row>
    <row r="31" customFormat="false" ht="17.15" hidden="false" customHeight="false" outlineLevel="0" collapsed="false">
      <c r="A31" s="5" t="s">
        <v>23</v>
      </c>
      <c r="B31" s="0" t="s">
        <v>734</v>
      </c>
      <c r="C31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1" s="42" t="n">
        <f aca="false">tp_comp_adj</f>
        <v>244.038959306533</v>
      </c>
      <c r="E31" s="42" t="n">
        <f aca="false">tp_w_dcf*C31+(1-tp_w_dcf)*D31</f>
        <v>334.494549246525</v>
      </c>
      <c r="F31" s="17" t="n">
        <f aca="false">E31/E$31-1</f>
        <v>0</v>
      </c>
    </row>
    <row r="32" customFormat="false" ht="17.15" hidden="false" customHeight="false" outlineLevel="0" collapsed="false">
      <c r="A32" s="5" t="s">
        <v>735</v>
      </c>
      <c r="B32" s="0" t="s">
        <v>736</v>
      </c>
      <c r="C32" s="42" t="n">
        <f aca="false">(tp_wA*MAX(0,Val!B8*(1-MIN(tp_g/tp_roe,0.8))*Val!$G$8/(1+(tp_r+0.01))^Val!$F$8+Val!B9*(1-MIN(tp_g/tp_roe,0.8))*Val!$G$9/(1+(tp_r+0.01))^Val!$F$9+Val!B10*(1-MIN(tp_g/tp_roe,0.8))*Val!$G$10/(1+(tp_r+0.01))^Val!$F$10+Val!B11*(1-MIN(tp_g/tp_roe,0.8))*Val!$G$11/(1+(tp_r+0.01))^Val!$F$11+Val!B12*(1-MIN(tp_g/tp_roe,0.8))*Val!$G$12/(1+(tp_r+0.01))^Val!$F$12+Val!B13*(1-MIN(tp_g/tp_roe,0.8))*Val!$G$13/(1+(tp_r+0.01))^Val!$F$13+Val!B13*(1-MIN(tp_g/tp_roe,0.8))*Val!$G$13*(1+tp_g)/((tp_r+0.01)-tp_g)/(1+(tp_r+0.01))^Val!$F$13)+tp_wB*MAX(0,Val!C8*(1-MIN(tp_g/tp_roe,0.8))*Val!$G$8/(1+(tp_r+0.01))^Val!$F$8+Val!C9*(1-MIN(tp_g/tp_roe,0.8))*Val!$G$9/(1+(tp_r+0.01))^Val!$F$9+Val!C10*(1-MIN(tp_g/tp_roe,0.8))*Val!$G$10/(1+(tp_r+0.01))^Val!$F$10+Val!C11*(1-MIN(tp_g/tp_roe,0.8))*Val!$G$11/(1+(tp_r+0.01))^Val!$F$11+Val!C12*(1-MIN(tp_g/tp_roe,0.8))*Val!$G$12/(1+(tp_r+0.01))^Val!$F$12+Val!C13*(1-MIN(tp_g/tp_roe,0.8))*Val!$G$13/(1+(tp_r+0.01))^Val!$F$13+Val!C13*(1-MIN(tp_g/tp_roe,0.8))*Val!$G$13*(1+tp_g)/((tp_r+0.01)-tp_g)/(1+(tp_r+0.01))^Val!$F$13)+tp_wC*MAX(0,Val!D8*(1-MIN(tp_g/tp_roe,0.8))*Val!$G$8/(1+(tp_r+0.01))^Val!$F$8+Val!D9*(1-MIN(tp_g/tp_roe,0.8))*Val!$G$9/(1+(tp_r+0.01))^Val!$F$9+Val!D10*(1-MIN(tp_g/tp_roe,0.8))*Val!$G$10/(1+(tp_r+0.01))^Val!$F$10+Val!D11*(1-MIN(tp_g/tp_roe,0.8))*Val!$G$11/(1+(tp_r+0.01))^Val!$F$11+Val!D12*(1-MIN(tp_g/tp_roe,0.8))*Val!$G$12/(1+(tp_r+0.01))^Val!$F$12+Val!D13*(1-MIN(tp_g/tp_roe,0.8))*Val!$G$13/(1+(tp_r+0.01))^Val!$F$13+Val!D13*(1-MIN(tp_g/tp_roe,0.8))*Val!$G$13*(1+tp_g)/((tp_r+0.01)-tp_g)/(1+(tp_r+0.01))^Val!$F$13))*(1+(tp_r+0.01))</f>
        <v>367.691176174252</v>
      </c>
      <c r="D32" s="42" t="n">
        <f aca="false">tp_comp_adj</f>
        <v>244.038959306533</v>
      </c>
      <c r="E32" s="42" t="n">
        <f aca="false">tp_w_dcf*C32+(1-tp_w_dcf)*D32</f>
        <v>305.865067740393</v>
      </c>
      <c r="F32" s="17" t="n">
        <f aca="false">E32/E$31-1</f>
        <v>-0.0855902781394278</v>
      </c>
    </row>
    <row r="33" customFormat="false" ht="17.15" hidden="false" customHeight="false" outlineLevel="0" collapsed="false">
      <c r="A33" s="5" t="s">
        <v>737</v>
      </c>
      <c r="B33" s="0" t="s">
        <v>738</v>
      </c>
      <c r="C33" s="42" t="n">
        <f aca="false">(tp_wA*MAX(0,Val!B8*(1-MIN(tp_g/tp_roe,0.8))*Val!$G$8/(1+(tp_r-0.01))^Val!$F$8+Val!B9*(1-MIN(tp_g/tp_roe,0.8))*Val!$G$9/(1+(tp_r-0.01))^Val!$F$9+Val!B10*(1-MIN(tp_g/tp_roe,0.8))*Val!$G$10/(1+(tp_r-0.01))^Val!$F$10+Val!B11*(1-MIN(tp_g/tp_roe,0.8))*Val!$G$11/(1+(tp_r-0.01))^Val!$F$11+Val!B12*(1-MIN(tp_g/tp_roe,0.8))*Val!$G$12/(1+(tp_r-0.01))^Val!$F$12+Val!B13*(1-MIN(tp_g/tp_roe,0.8))*Val!$G$13/(1+(tp_r-0.01))^Val!$F$13+Val!B13*(1-MIN(tp_g/tp_roe,0.8))*Val!$G$13*(1+tp_g)/((tp_r-0.01)-tp_g)/(1+(tp_r-0.01))^Val!$F$13)+tp_wB*MAX(0,Val!C8*(1-MIN(tp_g/tp_roe,0.8))*Val!$G$8/(1+(tp_r-0.01))^Val!$F$8+Val!C9*(1-MIN(tp_g/tp_roe,0.8))*Val!$G$9/(1+(tp_r-0.01))^Val!$F$9+Val!C10*(1-MIN(tp_g/tp_roe,0.8))*Val!$G$10/(1+(tp_r-0.01))^Val!$F$10+Val!C11*(1-MIN(tp_g/tp_roe,0.8))*Val!$G$11/(1+(tp_r-0.01))^Val!$F$11+Val!C12*(1-MIN(tp_g/tp_roe,0.8))*Val!$G$12/(1+(tp_r-0.01))^Val!$F$12+Val!C13*(1-MIN(tp_g/tp_roe,0.8))*Val!$G$13/(1+(tp_r-0.01))^Val!$F$13+Val!C13*(1-MIN(tp_g/tp_roe,0.8))*Val!$G$13*(1+tp_g)/((tp_r-0.01)-tp_g)/(1+(tp_r-0.01))^Val!$F$13)+tp_wC*MAX(0,Val!D8*(1-MIN(tp_g/tp_roe,0.8))*Val!$G$8/(1+(tp_r-0.01))^Val!$F$8+Val!D9*(1-MIN(tp_g/tp_roe,0.8))*Val!$G$9/(1+(tp_r-0.01))^Val!$F$9+Val!D10*(1-MIN(tp_g/tp_roe,0.8))*Val!$G$10/(1+(tp_r-0.01))^Val!$F$10+Val!D11*(1-MIN(tp_g/tp_roe,0.8))*Val!$G$11/(1+(tp_r-0.01))^Val!$F$11+Val!D12*(1-MIN(tp_g/tp_roe,0.8))*Val!$G$12/(1+(tp_r-0.01))^Val!$F$12+Val!D13*(1-MIN(tp_g/tp_roe,0.8))*Val!$G$13/(1+(tp_r-0.01))^Val!$F$13+Val!D13*(1-MIN(tp_g/tp_roe,0.8))*Val!$G$13*(1+tp_g)/((tp_r-0.01)-tp_g)/(1+(tp_r-0.01))^Val!$F$13))*(1+(tp_r-0.01))</f>
        <v>505.116510923817</v>
      </c>
      <c r="D33" s="42" t="n">
        <f aca="false">tp_comp_adj</f>
        <v>244.038959306533</v>
      </c>
      <c r="E33" s="42" t="n">
        <f aca="false">tp_w_dcf*C33+(1-tp_w_dcf)*D33</f>
        <v>374.577735115175</v>
      </c>
      <c r="F33" s="17" t="n">
        <f aca="false">E33/E$31-1</f>
        <v>0.119832104765056</v>
      </c>
    </row>
    <row r="34" customFormat="false" ht="17.15" hidden="false" customHeight="false" outlineLevel="0" collapsed="false">
      <c r="A34" s="5" t="s">
        <v>739</v>
      </c>
      <c r="B34" s="0" t="s">
        <v>740</v>
      </c>
      <c r="C34" s="42" t="n">
        <f aca="false">(tp_wA*MAX(0,Val!B8*(1-MIN((tp_g+0.01)/tp_roe,0.8))*Val!$G$8/(1+tp_r)^Val!$F$8+Val!B9*(1-MIN((tp_g+0.01)/tp_roe,0.8))*Val!$G$9/(1+tp_r)^Val!$F$9+Val!B10*(1-MIN((tp_g+0.01)/tp_roe,0.8))*Val!$G$10/(1+tp_r)^Val!$F$10+Val!B11*(1-MIN((tp_g+0.01)/tp_roe,0.8))*Val!$G$11/(1+tp_r)^Val!$F$11+Val!B12*(1-MIN((tp_g+0.01)/tp_roe,0.8))*Val!$G$12/(1+tp_r)^Val!$F$12+Val!B13*(1-MIN((tp_g+0.01)/tp_roe,0.8))*Val!$G$13/(1+tp_r)^Val!$F$13+Val!B13*(1-MIN((tp_g+0.01)/tp_roe,0.8))*Val!$G$13*(1+(tp_g+0.01))/(tp_r-(tp_g+0.01))/(1+tp_r)^Val!$F$13)+tp_wB*MAX(0,Val!C8*(1-MIN((tp_g+0.01)/tp_roe,0.8))*Val!$G$8/(1+tp_r)^Val!$F$8+Val!C9*(1-MIN((tp_g+0.01)/tp_roe,0.8))*Val!$G$9/(1+tp_r)^Val!$F$9+Val!C10*(1-MIN((tp_g+0.01)/tp_roe,0.8))*Val!$G$10/(1+tp_r)^Val!$F$10+Val!C11*(1-MIN((tp_g+0.01)/tp_roe,0.8))*Val!$G$11/(1+tp_r)^Val!$F$11+Val!C12*(1-MIN((tp_g+0.01)/tp_roe,0.8))*Val!$G$12/(1+tp_r)^Val!$F$12+Val!C13*(1-MIN((tp_g+0.01)/tp_roe,0.8))*Val!$G$13/(1+tp_r)^Val!$F$13+Val!C13*(1-MIN((tp_g+0.01)/tp_roe,0.8))*Val!$G$13*(1+(tp_g+0.01))/(tp_r-(tp_g+0.01))/(1+tp_r)^Val!$F$13)+tp_wC*MAX(0,Val!D8*(1-MIN((tp_g+0.01)/tp_roe,0.8))*Val!$G$8/(1+tp_r)^Val!$F$8+Val!D9*(1-MIN((tp_g+0.01)/tp_roe,0.8))*Val!$G$9/(1+tp_r)^Val!$F$9+Val!D10*(1-MIN((tp_g+0.01)/tp_roe,0.8))*Val!$G$10/(1+tp_r)^Val!$F$10+Val!D11*(1-MIN((tp_g+0.01)/tp_roe,0.8))*Val!$G$11/(1+tp_r)^Val!$F$11+Val!D12*(1-MIN((tp_g+0.01)/tp_roe,0.8))*Val!$G$12/(1+tp_r)^Val!$F$12+Val!D13*(1-MIN((tp_g+0.01)/tp_roe,0.8))*Val!$G$13/(1+tp_r)^Val!$F$13+Val!D13*(1-MIN((tp_g+0.01)/tp_roe,0.8))*Val!$G$13*(1+(tp_g+0.01))/(tp_r-(tp_g+0.01))/(1+tp_r)^Val!$F$13))*(1+tp_r)</f>
        <v>461.618201642173</v>
      </c>
      <c r="D34" s="42" t="n">
        <f aca="false">tp_comp_adj</f>
        <v>244.038959306533</v>
      </c>
      <c r="E34" s="42" t="n">
        <f aca="false">tp_w_dcf*C34+(1-tp_w_dcf)*D34</f>
        <v>352.828580474353</v>
      </c>
      <c r="F34" s="17" t="n">
        <f aca="false">E34/E$31-1</f>
        <v>0.0548111509414035</v>
      </c>
    </row>
    <row r="35" customFormat="false" ht="17.15" hidden="false" customHeight="false" outlineLevel="0" collapsed="false">
      <c r="A35" s="5" t="s">
        <v>741</v>
      </c>
      <c r="B35" s="0" t="s">
        <v>742</v>
      </c>
      <c r="C35" s="42" t="n">
        <f aca="false">(tp_wA*MAX(0,Val!B8*(1-MIN((tp_g-0.01)/tp_roe,0.8))*Val!$G$8/(1+tp_r)^Val!$F$8+Val!B9*(1-MIN((tp_g-0.01)/tp_roe,0.8))*Val!$G$9/(1+tp_r)^Val!$F$9+Val!B10*(1-MIN((tp_g-0.01)/tp_roe,0.8))*Val!$G$10/(1+tp_r)^Val!$F$10+Val!B11*(1-MIN((tp_g-0.01)/tp_roe,0.8))*Val!$G$11/(1+tp_r)^Val!$F$11+Val!B12*(1-MIN((tp_g-0.01)/tp_roe,0.8))*Val!$G$12/(1+tp_r)^Val!$F$12+Val!B13*(1-MIN((tp_g-0.01)/tp_roe,0.8))*Val!$G$13/(1+tp_r)^Val!$F$13+Val!B13*(1-MIN((tp_g-0.01)/tp_roe,0.8))*Val!$G$13*(1+(tp_g-0.01))/(tp_r-(tp_g-0.01))/(1+tp_r)^Val!$F$13)+tp_wB*MAX(0,Val!C8*(1-MIN((tp_g-0.01)/tp_roe,0.8))*Val!$G$8/(1+tp_r)^Val!$F$8+Val!C9*(1-MIN((tp_g-0.01)/tp_roe,0.8))*Val!$G$9/(1+tp_r)^Val!$F$9+Val!C10*(1-MIN((tp_g-0.01)/tp_roe,0.8))*Val!$G$10/(1+tp_r)^Val!$F$10+Val!C11*(1-MIN((tp_g-0.01)/tp_roe,0.8))*Val!$G$11/(1+tp_r)^Val!$F$11+Val!C12*(1-MIN((tp_g-0.01)/tp_roe,0.8))*Val!$G$12/(1+tp_r)^Val!$F$12+Val!C13*(1-MIN((tp_g-0.01)/tp_roe,0.8))*Val!$G$13/(1+tp_r)^Val!$F$13+Val!C13*(1-MIN((tp_g-0.01)/tp_roe,0.8))*Val!$G$13*(1+(tp_g-0.01))/(tp_r-(tp_g-0.01))/(1+tp_r)^Val!$F$13)+tp_wC*MAX(0,Val!D8*(1-MIN((tp_g-0.01)/tp_roe,0.8))*Val!$G$8/(1+tp_r)^Val!$F$8+Val!D9*(1-MIN((tp_g-0.01)/tp_roe,0.8))*Val!$G$9/(1+tp_r)^Val!$F$9+Val!D10*(1-MIN((tp_g-0.01)/tp_roe,0.8))*Val!$G$10/(1+tp_r)^Val!$F$10+Val!D11*(1-MIN((tp_g-0.01)/tp_roe,0.8))*Val!$G$11/(1+tp_r)^Val!$F$11+Val!D12*(1-MIN((tp_g-0.01)/tp_roe,0.8))*Val!$G$12/(1+tp_r)^Val!$F$12+Val!D13*(1-MIN((tp_g-0.01)/tp_roe,0.8))*Val!$G$13/(1+tp_r)^Val!$F$13+Val!D13*(1-MIN((tp_g-0.01)/tp_roe,0.8))*Val!$G$13*(1+(tp_g-0.01))/(tp_r-(tp_g-0.01))/(1+tp_r)^Val!$F$13))*(1+tp_r)</f>
        <v>400.325399807968</v>
      </c>
      <c r="D35" s="42" t="n">
        <f aca="false">tp_comp_adj</f>
        <v>244.038959306533</v>
      </c>
      <c r="E35" s="42" t="n">
        <f aca="false">tp_w_dcf*C35+(1-tp_w_dcf)*D35</f>
        <v>322.182179557251</v>
      </c>
      <c r="F35" s="17" t="n">
        <f aca="false">E35/E$31-1</f>
        <v>-0.0368088798965756</v>
      </c>
    </row>
    <row r="36" customFormat="false" ht="17.15" hidden="false" customHeight="false" outlineLevel="0" collapsed="false">
      <c r="A36" s="0" t="s">
        <v>743</v>
      </c>
      <c r="C36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6" s="42" t="n">
        <f aca="false">tp_comp_adj</f>
        <v>244.038959306533</v>
      </c>
      <c r="E36" s="42" t="n">
        <f aca="false">0.3*C36+(1-0.3)*D36</f>
        <v>298.312313270528</v>
      </c>
      <c r="F36" s="17" t="n">
        <f aca="false">E36/E$31-1</f>
        <v>-0.108169882162505</v>
      </c>
    </row>
    <row r="37" customFormat="false" ht="17.15" hidden="false" customHeight="false" outlineLevel="0" collapsed="false">
      <c r="A37" s="0" t="s">
        <v>744</v>
      </c>
      <c r="C37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7" s="42" t="n">
        <f aca="false">tp_comp_adj</f>
        <v>244.038959306533</v>
      </c>
      <c r="E37" s="42" t="n">
        <f aca="false">0.7*C37+(1-0.7)*D37</f>
        <v>370.676785222522</v>
      </c>
      <c r="F37" s="17" t="n">
        <f aca="false">E37/E$31-1</f>
        <v>0.108169882162505</v>
      </c>
    </row>
    <row r="42" customFormat="false" ht="17.15" hidden="false" customHeight="false" outlineLevel="0" collapsed="false">
      <c r="A42" s="3" t="s">
        <v>745</v>
      </c>
    </row>
    <row r="43" customFormat="false" ht="17.15" hidden="false" customHeight="false" outlineLevel="0" collapsed="false">
      <c r="A43" s="6" t="s">
        <v>20</v>
      </c>
      <c r="B43" s="6" t="s">
        <v>21</v>
      </c>
      <c r="C43" s="14" t="s">
        <v>284</v>
      </c>
      <c r="D43" s="14" t="s">
        <v>371</v>
      </c>
      <c r="E43" s="14" t="s">
        <v>372</v>
      </c>
      <c r="F43" s="14" t="s">
        <v>373</v>
      </c>
      <c r="G43" s="14" t="s">
        <v>374</v>
      </c>
      <c r="H43" s="14" t="s">
        <v>375</v>
      </c>
      <c r="I43" s="14" t="s">
        <v>376</v>
      </c>
      <c r="J43" s="6" t="s">
        <v>344</v>
      </c>
    </row>
    <row r="44" customFormat="false" ht="17.15" hidden="false" customHeight="false" outlineLevel="0" collapsed="false">
      <c r="A44" s="1" t="s">
        <v>394</v>
      </c>
    </row>
    <row r="45" customFormat="false" ht="17.15" hidden="false" customHeight="false" outlineLevel="0" collapsed="false">
      <c r="A45" s="0" t="s">
        <v>395</v>
      </c>
      <c r="B45" s="5" t="s">
        <v>31</v>
      </c>
      <c r="D45" s="18" t="n">
        <f aca="false">ug_26</f>
        <v>6.65</v>
      </c>
      <c r="E45" s="18" t="n">
        <f aca="false">ug_27*mf_lo</f>
        <v>1.92</v>
      </c>
      <c r="F45" s="18" t="n">
        <f aca="false">ug_28*um28_A*mf_lo</f>
        <v>0.4</v>
      </c>
      <c r="G45" s="18" t="n">
        <f aca="false">ug_29*um29_A*mf_lo</f>
        <v>0.2</v>
      </c>
    </row>
    <row r="46" customFormat="false" ht="17.15" hidden="false" customHeight="false" outlineLevel="0" collapsed="false">
      <c r="A46" s="0" t="s">
        <v>396</v>
      </c>
      <c r="B46" s="5" t="s">
        <v>31</v>
      </c>
      <c r="D46" s="18" t="n">
        <f aca="false">uv_26</f>
        <v>1.7</v>
      </c>
      <c r="E46" s="18" t="n">
        <f aca="false">uv_27*mf_lo</f>
        <v>7.04</v>
      </c>
      <c r="F46" s="18" t="n">
        <f aca="false">uv_28*um28_A*mf_lo</f>
        <v>8.8</v>
      </c>
      <c r="G46" s="18" t="n">
        <f aca="false">uv_29*um29_A*mf_lo</f>
        <v>10.12</v>
      </c>
    </row>
    <row r="47" customFormat="false" ht="17.15" hidden="false" customHeight="false" outlineLevel="0" collapsed="false">
      <c r="A47" s="5" t="s">
        <v>397</v>
      </c>
      <c r="B47" s="0" t="s">
        <v>107</v>
      </c>
      <c r="D47" s="22" t="n">
        <f aca="false">D45*v_gb+D46*v_vr</f>
        <v>595.4861102</v>
      </c>
      <c r="E47" s="22" t="n">
        <f aca="false">E45*v_gb+E46*v_vr</f>
        <v>936.00000192</v>
      </c>
      <c r="F47" s="22" t="n">
        <f aca="false">F45*v_gb+F46*v_vr</f>
        <v>1050.5555584</v>
      </c>
      <c r="G47" s="22" t="n">
        <f aca="false">G45*v_gb+G46*v_vr</f>
        <v>1192.61111444</v>
      </c>
      <c r="J47" s="5" t="s">
        <v>398</v>
      </c>
    </row>
    <row r="48" customFormat="false" ht="17.15" hidden="false" customHeight="false" outlineLevel="0" collapsed="false">
      <c r="A48" s="0" t="s">
        <v>399</v>
      </c>
      <c r="B48" s="0" t="s">
        <v>130</v>
      </c>
      <c r="D48" s="23" t="n">
        <f aca="false">a27_ai/D47</f>
        <v>0.124268221764478</v>
      </c>
      <c r="J48" s="8" t="s">
        <v>400</v>
      </c>
    </row>
    <row r="49" customFormat="false" ht="17.15" hidden="false" customHeight="false" outlineLevel="0" collapsed="false">
      <c r="A49" s="5" t="s">
        <v>401</v>
      </c>
      <c r="B49" s="0" t="s">
        <v>53</v>
      </c>
      <c r="D49" s="18" t="n">
        <f aca="false">1</f>
        <v>1</v>
      </c>
      <c r="E49" s="18" t="n">
        <f aca="false">rel_28</f>
        <v>0.9</v>
      </c>
      <c r="F49" s="18" t="n">
        <f aca="false">rel_29</f>
        <v>0.85</v>
      </c>
      <c r="G49" s="18" t="n">
        <f aca="false">rel_30</f>
        <v>0.8</v>
      </c>
    </row>
    <row r="50" customFormat="false" ht="17.15" hidden="false" customHeight="false" outlineLevel="0" collapsed="false">
      <c r="A50" s="5" t="s">
        <v>402</v>
      </c>
      <c r="B50" s="0" t="s">
        <v>53</v>
      </c>
      <c r="D50" s="18" t="n">
        <f aca="false">1</f>
        <v>1</v>
      </c>
      <c r="E50" s="18" t="n">
        <f aca="false">1</f>
        <v>1</v>
      </c>
      <c r="F50" s="18" t="n">
        <f aca="false">srel_A</f>
        <v>1</v>
      </c>
      <c r="G50" s="18" t="n">
        <f aca="false">srel_A</f>
        <v>1</v>
      </c>
    </row>
    <row r="51" customFormat="false" ht="17.15" hidden="false" customHeight="false" outlineLevel="0" collapsed="false">
      <c r="A51" s="0" t="s">
        <v>353</v>
      </c>
      <c r="B51" s="0" t="s">
        <v>130</v>
      </c>
      <c r="D51" s="23" t="n">
        <f aca="false">$D$48*D49*D50</f>
        <v>0.124268221764478</v>
      </c>
      <c r="E51" s="23" t="n">
        <f aca="false">$D$48*E49*E50</f>
        <v>0.11184139958803</v>
      </c>
      <c r="F51" s="23" t="n">
        <f aca="false">$D$48*F49*F50</f>
        <v>0.105627988499806</v>
      </c>
      <c r="G51" s="23" t="n">
        <f aca="false">$D$48*G49*G50</f>
        <v>0.0994145774115824</v>
      </c>
    </row>
    <row r="52" customFormat="false" ht="17.15" hidden="false" customHeight="false" outlineLevel="0" collapsed="false">
      <c r="A52" s="0" t="s">
        <v>403</v>
      </c>
      <c r="B52" s="0" t="s">
        <v>107</v>
      </c>
      <c r="C52" s="22" t="n">
        <f aca="false">a26_ai</f>
        <v>24.683</v>
      </c>
      <c r="D52" s="22" t="n">
        <f aca="false">D47*D51</f>
        <v>74</v>
      </c>
      <c r="E52" s="22" t="n">
        <f aca="false">E47*E51</f>
        <v>104.683550229132</v>
      </c>
      <c r="F52" s="22" t="n">
        <f aca="false">F47*F51</f>
        <v>110.968070441083</v>
      </c>
      <c r="G52" s="22" t="n">
        <f aca="false">G47*G51</f>
        <v>118.562929958409</v>
      </c>
    </row>
    <row r="53" customFormat="false" ht="17.15" hidden="false" customHeight="false" outlineLevel="0" collapsed="false">
      <c r="A53" s="1" t="s">
        <v>404</v>
      </c>
    </row>
    <row r="54" customFormat="false" ht="15" hidden="false" customHeight="false" outlineLevel="0" collapsed="false">
      <c r="A54" s="5" t="s">
        <v>293</v>
      </c>
      <c r="B54" s="0" t="s">
        <v>107</v>
      </c>
      <c r="C54" s="22" t="n">
        <f aca="false">a26_tr</f>
        <v>19.512</v>
      </c>
      <c r="D54" s="22" t="n">
        <f aca="false">a27_tr</f>
        <v>37.59663</v>
      </c>
      <c r="E54" s="22" t="n">
        <f aca="false">D54*(1+g_tr28)</f>
        <v>35.7167985</v>
      </c>
      <c r="F54" s="22" t="n">
        <f aca="false">E54*(1+g_tr29)</f>
        <v>36.43113447</v>
      </c>
      <c r="G54" s="22" t="n">
        <f aca="false">F54*(1+g_tr30)</f>
        <v>37.5240685041</v>
      </c>
    </row>
    <row r="55" customFormat="false" ht="15" hidden="false" customHeight="false" outlineLevel="0" collapsed="false">
      <c r="A55" s="5" t="s">
        <v>296</v>
      </c>
      <c r="B55" s="0" t="s">
        <v>107</v>
      </c>
      <c r="C55" s="22" t="n">
        <f aca="false">a26_st</f>
        <v>16.631</v>
      </c>
      <c r="D55" s="22" t="n">
        <f aca="false">a27_st</f>
        <v>19.47008</v>
      </c>
      <c r="E55" s="22" t="n">
        <f aca="false">D55*(1+g_st28)</f>
        <v>20.2488832</v>
      </c>
      <c r="F55" s="22" t="n">
        <f aca="false">E55*(1+g_st29)</f>
        <v>21.058838528</v>
      </c>
      <c r="G55" s="22" t="n">
        <f aca="false">F55*(1+g_st30)</f>
        <v>21.90119206912</v>
      </c>
    </row>
    <row r="56" customFormat="false" ht="17.15" hidden="false" customHeight="false" outlineLevel="0" collapsed="false">
      <c r="A56" s="0" t="s">
        <v>299</v>
      </c>
      <c r="B56" s="0" t="s">
        <v>107</v>
      </c>
      <c r="C56" s="22" t="n">
        <f aca="false">C52+C54+C55</f>
        <v>60.826</v>
      </c>
      <c r="D56" s="22" t="n">
        <f aca="false">D52+D54+D55</f>
        <v>131.06671</v>
      </c>
      <c r="E56" s="22" t="n">
        <f aca="false">E52+E54+E55</f>
        <v>160.649231929132</v>
      </c>
      <c r="F56" s="22" t="n">
        <f aca="false">F52+F54+F55</f>
        <v>168.458043439083</v>
      </c>
      <c r="G56" s="22" t="n">
        <f aca="false">G52+G54+G55</f>
        <v>177.988190531629</v>
      </c>
    </row>
    <row r="57" customFormat="false" ht="17.15" hidden="false" customHeight="false" outlineLevel="0" collapsed="false">
      <c r="A57" s="0" t="s">
        <v>405</v>
      </c>
      <c r="B57" s="0" t="s">
        <v>107</v>
      </c>
      <c r="C57" s="22" t="n">
        <f aca="false">a26_csg</f>
        <v>50.984</v>
      </c>
      <c r="D57" s="22" t="n">
        <f aca="false">a27_csg</f>
        <v>60.17529</v>
      </c>
      <c r="E57" s="22" t="n">
        <f aca="false">D57*(1+g_csg28)</f>
        <v>61.9805487</v>
      </c>
      <c r="F57" s="22" t="n">
        <f aca="false">E57*(1+g_csg29)</f>
        <v>63.839965161</v>
      </c>
      <c r="G57" s="22" t="n">
        <f aca="false">F57*(1+g_csg30)</f>
        <v>65.75516411583</v>
      </c>
    </row>
    <row r="58" customFormat="false" ht="17.15" hidden="false" customHeight="false" outlineLevel="0" collapsed="false">
      <c r="A58" s="5" t="s">
        <v>406</v>
      </c>
      <c r="B58" s="0" t="s">
        <v>107</v>
      </c>
      <c r="C58" s="22" t="n">
        <f aca="false">a26_oth</f>
        <v>1.72799999999999</v>
      </c>
      <c r="D58" s="22" t="n">
        <f aca="false">a27_oth</f>
        <v>0.75800000000001</v>
      </c>
      <c r="E58" s="22" t="n">
        <f aca="false">D58</f>
        <v>0.75800000000001</v>
      </c>
      <c r="F58" s="22" t="n">
        <f aca="false">E58</f>
        <v>0.75800000000001</v>
      </c>
      <c r="G58" s="22" t="n">
        <f aca="false">F58</f>
        <v>0.75800000000001</v>
      </c>
      <c r="J58" s="8" t="s">
        <v>407</v>
      </c>
    </row>
    <row r="59" customFormat="false" ht="17.15" hidden="false" customHeight="false" outlineLevel="0" collapsed="false">
      <c r="A59" s="5" t="s">
        <v>306</v>
      </c>
      <c r="B59" s="0" t="s">
        <v>107</v>
      </c>
      <c r="C59" s="22" t="n">
        <f aca="false">C56+C57+C58</f>
        <v>113.538</v>
      </c>
      <c r="D59" s="22" t="n">
        <f aca="false">D56+D57+D58</f>
        <v>192</v>
      </c>
      <c r="E59" s="22" t="n">
        <f aca="false">E56+E57+E58</f>
        <v>223.387780629132</v>
      </c>
      <c r="F59" s="22" t="n">
        <f aca="false">F56+F57+F58</f>
        <v>233.056008600083</v>
      </c>
      <c r="G59" s="22" t="n">
        <f aca="false">G56+G57+G58</f>
        <v>244.501354647459</v>
      </c>
      <c r="H59" s="26" t="n">
        <f aca="false">G59*(1+H60)</f>
        <v>257.84010793476</v>
      </c>
      <c r="I59" s="26" t="n">
        <f aca="false">H59*(1+I60)</f>
        <v>273.310514410846</v>
      </c>
      <c r="J59" s="8" t="s">
        <v>408</v>
      </c>
    </row>
    <row r="60" customFormat="false" ht="15" hidden="false" customHeight="false" outlineLevel="0" collapsed="false">
      <c r="A60" s="5" t="s">
        <v>409</v>
      </c>
      <c r="B60" s="0" t="s">
        <v>130</v>
      </c>
      <c r="D60" s="17" t="n">
        <f aca="false">D59/C59-1</f>
        <v>0.691063784812134</v>
      </c>
      <c r="E60" s="17" t="n">
        <f aca="false">E59/D59-1</f>
        <v>0.163478024110061</v>
      </c>
      <c r="F60" s="17" t="n">
        <f aca="false">F59/E59-1</f>
        <v>0.0432800216006541</v>
      </c>
      <c r="G60" s="17" t="n">
        <f aca="false">G59/F59-1</f>
        <v>0.0491098518168482</v>
      </c>
      <c r="H60" s="27" t="n">
        <f aca="false">$G60+(fade_gA-$G60)*1/2</f>
        <v>0.0545549259084241</v>
      </c>
      <c r="I60" s="27" t="n">
        <f aca="false">$G60+(fade_gA-$G60)*2/2</f>
        <v>0.06</v>
      </c>
    </row>
    <row r="61" customFormat="false" ht="17.15" hidden="false" customHeight="false" outlineLevel="0" collapsed="false">
      <c r="A61" s="0" t="s">
        <v>410</v>
      </c>
      <c r="B61" s="0" t="s">
        <v>130</v>
      </c>
      <c r="C61" s="17" t="n">
        <f aca="false">C52/C59</f>
        <v>0.217398580211031</v>
      </c>
      <c r="D61" s="17" t="n">
        <f aca="false">D52/D59</f>
        <v>0.385416666666667</v>
      </c>
      <c r="E61" s="17" t="n">
        <f aca="false">E52/E59</f>
        <v>0.468618068250239</v>
      </c>
      <c r="F61" s="17" t="n">
        <f aca="false">F52/F59</f>
        <v>0.476143357588779</v>
      </c>
      <c r="G61" s="17" t="n">
        <f aca="false">G52/G59</f>
        <v>0.484917272255453</v>
      </c>
    </row>
    <row r="62" customFormat="false" ht="17.15" hidden="false" customHeight="false" outlineLevel="0" collapsed="false">
      <c r="A62" s="1" t="s">
        <v>411</v>
      </c>
    </row>
    <row r="63" customFormat="false" ht="17.15" hidden="false" customHeight="false" outlineLevel="0" collapsed="false">
      <c r="A63" s="0" t="s">
        <v>383</v>
      </c>
      <c r="B63" s="0" t="s">
        <v>130</v>
      </c>
      <c r="C63" s="23" t="n">
        <f aca="false">(a26_isgoi-m_nai*(a26_tr+a26_st))/a26_ai</f>
        <v>0.0538070736944455</v>
      </c>
      <c r="D63" s="23" t="n">
        <f aca="false">(a27_isgoi-m_nai*(a27_tr+a27_st))/a27_ai</f>
        <v>0.110710097972973</v>
      </c>
      <c r="E63" s="23" t="n">
        <f aca="false">$D63+ai_dm</f>
        <v>0.100710097972973</v>
      </c>
      <c r="F63" s="23" t="n">
        <f aca="false">$D63+ai_dm+dm_A</f>
        <v>0.100710097972973</v>
      </c>
      <c r="G63" s="23" t="n">
        <f aca="false">$D63+ai_dm+dm_A</f>
        <v>0.100710097972973</v>
      </c>
      <c r="J63" s="8" t="s">
        <v>412</v>
      </c>
    </row>
    <row r="64" customFormat="false" ht="17.15" hidden="false" customHeight="false" outlineLevel="0" collapsed="false">
      <c r="A64" s="5" t="s">
        <v>413</v>
      </c>
      <c r="B64" s="0" t="s">
        <v>130</v>
      </c>
      <c r="C64" s="23" t="n">
        <f aca="false">m_nai</f>
        <v>0.16</v>
      </c>
      <c r="D64" s="23" t="n">
        <f aca="false">m_nai</f>
        <v>0.16</v>
      </c>
      <c r="E64" s="23" t="n">
        <f aca="false">m_naif</f>
        <v>0.155</v>
      </c>
      <c r="F64" s="23" t="n">
        <f aca="false">m_naif</f>
        <v>0.155</v>
      </c>
      <c r="G64" s="23" t="n">
        <f aca="false">m_naif</f>
        <v>0.155</v>
      </c>
    </row>
    <row r="65" customFormat="false" ht="17.15" hidden="false" customHeight="false" outlineLevel="0" collapsed="false">
      <c r="A65" s="0" t="s">
        <v>308</v>
      </c>
      <c r="B65" s="0" t="s">
        <v>107</v>
      </c>
      <c r="C65" s="28" t="n">
        <f aca="false">a26_isgoi</f>
        <v>7.111</v>
      </c>
      <c r="D65" s="28" t="n">
        <f aca="false">a27_isgoi</f>
        <v>17.32322085</v>
      </c>
      <c r="E65" s="28" t="n">
        <f aca="false">E52*E63+(E54+E55)*E64</f>
        <v>19.2173712632345</v>
      </c>
      <c r="F65" s="28" t="n">
        <f aca="false">F52*F63+(F54+F55)*F64</f>
        <v>20.0865510606832</v>
      </c>
      <c r="G65" s="28" t="n">
        <f aca="false">G52*G63+(G54+G55)*G64</f>
        <v>21.1513996809232</v>
      </c>
    </row>
    <row r="66" customFormat="false" ht="17.15" hidden="false" customHeight="false" outlineLevel="0" collapsed="false">
      <c r="A66" s="0" t="s">
        <v>414</v>
      </c>
      <c r="B66" s="0" t="s">
        <v>130</v>
      </c>
      <c r="C66" s="23" t="n">
        <f aca="false">a26_csgoi/C57</f>
        <v>0.0555664522203044</v>
      </c>
      <c r="D66" s="23" t="n">
        <f aca="false">a27_csgoi/D57</f>
        <v>0.0764752733223222</v>
      </c>
      <c r="E66" s="23" t="n">
        <f aca="false">m_csgf</f>
        <v>0.07</v>
      </c>
      <c r="F66" s="23" t="n">
        <f aca="false">m_csgf</f>
        <v>0.07</v>
      </c>
      <c r="G66" s="23" t="n">
        <f aca="false">m_csgf</f>
        <v>0.07</v>
      </c>
    </row>
    <row r="67" customFormat="false" ht="17.15" hidden="false" customHeight="false" outlineLevel="0" collapsed="false">
      <c r="A67" s="0" t="s">
        <v>310</v>
      </c>
      <c r="B67" s="0" t="s">
        <v>107</v>
      </c>
      <c r="C67" s="28" t="n">
        <f aca="false">C57*C66</f>
        <v>2.833</v>
      </c>
      <c r="D67" s="28" t="n">
        <f aca="false">D57*D66</f>
        <v>4.60192175</v>
      </c>
      <c r="E67" s="28" t="n">
        <f aca="false">E57*E66</f>
        <v>4.338638409</v>
      </c>
      <c r="F67" s="28" t="n">
        <f aca="false">F57*F66</f>
        <v>4.46879756127</v>
      </c>
      <c r="G67" s="28" t="n">
        <f aca="false">G57*G66</f>
        <v>4.6028614881081</v>
      </c>
    </row>
    <row r="68" customFormat="false" ht="17.15" hidden="false" customHeight="false" outlineLevel="0" collapsed="false">
      <c r="A68" s="5" t="s">
        <v>415</v>
      </c>
      <c r="B68" s="0" t="s">
        <v>107</v>
      </c>
      <c r="C68" s="28" t="n">
        <f aca="false">C65+C67</f>
        <v>9.944</v>
      </c>
      <c r="D68" s="28" t="n">
        <f aca="false">D65+D67</f>
        <v>21.9251426</v>
      </c>
      <c r="E68" s="28" t="n">
        <f aca="false">E65+E67</f>
        <v>23.5560096722345</v>
      </c>
      <c r="F68" s="28" t="n">
        <f aca="false">F65+F67</f>
        <v>24.5553486219532</v>
      </c>
      <c r="G68" s="28" t="n">
        <f aca="false">G65+G67</f>
        <v>25.7542611690313</v>
      </c>
    </row>
    <row r="69" customFormat="false" ht="15" hidden="false" customHeight="false" outlineLevel="0" collapsed="false">
      <c r="A69" s="5" t="s">
        <v>384</v>
      </c>
      <c r="B69" s="0" t="s">
        <v>130</v>
      </c>
      <c r="C69" s="23" t="n">
        <f aca="false">C68/C59</f>
        <v>0.0875830118550617</v>
      </c>
      <c r="D69" s="23" t="n">
        <f aca="false">D68/D59</f>
        <v>0.114193451041667</v>
      </c>
      <c r="E69" s="23" t="n">
        <f aca="false">E68/E59</f>
        <v>0.105448962364428</v>
      </c>
      <c r="F69" s="23" t="n">
        <f aca="false">F68/F59</f>
        <v>0.105362435276618</v>
      </c>
      <c r="G69" s="23" t="n">
        <f aca="false">G68/G59</f>
        <v>0.105333817909376</v>
      </c>
    </row>
    <row r="70" customFormat="false" ht="17.15" hidden="false" customHeight="false" outlineLevel="0" collapsed="false">
      <c r="A70" s="5" t="s">
        <v>416</v>
      </c>
      <c r="B70" s="0" t="s">
        <v>130</v>
      </c>
      <c r="C70" s="17" t="n">
        <f aca="false">a26_ni/a26_oi</f>
        <v>0.708567980691875</v>
      </c>
      <c r="D70" s="17" t="n">
        <f aca="false">a27_ni/a27_oi</f>
        <v>0.753655303477935</v>
      </c>
      <c r="E70" s="17" t="n">
        <f aca="false">nio_f</f>
        <v>0.75</v>
      </c>
      <c r="F70" s="17" t="n">
        <f aca="false">nio_f</f>
        <v>0.75</v>
      </c>
      <c r="G70" s="17" t="n">
        <f aca="false">nio_f</f>
        <v>0.75</v>
      </c>
    </row>
    <row r="71" customFormat="false" ht="17.15" hidden="false" customHeight="false" outlineLevel="0" collapsed="false">
      <c r="A71" s="0" t="s">
        <v>316</v>
      </c>
      <c r="B71" s="0" t="s">
        <v>107</v>
      </c>
      <c r="C71" s="28" t="n">
        <f aca="false">a26_ni</f>
        <v>7.046</v>
      </c>
      <c r="D71" s="28" t="n">
        <f aca="false">a27_ni</f>
        <v>16.524</v>
      </c>
      <c r="E71" s="28" t="n">
        <f aca="false">E68*E70</f>
        <v>17.6670072541759</v>
      </c>
      <c r="F71" s="28" t="n">
        <f aca="false">F68*F70</f>
        <v>18.4165114664649</v>
      </c>
      <c r="G71" s="28" t="n">
        <f aca="false">G68*G70</f>
        <v>19.3156958767735</v>
      </c>
      <c r="H71" s="29" t="n">
        <f aca="false">H59*H75</f>
        <v>20.3211244788257</v>
      </c>
      <c r="I71" s="29" t="n">
        <f aca="false">I59*I75</f>
        <v>21.489153926858</v>
      </c>
    </row>
    <row r="72" customFormat="false" ht="15" hidden="false" customHeight="false" outlineLevel="0" collapsed="false">
      <c r="A72" s="5" t="s">
        <v>417</v>
      </c>
      <c r="B72" s="5" t="s">
        <v>143</v>
      </c>
      <c r="C72" s="32" t="n">
        <f aca="false">a26_sh</f>
        <v>0.684077669902913</v>
      </c>
      <c r="D72" s="32" t="n">
        <f aca="false">a27_sh</f>
        <v>0.648</v>
      </c>
      <c r="E72" s="32" t="n">
        <f aca="false">D72*(1+sh_g)</f>
        <v>0.62856</v>
      </c>
      <c r="F72" s="32" t="n">
        <f aca="false">E72*(1+sh_g)</f>
        <v>0.6097032</v>
      </c>
      <c r="G72" s="32" t="n">
        <f aca="false">F72*(1+sh_g)</f>
        <v>0.591412104</v>
      </c>
      <c r="H72" s="33" t="n">
        <f aca="false">G72*(1+sh_g)</f>
        <v>0.57366974088</v>
      </c>
      <c r="I72" s="33" t="n">
        <f aca="false">H72*(1+sh_g)</f>
        <v>0.5564596486536</v>
      </c>
    </row>
    <row r="73" customFormat="false" ht="15" hidden="false" customHeight="false" outlineLevel="0" collapsed="false">
      <c r="A73" s="0" t="s">
        <v>324</v>
      </c>
      <c r="B73" s="0" t="s">
        <v>117</v>
      </c>
      <c r="C73" s="28" t="n">
        <f aca="false">C71/C72</f>
        <v>10.3</v>
      </c>
      <c r="D73" s="28" t="n">
        <f aca="false">D71/D72</f>
        <v>25.5</v>
      </c>
      <c r="E73" s="28" t="n">
        <f aca="false">E71/E72</f>
        <v>28.1071134882523</v>
      </c>
      <c r="F73" s="28" t="n">
        <f aca="false">F71/F72</f>
        <v>30.2056992098203</v>
      </c>
      <c r="G73" s="28" t="n">
        <f aca="false">G71/G72</f>
        <v>32.660298539939</v>
      </c>
      <c r="H73" s="31" t="n">
        <f aca="false">H71/H72</f>
        <v>35.4230370380935</v>
      </c>
      <c r="I73" s="31" t="n">
        <f aca="false">I71/I72</f>
        <v>38.6176319861697</v>
      </c>
    </row>
    <row r="74" customFormat="false" ht="17.15" hidden="false" customHeight="false" outlineLevel="0" collapsed="false">
      <c r="A74" s="0" t="s">
        <v>418</v>
      </c>
      <c r="B74" s="0" t="s">
        <v>130</v>
      </c>
      <c r="D74" s="17" t="n">
        <f aca="false">D73/C73-1</f>
        <v>1.47572815533981</v>
      </c>
      <c r="E74" s="17" t="n">
        <f aca="false">E73/D73-1</f>
        <v>0.102239744637346</v>
      </c>
      <c r="F74" s="17" t="n">
        <f aca="false">F73/E73-1</f>
        <v>0.0746638648057947</v>
      </c>
      <c r="G74" s="17" t="n">
        <f aca="false">G73/F73-1</f>
        <v>0.0812627879615746</v>
      </c>
      <c r="H74" s="27" t="n">
        <f aca="false">H73/G73-1</f>
        <v>0.0845901177166517</v>
      </c>
      <c r="I74" s="27" t="n">
        <f aca="false">I73/H73-1</f>
        <v>0.0901841065925768</v>
      </c>
    </row>
    <row r="75" customFormat="false" ht="17.15" hidden="false" customHeight="false" outlineLevel="0" collapsed="false">
      <c r="A75" s="5" t="s">
        <v>419</v>
      </c>
      <c r="B75" s="0" t="s">
        <v>130</v>
      </c>
      <c r="C75" s="23" t="n">
        <f aca="false">C71/C59</f>
        <v>0.0620585178530536</v>
      </c>
      <c r="D75" s="23" t="n">
        <f aca="false">D71/D59</f>
        <v>0.0860625</v>
      </c>
      <c r="E75" s="23" t="n">
        <f aca="false">E71/E59</f>
        <v>0.0790867217733213</v>
      </c>
      <c r="F75" s="23" t="n">
        <f aca="false">F71/F59</f>
        <v>0.0790218264574637</v>
      </c>
      <c r="G75" s="23" t="n">
        <f aca="false">G71/G59</f>
        <v>0.0790003634320323</v>
      </c>
      <c r="H75" s="30" t="n">
        <f aca="false">$G75+(fade_mA-$G75)*1/2</f>
        <v>0.0788128916078776</v>
      </c>
      <c r="I75" s="30" t="n">
        <f aca="false">$G75+(fade_mA-$G75)*2/2</f>
        <v>0.0786254197837229</v>
      </c>
    </row>
    <row r="76" customFormat="false" ht="17.15" hidden="false" customHeight="false" outlineLevel="0" collapsed="false">
      <c r="A76" s="0" t="s">
        <v>420</v>
      </c>
      <c r="B76" s="0" t="s">
        <v>74</v>
      </c>
      <c r="D76" s="20" t="n">
        <f aca="false">D52/(D45+D46)</f>
        <v>8.8622754491018</v>
      </c>
      <c r="E76" s="20" t="n">
        <f aca="false">E52/(E45+E46)</f>
        <v>11.6834319452156</v>
      </c>
      <c r="F76" s="20" t="n">
        <f aca="false">F52/(F45+F46)</f>
        <v>12.0617467870742</v>
      </c>
      <c r="G76" s="20" t="n">
        <f aca="false">G52/(G45+G46)</f>
        <v>11.4886560037218</v>
      </c>
    </row>
    <row r="79" customFormat="false" ht="17.15" hidden="false" customHeight="false" outlineLevel="0" collapsed="false">
      <c r="A79" s="3" t="s">
        <v>746</v>
      </c>
    </row>
    <row r="80" customFormat="false" ht="17.15" hidden="false" customHeight="false" outlineLevel="0" collapsed="false">
      <c r="A80" s="6" t="s">
        <v>20</v>
      </c>
      <c r="B80" s="6" t="s">
        <v>21</v>
      </c>
      <c r="C80" s="14" t="s">
        <v>284</v>
      </c>
      <c r="D80" s="14" t="s">
        <v>371</v>
      </c>
      <c r="E80" s="14" t="s">
        <v>372</v>
      </c>
      <c r="F80" s="14" t="s">
        <v>373</v>
      </c>
      <c r="G80" s="14" t="s">
        <v>374</v>
      </c>
      <c r="H80" s="14" t="s">
        <v>375</v>
      </c>
      <c r="I80" s="14" t="s">
        <v>376</v>
      </c>
      <c r="J80" s="6" t="s">
        <v>344</v>
      </c>
    </row>
    <row r="81" customFormat="false" ht="17.15" hidden="false" customHeight="false" outlineLevel="0" collapsed="false">
      <c r="A81" s="1" t="s">
        <v>394</v>
      </c>
    </row>
    <row r="82" customFormat="false" ht="17.15" hidden="false" customHeight="false" outlineLevel="0" collapsed="false">
      <c r="A82" s="0" t="s">
        <v>395</v>
      </c>
      <c r="B82" s="5" t="s">
        <v>31</v>
      </c>
      <c r="D82" s="18" t="n">
        <f aca="false">ug_26</f>
        <v>6.65</v>
      </c>
      <c r="E82" s="18" t="n">
        <f aca="false">ug_27*mf_hi</f>
        <v>2.88</v>
      </c>
      <c r="F82" s="18" t="n">
        <f aca="false">ug_28*um28_A*mf_hi</f>
        <v>0.6</v>
      </c>
      <c r="G82" s="18" t="n">
        <f aca="false">ug_29*um29_A*mf_hi</f>
        <v>0.3</v>
      </c>
    </row>
    <row r="83" customFormat="false" ht="17.15" hidden="false" customHeight="false" outlineLevel="0" collapsed="false">
      <c r="A83" s="0" t="s">
        <v>396</v>
      </c>
      <c r="B83" s="5" t="s">
        <v>31</v>
      </c>
      <c r="D83" s="18" t="n">
        <f aca="false">uv_26</f>
        <v>1.7</v>
      </c>
      <c r="E83" s="18" t="n">
        <f aca="false">uv_27*mf_hi</f>
        <v>10.56</v>
      </c>
      <c r="F83" s="18" t="n">
        <f aca="false">uv_28*um28_A*mf_hi</f>
        <v>13.2</v>
      </c>
      <c r="G83" s="18" t="n">
        <f aca="false">uv_29*um29_A*mf_hi</f>
        <v>15.18</v>
      </c>
    </row>
    <row r="84" customFormat="false" ht="17.15" hidden="false" customHeight="false" outlineLevel="0" collapsed="false">
      <c r="A84" s="5" t="s">
        <v>397</v>
      </c>
      <c r="B84" s="0" t="s">
        <v>107</v>
      </c>
      <c r="D84" s="22" t="n">
        <f aca="false">D82*v_gb+D83*v_vr</f>
        <v>595.4861102</v>
      </c>
      <c r="E84" s="22" t="n">
        <f aca="false">E82*v_gb+E83*v_vr</f>
        <v>1404.00000288</v>
      </c>
      <c r="F84" s="22" t="n">
        <f aca="false">F82*v_gb+F83*v_vr</f>
        <v>1575.8333376</v>
      </c>
      <c r="G84" s="22" t="n">
        <f aca="false">G82*v_gb+G83*v_vr</f>
        <v>1788.91667166</v>
      </c>
      <c r="J84" s="5" t="s">
        <v>398</v>
      </c>
    </row>
    <row r="85" customFormat="false" ht="17.15" hidden="false" customHeight="false" outlineLevel="0" collapsed="false">
      <c r="A85" s="0" t="s">
        <v>399</v>
      </c>
      <c r="B85" s="0" t="s">
        <v>130</v>
      </c>
      <c r="D85" s="23" t="n">
        <f aca="false">a27_ai/D84</f>
        <v>0.124268221764478</v>
      </c>
      <c r="J85" s="8" t="s">
        <v>400</v>
      </c>
    </row>
    <row r="86" customFormat="false" ht="17.15" hidden="false" customHeight="false" outlineLevel="0" collapsed="false">
      <c r="A86" s="5" t="s">
        <v>401</v>
      </c>
      <c r="B86" s="0" t="s">
        <v>53</v>
      </c>
      <c r="D86" s="18" t="n">
        <f aca="false">1</f>
        <v>1</v>
      </c>
      <c r="E86" s="18" t="n">
        <f aca="false">rel_28</f>
        <v>0.9</v>
      </c>
      <c r="F86" s="18" t="n">
        <f aca="false">rel_29</f>
        <v>0.85</v>
      </c>
      <c r="G86" s="18" t="n">
        <f aca="false">rel_30</f>
        <v>0.8</v>
      </c>
    </row>
    <row r="87" customFormat="false" ht="17.15" hidden="false" customHeight="false" outlineLevel="0" collapsed="false">
      <c r="A87" s="5" t="s">
        <v>402</v>
      </c>
      <c r="B87" s="0" t="s">
        <v>53</v>
      </c>
      <c r="D87" s="18" t="n">
        <f aca="false">1</f>
        <v>1</v>
      </c>
      <c r="E87" s="18" t="n">
        <f aca="false">1</f>
        <v>1</v>
      </c>
      <c r="F87" s="18" t="n">
        <f aca="false">srel_A</f>
        <v>1</v>
      </c>
      <c r="G87" s="18" t="n">
        <f aca="false">srel_A</f>
        <v>1</v>
      </c>
    </row>
    <row r="88" customFormat="false" ht="17.15" hidden="false" customHeight="false" outlineLevel="0" collapsed="false">
      <c r="A88" s="0" t="s">
        <v>353</v>
      </c>
      <c r="B88" s="0" t="s">
        <v>130</v>
      </c>
      <c r="D88" s="23" t="n">
        <f aca="false">$D$85*D86*D87</f>
        <v>0.124268221764478</v>
      </c>
      <c r="E88" s="23" t="n">
        <f aca="false">$D$85*E86*E87</f>
        <v>0.11184139958803</v>
      </c>
      <c r="F88" s="23" t="n">
        <f aca="false">$D$85*F86*F87</f>
        <v>0.105627988499806</v>
      </c>
      <c r="G88" s="23" t="n">
        <f aca="false">$D$85*G86*G87</f>
        <v>0.0994145774115824</v>
      </c>
    </row>
    <row r="89" customFormat="false" ht="17.15" hidden="false" customHeight="false" outlineLevel="0" collapsed="false">
      <c r="A89" s="0" t="s">
        <v>403</v>
      </c>
      <c r="B89" s="0" t="s">
        <v>107</v>
      </c>
      <c r="C89" s="22" t="n">
        <f aca="false">a26_ai</f>
        <v>24.683</v>
      </c>
      <c r="D89" s="22" t="n">
        <f aca="false">D84*D88</f>
        <v>74</v>
      </c>
      <c r="E89" s="22" t="n">
        <f aca="false">E84*E88</f>
        <v>157.025325343698</v>
      </c>
      <c r="F89" s="22" t="n">
        <f aca="false">F84*F88</f>
        <v>166.452105661624</v>
      </c>
      <c r="G89" s="22" t="n">
        <f aca="false">G84*G88</f>
        <v>177.844394937614</v>
      </c>
    </row>
    <row r="90" customFormat="false" ht="17.15" hidden="false" customHeight="false" outlineLevel="0" collapsed="false">
      <c r="A90" s="1" t="s">
        <v>404</v>
      </c>
    </row>
    <row r="91" customFormat="false" ht="15" hidden="false" customHeight="false" outlineLevel="0" collapsed="false">
      <c r="A91" s="5" t="s">
        <v>293</v>
      </c>
      <c r="B91" s="0" t="s">
        <v>107</v>
      </c>
      <c r="C91" s="22" t="n">
        <f aca="false">a26_tr</f>
        <v>19.512</v>
      </c>
      <c r="D91" s="22" t="n">
        <f aca="false">a27_tr</f>
        <v>37.59663</v>
      </c>
      <c r="E91" s="22" t="n">
        <f aca="false">D91*(1+g_tr28)</f>
        <v>35.7167985</v>
      </c>
      <c r="F91" s="22" t="n">
        <f aca="false">E91*(1+g_tr29)</f>
        <v>36.43113447</v>
      </c>
      <c r="G91" s="22" t="n">
        <f aca="false">F91*(1+g_tr30)</f>
        <v>37.5240685041</v>
      </c>
    </row>
    <row r="92" customFormat="false" ht="15" hidden="false" customHeight="false" outlineLevel="0" collapsed="false">
      <c r="A92" s="5" t="s">
        <v>296</v>
      </c>
      <c r="B92" s="0" t="s">
        <v>107</v>
      </c>
      <c r="C92" s="22" t="n">
        <f aca="false">a26_st</f>
        <v>16.631</v>
      </c>
      <c r="D92" s="22" t="n">
        <f aca="false">a27_st</f>
        <v>19.47008</v>
      </c>
      <c r="E92" s="22" t="n">
        <f aca="false">D92*(1+g_st28)</f>
        <v>20.2488832</v>
      </c>
      <c r="F92" s="22" t="n">
        <f aca="false">E92*(1+g_st29)</f>
        <v>21.058838528</v>
      </c>
      <c r="G92" s="22" t="n">
        <f aca="false">F92*(1+g_st30)</f>
        <v>21.90119206912</v>
      </c>
    </row>
    <row r="93" customFormat="false" ht="17.15" hidden="false" customHeight="false" outlineLevel="0" collapsed="false">
      <c r="A93" s="0" t="s">
        <v>299</v>
      </c>
      <c r="B93" s="0" t="s">
        <v>107</v>
      </c>
      <c r="C93" s="22" t="n">
        <f aca="false">C89+C91+C92</f>
        <v>60.826</v>
      </c>
      <c r="D93" s="22" t="n">
        <f aca="false">D89+D91+D92</f>
        <v>131.06671</v>
      </c>
      <c r="E93" s="22" t="n">
        <f aca="false">E89+E91+E92</f>
        <v>212.991007043698</v>
      </c>
      <c r="F93" s="22" t="n">
        <f aca="false">F89+F91+F92</f>
        <v>223.942078659624</v>
      </c>
      <c r="G93" s="22" t="n">
        <f aca="false">G89+G91+G92</f>
        <v>237.269655510833</v>
      </c>
    </row>
    <row r="94" customFormat="false" ht="17.15" hidden="false" customHeight="false" outlineLevel="0" collapsed="false">
      <c r="A94" s="0" t="s">
        <v>405</v>
      </c>
      <c r="B94" s="0" t="s">
        <v>107</v>
      </c>
      <c r="C94" s="22" t="n">
        <f aca="false">a26_csg</f>
        <v>50.984</v>
      </c>
      <c r="D94" s="22" t="n">
        <f aca="false">a27_csg</f>
        <v>60.17529</v>
      </c>
      <c r="E94" s="22" t="n">
        <f aca="false">D94*(1+g_csg28)</f>
        <v>61.9805487</v>
      </c>
      <c r="F94" s="22" t="n">
        <f aca="false">E94*(1+g_csg29)</f>
        <v>63.839965161</v>
      </c>
      <c r="G94" s="22" t="n">
        <f aca="false">F94*(1+g_csg30)</f>
        <v>65.75516411583</v>
      </c>
    </row>
    <row r="95" customFormat="false" ht="17.15" hidden="false" customHeight="false" outlineLevel="0" collapsed="false">
      <c r="A95" s="5" t="s">
        <v>406</v>
      </c>
      <c r="B95" s="0" t="s">
        <v>107</v>
      </c>
      <c r="C95" s="22" t="n">
        <f aca="false">a26_oth</f>
        <v>1.72799999999999</v>
      </c>
      <c r="D95" s="22" t="n">
        <f aca="false">a27_oth</f>
        <v>0.75800000000001</v>
      </c>
      <c r="E95" s="22" t="n">
        <f aca="false">D95</f>
        <v>0.75800000000001</v>
      </c>
      <c r="F95" s="22" t="n">
        <f aca="false">E95</f>
        <v>0.75800000000001</v>
      </c>
      <c r="G95" s="22" t="n">
        <f aca="false">F95</f>
        <v>0.75800000000001</v>
      </c>
      <c r="J95" s="8" t="s">
        <v>407</v>
      </c>
    </row>
    <row r="96" customFormat="false" ht="17.15" hidden="false" customHeight="false" outlineLevel="0" collapsed="false">
      <c r="A96" s="5" t="s">
        <v>306</v>
      </c>
      <c r="B96" s="0" t="s">
        <v>107</v>
      </c>
      <c r="C96" s="22" t="n">
        <f aca="false">C93+C94+C95</f>
        <v>113.538</v>
      </c>
      <c r="D96" s="22" t="n">
        <f aca="false">D93+D94+D95</f>
        <v>192</v>
      </c>
      <c r="E96" s="22" t="n">
        <f aca="false">E93+E94+E95</f>
        <v>275.729555743698</v>
      </c>
      <c r="F96" s="22" t="n">
        <f aca="false">F93+F94+F95</f>
        <v>288.540043820624</v>
      </c>
      <c r="G96" s="22" t="n">
        <f aca="false">G93+G94+G95</f>
        <v>303.782819626663</v>
      </c>
      <c r="H96" s="26" t="n">
        <f aca="false">G96*(1+H97)</f>
        <v>320.920309050256</v>
      </c>
      <c r="I96" s="26" t="n">
        <f aca="false">H96*(1+I97)</f>
        <v>340.175527593271</v>
      </c>
      <c r="J96" s="8" t="s">
        <v>408</v>
      </c>
    </row>
    <row r="97" customFormat="false" ht="15" hidden="false" customHeight="false" outlineLevel="0" collapsed="false">
      <c r="A97" s="5" t="s">
        <v>409</v>
      </c>
      <c r="B97" s="0" t="s">
        <v>130</v>
      </c>
      <c r="D97" s="17" t="n">
        <f aca="false">D96/C96-1</f>
        <v>0.691063784812134</v>
      </c>
      <c r="E97" s="17" t="n">
        <f aca="false">E96/D96-1</f>
        <v>0.436091436165092</v>
      </c>
      <c r="F97" s="17" t="n">
        <f aca="false">F96/E96-1</f>
        <v>0.0464603369862693</v>
      </c>
      <c r="G97" s="17" t="n">
        <f aca="false">G96/F96-1</f>
        <v>0.0528272457583572</v>
      </c>
      <c r="H97" s="27" t="n">
        <f aca="false">$G97+(fade_gA-$G97)*1/2</f>
        <v>0.0564136228791786</v>
      </c>
      <c r="I97" s="27" t="n">
        <f aca="false">$G97+(fade_gA-$G97)*2/2</f>
        <v>0.06</v>
      </c>
    </row>
    <row r="98" customFormat="false" ht="17.15" hidden="false" customHeight="false" outlineLevel="0" collapsed="false">
      <c r="A98" s="0" t="s">
        <v>410</v>
      </c>
      <c r="B98" s="0" t="s">
        <v>130</v>
      </c>
      <c r="C98" s="17" t="n">
        <f aca="false">C89/C96</f>
        <v>0.217398580211031</v>
      </c>
      <c r="D98" s="17" t="n">
        <f aca="false">D89/D96</f>
        <v>0.385416666666667</v>
      </c>
      <c r="E98" s="17" t="n">
        <f aca="false">E89/E96</f>
        <v>0.569490365007005</v>
      </c>
      <c r="F98" s="17" t="n">
        <f aca="false">F89/F96</f>
        <v>0.576876968124057</v>
      </c>
      <c r="G98" s="17" t="n">
        <f aca="false">G89/G96</f>
        <v>0.585432695490077</v>
      </c>
    </row>
    <row r="99" customFormat="false" ht="17.15" hidden="false" customHeight="false" outlineLevel="0" collapsed="false">
      <c r="A99" s="1" t="s">
        <v>411</v>
      </c>
    </row>
    <row r="100" customFormat="false" ht="17.15" hidden="false" customHeight="false" outlineLevel="0" collapsed="false">
      <c r="A100" s="0" t="s">
        <v>383</v>
      </c>
      <c r="B100" s="0" t="s">
        <v>130</v>
      </c>
      <c r="C100" s="23" t="n">
        <f aca="false">(a26_isgoi-m_nai*(a26_tr+a26_st))/a26_ai</f>
        <v>0.0538070736944455</v>
      </c>
      <c r="D100" s="23" t="n">
        <f aca="false">(a27_isgoi-m_nai*(a27_tr+a27_st))/a27_ai</f>
        <v>0.110710097972973</v>
      </c>
      <c r="E100" s="23" t="n">
        <f aca="false">$D100+ai_dm</f>
        <v>0.100710097972973</v>
      </c>
      <c r="F100" s="23" t="n">
        <f aca="false">$D100+ai_dm+dm_A</f>
        <v>0.100710097972973</v>
      </c>
      <c r="G100" s="23" t="n">
        <f aca="false">$D100+ai_dm+dm_A</f>
        <v>0.100710097972973</v>
      </c>
      <c r="J100" s="8" t="s">
        <v>412</v>
      </c>
    </row>
    <row r="101" customFormat="false" ht="17.15" hidden="false" customHeight="false" outlineLevel="0" collapsed="false">
      <c r="A101" s="5" t="s">
        <v>413</v>
      </c>
      <c r="B101" s="0" t="s">
        <v>130</v>
      </c>
      <c r="C101" s="23" t="n">
        <f aca="false">m_nai</f>
        <v>0.16</v>
      </c>
      <c r="D101" s="23" t="n">
        <f aca="false">m_nai</f>
        <v>0.16</v>
      </c>
      <c r="E101" s="23" t="n">
        <f aca="false">m_naif</f>
        <v>0.155</v>
      </c>
      <c r="F101" s="23" t="n">
        <f aca="false">m_naif</f>
        <v>0.155</v>
      </c>
      <c r="G101" s="23" t="n">
        <f aca="false">m_naif</f>
        <v>0.155</v>
      </c>
    </row>
    <row r="102" customFormat="false" ht="17.15" hidden="false" customHeight="false" outlineLevel="0" collapsed="false">
      <c r="A102" s="0" t="s">
        <v>308</v>
      </c>
      <c r="B102" s="0" t="s">
        <v>107</v>
      </c>
      <c r="C102" s="28" t="n">
        <f aca="false">a26_isgoi</f>
        <v>7.111</v>
      </c>
      <c r="D102" s="28" t="n">
        <f aca="false">a27_isgoi</f>
        <v>17.32322085</v>
      </c>
      <c r="E102" s="28" t="n">
        <f aca="false">E89*E100+(E91+E92)*E101</f>
        <v>24.4887165631018</v>
      </c>
      <c r="F102" s="28" t="n">
        <f aca="false">F89*F100+(F91+F92)*F101</f>
        <v>25.6743536836798</v>
      </c>
      <c r="G102" s="28" t="n">
        <f aca="false">G89*G100+(G91+G92)*G101</f>
        <v>27.1216418269603</v>
      </c>
    </row>
    <row r="103" customFormat="false" ht="17.15" hidden="false" customHeight="false" outlineLevel="0" collapsed="false">
      <c r="A103" s="0" t="s">
        <v>414</v>
      </c>
      <c r="B103" s="0" t="s">
        <v>130</v>
      </c>
      <c r="C103" s="23" t="n">
        <f aca="false">a26_csgoi/C94</f>
        <v>0.0555664522203044</v>
      </c>
      <c r="D103" s="23" t="n">
        <f aca="false">a27_csgoi/D94</f>
        <v>0.0764752733223222</v>
      </c>
      <c r="E103" s="23" t="n">
        <f aca="false">m_csgf</f>
        <v>0.07</v>
      </c>
      <c r="F103" s="23" t="n">
        <f aca="false">m_csgf</f>
        <v>0.07</v>
      </c>
      <c r="G103" s="23" t="n">
        <f aca="false">m_csgf</f>
        <v>0.07</v>
      </c>
    </row>
    <row r="104" customFormat="false" ht="17.15" hidden="false" customHeight="false" outlineLevel="0" collapsed="false">
      <c r="A104" s="0" t="s">
        <v>310</v>
      </c>
      <c r="B104" s="0" t="s">
        <v>107</v>
      </c>
      <c r="C104" s="28" t="n">
        <f aca="false">C94*C103</f>
        <v>2.833</v>
      </c>
      <c r="D104" s="28" t="n">
        <f aca="false">D94*D103</f>
        <v>4.60192175</v>
      </c>
      <c r="E104" s="28" t="n">
        <f aca="false">E94*E103</f>
        <v>4.338638409</v>
      </c>
      <c r="F104" s="28" t="n">
        <f aca="false">F94*F103</f>
        <v>4.46879756127</v>
      </c>
      <c r="G104" s="28" t="n">
        <f aca="false">G94*G103</f>
        <v>4.6028614881081</v>
      </c>
    </row>
    <row r="105" customFormat="false" ht="17.15" hidden="false" customHeight="false" outlineLevel="0" collapsed="false">
      <c r="A105" s="5" t="s">
        <v>415</v>
      </c>
      <c r="B105" s="0" t="s">
        <v>107</v>
      </c>
      <c r="C105" s="28" t="n">
        <f aca="false">C102+C104</f>
        <v>9.944</v>
      </c>
      <c r="D105" s="28" t="n">
        <f aca="false">D102+D104</f>
        <v>21.9251426</v>
      </c>
      <c r="E105" s="28" t="n">
        <f aca="false">E102+E104</f>
        <v>28.8273549721018</v>
      </c>
      <c r="F105" s="28" t="n">
        <f aca="false">F102+F104</f>
        <v>30.1431512449498</v>
      </c>
      <c r="G105" s="28" t="n">
        <f aca="false">G102+G104</f>
        <v>31.7245033150684</v>
      </c>
    </row>
    <row r="106" customFormat="false" ht="15" hidden="false" customHeight="false" outlineLevel="0" collapsed="false">
      <c r="A106" s="5" t="s">
        <v>384</v>
      </c>
      <c r="B106" s="0" t="s">
        <v>130</v>
      </c>
      <c r="C106" s="23" t="n">
        <f aca="false">C105/C96</f>
        <v>0.0875830118550617</v>
      </c>
      <c r="D106" s="23" t="n">
        <f aca="false">D105/D96</f>
        <v>0.114193451041667</v>
      </c>
      <c r="E106" s="23" t="n">
        <f aca="false">E105/E96</f>
        <v>0.104549383160426</v>
      </c>
      <c r="F106" s="23" t="n">
        <f aca="false">F105/F96</f>
        <v>0.104467826530479</v>
      </c>
      <c r="G106" s="23" t="n">
        <f aca="false">G105/G96</f>
        <v>0.10443152563419</v>
      </c>
    </row>
    <row r="107" customFormat="false" ht="17.15" hidden="false" customHeight="false" outlineLevel="0" collapsed="false">
      <c r="A107" s="5" t="s">
        <v>416</v>
      </c>
      <c r="B107" s="0" t="s">
        <v>130</v>
      </c>
      <c r="C107" s="17" t="n">
        <f aca="false">a26_ni/a26_oi</f>
        <v>0.708567980691875</v>
      </c>
      <c r="D107" s="17" t="n">
        <f aca="false">a27_ni/a27_oi</f>
        <v>0.753655303477935</v>
      </c>
      <c r="E107" s="17" t="n">
        <f aca="false">nio_f</f>
        <v>0.75</v>
      </c>
      <c r="F107" s="17" t="n">
        <f aca="false">nio_f</f>
        <v>0.75</v>
      </c>
      <c r="G107" s="17" t="n">
        <f aca="false">nio_f</f>
        <v>0.75</v>
      </c>
    </row>
    <row r="108" customFormat="false" ht="17.15" hidden="false" customHeight="false" outlineLevel="0" collapsed="false">
      <c r="A108" s="0" t="s">
        <v>316</v>
      </c>
      <c r="B108" s="0" t="s">
        <v>107</v>
      </c>
      <c r="C108" s="28" t="n">
        <f aca="false">a26_ni</f>
        <v>7.046</v>
      </c>
      <c r="D108" s="28" t="n">
        <f aca="false">a27_ni</f>
        <v>16.524</v>
      </c>
      <c r="E108" s="28" t="n">
        <f aca="false">E105*E107</f>
        <v>21.6205162290763</v>
      </c>
      <c r="F108" s="28" t="n">
        <f aca="false">F105*F107</f>
        <v>22.6073634337124</v>
      </c>
      <c r="G108" s="28" t="n">
        <f aca="false">G105*G107</f>
        <v>23.7933774863013</v>
      </c>
      <c r="H108" s="29" t="n">
        <f aca="false">H96*H112</f>
        <v>25.1840710635169</v>
      </c>
      <c r="I108" s="29" t="n">
        <f aca="false">I96*I112</f>
        <v>26.7464436571703</v>
      </c>
    </row>
    <row r="109" customFormat="false" ht="15" hidden="false" customHeight="false" outlineLevel="0" collapsed="false">
      <c r="A109" s="5" t="s">
        <v>417</v>
      </c>
      <c r="B109" s="5" t="s">
        <v>143</v>
      </c>
      <c r="C109" s="32" t="n">
        <f aca="false">a26_sh</f>
        <v>0.684077669902913</v>
      </c>
      <c r="D109" s="32" t="n">
        <f aca="false">a27_sh</f>
        <v>0.648</v>
      </c>
      <c r="E109" s="32" t="n">
        <f aca="false">D109*(1+sh_g)</f>
        <v>0.62856</v>
      </c>
      <c r="F109" s="32" t="n">
        <f aca="false">E109*(1+sh_g)</f>
        <v>0.6097032</v>
      </c>
      <c r="G109" s="32" t="n">
        <f aca="false">F109*(1+sh_g)</f>
        <v>0.591412104</v>
      </c>
      <c r="H109" s="33" t="n">
        <f aca="false">G109*(1+sh_g)</f>
        <v>0.57366974088</v>
      </c>
      <c r="I109" s="33" t="n">
        <f aca="false">H109*(1+sh_g)</f>
        <v>0.5564596486536</v>
      </c>
    </row>
    <row r="110" customFormat="false" ht="15" hidden="false" customHeight="false" outlineLevel="0" collapsed="false">
      <c r="A110" s="0" t="s">
        <v>324</v>
      </c>
      <c r="B110" s="0" t="s">
        <v>117</v>
      </c>
      <c r="C110" s="28" t="n">
        <f aca="false">C108/C109</f>
        <v>10.3</v>
      </c>
      <c r="D110" s="28" t="n">
        <f aca="false">D108/D109</f>
        <v>25.5</v>
      </c>
      <c r="E110" s="28" t="n">
        <f aca="false">E108/E109</f>
        <v>34.396901217189</v>
      </c>
      <c r="F110" s="28" t="n">
        <f aca="false">F108/F109</f>
        <v>37.0792927340916</v>
      </c>
      <c r="G110" s="28" t="n">
        <f aca="false">G108/G109</f>
        <v>40.2314685908107</v>
      </c>
      <c r="H110" s="31" t="n">
        <f aca="false">H108/H109</f>
        <v>43.8999467269878</v>
      </c>
      <c r="I110" s="31" t="n">
        <f aca="false">I108/I109</f>
        <v>48.0653785443123</v>
      </c>
    </row>
    <row r="111" customFormat="false" ht="17.15" hidden="false" customHeight="false" outlineLevel="0" collapsed="false">
      <c r="A111" s="0" t="s">
        <v>418</v>
      </c>
      <c r="B111" s="0" t="s">
        <v>130</v>
      </c>
      <c r="D111" s="17" t="n">
        <f aca="false">D110/C110-1</f>
        <v>1.47572815533981</v>
      </c>
      <c r="E111" s="17" t="n">
        <f aca="false">E110/D110-1</f>
        <v>0.348898086948588</v>
      </c>
      <c r="F111" s="17" t="n">
        <f aca="false">F110/E110-1</f>
        <v>0.077983522409923</v>
      </c>
      <c r="G111" s="17" t="n">
        <f aca="false">G110/F110-1</f>
        <v>0.0850117578920524</v>
      </c>
      <c r="H111" s="27" t="n">
        <f aca="false">H110/G110-1</f>
        <v>0.0911842958925706</v>
      </c>
      <c r="I111" s="27" t="n">
        <f aca="false">I110/H110-1</f>
        <v>0.0948846667908088</v>
      </c>
    </row>
    <row r="112" customFormat="false" ht="17.15" hidden="false" customHeight="false" outlineLevel="0" collapsed="false">
      <c r="A112" s="5" t="s">
        <v>419</v>
      </c>
      <c r="B112" s="0" t="s">
        <v>130</v>
      </c>
      <c r="C112" s="23" t="n">
        <f aca="false">C108/C96</f>
        <v>0.0620585178530536</v>
      </c>
      <c r="D112" s="23" t="n">
        <f aca="false">D108/D96</f>
        <v>0.0860625</v>
      </c>
      <c r="E112" s="23" t="n">
        <f aca="false">E108/E96</f>
        <v>0.0784120373703191</v>
      </c>
      <c r="F112" s="23" t="n">
        <f aca="false">F108/F96</f>
        <v>0.0783508698978594</v>
      </c>
      <c r="G112" s="23" t="n">
        <f aca="false">G108/G96</f>
        <v>0.0783236442256423</v>
      </c>
      <c r="H112" s="30" t="n">
        <f aca="false">$G112+(fade_mA-$G112)*1/2</f>
        <v>0.0784745320046826</v>
      </c>
      <c r="I112" s="30" t="n">
        <f aca="false">$G112+(fade_mA-$G112)*2/2</f>
        <v>0.0786254197837229</v>
      </c>
    </row>
    <row r="113" customFormat="false" ht="17.15" hidden="false" customHeight="false" outlineLevel="0" collapsed="false">
      <c r="A113" s="0" t="s">
        <v>420</v>
      </c>
      <c r="B113" s="0" t="s">
        <v>74</v>
      </c>
      <c r="D113" s="20" t="n">
        <f aca="false">D89/(D82+D83)</f>
        <v>8.8622754491018</v>
      </c>
      <c r="E113" s="20" t="n">
        <f aca="false">E89/(E82+E83)</f>
        <v>11.6834319452156</v>
      </c>
      <c r="F113" s="20" t="n">
        <f aca="false">F89/(F82+F83)</f>
        <v>12.0617467870742</v>
      </c>
      <c r="G113" s="20" t="n">
        <f aca="false">G89/(G82+G83)</f>
        <v>11.4886560037218</v>
      </c>
    </row>
    <row r="116" customFormat="false" ht="17.15" hidden="false" customHeight="false" outlineLevel="0" collapsed="false">
      <c r="A116" s="3" t="s">
        <v>747</v>
      </c>
    </row>
    <row r="117" customFormat="false" ht="17.15" hidden="false" customHeight="false" outlineLevel="0" collapsed="false">
      <c r="A117" s="6" t="s">
        <v>20</v>
      </c>
      <c r="B117" s="6" t="s">
        <v>21</v>
      </c>
      <c r="C117" s="14" t="s">
        <v>284</v>
      </c>
      <c r="D117" s="14" t="s">
        <v>371</v>
      </c>
      <c r="E117" s="14" t="s">
        <v>372</v>
      </c>
      <c r="F117" s="14" t="s">
        <v>373</v>
      </c>
      <c r="G117" s="14" t="s">
        <v>374</v>
      </c>
      <c r="H117" s="14" t="s">
        <v>375</v>
      </c>
      <c r="I117" s="14" t="s">
        <v>376</v>
      </c>
      <c r="J117" s="6" t="s">
        <v>344</v>
      </c>
    </row>
    <row r="118" customFormat="false" ht="17.15" hidden="false" customHeight="false" outlineLevel="0" collapsed="false">
      <c r="A118" s="1" t="s">
        <v>394</v>
      </c>
    </row>
    <row r="119" customFormat="false" ht="17.15" hidden="false" customHeight="false" outlineLevel="0" collapsed="false">
      <c r="A119" s="0" t="s">
        <v>395</v>
      </c>
      <c r="B119" s="5" t="s">
        <v>31</v>
      </c>
      <c r="D119" s="18" t="n">
        <f aca="false">ug_26</f>
        <v>6.65</v>
      </c>
      <c r="E119" s="18" t="n">
        <f aca="false">ug_27*1</f>
        <v>2.4</v>
      </c>
      <c r="F119" s="18" t="n">
        <f aca="false">ug_28*um28_A*1</f>
        <v>0.5</v>
      </c>
      <c r="G119" s="18" t="n">
        <f aca="false">ug_29*um29_A*1</f>
        <v>0.25</v>
      </c>
    </row>
    <row r="120" customFormat="false" ht="17.15" hidden="false" customHeight="false" outlineLevel="0" collapsed="false">
      <c r="A120" s="0" t="s">
        <v>396</v>
      </c>
      <c r="B120" s="5" t="s">
        <v>31</v>
      </c>
      <c r="D120" s="18" t="n">
        <f aca="false">uv_26</f>
        <v>1.7</v>
      </c>
      <c r="E120" s="18" t="n">
        <f aca="false">uv_27*1</f>
        <v>8.8</v>
      </c>
      <c r="F120" s="18" t="n">
        <f aca="false">uv_28*um28_A*1</f>
        <v>11</v>
      </c>
      <c r="G120" s="18" t="n">
        <f aca="false">uv_29*um29_A*1</f>
        <v>12.65</v>
      </c>
    </row>
    <row r="121" customFormat="false" ht="17.15" hidden="false" customHeight="false" outlineLevel="0" collapsed="false">
      <c r="A121" s="5" t="s">
        <v>397</v>
      </c>
      <c r="B121" s="0" t="s">
        <v>107</v>
      </c>
      <c r="D121" s="22" t="n">
        <f aca="false">D119*v_gb+D120*v_vr</f>
        <v>595.4861102</v>
      </c>
      <c r="E121" s="22" t="n">
        <f aca="false">E119*v_gb+E120*v_vr</f>
        <v>1170.0000024</v>
      </c>
      <c r="F121" s="22" t="n">
        <f aca="false">F119*v_gb+F120*v_vr</f>
        <v>1313.194448</v>
      </c>
      <c r="G121" s="22" t="n">
        <f aca="false">G119*v_gb+G120*v_vr</f>
        <v>1490.76389305</v>
      </c>
      <c r="J121" s="5" t="s">
        <v>398</v>
      </c>
    </row>
    <row r="122" customFormat="false" ht="17.15" hidden="false" customHeight="false" outlineLevel="0" collapsed="false">
      <c r="A122" s="0" t="s">
        <v>399</v>
      </c>
      <c r="B122" s="0" t="s">
        <v>130</v>
      </c>
      <c r="D122" s="23" t="n">
        <f aca="false">a27_ai/D121</f>
        <v>0.124268221764478</v>
      </c>
      <c r="J122" s="8" t="s">
        <v>400</v>
      </c>
    </row>
    <row r="123" customFormat="false" ht="17.15" hidden="false" customHeight="false" outlineLevel="0" collapsed="false">
      <c r="A123" s="5" t="s">
        <v>401</v>
      </c>
      <c r="B123" s="0" t="s">
        <v>53</v>
      </c>
      <c r="D123" s="18" t="n">
        <f aca="false">1</f>
        <v>1</v>
      </c>
      <c r="E123" s="18" t="n">
        <f aca="false">rel_28_lo</f>
        <v>0.75</v>
      </c>
      <c r="F123" s="18" t="n">
        <f aca="false">rel_29_lo</f>
        <v>0.65</v>
      </c>
      <c r="G123" s="18" t="n">
        <f aca="false">rel_30_lo</f>
        <v>0.55</v>
      </c>
    </row>
    <row r="124" customFormat="false" ht="17.15" hidden="false" customHeight="false" outlineLevel="0" collapsed="false">
      <c r="A124" s="5" t="s">
        <v>402</v>
      </c>
      <c r="B124" s="0" t="s">
        <v>53</v>
      </c>
      <c r="D124" s="18" t="n">
        <f aca="false">1</f>
        <v>1</v>
      </c>
      <c r="E124" s="18" t="n">
        <f aca="false">1</f>
        <v>1</v>
      </c>
      <c r="F124" s="18" t="n">
        <f aca="false">srel_A</f>
        <v>1</v>
      </c>
      <c r="G124" s="18" t="n">
        <f aca="false">srel_A</f>
        <v>1</v>
      </c>
    </row>
    <row r="125" customFormat="false" ht="17.15" hidden="false" customHeight="false" outlineLevel="0" collapsed="false">
      <c r="A125" s="0" t="s">
        <v>353</v>
      </c>
      <c r="B125" s="0" t="s">
        <v>130</v>
      </c>
      <c r="D125" s="23" t="n">
        <f aca="false">$D$122*D123*D124</f>
        <v>0.124268221764478</v>
      </c>
      <c r="E125" s="23" t="n">
        <f aca="false">$D$122*E123*E124</f>
        <v>0.0932011663233585</v>
      </c>
      <c r="F125" s="23" t="n">
        <f aca="false">$D$122*F123*F124</f>
        <v>0.0807743441469107</v>
      </c>
      <c r="G125" s="23" t="n">
        <f aca="false">$D$122*G123*G124</f>
        <v>0.0683475219704629</v>
      </c>
    </row>
    <row r="126" customFormat="false" ht="17.15" hidden="false" customHeight="false" outlineLevel="0" collapsed="false">
      <c r="A126" s="0" t="s">
        <v>403</v>
      </c>
      <c r="B126" s="0" t="s">
        <v>107</v>
      </c>
      <c r="C126" s="22" t="n">
        <f aca="false">a26_ai</f>
        <v>24.683</v>
      </c>
      <c r="D126" s="22" t="n">
        <f aca="false">D121*D125</f>
        <v>74</v>
      </c>
      <c r="E126" s="22" t="n">
        <f aca="false">E121*E125</f>
        <v>109.045364822012</v>
      </c>
      <c r="F126" s="22" t="n">
        <f aca="false">F121*F125</f>
        <v>106.072420274564</v>
      </c>
      <c r="G126" s="22" t="n">
        <f aca="false">G121*G125</f>
        <v>101.890017933008</v>
      </c>
    </row>
    <row r="127" customFormat="false" ht="17.15" hidden="false" customHeight="false" outlineLevel="0" collapsed="false">
      <c r="A127" s="1" t="s">
        <v>404</v>
      </c>
    </row>
    <row r="128" customFormat="false" ht="15" hidden="false" customHeight="false" outlineLevel="0" collapsed="false">
      <c r="A128" s="5" t="s">
        <v>293</v>
      </c>
      <c r="B128" s="0" t="s">
        <v>107</v>
      </c>
      <c r="C128" s="22" t="n">
        <f aca="false">a26_tr</f>
        <v>19.512</v>
      </c>
      <c r="D128" s="22" t="n">
        <f aca="false">a27_tr</f>
        <v>37.59663</v>
      </c>
      <c r="E128" s="22" t="n">
        <f aca="false">D128*(1+g_tr28)</f>
        <v>35.7167985</v>
      </c>
      <c r="F128" s="22" t="n">
        <f aca="false">E128*(1+g_tr29)</f>
        <v>36.43113447</v>
      </c>
      <c r="G128" s="22" t="n">
        <f aca="false">F128*(1+g_tr30)</f>
        <v>37.5240685041</v>
      </c>
    </row>
    <row r="129" customFormat="false" ht="15" hidden="false" customHeight="false" outlineLevel="0" collapsed="false">
      <c r="A129" s="5" t="s">
        <v>296</v>
      </c>
      <c r="B129" s="0" t="s">
        <v>107</v>
      </c>
      <c r="C129" s="22" t="n">
        <f aca="false">a26_st</f>
        <v>16.631</v>
      </c>
      <c r="D129" s="22" t="n">
        <f aca="false">a27_st</f>
        <v>19.47008</v>
      </c>
      <c r="E129" s="22" t="n">
        <f aca="false">D129*(1+g_st28)</f>
        <v>20.2488832</v>
      </c>
      <c r="F129" s="22" t="n">
        <f aca="false">E129*(1+g_st29)</f>
        <v>21.058838528</v>
      </c>
      <c r="G129" s="22" t="n">
        <f aca="false">F129*(1+g_st30)</f>
        <v>21.90119206912</v>
      </c>
    </row>
    <row r="130" customFormat="false" ht="17.15" hidden="false" customHeight="false" outlineLevel="0" collapsed="false">
      <c r="A130" s="0" t="s">
        <v>299</v>
      </c>
      <c r="B130" s="0" t="s">
        <v>107</v>
      </c>
      <c r="C130" s="22" t="n">
        <f aca="false">C126+C128+C129</f>
        <v>60.826</v>
      </c>
      <c r="D130" s="22" t="n">
        <f aca="false">D126+D128+D129</f>
        <v>131.06671</v>
      </c>
      <c r="E130" s="22" t="n">
        <f aca="false">E126+E128+E129</f>
        <v>165.011046522012</v>
      </c>
      <c r="F130" s="22" t="n">
        <f aca="false">F126+F128+F129</f>
        <v>163.562393272564</v>
      </c>
      <c r="G130" s="22" t="n">
        <f aca="false">G126+G128+G129</f>
        <v>161.315278506228</v>
      </c>
    </row>
    <row r="131" customFormat="false" ht="17.15" hidden="false" customHeight="false" outlineLevel="0" collapsed="false">
      <c r="A131" s="0" t="s">
        <v>405</v>
      </c>
      <c r="B131" s="0" t="s">
        <v>107</v>
      </c>
      <c r="C131" s="22" t="n">
        <f aca="false">a26_csg</f>
        <v>50.984</v>
      </c>
      <c r="D131" s="22" t="n">
        <f aca="false">a27_csg</f>
        <v>60.17529</v>
      </c>
      <c r="E131" s="22" t="n">
        <f aca="false">D131*(1+g_csg28)</f>
        <v>61.9805487</v>
      </c>
      <c r="F131" s="22" t="n">
        <f aca="false">E131*(1+g_csg29)</f>
        <v>63.839965161</v>
      </c>
      <c r="G131" s="22" t="n">
        <f aca="false">F131*(1+g_csg30)</f>
        <v>65.75516411583</v>
      </c>
    </row>
    <row r="132" customFormat="false" ht="17.15" hidden="false" customHeight="false" outlineLevel="0" collapsed="false">
      <c r="A132" s="5" t="s">
        <v>406</v>
      </c>
      <c r="B132" s="0" t="s">
        <v>107</v>
      </c>
      <c r="C132" s="22" t="n">
        <f aca="false">a26_oth</f>
        <v>1.72799999999999</v>
      </c>
      <c r="D132" s="22" t="n">
        <f aca="false">a27_oth</f>
        <v>0.75800000000001</v>
      </c>
      <c r="E132" s="22" t="n">
        <f aca="false">D132</f>
        <v>0.75800000000001</v>
      </c>
      <c r="F132" s="22" t="n">
        <f aca="false">E132</f>
        <v>0.75800000000001</v>
      </c>
      <c r="G132" s="22" t="n">
        <f aca="false">F132</f>
        <v>0.75800000000001</v>
      </c>
      <c r="J132" s="8" t="s">
        <v>407</v>
      </c>
    </row>
    <row r="133" customFormat="false" ht="17.15" hidden="false" customHeight="false" outlineLevel="0" collapsed="false">
      <c r="A133" s="5" t="s">
        <v>306</v>
      </c>
      <c r="B133" s="0" t="s">
        <v>107</v>
      </c>
      <c r="C133" s="22" t="n">
        <f aca="false">C130+C131+C132</f>
        <v>113.538</v>
      </c>
      <c r="D133" s="22" t="n">
        <f aca="false">D130+D131+D132</f>
        <v>192</v>
      </c>
      <c r="E133" s="22" t="n">
        <f aca="false">E130+E131+E132</f>
        <v>227.749595222012</v>
      </c>
      <c r="F133" s="22" t="n">
        <f aca="false">F130+F131+F132</f>
        <v>228.160358433564</v>
      </c>
      <c r="G133" s="22" t="n">
        <f aca="false">G130+G131+G132</f>
        <v>227.828442622058</v>
      </c>
      <c r="H133" s="26" t="n">
        <f aca="false">G133*(1+H134)</f>
        <v>234.497579421888</v>
      </c>
      <c r="I133" s="26" t="n">
        <f aca="false">H133*(1+I134)</f>
        <v>248.567434187201</v>
      </c>
      <c r="J133" s="8" t="s">
        <v>408</v>
      </c>
    </row>
    <row r="134" customFormat="false" ht="15" hidden="false" customHeight="false" outlineLevel="0" collapsed="false">
      <c r="A134" s="5" t="s">
        <v>409</v>
      </c>
      <c r="B134" s="0" t="s">
        <v>130</v>
      </c>
      <c r="D134" s="17" t="n">
        <f aca="false">D133/C133-1</f>
        <v>0.691063784812134</v>
      </c>
      <c r="E134" s="17" t="n">
        <f aca="false">E133/D133-1</f>
        <v>0.18619580844798</v>
      </c>
      <c r="F134" s="17" t="n">
        <f aca="false">F133/E133-1</f>
        <v>0.00180357383797647</v>
      </c>
      <c r="G134" s="17" t="n">
        <f aca="false">G133/F133-1</f>
        <v>-0.00145474794037603</v>
      </c>
      <c r="H134" s="27" t="n">
        <f aca="false">$G134+(fade_gA-$G134)*1/2</f>
        <v>0.029272626029812</v>
      </c>
      <c r="I134" s="27" t="n">
        <f aca="false">$G134+(fade_gA-$G134)*2/2</f>
        <v>0.06</v>
      </c>
    </row>
    <row r="135" customFormat="false" ht="17.15" hidden="false" customHeight="false" outlineLevel="0" collapsed="false">
      <c r="A135" s="0" t="s">
        <v>410</v>
      </c>
      <c r="B135" s="0" t="s">
        <v>130</v>
      </c>
      <c r="C135" s="17" t="n">
        <f aca="false">C126/C133</f>
        <v>0.217398580211031</v>
      </c>
      <c r="D135" s="17" t="n">
        <f aca="false">D126/D133</f>
        <v>0.385416666666667</v>
      </c>
      <c r="E135" s="17" t="n">
        <f aca="false">E126/E133</f>
        <v>0.47879498848599</v>
      </c>
      <c r="F135" s="17" t="n">
        <f aca="false">F126/F133</f>
        <v>0.464902934948056</v>
      </c>
      <c r="G135" s="17" t="n">
        <f aca="false">G126/G133</f>
        <v>0.447222553779345</v>
      </c>
    </row>
    <row r="136" customFormat="false" ht="17.15" hidden="false" customHeight="false" outlineLevel="0" collapsed="false">
      <c r="A136" s="1" t="s">
        <v>411</v>
      </c>
    </row>
    <row r="137" customFormat="false" ht="17.15" hidden="false" customHeight="false" outlineLevel="0" collapsed="false">
      <c r="A137" s="0" t="s">
        <v>383</v>
      </c>
      <c r="B137" s="0" t="s">
        <v>130</v>
      </c>
      <c r="C137" s="23" t="n">
        <f aca="false">(a26_isgoi-m_nai*(a26_tr+a26_st))/a26_ai</f>
        <v>0.0538070736944455</v>
      </c>
      <c r="D137" s="23" t="n">
        <f aca="false">(a27_isgoi-m_nai*(a27_tr+a27_st))/a27_ai</f>
        <v>0.110710097972973</v>
      </c>
      <c r="E137" s="23" t="n">
        <f aca="false">$D137+ai_dm</f>
        <v>0.100710097972973</v>
      </c>
      <c r="F137" s="23" t="n">
        <f aca="false">$D137+ai_dm+dm_A</f>
        <v>0.100710097972973</v>
      </c>
      <c r="G137" s="23" t="n">
        <f aca="false">$D137+ai_dm+dm_A</f>
        <v>0.100710097972973</v>
      </c>
      <c r="J137" s="8" t="s">
        <v>412</v>
      </c>
    </row>
    <row r="138" customFormat="false" ht="17.15" hidden="false" customHeight="false" outlineLevel="0" collapsed="false">
      <c r="A138" s="5" t="s">
        <v>413</v>
      </c>
      <c r="B138" s="0" t="s">
        <v>130</v>
      </c>
      <c r="C138" s="23" t="n">
        <f aca="false">m_nai</f>
        <v>0.16</v>
      </c>
      <c r="D138" s="23" t="n">
        <f aca="false">m_nai</f>
        <v>0.16</v>
      </c>
      <c r="E138" s="23" t="n">
        <f aca="false">m_naif</f>
        <v>0.155</v>
      </c>
      <c r="F138" s="23" t="n">
        <f aca="false">m_naif</f>
        <v>0.155</v>
      </c>
      <c r="G138" s="23" t="n">
        <f aca="false">m_naif</f>
        <v>0.155</v>
      </c>
    </row>
    <row r="139" customFormat="false" ht="17.15" hidden="false" customHeight="false" outlineLevel="0" collapsed="false">
      <c r="A139" s="0" t="s">
        <v>308</v>
      </c>
      <c r="B139" s="0" t="s">
        <v>107</v>
      </c>
      <c r="C139" s="28" t="n">
        <f aca="false">a26_isgoi</f>
        <v>7.111</v>
      </c>
      <c r="D139" s="28" t="n">
        <f aca="false">a27_isgoi</f>
        <v>17.32322085</v>
      </c>
      <c r="E139" s="28" t="n">
        <f aca="false">E126*E137+(E128+E129)*E138</f>
        <v>19.6566500382234</v>
      </c>
      <c r="F139" s="28" t="n">
        <f aca="false">F126*F137+(F128+F129)*F138</f>
        <v>19.5935096527718</v>
      </c>
      <c r="G139" s="28" t="n">
        <f aca="false">G126*G137+(G128+G129)*G138</f>
        <v>19.4722690773503</v>
      </c>
    </row>
    <row r="140" customFormat="false" ht="17.15" hidden="false" customHeight="false" outlineLevel="0" collapsed="false">
      <c r="A140" s="0" t="s">
        <v>414</v>
      </c>
      <c r="B140" s="0" t="s">
        <v>130</v>
      </c>
      <c r="C140" s="23" t="n">
        <f aca="false">a26_csgoi/C131</f>
        <v>0.0555664522203044</v>
      </c>
      <c r="D140" s="23" t="n">
        <f aca="false">a27_csgoi/D131</f>
        <v>0.0764752733223222</v>
      </c>
      <c r="E140" s="23" t="n">
        <f aca="false">m_csgf</f>
        <v>0.07</v>
      </c>
      <c r="F140" s="23" t="n">
        <f aca="false">m_csgf</f>
        <v>0.07</v>
      </c>
      <c r="G140" s="23" t="n">
        <f aca="false">m_csgf</f>
        <v>0.07</v>
      </c>
    </row>
    <row r="141" customFormat="false" ht="17.15" hidden="false" customHeight="false" outlineLevel="0" collapsed="false">
      <c r="A141" s="0" t="s">
        <v>310</v>
      </c>
      <c r="B141" s="0" t="s">
        <v>107</v>
      </c>
      <c r="C141" s="28" t="n">
        <f aca="false">C131*C140</f>
        <v>2.833</v>
      </c>
      <c r="D141" s="28" t="n">
        <f aca="false">D131*D140</f>
        <v>4.60192175</v>
      </c>
      <c r="E141" s="28" t="n">
        <f aca="false">E131*E140</f>
        <v>4.338638409</v>
      </c>
      <c r="F141" s="28" t="n">
        <f aca="false">F131*F140</f>
        <v>4.46879756127</v>
      </c>
      <c r="G141" s="28" t="n">
        <f aca="false">G131*G140</f>
        <v>4.6028614881081</v>
      </c>
    </row>
    <row r="142" customFormat="false" ht="17.15" hidden="false" customHeight="false" outlineLevel="0" collapsed="false">
      <c r="A142" s="5" t="s">
        <v>415</v>
      </c>
      <c r="B142" s="0" t="s">
        <v>107</v>
      </c>
      <c r="C142" s="28" t="n">
        <f aca="false">C139+C141</f>
        <v>9.944</v>
      </c>
      <c r="D142" s="28" t="n">
        <f aca="false">D139+D141</f>
        <v>21.9251426</v>
      </c>
      <c r="E142" s="28" t="n">
        <f aca="false">E139+E141</f>
        <v>23.9952884472234</v>
      </c>
      <c r="F142" s="28" t="n">
        <f aca="false">F139+F141</f>
        <v>24.0623072140418</v>
      </c>
      <c r="G142" s="28" t="n">
        <f aca="false">G139+G141</f>
        <v>24.0751305654584</v>
      </c>
    </row>
    <row r="143" customFormat="false" ht="15" hidden="false" customHeight="false" outlineLevel="0" collapsed="false">
      <c r="A143" s="5" t="s">
        <v>384</v>
      </c>
      <c r="B143" s="0" t="s">
        <v>130</v>
      </c>
      <c r="C143" s="23" t="n">
        <f aca="false">C142/C133</f>
        <v>0.0875830118550617</v>
      </c>
      <c r="D143" s="23" t="n">
        <f aca="false">D142/D133</f>
        <v>0.114193451041667</v>
      </c>
      <c r="E143" s="23" t="n">
        <f aca="false">E142/E133</f>
        <v>0.105358204583559</v>
      </c>
      <c r="F143" s="23" t="n">
        <f aca="false">F142/F133</f>
        <v>0.105462260750472</v>
      </c>
      <c r="G143" s="23" t="n">
        <f aca="false">G142/G133</f>
        <v>0.105672190391945</v>
      </c>
    </row>
    <row r="144" customFormat="false" ht="17.15" hidden="false" customHeight="false" outlineLevel="0" collapsed="false">
      <c r="A144" s="5" t="s">
        <v>416</v>
      </c>
      <c r="B144" s="0" t="s">
        <v>130</v>
      </c>
      <c r="C144" s="17" t="n">
        <f aca="false">a26_ni/a26_oi</f>
        <v>0.708567980691875</v>
      </c>
      <c r="D144" s="17" t="n">
        <f aca="false">a27_ni/a27_oi</f>
        <v>0.753655303477935</v>
      </c>
      <c r="E144" s="17" t="n">
        <f aca="false">nio_f</f>
        <v>0.75</v>
      </c>
      <c r="F144" s="17" t="n">
        <f aca="false">nio_f</f>
        <v>0.75</v>
      </c>
      <c r="G144" s="17" t="n">
        <f aca="false">nio_f</f>
        <v>0.75</v>
      </c>
    </row>
    <row r="145" customFormat="false" ht="17.15" hidden="false" customHeight="false" outlineLevel="0" collapsed="false">
      <c r="A145" s="0" t="s">
        <v>316</v>
      </c>
      <c r="B145" s="0" t="s">
        <v>107</v>
      </c>
      <c r="C145" s="28" t="n">
        <f aca="false">a26_ni</f>
        <v>7.046</v>
      </c>
      <c r="D145" s="28" t="n">
        <f aca="false">a27_ni</f>
        <v>16.524</v>
      </c>
      <c r="E145" s="28" t="n">
        <f aca="false">E142*E144</f>
        <v>17.9964663354176</v>
      </c>
      <c r="F145" s="28" t="n">
        <f aca="false">F142*F144</f>
        <v>18.0467304105313</v>
      </c>
      <c r="G145" s="28" t="n">
        <f aca="false">G142*G144</f>
        <v>18.0563479240938</v>
      </c>
      <c r="H145" s="29" t="n">
        <f aca="false">H133*H149</f>
        <v>18.5111876323264</v>
      </c>
      <c r="I145" s="29" t="n">
        <f aca="false">I133*I149</f>
        <v>19.5437188575316</v>
      </c>
    </row>
    <row r="146" customFormat="false" ht="15" hidden="false" customHeight="false" outlineLevel="0" collapsed="false">
      <c r="A146" s="5" t="s">
        <v>417</v>
      </c>
      <c r="B146" s="5" t="s">
        <v>143</v>
      </c>
      <c r="C146" s="32" t="n">
        <f aca="false">a26_sh</f>
        <v>0.684077669902913</v>
      </c>
      <c r="D146" s="32" t="n">
        <f aca="false">a27_sh</f>
        <v>0.648</v>
      </c>
      <c r="E146" s="32" t="n">
        <f aca="false">D146*(1+sh_g)</f>
        <v>0.62856</v>
      </c>
      <c r="F146" s="32" t="n">
        <f aca="false">E146*(1+sh_g)</f>
        <v>0.6097032</v>
      </c>
      <c r="G146" s="32" t="n">
        <f aca="false">F146*(1+sh_g)</f>
        <v>0.591412104</v>
      </c>
      <c r="H146" s="33" t="n">
        <f aca="false">G146*(1+sh_g)</f>
        <v>0.57366974088</v>
      </c>
      <c r="I146" s="33" t="n">
        <f aca="false">H146*(1+sh_g)</f>
        <v>0.5564596486536</v>
      </c>
    </row>
    <row r="147" customFormat="false" ht="15" hidden="false" customHeight="false" outlineLevel="0" collapsed="false">
      <c r="A147" s="0" t="s">
        <v>324</v>
      </c>
      <c r="B147" s="0" t="s">
        <v>117</v>
      </c>
      <c r="C147" s="28" t="n">
        <f aca="false">C145/C146</f>
        <v>10.3</v>
      </c>
      <c r="D147" s="28" t="n">
        <f aca="false">D145/D146</f>
        <v>25.5</v>
      </c>
      <c r="E147" s="28" t="n">
        <f aca="false">E145/E146</f>
        <v>28.6312624656637</v>
      </c>
      <c r="F147" s="28" t="n">
        <f aca="false">F145/F146</f>
        <v>29.5992056635611</v>
      </c>
      <c r="G147" s="28" t="n">
        <f aca="false">G145/G146</f>
        <v>30.5309069631314</v>
      </c>
      <c r="H147" s="31" t="n">
        <f aca="false">H145/H146</f>
        <v>32.2680216738128</v>
      </c>
      <c r="I147" s="31" t="n">
        <f aca="false">I145/I146</f>
        <v>35.1215382909061</v>
      </c>
    </row>
    <row r="148" customFormat="false" ht="17.15" hidden="false" customHeight="false" outlineLevel="0" collapsed="false">
      <c r="A148" s="0" t="s">
        <v>418</v>
      </c>
      <c r="B148" s="0" t="s">
        <v>130</v>
      </c>
      <c r="D148" s="17" t="n">
        <f aca="false">D147/C147-1</f>
        <v>1.47572815533981</v>
      </c>
      <c r="E148" s="17" t="n">
        <f aca="false">E147/D147-1</f>
        <v>0.122794606496616</v>
      </c>
      <c r="F148" s="17" t="n">
        <f aca="false">F147/E147-1</f>
        <v>0.0338072133234848</v>
      </c>
      <c r="G148" s="17" t="n">
        <f aca="false">G147/F147-1</f>
        <v>0.0314772399692238</v>
      </c>
      <c r="H148" s="27" t="n">
        <f aca="false">H147/G147-1</f>
        <v>0.0568969245747946</v>
      </c>
      <c r="I148" s="27" t="n">
        <f aca="false">I147/H147-1</f>
        <v>0.0884317187442933</v>
      </c>
    </row>
    <row r="149" customFormat="false" ht="17.15" hidden="false" customHeight="false" outlineLevel="0" collapsed="false">
      <c r="A149" s="5" t="s">
        <v>419</v>
      </c>
      <c r="B149" s="0" t="s">
        <v>130</v>
      </c>
      <c r="C149" s="23" t="n">
        <f aca="false">C145/C133</f>
        <v>0.0620585178530536</v>
      </c>
      <c r="D149" s="23" t="n">
        <f aca="false">D145/D133</f>
        <v>0.0860625</v>
      </c>
      <c r="E149" s="23" t="n">
        <f aca="false">E145/E133</f>
        <v>0.079018653437669</v>
      </c>
      <c r="F149" s="23" t="n">
        <f aca="false">F145/F133</f>
        <v>0.0790966955628541</v>
      </c>
      <c r="G149" s="23" t="n">
        <f aca="false">G145/G133</f>
        <v>0.0792541427939587</v>
      </c>
      <c r="H149" s="30" t="n">
        <f aca="false">$G149+(fade_mA-$G149)*1/2</f>
        <v>0.0789397812888408</v>
      </c>
      <c r="I149" s="30" t="n">
        <f aca="false">$G149+(fade_mA-$G149)*2/2</f>
        <v>0.0786254197837229</v>
      </c>
    </row>
    <row r="150" customFormat="false" ht="17.15" hidden="false" customHeight="false" outlineLevel="0" collapsed="false">
      <c r="A150" s="0" t="s">
        <v>420</v>
      </c>
      <c r="B150" s="0" t="s">
        <v>74</v>
      </c>
      <c r="D150" s="20" t="n">
        <f aca="false">D126/(D119+D120)</f>
        <v>8.8622754491018</v>
      </c>
      <c r="E150" s="20" t="n">
        <f aca="false">E126/(E119+E120)</f>
        <v>9.73619328767967</v>
      </c>
      <c r="F150" s="20" t="n">
        <f aca="false">F126/(F119+F120)</f>
        <v>9.22368871952735</v>
      </c>
      <c r="G150" s="20" t="n">
        <f aca="false">G126/(G119+G120)</f>
        <v>7.89845100255874</v>
      </c>
    </row>
    <row r="153" customFormat="false" ht="17.15" hidden="false" customHeight="false" outlineLevel="0" collapsed="false">
      <c r="A153" s="3" t="s">
        <v>748</v>
      </c>
    </row>
    <row r="154" customFormat="false" ht="17.15" hidden="false" customHeight="false" outlineLevel="0" collapsed="false">
      <c r="A154" s="6" t="s">
        <v>20</v>
      </c>
      <c r="B154" s="6" t="s">
        <v>21</v>
      </c>
      <c r="C154" s="14" t="s">
        <v>284</v>
      </c>
      <c r="D154" s="14" t="s">
        <v>371</v>
      </c>
      <c r="E154" s="14" t="s">
        <v>372</v>
      </c>
      <c r="F154" s="14" t="s">
        <v>373</v>
      </c>
      <c r="G154" s="14" t="s">
        <v>374</v>
      </c>
      <c r="H154" s="14" t="s">
        <v>375</v>
      </c>
      <c r="I154" s="14" t="s">
        <v>376</v>
      </c>
      <c r="J154" s="6" t="s">
        <v>344</v>
      </c>
    </row>
    <row r="155" customFormat="false" ht="17.15" hidden="false" customHeight="false" outlineLevel="0" collapsed="false">
      <c r="A155" s="1" t="s">
        <v>394</v>
      </c>
    </row>
    <row r="156" customFormat="false" ht="17.15" hidden="false" customHeight="false" outlineLevel="0" collapsed="false">
      <c r="A156" s="0" t="s">
        <v>395</v>
      </c>
      <c r="B156" s="5" t="s">
        <v>31</v>
      </c>
      <c r="D156" s="18" t="n">
        <f aca="false">ug_26</f>
        <v>6.65</v>
      </c>
      <c r="E156" s="18" t="n">
        <f aca="false">ug_27*1</f>
        <v>2.4</v>
      </c>
      <c r="F156" s="18" t="n">
        <f aca="false">ug_28*um28_A*1</f>
        <v>0.5</v>
      </c>
      <c r="G156" s="18" t="n">
        <f aca="false">ug_29*um29_A*1</f>
        <v>0.25</v>
      </c>
    </row>
    <row r="157" customFormat="false" ht="17.15" hidden="false" customHeight="false" outlineLevel="0" collapsed="false">
      <c r="A157" s="0" t="s">
        <v>396</v>
      </c>
      <c r="B157" s="5" t="s">
        <v>31</v>
      </c>
      <c r="D157" s="18" t="n">
        <f aca="false">uv_26</f>
        <v>1.7</v>
      </c>
      <c r="E157" s="18" t="n">
        <f aca="false">uv_27*1</f>
        <v>8.8</v>
      </c>
      <c r="F157" s="18" t="n">
        <f aca="false">uv_28*um28_A*1</f>
        <v>11</v>
      </c>
      <c r="G157" s="18" t="n">
        <f aca="false">uv_29*um29_A*1</f>
        <v>12.65</v>
      </c>
    </row>
    <row r="158" customFormat="false" ht="17.15" hidden="false" customHeight="false" outlineLevel="0" collapsed="false">
      <c r="A158" s="5" t="s">
        <v>397</v>
      </c>
      <c r="B158" s="0" t="s">
        <v>107</v>
      </c>
      <c r="D158" s="22" t="n">
        <f aca="false">D156*v_gb+D157*v_vr</f>
        <v>595.4861102</v>
      </c>
      <c r="E158" s="22" t="n">
        <f aca="false">E156*v_gb+E157*v_vr</f>
        <v>1170.0000024</v>
      </c>
      <c r="F158" s="22" t="n">
        <f aca="false">F156*v_gb+F157*v_vr</f>
        <v>1313.194448</v>
      </c>
      <c r="G158" s="22" t="n">
        <f aca="false">G156*v_gb+G157*v_vr</f>
        <v>1490.76389305</v>
      </c>
      <c r="J158" s="5" t="s">
        <v>398</v>
      </c>
    </row>
    <row r="159" customFormat="false" ht="17.15" hidden="false" customHeight="false" outlineLevel="0" collapsed="false">
      <c r="A159" s="0" t="s">
        <v>399</v>
      </c>
      <c r="B159" s="0" t="s">
        <v>130</v>
      </c>
      <c r="D159" s="23" t="n">
        <f aca="false">a27_ai/D158</f>
        <v>0.124268221764478</v>
      </c>
      <c r="J159" s="8" t="s">
        <v>400</v>
      </c>
    </row>
    <row r="160" customFormat="false" ht="17.15" hidden="false" customHeight="false" outlineLevel="0" collapsed="false">
      <c r="A160" s="5" t="s">
        <v>401</v>
      </c>
      <c r="B160" s="0" t="s">
        <v>53</v>
      </c>
      <c r="D160" s="18" t="n">
        <f aca="false">1</f>
        <v>1</v>
      </c>
      <c r="E160" s="18" t="n">
        <f aca="false">rel_28_hi</f>
        <v>1.05</v>
      </c>
      <c r="F160" s="18" t="n">
        <f aca="false">rel_29_hi</f>
        <v>1</v>
      </c>
      <c r="G160" s="18" t="n">
        <f aca="false">rel_30_hi</f>
        <v>1</v>
      </c>
    </row>
    <row r="161" customFormat="false" ht="17.15" hidden="false" customHeight="false" outlineLevel="0" collapsed="false">
      <c r="A161" s="5" t="s">
        <v>402</v>
      </c>
      <c r="B161" s="0" t="s">
        <v>53</v>
      </c>
      <c r="D161" s="18" t="n">
        <f aca="false">1</f>
        <v>1</v>
      </c>
      <c r="E161" s="18" t="n">
        <f aca="false">1</f>
        <v>1</v>
      </c>
      <c r="F161" s="18" t="n">
        <f aca="false">srel_A</f>
        <v>1</v>
      </c>
      <c r="G161" s="18" t="n">
        <f aca="false">srel_A</f>
        <v>1</v>
      </c>
    </row>
    <row r="162" customFormat="false" ht="17.15" hidden="false" customHeight="false" outlineLevel="0" collapsed="false">
      <c r="A162" s="0" t="s">
        <v>353</v>
      </c>
      <c r="B162" s="0" t="s">
        <v>130</v>
      </c>
      <c r="D162" s="23" t="n">
        <f aca="false">$D$159*D160*D161</f>
        <v>0.124268221764478</v>
      </c>
      <c r="E162" s="23" t="n">
        <f aca="false">$D$159*E160*E161</f>
        <v>0.130481632852702</v>
      </c>
      <c r="F162" s="23" t="n">
        <f aca="false">$D$159*F160*F161</f>
        <v>0.124268221764478</v>
      </c>
      <c r="G162" s="23" t="n">
        <f aca="false">$D$159*G160*G161</f>
        <v>0.124268221764478</v>
      </c>
    </row>
    <row r="163" customFormat="false" ht="17.15" hidden="false" customHeight="false" outlineLevel="0" collapsed="false">
      <c r="A163" s="0" t="s">
        <v>403</v>
      </c>
      <c r="B163" s="0" t="s">
        <v>107</v>
      </c>
      <c r="C163" s="22" t="n">
        <f aca="false">a26_ai</f>
        <v>24.683</v>
      </c>
      <c r="D163" s="22" t="n">
        <f aca="false">D158*D162</f>
        <v>74</v>
      </c>
      <c r="E163" s="22" t="n">
        <f aca="false">E158*E162</f>
        <v>152.663510750817</v>
      </c>
      <c r="F163" s="22" t="n">
        <f aca="false">F158*F162</f>
        <v>163.188338883945</v>
      </c>
      <c r="G163" s="22" t="n">
        <f aca="false">G158*G162</f>
        <v>185.254578060014</v>
      </c>
    </row>
    <row r="164" customFormat="false" ht="17.15" hidden="false" customHeight="false" outlineLevel="0" collapsed="false">
      <c r="A164" s="1" t="s">
        <v>404</v>
      </c>
    </row>
    <row r="165" customFormat="false" ht="15" hidden="false" customHeight="false" outlineLevel="0" collapsed="false">
      <c r="A165" s="5" t="s">
        <v>293</v>
      </c>
      <c r="B165" s="0" t="s">
        <v>107</v>
      </c>
      <c r="C165" s="22" t="n">
        <f aca="false">a26_tr</f>
        <v>19.512</v>
      </c>
      <c r="D165" s="22" t="n">
        <f aca="false">a27_tr</f>
        <v>37.59663</v>
      </c>
      <c r="E165" s="22" t="n">
        <f aca="false">D165*(1+g_tr28)</f>
        <v>35.7167985</v>
      </c>
      <c r="F165" s="22" t="n">
        <f aca="false">E165*(1+g_tr29)</f>
        <v>36.43113447</v>
      </c>
      <c r="G165" s="22" t="n">
        <f aca="false">F165*(1+g_tr30)</f>
        <v>37.5240685041</v>
      </c>
    </row>
    <row r="166" customFormat="false" ht="15" hidden="false" customHeight="false" outlineLevel="0" collapsed="false">
      <c r="A166" s="5" t="s">
        <v>296</v>
      </c>
      <c r="B166" s="0" t="s">
        <v>107</v>
      </c>
      <c r="C166" s="22" t="n">
        <f aca="false">a26_st</f>
        <v>16.631</v>
      </c>
      <c r="D166" s="22" t="n">
        <f aca="false">a27_st</f>
        <v>19.47008</v>
      </c>
      <c r="E166" s="22" t="n">
        <f aca="false">D166*(1+g_st28)</f>
        <v>20.2488832</v>
      </c>
      <c r="F166" s="22" t="n">
        <f aca="false">E166*(1+g_st29)</f>
        <v>21.058838528</v>
      </c>
      <c r="G166" s="22" t="n">
        <f aca="false">F166*(1+g_st30)</f>
        <v>21.90119206912</v>
      </c>
    </row>
    <row r="167" customFormat="false" ht="17.15" hidden="false" customHeight="false" outlineLevel="0" collapsed="false">
      <c r="A167" s="0" t="s">
        <v>299</v>
      </c>
      <c r="B167" s="0" t="s">
        <v>107</v>
      </c>
      <c r="C167" s="22" t="n">
        <f aca="false">C163+C165+C166</f>
        <v>60.826</v>
      </c>
      <c r="D167" s="22" t="n">
        <f aca="false">D163+D165+D166</f>
        <v>131.06671</v>
      </c>
      <c r="E167" s="22" t="n">
        <f aca="false">E163+E165+E166</f>
        <v>208.629192450817</v>
      </c>
      <c r="F167" s="22" t="n">
        <f aca="false">F163+F165+F166</f>
        <v>220.678311881945</v>
      </c>
      <c r="G167" s="22" t="n">
        <f aca="false">G163+G165+G166</f>
        <v>244.679838633234</v>
      </c>
    </row>
    <row r="168" customFormat="false" ht="17.15" hidden="false" customHeight="false" outlineLevel="0" collapsed="false">
      <c r="A168" s="0" t="s">
        <v>405</v>
      </c>
      <c r="B168" s="0" t="s">
        <v>107</v>
      </c>
      <c r="C168" s="22" t="n">
        <f aca="false">a26_csg</f>
        <v>50.984</v>
      </c>
      <c r="D168" s="22" t="n">
        <f aca="false">a27_csg</f>
        <v>60.17529</v>
      </c>
      <c r="E168" s="22" t="n">
        <f aca="false">D168*(1+g_csg28)</f>
        <v>61.9805487</v>
      </c>
      <c r="F168" s="22" t="n">
        <f aca="false">E168*(1+g_csg29)</f>
        <v>63.839965161</v>
      </c>
      <c r="G168" s="22" t="n">
        <f aca="false">F168*(1+g_csg30)</f>
        <v>65.75516411583</v>
      </c>
    </row>
    <row r="169" customFormat="false" ht="17.15" hidden="false" customHeight="false" outlineLevel="0" collapsed="false">
      <c r="A169" s="5" t="s">
        <v>406</v>
      </c>
      <c r="B169" s="0" t="s">
        <v>107</v>
      </c>
      <c r="C169" s="22" t="n">
        <f aca="false">a26_oth</f>
        <v>1.72799999999999</v>
      </c>
      <c r="D169" s="22" t="n">
        <f aca="false">a27_oth</f>
        <v>0.75800000000001</v>
      </c>
      <c r="E169" s="22" t="n">
        <f aca="false">D169</f>
        <v>0.75800000000001</v>
      </c>
      <c r="F169" s="22" t="n">
        <f aca="false">E169</f>
        <v>0.75800000000001</v>
      </c>
      <c r="G169" s="22" t="n">
        <f aca="false">F169</f>
        <v>0.75800000000001</v>
      </c>
      <c r="J169" s="8" t="s">
        <v>407</v>
      </c>
    </row>
    <row r="170" customFormat="false" ht="17.15" hidden="false" customHeight="false" outlineLevel="0" collapsed="false">
      <c r="A170" s="5" t="s">
        <v>306</v>
      </c>
      <c r="B170" s="0" t="s">
        <v>107</v>
      </c>
      <c r="C170" s="22" t="n">
        <f aca="false">C167+C168+C169</f>
        <v>113.538</v>
      </c>
      <c r="D170" s="22" t="n">
        <f aca="false">D167+D168+D169</f>
        <v>192</v>
      </c>
      <c r="E170" s="22" t="n">
        <f aca="false">E167+E168+E169</f>
        <v>271.367741150817</v>
      </c>
      <c r="F170" s="22" t="n">
        <f aca="false">F167+F168+F169</f>
        <v>285.276277042945</v>
      </c>
      <c r="G170" s="22" t="n">
        <f aca="false">G167+G168+G169</f>
        <v>311.193002749064</v>
      </c>
      <c r="H170" s="26" t="n">
        <f aca="false">G170*(1+H171)</f>
        <v>334.664394602406</v>
      </c>
      <c r="I170" s="26" t="n">
        <f aca="false">H170*(1+I171)</f>
        <v>354.74425827855</v>
      </c>
      <c r="J170" s="8" t="s">
        <v>408</v>
      </c>
    </row>
    <row r="171" customFormat="false" ht="15" hidden="false" customHeight="false" outlineLevel="0" collapsed="false">
      <c r="A171" s="5" t="s">
        <v>409</v>
      </c>
      <c r="B171" s="0" t="s">
        <v>130</v>
      </c>
      <c r="D171" s="17" t="n">
        <f aca="false">D170/C170-1</f>
        <v>0.691063784812134</v>
      </c>
      <c r="E171" s="17" t="n">
        <f aca="false">E170/D170-1</f>
        <v>0.413373651827173</v>
      </c>
      <c r="F171" s="17" t="n">
        <f aca="false">F170/E170-1</f>
        <v>0.0512534608319499</v>
      </c>
      <c r="G171" s="17" t="n">
        <f aca="false">G170/F170-1</f>
        <v>0.090847812425066</v>
      </c>
      <c r="H171" s="27" t="n">
        <f aca="false">$G171+(fade_gA-$G171)*1/2</f>
        <v>0.075423906212533</v>
      </c>
      <c r="I171" s="27" t="n">
        <f aca="false">$G171+(fade_gA-$G171)*2/2</f>
        <v>0.06</v>
      </c>
    </row>
    <row r="172" customFormat="false" ht="17.15" hidden="false" customHeight="false" outlineLevel="0" collapsed="false">
      <c r="A172" s="0" t="s">
        <v>410</v>
      </c>
      <c r="B172" s="0" t="s">
        <v>130</v>
      </c>
      <c r="C172" s="17" t="n">
        <f aca="false">C163/C170</f>
        <v>0.217398580211031</v>
      </c>
      <c r="D172" s="17" t="n">
        <f aca="false">D163/D170</f>
        <v>0.385416666666667</v>
      </c>
      <c r="E172" s="17" t="n">
        <f aca="false">E163/E170</f>
        <v>0.562570591859597</v>
      </c>
      <c r="F172" s="17" t="n">
        <f aca="false">F163/F170</f>
        <v>0.572036134849653</v>
      </c>
      <c r="G172" s="17" t="n">
        <f aca="false">G163/G170</f>
        <v>0.595304445869554</v>
      </c>
    </row>
    <row r="173" customFormat="false" ht="17.15" hidden="false" customHeight="false" outlineLevel="0" collapsed="false">
      <c r="A173" s="1" t="s">
        <v>411</v>
      </c>
    </row>
    <row r="174" customFormat="false" ht="17.15" hidden="false" customHeight="false" outlineLevel="0" collapsed="false">
      <c r="A174" s="0" t="s">
        <v>383</v>
      </c>
      <c r="B174" s="0" t="s">
        <v>130</v>
      </c>
      <c r="C174" s="23" t="n">
        <f aca="false">(a26_isgoi-m_nai*(a26_tr+a26_st))/a26_ai</f>
        <v>0.0538070736944455</v>
      </c>
      <c r="D174" s="23" t="n">
        <f aca="false">(a27_isgoi-m_nai*(a27_tr+a27_st))/a27_ai</f>
        <v>0.110710097972973</v>
      </c>
      <c r="E174" s="23" t="n">
        <f aca="false">$D174+ai_dm</f>
        <v>0.100710097972973</v>
      </c>
      <c r="F174" s="23" t="n">
        <f aca="false">$D174+ai_dm+dm_A</f>
        <v>0.100710097972973</v>
      </c>
      <c r="G174" s="23" t="n">
        <f aca="false">$D174+ai_dm+dm_A</f>
        <v>0.100710097972973</v>
      </c>
      <c r="J174" s="8" t="s">
        <v>412</v>
      </c>
    </row>
    <row r="175" customFormat="false" ht="17.15" hidden="false" customHeight="false" outlineLevel="0" collapsed="false">
      <c r="A175" s="5" t="s">
        <v>413</v>
      </c>
      <c r="B175" s="0" t="s">
        <v>130</v>
      </c>
      <c r="C175" s="23" t="n">
        <f aca="false">m_nai</f>
        <v>0.16</v>
      </c>
      <c r="D175" s="23" t="n">
        <f aca="false">m_nai</f>
        <v>0.16</v>
      </c>
      <c r="E175" s="23" t="n">
        <f aca="false">m_naif</f>
        <v>0.155</v>
      </c>
      <c r="F175" s="23" t="n">
        <f aca="false">m_naif</f>
        <v>0.155</v>
      </c>
      <c r="G175" s="23" t="n">
        <f aca="false">m_naif</f>
        <v>0.155</v>
      </c>
    </row>
    <row r="176" customFormat="false" ht="17.15" hidden="false" customHeight="false" outlineLevel="0" collapsed="false">
      <c r="A176" s="0" t="s">
        <v>308</v>
      </c>
      <c r="B176" s="0" t="s">
        <v>107</v>
      </c>
      <c r="C176" s="28" t="n">
        <f aca="false">a26_isgoi</f>
        <v>7.111</v>
      </c>
      <c r="D176" s="28" t="n">
        <f aca="false">a27_isgoi</f>
        <v>17.32322085</v>
      </c>
      <c r="E176" s="28" t="n">
        <f aca="false">E163*E174+(E165+E166)*E175</f>
        <v>24.0494377881128</v>
      </c>
      <c r="F176" s="28" t="n">
        <f aca="false">F163*F174+(F165+F166)*F175</f>
        <v>25.3456594117388</v>
      </c>
      <c r="G176" s="28" t="n">
        <f aca="false">G163*G174+(G165+G166)*G175</f>
        <v>27.8679220952149</v>
      </c>
    </row>
    <row r="177" customFormat="false" ht="17.15" hidden="false" customHeight="false" outlineLevel="0" collapsed="false">
      <c r="A177" s="0" t="s">
        <v>414</v>
      </c>
      <c r="B177" s="0" t="s">
        <v>130</v>
      </c>
      <c r="C177" s="23" t="n">
        <f aca="false">a26_csgoi/C168</f>
        <v>0.0555664522203044</v>
      </c>
      <c r="D177" s="23" t="n">
        <f aca="false">a27_csgoi/D168</f>
        <v>0.0764752733223222</v>
      </c>
      <c r="E177" s="23" t="n">
        <f aca="false">m_csgf</f>
        <v>0.07</v>
      </c>
      <c r="F177" s="23" t="n">
        <f aca="false">m_csgf</f>
        <v>0.07</v>
      </c>
      <c r="G177" s="23" t="n">
        <f aca="false">m_csgf</f>
        <v>0.07</v>
      </c>
    </row>
    <row r="178" customFormat="false" ht="17.15" hidden="false" customHeight="false" outlineLevel="0" collapsed="false">
      <c r="A178" s="0" t="s">
        <v>310</v>
      </c>
      <c r="B178" s="0" t="s">
        <v>107</v>
      </c>
      <c r="C178" s="28" t="n">
        <f aca="false">C168*C177</f>
        <v>2.833</v>
      </c>
      <c r="D178" s="28" t="n">
        <f aca="false">D168*D177</f>
        <v>4.60192175</v>
      </c>
      <c r="E178" s="28" t="n">
        <f aca="false">E168*E177</f>
        <v>4.338638409</v>
      </c>
      <c r="F178" s="28" t="n">
        <f aca="false">F168*F177</f>
        <v>4.46879756127</v>
      </c>
      <c r="G178" s="28" t="n">
        <f aca="false">G168*G177</f>
        <v>4.6028614881081</v>
      </c>
    </row>
    <row r="179" customFormat="false" ht="17.15" hidden="false" customHeight="false" outlineLevel="0" collapsed="false">
      <c r="A179" s="5" t="s">
        <v>415</v>
      </c>
      <c r="B179" s="0" t="s">
        <v>107</v>
      </c>
      <c r="C179" s="28" t="n">
        <f aca="false">C176+C178</f>
        <v>9.944</v>
      </c>
      <c r="D179" s="28" t="n">
        <f aca="false">D176+D178</f>
        <v>21.9251426</v>
      </c>
      <c r="E179" s="28" t="n">
        <f aca="false">E176+E178</f>
        <v>28.3880761971128</v>
      </c>
      <c r="F179" s="28" t="n">
        <f aca="false">F176+F178</f>
        <v>29.8144569730089</v>
      </c>
      <c r="G179" s="28" t="n">
        <f aca="false">G176+G178</f>
        <v>32.470783583323</v>
      </c>
    </row>
    <row r="180" customFormat="false" ht="15" hidden="false" customHeight="false" outlineLevel="0" collapsed="false">
      <c r="A180" s="5" t="s">
        <v>384</v>
      </c>
      <c r="B180" s="0" t="s">
        <v>130</v>
      </c>
      <c r="C180" s="23" t="n">
        <f aca="false">C179/C170</f>
        <v>0.0875830118550617</v>
      </c>
      <c r="D180" s="23" t="n">
        <f aca="false">D179/D170</f>
        <v>0.114193451041667</v>
      </c>
      <c r="E180" s="23" t="n">
        <f aca="false">E179/E170</f>
        <v>0.104611093701575</v>
      </c>
      <c r="F180" s="23" t="n">
        <f aca="false">F179/F170</f>
        <v>0.104510817660876</v>
      </c>
      <c r="G180" s="23" t="n">
        <f aca="false">G179/G170</f>
        <v>0.104342910336922</v>
      </c>
    </row>
    <row r="181" customFormat="false" ht="17.15" hidden="false" customHeight="false" outlineLevel="0" collapsed="false">
      <c r="A181" s="5" t="s">
        <v>416</v>
      </c>
      <c r="B181" s="0" t="s">
        <v>130</v>
      </c>
      <c r="C181" s="17" t="n">
        <f aca="false">a26_ni/a26_oi</f>
        <v>0.708567980691875</v>
      </c>
      <c r="D181" s="17" t="n">
        <f aca="false">a27_ni/a27_oi</f>
        <v>0.753655303477935</v>
      </c>
      <c r="E181" s="17" t="n">
        <f aca="false">nio_f</f>
        <v>0.75</v>
      </c>
      <c r="F181" s="17" t="n">
        <f aca="false">nio_f</f>
        <v>0.75</v>
      </c>
      <c r="G181" s="17" t="n">
        <f aca="false">nio_f</f>
        <v>0.75</v>
      </c>
    </row>
    <row r="182" customFormat="false" ht="17.15" hidden="false" customHeight="false" outlineLevel="0" collapsed="false">
      <c r="A182" s="0" t="s">
        <v>316</v>
      </c>
      <c r="B182" s="0" t="s">
        <v>107</v>
      </c>
      <c r="C182" s="28" t="n">
        <f aca="false">a26_ni</f>
        <v>7.046</v>
      </c>
      <c r="D182" s="28" t="n">
        <f aca="false">a27_ni</f>
        <v>16.524</v>
      </c>
      <c r="E182" s="28" t="n">
        <f aca="false">E179*E181</f>
        <v>21.2910571478346</v>
      </c>
      <c r="F182" s="28" t="n">
        <f aca="false">F179*F181</f>
        <v>22.3608427297566</v>
      </c>
      <c r="G182" s="28" t="n">
        <f aca="false">G179*G181</f>
        <v>24.3530876874922</v>
      </c>
      <c r="H182" s="29" t="n">
        <f aca="false">H170*H186</f>
        <v>26.2515106007494</v>
      </c>
      <c r="I182" s="29" t="n">
        <f aca="false">I170*I186</f>
        <v>27.8919162230164</v>
      </c>
    </row>
    <row r="183" customFormat="false" ht="15" hidden="false" customHeight="false" outlineLevel="0" collapsed="false">
      <c r="A183" s="5" t="s">
        <v>417</v>
      </c>
      <c r="B183" s="5" t="s">
        <v>143</v>
      </c>
      <c r="C183" s="32" t="n">
        <f aca="false">a26_sh</f>
        <v>0.684077669902913</v>
      </c>
      <c r="D183" s="32" t="n">
        <f aca="false">a27_sh</f>
        <v>0.648</v>
      </c>
      <c r="E183" s="32" t="n">
        <f aca="false">D183*(1+sh_g)</f>
        <v>0.62856</v>
      </c>
      <c r="F183" s="32" t="n">
        <f aca="false">E183*(1+sh_g)</f>
        <v>0.6097032</v>
      </c>
      <c r="G183" s="32" t="n">
        <f aca="false">F183*(1+sh_g)</f>
        <v>0.591412104</v>
      </c>
      <c r="H183" s="33" t="n">
        <f aca="false">G183*(1+sh_g)</f>
        <v>0.57366974088</v>
      </c>
      <c r="I183" s="33" t="n">
        <f aca="false">H183*(1+sh_g)</f>
        <v>0.5564596486536</v>
      </c>
    </row>
    <row r="184" customFormat="false" ht="15" hidden="false" customHeight="false" outlineLevel="0" collapsed="false">
      <c r="A184" s="0" t="s">
        <v>324</v>
      </c>
      <c r="B184" s="0" t="s">
        <v>117</v>
      </c>
      <c r="C184" s="28" t="n">
        <f aca="false">C182/C183</f>
        <v>10.3</v>
      </c>
      <c r="D184" s="28" t="n">
        <f aca="false">D182/D183</f>
        <v>25.5</v>
      </c>
      <c r="E184" s="28" t="n">
        <f aca="false">E182/E183</f>
        <v>33.8727522397776</v>
      </c>
      <c r="F184" s="28" t="n">
        <f aca="false">F182/F183</f>
        <v>36.6749637032521</v>
      </c>
      <c r="G184" s="28" t="n">
        <f aca="false">G182/G183</f>
        <v>41.1778648471696</v>
      </c>
      <c r="H184" s="31" t="n">
        <f aca="false">H182/H183</f>
        <v>45.7606680813948</v>
      </c>
      <c r="I184" s="31" t="n">
        <f aca="false">I182/I183</f>
        <v>50.1238792255705</v>
      </c>
    </row>
    <row r="185" customFormat="false" ht="17.15" hidden="false" customHeight="false" outlineLevel="0" collapsed="false">
      <c r="A185" s="0" t="s">
        <v>418</v>
      </c>
      <c r="B185" s="0" t="s">
        <v>130</v>
      </c>
      <c r="D185" s="17" t="n">
        <f aca="false">D184/C184-1</f>
        <v>1.47572815533981</v>
      </c>
      <c r="E185" s="17" t="n">
        <f aca="false">E184/D184-1</f>
        <v>0.328343225089318</v>
      </c>
      <c r="F185" s="17" t="n">
        <f aca="false">F184/E184-1</f>
        <v>0.0827275989750771</v>
      </c>
      <c r="G185" s="17" t="n">
        <f aca="false">G184/F184-1</f>
        <v>0.12277861214402</v>
      </c>
      <c r="H185" s="27" t="n">
        <f aca="false">H184/G184-1</f>
        <v>0.111292881533176</v>
      </c>
      <c r="I185" s="27" t="n">
        <f aca="false">I184/H184-1</f>
        <v>0.0953485018272633</v>
      </c>
    </row>
    <row r="186" customFormat="false" ht="17.15" hidden="false" customHeight="false" outlineLevel="0" collapsed="false">
      <c r="A186" s="5" t="s">
        <v>419</v>
      </c>
      <c r="B186" s="0" t="s">
        <v>130</v>
      </c>
      <c r="C186" s="23" t="n">
        <f aca="false">C182/C170</f>
        <v>0.0620585178530536</v>
      </c>
      <c r="D186" s="23" t="n">
        <f aca="false">D182/D170</f>
        <v>0.0860625</v>
      </c>
      <c r="E186" s="23" t="n">
        <f aca="false">E182/E170</f>
        <v>0.0784583202761811</v>
      </c>
      <c r="F186" s="23" t="n">
        <f aca="false">F182/F170</f>
        <v>0.0783831132456571</v>
      </c>
      <c r="G186" s="23" t="n">
        <f aca="false">G182/G170</f>
        <v>0.0782571827526912</v>
      </c>
      <c r="H186" s="30" t="n">
        <f aca="false">$G186+(fade_mA-$G186)*1/2</f>
        <v>0.078441301268207</v>
      </c>
      <c r="I186" s="30" t="n">
        <f aca="false">$G186+(fade_mA-$G186)*2/2</f>
        <v>0.0786254197837229</v>
      </c>
    </row>
    <row r="187" customFormat="false" ht="17.15" hidden="false" customHeight="false" outlineLevel="0" collapsed="false">
      <c r="A187" s="0" t="s">
        <v>420</v>
      </c>
      <c r="B187" s="0" t="s">
        <v>74</v>
      </c>
      <c r="D187" s="20" t="n">
        <f aca="false">D163/(D156+D157)</f>
        <v>8.8622754491018</v>
      </c>
      <c r="E187" s="20" t="n">
        <f aca="false">E163/(E156+E157)</f>
        <v>13.6306706027515</v>
      </c>
      <c r="F187" s="20" t="n">
        <f aca="false">F163/(F156+F157)</f>
        <v>14.1902903377344</v>
      </c>
      <c r="G187" s="20" t="n">
        <f aca="false">G163/(G156+G157)</f>
        <v>14.3608200046523</v>
      </c>
    </row>
    <row r="190" customFormat="false" ht="17.15" hidden="false" customHeight="false" outlineLevel="0" collapsed="false">
      <c r="A190" s="3" t="s">
        <v>749</v>
      </c>
    </row>
    <row r="191" customFormat="false" ht="17.15" hidden="false" customHeight="false" outlineLevel="0" collapsed="false">
      <c r="A191" s="6" t="s">
        <v>20</v>
      </c>
      <c r="B191" s="6" t="s">
        <v>21</v>
      </c>
      <c r="C191" s="14" t="s">
        <v>284</v>
      </c>
      <c r="D191" s="14" t="s">
        <v>371</v>
      </c>
      <c r="E191" s="14" t="s">
        <v>372</v>
      </c>
      <c r="F191" s="14" t="s">
        <v>373</v>
      </c>
      <c r="G191" s="14" t="s">
        <v>374</v>
      </c>
      <c r="H191" s="14" t="s">
        <v>375</v>
      </c>
      <c r="I191" s="14" t="s">
        <v>376</v>
      </c>
      <c r="J191" s="6" t="s">
        <v>344</v>
      </c>
    </row>
    <row r="192" customFormat="false" ht="17.15" hidden="false" customHeight="false" outlineLevel="0" collapsed="false">
      <c r="A192" s="1" t="s">
        <v>394</v>
      </c>
    </row>
    <row r="193" customFormat="false" ht="17.15" hidden="false" customHeight="false" outlineLevel="0" collapsed="false">
      <c r="A193" s="0" t="s">
        <v>395</v>
      </c>
      <c r="B193" s="5" t="s">
        <v>31</v>
      </c>
      <c r="D193" s="18" t="n">
        <f aca="false">ug_26</f>
        <v>6.65</v>
      </c>
      <c r="E193" s="18" t="n">
        <f aca="false">ug_27*1</f>
        <v>2.4</v>
      </c>
      <c r="F193" s="18" t="n">
        <f aca="false">ug_28*um28_A*1</f>
        <v>0.5</v>
      </c>
      <c r="G193" s="18" t="n">
        <f aca="false">ug_29*um29_A*1</f>
        <v>0.25</v>
      </c>
    </row>
    <row r="194" customFormat="false" ht="17.15" hidden="false" customHeight="false" outlineLevel="0" collapsed="false">
      <c r="A194" s="0" t="s">
        <v>396</v>
      </c>
      <c r="B194" s="5" t="s">
        <v>31</v>
      </c>
      <c r="D194" s="18" t="n">
        <f aca="false">uv_26</f>
        <v>1.7</v>
      </c>
      <c r="E194" s="18" t="n">
        <f aca="false">uv_27*1</f>
        <v>8.8</v>
      </c>
      <c r="F194" s="18" t="n">
        <f aca="false">uv_28*um28_A*1</f>
        <v>11</v>
      </c>
      <c r="G194" s="18" t="n">
        <f aca="false">uv_29*um29_A*1</f>
        <v>12.65</v>
      </c>
    </row>
    <row r="195" customFormat="false" ht="17.15" hidden="false" customHeight="false" outlineLevel="0" collapsed="false">
      <c r="A195" s="5" t="s">
        <v>397</v>
      </c>
      <c r="B195" s="0" t="s">
        <v>107</v>
      </c>
      <c r="D195" s="22" t="n">
        <f aca="false">D193*v_gb_lo+D194*v_vr_lo</f>
        <v>546.5277813</v>
      </c>
      <c r="E195" s="22" t="n">
        <f aca="false">E193*v_gb_lo+E194*v_vr_lo</f>
        <v>1050.000004</v>
      </c>
      <c r="F195" s="22" t="n">
        <f aca="false">F193*v_gb_lo+F194*v_vr_lo</f>
        <v>1173.611115</v>
      </c>
      <c r="G195" s="22" t="n">
        <f aca="false">G193*v_gb_lo+G194*v_vr_lo</f>
        <v>1331.59722655</v>
      </c>
      <c r="J195" s="5" t="s">
        <v>398</v>
      </c>
    </row>
    <row r="196" customFormat="false" ht="17.15" hidden="false" customHeight="false" outlineLevel="0" collapsed="false">
      <c r="A196" s="0" t="s">
        <v>399</v>
      </c>
      <c r="B196" s="0" t="s">
        <v>130</v>
      </c>
      <c r="D196" s="23" t="n">
        <f aca="false">a27_ai/D195</f>
        <v>0.135400253256988</v>
      </c>
      <c r="J196" s="8" t="s">
        <v>400</v>
      </c>
    </row>
    <row r="197" customFormat="false" ht="17.15" hidden="false" customHeight="false" outlineLevel="0" collapsed="false">
      <c r="A197" s="5" t="s">
        <v>401</v>
      </c>
      <c r="B197" s="0" t="s">
        <v>53</v>
      </c>
      <c r="D197" s="18" t="n">
        <f aca="false">1</f>
        <v>1</v>
      </c>
      <c r="E197" s="18" t="n">
        <f aca="false">rel_28</f>
        <v>0.9</v>
      </c>
      <c r="F197" s="18" t="n">
        <f aca="false">rel_29</f>
        <v>0.85</v>
      </c>
      <c r="G197" s="18" t="n">
        <f aca="false">rel_30</f>
        <v>0.8</v>
      </c>
    </row>
    <row r="198" customFormat="false" ht="17.15" hidden="false" customHeight="false" outlineLevel="0" collapsed="false">
      <c r="A198" s="5" t="s">
        <v>402</v>
      </c>
      <c r="B198" s="0" t="s">
        <v>53</v>
      </c>
      <c r="D198" s="18" t="n">
        <f aca="false">1</f>
        <v>1</v>
      </c>
      <c r="E198" s="18" t="n">
        <f aca="false">1</f>
        <v>1</v>
      </c>
      <c r="F198" s="18" t="n">
        <f aca="false">srel_A</f>
        <v>1</v>
      </c>
      <c r="G198" s="18" t="n">
        <f aca="false">srel_A</f>
        <v>1</v>
      </c>
    </row>
    <row r="199" customFormat="false" ht="17.15" hidden="false" customHeight="false" outlineLevel="0" collapsed="false">
      <c r="A199" s="0" t="s">
        <v>353</v>
      </c>
      <c r="B199" s="0" t="s">
        <v>130</v>
      </c>
      <c r="D199" s="23" t="n">
        <f aca="false">$D$196*D197*D198</f>
        <v>0.135400253256988</v>
      </c>
      <c r="E199" s="23" t="n">
        <f aca="false">$D$196*E197*E198</f>
        <v>0.12186022793129</v>
      </c>
      <c r="F199" s="23" t="n">
        <f aca="false">$D$196*F197*F198</f>
        <v>0.11509021526844</v>
      </c>
      <c r="G199" s="23" t="n">
        <f aca="false">$D$196*G197*G198</f>
        <v>0.108320202605591</v>
      </c>
    </row>
    <row r="200" customFormat="false" ht="17.15" hidden="false" customHeight="false" outlineLevel="0" collapsed="false">
      <c r="A200" s="0" t="s">
        <v>403</v>
      </c>
      <c r="B200" s="0" t="s">
        <v>107</v>
      </c>
      <c r="C200" s="22" t="n">
        <f aca="false">a26_ai</f>
        <v>24.683</v>
      </c>
      <c r="D200" s="22" t="n">
        <f aca="false">D195*D199</f>
        <v>74</v>
      </c>
      <c r="E200" s="22" t="n">
        <f aca="false">E195*E199</f>
        <v>127.953239815295</v>
      </c>
      <c r="F200" s="22" t="n">
        <f aca="false">F195*F199</f>
        <v>135.071155866784</v>
      </c>
      <c r="G200" s="22" t="n">
        <f aca="false">G195*G199</f>
        <v>144.238881368939</v>
      </c>
    </row>
    <row r="201" customFormat="false" ht="17.15" hidden="false" customHeight="false" outlineLevel="0" collapsed="false">
      <c r="A201" s="1" t="s">
        <v>404</v>
      </c>
    </row>
    <row r="202" customFormat="false" ht="15" hidden="false" customHeight="false" outlineLevel="0" collapsed="false">
      <c r="A202" s="5" t="s">
        <v>293</v>
      </c>
      <c r="B202" s="0" t="s">
        <v>107</v>
      </c>
      <c r="C202" s="22" t="n">
        <f aca="false">a26_tr</f>
        <v>19.512</v>
      </c>
      <c r="D202" s="22" t="n">
        <f aca="false">a27_tr</f>
        <v>37.59663</v>
      </c>
      <c r="E202" s="22" t="n">
        <f aca="false">D202*(1+g_tr28)</f>
        <v>35.7167985</v>
      </c>
      <c r="F202" s="22" t="n">
        <f aca="false">E202*(1+g_tr29)</f>
        <v>36.43113447</v>
      </c>
      <c r="G202" s="22" t="n">
        <f aca="false">F202*(1+g_tr30)</f>
        <v>37.5240685041</v>
      </c>
    </row>
    <row r="203" customFormat="false" ht="15" hidden="false" customHeight="false" outlineLevel="0" collapsed="false">
      <c r="A203" s="5" t="s">
        <v>296</v>
      </c>
      <c r="B203" s="0" t="s">
        <v>107</v>
      </c>
      <c r="C203" s="22" t="n">
        <f aca="false">a26_st</f>
        <v>16.631</v>
      </c>
      <c r="D203" s="22" t="n">
        <f aca="false">a27_st</f>
        <v>19.47008</v>
      </c>
      <c r="E203" s="22" t="n">
        <f aca="false">D203*(1+g_st28)</f>
        <v>20.2488832</v>
      </c>
      <c r="F203" s="22" t="n">
        <f aca="false">E203*(1+g_st29)</f>
        <v>21.058838528</v>
      </c>
      <c r="G203" s="22" t="n">
        <f aca="false">F203*(1+g_st30)</f>
        <v>21.90119206912</v>
      </c>
    </row>
    <row r="204" customFormat="false" ht="17.15" hidden="false" customHeight="false" outlineLevel="0" collapsed="false">
      <c r="A204" s="0" t="s">
        <v>299</v>
      </c>
      <c r="B204" s="0" t="s">
        <v>107</v>
      </c>
      <c r="C204" s="22" t="n">
        <f aca="false">C200+C202+C203</f>
        <v>60.826</v>
      </c>
      <c r="D204" s="22" t="n">
        <f aca="false">D200+D202+D203</f>
        <v>131.06671</v>
      </c>
      <c r="E204" s="22" t="n">
        <f aca="false">E200+E202+E203</f>
        <v>183.918921515295</v>
      </c>
      <c r="F204" s="22" t="n">
        <f aca="false">F200+F202+F203</f>
        <v>192.561128864784</v>
      </c>
      <c r="G204" s="22" t="n">
        <f aca="false">G200+G202+G203</f>
        <v>203.664141942159</v>
      </c>
    </row>
    <row r="205" customFormat="false" ht="17.15" hidden="false" customHeight="false" outlineLevel="0" collapsed="false">
      <c r="A205" s="0" t="s">
        <v>405</v>
      </c>
      <c r="B205" s="0" t="s">
        <v>107</v>
      </c>
      <c r="C205" s="22" t="n">
        <f aca="false">a26_csg</f>
        <v>50.984</v>
      </c>
      <c r="D205" s="22" t="n">
        <f aca="false">a27_csg</f>
        <v>60.17529</v>
      </c>
      <c r="E205" s="22" t="n">
        <f aca="false">D205*(1+g_csg28)</f>
        <v>61.9805487</v>
      </c>
      <c r="F205" s="22" t="n">
        <f aca="false">E205*(1+g_csg29)</f>
        <v>63.839965161</v>
      </c>
      <c r="G205" s="22" t="n">
        <f aca="false">F205*(1+g_csg30)</f>
        <v>65.75516411583</v>
      </c>
    </row>
    <row r="206" customFormat="false" ht="17.15" hidden="false" customHeight="false" outlineLevel="0" collapsed="false">
      <c r="A206" s="5" t="s">
        <v>406</v>
      </c>
      <c r="B206" s="0" t="s">
        <v>107</v>
      </c>
      <c r="C206" s="22" t="n">
        <f aca="false">a26_oth</f>
        <v>1.72799999999999</v>
      </c>
      <c r="D206" s="22" t="n">
        <f aca="false">a27_oth</f>
        <v>0.75800000000001</v>
      </c>
      <c r="E206" s="22" t="n">
        <f aca="false">D206</f>
        <v>0.75800000000001</v>
      </c>
      <c r="F206" s="22" t="n">
        <f aca="false">E206</f>
        <v>0.75800000000001</v>
      </c>
      <c r="G206" s="22" t="n">
        <f aca="false">F206</f>
        <v>0.75800000000001</v>
      </c>
      <c r="J206" s="8" t="s">
        <v>407</v>
      </c>
    </row>
    <row r="207" customFormat="false" ht="17.15" hidden="false" customHeight="false" outlineLevel="0" collapsed="false">
      <c r="A207" s="5" t="s">
        <v>306</v>
      </c>
      <c r="B207" s="0" t="s">
        <v>107</v>
      </c>
      <c r="C207" s="22" t="n">
        <f aca="false">C204+C205+C206</f>
        <v>113.538</v>
      </c>
      <c r="D207" s="22" t="n">
        <f aca="false">D204+D205+D206</f>
        <v>192</v>
      </c>
      <c r="E207" s="22" t="n">
        <f aca="false">E204+E205+E206</f>
        <v>246.657470215295</v>
      </c>
      <c r="F207" s="22" t="n">
        <f aca="false">F204+F205+F206</f>
        <v>257.159094025784</v>
      </c>
      <c r="G207" s="22" t="n">
        <f aca="false">G204+G205+G206</f>
        <v>270.177306057989</v>
      </c>
      <c r="H207" s="26" t="n">
        <f aca="false">G207*(1+H208)</f>
        <v>285.121242924779</v>
      </c>
      <c r="I207" s="26" t="n">
        <f aca="false">H207*(1+I208)</f>
        <v>302.228517500266</v>
      </c>
      <c r="J207" s="8" t="s">
        <v>408</v>
      </c>
    </row>
    <row r="208" customFormat="false" ht="15" hidden="false" customHeight="false" outlineLevel="0" collapsed="false">
      <c r="A208" s="5" t="s">
        <v>409</v>
      </c>
      <c r="B208" s="0" t="s">
        <v>130</v>
      </c>
      <c r="D208" s="17" t="n">
        <f aca="false">D207/C207-1</f>
        <v>0.691063784812134</v>
      </c>
      <c r="E208" s="17" t="n">
        <f aca="false">E207/D207-1</f>
        <v>0.284674324037995</v>
      </c>
      <c r="F208" s="17" t="n">
        <f aca="false">F207/E207-1</f>
        <v>0.0425757379305107</v>
      </c>
      <c r="G208" s="17" t="n">
        <f aca="false">G207/F207-1</f>
        <v>0.0506231836036077</v>
      </c>
      <c r="H208" s="27" t="n">
        <f aca="false">$G208+(fade_gA-$G208)*1/2</f>
        <v>0.0553115918018039</v>
      </c>
      <c r="I208" s="27" t="n">
        <f aca="false">$G208+(fade_gA-$G208)*2/2</f>
        <v>0.06</v>
      </c>
    </row>
    <row r="209" customFormat="false" ht="17.15" hidden="false" customHeight="false" outlineLevel="0" collapsed="false">
      <c r="A209" s="0" t="s">
        <v>410</v>
      </c>
      <c r="B209" s="0" t="s">
        <v>130</v>
      </c>
      <c r="C209" s="17" t="n">
        <f aca="false">C200/C207</f>
        <v>0.217398580211031</v>
      </c>
      <c r="D209" s="17" t="n">
        <f aca="false">D200/D207</f>
        <v>0.385416666666667</v>
      </c>
      <c r="E209" s="17" t="n">
        <f aca="false">E200/E207</f>
        <v>0.51874869106381</v>
      </c>
      <c r="F209" s="17" t="n">
        <f aca="false">F200/F207</f>
        <v>0.52524355157839</v>
      </c>
      <c r="G209" s="17" t="n">
        <f aca="false">G200/G207</f>
        <v>0.533867494177992</v>
      </c>
    </row>
    <row r="210" customFormat="false" ht="17.15" hidden="false" customHeight="false" outlineLevel="0" collapsed="false">
      <c r="A210" s="1" t="s">
        <v>411</v>
      </c>
    </row>
    <row r="211" customFormat="false" ht="17.15" hidden="false" customHeight="false" outlineLevel="0" collapsed="false">
      <c r="A211" s="0" t="s">
        <v>383</v>
      </c>
      <c r="B211" s="0" t="s">
        <v>130</v>
      </c>
      <c r="C211" s="23" t="n">
        <f aca="false">(a26_isgoi-m_nai*(a26_tr+a26_st))/a26_ai</f>
        <v>0.0538070736944455</v>
      </c>
      <c r="D211" s="23" t="n">
        <f aca="false">(a27_isgoi-m_nai*(a27_tr+a27_st))/a27_ai</f>
        <v>0.110710097972973</v>
      </c>
      <c r="E211" s="23" t="n">
        <f aca="false">$D211+ai_dm</f>
        <v>0.100710097972973</v>
      </c>
      <c r="F211" s="23" t="n">
        <f aca="false">$D211+ai_dm+dm_A</f>
        <v>0.100710097972973</v>
      </c>
      <c r="G211" s="23" t="n">
        <f aca="false">$D211+ai_dm+dm_A</f>
        <v>0.100710097972973</v>
      </c>
      <c r="J211" s="8" t="s">
        <v>412</v>
      </c>
    </row>
    <row r="212" customFormat="false" ht="17.15" hidden="false" customHeight="false" outlineLevel="0" collapsed="false">
      <c r="A212" s="5" t="s">
        <v>413</v>
      </c>
      <c r="B212" s="0" t="s">
        <v>130</v>
      </c>
      <c r="C212" s="23" t="n">
        <f aca="false">m_nai</f>
        <v>0.16</v>
      </c>
      <c r="D212" s="23" t="n">
        <f aca="false">m_nai</f>
        <v>0.16</v>
      </c>
      <c r="E212" s="23" t="n">
        <f aca="false">m_naif</f>
        <v>0.155</v>
      </c>
      <c r="F212" s="23" t="n">
        <f aca="false">m_naif</f>
        <v>0.155</v>
      </c>
      <c r="G212" s="23" t="n">
        <f aca="false">m_naif</f>
        <v>0.155</v>
      </c>
    </row>
    <row r="213" customFormat="false" ht="17.15" hidden="false" customHeight="false" outlineLevel="0" collapsed="false">
      <c r="A213" s="0" t="s">
        <v>308</v>
      </c>
      <c r="B213" s="0" t="s">
        <v>107</v>
      </c>
      <c r="C213" s="28" t="n">
        <f aca="false">a26_isgoi</f>
        <v>7.111</v>
      </c>
      <c r="D213" s="28" t="n">
        <f aca="false">a27_isgoi</f>
        <v>17.32322085</v>
      </c>
      <c r="E213" s="28" t="n">
        <f aca="false">E200*E211+(E202+E203)*E212</f>
        <v>21.5608639812577</v>
      </c>
      <c r="F213" s="28" t="n">
        <f aca="false">F200*F211+(F202+F203)*F212</f>
        <v>22.5139751553565</v>
      </c>
      <c r="G213" s="28" t="n">
        <f aca="false">G200*G211+(G202+G203)*G212</f>
        <v>23.737227263027</v>
      </c>
    </row>
    <row r="214" customFormat="false" ht="17.15" hidden="false" customHeight="false" outlineLevel="0" collapsed="false">
      <c r="A214" s="0" t="s">
        <v>414</v>
      </c>
      <c r="B214" s="0" t="s">
        <v>130</v>
      </c>
      <c r="C214" s="23" t="n">
        <f aca="false">a26_csgoi/C205</f>
        <v>0.0555664522203044</v>
      </c>
      <c r="D214" s="23" t="n">
        <f aca="false">a27_csgoi/D205</f>
        <v>0.0764752733223222</v>
      </c>
      <c r="E214" s="23" t="n">
        <f aca="false">m_csgf</f>
        <v>0.07</v>
      </c>
      <c r="F214" s="23" t="n">
        <f aca="false">m_csgf</f>
        <v>0.07</v>
      </c>
      <c r="G214" s="23" t="n">
        <f aca="false">m_csgf</f>
        <v>0.07</v>
      </c>
    </row>
    <row r="215" customFormat="false" ht="17.15" hidden="false" customHeight="false" outlineLevel="0" collapsed="false">
      <c r="A215" s="0" t="s">
        <v>310</v>
      </c>
      <c r="B215" s="0" t="s">
        <v>107</v>
      </c>
      <c r="C215" s="28" t="n">
        <f aca="false">C205*C214</f>
        <v>2.833</v>
      </c>
      <c r="D215" s="28" t="n">
        <f aca="false">D205*D214</f>
        <v>4.60192175</v>
      </c>
      <c r="E215" s="28" t="n">
        <f aca="false">E205*E214</f>
        <v>4.338638409</v>
      </c>
      <c r="F215" s="28" t="n">
        <f aca="false">F205*F214</f>
        <v>4.46879756127</v>
      </c>
      <c r="G215" s="28" t="n">
        <f aca="false">G205*G214</f>
        <v>4.6028614881081</v>
      </c>
    </row>
    <row r="216" customFormat="false" ht="17.15" hidden="false" customHeight="false" outlineLevel="0" collapsed="false">
      <c r="A216" s="5" t="s">
        <v>415</v>
      </c>
      <c r="B216" s="0" t="s">
        <v>107</v>
      </c>
      <c r="C216" s="28" t="n">
        <f aca="false">C213+C215</f>
        <v>9.944</v>
      </c>
      <c r="D216" s="28" t="n">
        <f aca="false">D213+D215</f>
        <v>21.9251426</v>
      </c>
      <c r="E216" s="28" t="n">
        <f aca="false">E213+E215</f>
        <v>25.8995023902577</v>
      </c>
      <c r="F216" s="28" t="n">
        <f aca="false">F213+F215</f>
        <v>26.9827727166265</v>
      </c>
      <c r="G216" s="28" t="n">
        <f aca="false">G213+G215</f>
        <v>28.3400887511351</v>
      </c>
    </row>
    <row r="217" customFormat="false" ht="15" hidden="false" customHeight="false" outlineLevel="0" collapsed="false">
      <c r="A217" s="5" t="s">
        <v>384</v>
      </c>
      <c r="B217" s="0" t="s">
        <v>130</v>
      </c>
      <c r="C217" s="23" t="n">
        <f aca="false">C216/C207</f>
        <v>0.0875830118550617</v>
      </c>
      <c r="D217" s="23" t="n">
        <f aca="false">D216/D207</f>
        <v>0.114193451041667</v>
      </c>
      <c r="E217" s="23" t="n">
        <f aca="false">E216/E207</f>
        <v>0.1050018974396</v>
      </c>
      <c r="F217" s="23" t="n">
        <f aca="false">F216/F207</f>
        <v>0.10492637959722</v>
      </c>
      <c r="G217" s="23" t="n">
        <f aca="false">G216/G207</f>
        <v>0.104894408655671</v>
      </c>
    </row>
    <row r="218" customFormat="false" ht="17.15" hidden="false" customHeight="false" outlineLevel="0" collapsed="false">
      <c r="A218" s="5" t="s">
        <v>416</v>
      </c>
      <c r="B218" s="0" t="s">
        <v>130</v>
      </c>
      <c r="C218" s="17" t="n">
        <f aca="false">a26_ni/a26_oi</f>
        <v>0.708567980691875</v>
      </c>
      <c r="D218" s="17" t="n">
        <f aca="false">a27_ni/a27_oi</f>
        <v>0.753655303477935</v>
      </c>
      <c r="E218" s="17" t="n">
        <f aca="false">nio_f</f>
        <v>0.75</v>
      </c>
      <c r="F218" s="17" t="n">
        <f aca="false">nio_f</f>
        <v>0.75</v>
      </c>
      <c r="G218" s="17" t="n">
        <f aca="false">nio_f</f>
        <v>0.75</v>
      </c>
    </row>
    <row r="219" customFormat="false" ht="17.15" hidden="false" customHeight="false" outlineLevel="0" collapsed="false">
      <c r="A219" s="0" t="s">
        <v>316</v>
      </c>
      <c r="B219" s="0" t="s">
        <v>107</v>
      </c>
      <c r="C219" s="28" t="n">
        <f aca="false">a26_ni</f>
        <v>7.046</v>
      </c>
      <c r="D219" s="28" t="n">
        <f aca="false">a27_ni</f>
        <v>16.524</v>
      </c>
      <c r="E219" s="28" t="n">
        <f aca="false">E216*E218</f>
        <v>19.4246267926933</v>
      </c>
      <c r="F219" s="28" t="n">
        <f aca="false">F216*F218</f>
        <v>20.2370795374699</v>
      </c>
      <c r="G219" s="28" t="n">
        <f aca="false">G216*G218</f>
        <v>21.2550665633513</v>
      </c>
      <c r="H219" s="29" t="n">
        <f aca="false">H207*H223</f>
        <v>22.4242477715206</v>
      </c>
      <c r="I219" s="29" t="n">
        <f aca="false">I207*I223</f>
        <v>23.7628440590707</v>
      </c>
    </row>
    <row r="220" customFormat="false" ht="15" hidden="false" customHeight="false" outlineLevel="0" collapsed="false">
      <c r="A220" s="5" t="s">
        <v>417</v>
      </c>
      <c r="B220" s="5" t="s">
        <v>143</v>
      </c>
      <c r="C220" s="32" t="n">
        <f aca="false">a26_sh</f>
        <v>0.684077669902913</v>
      </c>
      <c r="D220" s="32" t="n">
        <f aca="false">a27_sh</f>
        <v>0.648</v>
      </c>
      <c r="E220" s="32" t="n">
        <f aca="false">D220*(1+sh_g)</f>
        <v>0.62856</v>
      </c>
      <c r="F220" s="32" t="n">
        <f aca="false">E220*(1+sh_g)</f>
        <v>0.6097032</v>
      </c>
      <c r="G220" s="32" t="n">
        <f aca="false">F220*(1+sh_g)</f>
        <v>0.591412104</v>
      </c>
      <c r="H220" s="33" t="n">
        <f aca="false">G220*(1+sh_g)</f>
        <v>0.57366974088</v>
      </c>
      <c r="I220" s="33" t="n">
        <f aca="false">H220*(1+sh_g)</f>
        <v>0.5564596486536</v>
      </c>
    </row>
    <row r="221" customFormat="false" ht="15" hidden="false" customHeight="false" outlineLevel="0" collapsed="false">
      <c r="A221" s="0" t="s">
        <v>324</v>
      </c>
      <c r="B221" s="0" t="s">
        <v>117</v>
      </c>
      <c r="C221" s="28" t="n">
        <f aca="false">C219/C220</f>
        <v>10.3</v>
      </c>
      <c r="D221" s="28" t="n">
        <f aca="false">D219/D220</f>
        <v>25.5</v>
      </c>
      <c r="E221" s="28" t="n">
        <f aca="false">E219/E220</f>
        <v>30.903377231598</v>
      </c>
      <c r="F221" s="28" t="n">
        <f aca="false">F219/F220</f>
        <v>33.1916898869317</v>
      </c>
      <c r="G221" s="28" t="n">
        <f aca="false">G219/G220</f>
        <v>35.9395190250474</v>
      </c>
      <c r="H221" s="31" t="n">
        <f aca="false">H219/H220</f>
        <v>39.0891242357007</v>
      </c>
      <c r="I221" s="31" t="n">
        <f aca="false">I219/I220</f>
        <v>42.7036248119101</v>
      </c>
    </row>
    <row r="222" customFormat="false" ht="17.15" hidden="false" customHeight="false" outlineLevel="0" collapsed="false">
      <c r="A222" s="0" t="s">
        <v>418</v>
      </c>
      <c r="B222" s="0" t="s">
        <v>130</v>
      </c>
      <c r="D222" s="17" t="n">
        <f aca="false">D221/C221-1</f>
        <v>1.47572815533981</v>
      </c>
      <c r="E222" s="17" t="n">
        <f aca="false">E221/D221-1</f>
        <v>0.211897146337177</v>
      </c>
      <c r="F222" s="17" t="n">
        <f aca="false">F221/E221-1</f>
        <v>0.0740473326971507</v>
      </c>
      <c r="G222" s="17" t="n">
        <f aca="false">G221/F221-1</f>
        <v>0.0827866597776794</v>
      </c>
      <c r="H222" s="27" t="n">
        <f aca="false">H221/G221-1</f>
        <v>0.0876362649277058</v>
      </c>
      <c r="I222" s="27" t="n">
        <f aca="false">I221/H221-1</f>
        <v>0.0924681902417295</v>
      </c>
    </row>
    <row r="223" customFormat="false" ht="17.15" hidden="false" customHeight="false" outlineLevel="0" collapsed="false">
      <c r="A223" s="5" t="s">
        <v>419</v>
      </c>
      <c r="B223" s="0" t="s">
        <v>130</v>
      </c>
      <c r="C223" s="23" t="n">
        <f aca="false">C219/C207</f>
        <v>0.0620585178530536</v>
      </c>
      <c r="D223" s="23" t="n">
        <f aca="false">D219/D207</f>
        <v>0.0860625</v>
      </c>
      <c r="E223" s="23" t="n">
        <f aca="false">E219/E207</f>
        <v>0.0787514230797002</v>
      </c>
      <c r="F223" s="23" t="n">
        <f aca="false">F219/F207</f>
        <v>0.0786947846979147</v>
      </c>
      <c r="G223" s="23" t="n">
        <f aca="false">G219/G207</f>
        <v>0.0786708064917535</v>
      </c>
      <c r="H223" s="30" t="n">
        <f aca="false">$G223+(fade_mA-$G223)*1/2</f>
        <v>0.0786481131377382</v>
      </c>
      <c r="I223" s="30" t="n">
        <f aca="false">$G223+(fade_mA-$G223)*2/2</f>
        <v>0.0786254197837229</v>
      </c>
    </row>
    <row r="224" customFormat="false" ht="17.15" hidden="false" customHeight="false" outlineLevel="0" collapsed="false">
      <c r="A224" s="0" t="s">
        <v>420</v>
      </c>
      <c r="B224" s="0" t="s">
        <v>74</v>
      </c>
      <c r="D224" s="20" t="n">
        <f aca="false">D200/(D193+D194)</f>
        <v>8.8622754491018</v>
      </c>
      <c r="E224" s="20" t="n">
        <f aca="false">E200/(E193+E194)</f>
        <v>11.4243964120799</v>
      </c>
      <c r="F224" s="20" t="n">
        <f aca="false">F200/(F193+F194)</f>
        <v>11.7453179014595</v>
      </c>
      <c r="G224" s="20" t="n">
        <f aca="false">G200/(G193+G194)</f>
        <v>11.1813086332511</v>
      </c>
    </row>
    <row r="227" customFormat="false" ht="17.15" hidden="false" customHeight="false" outlineLevel="0" collapsed="false">
      <c r="A227" s="3" t="s">
        <v>750</v>
      </c>
    </row>
    <row r="228" customFormat="false" ht="17.15" hidden="false" customHeight="false" outlineLevel="0" collapsed="false">
      <c r="A228" s="6" t="s">
        <v>20</v>
      </c>
      <c r="B228" s="6" t="s">
        <v>21</v>
      </c>
      <c r="C228" s="14" t="s">
        <v>284</v>
      </c>
      <c r="D228" s="14" t="s">
        <v>371</v>
      </c>
      <c r="E228" s="14" t="s">
        <v>372</v>
      </c>
      <c r="F228" s="14" t="s">
        <v>373</v>
      </c>
      <c r="G228" s="14" t="s">
        <v>374</v>
      </c>
      <c r="H228" s="14" t="s">
        <v>375</v>
      </c>
      <c r="I228" s="14" t="s">
        <v>376</v>
      </c>
      <c r="J228" s="6" t="s">
        <v>344</v>
      </c>
    </row>
    <row r="229" customFormat="false" ht="17.15" hidden="false" customHeight="false" outlineLevel="0" collapsed="false">
      <c r="A229" s="1" t="s">
        <v>394</v>
      </c>
    </row>
    <row r="230" customFormat="false" ht="17.15" hidden="false" customHeight="false" outlineLevel="0" collapsed="false">
      <c r="A230" s="0" t="s">
        <v>395</v>
      </c>
      <c r="B230" s="5" t="s">
        <v>31</v>
      </c>
      <c r="D230" s="18" t="n">
        <f aca="false">ug_26</f>
        <v>6.65</v>
      </c>
      <c r="E230" s="18" t="n">
        <f aca="false">ug_27*1</f>
        <v>2.4</v>
      </c>
      <c r="F230" s="18" t="n">
        <f aca="false">ug_28*um28_A*1</f>
        <v>0.5</v>
      </c>
      <c r="G230" s="18" t="n">
        <f aca="false">ug_29*um29_A*1</f>
        <v>0.25</v>
      </c>
    </row>
    <row r="231" customFormat="false" ht="17.15" hidden="false" customHeight="false" outlineLevel="0" collapsed="false">
      <c r="A231" s="0" t="s">
        <v>396</v>
      </c>
      <c r="B231" s="5" t="s">
        <v>31</v>
      </c>
      <c r="D231" s="18" t="n">
        <f aca="false">uv_26</f>
        <v>1.7</v>
      </c>
      <c r="E231" s="18" t="n">
        <f aca="false">uv_27*1</f>
        <v>8.8</v>
      </c>
      <c r="F231" s="18" t="n">
        <f aca="false">uv_28*um28_A*1</f>
        <v>11</v>
      </c>
      <c r="G231" s="18" t="n">
        <f aca="false">uv_29*um29_A*1</f>
        <v>12.65</v>
      </c>
    </row>
    <row r="232" customFormat="false" ht="17.15" hidden="false" customHeight="false" outlineLevel="0" collapsed="false">
      <c r="A232" s="5" t="s">
        <v>397</v>
      </c>
      <c r="B232" s="0" t="s">
        <v>107</v>
      </c>
      <c r="D232" s="22" t="n">
        <f aca="false">D230*v_gb_hi+D231*v_vr_hi</f>
        <v>676.6666639</v>
      </c>
      <c r="E232" s="22" t="n">
        <f aca="false">E230*v_gb_hi+E231*v_vr_hi</f>
        <v>1278.8888888</v>
      </c>
      <c r="F232" s="22" t="n">
        <f aca="false">F230*v_gb_hi+F231*v_vr_hi</f>
        <v>1425.000001</v>
      </c>
      <c r="G232" s="22" t="n">
        <f aca="false">G230*v_gb_hi+G231*v_vr_hi</f>
        <v>1616.18055685</v>
      </c>
      <c r="J232" s="5" t="s">
        <v>398</v>
      </c>
    </row>
    <row r="233" customFormat="false" ht="17.15" hidden="false" customHeight="false" outlineLevel="0" collapsed="false">
      <c r="A233" s="0" t="s">
        <v>399</v>
      </c>
      <c r="B233" s="0" t="s">
        <v>130</v>
      </c>
      <c r="D233" s="23" t="n">
        <f aca="false">a27_ai/D232</f>
        <v>0.109359606358465</v>
      </c>
      <c r="J233" s="8" t="s">
        <v>400</v>
      </c>
    </row>
    <row r="234" customFormat="false" ht="17.15" hidden="false" customHeight="false" outlineLevel="0" collapsed="false">
      <c r="A234" s="5" t="s">
        <v>401</v>
      </c>
      <c r="B234" s="0" t="s">
        <v>53</v>
      </c>
      <c r="D234" s="18" t="n">
        <f aca="false">1</f>
        <v>1</v>
      </c>
      <c r="E234" s="18" t="n">
        <f aca="false">rel_28</f>
        <v>0.9</v>
      </c>
      <c r="F234" s="18" t="n">
        <f aca="false">rel_29</f>
        <v>0.85</v>
      </c>
      <c r="G234" s="18" t="n">
        <f aca="false">rel_30</f>
        <v>0.8</v>
      </c>
    </row>
    <row r="235" customFormat="false" ht="17.15" hidden="false" customHeight="false" outlineLevel="0" collapsed="false">
      <c r="A235" s="5" t="s">
        <v>402</v>
      </c>
      <c r="B235" s="0" t="s">
        <v>53</v>
      </c>
      <c r="D235" s="18" t="n">
        <f aca="false">1</f>
        <v>1</v>
      </c>
      <c r="E235" s="18" t="n">
        <f aca="false">1</f>
        <v>1</v>
      </c>
      <c r="F235" s="18" t="n">
        <f aca="false">srel_A</f>
        <v>1</v>
      </c>
      <c r="G235" s="18" t="n">
        <f aca="false">srel_A</f>
        <v>1</v>
      </c>
    </row>
    <row r="236" customFormat="false" ht="17.15" hidden="false" customHeight="false" outlineLevel="0" collapsed="false">
      <c r="A236" s="0" t="s">
        <v>353</v>
      </c>
      <c r="B236" s="0" t="s">
        <v>130</v>
      </c>
      <c r="D236" s="23" t="n">
        <f aca="false">$D$233*D234*D235</f>
        <v>0.109359606358465</v>
      </c>
      <c r="E236" s="23" t="n">
        <f aca="false">$D$233*E234*E235</f>
        <v>0.0984236457226188</v>
      </c>
      <c r="F236" s="23" t="n">
        <f aca="false">$D$233*F234*F235</f>
        <v>0.0929556654046956</v>
      </c>
      <c r="G236" s="23" t="n">
        <f aca="false">$D$233*G234*G235</f>
        <v>0.0874876850867723</v>
      </c>
    </row>
    <row r="237" customFormat="false" ht="17.15" hidden="false" customHeight="false" outlineLevel="0" collapsed="false">
      <c r="A237" s="0" t="s">
        <v>403</v>
      </c>
      <c r="B237" s="0" t="s">
        <v>107</v>
      </c>
      <c r="C237" s="22" t="n">
        <f aca="false">a26_ai</f>
        <v>24.683</v>
      </c>
      <c r="D237" s="22" t="n">
        <f aca="false">D232*D236</f>
        <v>74</v>
      </c>
      <c r="E237" s="22" t="n">
        <f aca="false">E232*E236</f>
        <v>125.872906909845</v>
      </c>
      <c r="F237" s="22" t="n">
        <f aca="false">F232*F236</f>
        <v>132.461823294647</v>
      </c>
      <c r="G237" s="22" t="n">
        <f aca="false">G232*G236</f>
        <v>141.395895601057</v>
      </c>
    </row>
    <row r="238" customFormat="false" ht="17.15" hidden="false" customHeight="false" outlineLevel="0" collapsed="false">
      <c r="A238" s="1" t="s">
        <v>404</v>
      </c>
    </row>
    <row r="239" customFormat="false" ht="15" hidden="false" customHeight="false" outlineLevel="0" collapsed="false">
      <c r="A239" s="5" t="s">
        <v>293</v>
      </c>
      <c r="B239" s="0" t="s">
        <v>107</v>
      </c>
      <c r="C239" s="22" t="n">
        <f aca="false">a26_tr</f>
        <v>19.512</v>
      </c>
      <c r="D239" s="22" t="n">
        <f aca="false">a27_tr</f>
        <v>37.59663</v>
      </c>
      <c r="E239" s="22" t="n">
        <f aca="false">D239*(1+g_tr28)</f>
        <v>35.7167985</v>
      </c>
      <c r="F239" s="22" t="n">
        <f aca="false">E239*(1+g_tr29)</f>
        <v>36.43113447</v>
      </c>
      <c r="G239" s="22" t="n">
        <f aca="false">F239*(1+g_tr30)</f>
        <v>37.5240685041</v>
      </c>
    </row>
    <row r="240" customFormat="false" ht="15" hidden="false" customHeight="false" outlineLevel="0" collapsed="false">
      <c r="A240" s="5" t="s">
        <v>296</v>
      </c>
      <c r="B240" s="0" t="s">
        <v>107</v>
      </c>
      <c r="C240" s="22" t="n">
        <f aca="false">a26_st</f>
        <v>16.631</v>
      </c>
      <c r="D240" s="22" t="n">
        <f aca="false">a27_st</f>
        <v>19.47008</v>
      </c>
      <c r="E240" s="22" t="n">
        <f aca="false">D240*(1+g_st28)</f>
        <v>20.2488832</v>
      </c>
      <c r="F240" s="22" t="n">
        <f aca="false">E240*(1+g_st29)</f>
        <v>21.058838528</v>
      </c>
      <c r="G240" s="22" t="n">
        <f aca="false">F240*(1+g_st30)</f>
        <v>21.90119206912</v>
      </c>
    </row>
    <row r="241" customFormat="false" ht="17.15" hidden="false" customHeight="false" outlineLevel="0" collapsed="false">
      <c r="A241" s="0" t="s">
        <v>299</v>
      </c>
      <c r="B241" s="0" t="s">
        <v>107</v>
      </c>
      <c r="C241" s="22" t="n">
        <f aca="false">C237+C239+C240</f>
        <v>60.826</v>
      </c>
      <c r="D241" s="22" t="n">
        <f aca="false">D237+D239+D240</f>
        <v>131.06671</v>
      </c>
      <c r="E241" s="22" t="n">
        <f aca="false">E237+E239+E240</f>
        <v>181.838588609845</v>
      </c>
      <c r="F241" s="22" t="n">
        <f aca="false">F237+F239+F240</f>
        <v>189.951796292647</v>
      </c>
      <c r="G241" s="22" t="n">
        <f aca="false">G237+G239+G240</f>
        <v>200.821156174277</v>
      </c>
    </row>
    <row r="242" customFormat="false" ht="17.15" hidden="false" customHeight="false" outlineLevel="0" collapsed="false">
      <c r="A242" s="0" t="s">
        <v>405</v>
      </c>
      <c r="B242" s="0" t="s">
        <v>107</v>
      </c>
      <c r="C242" s="22" t="n">
        <f aca="false">a26_csg</f>
        <v>50.984</v>
      </c>
      <c r="D242" s="22" t="n">
        <f aca="false">a27_csg</f>
        <v>60.17529</v>
      </c>
      <c r="E242" s="22" t="n">
        <f aca="false">D242*(1+g_csg28)</f>
        <v>61.9805487</v>
      </c>
      <c r="F242" s="22" t="n">
        <f aca="false">E242*(1+g_csg29)</f>
        <v>63.839965161</v>
      </c>
      <c r="G242" s="22" t="n">
        <f aca="false">F242*(1+g_csg30)</f>
        <v>65.75516411583</v>
      </c>
    </row>
    <row r="243" customFormat="false" ht="17.15" hidden="false" customHeight="false" outlineLevel="0" collapsed="false">
      <c r="A243" s="5" t="s">
        <v>406</v>
      </c>
      <c r="B243" s="0" t="s">
        <v>107</v>
      </c>
      <c r="C243" s="22" t="n">
        <f aca="false">a26_oth</f>
        <v>1.72799999999999</v>
      </c>
      <c r="D243" s="22" t="n">
        <f aca="false">a27_oth</f>
        <v>0.75800000000001</v>
      </c>
      <c r="E243" s="22" t="n">
        <f aca="false">D243</f>
        <v>0.75800000000001</v>
      </c>
      <c r="F243" s="22" t="n">
        <f aca="false">E243</f>
        <v>0.75800000000001</v>
      </c>
      <c r="G243" s="22" t="n">
        <f aca="false">F243</f>
        <v>0.75800000000001</v>
      </c>
      <c r="J243" s="8" t="s">
        <v>407</v>
      </c>
    </row>
    <row r="244" customFormat="false" ht="17.15" hidden="false" customHeight="false" outlineLevel="0" collapsed="false">
      <c r="A244" s="5" t="s">
        <v>306</v>
      </c>
      <c r="B244" s="0" t="s">
        <v>107</v>
      </c>
      <c r="C244" s="22" t="n">
        <f aca="false">C241+C242+C243</f>
        <v>113.538</v>
      </c>
      <c r="D244" s="22" t="n">
        <f aca="false">D241+D242+D243</f>
        <v>192</v>
      </c>
      <c r="E244" s="22" t="n">
        <f aca="false">E241+E242+E243</f>
        <v>244.577137309845</v>
      </c>
      <c r="F244" s="22" t="n">
        <f aca="false">F241+F242+F243</f>
        <v>254.549761453647</v>
      </c>
      <c r="G244" s="22" t="n">
        <f aca="false">G241+G242+G243</f>
        <v>267.334320290107</v>
      </c>
      <c r="H244" s="26" t="n">
        <f aca="false">G244*(1+H245)</f>
        <v>282.067676454758</v>
      </c>
      <c r="I244" s="26" t="n">
        <f aca="false">H244*(1+I245)</f>
        <v>298.991737042044</v>
      </c>
      <c r="J244" s="8" t="s">
        <v>408</v>
      </c>
    </row>
    <row r="245" customFormat="false" ht="15" hidden="false" customHeight="false" outlineLevel="0" collapsed="false">
      <c r="A245" s="5" t="s">
        <v>409</v>
      </c>
      <c r="B245" s="0" t="s">
        <v>130</v>
      </c>
      <c r="D245" s="17" t="n">
        <f aca="false">D244/C244-1</f>
        <v>0.691063784812134</v>
      </c>
      <c r="E245" s="17" t="n">
        <f aca="false">E244/D244-1</f>
        <v>0.273839256822109</v>
      </c>
      <c r="F245" s="17" t="n">
        <f aca="false">F244/E244-1</f>
        <v>0.0407749647145803</v>
      </c>
      <c r="G245" s="17" t="n">
        <f aca="false">G244/F244-1</f>
        <v>0.0502242027784745</v>
      </c>
      <c r="H245" s="27" t="n">
        <f aca="false">$G245+(fade_gA-$G245)*1/2</f>
        <v>0.0551121013892373</v>
      </c>
      <c r="I245" s="27" t="n">
        <f aca="false">$G245+(fade_gA-$G245)*2/2</f>
        <v>0.06</v>
      </c>
    </row>
    <row r="246" customFormat="false" ht="17.15" hidden="false" customHeight="false" outlineLevel="0" collapsed="false">
      <c r="A246" s="0" t="s">
        <v>410</v>
      </c>
      <c r="B246" s="0" t="s">
        <v>130</v>
      </c>
      <c r="C246" s="17" t="n">
        <f aca="false">C237/C244</f>
        <v>0.217398580211031</v>
      </c>
      <c r="D246" s="17" t="n">
        <f aca="false">D237/D244</f>
        <v>0.385416666666667</v>
      </c>
      <c r="E246" s="17" t="n">
        <f aca="false">E237/E244</f>
        <v>0.514655246579248</v>
      </c>
      <c r="F246" s="17" t="n">
        <f aca="false">F237/F244</f>
        <v>0.520376929596015</v>
      </c>
      <c r="G246" s="17" t="n">
        <f aca="false">G237/G244</f>
        <v>0.528910375022618</v>
      </c>
    </row>
    <row r="247" customFormat="false" ht="17.15" hidden="false" customHeight="false" outlineLevel="0" collapsed="false">
      <c r="A247" s="1" t="s">
        <v>411</v>
      </c>
    </row>
    <row r="248" customFormat="false" ht="17.15" hidden="false" customHeight="false" outlineLevel="0" collapsed="false">
      <c r="A248" s="0" t="s">
        <v>383</v>
      </c>
      <c r="B248" s="0" t="s">
        <v>130</v>
      </c>
      <c r="C248" s="23" t="n">
        <f aca="false">(a26_isgoi-m_nai*(a26_tr+a26_st))/a26_ai</f>
        <v>0.0538070736944455</v>
      </c>
      <c r="D248" s="23" t="n">
        <f aca="false">(a27_isgoi-m_nai*(a27_tr+a27_st))/a27_ai</f>
        <v>0.110710097972973</v>
      </c>
      <c r="E248" s="23" t="n">
        <f aca="false">$D248+ai_dm</f>
        <v>0.100710097972973</v>
      </c>
      <c r="F248" s="23" t="n">
        <f aca="false">$D248+ai_dm+dm_A</f>
        <v>0.100710097972973</v>
      </c>
      <c r="G248" s="23" t="n">
        <f aca="false">$D248+ai_dm+dm_A</f>
        <v>0.100710097972973</v>
      </c>
      <c r="J248" s="8" t="s">
        <v>412</v>
      </c>
    </row>
    <row r="249" customFormat="false" ht="17.15" hidden="false" customHeight="false" outlineLevel="0" collapsed="false">
      <c r="A249" s="5" t="s">
        <v>413</v>
      </c>
      <c r="B249" s="0" t="s">
        <v>130</v>
      </c>
      <c r="C249" s="23" t="n">
        <f aca="false">m_nai</f>
        <v>0.16</v>
      </c>
      <c r="D249" s="23" t="n">
        <f aca="false">m_nai</f>
        <v>0.16</v>
      </c>
      <c r="E249" s="23" t="n">
        <f aca="false">m_naif</f>
        <v>0.155</v>
      </c>
      <c r="F249" s="23" t="n">
        <f aca="false">m_naif</f>
        <v>0.155</v>
      </c>
      <c r="G249" s="23" t="n">
        <f aca="false">m_naif</f>
        <v>0.155</v>
      </c>
    </row>
    <row r="250" customFormat="false" ht="17.15" hidden="false" customHeight="false" outlineLevel="0" collapsed="false">
      <c r="A250" s="0" t="s">
        <v>308</v>
      </c>
      <c r="B250" s="0" t="s">
        <v>107</v>
      </c>
      <c r="C250" s="28" t="n">
        <f aca="false">a26_isgoi</f>
        <v>7.111</v>
      </c>
      <c r="D250" s="28" t="n">
        <f aca="false">a27_isgoi</f>
        <v>17.32322085</v>
      </c>
      <c r="E250" s="28" t="n">
        <f aca="false">E237*E248+(E239+E240)*E249</f>
        <v>21.3513534505334</v>
      </c>
      <c r="F250" s="28" t="n">
        <f aca="false">F237*F248+(F239+F240)*F249</f>
        <v>22.2511890163725</v>
      </c>
      <c r="G250" s="28" t="n">
        <f aca="false">G237*G248+(G239+G240)*G249</f>
        <v>23.4509098878078</v>
      </c>
    </row>
    <row r="251" customFormat="false" ht="17.15" hidden="false" customHeight="false" outlineLevel="0" collapsed="false">
      <c r="A251" s="0" t="s">
        <v>414</v>
      </c>
      <c r="B251" s="0" t="s">
        <v>130</v>
      </c>
      <c r="C251" s="23" t="n">
        <f aca="false">a26_csgoi/C242</f>
        <v>0.0555664522203044</v>
      </c>
      <c r="D251" s="23" t="n">
        <f aca="false">a27_csgoi/D242</f>
        <v>0.0764752733223222</v>
      </c>
      <c r="E251" s="23" t="n">
        <f aca="false">m_csgf</f>
        <v>0.07</v>
      </c>
      <c r="F251" s="23" t="n">
        <f aca="false">m_csgf</f>
        <v>0.07</v>
      </c>
      <c r="G251" s="23" t="n">
        <f aca="false">m_csgf</f>
        <v>0.07</v>
      </c>
    </row>
    <row r="252" customFormat="false" ht="17.15" hidden="false" customHeight="false" outlineLevel="0" collapsed="false">
      <c r="A252" s="0" t="s">
        <v>310</v>
      </c>
      <c r="B252" s="0" t="s">
        <v>107</v>
      </c>
      <c r="C252" s="28" t="n">
        <f aca="false">C242*C251</f>
        <v>2.833</v>
      </c>
      <c r="D252" s="28" t="n">
        <f aca="false">D242*D251</f>
        <v>4.60192175</v>
      </c>
      <c r="E252" s="28" t="n">
        <f aca="false">E242*E251</f>
        <v>4.338638409</v>
      </c>
      <c r="F252" s="28" t="n">
        <f aca="false">F242*F251</f>
        <v>4.46879756127</v>
      </c>
      <c r="G252" s="28" t="n">
        <f aca="false">G242*G251</f>
        <v>4.6028614881081</v>
      </c>
    </row>
    <row r="253" customFormat="false" ht="17.15" hidden="false" customHeight="false" outlineLevel="0" collapsed="false">
      <c r="A253" s="5" t="s">
        <v>415</v>
      </c>
      <c r="B253" s="0" t="s">
        <v>107</v>
      </c>
      <c r="C253" s="28" t="n">
        <f aca="false">C250+C252</f>
        <v>9.944</v>
      </c>
      <c r="D253" s="28" t="n">
        <f aca="false">D250+D252</f>
        <v>21.9251426</v>
      </c>
      <c r="E253" s="28" t="n">
        <f aca="false">E250+E252</f>
        <v>25.6899918595334</v>
      </c>
      <c r="F253" s="28" t="n">
        <f aca="false">F250+F252</f>
        <v>26.7199865776425</v>
      </c>
      <c r="G253" s="28" t="n">
        <f aca="false">G250+G252</f>
        <v>28.0537713759159</v>
      </c>
    </row>
    <row r="254" customFormat="false" ht="15" hidden="false" customHeight="false" outlineLevel="0" collapsed="false">
      <c r="A254" s="5" t="s">
        <v>384</v>
      </c>
      <c r="B254" s="0" t="s">
        <v>130</v>
      </c>
      <c r="C254" s="23" t="n">
        <f aca="false">C253/C244</f>
        <v>0.0875830118550617</v>
      </c>
      <c r="D254" s="23" t="n">
        <f aca="false">D253/D244</f>
        <v>0.114193451041667</v>
      </c>
      <c r="E254" s="23" t="n">
        <f aca="false">E253/E244</f>
        <v>0.10503840278001</v>
      </c>
      <c r="F254" s="23" t="n">
        <f aca="false">F253/F244</f>
        <v>0.104969599755481</v>
      </c>
      <c r="G254" s="23" t="n">
        <f aca="false">G253/G244</f>
        <v>0.104938907004055</v>
      </c>
    </row>
    <row r="255" customFormat="false" ht="17.15" hidden="false" customHeight="false" outlineLevel="0" collapsed="false">
      <c r="A255" s="5" t="s">
        <v>416</v>
      </c>
      <c r="B255" s="0" t="s">
        <v>130</v>
      </c>
      <c r="C255" s="17" t="n">
        <f aca="false">a26_ni/a26_oi</f>
        <v>0.708567980691875</v>
      </c>
      <c r="D255" s="17" t="n">
        <f aca="false">a27_ni/a27_oi</f>
        <v>0.753655303477935</v>
      </c>
      <c r="E255" s="17" t="n">
        <f aca="false">nio_f</f>
        <v>0.75</v>
      </c>
      <c r="F255" s="17" t="n">
        <f aca="false">nio_f</f>
        <v>0.75</v>
      </c>
      <c r="G255" s="17" t="n">
        <f aca="false">nio_f</f>
        <v>0.75</v>
      </c>
    </row>
    <row r="256" customFormat="false" ht="17.15" hidden="false" customHeight="false" outlineLevel="0" collapsed="false">
      <c r="A256" s="0" t="s">
        <v>316</v>
      </c>
      <c r="B256" s="0" t="s">
        <v>107</v>
      </c>
      <c r="C256" s="28" t="n">
        <f aca="false">a26_ni</f>
        <v>7.046</v>
      </c>
      <c r="D256" s="28" t="n">
        <f aca="false">a27_ni</f>
        <v>16.524</v>
      </c>
      <c r="E256" s="28" t="n">
        <f aca="false">E253*E255</f>
        <v>19.26749389465</v>
      </c>
      <c r="F256" s="28" t="n">
        <f aca="false">F253*F255</f>
        <v>20.0399899332319</v>
      </c>
      <c r="G256" s="28" t="n">
        <f aca="false">G253*G255</f>
        <v>21.0403285319369</v>
      </c>
      <c r="H256" s="29" t="n">
        <f aca="false">H244*H260</f>
        <v>22.1887973599633</v>
      </c>
      <c r="I256" s="29" t="n">
        <f aca="false">I244*I260</f>
        <v>23.5083508367952</v>
      </c>
    </row>
    <row r="257" customFormat="false" ht="15" hidden="false" customHeight="false" outlineLevel="0" collapsed="false">
      <c r="A257" s="5" t="s">
        <v>417</v>
      </c>
      <c r="B257" s="5" t="s">
        <v>143</v>
      </c>
      <c r="C257" s="32" t="n">
        <f aca="false">a26_sh</f>
        <v>0.684077669902913</v>
      </c>
      <c r="D257" s="32" t="n">
        <f aca="false">a27_sh</f>
        <v>0.648</v>
      </c>
      <c r="E257" s="32" t="n">
        <f aca="false">D257*(1+sh_g)</f>
        <v>0.62856</v>
      </c>
      <c r="F257" s="32" t="n">
        <f aca="false">E257*(1+sh_g)</f>
        <v>0.6097032</v>
      </c>
      <c r="G257" s="32" t="n">
        <f aca="false">F257*(1+sh_g)</f>
        <v>0.591412104</v>
      </c>
      <c r="H257" s="33" t="n">
        <f aca="false">G257*(1+sh_g)</f>
        <v>0.57366974088</v>
      </c>
      <c r="I257" s="33" t="n">
        <f aca="false">H257*(1+sh_g)</f>
        <v>0.5564596486536</v>
      </c>
    </row>
    <row r="258" customFormat="false" ht="15" hidden="false" customHeight="false" outlineLevel="0" collapsed="false">
      <c r="A258" s="0" t="s">
        <v>324</v>
      </c>
      <c r="B258" s="0" t="s">
        <v>117</v>
      </c>
      <c r="C258" s="28" t="n">
        <f aca="false">C256/C257</f>
        <v>10.3</v>
      </c>
      <c r="D258" s="28" t="n">
        <f aca="false">D256/D257</f>
        <v>25.5</v>
      </c>
      <c r="E258" s="28" t="n">
        <f aca="false">E256/E257</f>
        <v>30.6533885303711</v>
      </c>
      <c r="F258" s="28" t="n">
        <f aca="false">F256/F257</f>
        <v>32.8684348929641</v>
      </c>
      <c r="G258" s="28" t="n">
        <f aca="false">G256/G257</f>
        <v>35.5764252872595</v>
      </c>
      <c r="H258" s="31" t="n">
        <f aca="false">H256/H257</f>
        <v>38.678695735156</v>
      </c>
      <c r="I258" s="31" t="n">
        <f aca="false">I256/I257</f>
        <v>42.2462812778529</v>
      </c>
    </row>
    <row r="259" customFormat="false" ht="17.15" hidden="false" customHeight="false" outlineLevel="0" collapsed="false">
      <c r="A259" s="0" t="s">
        <v>418</v>
      </c>
      <c r="B259" s="0" t="s">
        <v>130</v>
      </c>
      <c r="D259" s="17" t="n">
        <f aca="false">D258/C258-1</f>
        <v>1.47572815533981</v>
      </c>
      <c r="E259" s="17" t="n">
        <f aca="false">E258/D258-1</f>
        <v>0.202093667857689</v>
      </c>
      <c r="F259" s="17" t="n">
        <f aca="false">F258/E258-1</f>
        <v>0.0722610604827072</v>
      </c>
      <c r="G259" s="17" t="n">
        <f aca="false">G258/F258-1</f>
        <v>0.0823887843492976</v>
      </c>
      <c r="H259" s="27" t="n">
        <f aca="false">H258/G258-1</f>
        <v>0.0872001732284071</v>
      </c>
      <c r="I259" s="27" t="n">
        <f aca="false">I258/H258-1</f>
        <v>0.0922364489000653</v>
      </c>
    </row>
    <row r="260" customFormat="false" ht="17.15" hidden="false" customHeight="false" outlineLevel="0" collapsed="false">
      <c r="A260" s="5" t="s">
        <v>419</v>
      </c>
      <c r="B260" s="0" t="s">
        <v>130</v>
      </c>
      <c r="C260" s="23" t="n">
        <f aca="false">C256/C244</f>
        <v>0.0620585178530536</v>
      </c>
      <c r="D260" s="23" t="n">
        <f aca="false">D256/D244</f>
        <v>0.0860625</v>
      </c>
      <c r="E260" s="23" t="n">
        <f aca="false">E256/E244</f>
        <v>0.0787788020850078</v>
      </c>
      <c r="F260" s="23" t="n">
        <f aca="false">F256/F244</f>
        <v>0.0787271998166109</v>
      </c>
      <c r="G260" s="23" t="n">
        <f aca="false">G256/G244</f>
        <v>0.0787041802530416</v>
      </c>
      <c r="H260" s="30" t="n">
        <f aca="false">$G260+(fade_mA-$G260)*1/2</f>
        <v>0.0786648000183822</v>
      </c>
      <c r="I260" s="30" t="n">
        <f aca="false">$G260+(fade_mA-$G260)*2/2</f>
        <v>0.0786254197837229</v>
      </c>
    </row>
    <row r="261" customFormat="false" ht="17.15" hidden="false" customHeight="false" outlineLevel="0" collapsed="false">
      <c r="A261" s="0" t="s">
        <v>420</v>
      </c>
      <c r="B261" s="0" t="s">
        <v>74</v>
      </c>
      <c r="D261" s="20" t="n">
        <f aca="false">D237/(D230+D231)</f>
        <v>8.8622754491018</v>
      </c>
      <c r="E261" s="20" t="n">
        <f aca="false">E237/(E230+E231)</f>
        <v>11.2386524026647</v>
      </c>
      <c r="F261" s="20" t="n">
        <f aca="false">F237/(F230+F231)</f>
        <v>11.5184194169258</v>
      </c>
      <c r="G261" s="20" t="n">
        <f aca="false">G237/(G230+G231)</f>
        <v>10.9609221396168</v>
      </c>
    </row>
    <row r="264" customFormat="false" ht="17.15" hidden="false" customHeight="false" outlineLevel="0" collapsed="false">
      <c r="A264" s="3" t="s">
        <v>751</v>
      </c>
    </row>
    <row r="265" customFormat="false" ht="17.15" hidden="false" customHeight="false" outlineLevel="0" collapsed="false">
      <c r="A265" s="6" t="s">
        <v>20</v>
      </c>
      <c r="B265" s="6" t="s">
        <v>21</v>
      </c>
      <c r="C265" s="14" t="s">
        <v>284</v>
      </c>
      <c r="D265" s="14" t="s">
        <v>371</v>
      </c>
      <c r="E265" s="14" t="s">
        <v>372</v>
      </c>
      <c r="F265" s="14" t="s">
        <v>373</v>
      </c>
      <c r="G265" s="14" t="s">
        <v>374</v>
      </c>
      <c r="H265" s="14" t="s">
        <v>375</v>
      </c>
      <c r="I265" s="14" t="s">
        <v>376</v>
      </c>
      <c r="J265" s="6" t="s">
        <v>344</v>
      </c>
    </row>
    <row r="266" customFormat="false" ht="17.15" hidden="false" customHeight="false" outlineLevel="0" collapsed="false">
      <c r="A266" s="1" t="s">
        <v>394</v>
      </c>
    </row>
    <row r="267" customFormat="false" ht="17.15" hidden="false" customHeight="false" outlineLevel="0" collapsed="false">
      <c r="A267" s="0" t="s">
        <v>395</v>
      </c>
      <c r="B267" s="5" t="s">
        <v>31</v>
      </c>
      <c r="D267" s="18" t="n">
        <f aca="false">ug_26</f>
        <v>6.65</v>
      </c>
      <c r="E267" s="18" t="n">
        <f aca="false">ug_27*1</f>
        <v>2.4</v>
      </c>
      <c r="F267" s="18" t="n">
        <f aca="false">ug_28*um28_A*1</f>
        <v>0.5</v>
      </c>
      <c r="G267" s="18" t="n">
        <f aca="false">ug_29*um29_A*1</f>
        <v>0.25</v>
      </c>
    </row>
    <row r="268" customFormat="false" ht="17.15" hidden="false" customHeight="false" outlineLevel="0" collapsed="false">
      <c r="A268" s="0" t="s">
        <v>396</v>
      </c>
      <c r="B268" s="5" t="s">
        <v>31</v>
      </c>
      <c r="D268" s="18" t="n">
        <f aca="false">uv_26</f>
        <v>1.7</v>
      </c>
      <c r="E268" s="18" t="n">
        <f aca="false">uv_27*1</f>
        <v>8.8</v>
      </c>
      <c r="F268" s="18" t="n">
        <f aca="false">uv_28*um28_A*1</f>
        <v>11</v>
      </c>
      <c r="G268" s="18" t="n">
        <f aca="false">uv_29*um29_A*1</f>
        <v>12.65</v>
      </c>
    </row>
    <row r="269" customFormat="false" ht="17.15" hidden="false" customHeight="false" outlineLevel="0" collapsed="false">
      <c r="A269" s="5" t="s">
        <v>397</v>
      </c>
      <c r="B269" s="0" t="s">
        <v>107</v>
      </c>
      <c r="D269" s="22" t="n">
        <f aca="false">D267*v_gb+D268*v_vr</f>
        <v>595.4861102</v>
      </c>
      <c r="E269" s="22" t="n">
        <f aca="false">E267*v_gb+E268*v_vr</f>
        <v>1170.0000024</v>
      </c>
      <c r="F269" s="22" t="n">
        <f aca="false">F267*v_gb+F268*v_vr</f>
        <v>1313.194448</v>
      </c>
      <c r="G269" s="22" t="n">
        <f aca="false">G267*v_gb+G268*v_vr</f>
        <v>1490.76389305</v>
      </c>
      <c r="J269" s="5" t="s">
        <v>398</v>
      </c>
    </row>
    <row r="270" customFormat="false" ht="17.15" hidden="false" customHeight="false" outlineLevel="0" collapsed="false">
      <c r="A270" s="0" t="s">
        <v>399</v>
      </c>
      <c r="B270" s="0" t="s">
        <v>130</v>
      </c>
      <c r="D270" s="23" t="n">
        <f aca="false">a27_ai/D269</f>
        <v>0.124268221764478</v>
      </c>
      <c r="J270" s="8" t="s">
        <v>400</v>
      </c>
    </row>
    <row r="271" customFormat="false" ht="17.15" hidden="false" customHeight="false" outlineLevel="0" collapsed="false">
      <c r="A271" s="5" t="s">
        <v>401</v>
      </c>
      <c r="B271" s="0" t="s">
        <v>53</v>
      </c>
      <c r="D271" s="18" t="n">
        <f aca="false">1</f>
        <v>1</v>
      </c>
      <c r="E271" s="18" t="n">
        <f aca="false">rel_28</f>
        <v>0.9</v>
      </c>
      <c r="F271" s="18" t="n">
        <f aca="false">rel_29</f>
        <v>0.85</v>
      </c>
      <c r="G271" s="18" t="n">
        <f aca="false">rel_30</f>
        <v>0.8</v>
      </c>
    </row>
    <row r="272" customFormat="false" ht="17.15" hidden="false" customHeight="false" outlineLevel="0" collapsed="false">
      <c r="A272" s="5" t="s">
        <v>402</v>
      </c>
      <c r="B272" s="0" t="s">
        <v>53</v>
      </c>
      <c r="D272" s="18" t="n">
        <f aca="false">1</f>
        <v>1</v>
      </c>
      <c r="E272" s="18" t="n">
        <f aca="false">1</f>
        <v>1</v>
      </c>
      <c r="F272" s="18" t="n">
        <f aca="false">srel_A</f>
        <v>1</v>
      </c>
      <c r="G272" s="18" t="n">
        <f aca="false">srel_A</f>
        <v>1</v>
      </c>
    </row>
    <row r="273" customFormat="false" ht="17.15" hidden="false" customHeight="false" outlineLevel="0" collapsed="false">
      <c r="A273" s="0" t="s">
        <v>353</v>
      </c>
      <c r="B273" s="0" t="s">
        <v>130</v>
      </c>
      <c r="D273" s="23" t="n">
        <f aca="false">$D$270*D271*D272</f>
        <v>0.124268221764478</v>
      </c>
      <c r="E273" s="23" t="n">
        <f aca="false">$D$270*E271*E272</f>
        <v>0.11184139958803</v>
      </c>
      <c r="F273" s="23" t="n">
        <f aca="false">$D$270*F271*F272</f>
        <v>0.105627988499806</v>
      </c>
      <c r="G273" s="23" t="n">
        <f aca="false">$D$270*G271*G272</f>
        <v>0.0994145774115824</v>
      </c>
    </row>
    <row r="274" customFormat="false" ht="17.15" hidden="false" customHeight="false" outlineLevel="0" collapsed="false">
      <c r="A274" s="0" t="s">
        <v>403</v>
      </c>
      <c r="B274" s="0" t="s">
        <v>107</v>
      </c>
      <c r="C274" s="22" t="n">
        <f aca="false">a26_ai</f>
        <v>24.683</v>
      </c>
      <c r="D274" s="22" t="n">
        <f aca="false">D269*D273</f>
        <v>74</v>
      </c>
      <c r="E274" s="22" t="n">
        <f aca="false">E269*E273</f>
        <v>130.854437786415</v>
      </c>
      <c r="F274" s="22" t="n">
        <f aca="false">F269*F273</f>
        <v>138.710088051354</v>
      </c>
      <c r="G274" s="22" t="n">
        <f aca="false">G269*G273</f>
        <v>148.203662448011</v>
      </c>
    </row>
    <row r="275" customFormat="false" ht="17.15" hidden="false" customHeight="false" outlineLevel="0" collapsed="false">
      <c r="A275" s="1" t="s">
        <v>404</v>
      </c>
    </row>
    <row r="276" customFormat="false" ht="15" hidden="false" customHeight="false" outlineLevel="0" collapsed="false">
      <c r="A276" s="5" t="s">
        <v>293</v>
      </c>
      <c r="B276" s="0" t="s">
        <v>107</v>
      </c>
      <c r="C276" s="22" t="n">
        <f aca="false">a26_tr</f>
        <v>19.512</v>
      </c>
      <c r="D276" s="22" t="n">
        <f aca="false">a27_tr</f>
        <v>37.59663</v>
      </c>
      <c r="E276" s="22" t="n">
        <f aca="false">D276*(1+g_tr28)</f>
        <v>35.7167985</v>
      </c>
      <c r="F276" s="22" t="n">
        <f aca="false">E276*(1+g_tr29)</f>
        <v>36.43113447</v>
      </c>
      <c r="G276" s="22" t="n">
        <f aca="false">F276*(1+g_tr30)</f>
        <v>37.5240685041</v>
      </c>
    </row>
    <row r="277" customFormat="false" ht="15" hidden="false" customHeight="false" outlineLevel="0" collapsed="false">
      <c r="A277" s="5" t="s">
        <v>296</v>
      </c>
      <c r="B277" s="0" t="s">
        <v>107</v>
      </c>
      <c r="C277" s="22" t="n">
        <f aca="false">a26_st</f>
        <v>16.631</v>
      </c>
      <c r="D277" s="22" t="n">
        <f aca="false">a27_st</f>
        <v>19.47008</v>
      </c>
      <c r="E277" s="22" t="n">
        <f aca="false">D277*(1+g_st28)</f>
        <v>20.2488832</v>
      </c>
      <c r="F277" s="22" t="n">
        <f aca="false">E277*(1+g_st29)</f>
        <v>21.058838528</v>
      </c>
      <c r="G277" s="22" t="n">
        <f aca="false">F277*(1+g_st30)</f>
        <v>21.90119206912</v>
      </c>
    </row>
    <row r="278" customFormat="false" ht="17.15" hidden="false" customHeight="false" outlineLevel="0" collapsed="false">
      <c r="A278" s="0" t="s">
        <v>299</v>
      </c>
      <c r="B278" s="0" t="s">
        <v>107</v>
      </c>
      <c r="C278" s="22" t="n">
        <f aca="false">C274+C276+C277</f>
        <v>60.826</v>
      </c>
      <c r="D278" s="22" t="n">
        <f aca="false">D274+D276+D277</f>
        <v>131.06671</v>
      </c>
      <c r="E278" s="22" t="n">
        <f aca="false">E274+E276+E277</f>
        <v>186.820119486415</v>
      </c>
      <c r="F278" s="22" t="n">
        <f aca="false">F274+F276+F277</f>
        <v>196.200061049354</v>
      </c>
      <c r="G278" s="22" t="n">
        <f aca="false">G274+G276+G277</f>
        <v>207.628923021231</v>
      </c>
    </row>
    <row r="279" customFormat="false" ht="17.15" hidden="false" customHeight="false" outlineLevel="0" collapsed="false">
      <c r="A279" s="0" t="s">
        <v>405</v>
      </c>
      <c r="B279" s="0" t="s">
        <v>107</v>
      </c>
      <c r="C279" s="22" t="n">
        <f aca="false">a26_csg</f>
        <v>50.984</v>
      </c>
      <c r="D279" s="22" t="n">
        <f aca="false">a27_csg</f>
        <v>60.17529</v>
      </c>
      <c r="E279" s="22" t="n">
        <f aca="false">D279*(1+g_csg28)</f>
        <v>61.9805487</v>
      </c>
      <c r="F279" s="22" t="n">
        <f aca="false">E279*(1+g_csg29)</f>
        <v>63.839965161</v>
      </c>
      <c r="G279" s="22" t="n">
        <f aca="false">F279*(1+g_csg30)</f>
        <v>65.75516411583</v>
      </c>
    </row>
    <row r="280" customFormat="false" ht="17.15" hidden="false" customHeight="false" outlineLevel="0" collapsed="false">
      <c r="A280" s="5" t="s">
        <v>406</v>
      </c>
      <c r="B280" s="0" t="s">
        <v>107</v>
      </c>
      <c r="C280" s="22" t="n">
        <f aca="false">a26_oth</f>
        <v>1.72799999999999</v>
      </c>
      <c r="D280" s="22" t="n">
        <f aca="false">a27_oth</f>
        <v>0.75800000000001</v>
      </c>
      <c r="E280" s="22" t="n">
        <f aca="false">D280</f>
        <v>0.75800000000001</v>
      </c>
      <c r="F280" s="22" t="n">
        <f aca="false">E280</f>
        <v>0.75800000000001</v>
      </c>
      <c r="G280" s="22" t="n">
        <f aca="false">F280</f>
        <v>0.75800000000001</v>
      </c>
      <c r="J280" s="8" t="s">
        <v>407</v>
      </c>
    </row>
    <row r="281" customFormat="false" ht="17.15" hidden="false" customHeight="false" outlineLevel="0" collapsed="false">
      <c r="A281" s="5" t="s">
        <v>306</v>
      </c>
      <c r="B281" s="0" t="s">
        <v>107</v>
      </c>
      <c r="C281" s="22" t="n">
        <f aca="false">C278+C279+C280</f>
        <v>113.538</v>
      </c>
      <c r="D281" s="22" t="n">
        <f aca="false">D278+D279+D280</f>
        <v>192</v>
      </c>
      <c r="E281" s="22" t="n">
        <f aca="false">E278+E279+E280</f>
        <v>249.558668186415</v>
      </c>
      <c r="F281" s="22" t="n">
        <f aca="false">F278+F279+F280</f>
        <v>260.798026210354</v>
      </c>
      <c r="G281" s="22" t="n">
        <f aca="false">G278+G279+G280</f>
        <v>274.142087137061</v>
      </c>
      <c r="H281" s="26" t="n">
        <f aca="false">G281*(1+H282)</f>
        <v>289.37976309346</v>
      </c>
      <c r="I281" s="26" t="n">
        <f aca="false">H281*(1+I282)</f>
        <v>306.742548879068</v>
      </c>
      <c r="J281" s="8" t="s">
        <v>408</v>
      </c>
    </row>
    <row r="282" customFormat="false" ht="15" hidden="false" customHeight="false" outlineLevel="0" collapsed="false">
      <c r="A282" s="5" t="s">
        <v>409</v>
      </c>
      <c r="B282" s="0" t="s">
        <v>130</v>
      </c>
      <c r="D282" s="17" t="n">
        <f aca="false">D281/C281-1</f>
        <v>0.691063784812134</v>
      </c>
      <c r="E282" s="17" t="n">
        <f aca="false">E281/D281-1</f>
        <v>0.299784730137576</v>
      </c>
      <c r="F282" s="17" t="n">
        <f aca="false">F281/E281-1</f>
        <v>0.0450369370281432</v>
      </c>
      <c r="G282" s="17" t="n">
        <f aca="false">G281/F281-1</f>
        <v>0.0511662650235885</v>
      </c>
      <c r="H282" s="27" t="n">
        <f aca="false">$G282+(fade_gA-$G282)*1/2</f>
        <v>0.0555831325117942</v>
      </c>
      <c r="I282" s="27" t="n">
        <f aca="false">$G282+(fade_gA-$G282)*2/2</f>
        <v>0.06</v>
      </c>
    </row>
    <row r="283" customFormat="false" ht="17.15" hidden="false" customHeight="false" outlineLevel="0" collapsed="false">
      <c r="A283" s="0" t="s">
        <v>410</v>
      </c>
      <c r="B283" s="0" t="s">
        <v>130</v>
      </c>
      <c r="C283" s="17" t="n">
        <f aca="false">C274/C281</f>
        <v>0.217398580211031</v>
      </c>
      <c r="D283" s="17" t="n">
        <f aca="false">D274/D281</f>
        <v>0.385416666666667</v>
      </c>
      <c r="E283" s="17" t="n">
        <f aca="false">E274/E281</f>
        <v>0.524343388820577</v>
      </c>
      <c r="F283" s="17" t="n">
        <f aca="false">F274/F281</f>
        <v>0.531867859841367</v>
      </c>
      <c r="G283" s="17" t="n">
        <f aca="false">G274/G281</f>
        <v>0.540608937488372</v>
      </c>
    </row>
    <row r="284" customFormat="false" ht="17.15" hidden="false" customHeight="false" outlineLevel="0" collapsed="false">
      <c r="A284" s="1" t="s">
        <v>411</v>
      </c>
    </row>
    <row r="285" customFormat="false" ht="17.15" hidden="false" customHeight="false" outlineLevel="0" collapsed="false">
      <c r="A285" s="0" t="s">
        <v>383</v>
      </c>
      <c r="B285" s="0" t="s">
        <v>130</v>
      </c>
      <c r="C285" s="23" t="n">
        <f aca="false">(a26_isgoi-m_nai*(a26_tr+a26_st))/a26_ai</f>
        <v>0.0538070736944455</v>
      </c>
      <c r="D285" s="23" t="n">
        <f aca="false">(a27_isgoi-m_nai*(a27_tr+a27_st))/a27_ai</f>
        <v>0.110710097972973</v>
      </c>
      <c r="E285" s="23" t="n">
        <f aca="false">$D285+ai_dm_lo</f>
        <v>0.080710097972973</v>
      </c>
      <c r="F285" s="23" t="n">
        <f aca="false">$D285+ai_dm_lo+dm_A</f>
        <v>0.080710097972973</v>
      </c>
      <c r="G285" s="23" t="n">
        <f aca="false">$D285+ai_dm_lo+dm_A</f>
        <v>0.080710097972973</v>
      </c>
      <c r="J285" s="8" t="s">
        <v>412</v>
      </c>
    </row>
    <row r="286" customFormat="false" ht="17.15" hidden="false" customHeight="false" outlineLevel="0" collapsed="false">
      <c r="A286" s="5" t="s">
        <v>413</v>
      </c>
      <c r="B286" s="0" t="s">
        <v>130</v>
      </c>
      <c r="C286" s="23" t="n">
        <f aca="false">m_nai</f>
        <v>0.16</v>
      </c>
      <c r="D286" s="23" t="n">
        <f aca="false">m_nai</f>
        <v>0.16</v>
      </c>
      <c r="E286" s="23" t="n">
        <f aca="false">m_naif</f>
        <v>0.155</v>
      </c>
      <c r="F286" s="23" t="n">
        <f aca="false">m_naif</f>
        <v>0.155</v>
      </c>
      <c r="G286" s="23" t="n">
        <f aca="false">m_naif</f>
        <v>0.155</v>
      </c>
    </row>
    <row r="287" customFormat="false" ht="17.15" hidden="false" customHeight="false" outlineLevel="0" collapsed="false">
      <c r="A287" s="0" t="s">
        <v>308</v>
      </c>
      <c r="B287" s="0" t="s">
        <v>107</v>
      </c>
      <c r="C287" s="28" t="n">
        <f aca="false">a26_isgoi</f>
        <v>7.111</v>
      </c>
      <c r="D287" s="28" t="n">
        <f aca="false">a27_isgoi</f>
        <v>17.32322085</v>
      </c>
      <c r="E287" s="28" t="n">
        <f aca="false">E274*E285+(E276+E277)*E286</f>
        <v>19.2359551574398</v>
      </c>
      <c r="F287" s="28" t="n">
        <f aca="false">F274*F285+(F276+F277)*F286</f>
        <v>20.1062506111545</v>
      </c>
      <c r="G287" s="28" t="n">
        <f aca="false">G274*G285+(G276+G277)*G286</f>
        <v>21.1724475049815</v>
      </c>
    </row>
    <row r="288" customFormat="false" ht="17.15" hidden="false" customHeight="false" outlineLevel="0" collapsed="false">
      <c r="A288" s="0" t="s">
        <v>414</v>
      </c>
      <c r="B288" s="0" t="s">
        <v>130</v>
      </c>
      <c r="C288" s="23" t="n">
        <f aca="false">a26_csgoi/C279</f>
        <v>0.0555664522203044</v>
      </c>
      <c r="D288" s="23" t="n">
        <f aca="false">a27_csgoi/D279</f>
        <v>0.0764752733223222</v>
      </c>
      <c r="E288" s="23" t="n">
        <f aca="false">m_csgf</f>
        <v>0.07</v>
      </c>
      <c r="F288" s="23" t="n">
        <f aca="false">m_csgf</f>
        <v>0.07</v>
      </c>
      <c r="G288" s="23" t="n">
        <f aca="false">m_csgf</f>
        <v>0.07</v>
      </c>
    </row>
    <row r="289" customFormat="false" ht="17.15" hidden="false" customHeight="false" outlineLevel="0" collapsed="false">
      <c r="A289" s="0" t="s">
        <v>310</v>
      </c>
      <c r="B289" s="0" t="s">
        <v>107</v>
      </c>
      <c r="C289" s="28" t="n">
        <f aca="false">C279*C288</f>
        <v>2.833</v>
      </c>
      <c r="D289" s="28" t="n">
        <f aca="false">D279*D288</f>
        <v>4.60192175</v>
      </c>
      <c r="E289" s="28" t="n">
        <f aca="false">E279*E288</f>
        <v>4.338638409</v>
      </c>
      <c r="F289" s="28" t="n">
        <f aca="false">F279*F288</f>
        <v>4.46879756127</v>
      </c>
      <c r="G289" s="28" t="n">
        <f aca="false">G279*G288</f>
        <v>4.6028614881081</v>
      </c>
    </row>
    <row r="290" customFormat="false" ht="17.15" hidden="false" customHeight="false" outlineLevel="0" collapsed="false">
      <c r="A290" s="5" t="s">
        <v>415</v>
      </c>
      <c r="B290" s="0" t="s">
        <v>107</v>
      </c>
      <c r="C290" s="28" t="n">
        <f aca="false">C287+C289</f>
        <v>9.944</v>
      </c>
      <c r="D290" s="28" t="n">
        <f aca="false">D287+D289</f>
        <v>21.9251426</v>
      </c>
      <c r="E290" s="28" t="n">
        <f aca="false">E287+E289</f>
        <v>23.5745935664398</v>
      </c>
      <c r="F290" s="28" t="n">
        <f aca="false">F287+F289</f>
        <v>24.5750481724245</v>
      </c>
      <c r="G290" s="28" t="n">
        <f aca="false">G287+G289</f>
        <v>25.7753089930896</v>
      </c>
    </row>
    <row r="291" customFormat="false" ht="15" hidden="false" customHeight="false" outlineLevel="0" collapsed="false">
      <c r="A291" s="5" t="s">
        <v>384</v>
      </c>
      <c r="B291" s="0" t="s">
        <v>130</v>
      </c>
      <c r="C291" s="23" t="n">
        <f aca="false">C290/C281</f>
        <v>0.0875830118550617</v>
      </c>
      <c r="D291" s="23" t="n">
        <f aca="false">D290/D281</f>
        <v>0.114193451041667</v>
      </c>
      <c r="E291" s="23" t="n">
        <f aca="false">E290/E281</f>
        <v>0.0944651361451815</v>
      </c>
      <c r="F291" s="23" t="n">
        <f aca="false">F290/F281</f>
        <v>0.0942301923428009</v>
      </c>
      <c r="G291" s="23" t="n">
        <f aca="false">G290/G281</f>
        <v>0.0940217142951964</v>
      </c>
    </row>
    <row r="292" customFormat="false" ht="17.15" hidden="false" customHeight="false" outlineLevel="0" collapsed="false">
      <c r="A292" s="5" t="s">
        <v>416</v>
      </c>
      <c r="B292" s="0" t="s">
        <v>130</v>
      </c>
      <c r="C292" s="17" t="n">
        <f aca="false">a26_ni/a26_oi</f>
        <v>0.708567980691875</v>
      </c>
      <c r="D292" s="17" t="n">
        <f aca="false">a27_ni/a27_oi</f>
        <v>0.753655303477935</v>
      </c>
      <c r="E292" s="17" t="n">
        <f aca="false">nio_f</f>
        <v>0.75</v>
      </c>
      <c r="F292" s="17" t="n">
        <f aca="false">nio_f</f>
        <v>0.75</v>
      </c>
      <c r="G292" s="17" t="n">
        <f aca="false">nio_f</f>
        <v>0.75</v>
      </c>
    </row>
    <row r="293" customFormat="false" ht="17.15" hidden="false" customHeight="false" outlineLevel="0" collapsed="false">
      <c r="A293" s="0" t="s">
        <v>316</v>
      </c>
      <c r="B293" s="0" t="s">
        <v>107</v>
      </c>
      <c r="C293" s="28" t="n">
        <f aca="false">a26_ni</f>
        <v>7.046</v>
      </c>
      <c r="D293" s="28" t="n">
        <f aca="false">a27_ni</f>
        <v>16.524</v>
      </c>
      <c r="E293" s="28" t="n">
        <f aca="false">E290*E292</f>
        <v>17.6809451748299</v>
      </c>
      <c r="F293" s="28" t="n">
        <f aca="false">F290*F292</f>
        <v>18.4312861293183</v>
      </c>
      <c r="G293" s="28" t="n">
        <f aca="false">G290*G292</f>
        <v>19.3314817448172</v>
      </c>
      <c r="H293" s="29" t="n">
        <f aca="false">H281*H297</f>
        <v>21.5792957032131</v>
      </c>
      <c r="I293" s="29" t="n">
        <f aca="false">I281*I297</f>
        <v>24.1177616711458</v>
      </c>
    </row>
    <row r="294" customFormat="false" ht="15" hidden="false" customHeight="false" outlineLevel="0" collapsed="false">
      <c r="A294" s="5" t="s">
        <v>417</v>
      </c>
      <c r="B294" s="5" t="s">
        <v>143</v>
      </c>
      <c r="C294" s="32" t="n">
        <f aca="false">a26_sh</f>
        <v>0.684077669902913</v>
      </c>
      <c r="D294" s="32" t="n">
        <f aca="false">a27_sh</f>
        <v>0.648</v>
      </c>
      <c r="E294" s="32" t="n">
        <f aca="false">D294*(1+sh_g)</f>
        <v>0.62856</v>
      </c>
      <c r="F294" s="32" t="n">
        <f aca="false">E294*(1+sh_g)</f>
        <v>0.6097032</v>
      </c>
      <c r="G294" s="32" t="n">
        <f aca="false">F294*(1+sh_g)</f>
        <v>0.591412104</v>
      </c>
      <c r="H294" s="33" t="n">
        <f aca="false">G294*(1+sh_g)</f>
        <v>0.57366974088</v>
      </c>
      <c r="I294" s="33" t="n">
        <f aca="false">H294*(1+sh_g)</f>
        <v>0.5564596486536</v>
      </c>
    </row>
    <row r="295" customFormat="false" ht="15" hidden="false" customHeight="false" outlineLevel="0" collapsed="false">
      <c r="A295" s="0" t="s">
        <v>324</v>
      </c>
      <c r="B295" s="0" t="s">
        <v>117</v>
      </c>
      <c r="C295" s="28" t="n">
        <f aca="false">C293/C294</f>
        <v>10.3</v>
      </c>
      <c r="D295" s="28" t="n">
        <f aca="false">D293/D294</f>
        <v>25.5</v>
      </c>
      <c r="E295" s="28" t="n">
        <f aca="false">E293/E294</f>
        <v>28.1292878560995</v>
      </c>
      <c r="F295" s="28" t="n">
        <f aca="false">F293/F294</f>
        <v>30.229931759122</v>
      </c>
      <c r="G295" s="28" t="n">
        <f aca="false">G293/G294</f>
        <v>32.6869903643656</v>
      </c>
      <c r="H295" s="31" t="n">
        <f aca="false">H293/H294</f>
        <v>37.6162348568548</v>
      </c>
      <c r="I295" s="31" t="n">
        <f aca="false">I293/I294</f>
        <v>43.3414385562381</v>
      </c>
    </row>
    <row r="296" customFormat="false" ht="17.15" hidden="false" customHeight="false" outlineLevel="0" collapsed="false">
      <c r="A296" s="0" t="s">
        <v>418</v>
      </c>
      <c r="B296" s="0" t="s">
        <v>130</v>
      </c>
      <c r="D296" s="17" t="n">
        <f aca="false">D295/C295-1</f>
        <v>1.47572815533981</v>
      </c>
      <c r="E296" s="17" t="n">
        <f aca="false">E295/D295-1</f>
        <v>0.103109327690175</v>
      </c>
      <c r="F296" s="17" t="n">
        <f aca="false">F295/E295-1</f>
        <v>0.0746781757778163</v>
      </c>
      <c r="G296" s="17" t="n">
        <f aca="false">G295/F295-1</f>
        <v>0.0812789993977461</v>
      </c>
      <c r="H296" s="27" t="n">
        <f aca="false">H295/G295-1</f>
        <v>0.150801417858982</v>
      </c>
      <c r="I296" s="27" t="n">
        <f aca="false">I295/H295-1</f>
        <v>0.152200339060249</v>
      </c>
    </row>
    <row r="297" customFormat="false" ht="17.15" hidden="false" customHeight="false" outlineLevel="0" collapsed="false">
      <c r="A297" s="5" t="s">
        <v>419</v>
      </c>
      <c r="B297" s="0" t="s">
        <v>130</v>
      </c>
      <c r="C297" s="23" t="n">
        <f aca="false">C293/C281</f>
        <v>0.0620585178530536</v>
      </c>
      <c r="D297" s="23" t="n">
        <f aca="false">D293/D281</f>
        <v>0.0860625</v>
      </c>
      <c r="E297" s="23" t="n">
        <f aca="false">E293/E281</f>
        <v>0.0708488521088861</v>
      </c>
      <c r="F297" s="23" t="n">
        <f aca="false">F293/F281</f>
        <v>0.0706726442571007</v>
      </c>
      <c r="G297" s="23" t="n">
        <f aca="false">G293/G281</f>
        <v>0.0705162857213973</v>
      </c>
      <c r="H297" s="30" t="n">
        <f aca="false">$G297+(fade_mA-$G297)*1/2</f>
        <v>0.0745708527525601</v>
      </c>
      <c r="I297" s="30" t="n">
        <f aca="false">$G297+(fade_mA-$G297)*2/2</f>
        <v>0.0786254197837229</v>
      </c>
    </row>
    <row r="298" customFormat="false" ht="17.15" hidden="false" customHeight="false" outlineLevel="0" collapsed="false">
      <c r="A298" s="0" t="s">
        <v>420</v>
      </c>
      <c r="B298" s="0" t="s">
        <v>74</v>
      </c>
      <c r="D298" s="20" t="n">
        <f aca="false">D274/(D267+D268)</f>
        <v>8.8622754491018</v>
      </c>
      <c r="E298" s="20" t="n">
        <f aca="false">E274/(E267+E268)</f>
        <v>11.6834319452156</v>
      </c>
      <c r="F298" s="20" t="n">
        <f aca="false">F274/(F267+F268)</f>
        <v>12.0617467870742</v>
      </c>
      <c r="G298" s="20" t="n">
        <f aca="false">G274/(G267+G268)</f>
        <v>11.4886560037218</v>
      </c>
    </row>
    <row r="301" customFormat="false" ht="17.15" hidden="false" customHeight="false" outlineLevel="0" collapsed="false">
      <c r="A301" s="3" t="s">
        <v>752</v>
      </c>
    </row>
    <row r="302" customFormat="false" ht="17.15" hidden="false" customHeight="false" outlineLevel="0" collapsed="false">
      <c r="A302" s="6" t="s">
        <v>20</v>
      </c>
      <c r="B302" s="6" t="s">
        <v>21</v>
      </c>
      <c r="C302" s="14" t="s">
        <v>284</v>
      </c>
      <c r="D302" s="14" t="s">
        <v>371</v>
      </c>
      <c r="E302" s="14" t="s">
        <v>372</v>
      </c>
      <c r="F302" s="14" t="s">
        <v>373</v>
      </c>
      <c r="G302" s="14" t="s">
        <v>374</v>
      </c>
      <c r="H302" s="14" t="s">
        <v>375</v>
      </c>
      <c r="I302" s="14" t="s">
        <v>376</v>
      </c>
      <c r="J302" s="6" t="s">
        <v>344</v>
      </c>
    </row>
    <row r="303" customFormat="false" ht="17.15" hidden="false" customHeight="false" outlineLevel="0" collapsed="false">
      <c r="A303" s="1" t="s">
        <v>394</v>
      </c>
    </row>
    <row r="304" customFormat="false" ht="17.15" hidden="false" customHeight="false" outlineLevel="0" collapsed="false">
      <c r="A304" s="0" t="s">
        <v>395</v>
      </c>
      <c r="B304" s="5" t="s">
        <v>31</v>
      </c>
      <c r="D304" s="18" t="n">
        <f aca="false">ug_26</f>
        <v>6.65</v>
      </c>
      <c r="E304" s="18" t="n">
        <f aca="false">ug_27*1</f>
        <v>2.4</v>
      </c>
      <c r="F304" s="18" t="n">
        <f aca="false">ug_28*um28_A*1</f>
        <v>0.5</v>
      </c>
      <c r="G304" s="18" t="n">
        <f aca="false">ug_29*um29_A*1</f>
        <v>0.25</v>
      </c>
    </row>
    <row r="305" customFormat="false" ht="17.15" hidden="false" customHeight="false" outlineLevel="0" collapsed="false">
      <c r="A305" s="0" t="s">
        <v>396</v>
      </c>
      <c r="B305" s="5" t="s">
        <v>31</v>
      </c>
      <c r="D305" s="18" t="n">
        <f aca="false">uv_26</f>
        <v>1.7</v>
      </c>
      <c r="E305" s="18" t="n">
        <f aca="false">uv_27*1</f>
        <v>8.8</v>
      </c>
      <c r="F305" s="18" t="n">
        <f aca="false">uv_28*um28_A*1</f>
        <v>11</v>
      </c>
      <c r="G305" s="18" t="n">
        <f aca="false">uv_29*um29_A*1</f>
        <v>12.65</v>
      </c>
    </row>
    <row r="306" customFormat="false" ht="17.15" hidden="false" customHeight="false" outlineLevel="0" collapsed="false">
      <c r="A306" s="5" t="s">
        <v>397</v>
      </c>
      <c r="B306" s="0" t="s">
        <v>107</v>
      </c>
      <c r="D306" s="22" t="n">
        <f aca="false">D304*v_gb+D305*v_vr</f>
        <v>595.4861102</v>
      </c>
      <c r="E306" s="22" t="n">
        <f aca="false">E304*v_gb+E305*v_vr</f>
        <v>1170.0000024</v>
      </c>
      <c r="F306" s="22" t="n">
        <f aca="false">F304*v_gb+F305*v_vr</f>
        <v>1313.194448</v>
      </c>
      <c r="G306" s="22" t="n">
        <f aca="false">G304*v_gb+G305*v_vr</f>
        <v>1490.76389305</v>
      </c>
      <c r="J306" s="5" t="s">
        <v>398</v>
      </c>
    </row>
    <row r="307" customFormat="false" ht="17.15" hidden="false" customHeight="false" outlineLevel="0" collapsed="false">
      <c r="A307" s="0" t="s">
        <v>399</v>
      </c>
      <c r="B307" s="0" t="s">
        <v>130</v>
      </c>
      <c r="D307" s="23" t="n">
        <f aca="false">a27_ai/D306</f>
        <v>0.124268221764478</v>
      </c>
      <c r="J307" s="8" t="s">
        <v>400</v>
      </c>
    </row>
    <row r="308" customFormat="false" ht="17.15" hidden="false" customHeight="false" outlineLevel="0" collapsed="false">
      <c r="A308" s="5" t="s">
        <v>401</v>
      </c>
      <c r="B308" s="0" t="s">
        <v>53</v>
      </c>
      <c r="D308" s="18" t="n">
        <f aca="false">1</f>
        <v>1</v>
      </c>
      <c r="E308" s="18" t="n">
        <f aca="false">rel_28</f>
        <v>0.9</v>
      </c>
      <c r="F308" s="18" t="n">
        <f aca="false">rel_29</f>
        <v>0.85</v>
      </c>
      <c r="G308" s="18" t="n">
        <f aca="false">rel_30</f>
        <v>0.8</v>
      </c>
    </row>
    <row r="309" customFormat="false" ht="17.15" hidden="false" customHeight="false" outlineLevel="0" collapsed="false">
      <c r="A309" s="5" t="s">
        <v>402</v>
      </c>
      <c r="B309" s="0" t="s">
        <v>53</v>
      </c>
      <c r="D309" s="18" t="n">
        <f aca="false">1</f>
        <v>1</v>
      </c>
      <c r="E309" s="18" t="n">
        <f aca="false">1</f>
        <v>1</v>
      </c>
      <c r="F309" s="18" t="n">
        <f aca="false">srel_A</f>
        <v>1</v>
      </c>
      <c r="G309" s="18" t="n">
        <f aca="false">srel_A</f>
        <v>1</v>
      </c>
    </row>
    <row r="310" customFormat="false" ht="17.15" hidden="false" customHeight="false" outlineLevel="0" collapsed="false">
      <c r="A310" s="0" t="s">
        <v>353</v>
      </c>
      <c r="B310" s="0" t="s">
        <v>130</v>
      </c>
      <c r="D310" s="23" t="n">
        <f aca="false">$D$307*D308*D309</f>
        <v>0.124268221764478</v>
      </c>
      <c r="E310" s="23" t="n">
        <f aca="false">$D$307*E308*E309</f>
        <v>0.11184139958803</v>
      </c>
      <c r="F310" s="23" t="n">
        <f aca="false">$D$307*F308*F309</f>
        <v>0.105627988499806</v>
      </c>
      <c r="G310" s="23" t="n">
        <f aca="false">$D$307*G308*G309</f>
        <v>0.0994145774115824</v>
      </c>
    </row>
    <row r="311" customFormat="false" ht="17.15" hidden="false" customHeight="false" outlineLevel="0" collapsed="false">
      <c r="A311" s="0" t="s">
        <v>403</v>
      </c>
      <c r="B311" s="0" t="s">
        <v>107</v>
      </c>
      <c r="C311" s="22" t="n">
        <f aca="false">a26_ai</f>
        <v>24.683</v>
      </c>
      <c r="D311" s="22" t="n">
        <f aca="false">D306*D310</f>
        <v>74</v>
      </c>
      <c r="E311" s="22" t="n">
        <f aca="false">E306*E310</f>
        <v>130.854437786415</v>
      </c>
      <c r="F311" s="22" t="n">
        <f aca="false">F306*F310</f>
        <v>138.710088051354</v>
      </c>
      <c r="G311" s="22" t="n">
        <f aca="false">G306*G310</f>
        <v>148.203662448011</v>
      </c>
    </row>
    <row r="312" customFormat="false" ht="17.15" hidden="false" customHeight="false" outlineLevel="0" collapsed="false">
      <c r="A312" s="1" t="s">
        <v>404</v>
      </c>
    </row>
    <row r="313" customFormat="false" ht="15" hidden="false" customHeight="false" outlineLevel="0" collapsed="false">
      <c r="A313" s="5" t="s">
        <v>293</v>
      </c>
      <c r="B313" s="0" t="s">
        <v>107</v>
      </c>
      <c r="C313" s="22" t="n">
        <f aca="false">a26_tr</f>
        <v>19.512</v>
      </c>
      <c r="D313" s="22" t="n">
        <f aca="false">a27_tr</f>
        <v>37.59663</v>
      </c>
      <c r="E313" s="22" t="n">
        <f aca="false">D313*(1+g_tr28)</f>
        <v>35.7167985</v>
      </c>
      <c r="F313" s="22" t="n">
        <f aca="false">E313*(1+g_tr29)</f>
        <v>36.43113447</v>
      </c>
      <c r="G313" s="22" t="n">
        <f aca="false">F313*(1+g_tr30)</f>
        <v>37.5240685041</v>
      </c>
    </row>
    <row r="314" customFormat="false" ht="15" hidden="false" customHeight="false" outlineLevel="0" collapsed="false">
      <c r="A314" s="5" t="s">
        <v>296</v>
      </c>
      <c r="B314" s="0" t="s">
        <v>107</v>
      </c>
      <c r="C314" s="22" t="n">
        <f aca="false">a26_st</f>
        <v>16.631</v>
      </c>
      <c r="D314" s="22" t="n">
        <f aca="false">a27_st</f>
        <v>19.47008</v>
      </c>
      <c r="E314" s="22" t="n">
        <f aca="false">D314*(1+g_st28)</f>
        <v>20.2488832</v>
      </c>
      <c r="F314" s="22" t="n">
        <f aca="false">E314*(1+g_st29)</f>
        <v>21.058838528</v>
      </c>
      <c r="G314" s="22" t="n">
        <f aca="false">F314*(1+g_st30)</f>
        <v>21.90119206912</v>
      </c>
    </row>
    <row r="315" customFormat="false" ht="17.15" hidden="false" customHeight="false" outlineLevel="0" collapsed="false">
      <c r="A315" s="0" t="s">
        <v>299</v>
      </c>
      <c r="B315" s="0" t="s">
        <v>107</v>
      </c>
      <c r="C315" s="22" t="n">
        <f aca="false">C311+C313+C314</f>
        <v>60.826</v>
      </c>
      <c r="D315" s="22" t="n">
        <f aca="false">D311+D313+D314</f>
        <v>131.06671</v>
      </c>
      <c r="E315" s="22" t="n">
        <f aca="false">E311+E313+E314</f>
        <v>186.820119486415</v>
      </c>
      <c r="F315" s="22" t="n">
        <f aca="false">F311+F313+F314</f>
        <v>196.200061049354</v>
      </c>
      <c r="G315" s="22" t="n">
        <f aca="false">G311+G313+G314</f>
        <v>207.628923021231</v>
      </c>
    </row>
    <row r="316" customFormat="false" ht="17.15" hidden="false" customHeight="false" outlineLevel="0" collapsed="false">
      <c r="A316" s="0" t="s">
        <v>405</v>
      </c>
      <c r="B316" s="0" t="s">
        <v>107</v>
      </c>
      <c r="C316" s="22" t="n">
        <f aca="false">a26_csg</f>
        <v>50.984</v>
      </c>
      <c r="D316" s="22" t="n">
        <f aca="false">a27_csg</f>
        <v>60.17529</v>
      </c>
      <c r="E316" s="22" t="n">
        <f aca="false">D316*(1+g_csg28)</f>
        <v>61.9805487</v>
      </c>
      <c r="F316" s="22" t="n">
        <f aca="false">E316*(1+g_csg29)</f>
        <v>63.839965161</v>
      </c>
      <c r="G316" s="22" t="n">
        <f aca="false">F316*(1+g_csg30)</f>
        <v>65.75516411583</v>
      </c>
    </row>
    <row r="317" customFormat="false" ht="17.15" hidden="false" customHeight="false" outlineLevel="0" collapsed="false">
      <c r="A317" s="5" t="s">
        <v>406</v>
      </c>
      <c r="B317" s="0" t="s">
        <v>107</v>
      </c>
      <c r="C317" s="22" t="n">
        <f aca="false">a26_oth</f>
        <v>1.72799999999999</v>
      </c>
      <c r="D317" s="22" t="n">
        <f aca="false">a27_oth</f>
        <v>0.75800000000001</v>
      </c>
      <c r="E317" s="22" t="n">
        <f aca="false">D317</f>
        <v>0.75800000000001</v>
      </c>
      <c r="F317" s="22" t="n">
        <f aca="false">E317</f>
        <v>0.75800000000001</v>
      </c>
      <c r="G317" s="22" t="n">
        <f aca="false">F317</f>
        <v>0.75800000000001</v>
      </c>
      <c r="J317" s="8" t="s">
        <v>407</v>
      </c>
    </row>
    <row r="318" customFormat="false" ht="17.15" hidden="false" customHeight="false" outlineLevel="0" collapsed="false">
      <c r="A318" s="5" t="s">
        <v>306</v>
      </c>
      <c r="B318" s="0" t="s">
        <v>107</v>
      </c>
      <c r="C318" s="22" t="n">
        <f aca="false">C315+C316+C317</f>
        <v>113.538</v>
      </c>
      <c r="D318" s="22" t="n">
        <f aca="false">D315+D316+D317</f>
        <v>192</v>
      </c>
      <c r="E318" s="22" t="n">
        <f aca="false">E315+E316+E317</f>
        <v>249.558668186415</v>
      </c>
      <c r="F318" s="22" t="n">
        <f aca="false">F315+F316+F317</f>
        <v>260.798026210354</v>
      </c>
      <c r="G318" s="22" t="n">
        <f aca="false">G315+G316+G317</f>
        <v>274.142087137061</v>
      </c>
      <c r="H318" s="26" t="n">
        <f aca="false">G318*(1+H319)</f>
        <v>289.37976309346</v>
      </c>
      <c r="I318" s="26" t="n">
        <f aca="false">H318*(1+I319)</f>
        <v>306.742548879068</v>
      </c>
      <c r="J318" s="8" t="s">
        <v>408</v>
      </c>
    </row>
    <row r="319" customFormat="false" ht="15" hidden="false" customHeight="false" outlineLevel="0" collapsed="false">
      <c r="A319" s="5" t="s">
        <v>409</v>
      </c>
      <c r="B319" s="0" t="s">
        <v>130</v>
      </c>
      <c r="D319" s="17" t="n">
        <f aca="false">D318/C318-1</f>
        <v>0.691063784812134</v>
      </c>
      <c r="E319" s="17" t="n">
        <f aca="false">E318/D318-1</f>
        <v>0.299784730137576</v>
      </c>
      <c r="F319" s="17" t="n">
        <f aca="false">F318/E318-1</f>
        <v>0.0450369370281432</v>
      </c>
      <c r="G319" s="17" t="n">
        <f aca="false">G318/F318-1</f>
        <v>0.0511662650235885</v>
      </c>
      <c r="H319" s="27" t="n">
        <f aca="false">$G319+(fade_gA-$G319)*1/2</f>
        <v>0.0555831325117942</v>
      </c>
      <c r="I319" s="27" t="n">
        <f aca="false">$G319+(fade_gA-$G319)*2/2</f>
        <v>0.06</v>
      </c>
    </row>
    <row r="320" customFormat="false" ht="17.15" hidden="false" customHeight="false" outlineLevel="0" collapsed="false">
      <c r="A320" s="0" t="s">
        <v>410</v>
      </c>
      <c r="B320" s="0" t="s">
        <v>130</v>
      </c>
      <c r="C320" s="17" t="n">
        <f aca="false">C311/C318</f>
        <v>0.217398580211031</v>
      </c>
      <c r="D320" s="17" t="n">
        <f aca="false">D311/D318</f>
        <v>0.385416666666667</v>
      </c>
      <c r="E320" s="17" t="n">
        <f aca="false">E311/E318</f>
        <v>0.524343388820577</v>
      </c>
      <c r="F320" s="17" t="n">
        <f aca="false">F311/F318</f>
        <v>0.531867859841367</v>
      </c>
      <c r="G320" s="17" t="n">
        <f aca="false">G311/G318</f>
        <v>0.540608937488372</v>
      </c>
    </row>
    <row r="321" customFormat="false" ht="17.15" hidden="false" customHeight="false" outlineLevel="0" collapsed="false">
      <c r="A321" s="1" t="s">
        <v>411</v>
      </c>
    </row>
    <row r="322" customFormat="false" ht="17.15" hidden="false" customHeight="false" outlineLevel="0" collapsed="false">
      <c r="A322" s="0" t="s">
        <v>383</v>
      </c>
      <c r="B322" s="0" t="s">
        <v>130</v>
      </c>
      <c r="C322" s="23" t="n">
        <f aca="false">(a26_isgoi-m_nai*(a26_tr+a26_st))/a26_ai</f>
        <v>0.0538070736944455</v>
      </c>
      <c r="D322" s="23" t="n">
        <f aca="false">(a27_isgoi-m_nai*(a27_tr+a27_st))/a27_ai</f>
        <v>0.110710097972973</v>
      </c>
      <c r="E322" s="23" t="n">
        <f aca="false">$D322+ai_dm_hi</f>
        <v>0.120710097972973</v>
      </c>
      <c r="F322" s="23" t="n">
        <f aca="false">$D322+ai_dm_hi+dm_A</f>
        <v>0.120710097972973</v>
      </c>
      <c r="G322" s="23" t="n">
        <f aca="false">$D322+ai_dm_hi+dm_A</f>
        <v>0.120710097972973</v>
      </c>
      <c r="J322" s="8" t="s">
        <v>412</v>
      </c>
    </row>
    <row r="323" customFormat="false" ht="17.15" hidden="false" customHeight="false" outlineLevel="0" collapsed="false">
      <c r="A323" s="5" t="s">
        <v>413</v>
      </c>
      <c r="B323" s="0" t="s">
        <v>130</v>
      </c>
      <c r="C323" s="23" t="n">
        <f aca="false">m_nai</f>
        <v>0.16</v>
      </c>
      <c r="D323" s="23" t="n">
        <f aca="false">m_nai</f>
        <v>0.16</v>
      </c>
      <c r="E323" s="23" t="n">
        <f aca="false">m_naif</f>
        <v>0.155</v>
      </c>
      <c r="F323" s="23" t="n">
        <f aca="false">m_naif</f>
        <v>0.155</v>
      </c>
      <c r="G323" s="23" t="n">
        <f aca="false">m_naif</f>
        <v>0.155</v>
      </c>
    </row>
    <row r="324" customFormat="false" ht="17.15" hidden="false" customHeight="false" outlineLevel="0" collapsed="false">
      <c r="A324" s="0" t="s">
        <v>308</v>
      </c>
      <c r="B324" s="0" t="s">
        <v>107</v>
      </c>
      <c r="C324" s="28" t="n">
        <f aca="false">a26_isgoi</f>
        <v>7.111</v>
      </c>
      <c r="D324" s="28" t="n">
        <f aca="false">a27_isgoi</f>
        <v>17.32322085</v>
      </c>
      <c r="E324" s="28" t="n">
        <f aca="false">E311*E322+(E313+E314)*E323</f>
        <v>24.4701326688964</v>
      </c>
      <c r="F324" s="28" t="n">
        <f aca="false">F311*F322+(F313+F314)*F323</f>
        <v>25.6546541332086</v>
      </c>
      <c r="G324" s="28" t="n">
        <f aca="false">G311*G322+(G313+G314)*G323</f>
        <v>27.100594002902</v>
      </c>
    </row>
    <row r="325" customFormat="false" ht="17.15" hidden="false" customHeight="false" outlineLevel="0" collapsed="false">
      <c r="A325" s="0" t="s">
        <v>414</v>
      </c>
      <c r="B325" s="0" t="s">
        <v>130</v>
      </c>
      <c r="C325" s="23" t="n">
        <f aca="false">a26_csgoi/C316</f>
        <v>0.0555664522203044</v>
      </c>
      <c r="D325" s="23" t="n">
        <f aca="false">a27_csgoi/D316</f>
        <v>0.0764752733223222</v>
      </c>
      <c r="E325" s="23" t="n">
        <f aca="false">m_csgf</f>
        <v>0.07</v>
      </c>
      <c r="F325" s="23" t="n">
        <f aca="false">m_csgf</f>
        <v>0.07</v>
      </c>
      <c r="G325" s="23" t="n">
        <f aca="false">m_csgf</f>
        <v>0.07</v>
      </c>
    </row>
    <row r="326" customFormat="false" ht="17.15" hidden="false" customHeight="false" outlineLevel="0" collapsed="false">
      <c r="A326" s="0" t="s">
        <v>310</v>
      </c>
      <c r="B326" s="0" t="s">
        <v>107</v>
      </c>
      <c r="C326" s="28" t="n">
        <f aca="false">C316*C325</f>
        <v>2.833</v>
      </c>
      <c r="D326" s="28" t="n">
        <f aca="false">D316*D325</f>
        <v>4.60192175</v>
      </c>
      <c r="E326" s="28" t="n">
        <f aca="false">E316*E325</f>
        <v>4.338638409</v>
      </c>
      <c r="F326" s="28" t="n">
        <f aca="false">F316*F325</f>
        <v>4.46879756127</v>
      </c>
      <c r="G326" s="28" t="n">
        <f aca="false">G316*G325</f>
        <v>4.6028614881081</v>
      </c>
    </row>
    <row r="327" customFormat="false" ht="17.15" hidden="false" customHeight="false" outlineLevel="0" collapsed="false">
      <c r="A327" s="5" t="s">
        <v>415</v>
      </c>
      <c r="B327" s="0" t="s">
        <v>107</v>
      </c>
      <c r="C327" s="28" t="n">
        <f aca="false">C324+C326</f>
        <v>9.944</v>
      </c>
      <c r="D327" s="28" t="n">
        <f aca="false">D324+D326</f>
        <v>21.9251426</v>
      </c>
      <c r="E327" s="28" t="n">
        <f aca="false">E324+E326</f>
        <v>28.8087710778964</v>
      </c>
      <c r="F327" s="28" t="n">
        <f aca="false">F324+F326</f>
        <v>30.1234516944786</v>
      </c>
      <c r="G327" s="28" t="n">
        <f aca="false">G324+G326</f>
        <v>31.7034554910101</v>
      </c>
    </row>
    <row r="328" customFormat="false" ht="15" hidden="false" customHeight="false" outlineLevel="0" collapsed="false">
      <c r="A328" s="5" t="s">
        <v>384</v>
      </c>
      <c r="B328" s="0" t="s">
        <v>130</v>
      </c>
      <c r="C328" s="23" t="n">
        <f aca="false">C327/C318</f>
        <v>0.0875830118550617</v>
      </c>
      <c r="D328" s="23" t="n">
        <f aca="false">D327/D318</f>
        <v>0.114193451041667</v>
      </c>
      <c r="E328" s="23" t="n">
        <f aca="false">E327/E318</f>
        <v>0.115438871698005</v>
      </c>
      <c r="F328" s="23" t="n">
        <f aca="false">F327/F318</f>
        <v>0.115504906736456</v>
      </c>
      <c r="G328" s="23" t="n">
        <f aca="false">G327/G318</f>
        <v>0.115646071794731</v>
      </c>
    </row>
    <row r="329" customFormat="false" ht="17.15" hidden="false" customHeight="false" outlineLevel="0" collapsed="false">
      <c r="A329" s="5" t="s">
        <v>416</v>
      </c>
      <c r="B329" s="0" t="s">
        <v>130</v>
      </c>
      <c r="C329" s="17" t="n">
        <f aca="false">a26_ni/a26_oi</f>
        <v>0.708567980691875</v>
      </c>
      <c r="D329" s="17" t="n">
        <f aca="false">a27_ni/a27_oi</f>
        <v>0.753655303477935</v>
      </c>
      <c r="E329" s="17" t="n">
        <f aca="false">nio_f</f>
        <v>0.75</v>
      </c>
      <c r="F329" s="17" t="n">
        <f aca="false">nio_f</f>
        <v>0.75</v>
      </c>
      <c r="G329" s="17" t="n">
        <f aca="false">nio_f</f>
        <v>0.75</v>
      </c>
    </row>
    <row r="330" customFormat="false" ht="17.15" hidden="false" customHeight="false" outlineLevel="0" collapsed="false">
      <c r="A330" s="0" t="s">
        <v>316</v>
      </c>
      <c r="B330" s="0" t="s">
        <v>107</v>
      </c>
      <c r="C330" s="28" t="n">
        <f aca="false">a26_ni</f>
        <v>7.046</v>
      </c>
      <c r="D330" s="28" t="n">
        <f aca="false">a27_ni</f>
        <v>16.524</v>
      </c>
      <c r="E330" s="28" t="n">
        <f aca="false">E327*E329</f>
        <v>21.6065783084223</v>
      </c>
      <c r="F330" s="28" t="n">
        <f aca="false">F327*F329</f>
        <v>22.5925887708589</v>
      </c>
      <c r="G330" s="28" t="n">
        <f aca="false">G327*G329</f>
        <v>23.7775916182575</v>
      </c>
      <c r="H330" s="29" t="n">
        <f aca="false">H318*H334</f>
        <v>23.925914997062</v>
      </c>
      <c r="I330" s="29" t="n">
        <f aca="false">I318*I334</f>
        <v>24.1177616711458</v>
      </c>
    </row>
    <row r="331" customFormat="false" ht="15" hidden="false" customHeight="false" outlineLevel="0" collapsed="false">
      <c r="A331" s="5" t="s">
        <v>417</v>
      </c>
      <c r="B331" s="5" t="s">
        <v>143</v>
      </c>
      <c r="C331" s="32" t="n">
        <f aca="false">a26_sh</f>
        <v>0.684077669902913</v>
      </c>
      <c r="D331" s="32" t="n">
        <f aca="false">a27_sh</f>
        <v>0.648</v>
      </c>
      <c r="E331" s="32" t="n">
        <f aca="false">D331*(1+sh_g)</f>
        <v>0.62856</v>
      </c>
      <c r="F331" s="32" t="n">
        <f aca="false">E331*(1+sh_g)</f>
        <v>0.6097032</v>
      </c>
      <c r="G331" s="32" t="n">
        <f aca="false">F331*(1+sh_g)</f>
        <v>0.591412104</v>
      </c>
      <c r="H331" s="33" t="n">
        <f aca="false">G331*(1+sh_g)</f>
        <v>0.57366974088</v>
      </c>
      <c r="I331" s="33" t="n">
        <f aca="false">H331*(1+sh_g)</f>
        <v>0.5564596486536</v>
      </c>
    </row>
    <row r="332" customFormat="false" ht="15" hidden="false" customHeight="false" outlineLevel="0" collapsed="false">
      <c r="A332" s="0" t="s">
        <v>324</v>
      </c>
      <c r="B332" s="0" t="s">
        <v>117</v>
      </c>
      <c r="C332" s="28" t="n">
        <f aca="false">C330/C331</f>
        <v>10.3</v>
      </c>
      <c r="D332" s="28" t="n">
        <f aca="false">D330/D331</f>
        <v>25.5</v>
      </c>
      <c r="E332" s="28" t="n">
        <f aca="false">E330/E331</f>
        <v>34.3747268493419</v>
      </c>
      <c r="F332" s="28" t="n">
        <f aca="false">F330/F331</f>
        <v>37.0550601847898</v>
      </c>
      <c r="G332" s="28" t="n">
        <f aca="false">G330/G331</f>
        <v>40.2047767663841</v>
      </c>
      <c r="H332" s="31" t="n">
        <f aca="false">H330/H331</f>
        <v>41.7067753309771</v>
      </c>
      <c r="I332" s="31" t="n">
        <f aca="false">I330/I331</f>
        <v>43.3414385562381</v>
      </c>
    </row>
    <row r="333" customFormat="false" ht="17.15" hidden="false" customHeight="false" outlineLevel="0" collapsed="false">
      <c r="A333" s="0" t="s">
        <v>418</v>
      </c>
      <c r="B333" s="0" t="s">
        <v>130</v>
      </c>
      <c r="D333" s="17" t="n">
        <f aca="false">D332/C332-1</f>
        <v>1.47572815533981</v>
      </c>
      <c r="E333" s="17" t="n">
        <f aca="false">E332/D332-1</f>
        <v>0.348028503895759</v>
      </c>
      <c r="F333" s="17" t="n">
        <f aca="false">F332/E332-1</f>
        <v>0.0779739529915502</v>
      </c>
      <c r="G333" s="17" t="n">
        <f aca="false">G332/F332-1</f>
        <v>0.0850009841000654</v>
      </c>
      <c r="H333" s="27" t="n">
        <f aca="false">H332/G332-1</f>
        <v>0.0373587092230514</v>
      </c>
      <c r="I333" s="27" t="n">
        <f aca="false">I332/H332-1</f>
        <v>0.039194188768817</v>
      </c>
    </row>
    <row r="334" customFormat="false" ht="17.15" hidden="false" customHeight="false" outlineLevel="0" collapsed="false">
      <c r="A334" s="5" t="s">
        <v>419</v>
      </c>
      <c r="B334" s="0" t="s">
        <v>130</v>
      </c>
      <c r="C334" s="23" t="n">
        <f aca="false">C330/C318</f>
        <v>0.0620585178530536</v>
      </c>
      <c r="D334" s="23" t="n">
        <f aca="false">D330/D318</f>
        <v>0.0860625</v>
      </c>
      <c r="E334" s="23" t="n">
        <f aca="false">E330/E318</f>
        <v>0.0865791537735034</v>
      </c>
      <c r="F334" s="23" t="n">
        <f aca="false">F330/F318</f>
        <v>0.0866286800523417</v>
      </c>
      <c r="G334" s="23" t="n">
        <f aca="false">G330/G318</f>
        <v>0.0867345538460484</v>
      </c>
      <c r="H334" s="30" t="n">
        <f aca="false">$G334+(fade_mA-$G334)*1/2</f>
        <v>0.0826799868148856</v>
      </c>
      <c r="I334" s="30" t="n">
        <f aca="false">$G334+(fade_mA-$G334)*2/2</f>
        <v>0.0786254197837229</v>
      </c>
    </row>
    <row r="335" customFormat="false" ht="17.15" hidden="false" customHeight="false" outlineLevel="0" collapsed="false">
      <c r="A335" s="0" t="s">
        <v>420</v>
      </c>
      <c r="B335" s="0" t="s">
        <v>74</v>
      </c>
      <c r="D335" s="20" t="n">
        <f aca="false">D311/(D304+D305)</f>
        <v>8.8622754491018</v>
      </c>
      <c r="E335" s="20" t="n">
        <f aca="false">E311/(E304+E305)</f>
        <v>11.6834319452156</v>
      </c>
      <c r="F335" s="20" t="n">
        <f aca="false">F311/(F304+F305)</f>
        <v>12.0617467870742</v>
      </c>
      <c r="G335" s="20" t="n">
        <f aca="false">G311/(G304+G305)</f>
        <v>11.4886560037218</v>
      </c>
    </row>
    <row r="338" customFormat="false" ht="17.15" hidden="false" customHeight="false" outlineLevel="0" collapsed="false">
      <c r="A338" s="3" t="s">
        <v>753</v>
      </c>
    </row>
    <row r="339" customFormat="false" ht="17.15" hidden="false" customHeight="false" outlineLevel="0" collapsed="false">
      <c r="A339" s="6" t="s">
        <v>20</v>
      </c>
      <c r="B339" s="6" t="s">
        <v>21</v>
      </c>
      <c r="C339" s="14" t="s">
        <v>284</v>
      </c>
      <c r="D339" s="14" t="s">
        <v>371</v>
      </c>
      <c r="E339" s="14" t="s">
        <v>372</v>
      </c>
      <c r="F339" s="14" t="s">
        <v>373</v>
      </c>
      <c r="G339" s="14" t="s">
        <v>374</v>
      </c>
      <c r="H339" s="14" t="s">
        <v>375</v>
      </c>
      <c r="I339" s="14" t="s">
        <v>376</v>
      </c>
      <c r="J339" s="6" t="s">
        <v>344</v>
      </c>
    </row>
    <row r="340" customFormat="false" ht="17.15" hidden="false" customHeight="false" outlineLevel="0" collapsed="false">
      <c r="A340" s="1" t="s">
        <v>394</v>
      </c>
    </row>
    <row r="341" customFormat="false" ht="17.15" hidden="false" customHeight="false" outlineLevel="0" collapsed="false">
      <c r="A341" s="0" t="s">
        <v>395</v>
      </c>
      <c r="B341" s="5" t="s">
        <v>31</v>
      </c>
      <c r="D341" s="18" t="n">
        <f aca="false">ug_26</f>
        <v>6.65</v>
      </c>
      <c r="E341" s="18" t="n">
        <f aca="false">ug_27*1</f>
        <v>2.4</v>
      </c>
      <c r="F341" s="18" t="n">
        <f aca="false">ug_28*um28_A*1</f>
        <v>0.5</v>
      </c>
      <c r="G341" s="18" t="n">
        <f aca="false">ug_29*um29_A*1</f>
        <v>0.25</v>
      </c>
    </row>
    <row r="342" customFormat="false" ht="17.15" hidden="false" customHeight="false" outlineLevel="0" collapsed="false">
      <c r="A342" s="0" t="s">
        <v>396</v>
      </c>
      <c r="B342" s="5" t="s">
        <v>31</v>
      </c>
      <c r="D342" s="18" t="n">
        <f aca="false">uv_26</f>
        <v>1.7</v>
      </c>
      <c r="E342" s="18" t="n">
        <f aca="false">uv_27*1</f>
        <v>8.8</v>
      </c>
      <c r="F342" s="18" t="n">
        <f aca="false">uv_28*um28_A*1</f>
        <v>11</v>
      </c>
      <c r="G342" s="18" t="n">
        <f aca="false">uv_29*um29_A*1</f>
        <v>12.65</v>
      </c>
    </row>
    <row r="343" customFormat="false" ht="17.15" hidden="false" customHeight="false" outlineLevel="0" collapsed="false">
      <c r="A343" s="5" t="s">
        <v>397</v>
      </c>
      <c r="B343" s="0" t="s">
        <v>107</v>
      </c>
      <c r="D343" s="22" t="n">
        <f aca="false">D341*v_gb+D342*v_vr</f>
        <v>595.4861102</v>
      </c>
      <c r="E343" s="22" t="n">
        <f aca="false">E341*v_gb+E342*v_vr</f>
        <v>1170.0000024</v>
      </c>
      <c r="F343" s="22" t="n">
        <f aca="false">F341*v_gb+F342*v_vr</f>
        <v>1313.194448</v>
      </c>
      <c r="G343" s="22" t="n">
        <f aca="false">G341*v_gb+G342*v_vr</f>
        <v>1490.76389305</v>
      </c>
      <c r="J343" s="5" t="s">
        <v>398</v>
      </c>
    </row>
    <row r="344" customFormat="false" ht="17.15" hidden="false" customHeight="false" outlineLevel="0" collapsed="false">
      <c r="A344" s="0" t="s">
        <v>399</v>
      </c>
      <c r="B344" s="0" t="s">
        <v>130</v>
      </c>
      <c r="D344" s="23" t="n">
        <f aca="false">a27_ai/D343</f>
        <v>0.124268221764478</v>
      </c>
      <c r="J344" s="8" t="s">
        <v>400</v>
      </c>
    </row>
    <row r="345" customFormat="false" ht="17.15" hidden="false" customHeight="false" outlineLevel="0" collapsed="false">
      <c r="A345" s="5" t="s">
        <v>401</v>
      </c>
      <c r="B345" s="0" t="s">
        <v>53</v>
      </c>
      <c r="D345" s="18" t="n">
        <f aca="false">1</f>
        <v>1</v>
      </c>
      <c r="E345" s="18" t="n">
        <f aca="false">rel_28</f>
        <v>0.9</v>
      </c>
      <c r="F345" s="18" t="n">
        <f aca="false">rel_29</f>
        <v>0.85</v>
      </c>
      <c r="G345" s="18" t="n">
        <f aca="false">rel_30</f>
        <v>0.8</v>
      </c>
    </row>
    <row r="346" customFormat="false" ht="17.15" hidden="false" customHeight="false" outlineLevel="0" collapsed="false">
      <c r="A346" s="5" t="s">
        <v>402</v>
      </c>
      <c r="B346" s="0" t="s">
        <v>53</v>
      </c>
      <c r="D346" s="18" t="n">
        <f aca="false">1</f>
        <v>1</v>
      </c>
      <c r="E346" s="18" t="n">
        <f aca="false">1</f>
        <v>1</v>
      </c>
      <c r="F346" s="18" t="n">
        <f aca="false">srel_A</f>
        <v>1</v>
      </c>
      <c r="G346" s="18" t="n">
        <f aca="false">srel_A</f>
        <v>1</v>
      </c>
    </row>
    <row r="347" customFormat="false" ht="17.15" hidden="false" customHeight="false" outlineLevel="0" collapsed="false">
      <c r="A347" s="0" t="s">
        <v>353</v>
      </c>
      <c r="B347" s="0" t="s">
        <v>130</v>
      </c>
      <c r="D347" s="23" t="n">
        <f aca="false">$D$344*D345*D346</f>
        <v>0.124268221764478</v>
      </c>
      <c r="E347" s="23" t="n">
        <f aca="false">$D$344*E345*E346</f>
        <v>0.11184139958803</v>
      </c>
      <c r="F347" s="23" t="n">
        <f aca="false">$D$344*F345*F346</f>
        <v>0.105627988499806</v>
      </c>
      <c r="G347" s="23" t="n">
        <f aca="false">$D$344*G345*G346</f>
        <v>0.0994145774115824</v>
      </c>
    </row>
    <row r="348" customFormat="false" ht="17.15" hidden="false" customHeight="false" outlineLevel="0" collapsed="false">
      <c r="A348" s="0" t="s">
        <v>403</v>
      </c>
      <c r="B348" s="0" t="s">
        <v>107</v>
      </c>
      <c r="C348" s="22" t="n">
        <f aca="false">a26_ai</f>
        <v>24.683</v>
      </c>
      <c r="D348" s="22" t="n">
        <f aca="false">D343*D347</f>
        <v>74</v>
      </c>
      <c r="E348" s="22" t="n">
        <f aca="false">E343*E347</f>
        <v>130.854437786415</v>
      </c>
      <c r="F348" s="22" t="n">
        <f aca="false">F343*F347</f>
        <v>138.710088051354</v>
      </c>
      <c r="G348" s="22" t="n">
        <f aca="false">G343*G347</f>
        <v>148.203662448011</v>
      </c>
    </row>
    <row r="349" customFormat="false" ht="17.15" hidden="false" customHeight="false" outlineLevel="0" collapsed="false">
      <c r="A349" s="1" t="s">
        <v>404</v>
      </c>
    </row>
    <row r="350" customFormat="false" ht="15" hidden="false" customHeight="false" outlineLevel="0" collapsed="false">
      <c r="A350" s="5" t="s">
        <v>293</v>
      </c>
      <c r="B350" s="0" t="s">
        <v>107</v>
      </c>
      <c r="C350" s="22" t="n">
        <f aca="false">a26_tr</f>
        <v>19.512</v>
      </c>
      <c r="D350" s="22" t="n">
        <f aca="false">a27_tr</f>
        <v>37.59663</v>
      </c>
      <c r="E350" s="22" t="n">
        <f aca="false">D350*(1+g_tr28)</f>
        <v>35.7167985</v>
      </c>
      <c r="F350" s="22" t="n">
        <f aca="false">E350*(1+g_tr29)</f>
        <v>36.43113447</v>
      </c>
      <c r="G350" s="22" t="n">
        <f aca="false">F350*(1+g_tr30)</f>
        <v>37.5240685041</v>
      </c>
    </row>
    <row r="351" customFormat="false" ht="15" hidden="false" customHeight="false" outlineLevel="0" collapsed="false">
      <c r="A351" s="5" t="s">
        <v>296</v>
      </c>
      <c r="B351" s="0" t="s">
        <v>107</v>
      </c>
      <c r="C351" s="22" t="n">
        <f aca="false">a26_st</f>
        <v>16.631</v>
      </c>
      <c r="D351" s="22" t="n">
        <f aca="false">a27_st</f>
        <v>19.47008</v>
      </c>
      <c r="E351" s="22" t="n">
        <f aca="false">D351*(1+g_st28)</f>
        <v>20.2488832</v>
      </c>
      <c r="F351" s="22" t="n">
        <f aca="false">E351*(1+g_st29)</f>
        <v>21.058838528</v>
      </c>
      <c r="G351" s="22" t="n">
        <f aca="false">F351*(1+g_st30)</f>
        <v>21.90119206912</v>
      </c>
    </row>
    <row r="352" customFormat="false" ht="17.15" hidden="false" customHeight="false" outlineLevel="0" collapsed="false">
      <c r="A352" s="0" t="s">
        <v>299</v>
      </c>
      <c r="B352" s="0" t="s">
        <v>107</v>
      </c>
      <c r="C352" s="22" t="n">
        <f aca="false">C348+C350+C351</f>
        <v>60.826</v>
      </c>
      <c r="D352" s="22" t="n">
        <f aca="false">D348+D350+D351</f>
        <v>131.06671</v>
      </c>
      <c r="E352" s="22" t="n">
        <f aca="false">E348+E350+E351</f>
        <v>186.820119486415</v>
      </c>
      <c r="F352" s="22" t="n">
        <f aca="false">F348+F350+F351</f>
        <v>196.200061049354</v>
      </c>
      <c r="G352" s="22" t="n">
        <f aca="false">G348+G350+G351</f>
        <v>207.628923021231</v>
      </c>
    </row>
    <row r="353" customFormat="false" ht="17.15" hidden="false" customHeight="false" outlineLevel="0" collapsed="false">
      <c r="A353" s="0" t="s">
        <v>405</v>
      </c>
      <c r="B353" s="0" t="s">
        <v>107</v>
      </c>
      <c r="C353" s="22" t="n">
        <f aca="false">a26_csg</f>
        <v>50.984</v>
      </c>
      <c r="D353" s="22" t="n">
        <f aca="false">a27_csg</f>
        <v>60.17529</v>
      </c>
      <c r="E353" s="22" t="n">
        <f aca="false">D353*(1+g_csg28)</f>
        <v>61.9805487</v>
      </c>
      <c r="F353" s="22" t="n">
        <f aca="false">E353*(1+g_csg29)</f>
        <v>63.839965161</v>
      </c>
      <c r="G353" s="22" t="n">
        <f aca="false">F353*(1+g_csg30)</f>
        <v>65.75516411583</v>
      </c>
    </row>
    <row r="354" customFormat="false" ht="17.15" hidden="false" customHeight="false" outlineLevel="0" collapsed="false">
      <c r="A354" s="5" t="s">
        <v>406</v>
      </c>
      <c r="B354" s="0" t="s">
        <v>107</v>
      </c>
      <c r="C354" s="22" t="n">
        <f aca="false">a26_oth</f>
        <v>1.72799999999999</v>
      </c>
      <c r="D354" s="22" t="n">
        <f aca="false">a27_oth</f>
        <v>0.75800000000001</v>
      </c>
      <c r="E354" s="22" t="n">
        <f aca="false">D354</f>
        <v>0.75800000000001</v>
      </c>
      <c r="F354" s="22" t="n">
        <f aca="false">E354</f>
        <v>0.75800000000001</v>
      </c>
      <c r="G354" s="22" t="n">
        <f aca="false">F354</f>
        <v>0.75800000000001</v>
      </c>
      <c r="J354" s="8" t="s">
        <v>407</v>
      </c>
    </row>
    <row r="355" customFormat="false" ht="17.15" hidden="false" customHeight="false" outlineLevel="0" collapsed="false">
      <c r="A355" s="5" t="s">
        <v>306</v>
      </c>
      <c r="B355" s="0" t="s">
        <v>107</v>
      </c>
      <c r="C355" s="22" t="n">
        <f aca="false">C352+C353+C354</f>
        <v>113.538</v>
      </c>
      <c r="D355" s="22" t="n">
        <f aca="false">D352+D353+D354</f>
        <v>192</v>
      </c>
      <c r="E355" s="22" t="n">
        <f aca="false">E352+E353+E354</f>
        <v>249.558668186415</v>
      </c>
      <c r="F355" s="22" t="n">
        <f aca="false">F352+F353+F354</f>
        <v>260.798026210354</v>
      </c>
      <c r="G355" s="22" t="n">
        <f aca="false">G352+G353+G354</f>
        <v>274.142087137061</v>
      </c>
      <c r="H355" s="26" t="n">
        <f aca="false">G355*(1+H356)</f>
        <v>289.37976309346</v>
      </c>
      <c r="I355" s="26" t="n">
        <f aca="false">H355*(1+I356)</f>
        <v>306.742548879068</v>
      </c>
      <c r="J355" s="8" t="s">
        <v>408</v>
      </c>
    </row>
    <row r="356" customFormat="false" ht="15" hidden="false" customHeight="false" outlineLevel="0" collapsed="false">
      <c r="A356" s="5" t="s">
        <v>409</v>
      </c>
      <c r="B356" s="0" t="s">
        <v>130</v>
      </c>
      <c r="D356" s="17" t="n">
        <f aca="false">D355/C355-1</f>
        <v>0.691063784812134</v>
      </c>
      <c r="E356" s="17" t="n">
        <f aca="false">E355/D355-1</f>
        <v>0.299784730137576</v>
      </c>
      <c r="F356" s="17" t="n">
        <f aca="false">F355/E355-1</f>
        <v>0.0450369370281432</v>
      </c>
      <c r="G356" s="17" t="n">
        <f aca="false">G355/F355-1</f>
        <v>0.0511662650235885</v>
      </c>
      <c r="H356" s="27" t="n">
        <f aca="false">$G356+(fade_gA-$G356)*1/2</f>
        <v>0.0555831325117942</v>
      </c>
      <c r="I356" s="27" t="n">
        <f aca="false">$G356+(fade_gA-$G356)*2/2</f>
        <v>0.06</v>
      </c>
    </row>
    <row r="357" customFormat="false" ht="17.15" hidden="false" customHeight="false" outlineLevel="0" collapsed="false">
      <c r="A357" s="0" t="s">
        <v>410</v>
      </c>
      <c r="B357" s="0" t="s">
        <v>130</v>
      </c>
      <c r="C357" s="17" t="n">
        <f aca="false">C348/C355</f>
        <v>0.217398580211031</v>
      </c>
      <c r="D357" s="17" t="n">
        <f aca="false">D348/D355</f>
        <v>0.385416666666667</v>
      </c>
      <c r="E357" s="17" t="n">
        <f aca="false">E348/E355</f>
        <v>0.524343388820577</v>
      </c>
      <c r="F357" s="17" t="n">
        <f aca="false">F348/F355</f>
        <v>0.531867859841367</v>
      </c>
      <c r="G357" s="17" t="n">
        <f aca="false">G348/G355</f>
        <v>0.540608937488372</v>
      </c>
    </row>
    <row r="358" customFormat="false" ht="17.15" hidden="false" customHeight="false" outlineLevel="0" collapsed="false">
      <c r="A358" s="1" t="s">
        <v>411</v>
      </c>
    </row>
    <row r="359" customFormat="false" ht="17.15" hidden="false" customHeight="false" outlineLevel="0" collapsed="false">
      <c r="A359" s="0" t="s">
        <v>383</v>
      </c>
      <c r="B359" s="0" t="s">
        <v>130</v>
      </c>
      <c r="C359" s="23" t="n">
        <f aca="false">(a26_isgoi-m_nai_hi*(a26_tr+a26_st))/a26_ai</f>
        <v>0.00987845885832354</v>
      </c>
      <c r="D359" s="23" t="n">
        <f aca="false">(a27_isgoi-m_nai_hi*(a27_tr+a27_st))/a27_ai</f>
        <v>0.0875749452702703</v>
      </c>
      <c r="E359" s="23" t="n">
        <f aca="false">$D359+ai_dm</f>
        <v>0.0775749452702703</v>
      </c>
      <c r="F359" s="23" t="n">
        <f aca="false">$D359+ai_dm+dm_A</f>
        <v>0.0775749452702703</v>
      </c>
      <c r="G359" s="23" t="n">
        <f aca="false">$D359+ai_dm+dm_A</f>
        <v>0.0775749452702703</v>
      </c>
      <c r="J359" s="8" t="s">
        <v>412</v>
      </c>
    </row>
    <row r="360" customFormat="false" ht="17.15" hidden="false" customHeight="false" outlineLevel="0" collapsed="false">
      <c r="A360" s="5" t="s">
        <v>413</v>
      </c>
      <c r="B360" s="0" t="s">
        <v>130</v>
      </c>
      <c r="C360" s="23" t="n">
        <f aca="false">m_nai_hi</f>
        <v>0.19</v>
      </c>
      <c r="D360" s="23" t="n">
        <f aca="false">m_nai_hi</f>
        <v>0.19</v>
      </c>
      <c r="E360" s="23" t="n">
        <f aca="false">m_naif</f>
        <v>0.155</v>
      </c>
      <c r="F360" s="23" t="n">
        <f aca="false">m_naif</f>
        <v>0.155</v>
      </c>
      <c r="G360" s="23" t="n">
        <f aca="false">m_naif</f>
        <v>0.155</v>
      </c>
    </row>
    <row r="361" customFormat="false" ht="17.15" hidden="false" customHeight="false" outlineLevel="0" collapsed="false">
      <c r="A361" s="0" t="s">
        <v>308</v>
      </c>
      <c r="B361" s="0" t="s">
        <v>107</v>
      </c>
      <c r="C361" s="28" t="n">
        <f aca="false">a26_isgoi</f>
        <v>7.111</v>
      </c>
      <c r="D361" s="28" t="n">
        <f aca="false">a27_isgoi</f>
        <v>17.32322085</v>
      </c>
      <c r="E361" s="28" t="n">
        <f aca="false">E348*E359+(E350+E351)*E360</f>
        <v>18.8257065131531</v>
      </c>
      <c r="F361" s="28" t="n">
        <f aca="false">F348*F359+(F350+F351)*F360</f>
        <v>19.6713733037081</v>
      </c>
      <c r="G361" s="28" t="n">
        <f aca="false">G348*G359+(G350+G351)*G360</f>
        <v>20.7078063921072</v>
      </c>
    </row>
    <row r="362" customFormat="false" ht="17.15" hidden="false" customHeight="false" outlineLevel="0" collapsed="false">
      <c r="A362" s="0" t="s">
        <v>414</v>
      </c>
      <c r="B362" s="0" t="s">
        <v>130</v>
      </c>
      <c r="C362" s="23" t="n">
        <f aca="false">a26_csgoi/C353</f>
        <v>0.0555664522203044</v>
      </c>
      <c r="D362" s="23" t="n">
        <f aca="false">a27_csgoi/D353</f>
        <v>0.0764752733223222</v>
      </c>
      <c r="E362" s="23" t="n">
        <f aca="false">m_csgf</f>
        <v>0.07</v>
      </c>
      <c r="F362" s="23" t="n">
        <f aca="false">m_csgf</f>
        <v>0.07</v>
      </c>
      <c r="G362" s="23" t="n">
        <f aca="false">m_csgf</f>
        <v>0.07</v>
      </c>
    </row>
    <row r="363" customFormat="false" ht="17.15" hidden="false" customHeight="false" outlineLevel="0" collapsed="false">
      <c r="A363" s="0" t="s">
        <v>310</v>
      </c>
      <c r="B363" s="0" t="s">
        <v>107</v>
      </c>
      <c r="C363" s="28" t="n">
        <f aca="false">C353*C362</f>
        <v>2.833</v>
      </c>
      <c r="D363" s="28" t="n">
        <f aca="false">D353*D362</f>
        <v>4.60192175</v>
      </c>
      <c r="E363" s="28" t="n">
        <f aca="false">E353*E362</f>
        <v>4.338638409</v>
      </c>
      <c r="F363" s="28" t="n">
        <f aca="false">F353*F362</f>
        <v>4.46879756127</v>
      </c>
      <c r="G363" s="28" t="n">
        <f aca="false">G353*G362</f>
        <v>4.6028614881081</v>
      </c>
    </row>
    <row r="364" customFormat="false" ht="17.15" hidden="false" customHeight="false" outlineLevel="0" collapsed="false">
      <c r="A364" s="5" t="s">
        <v>415</v>
      </c>
      <c r="B364" s="0" t="s">
        <v>107</v>
      </c>
      <c r="C364" s="28" t="n">
        <f aca="false">C361+C363</f>
        <v>9.944</v>
      </c>
      <c r="D364" s="28" t="n">
        <f aca="false">D361+D363</f>
        <v>21.9251426</v>
      </c>
      <c r="E364" s="28" t="n">
        <f aca="false">E361+E363</f>
        <v>23.1643449221531</v>
      </c>
      <c r="F364" s="28" t="n">
        <f aca="false">F361+F363</f>
        <v>24.1401708649781</v>
      </c>
      <c r="G364" s="28" t="n">
        <f aca="false">G361+G363</f>
        <v>25.3106678802153</v>
      </c>
    </row>
    <row r="365" customFormat="false" ht="15" hidden="false" customHeight="false" outlineLevel="0" collapsed="false">
      <c r="A365" s="5" t="s">
        <v>384</v>
      </c>
      <c r="B365" s="0" t="s">
        <v>130</v>
      </c>
      <c r="C365" s="23" t="n">
        <f aca="false">C364/C355</f>
        <v>0.0875830118550617</v>
      </c>
      <c r="D365" s="23" t="n">
        <f aca="false">D364/D355</f>
        <v>0.114193451041667</v>
      </c>
      <c r="E365" s="23" t="n">
        <f aca="false">E364/E355</f>
        <v>0.0928212395525763</v>
      </c>
      <c r="F365" s="23" t="n">
        <f aca="false">F364/F355</f>
        <v>0.0925627053845386</v>
      </c>
      <c r="G365" s="23" t="n">
        <f aca="false">G364/G355</f>
        <v>0.0923268227237245</v>
      </c>
    </row>
    <row r="366" customFormat="false" ht="17.15" hidden="false" customHeight="false" outlineLevel="0" collapsed="false">
      <c r="A366" s="5" t="s">
        <v>416</v>
      </c>
      <c r="B366" s="0" t="s">
        <v>130</v>
      </c>
      <c r="C366" s="17" t="n">
        <f aca="false">a26_ni/a26_oi</f>
        <v>0.708567980691875</v>
      </c>
      <c r="D366" s="17" t="n">
        <f aca="false">a27_ni/a27_oi</f>
        <v>0.753655303477935</v>
      </c>
      <c r="E366" s="17" t="n">
        <f aca="false">nio_f</f>
        <v>0.75</v>
      </c>
      <c r="F366" s="17" t="n">
        <f aca="false">nio_f</f>
        <v>0.75</v>
      </c>
      <c r="G366" s="17" t="n">
        <f aca="false">nio_f</f>
        <v>0.75</v>
      </c>
    </row>
    <row r="367" customFormat="false" ht="17.15" hidden="false" customHeight="false" outlineLevel="0" collapsed="false">
      <c r="A367" s="0" t="s">
        <v>316</v>
      </c>
      <c r="B367" s="0" t="s">
        <v>107</v>
      </c>
      <c r="C367" s="28" t="n">
        <f aca="false">a26_ni</f>
        <v>7.046</v>
      </c>
      <c r="D367" s="28" t="n">
        <f aca="false">a27_ni</f>
        <v>16.524</v>
      </c>
      <c r="E367" s="28" t="n">
        <f aca="false">E364*E366</f>
        <v>17.3732586916148</v>
      </c>
      <c r="F367" s="28" t="n">
        <f aca="false">F364*F366</f>
        <v>18.1051281487336</v>
      </c>
      <c r="G367" s="28" t="n">
        <f aca="false">G364*G366</f>
        <v>18.9830009101615</v>
      </c>
      <c r="H367" s="29" t="n">
        <f aca="false">H355*H371</f>
        <v>21.39537045768</v>
      </c>
      <c r="I367" s="29" t="n">
        <f aca="false">I355*I371</f>
        <v>24.1177616711458</v>
      </c>
    </row>
    <row r="368" customFormat="false" ht="15" hidden="false" customHeight="false" outlineLevel="0" collapsed="false">
      <c r="A368" s="5" t="s">
        <v>417</v>
      </c>
      <c r="B368" s="5" t="s">
        <v>143</v>
      </c>
      <c r="C368" s="32" t="n">
        <f aca="false">a26_sh</f>
        <v>0.684077669902913</v>
      </c>
      <c r="D368" s="32" t="n">
        <f aca="false">a27_sh</f>
        <v>0.648</v>
      </c>
      <c r="E368" s="32" t="n">
        <f aca="false">D368*(1+sh_g)</f>
        <v>0.62856</v>
      </c>
      <c r="F368" s="32" t="n">
        <f aca="false">E368*(1+sh_g)</f>
        <v>0.6097032</v>
      </c>
      <c r="G368" s="32" t="n">
        <f aca="false">F368*(1+sh_g)</f>
        <v>0.591412104</v>
      </c>
      <c r="H368" s="33" t="n">
        <f aca="false">G368*(1+sh_g)</f>
        <v>0.57366974088</v>
      </c>
      <c r="I368" s="33" t="n">
        <f aca="false">H368*(1+sh_g)</f>
        <v>0.5564596486536</v>
      </c>
    </row>
    <row r="369" customFormat="false" ht="15" hidden="false" customHeight="false" outlineLevel="0" collapsed="false">
      <c r="A369" s="0" t="s">
        <v>324</v>
      </c>
      <c r="B369" s="0" t="s">
        <v>117</v>
      </c>
      <c r="C369" s="28" t="n">
        <f aca="false">C367/C368</f>
        <v>10.3</v>
      </c>
      <c r="D369" s="28" t="n">
        <f aca="false">D367/D368</f>
        <v>25.5</v>
      </c>
      <c r="E369" s="28" t="n">
        <f aca="false">E367/E368</f>
        <v>27.6397777326187</v>
      </c>
      <c r="F369" s="28" t="n">
        <f aca="false">F367/F368</f>
        <v>29.6949862633714</v>
      </c>
      <c r="G369" s="28" t="n">
        <f aca="false">G367/G368</f>
        <v>32.0977551554499</v>
      </c>
      <c r="H369" s="31" t="n">
        <f aca="false">H367/H368</f>
        <v>37.2956231312809</v>
      </c>
      <c r="I369" s="31" t="n">
        <f aca="false">I367/I368</f>
        <v>43.3414385562381</v>
      </c>
    </row>
    <row r="370" customFormat="false" ht="17.15" hidden="false" customHeight="false" outlineLevel="0" collapsed="false">
      <c r="A370" s="0" t="s">
        <v>418</v>
      </c>
      <c r="B370" s="0" t="s">
        <v>130</v>
      </c>
      <c r="D370" s="17" t="n">
        <f aca="false">D369/C369-1</f>
        <v>1.47572815533981</v>
      </c>
      <c r="E370" s="17" t="n">
        <f aca="false">E369/D369-1</f>
        <v>0.0839128522595585</v>
      </c>
      <c r="F370" s="17" t="n">
        <f aca="false">F369/E369-1</f>
        <v>0.0743569123686272</v>
      </c>
      <c r="G370" s="17" t="n">
        <f aca="false">G369/F369-1</f>
        <v>0.0809149689704447</v>
      </c>
      <c r="H370" s="27" t="n">
        <f aca="false">H369/G369-1</f>
        <v>0.161938676105467</v>
      </c>
      <c r="I370" s="27" t="n">
        <f aca="false">I369/H369-1</f>
        <v>0.162105226226571</v>
      </c>
    </row>
    <row r="371" customFormat="false" ht="17.15" hidden="false" customHeight="false" outlineLevel="0" collapsed="false">
      <c r="A371" s="5" t="s">
        <v>419</v>
      </c>
      <c r="B371" s="0" t="s">
        <v>130</v>
      </c>
      <c r="C371" s="23" t="n">
        <f aca="false">C367/C355</f>
        <v>0.0620585178530536</v>
      </c>
      <c r="D371" s="23" t="n">
        <f aca="false">D367/D355</f>
        <v>0.0860625</v>
      </c>
      <c r="E371" s="23" t="n">
        <f aca="false">E367/E355</f>
        <v>0.0696159296644323</v>
      </c>
      <c r="F371" s="23" t="n">
        <f aca="false">F367/F355</f>
        <v>0.0694220290384039</v>
      </c>
      <c r="G371" s="23" t="n">
        <f aca="false">G367/G355</f>
        <v>0.0692451170427934</v>
      </c>
      <c r="H371" s="30" t="n">
        <f aca="false">$G371+(fade_mA-$G371)*1/2</f>
        <v>0.0739352684132581</v>
      </c>
      <c r="I371" s="30" t="n">
        <f aca="false">$G371+(fade_mA-$G371)*2/2</f>
        <v>0.0786254197837229</v>
      </c>
    </row>
    <row r="372" customFormat="false" ht="17.15" hidden="false" customHeight="false" outlineLevel="0" collapsed="false">
      <c r="A372" s="0" t="s">
        <v>420</v>
      </c>
      <c r="B372" s="0" t="s">
        <v>74</v>
      </c>
      <c r="D372" s="20" t="n">
        <f aca="false">D348/(D341+D342)</f>
        <v>8.8622754491018</v>
      </c>
      <c r="E372" s="20" t="n">
        <f aca="false">E348/(E341+E342)</f>
        <v>11.6834319452156</v>
      </c>
      <c r="F372" s="20" t="n">
        <f aca="false">F348/(F341+F342)</f>
        <v>12.0617467870742</v>
      </c>
      <c r="G372" s="20" t="n">
        <f aca="false">G348/(G341+G342)</f>
        <v>11.4886560037218</v>
      </c>
    </row>
    <row r="375" customFormat="false" ht="17.15" hidden="false" customHeight="false" outlineLevel="0" collapsed="false">
      <c r="A375" s="3" t="s">
        <v>754</v>
      </c>
    </row>
    <row r="376" customFormat="false" ht="17.15" hidden="false" customHeight="false" outlineLevel="0" collapsed="false">
      <c r="A376" s="6" t="s">
        <v>20</v>
      </c>
      <c r="B376" s="6" t="s">
        <v>21</v>
      </c>
      <c r="C376" s="14" t="s">
        <v>284</v>
      </c>
      <c r="D376" s="14" t="s">
        <v>371</v>
      </c>
      <c r="E376" s="14" t="s">
        <v>372</v>
      </c>
      <c r="F376" s="14" t="s">
        <v>373</v>
      </c>
      <c r="G376" s="14" t="s">
        <v>374</v>
      </c>
      <c r="H376" s="14" t="s">
        <v>375</v>
      </c>
      <c r="I376" s="14" t="s">
        <v>376</v>
      </c>
      <c r="J376" s="6" t="s">
        <v>344</v>
      </c>
    </row>
    <row r="377" customFormat="false" ht="17.15" hidden="false" customHeight="false" outlineLevel="0" collapsed="false">
      <c r="A377" s="1" t="s">
        <v>394</v>
      </c>
    </row>
    <row r="378" customFormat="false" ht="17.15" hidden="false" customHeight="false" outlineLevel="0" collapsed="false">
      <c r="A378" s="0" t="s">
        <v>395</v>
      </c>
      <c r="B378" s="5" t="s">
        <v>31</v>
      </c>
      <c r="D378" s="18" t="n">
        <f aca="false">ug_26</f>
        <v>6.65</v>
      </c>
      <c r="E378" s="18" t="n">
        <f aca="false">ug_27*1</f>
        <v>2.4</v>
      </c>
      <c r="F378" s="18" t="n">
        <f aca="false">ug_28*um28_A*1</f>
        <v>0.5</v>
      </c>
      <c r="G378" s="18" t="n">
        <f aca="false">ug_29*um29_A*1</f>
        <v>0.25</v>
      </c>
    </row>
    <row r="379" customFormat="false" ht="17.15" hidden="false" customHeight="false" outlineLevel="0" collapsed="false">
      <c r="A379" s="0" t="s">
        <v>396</v>
      </c>
      <c r="B379" s="5" t="s">
        <v>31</v>
      </c>
      <c r="D379" s="18" t="n">
        <f aca="false">uv_26</f>
        <v>1.7</v>
      </c>
      <c r="E379" s="18" t="n">
        <f aca="false">uv_27*1</f>
        <v>8.8</v>
      </c>
      <c r="F379" s="18" t="n">
        <f aca="false">uv_28*um28_A*1</f>
        <v>11</v>
      </c>
      <c r="G379" s="18" t="n">
        <f aca="false">uv_29*um29_A*1</f>
        <v>12.65</v>
      </c>
    </row>
    <row r="380" customFormat="false" ht="17.15" hidden="false" customHeight="false" outlineLevel="0" collapsed="false">
      <c r="A380" s="5" t="s">
        <v>397</v>
      </c>
      <c r="B380" s="0" t="s">
        <v>107</v>
      </c>
      <c r="D380" s="22" t="n">
        <f aca="false">D378*v_gb+D379*v_vr</f>
        <v>595.4861102</v>
      </c>
      <c r="E380" s="22" t="n">
        <f aca="false">E378*v_gb+E379*v_vr</f>
        <v>1170.0000024</v>
      </c>
      <c r="F380" s="22" t="n">
        <f aca="false">F378*v_gb+F379*v_vr</f>
        <v>1313.194448</v>
      </c>
      <c r="G380" s="22" t="n">
        <f aca="false">G378*v_gb+G379*v_vr</f>
        <v>1490.76389305</v>
      </c>
      <c r="J380" s="5" t="s">
        <v>398</v>
      </c>
    </row>
    <row r="381" customFormat="false" ht="17.15" hidden="false" customHeight="false" outlineLevel="0" collapsed="false">
      <c r="A381" s="0" t="s">
        <v>399</v>
      </c>
      <c r="B381" s="0" t="s">
        <v>130</v>
      </c>
      <c r="D381" s="23" t="n">
        <f aca="false">a27_ai/D380</f>
        <v>0.124268221764478</v>
      </c>
      <c r="J381" s="8" t="s">
        <v>400</v>
      </c>
    </row>
    <row r="382" customFormat="false" ht="17.15" hidden="false" customHeight="false" outlineLevel="0" collapsed="false">
      <c r="A382" s="5" t="s">
        <v>401</v>
      </c>
      <c r="B382" s="0" t="s">
        <v>53</v>
      </c>
      <c r="D382" s="18" t="n">
        <f aca="false">1</f>
        <v>1</v>
      </c>
      <c r="E382" s="18" t="n">
        <f aca="false">rel_28</f>
        <v>0.9</v>
      </c>
      <c r="F382" s="18" t="n">
        <f aca="false">rel_29</f>
        <v>0.85</v>
      </c>
      <c r="G382" s="18" t="n">
        <f aca="false">rel_30</f>
        <v>0.8</v>
      </c>
    </row>
    <row r="383" customFormat="false" ht="17.15" hidden="false" customHeight="false" outlineLevel="0" collapsed="false">
      <c r="A383" s="5" t="s">
        <v>402</v>
      </c>
      <c r="B383" s="0" t="s">
        <v>53</v>
      </c>
      <c r="D383" s="18" t="n">
        <f aca="false">1</f>
        <v>1</v>
      </c>
      <c r="E383" s="18" t="n">
        <f aca="false">1</f>
        <v>1</v>
      </c>
      <c r="F383" s="18" t="n">
        <f aca="false">srel_A</f>
        <v>1</v>
      </c>
      <c r="G383" s="18" t="n">
        <f aca="false">srel_A</f>
        <v>1</v>
      </c>
    </row>
    <row r="384" customFormat="false" ht="17.15" hidden="false" customHeight="false" outlineLevel="0" collapsed="false">
      <c r="A384" s="0" t="s">
        <v>353</v>
      </c>
      <c r="B384" s="0" t="s">
        <v>130</v>
      </c>
      <c r="D384" s="23" t="n">
        <f aca="false">$D$381*D382*D383</f>
        <v>0.124268221764478</v>
      </c>
      <c r="E384" s="23" t="n">
        <f aca="false">$D$381*E382*E383</f>
        <v>0.11184139958803</v>
      </c>
      <c r="F384" s="23" t="n">
        <f aca="false">$D$381*F382*F383</f>
        <v>0.105627988499806</v>
      </c>
      <c r="G384" s="23" t="n">
        <f aca="false">$D$381*G382*G383</f>
        <v>0.0994145774115824</v>
      </c>
    </row>
    <row r="385" customFormat="false" ht="17.15" hidden="false" customHeight="false" outlineLevel="0" collapsed="false">
      <c r="A385" s="0" t="s">
        <v>403</v>
      </c>
      <c r="B385" s="0" t="s">
        <v>107</v>
      </c>
      <c r="C385" s="22" t="n">
        <f aca="false">a26_ai</f>
        <v>24.683</v>
      </c>
      <c r="D385" s="22" t="n">
        <f aca="false">D380*D384</f>
        <v>74</v>
      </c>
      <c r="E385" s="22" t="n">
        <f aca="false">E380*E384</f>
        <v>130.854437786415</v>
      </c>
      <c r="F385" s="22" t="n">
        <f aca="false">F380*F384</f>
        <v>138.710088051354</v>
      </c>
      <c r="G385" s="22" t="n">
        <f aca="false">G380*G384</f>
        <v>148.203662448011</v>
      </c>
    </row>
    <row r="386" customFormat="false" ht="17.15" hidden="false" customHeight="false" outlineLevel="0" collapsed="false">
      <c r="A386" s="1" t="s">
        <v>404</v>
      </c>
    </row>
    <row r="387" customFormat="false" ht="15" hidden="false" customHeight="false" outlineLevel="0" collapsed="false">
      <c r="A387" s="5" t="s">
        <v>293</v>
      </c>
      <c r="B387" s="0" t="s">
        <v>107</v>
      </c>
      <c r="C387" s="22" t="n">
        <f aca="false">a26_tr</f>
        <v>19.512</v>
      </c>
      <c r="D387" s="22" t="n">
        <f aca="false">a27_tr</f>
        <v>37.59663</v>
      </c>
      <c r="E387" s="22" t="n">
        <f aca="false">D387*(1+g_tr28)</f>
        <v>35.7167985</v>
      </c>
      <c r="F387" s="22" t="n">
        <f aca="false">E387*(1+g_tr29)</f>
        <v>36.43113447</v>
      </c>
      <c r="G387" s="22" t="n">
        <f aca="false">F387*(1+g_tr30)</f>
        <v>37.5240685041</v>
      </c>
    </row>
    <row r="388" customFormat="false" ht="15" hidden="false" customHeight="false" outlineLevel="0" collapsed="false">
      <c r="A388" s="5" t="s">
        <v>296</v>
      </c>
      <c r="B388" s="0" t="s">
        <v>107</v>
      </c>
      <c r="C388" s="22" t="n">
        <f aca="false">a26_st</f>
        <v>16.631</v>
      </c>
      <c r="D388" s="22" t="n">
        <f aca="false">a27_st</f>
        <v>19.47008</v>
      </c>
      <c r="E388" s="22" t="n">
        <f aca="false">D388*(1+g_st28)</f>
        <v>20.2488832</v>
      </c>
      <c r="F388" s="22" t="n">
        <f aca="false">E388*(1+g_st29)</f>
        <v>21.058838528</v>
      </c>
      <c r="G388" s="22" t="n">
        <f aca="false">F388*(1+g_st30)</f>
        <v>21.90119206912</v>
      </c>
    </row>
    <row r="389" customFormat="false" ht="17.15" hidden="false" customHeight="false" outlineLevel="0" collapsed="false">
      <c r="A389" s="0" t="s">
        <v>299</v>
      </c>
      <c r="B389" s="0" t="s">
        <v>107</v>
      </c>
      <c r="C389" s="22" t="n">
        <f aca="false">C385+C387+C388</f>
        <v>60.826</v>
      </c>
      <c r="D389" s="22" t="n">
        <f aca="false">D385+D387+D388</f>
        <v>131.06671</v>
      </c>
      <c r="E389" s="22" t="n">
        <f aca="false">E385+E387+E388</f>
        <v>186.820119486415</v>
      </c>
      <c r="F389" s="22" t="n">
        <f aca="false">F385+F387+F388</f>
        <v>196.200061049354</v>
      </c>
      <c r="G389" s="22" t="n">
        <f aca="false">G385+G387+G388</f>
        <v>207.628923021231</v>
      </c>
    </row>
    <row r="390" customFormat="false" ht="17.15" hidden="false" customHeight="false" outlineLevel="0" collapsed="false">
      <c r="A390" s="0" t="s">
        <v>405</v>
      </c>
      <c r="B390" s="0" t="s">
        <v>107</v>
      </c>
      <c r="C390" s="22" t="n">
        <f aca="false">a26_csg</f>
        <v>50.984</v>
      </c>
      <c r="D390" s="22" t="n">
        <f aca="false">a27_csg</f>
        <v>60.17529</v>
      </c>
      <c r="E390" s="22" t="n">
        <f aca="false">D390*(1+g_csg28)</f>
        <v>61.9805487</v>
      </c>
      <c r="F390" s="22" t="n">
        <f aca="false">E390*(1+g_csg29)</f>
        <v>63.839965161</v>
      </c>
      <c r="G390" s="22" t="n">
        <f aca="false">F390*(1+g_csg30)</f>
        <v>65.75516411583</v>
      </c>
    </row>
    <row r="391" customFormat="false" ht="17.15" hidden="false" customHeight="false" outlineLevel="0" collapsed="false">
      <c r="A391" s="5" t="s">
        <v>406</v>
      </c>
      <c r="B391" s="0" t="s">
        <v>107</v>
      </c>
      <c r="C391" s="22" t="n">
        <f aca="false">a26_oth</f>
        <v>1.72799999999999</v>
      </c>
      <c r="D391" s="22" t="n">
        <f aca="false">a27_oth</f>
        <v>0.75800000000001</v>
      </c>
      <c r="E391" s="22" t="n">
        <f aca="false">D391</f>
        <v>0.75800000000001</v>
      </c>
      <c r="F391" s="22" t="n">
        <f aca="false">E391</f>
        <v>0.75800000000001</v>
      </c>
      <c r="G391" s="22" t="n">
        <f aca="false">F391</f>
        <v>0.75800000000001</v>
      </c>
      <c r="J391" s="8" t="s">
        <v>407</v>
      </c>
    </row>
    <row r="392" customFormat="false" ht="17.15" hidden="false" customHeight="false" outlineLevel="0" collapsed="false">
      <c r="A392" s="5" t="s">
        <v>306</v>
      </c>
      <c r="B392" s="0" t="s">
        <v>107</v>
      </c>
      <c r="C392" s="22" t="n">
        <f aca="false">C389+C390+C391</f>
        <v>113.538</v>
      </c>
      <c r="D392" s="22" t="n">
        <f aca="false">D389+D390+D391</f>
        <v>192</v>
      </c>
      <c r="E392" s="22" t="n">
        <f aca="false">E389+E390+E391</f>
        <v>249.558668186415</v>
      </c>
      <c r="F392" s="22" t="n">
        <f aca="false">F389+F390+F391</f>
        <v>260.798026210354</v>
      </c>
      <c r="G392" s="22" t="n">
        <f aca="false">G389+G390+G391</f>
        <v>274.142087137061</v>
      </c>
      <c r="H392" s="26" t="n">
        <f aca="false">G392*(1+H393)</f>
        <v>289.37976309346</v>
      </c>
      <c r="I392" s="26" t="n">
        <f aca="false">H392*(1+I393)</f>
        <v>306.742548879068</v>
      </c>
      <c r="J392" s="8" t="s">
        <v>408</v>
      </c>
    </row>
    <row r="393" customFormat="false" ht="15" hidden="false" customHeight="false" outlineLevel="0" collapsed="false">
      <c r="A393" s="5" t="s">
        <v>409</v>
      </c>
      <c r="B393" s="0" t="s">
        <v>130</v>
      </c>
      <c r="D393" s="17" t="n">
        <f aca="false">D392/C392-1</f>
        <v>0.691063784812134</v>
      </c>
      <c r="E393" s="17" t="n">
        <f aca="false">E392/D392-1</f>
        <v>0.299784730137576</v>
      </c>
      <c r="F393" s="17" t="n">
        <f aca="false">F392/E392-1</f>
        <v>0.0450369370281432</v>
      </c>
      <c r="G393" s="17" t="n">
        <f aca="false">G392/F392-1</f>
        <v>0.0511662650235885</v>
      </c>
      <c r="H393" s="27" t="n">
        <f aca="false">$G393+(fade_gA-$G393)*1/2</f>
        <v>0.0555831325117942</v>
      </c>
      <c r="I393" s="27" t="n">
        <f aca="false">$G393+(fade_gA-$G393)*2/2</f>
        <v>0.06</v>
      </c>
    </row>
    <row r="394" customFormat="false" ht="17.15" hidden="false" customHeight="false" outlineLevel="0" collapsed="false">
      <c r="A394" s="0" t="s">
        <v>410</v>
      </c>
      <c r="B394" s="0" t="s">
        <v>130</v>
      </c>
      <c r="C394" s="17" t="n">
        <f aca="false">C385/C392</f>
        <v>0.217398580211031</v>
      </c>
      <c r="D394" s="17" t="n">
        <f aca="false">D385/D392</f>
        <v>0.385416666666667</v>
      </c>
      <c r="E394" s="17" t="n">
        <f aca="false">E385/E392</f>
        <v>0.524343388820577</v>
      </c>
      <c r="F394" s="17" t="n">
        <f aca="false">F385/F392</f>
        <v>0.531867859841367</v>
      </c>
      <c r="G394" s="17" t="n">
        <f aca="false">G385/G392</f>
        <v>0.540608937488372</v>
      </c>
    </row>
    <row r="395" customFormat="false" ht="17.15" hidden="false" customHeight="false" outlineLevel="0" collapsed="false">
      <c r="A395" s="1" t="s">
        <v>411</v>
      </c>
    </row>
    <row r="396" customFormat="false" ht="17.15" hidden="false" customHeight="false" outlineLevel="0" collapsed="false">
      <c r="A396" s="0" t="s">
        <v>383</v>
      </c>
      <c r="B396" s="0" t="s">
        <v>130</v>
      </c>
      <c r="C396" s="23" t="n">
        <f aca="false">(a26_isgoi-m_nai*(a26_tr+a26_st))/a26_ai</f>
        <v>0.0538070736944455</v>
      </c>
      <c r="D396" s="23" t="n">
        <f aca="false">(a27_isgoi-m_nai*(a27_tr+a27_st))/a27_ai</f>
        <v>0.110710097972973</v>
      </c>
      <c r="E396" s="23" t="n">
        <f aca="false">$D396+ai_dm</f>
        <v>0.100710097972973</v>
      </c>
      <c r="F396" s="23" t="n">
        <f aca="false">$D396+ai_dm+dm_A</f>
        <v>0.100710097972973</v>
      </c>
      <c r="G396" s="23" t="n">
        <f aca="false">$D396+ai_dm+dm_A</f>
        <v>0.100710097972973</v>
      </c>
      <c r="J396" s="8" t="s">
        <v>412</v>
      </c>
    </row>
    <row r="397" customFormat="false" ht="17.15" hidden="false" customHeight="false" outlineLevel="0" collapsed="false">
      <c r="A397" s="5" t="s">
        <v>413</v>
      </c>
      <c r="B397" s="0" t="s">
        <v>130</v>
      </c>
      <c r="C397" s="23" t="n">
        <f aca="false">m_nai</f>
        <v>0.16</v>
      </c>
      <c r="D397" s="23" t="n">
        <f aca="false">m_nai</f>
        <v>0.16</v>
      </c>
      <c r="E397" s="23" t="n">
        <f aca="false">m_naif_lo</f>
        <v>0.135</v>
      </c>
      <c r="F397" s="23" t="n">
        <f aca="false">m_naif_lo</f>
        <v>0.135</v>
      </c>
      <c r="G397" s="23" t="n">
        <f aca="false">m_naif_lo</f>
        <v>0.135</v>
      </c>
    </row>
    <row r="398" customFormat="false" ht="17.15" hidden="false" customHeight="false" outlineLevel="0" collapsed="false">
      <c r="A398" s="0" t="s">
        <v>308</v>
      </c>
      <c r="B398" s="0" t="s">
        <v>107</v>
      </c>
      <c r="C398" s="28" t="n">
        <f aca="false">a26_isgoi</f>
        <v>7.111</v>
      </c>
      <c r="D398" s="28" t="n">
        <f aca="false">a27_isgoi</f>
        <v>17.32322085</v>
      </c>
      <c r="E398" s="28" t="n">
        <f aca="false">E385*E396+(E387+E388)*E397</f>
        <v>20.7337302791681</v>
      </c>
      <c r="F398" s="28" t="n">
        <f aca="false">F385*F396+(F387+F388)*F397</f>
        <v>21.7306529122215</v>
      </c>
      <c r="G398" s="28" t="n">
        <f aca="false">G385*G396+(G387+G388)*G397</f>
        <v>22.9480155424773</v>
      </c>
    </row>
    <row r="399" customFormat="false" ht="17.15" hidden="false" customHeight="false" outlineLevel="0" collapsed="false">
      <c r="A399" s="0" t="s">
        <v>414</v>
      </c>
      <c r="B399" s="0" t="s">
        <v>130</v>
      </c>
      <c r="C399" s="23" t="n">
        <f aca="false">a26_csgoi/C390</f>
        <v>0.0555664522203044</v>
      </c>
      <c r="D399" s="23" t="n">
        <f aca="false">a27_csgoi/D390</f>
        <v>0.0764752733223222</v>
      </c>
      <c r="E399" s="23" t="n">
        <f aca="false">m_csgf</f>
        <v>0.07</v>
      </c>
      <c r="F399" s="23" t="n">
        <f aca="false">m_csgf</f>
        <v>0.07</v>
      </c>
      <c r="G399" s="23" t="n">
        <f aca="false">m_csgf</f>
        <v>0.07</v>
      </c>
    </row>
    <row r="400" customFormat="false" ht="17.15" hidden="false" customHeight="false" outlineLevel="0" collapsed="false">
      <c r="A400" s="0" t="s">
        <v>310</v>
      </c>
      <c r="B400" s="0" t="s">
        <v>107</v>
      </c>
      <c r="C400" s="28" t="n">
        <f aca="false">C390*C399</f>
        <v>2.833</v>
      </c>
      <c r="D400" s="28" t="n">
        <f aca="false">D390*D399</f>
        <v>4.60192175</v>
      </c>
      <c r="E400" s="28" t="n">
        <f aca="false">E390*E399</f>
        <v>4.338638409</v>
      </c>
      <c r="F400" s="28" t="n">
        <f aca="false">F390*F399</f>
        <v>4.46879756127</v>
      </c>
      <c r="G400" s="28" t="n">
        <f aca="false">G390*G399</f>
        <v>4.6028614881081</v>
      </c>
    </row>
    <row r="401" customFormat="false" ht="17.15" hidden="false" customHeight="false" outlineLevel="0" collapsed="false">
      <c r="A401" s="5" t="s">
        <v>415</v>
      </c>
      <c r="B401" s="0" t="s">
        <v>107</v>
      </c>
      <c r="C401" s="28" t="n">
        <f aca="false">C398+C400</f>
        <v>9.944</v>
      </c>
      <c r="D401" s="28" t="n">
        <f aca="false">D398+D400</f>
        <v>21.9251426</v>
      </c>
      <c r="E401" s="28" t="n">
        <f aca="false">E398+E400</f>
        <v>25.0723686881681</v>
      </c>
      <c r="F401" s="28" t="n">
        <f aca="false">F398+F400</f>
        <v>26.1994504734915</v>
      </c>
      <c r="G401" s="28" t="n">
        <f aca="false">G398+G400</f>
        <v>27.5508770305854</v>
      </c>
    </row>
    <row r="402" customFormat="false" ht="15" hidden="false" customHeight="false" outlineLevel="0" collapsed="false">
      <c r="A402" s="5" t="s">
        <v>384</v>
      </c>
      <c r="B402" s="0" t="s">
        <v>130</v>
      </c>
      <c r="C402" s="23" t="n">
        <f aca="false">C401/C392</f>
        <v>0.0875830118550617</v>
      </c>
      <c r="D402" s="23" t="n">
        <f aca="false">D401/D392</f>
        <v>0.114193451041667</v>
      </c>
      <c r="E402" s="23" t="n">
        <f aca="false">E401/E392</f>
        <v>0.100466831588633</v>
      </c>
      <c r="F402" s="23" t="n">
        <f aca="false">F401/F392</f>
        <v>0.100458775912513</v>
      </c>
      <c r="G402" s="23" t="n">
        <f aca="false">G401/G392</f>
        <v>0.100498530956361</v>
      </c>
    </row>
    <row r="403" customFormat="false" ht="17.15" hidden="false" customHeight="false" outlineLevel="0" collapsed="false">
      <c r="A403" s="5" t="s">
        <v>416</v>
      </c>
      <c r="B403" s="0" t="s">
        <v>130</v>
      </c>
      <c r="C403" s="17" t="n">
        <f aca="false">a26_ni/a26_oi</f>
        <v>0.708567980691875</v>
      </c>
      <c r="D403" s="17" t="n">
        <f aca="false">a27_ni/a27_oi</f>
        <v>0.753655303477935</v>
      </c>
      <c r="E403" s="17" t="n">
        <f aca="false">nio_f</f>
        <v>0.75</v>
      </c>
      <c r="F403" s="17" t="n">
        <f aca="false">nio_f</f>
        <v>0.75</v>
      </c>
      <c r="G403" s="17" t="n">
        <f aca="false">nio_f</f>
        <v>0.75</v>
      </c>
    </row>
    <row r="404" customFormat="false" ht="17.15" hidden="false" customHeight="false" outlineLevel="0" collapsed="false">
      <c r="A404" s="0" t="s">
        <v>316</v>
      </c>
      <c r="B404" s="0" t="s">
        <v>107</v>
      </c>
      <c r="C404" s="28" t="n">
        <f aca="false">a26_ni</f>
        <v>7.046</v>
      </c>
      <c r="D404" s="28" t="n">
        <f aca="false">a27_ni</f>
        <v>16.524</v>
      </c>
      <c r="E404" s="28" t="n">
        <f aca="false">E401*E403</f>
        <v>18.8042765161261</v>
      </c>
      <c r="F404" s="28" t="n">
        <f aca="false">F401*F403</f>
        <v>19.6495878551186</v>
      </c>
      <c r="G404" s="28" t="n">
        <f aca="false">G401*G403</f>
        <v>20.6631577729391</v>
      </c>
      <c r="H404" s="29" t="n">
        <f aca="false">H392*H408</f>
        <v>22.282143079841</v>
      </c>
      <c r="I404" s="29" t="n">
        <f aca="false">I392*I408</f>
        <v>24.1177616711458</v>
      </c>
    </row>
    <row r="405" customFormat="false" ht="15" hidden="false" customHeight="false" outlineLevel="0" collapsed="false">
      <c r="A405" s="5" t="s">
        <v>417</v>
      </c>
      <c r="B405" s="5" t="s">
        <v>143</v>
      </c>
      <c r="C405" s="32" t="n">
        <f aca="false">a26_sh</f>
        <v>0.684077669902913</v>
      </c>
      <c r="D405" s="32" t="n">
        <f aca="false">a27_sh</f>
        <v>0.648</v>
      </c>
      <c r="E405" s="32" t="n">
        <f aca="false">D405*(1+sh_g)</f>
        <v>0.62856</v>
      </c>
      <c r="F405" s="32" t="n">
        <f aca="false">E405*(1+sh_g)</f>
        <v>0.6097032</v>
      </c>
      <c r="G405" s="32" t="n">
        <f aca="false">F405*(1+sh_g)</f>
        <v>0.591412104</v>
      </c>
      <c r="H405" s="33" t="n">
        <f aca="false">G405*(1+sh_g)</f>
        <v>0.57366974088</v>
      </c>
      <c r="I405" s="33" t="n">
        <f aca="false">H405*(1+sh_g)</f>
        <v>0.5564596486536</v>
      </c>
    </row>
    <row r="406" customFormat="false" ht="15" hidden="false" customHeight="false" outlineLevel="0" collapsed="false">
      <c r="A406" s="0" t="s">
        <v>324</v>
      </c>
      <c r="B406" s="0" t="s">
        <v>117</v>
      </c>
      <c r="C406" s="28" t="n">
        <f aca="false">C404/C405</f>
        <v>10.3</v>
      </c>
      <c r="D406" s="28" t="n">
        <f aca="false">D404/D405</f>
        <v>25.5</v>
      </c>
      <c r="E406" s="28" t="n">
        <f aca="false">E404/E405</f>
        <v>29.9164383927168</v>
      </c>
      <c r="F406" s="28" t="n">
        <f aca="false">F404/F405</f>
        <v>32.2281199362553</v>
      </c>
      <c r="G406" s="28" t="n">
        <f aca="false">G404/G405</f>
        <v>34.9386791937202</v>
      </c>
      <c r="H406" s="31" t="n">
        <f aca="false">H404/H405</f>
        <v>38.8414125619744</v>
      </c>
      <c r="I406" s="31" t="n">
        <f aca="false">I404/I405</f>
        <v>43.3414385562381</v>
      </c>
    </row>
    <row r="407" customFormat="false" ht="17.15" hidden="false" customHeight="false" outlineLevel="0" collapsed="false">
      <c r="A407" s="0" t="s">
        <v>418</v>
      </c>
      <c r="B407" s="0" t="s">
        <v>130</v>
      </c>
      <c r="D407" s="17" t="n">
        <f aca="false">D406/C406-1</f>
        <v>1.47572815533981</v>
      </c>
      <c r="E407" s="17" t="n">
        <f aca="false">E406/D406-1</f>
        <v>0.173193662459484</v>
      </c>
      <c r="F407" s="17" t="n">
        <f aca="false">F406/E406-1</f>
        <v>0.077271281868273</v>
      </c>
      <c r="G407" s="17" t="n">
        <f aca="false">G406/F406-1</f>
        <v>0.084105410518087</v>
      </c>
      <c r="H407" s="27" t="n">
        <f aca="false">H406/G406-1</f>
        <v>0.111702372794781</v>
      </c>
      <c r="I407" s="27" t="n">
        <f aca="false">I406/H406-1</f>
        <v>0.115856393921915</v>
      </c>
    </row>
    <row r="408" customFormat="false" ht="17.15" hidden="false" customHeight="false" outlineLevel="0" collapsed="false">
      <c r="A408" s="5" t="s">
        <v>419</v>
      </c>
      <c r="B408" s="0" t="s">
        <v>130</v>
      </c>
      <c r="C408" s="23" t="n">
        <f aca="false">C404/C392</f>
        <v>0.0620585178530536</v>
      </c>
      <c r="D408" s="23" t="n">
        <f aca="false">D404/D392</f>
        <v>0.0860625</v>
      </c>
      <c r="E408" s="23" t="n">
        <f aca="false">E404/E392</f>
        <v>0.0753501236914749</v>
      </c>
      <c r="F408" s="23" t="n">
        <f aca="false">F404/F392</f>
        <v>0.0753440819343845</v>
      </c>
      <c r="G408" s="23" t="n">
        <f aca="false">G404/G392</f>
        <v>0.0753738982172709</v>
      </c>
      <c r="H408" s="30" t="n">
        <f aca="false">$G408+(fade_mA-$G408)*1/2</f>
        <v>0.0769996590004969</v>
      </c>
      <c r="I408" s="30" t="n">
        <f aca="false">$G408+(fade_mA-$G408)*2/2</f>
        <v>0.0786254197837229</v>
      </c>
    </row>
    <row r="409" customFormat="false" ht="17.15" hidden="false" customHeight="false" outlineLevel="0" collapsed="false">
      <c r="A409" s="0" t="s">
        <v>420</v>
      </c>
      <c r="B409" s="0" t="s">
        <v>74</v>
      </c>
      <c r="D409" s="20" t="n">
        <f aca="false">D385/(D378+D379)</f>
        <v>8.8622754491018</v>
      </c>
      <c r="E409" s="20" t="n">
        <f aca="false">E385/(E378+E379)</f>
        <v>11.6834319452156</v>
      </c>
      <c r="F409" s="20" t="n">
        <f aca="false">F385/(F378+F379)</f>
        <v>12.0617467870742</v>
      </c>
      <c r="G409" s="20" t="n">
        <f aca="false">G385/(G378+G379)</f>
        <v>11.4886560037218</v>
      </c>
    </row>
    <row r="412" customFormat="false" ht="17.15" hidden="false" customHeight="false" outlineLevel="0" collapsed="false">
      <c r="A412" s="3" t="s">
        <v>755</v>
      </c>
    </row>
    <row r="413" customFormat="false" ht="17.15" hidden="false" customHeight="false" outlineLevel="0" collapsed="false">
      <c r="A413" s="6" t="s">
        <v>20</v>
      </c>
      <c r="B413" s="6" t="s">
        <v>21</v>
      </c>
      <c r="C413" s="14" t="s">
        <v>284</v>
      </c>
      <c r="D413" s="14" t="s">
        <v>371</v>
      </c>
      <c r="E413" s="14" t="s">
        <v>372</v>
      </c>
      <c r="F413" s="14" t="s">
        <v>373</v>
      </c>
      <c r="G413" s="14" t="s">
        <v>374</v>
      </c>
      <c r="H413" s="14" t="s">
        <v>375</v>
      </c>
      <c r="I413" s="14" t="s">
        <v>376</v>
      </c>
      <c r="J413" s="6" t="s">
        <v>344</v>
      </c>
    </row>
    <row r="414" customFormat="false" ht="17.15" hidden="false" customHeight="false" outlineLevel="0" collapsed="false">
      <c r="A414" s="1" t="s">
        <v>394</v>
      </c>
    </row>
    <row r="415" customFormat="false" ht="17.15" hidden="false" customHeight="false" outlineLevel="0" collapsed="false">
      <c r="A415" s="0" t="s">
        <v>395</v>
      </c>
      <c r="B415" s="5" t="s">
        <v>31</v>
      </c>
      <c r="D415" s="18" t="n">
        <f aca="false">ug_26</f>
        <v>6.65</v>
      </c>
      <c r="E415" s="18" t="n">
        <f aca="false">ug_27*1</f>
        <v>2.4</v>
      </c>
      <c r="F415" s="18" t="n">
        <f aca="false">ug_28*um28_A*1</f>
        <v>0.5</v>
      </c>
      <c r="G415" s="18" t="n">
        <f aca="false">ug_29*um29_A*1</f>
        <v>0.25</v>
      </c>
    </row>
    <row r="416" customFormat="false" ht="17.15" hidden="false" customHeight="false" outlineLevel="0" collapsed="false">
      <c r="A416" s="0" t="s">
        <v>396</v>
      </c>
      <c r="B416" s="5" t="s">
        <v>31</v>
      </c>
      <c r="D416" s="18" t="n">
        <f aca="false">uv_26</f>
        <v>1.7</v>
      </c>
      <c r="E416" s="18" t="n">
        <f aca="false">uv_27*1</f>
        <v>8.8</v>
      </c>
      <c r="F416" s="18" t="n">
        <f aca="false">uv_28*um28_A*1</f>
        <v>11</v>
      </c>
      <c r="G416" s="18" t="n">
        <f aca="false">uv_29*um29_A*1</f>
        <v>12.65</v>
      </c>
    </row>
    <row r="417" customFormat="false" ht="17.15" hidden="false" customHeight="false" outlineLevel="0" collapsed="false">
      <c r="A417" s="5" t="s">
        <v>397</v>
      </c>
      <c r="B417" s="0" t="s">
        <v>107</v>
      </c>
      <c r="D417" s="22" t="n">
        <f aca="false">D415*v_gb+D416*v_vr</f>
        <v>595.4861102</v>
      </c>
      <c r="E417" s="22" t="n">
        <f aca="false">E415*v_gb+E416*v_vr</f>
        <v>1170.0000024</v>
      </c>
      <c r="F417" s="22" t="n">
        <f aca="false">F415*v_gb+F416*v_vr</f>
        <v>1313.194448</v>
      </c>
      <c r="G417" s="22" t="n">
        <f aca="false">G415*v_gb+G416*v_vr</f>
        <v>1490.76389305</v>
      </c>
      <c r="J417" s="5" t="s">
        <v>398</v>
      </c>
    </row>
    <row r="418" customFormat="false" ht="17.15" hidden="false" customHeight="false" outlineLevel="0" collapsed="false">
      <c r="A418" s="0" t="s">
        <v>399</v>
      </c>
      <c r="B418" s="0" t="s">
        <v>130</v>
      </c>
      <c r="D418" s="23" t="n">
        <f aca="false">a27_ai/D417</f>
        <v>0.124268221764478</v>
      </c>
      <c r="J418" s="8" t="s">
        <v>400</v>
      </c>
    </row>
    <row r="419" customFormat="false" ht="17.15" hidden="false" customHeight="false" outlineLevel="0" collapsed="false">
      <c r="A419" s="5" t="s">
        <v>401</v>
      </c>
      <c r="B419" s="0" t="s">
        <v>53</v>
      </c>
      <c r="D419" s="18" t="n">
        <f aca="false">1</f>
        <v>1</v>
      </c>
      <c r="E419" s="18" t="n">
        <f aca="false">rel_28</f>
        <v>0.9</v>
      </c>
      <c r="F419" s="18" t="n">
        <f aca="false">rel_29</f>
        <v>0.85</v>
      </c>
      <c r="G419" s="18" t="n">
        <f aca="false">rel_30</f>
        <v>0.8</v>
      </c>
    </row>
    <row r="420" customFormat="false" ht="17.15" hidden="false" customHeight="false" outlineLevel="0" collapsed="false">
      <c r="A420" s="5" t="s">
        <v>402</v>
      </c>
      <c r="B420" s="0" t="s">
        <v>53</v>
      </c>
      <c r="D420" s="18" t="n">
        <f aca="false">1</f>
        <v>1</v>
      </c>
      <c r="E420" s="18" t="n">
        <f aca="false">1</f>
        <v>1</v>
      </c>
      <c r="F420" s="18" t="n">
        <f aca="false">srel_A</f>
        <v>1</v>
      </c>
      <c r="G420" s="18" t="n">
        <f aca="false">srel_A</f>
        <v>1</v>
      </c>
    </row>
    <row r="421" customFormat="false" ht="17.15" hidden="false" customHeight="false" outlineLevel="0" collapsed="false">
      <c r="A421" s="0" t="s">
        <v>353</v>
      </c>
      <c r="B421" s="0" t="s">
        <v>130</v>
      </c>
      <c r="D421" s="23" t="n">
        <f aca="false">$D$418*D419*D420</f>
        <v>0.124268221764478</v>
      </c>
      <c r="E421" s="23" t="n">
        <f aca="false">$D$418*E419*E420</f>
        <v>0.11184139958803</v>
      </c>
      <c r="F421" s="23" t="n">
        <f aca="false">$D$418*F419*F420</f>
        <v>0.105627988499806</v>
      </c>
      <c r="G421" s="23" t="n">
        <f aca="false">$D$418*G419*G420</f>
        <v>0.0994145774115824</v>
      </c>
    </row>
    <row r="422" customFormat="false" ht="17.15" hidden="false" customHeight="false" outlineLevel="0" collapsed="false">
      <c r="A422" s="0" t="s">
        <v>403</v>
      </c>
      <c r="B422" s="0" t="s">
        <v>107</v>
      </c>
      <c r="C422" s="22" t="n">
        <f aca="false">a26_ai</f>
        <v>24.683</v>
      </c>
      <c r="D422" s="22" t="n">
        <f aca="false">D417*D421</f>
        <v>74</v>
      </c>
      <c r="E422" s="22" t="n">
        <f aca="false">E417*E421</f>
        <v>130.854437786415</v>
      </c>
      <c r="F422" s="22" t="n">
        <f aca="false">F417*F421</f>
        <v>138.710088051354</v>
      </c>
      <c r="G422" s="22" t="n">
        <f aca="false">G417*G421</f>
        <v>148.203662448011</v>
      </c>
    </row>
    <row r="423" customFormat="false" ht="17.15" hidden="false" customHeight="false" outlineLevel="0" collapsed="false">
      <c r="A423" s="1" t="s">
        <v>404</v>
      </c>
    </row>
    <row r="424" customFormat="false" ht="15" hidden="false" customHeight="false" outlineLevel="0" collapsed="false">
      <c r="A424" s="5" t="s">
        <v>293</v>
      </c>
      <c r="B424" s="0" t="s">
        <v>107</v>
      </c>
      <c r="C424" s="22" t="n">
        <f aca="false">a26_tr</f>
        <v>19.512</v>
      </c>
      <c r="D424" s="22" t="n">
        <f aca="false">a27_tr</f>
        <v>37.59663</v>
      </c>
      <c r="E424" s="22" t="n">
        <f aca="false">D424*(1+g_tr28)</f>
        <v>35.7167985</v>
      </c>
      <c r="F424" s="22" t="n">
        <f aca="false">E424*(1+g_tr29)</f>
        <v>36.43113447</v>
      </c>
      <c r="G424" s="22" t="n">
        <f aca="false">F424*(1+g_tr30)</f>
        <v>37.5240685041</v>
      </c>
    </row>
    <row r="425" customFormat="false" ht="15" hidden="false" customHeight="false" outlineLevel="0" collapsed="false">
      <c r="A425" s="5" t="s">
        <v>296</v>
      </c>
      <c r="B425" s="0" t="s">
        <v>107</v>
      </c>
      <c r="C425" s="22" t="n">
        <f aca="false">a26_st</f>
        <v>16.631</v>
      </c>
      <c r="D425" s="22" t="n">
        <f aca="false">a27_st</f>
        <v>19.47008</v>
      </c>
      <c r="E425" s="22" t="n">
        <f aca="false">D425*(1+g_st28)</f>
        <v>20.2488832</v>
      </c>
      <c r="F425" s="22" t="n">
        <f aca="false">E425*(1+g_st29)</f>
        <v>21.058838528</v>
      </c>
      <c r="G425" s="22" t="n">
        <f aca="false">F425*(1+g_st30)</f>
        <v>21.90119206912</v>
      </c>
    </row>
    <row r="426" customFormat="false" ht="17.15" hidden="false" customHeight="false" outlineLevel="0" collapsed="false">
      <c r="A426" s="0" t="s">
        <v>299</v>
      </c>
      <c r="B426" s="0" t="s">
        <v>107</v>
      </c>
      <c r="C426" s="22" t="n">
        <f aca="false">C422+C424+C425</f>
        <v>60.826</v>
      </c>
      <c r="D426" s="22" t="n">
        <f aca="false">D422+D424+D425</f>
        <v>131.06671</v>
      </c>
      <c r="E426" s="22" t="n">
        <f aca="false">E422+E424+E425</f>
        <v>186.820119486415</v>
      </c>
      <c r="F426" s="22" t="n">
        <f aca="false">F422+F424+F425</f>
        <v>196.200061049354</v>
      </c>
      <c r="G426" s="22" t="n">
        <f aca="false">G422+G424+G425</f>
        <v>207.628923021231</v>
      </c>
    </row>
    <row r="427" customFormat="false" ht="17.15" hidden="false" customHeight="false" outlineLevel="0" collapsed="false">
      <c r="A427" s="0" t="s">
        <v>405</v>
      </c>
      <c r="B427" s="0" t="s">
        <v>107</v>
      </c>
      <c r="C427" s="22" t="n">
        <f aca="false">a26_csg</f>
        <v>50.984</v>
      </c>
      <c r="D427" s="22" t="n">
        <f aca="false">a27_csg</f>
        <v>60.17529</v>
      </c>
      <c r="E427" s="22" t="n">
        <f aca="false">D427*(1+g_csg28)</f>
        <v>61.9805487</v>
      </c>
      <c r="F427" s="22" t="n">
        <f aca="false">E427*(1+g_csg29)</f>
        <v>63.839965161</v>
      </c>
      <c r="G427" s="22" t="n">
        <f aca="false">F427*(1+g_csg30)</f>
        <v>65.75516411583</v>
      </c>
    </row>
    <row r="428" customFormat="false" ht="17.15" hidden="false" customHeight="false" outlineLevel="0" collapsed="false">
      <c r="A428" s="5" t="s">
        <v>406</v>
      </c>
      <c r="B428" s="0" t="s">
        <v>107</v>
      </c>
      <c r="C428" s="22" t="n">
        <f aca="false">a26_oth</f>
        <v>1.72799999999999</v>
      </c>
      <c r="D428" s="22" t="n">
        <f aca="false">a27_oth</f>
        <v>0.75800000000001</v>
      </c>
      <c r="E428" s="22" t="n">
        <f aca="false">D428</f>
        <v>0.75800000000001</v>
      </c>
      <c r="F428" s="22" t="n">
        <f aca="false">E428</f>
        <v>0.75800000000001</v>
      </c>
      <c r="G428" s="22" t="n">
        <f aca="false">F428</f>
        <v>0.75800000000001</v>
      </c>
      <c r="J428" s="8" t="s">
        <v>407</v>
      </c>
    </row>
    <row r="429" customFormat="false" ht="17.15" hidden="false" customHeight="false" outlineLevel="0" collapsed="false">
      <c r="A429" s="5" t="s">
        <v>306</v>
      </c>
      <c r="B429" s="0" t="s">
        <v>107</v>
      </c>
      <c r="C429" s="22" t="n">
        <f aca="false">C426+C427+C428</f>
        <v>113.538</v>
      </c>
      <c r="D429" s="22" t="n">
        <f aca="false">D426+D427+D428</f>
        <v>192</v>
      </c>
      <c r="E429" s="22" t="n">
        <f aca="false">E426+E427+E428</f>
        <v>249.558668186415</v>
      </c>
      <c r="F429" s="22" t="n">
        <f aca="false">F426+F427+F428</f>
        <v>260.798026210354</v>
      </c>
      <c r="G429" s="22" t="n">
        <f aca="false">G426+G427+G428</f>
        <v>274.142087137061</v>
      </c>
      <c r="H429" s="26" t="n">
        <f aca="false">G429*(1+H430)</f>
        <v>289.37976309346</v>
      </c>
      <c r="I429" s="26" t="n">
        <f aca="false">H429*(1+I430)</f>
        <v>306.742548879068</v>
      </c>
      <c r="J429" s="8" t="s">
        <v>408</v>
      </c>
    </row>
    <row r="430" customFormat="false" ht="15" hidden="false" customHeight="false" outlineLevel="0" collapsed="false">
      <c r="A430" s="5" t="s">
        <v>409</v>
      </c>
      <c r="B430" s="0" t="s">
        <v>130</v>
      </c>
      <c r="D430" s="17" t="n">
        <f aca="false">D429/C429-1</f>
        <v>0.691063784812134</v>
      </c>
      <c r="E430" s="17" t="n">
        <f aca="false">E429/D429-1</f>
        <v>0.299784730137576</v>
      </c>
      <c r="F430" s="17" t="n">
        <f aca="false">F429/E429-1</f>
        <v>0.0450369370281432</v>
      </c>
      <c r="G430" s="17" t="n">
        <f aca="false">G429/F429-1</f>
        <v>0.0511662650235885</v>
      </c>
      <c r="H430" s="27" t="n">
        <f aca="false">$G430+(fade_gA-$G430)*1/2</f>
        <v>0.0555831325117942</v>
      </c>
      <c r="I430" s="27" t="n">
        <f aca="false">$G430+(fade_gA-$G430)*2/2</f>
        <v>0.06</v>
      </c>
    </row>
    <row r="431" customFormat="false" ht="17.15" hidden="false" customHeight="false" outlineLevel="0" collapsed="false">
      <c r="A431" s="0" t="s">
        <v>410</v>
      </c>
      <c r="B431" s="0" t="s">
        <v>130</v>
      </c>
      <c r="C431" s="17" t="n">
        <f aca="false">C422/C429</f>
        <v>0.217398580211031</v>
      </c>
      <c r="D431" s="17" t="n">
        <f aca="false">D422/D429</f>
        <v>0.385416666666667</v>
      </c>
      <c r="E431" s="17" t="n">
        <f aca="false">E422/E429</f>
        <v>0.524343388820577</v>
      </c>
      <c r="F431" s="17" t="n">
        <f aca="false">F422/F429</f>
        <v>0.531867859841367</v>
      </c>
      <c r="G431" s="17" t="n">
        <f aca="false">G422/G429</f>
        <v>0.540608937488372</v>
      </c>
    </row>
    <row r="432" customFormat="false" ht="17.15" hidden="false" customHeight="false" outlineLevel="0" collapsed="false">
      <c r="A432" s="1" t="s">
        <v>411</v>
      </c>
    </row>
    <row r="433" customFormat="false" ht="17.15" hidden="false" customHeight="false" outlineLevel="0" collapsed="false">
      <c r="A433" s="0" t="s">
        <v>383</v>
      </c>
      <c r="B433" s="0" t="s">
        <v>130</v>
      </c>
      <c r="C433" s="23" t="n">
        <f aca="false">(a26_isgoi-m_nai*(a26_tr+a26_st))/a26_ai</f>
        <v>0.0538070736944455</v>
      </c>
      <c r="D433" s="23" t="n">
        <f aca="false">(a27_isgoi-m_nai*(a27_tr+a27_st))/a27_ai</f>
        <v>0.110710097972973</v>
      </c>
      <c r="E433" s="23" t="n">
        <f aca="false">$D433+ai_dm</f>
        <v>0.100710097972973</v>
      </c>
      <c r="F433" s="23" t="n">
        <f aca="false">$D433+ai_dm+dm_A</f>
        <v>0.100710097972973</v>
      </c>
      <c r="G433" s="23" t="n">
        <f aca="false">$D433+ai_dm+dm_A</f>
        <v>0.100710097972973</v>
      </c>
      <c r="J433" s="8" t="s">
        <v>412</v>
      </c>
    </row>
    <row r="434" customFormat="false" ht="17.15" hidden="false" customHeight="false" outlineLevel="0" collapsed="false">
      <c r="A434" s="5" t="s">
        <v>413</v>
      </c>
      <c r="B434" s="0" t="s">
        <v>130</v>
      </c>
      <c r="C434" s="23" t="n">
        <f aca="false">m_nai</f>
        <v>0.16</v>
      </c>
      <c r="D434" s="23" t="n">
        <f aca="false">m_nai</f>
        <v>0.16</v>
      </c>
      <c r="E434" s="23" t="n">
        <f aca="false">m_naif_hi</f>
        <v>0.175</v>
      </c>
      <c r="F434" s="23" t="n">
        <f aca="false">m_naif_hi</f>
        <v>0.175</v>
      </c>
      <c r="G434" s="23" t="n">
        <f aca="false">m_naif_hi</f>
        <v>0.175</v>
      </c>
    </row>
    <row r="435" customFormat="false" ht="17.15" hidden="false" customHeight="false" outlineLevel="0" collapsed="false">
      <c r="A435" s="0" t="s">
        <v>308</v>
      </c>
      <c r="B435" s="0" t="s">
        <v>107</v>
      </c>
      <c r="C435" s="28" t="n">
        <f aca="false">a26_isgoi</f>
        <v>7.111</v>
      </c>
      <c r="D435" s="28" t="n">
        <f aca="false">a27_isgoi</f>
        <v>17.32322085</v>
      </c>
      <c r="E435" s="28" t="n">
        <f aca="false">E422*E433+(E424+E425)*E434</f>
        <v>22.9723575471681</v>
      </c>
      <c r="F435" s="28" t="n">
        <f aca="false">F422*F433+(F424+F425)*F434</f>
        <v>24.0302518321415</v>
      </c>
      <c r="G435" s="28" t="n">
        <f aca="false">G422*G433+(G424+G425)*G434</f>
        <v>25.3250259654061</v>
      </c>
    </row>
    <row r="436" customFormat="false" ht="17.15" hidden="false" customHeight="false" outlineLevel="0" collapsed="false">
      <c r="A436" s="0" t="s">
        <v>414</v>
      </c>
      <c r="B436" s="0" t="s">
        <v>130</v>
      </c>
      <c r="C436" s="23" t="n">
        <f aca="false">a26_csgoi/C427</f>
        <v>0.0555664522203044</v>
      </c>
      <c r="D436" s="23" t="n">
        <f aca="false">a27_csgoi/D427</f>
        <v>0.0764752733223222</v>
      </c>
      <c r="E436" s="23" t="n">
        <f aca="false">m_csgf</f>
        <v>0.07</v>
      </c>
      <c r="F436" s="23" t="n">
        <f aca="false">m_csgf</f>
        <v>0.07</v>
      </c>
      <c r="G436" s="23" t="n">
        <f aca="false">m_csgf</f>
        <v>0.07</v>
      </c>
    </row>
    <row r="437" customFormat="false" ht="17.15" hidden="false" customHeight="false" outlineLevel="0" collapsed="false">
      <c r="A437" s="0" t="s">
        <v>310</v>
      </c>
      <c r="B437" s="0" t="s">
        <v>107</v>
      </c>
      <c r="C437" s="28" t="n">
        <f aca="false">C427*C436</f>
        <v>2.833</v>
      </c>
      <c r="D437" s="28" t="n">
        <f aca="false">D427*D436</f>
        <v>4.60192175</v>
      </c>
      <c r="E437" s="28" t="n">
        <f aca="false">E427*E436</f>
        <v>4.338638409</v>
      </c>
      <c r="F437" s="28" t="n">
        <f aca="false">F427*F436</f>
        <v>4.46879756127</v>
      </c>
      <c r="G437" s="28" t="n">
        <f aca="false">G427*G436</f>
        <v>4.6028614881081</v>
      </c>
    </row>
    <row r="438" customFormat="false" ht="17.15" hidden="false" customHeight="false" outlineLevel="0" collapsed="false">
      <c r="A438" s="5" t="s">
        <v>415</v>
      </c>
      <c r="B438" s="0" t="s">
        <v>107</v>
      </c>
      <c r="C438" s="28" t="n">
        <f aca="false">C435+C437</f>
        <v>9.944</v>
      </c>
      <c r="D438" s="28" t="n">
        <f aca="false">D435+D437</f>
        <v>21.9251426</v>
      </c>
      <c r="E438" s="28" t="n">
        <f aca="false">E435+E437</f>
        <v>27.3109959561681</v>
      </c>
      <c r="F438" s="28" t="n">
        <f aca="false">F435+F437</f>
        <v>28.4990493934115</v>
      </c>
      <c r="G438" s="28" t="n">
        <f aca="false">G435+G437</f>
        <v>29.9278874535142</v>
      </c>
    </row>
    <row r="439" customFormat="false" ht="15" hidden="false" customHeight="false" outlineLevel="0" collapsed="false">
      <c r="A439" s="5" t="s">
        <v>384</v>
      </c>
      <c r="B439" s="0" t="s">
        <v>130</v>
      </c>
      <c r="C439" s="23" t="n">
        <f aca="false">C438/C429</f>
        <v>0.0875830118550617</v>
      </c>
      <c r="D439" s="23" t="n">
        <f aca="false">D438/D429</f>
        <v>0.114193451041667</v>
      </c>
      <c r="E439" s="23" t="n">
        <f aca="false">E438/E429</f>
        <v>0.109437176254553</v>
      </c>
      <c r="F439" s="23" t="n">
        <f aca="false">F438/F429</f>
        <v>0.109276323166744</v>
      </c>
      <c r="G439" s="23" t="n">
        <f aca="false">G438/G429</f>
        <v>0.109169255133566</v>
      </c>
    </row>
    <row r="440" customFormat="false" ht="17.15" hidden="false" customHeight="false" outlineLevel="0" collapsed="false">
      <c r="A440" s="5" t="s">
        <v>416</v>
      </c>
      <c r="B440" s="0" t="s">
        <v>130</v>
      </c>
      <c r="C440" s="17" t="n">
        <f aca="false">a26_ni/a26_oi</f>
        <v>0.708567980691875</v>
      </c>
      <c r="D440" s="17" t="n">
        <f aca="false">a27_ni/a27_oi</f>
        <v>0.753655303477935</v>
      </c>
      <c r="E440" s="17" t="n">
        <f aca="false">nio_f</f>
        <v>0.75</v>
      </c>
      <c r="F440" s="17" t="n">
        <f aca="false">nio_f</f>
        <v>0.75</v>
      </c>
      <c r="G440" s="17" t="n">
        <f aca="false">nio_f</f>
        <v>0.75</v>
      </c>
    </row>
    <row r="441" customFormat="false" ht="17.15" hidden="false" customHeight="false" outlineLevel="0" collapsed="false">
      <c r="A441" s="0" t="s">
        <v>316</v>
      </c>
      <c r="B441" s="0" t="s">
        <v>107</v>
      </c>
      <c r="C441" s="28" t="n">
        <f aca="false">a26_ni</f>
        <v>7.046</v>
      </c>
      <c r="D441" s="28" t="n">
        <f aca="false">a27_ni</f>
        <v>16.524</v>
      </c>
      <c r="E441" s="28" t="n">
        <f aca="false">E438*E440</f>
        <v>20.4832469671261</v>
      </c>
      <c r="F441" s="28" t="n">
        <f aca="false">F438*F440</f>
        <v>21.3742870450586</v>
      </c>
      <c r="G441" s="28" t="n">
        <f aca="false">G438*G440</f>
        <v>22.4459155901357</v>
      </c>
      <c r="H441" s="29" t="n">
        <f aca="false">H429*H445</f>
        <v>23.2230676204342</v>
      </c>
      <c r="I441" s="29" t="n">
        <f aca="false">I429*I445</f>
        <v>24.1177616711458</v>
      </c>
    </row>
    <row r="442" customFormat="false" ht="15" hidden="false" customHeight="false" outlineLevel="0" collapsed="false">
      <c r="A442" s="5" t="s">
        <v>417</v>
      </c>
      <c r="B442" s="5" t="s">
        <v>143</v>
      </c>
      <c r="C442" s="32" t="n">
        <f aca="false">a26_sh</f>
        <v>0.684077669902913</v>
      </c>
      <c r="D442" s="32" t="n">
        <f aca="false">a27_sh</f>
        <v>0.648</v>
      </c>
      <c r="E442" s="32" t="n">
        <f aca="false">D442*(1+sh_g)</f>
        <v>0.62856</v>
      </c>
      <c r="F442" s="32" t="n">
        <f aca="false">E442*(1+sh_g)</f>
        <v>0.6097032</v>
      </c>
      <c r="G442" s="32" t="n">
        <f aca="false">F442*(1+sh_g)</f>
        <v>0.591412104</v>
      </c>
      <c r="H442" s="33" t="n">
        <f aca="false">G442*(1+sh_g)</f>
        <v>0.57366974088</v>
      </c>
      <c r="I442" s="33" t="n">
        <f aca="false">H442*(1+sh_g)</f>
        <v>0.5564596486536</v>
      </c>
    </row>
    <row r="443" customFormat="false" ht="15" hidden="false" customHeight="false" outlineLevel="0" collapsed="false">
      <c r="A443" s="0" t="s">
        <v>324</v>
      </c>
      <c r="B443" s="0" t="s">
        <v>117</v>
      </c>
      <c r="C443" s="28" t="n">
        <f aca="false">C441/C442</f>
        <v>10.3</v>
      </c>
      <c r="D443" s="28" t="n">
        <f aca="false">D441/D442</f>
        <v>25.5</v>
      </c>
      <c r="E443" s="28" t="n">
        <f aca="false">E441/E442</f>
        <v>32.5875763127245</v>
      </c>
      <c r="F443" s="28" t="n">
        <f aca="false">F441/F442</f>
        <v>35.0568720076566</v>
      </c>
      <c r="G443" s="28" t="n">
        <f aca="false">G441/G442</f>
        <v>37.9530879370296</v>
      </c>
      <c r="H443" s="31" t="n">
        <f aca="false">H441/H442</f>
        <v>40.4815976258576</v>
      </c>
      <c r="I443" s="31" t="n">
        <f aca="false">I441/I442</f>
        <v>43.3414385562381</v>
      </c>
    </row>
    <row r="444" customFormat="false" ht="17.15" hidden="false" customHeight="false" outlineLevel="0" collapsed="false">
      <c r="A444" s="0" t="s">
        <v>418</v>
      </c>
      <c r="B444" s="0" t="s">
        <v>130</v>
      </c>
      <c r="D444" s="17" t="n">
        <f aca="false">D443/C443-1</f>
        <v>1.47572815533981</v>
      </c>
      <c r="E444" s="17" t="n">
        <f aca="false">E443/D443-1</f>
        <v>0.27794416912645</v>
      </c>
      <c r="F444" s="17" t="n">
        <f aca="false">F443/E443-1</f>
        <v>0.0757741438404527</v>
      </c>
      <c r="G444" s="17" t="n">
        <f aca="false">G443/F443-1</f>
        <v>0.0826147845917467</v>
      </c>
      <c r="H444" s="27" t="n">
        <f aca="false">H443/G443-1</f>
        <v>0.0666219753455442</v>
      </c>
      <c r="I444" s="27" t="n">
        <f aca="false">I443/H443-1</f>
        <v>0.0706454561604002</v>
      </c>
    </row>
    <row r="445" customFormat="false" ht="17.15" hidden="false" customHeight="false" outlineLevel="0" collapsed="false">
      <c r="A445" s="5" t="s">
        <v>419</v>
      </c>
      <c r="B445" s="0" t="s">
        <v>130</v>
      </c>
      <c r="C445" s="23" t="n">
        <f aca="false">C441/C429</f>
        <v>0.0620585178530536</v>
      </c>
      <c r="D445" s="23" t="n">
        <f aca="false">D441/D429</f>
        <v>0.0860625</v>
      </c>
      <c r="E445" s="23" t="n">
        <f aca="false">E441/E429</f>
        <v>0.0820778821909146</v>
      </c>
      <c r="F445" s="23" t="n">
        <f aca="false">F441/F429</f>
        <v>0.0819572423750579</v>
      </c>
      <c r="G445" s="23" t="n">
        <f aca="false">G441/G429</f>
        <v>0.0818769413501748</v>
      </c>
      <c r="H445" s="30" t="n">
        <f aca="false">$G445+(fade_mA-$G445)*1/2</f>
        <v>0.0802511805669488</v>
      </c>
      <c r="I445" s="30" t="n">
        <f aca="false">$G445+(fade_mA-$G445)*2/2</f>
        <v>0.0786254197837229</v>
      </c>
    </row>
    <row r="446" customFormat="false" ht="17.15" hidden="false" customHeight="false" outlineLevel="0" collapsed="false">
      <c r="A446" s="0" t="s">
        <v>420</v>
      </c>
      <c r="B446" s="0" t="s">
        <v>74</v>
      </c>
      <c r="D446" s="20" t="n">
        <f aca="false">D422/(D415+D416)</f>
        <v>8.8622754491018</v>
      </c>
      <c r="E446" s="20" t="n">
        <f aca="false">E422/(E415+E416)</f>
        <v>11.6834319452156</v>
      </c>
      <c r="F446" s="20" t="n">
        <f aca="false">F422/(F415+F416)</f>
        <v>12.0617467870742</v>
      </c>
      <c r="G446" s="20" t="n">
        <f aca="false">G422/(G415+G416)</f>
        <v>11.4886560037218</v>
      </c>
    </row>
    <row r="449" customFormat="false" ht="17.15" hidden="false" customHeight="false" outlineLevel="0" collapsed="false">
      <c r="A449" s="3" t="s">
        <v>756</v>
      </c>
    </row>
    <row r="450" customFormat="false" ht="17.15" hidden="false" customHeight="false" outlineLevel="0" collapsed="false">
      <c r="A450" s="6" t="s">
        <v>20</v>
      </c>
      <c r="B450" s="6" t="s">
        <v>21</v>
      </c>
      <c r="C450" s="14" t="s">
        <v>284</v>
      </c>
      <c r="D450" s="14" t="s">
        <v>371</v>
      </c>
      <c r="E450" s="14" t="s">
        <v>372</v>
      </c>
      <c r="F450" s="14" t="s">
        <v>373</v>
      </c>
      <c r="G450" s="14" t="s">
        <v>374</v>
      </c>
      <c r="H450" s="14" t="s">
        <v>375</v>
      </c>
      <c r="I450" s="14" t="s">
        <v>376</v>
      </c>
      <c r="J450" s="6" t="s">
        <v>344</v>
      </c>
    </row>
    <row r="451" customFormat="false" ht="17.15" hidden="false" customHeight="false" outlineLevel="0" collapsed="false">
      <c r="A451" s="1" t="s">
        <v>394</v>
      </c>
    </row>
    <row r="452" customFormat="false" ht="17.15" hidden="false" customHeight="false" outlineLevel="0" collapsed="false">
      <c r="A452" s="0" t="s">
        <v>395</v>
      </c>
      <c r="B452" s="5" t="s">
        <v>31</v>
      </c>
      <c r="D452" s="18" t="n">
        <f aca="false">ug_26</f>
        <v>6.65</v>
      </c>
      <c r="E452" s="18" t="n">
        <f aca="false">ug_27*1</f>
        <v>2.4</v>
      </c>
      <c r="F452" s="18" t="n">
        <f aca="false">ug_28*um28_A*1</f>
        <v>0.5</v>
      </c>
      <c r="G452" s="18" t="n">
        <f aca="false">ug_29*um29_A*1</f>
        <v>0.25</v>
      </c>
    </row>
    <row r="453" customFormat="false" ht="17.15" hidden="false" customHeight="false" outlineLevel="0" collapsed="false">
      <c r="A453" s="0" t="s">
        <v>396</v>
      </c>
      <c r="B453" s="5" t="s">
        <v>31</v>
      </c>
      <c r="D453" s="18" t="n">
        <f aca="false">uv_26</f>
        <v>1.7</v>
      </c>
      <c r="E453" s="18" t="n">
        <f aca="false">uv_27*1</f>
        <v>8.8</v>
      </c>
      <c r="F453" s="18" t="n">
        <f aca="false">uv_28*um28_A*1</f>
        <v>11</v>
      </c>
      <c r="G453" s="18" t="n">
        <f aca="false">uv_29*um29_A*1</f>
        <v>12.65</v>
      </c>
    </row>
    <row r="454" customFormat="false" ht="17.15" hidden="false" customHeight="false" outlineLevel="0" collapsed="false">
      <c r="A454" s="5" t="s">
        <v>397</v>
      </c>
      <c r="B454" s="0" t="s">
        <v>107</v>
      </c>
      <c r="D454" s="22" t="n">
        <f aca="false">D452*v_gb+D453*v_vr</f>
        <v>595.4861102</v>
      </c>
      <c r="E454" s="22" t="n">
        <f aca="false">E452*v_gb+E453*v_vr</f>
        <v>1170.0000024</v>
      </c>
      <c r="F454" s="22" t="n">
        <f aca="false">F452*v_gb+F453*v_vr</f>
        <v>1313.194448</v>
      </c>
      <c r="G454" s="22" t="n">
        <f aca="false">G452*v_gb+G453*v_vr</f>
        <v>1490.76389305</v>
      </c>
      <c r="J454" s="5" t="s">
        <v>398</v>
      </c>
    </row>
    <row r="455" customFormat="false" ht="17.15" hidden="false" customHeight="false" outlineLevel="0" collapsed="false">
      <c r="A455" s="0" t="s">
        <v>399</v>
      </c>
      <c r="B455" s="0" t="s">
        <v>130</v>
      </c>
      <c r="D455" s="23" t="n">
        <f aca="false">a27_ai/D454</f>
        <v>0.124268221764478</v>
      </c>
      <c r="J455" s="8" t="s">
        <v>400</v>
      </c>
    </row>
    <row r="456" customFormat="false" ht="17.15" hidden="false" customHeight="false" outlineLevel="0" collapsed="false">
      <c r="A456" s="5" t="s">
        <v>401</v>
      </c>
      <c r="B456" s="0" t="s">
        <v>53</v>
      </c>
      <c r="D456" s="18" t="n">
        <f aca="false">1</f>
        <v>1</v>
      </c>
      <c r="E456" s="18" t="n">
        <f aca="false">rel_28</f>
        <v>0.9</v>
      </c>
      <c r="F456" s="18" t="n">
        <f aca="false">rel_29</f>
        <v>0.85</v>
      </c>
      <c r="G456" s="18" t="n">
        <f aca="false">rel_30</f>
        <v>0.8</v>
      </c>
    </row>
    <row r="457" customFormat="false" ht="17.15" hidden="false" customHeight="false" outlineLevel="0" collapsed="false">
      <c r="A457" s="5" t="s">
        <v>402</v>
      </c>
      <c r="B457" s="0" t="s">
        <v>53</v>
      </c>
      <c r="D457" s="18" t="n">
        <f aca="false">1</f>
        <v>1</v>
      </c>
      <c r="E457" s="18" t="n">
        <f aca="false">1</f>
        <v>1</v>
      </c>
      <c r="F457" s="18" t="n">
        <f aca="false">srel_A</f>
        <v>1</v>
      </c>
      <c r="G457" s="18" t="n">
        <f aca="false">srel_A</f>
        <v>1</v>
      </c>
    </row>
    <row r="458" customFormat="false" ht="17.15" hidden="false" customHeight="false" outlineLevel="0" collapsed="false">
      <c r="A458" s="0" t="s">
        <v>353</v>
      </c>
      <c r="B458" s="0" t="s">
        <v>130</v>
      </c>
      <c r="D458" s="23" t="n">
        <f aca="false">$D$455*D456*D457</f>
        <v>0.124268221764478</v>
      </c>
      <c r="E458" s="23" t="n">
        <f aca="false">$D$455*E456*E457</f>
        <v>0.11184139958803</v>
      </c>
      <c r="F458" s="23" t="n">
        <f aca="false">$D$455*F456*F457</f>
        <v>0.105627988499806</v>
      </c>
      <c r="G458" s="23" t="n">
        <f aca="false">$D$455*G456*G457</f>
        <v>0.0994145774115824</v>
      </c>
    </row>
    <row r="459" customFormat="false" ht="17.15" hidden="false" customHeight="false" outlineLevel="0" collapsed="false">
      <c r="A459" s="0" t="s">
        <v>403</v>
      </c>
      <c r="B459" s="0" t="s">
        <v>107</v>
      </c>
      <c r="C459" s="22" t="n">
        <f aca="false">a26_ai</f>
        <v>24.683</v>
      </c>
      <c r="D459" s="22" t="n">
        <f aca="false">D454*D458</f>
        <v>74</v>
      </c>
      <c r="E459" s="22" t="n">
        <f aca="false">E454*E458</f>
        <v>130.854437786415</v>
      </c>
      <c r="F459" s="22" t="n">
        <f aca="false">F454*F458</f>
        <v>138.710088051354</v>
      </c>
      <c r="G459" s="22" t="n">
        <f aca="false">G454*G458</f>
        <v>148.203662448011</v>
      </c>
    </row>
    <row r="460" customFormat="false" ht="17.15" hidden="false" customHeight="false" outlineLevel="0" collapsed="false">
      <c r="A460" s="1" t="s">
        <v>404</v>
      </c>
    </row>
    <row r="461" customFormat="false" ht="15" hidden="false" customHeight="false" outlineLevel="0" collapsed="false">
      <c r="A461" s="5" t="s">
        <v>293</v>
      </c>
      <c r="B461" s="0" t="s">
        <v>107</v>
      </c>
      <c r="C461" s="22" t="n">
        <f aca="false">a26_tr</f>
        <v>19.512</v>
      </c>
      <c r="D461" s="22" t="n">
        <f aca="false">a27_tr</f>
        <v>37.59663</v>
      </c>
      <c r="E461" s="22" t="n">
        <f aca="false">D461*(1+g_tr28)</f>
        <v>35.7167985</v>
      </c>
      <c r="F461" s="22" t="n">
        <f aca="false">E461*(1+g_tr29)</f>
        <v>36.43113447</v>
      </c>
      <c r="G461" s="22" t="n">
        <f aca="false">F461*(1+g_tr30)</f>
        <v>37.5240685041</v>
      </c>
    </row>
    <row r="462" customFormat="false" ht="15" hidden="false" customHeight="false" outlineLevel="0" collapsed="false">
      <c r="A462" s="5" t="s">
        <v>296</v>
      </c>
      <c r="B462" s="0" t="s">
        <v>107</v>
      </c>
      <c r="C462" s="22" t="n">
        <f aca="false">a26_st</f>
        <v>16.631</v>
      </c>
      <c r="D462" s="22" t="n">
        <f aca="false">a27_st</f>
        <v>19.47008</v>
      </c>
      <c r="E462" s="22" t="n">
        <f aca="false">D462*(1+g_st28)</f>
        <v>20.2488832</v>
      </c>
      <c r="F462" s="22" t="n">
        <f aca="false">E462*(1+g_st29)</f>
        <v>21.058838528</v>
      </c>
      <c r="G462" s="22" t="n">
        <f aca="false">F462*(1+g_st30)</f>
        <v>21.90119206912</v>
      </c>
    </row>
    <row r="463" customFormat="false" ht="17.15" hidden="false" customHeight="false" outlineLevel="0" collapsed="false">
      <c r="A463" s="0" t="s">
        <v>299</v>
      </c>
      <c r="B463" s="0" t="s">
        <v>107</v>
      </c>
      <c r="C463" s="22" t="n">
        <f aca="false">C459+C461+C462</f>
        <v>60.826</v>
      </c>
      <c r="D463" s="22" t="n">
        <f aca="false">D459+D461+D462</f>
        <v>131.06671</v>
      </c>
      <c r="E463" s="22" t="n">
        <f aca="false">E459+E461+E462</f>
        <v>186.820119486415</v>
      </c>
      <c r="F463" s="22" t="n">
        <f aca="false">F459+F461+F462</f>
        <v>196.200061049354</v>
      </c>
      <c r="G463" s="22" t="n">
        <f aca="false">G459+G461+G462</f>
        <v>207.628923021231</v>
      </c>
    </row>
    <row r="464" customFormat="false" ht="17.15" hidden="false" customHeight="false" outlineLevel="0" collapsed="false">
      <c r="A464" s="0" t="s">
        <v>405</v>
      </c>
      <c r="B464" s="0" t="s">
        <v>107</v>
      </c>
      <c r="C464" s="22" t="n">
        <f aca="false">a26_csg</f>
        <v>50.984</v>
      </c>
      <c r="D464" s="22" t="n">
        <f aca="false">a27_csg</f>
        <v>60.17529</v>
      </c>
      <c r="E464" s="22" t="n">
        <f aca="false">D464*(1+g_csg28)</f>
        <v>61.9805487</v>
      </c>
      <c r="F464" s="22" t="n">
        <f aca="false">E464*(1+g_csg29)</f>
        <v>63.839965161</v>
      </c>
      <c r="G464" s="22" t="n">
        <f aca="false">F464*(1+g_csg30)</f>
        <v>65.75516411583</v>
      </c>
    </row>
    <row r="465" customFormat="false" ht="17.15" hidden="false" customHeight="false" outlineLevel="0" collapsed="false">
      <c r="A465" s="5" t="s">
        <v>406</v>
      </c>
      <c r="B465" s="0" t="s">
        <v>107</v>
      </c>
      <c r="C465" s="22" t="n">
        <f aca="false">a26_oth</f>
        <v>1.72799999999999</v>
      </c>
      <c r="D465" s="22" t="n">
        <f aca="false">a27_oth</f>
        <v>0.75800000000001</v>
      </c>
      <c r="E465" s="22" t="n">
        <f aca="false">D465</f>
        <v>0.75800000000001</v>
      </c>
      <c r="F465" s="22" t="n">
        <f aca="false">E465</f>
        <v>0.75800000000001</v>
      </c>
      <c r="G465" s="22" t="n">
        <f aca="false">F465</f>
        <v>0.75800000000001</v>
      </c>
      <c r="J465" s="8" t="s">
        <v>407</v>
      </c>
    </row>
    <row r="466" customFormat="false" ht="17.15" hidden="false" customHeight="false" outlineLevel="0" collapsed="false">
      <c r="A466" s="5" t="s">
        <v>306</v>
      </c>
      <c r="B466" s="0" t="s">
        <v>107</v>
      </c>
      <c r="C466" s="22" t="n">
        <f aca="false">C463+C464+C465</f>
        <v>113.538</v>
      </c>
      <c r="D466" s="22" t="n">
        <f aca="false">D463+D464+D465</f>
        <v>192</v>
      </c>
      <c r="E466" s="22" t="n">
        <f aca="false">E463+E464+E465</f>
        <v>249.558668186415</v>
      </c>
      <c r="F466" s="22" t="n">
        <f aca="false">F463+F464+F465</f>
        <v>260.798026210354</v>
      </c>
      <c r="G466" s="22" t="n">
        <f aca="false">G463+G464+G465</f>
        <v>274.142087137061</v>
      </c>
      <c r="H466" s="26" t="n">
        <f aca="false">G466*(1+H467)</f>
        <v>289.37976309346</v>
      </c>
      <c r="I466" s="26" t="n">
        <f aca="false">H466*(1+I467)</f>
        <v>306.742548879068</v>
      </c>
      <c r="J466" s="8" t="s">
        <v>408</v>
      </c>
    </row>
    <row r="467" customFormat="false" ht="15" hidden="false" customHeight="false" outlineLevel="0" collapsed="false">
      <c r="A467" s="5" t="s">
        <v>409</v>
      </c>
      <c r="B467" s="0" t="s">
        <v>130</v>
      </c>
      <c r="D467" s="17" t="n">
        <f aca="false">D466/C466-1</f>
        <v>0.691063784812134</v>
      </c>
      <c r="E467" s="17" t="n">
        <f aca="false">E466/D466-1</f>
        <v>0.299784730137576</v>
      </c>
      <c r="F467" s="17" t="n">
        <f aca="false">F466/E466-1</f>
        <v>0.0450369370281432</v>
      </c>
      <c r="G467" s="17" t="n">
        <f aca="false">G466/F466-1</f>
        <v>0.0511662650235885</v>
      </c>
      <c r="H467" s="27" t="n">
        <f aca="false">$G467+(fade_gA-$G467)*1/2</f>
        <v>0.0555831325117942</v>
      </c>
      <c r="I467" s="27" t="n">
        <f aca="false">$G467+(fade_gA-$G467)*2/2</f>
        <v>0.06</v>
      </c>
    </row>
    <row r="468" customFormat="false" ht="17.15" hidden="false" customHeight="false" outlineLevel="0" collapsed="false">
      <c r="A468" s="0" t="s">
        <v>410</v>
      </c>
      <c r="B468" s="0" t="s">
        <v>130</v>
      </c>
      <c r="C468" s="17" t="n">
        <f aca="false">C459/C466</f>
        <v>0.217398580211031</v>
      </c>
      <c r="D468" s="17" t="n">
        <f aca="false">D459/D466</f>
        <v>0.385416666666667</v>
      </c>
      <c r="E468" s="17" t="n">
        <f aca="false">E459/E466</f>
        <v>0.524343388820577</v>
      </c>
      <c r="F468" s="17" t="n">
        <f aca="false">F459/F466</f>
        <v>0.531867859841367</v>
      </c>
      <c r="G468" s="17" t="n">
        <f aca="false">G459/G466</f>
        <v>0.540608937488372</v>
      </c>
    </row>
    <row r="469" customFormat="false" ht="17.15" hidden="false" customHeight="false" outlineLevel="0" collapsed="false">
      <c r="A469" s="1" t="s">
        <v>411</v>
      </c>
    </row>
    <row r="470" customFormat="false" ht="17.15" hidden="false" customHeight="false" outlineLevel="0" collapsed="false">
      <c r="A470" s="0" t="s">
        <v>383</v>
      </c>
      <c r="B470" s="0" t="s">
        <v>130</v>
      </c>
      <c r="C470" s="23" t="n">
        <f aca="false">(a26_isgoi-m_nai*(a26_tr+a26_st))/a26_ai</f>
        <v>0.0538070736944455</v>
      </c>
      <c r="D470" s="23" t="n">
        <f aca="false">(a27_isgoi-m_nai*(a27_tr+a27_st))/a27_ai</f>
        <v>0.110710097972973</v>
      </c>
      <c r="E470" s="23" t="n">
        <f aca="false">$D470+ai_dm</f>
        <v>0.100710097972973</v>
      </c>
      <c r="F470" s="23" t="n">
        <f aca="false">$D470+ai_dm+dm_A</f>
        <v>0.100710097972973</v>
      </c>
      <c r="G470" s="23" t="n">
        <f aca="false">$D470+ai_dm+dm_A</f>
        <v>0.100710097972973</v>
      </c>
      <c r="J470" s="8" t="s">
        <v>412</v>
      </c>
    </row>
    <row r="471" customFormat="false" ht="17.15" hidden="false" customHeight="false" outlineLevel="0" collapsed="false">
      <c r="A471" s="5" t="s">
        <v>413</v>
      </c>
      <c r="B471" s="0" t="s">
        <v>130</v>
      </c>
      <c r="C471" s="23" t="n">
        <f aca="false">m_nai</f>
        <v>0.16</v>
      </c>
      <c r="D471" s="23" t="n">
        <f aca="false">m_nai</f>
        <v>0.16</v>
      </c>
      <c r="E471" s="23" t="n">
        <f aca="false">m_naif</f>
        <v>0.155</v>
      </c>
      <c r="F471" s="23" t="n">
        <f aca="false">m_naif</f>
        <v>0.155</v>
      </c>
      <c r="G471" s="23" t="n">
        <f aca="false">m_naif</f>
        <v>0.155</v>
      </c>
    </row>
    <row r="472" customFormat="false" ht="17.15" hidden="false" customHeight="false" outlineLevel="0" collapsed="false">
      <c r="A472" s="0" t="s">
        <v>308</v>
      </c>
      <c r="B472" s="0" t="s">
        <v>107</v>
      </c>
      <c r="C472" s="28" t="n">
        <f aca="false">a26_isgoi</f>
        <v>7.111</v>
      </c>
      <c r="D472" s="28" t="n">
        <f aca="false">a27_isgoi</f>
        <v>17.32322085</v>
      </c>
      <c r="E472" s="28" t="n">
        <f aca="false">E459*E470+(E461+E462)*E471</f>
        <v>21.8530439131681</v>
      </c>
      <c r="F472" s="28" t="n">
        <f aca="false">F459*F470+(F461+F462)*F471</f>
        <v>22.8804523721815</v>
      </c>
      <c r="G472" s="28" t="n">
        <f aca="false">G459*G470+(G461+G462)*G471</f>
        <v>24.1365207539417</v>
      </c>
    </row>
    <row r="473" customFormat="false" ht="17.15" hidden="false" customHeight="false" outlineLevel="0" collapsed="false">
      <c r="A473" s="0" t="s">
        <v>414</v>
      </c>
      <c r="B473" s="0" t="s">
        <v>130</v>
      </c>
      <c r="C473" s="23" t="n">
        <f aca="false">a26_csgoi/C464</f>
        <v>0.0555664522203044</v>
      </c>
      <c r="D473" s="23" t="n">
        <f aca="false">a27_csgoi/D464</f>
        <v>0.0764752733223222</v>
      </c>
      <c r="E473" s="23" t="n">
        <f aca="false">m_csgf_lo</f>
        <v>0.06</v>
      </c>
      <c r="F473" s="23" t="n">
        <f aca="false">m_csgf_lo</f>
        <v>0.06</v>
      </c>
      <c r="G473" s="23" t="n">
        <f aca="false">m_csgf_lo</f>
        <v>0.06</v>
      </c>
    </row>
    <row r="474" customFormat="false" ht="17.15" hidden="false" customHeight="false" outlineLevel="0" collapsed="false">
      <c r="A474" s="0" t="s">
        <v>310</v>
      </c>
      <c r="B474" s="0" t="s">
        <v>107</v>
      </c>
      <c r="C474" s="28" t="n">
        <f aca="false">C464*C473</f>
        <v>2.833</v>
      </c>
      <c r="D474" s="28" t="n">
        <f aca="false">D464*D473</f>
        <v>4.60192175</v>
      </c>
      <c r="E474" s="28" t="n">
        <f aca="false">E464*E473</f>
        <v>3.718832922</v>
      </c>
      <c r="F474" s="28" t="n">
        <f aca="false">F464*F473</f>
        <v>3.83039790966</v>
      </c>
      <c r="G474" s="28" t="n">
        <f aca="false">G464*G473</f>
        <v>3.9453098469498</v>
      </c>
    </row>
    <row r="475" customFormat="false" ht="17.15" hidden="false" customHeight="false" outlineLevel="0" collapsed="false">
      <c r="A475" s="5" t="s">
        <v>415</v>
      </c>
      <c r="B475" s="0" t="s">
        <v>107</v>
      </c>
      <c r="C475" s="28" t="n">
        <f aca="false">C472+C474</f>
        <v>9.944</v>
      </c>
      <c r="D475" s="28" t="n">
        <f aca="false">D472+D474</f>
        <v>21.9251426</v>
      </c>
      <c r="E475" s="28" t="n">
        <f aca="false">E472+E474</f>
        <v>25.5718768351681</v>
      </c>
      <c r="F475" s="28" t="n">
        <f aca="false">F472+F474</f>
        <v>26.7108502818415</v>
      </c>
      <c r="G475" s="28" t="n">
        <f aca="false">G472+G474</f>
        <v>28.0818306008915</v>
      </c>
    </row>
    <row r="476" customFormat="false" ht="15" hidden="false" customHeight="false" outlineLevel="0" collapsed="false">
      <c r="A476" s="5" t="s">
        <v>384</v>
      </c>
      <c r="B476" s="0" t="s">
        <v>130</v>
      </c>
      <c r="C476" s="23" t="n">
        <f aca="false">C475/C466</f>
        <v>0.0875830118550617</v>
      </c>
      <c r="D476" s="23" t="n">
        <f aca="false">D475/D466</f>
        <v>0.114193451041667</v>
      </c>
      <c r="E476" s="23" t="n">
        <f aca="false">E475/E466</f>
        <v>0.102468397595657</v>
      </c>
      <c r="F476" s="23" t="n">
        <f aca="false">F475/F466</f>
        <v>0.102419679588745</v>
      </c>
      <c r="G476" s="23" t="n">
        <f aca="false">G475/G466</f>
        <v>0.102435313359425</v>
      </c>
    </row>
    <row r="477" customFormat="false" ht="17.15" hidden="false" customHeight="false" outlineLevel="0" collapsed="false">
      <c r="A477" s="5" t="s">
        <v>416</v>
      </c>
      <c r="B477" s="0" t="s">
        <v>130</v>
      </c>
      <c r="C477" s="17" t="n">
        <f aca="false">a26_ni/a26_oi</f>
        <v>0.708567980691875</v>
      </c>
      <c r="D477" s="17" t="n">
        <f aca="false">a27_ni/a27_oi</f>
        <v>0.753655303477935</v>
      </c>
      <c r="E477" s="17" t="n">
        <f aca="false">nio_f</f>
        <v>0.75</v>
      </c>
      <c r="F477" s="17" t="n">
        <f aca="false">nio_f</f>
        <v>0.75</v>
      </c>
      <c r="G477" s="17" t="n">
        <f aca="false">nio_f</f>
        <v>0.75</v>
      </c>
    </row>
    <row r="478" customFormat="false" ht="17.15" hidden="false" customHeight="false" outlineLevel="0" collapsed="false">
      <c r="A478" s="0" t="s">
        <v>316</v>
      </c>
      <c r="B478" s="0" t="s">
        <v>107</v>
      </c>
      <c r="C478" s="28" t="n">
        <f aca="false">a26_ni</f>
        <v>7.046</v>
      </c>
      <c r="D478" s="28" t="n">
        <f aca="false">a27_ni</f>
        <v>16.524</v>
      </c>
      <c r="E478" s="28" t="n">
        <f aca="false">E475*E477</f>
        <v>19.1789076263761</v>
      </c>
      <c r="F478" s="28" t="n">
        <f aca="false">F475*F477</f>
        <v>20.0331377113811</v>
      </c>
      <c r="G478" s="28" t="n">
        <f aca="false">G475*G477</f>
        <v>21.0613729506687</v>
      </c>
      <c r="H478" s="29" t="n">
        <f aca="false">H466*H482</f>
        <v>22.4923176922018</v>
      </c>
      <c r="I478" s="29" t="n">
        <f aca="false">I466*I482</f>
        <v>24.1177616711458</v>
      </c>
    </row>
    <row r="479" customFormat="false" ht="15" hidden="false" customHeight="false" outlineLevel="0" collapsed="false">
      <c r="A479" s="5" t="s">
        <v>417</v>
      </c>
      <c r="B479" s="5" t="s">
        <v>143</v>
      </c>
      <c r="C479" s="32" t="n">
        <f aca="false">a26_sh</f>
        <v>0.684077669902913</v>
      </c>
      <c r="D479" s="32" t="n">
        <f aca="false">a27_sh</f>
        <v>0.648</v>
      </c>
      <c r="E479" s="32" t="n">
        <f aca="false">D479*(1+sh_g)</f>
        <v>0.62856</v>
      </c>
      <c r="F479" s="32" t="n">
        <f aca="false">E479*(1+sh_g)</f>
        <v>0.6097032</v>
      </c>
      <c r="G479" s="32" t="n">
        <f aca="false">F479*(1+sh_g)</f>
        <v>0.591412104</v>
      </c>
      <c r="H479" s="33" t="n">
        <f aca="false">G479*(1+sh_g)</f>
        <v>0.57366974088</v>
      </c>
      <c r="I479" s="33" t="n">
        <f aca="false">H479*(1+sh_g)</f>
        <v>0.5564596486536</v>
      </c>
    </row>
    <row r="480" customFormat="false" ht="15" hidden="false" customHeight="false" outlineLevel="0" collapsed="false">
      <c r="A480" s="0" t="s">
        <v>324</v>
      </c>
      <c r="B480" s="0" t="s">
        <v>117</v>
      </c>
      <c r="C480" s="28" t="n">
        <f aca="false">C478/C479</f>
        <v>10.3</v>
      </c>
      <c r="D480" s="28" t="n">
        <f aca="false">D478/D479</f>
        <v>25.5</v>
      </c>
      <c r="E480" s="28" t="n">
        <f aca="false">E478/E479</f>
        <v>30.512453268385</v>
      </c>
      <c r="F480" s="28" t="n">
        <f aca="false">F478/F479</f>
        <v>32.8571962741563</v>
      </c>
      <c r="G480" s="28" t="n">
        <f aca="false">G478/G479</f>
        <v>35.612008628536</v>
      </c>
      <c r="H480" s="31" t="n">
        <f aca="false">H478/H479</f>
        <v>39.2077812186833</v>
      </c>
      <c r="I480" s="31" t="n">
        <f aca="false">I478/I479</f>
        <v>43.3414385562381</v>
      </c>
    </row>
    <row r="481" customFormat="false" ht="17.15" hidden="false" customHeight="false" outlineLevel="0" collapsed="false">
      <c r="A481" s="0" t="s">
        <v>418</v>
      </c>
      <c r="B481" s="0" t="s">
        <v>130</v>
      </c>
      <c r="D481" s="17" t="n">
        <f aca="false">D480/C480-1</f>
        <v>1.47572815533981</v>
      </c>
      <c r="E481" s="17" t="n">
        <f aca="false">E480/D480-1</f>
        <v>0.196566794838628</v>
      </c>
      <c r="F481" s="17" t="n">
        <f aca="false">F480/E480-1</f>
        <v>0.0768454435684689</v>
      </c>
      <c r="G481" s="17" t="n">
        <f aca="false">G480/F480-1</f>
        <v>0.0838419788284424</v>
      </c>
      <c r="H481" s="27" t="n">
        <f aca="false">H480/G480-1</f>
        <v>0.100970788467853</v>
      </c>
      <c r="I481" s="27" t="n">
        <f aca="false">I480/H480-1</f>
        <v>0.105429514475688</v>
      </c>
    </row>
    <row r="482" customFormat="false" ht="17.15" hidden="false" customHeight="false" outlineLevel="0" collapsed="false">
      <c r="A482" s="5" t="s">
        <v>419</v>
      </c>
      <c r="B482" s="0" t="s">
        <v>130</v>
      </c>
      <c r="C482" s="23" t="n">
        <f aca="false">C478/C466</f>
        <v>0.0620585178530536</v>
      </c>
      <c r="D482" s="23" t="n">
        <f aca="false">D478/D466</f>
        <v>0.0860625</v>
      </c>
      <c r="E482" s="23" t="n">
        <f aca="false">E478/E466</f>
        <v>0.0768512981967426</v>
      </c>
      <c r="F482" s="23" t="n">
        <f aca="false">F478/F466</f>
        <v>0.0768147596915587</v>
      </c>
      <c r="G482" s="23" t="n">
        <f aca="false">G478/G466</f>
        <v>0.0768264850195684</v>
      </c>
      <c r="H482" s="30" t="n">
        <f aca="false">$G482+(fade_mA-$G482)*1/2</f>
        <v>0.0777259524016456</v>
      </c>
      <c r="I482" s="30" t="n">
        <f aca="false">$G482+(fade_mA-$G482)*2/2</f>
        <v>0.0786254197837229</v>
      </c>
    </row>
    <row r="483" customFormat="false" ht="17.15" hidden="false" customHeight="false" outlineLevel="0" collapsed="false">
      <c r="A483" s="0" t="s">
        <v>420</v>
      </c>
      <c r="B483" s="0" t="s">
        <v>74</v>
      </c>
      <c r="D483" s="20" t="n">
        <f aca="false">D459/(D452+D453)</f>
        <v>8.8622754491018</v>
      </c>
      <c r="E483" s="20" t="n">
        <f aca="false">E459/(E452+E453)</f>
        <v>11.6834319452156</v>
      </c>
      <c r="F483" s="20" t="n">
        <f aca="false">F459/(F452+F453)</f>
        <v>12.0617467870742</v>
      </c>
      <c r="G483" s="20" t="n">
        <f aca="false">G459/(G452+G453)</f>
        <v>11.4886560037218</v>
      </c>
    </row>
    <row r="486" customFormat="false" ht="17.15" hidden="false" customHeight="false" outlineLevel="0" collapsed="false">
      <c r="A486" s="3" t="s">
        <v>757</v>
      </c>
    </row>
    <row r="487" customFormat="false" ht="17.15" hidden="false" customHeight="false" outlineLevel="0" collapsed="false">
      <c r="A487" s="6" t="s">
        <v>20</v>
      </c>
      <c r="B487" s="6" t="s">
        <v>21</v>
      </c>
      <c r="C487" s="14" t="s">
        <v>284</v>
      </c>
      <c r="D487" s="14" t="s">
        <v>371</v>
      </c>
      <c r="E487" s="14" t="s">
        <v>372</v>
      </c>
      <c r="F487" s="14" t="s">
        <v>373</v>
      </c>
      <c r="G487" s="14" t="s">
        <v>374</v>
      </c>
      <c r="H487" s="14" t="s">
        <v>375</v>
      </c>
      <c r="I487" s="14" t="s">
        <v>376</v>
      </c>
      <c r="J487" s="6" t="s">
        <v>344</v>
      </c>
    </row>
    <row r="488" customFormat="false" ht="17.15" hidden="false" customHeight="false" outlineLevel="0" collapsed="false">
      <c r="A488" s="1" t="s">
        <v>394</v>
      </c>
    </row>
    <row r="489" customFormat="false" ht="17.15" hidden="false" customHeight="false" outlineLevel="0" collapsed="false">
      <c r="A489" s="0" t="s">
        <v>395</v>
      </c>
      <c r="B489" s="5" t="s">
        <v>31</v>
      </c>
      <c r="D489" s="18" t="n">
        <f aca="false">ug_26</f>
        <v>6.65</v>
      </c>
      <c r="E489" s="18" t="n">
        <f aca="false">ug_27*1</f>
        <v>2.4</v>
      </c>
      <c r="F489" s="18" t="n">
        <f aca="false">ug_28*um28_A*1</f>
        <v>0.5</v>
      </c>
      <c r="G489" s="18" t="n">
        <f aca="false">ug_29*um29_A*1</f>
        <v>0.25</v>
      </c>
    </row>
    <row r="490" customFormat="false" ht="17.15" hidden="false" customHeight="false" outlineLevel="0" collapsed="false">
      <c r="A490" s="0" t="s">
        <v>396</v>
      </c>
      <c r="B490" s="5" t="s">
        <v>31</v>
      </c>
      <c r="D490" s="18" t="n">
        <f aca="false">uv_26</f>
        <v>1.7</v>
      </c>
      <c r="E490" s="18" t="n">
        <f aca="false">uv_27*1</f>
        <v>8.8</v>
      </c>
      <c r="F490" s="18" t="n">
        <f aca="false">uv_28*um28_A*1</f>
        <v>11</v>
      </c>
      <c r="G490" s="18" t="n">
        <f aca="false">uv_29*um29_A*1</f>
        <v>12.65</v>
      </c>
    </row>
    <row r="491" customFormat="false" ht="17.15" hidden="false" customHeight="false" outlineLevel="0" collapsed="false">
      <c r="A491" s="5" t="s">
        <v>397</v>
      </c>
      <c r="B491" s="0" t="s">
        <v>107</v>
      </c>
      <c r="D491" s="22" t="n">
        <f aca="false">D489*v_gb+D490*v_vr</f>
        <v>595.4861102</v>
      </c>
      <c r="E491" s="22" t="n">
        <f aca="false">E489*v_gb+E490*v_vr</f>
        <v>1170.0000024</v>
      </c>
      <c r="F491" s="22" t="n">
        <f aca="false">F489*v_gb+F490*v_vr</f>
        <v>1313.194448</v>
      </c>
      <c r="G491" s="22" t="n">
        <f aca="false">G489*v_gb+G490*v_vr</f>
        <v>1490.76389305</v>
      </c>
      <c r="J491" s="5" t="s">
        <v>398</v>
      </c>
    </row>
    <row r="492" customFormat="false" ht="17.15" hidden="false" customHeight="false" outlineLevel="0" collapsed="false">
      <c r="A492" s="0" t="s">
        <v>399</v>
      </c>
      <c r="B492" s="0" t="s">
        <v>130</v>
      </c>
      <c r="D492" s="23" t="n">
        <f aca="false">a27_ai/D491</f>
        <v>0.124268221764478</v>
      </c>
      <c r="J492" s="8" t="s">
        <v>400</v>
      </c>
    </row>
    <row r="493" customFormat="false" ht="17.15" hidden="false" customHeight="false" outlineLevel="0" collapsed="false">
      <c r="A493" s="5" t="s">
        <v>401</v>
      </c>
      <c r="B493" s="0" t="s">
        <v>53</v>
      </c>
      <c r="D493" s="18" t="n">
        <f aca="false">1</f>
        <v>1</v>
      </c>
      <c r="E493" s="18" t="n">
        <f aca="false">rel_28</f>
        <v>0.9</v>
      </c>
      <c r="F493" s="18" t="n">
        <f aca="false">rel_29</f>
        <v>0.85</v>
      </c>
      <c r="G493" s="18" t="n">
        <f aca="false">rel_30</f>
        <v>0.8</v>
      </c>
    </row>
    <row r="494" customFormat="false" ht="17.15" hidden="false" customHeight="false" outlineLevel="0" collapsed="false">
      <c r="A494" s="5" t="s">
        <v>402</v>
      </c>
      <c r="B494" s="0" t="s">
        <v>53</v>
      </c>
      <c r="D494" s="18" t="n">
        <f aca="false">1</f>
        <v>1</v>
      </c>
      <c r="E494" s="18" t="n">
        <f aca="false">1</f>
        <v>1</v>
      </c>
      <c r="F494" s="18" t="n">
        <f aca="false">srel_A</f>
        <v>1</v>
      </c>
      <c r="G494" s="18" t="n">
        <f aca="false">srel_A</f>
        <v>1</v>
      </c>
    </row>
    <row r="495" customFormat="false" ht="17.15" hidden="false" customHeight="false" outlineLevel="0" collapsed="false">
      <c r="A495" s="0" t="s">
        <v>353</v>
      </c>
      <c r="B495" s="0" t="s">
        <v>130</v>
      </c>
      <c r="D495" s="23" t="n">
        <f aca="false">$D$492*D493*D494</f>
        <v>0.124268221764478</v>
      </c>
      <c r="E495" s="23" t="n">
        <f aca="false">$D$492*E493*E494</f>
        <v>0.11184139958803</v>
      </c>
      <c r="F495" s="23" t="n">
        <f aca="false">$D$492*F493*F494</f>
        <v>0.105627988499806</v>
      </c>
      <c r="G495" s="23" t="n">
        <f aca="false">$D$492*G493*G494</f>
        <v>0.0994145774115824</v>
      </c>
    </row>
    <row r="496" customFormat="false" ht="17.15" hidden="false" customHeight="false" outlineLevel="0" collapsed="false">
      <c r="A496" s="0" t="s">
        <v>403</v>
      </c>
      <c r="B496" s="0" t="s">
        <v>107</v>
      </c>
      <c r="C496" s="22" t="n">
        <f aca="false">a26_ai</f>
        <v>24.683</v>
      </c>
      <c r="D496" s="22" t="n">
        <f aca="false">D491*D495</f>
        <v>74</v>
      </c>
      <c r="E496" s="22" t="n">
        <f aca="false">E491*E495</f>
        <v>130.854437786415</v>
      </c>
      <c r="F496" s="22" t="n">
        <f aca="false">F491*F495</f>
        <v>138.710088051354</v>
      </c>
      <c r="G496" s="22" t="n">
        <f aca="false">G491*G495</f>
        <v>148.203662448011</v>
      </c>
    </row>
    <row r="497" customFormat="false" ht="17.15" hidden="false" customHeight="false" outlineLevel="0" collapsed="false">
      <c r="A497" s="1" t="s">
        <v>404</v>
      </c>
    </row>
    <row r="498" customFormat="false" ht="15" hidden="false" customHeight="false" outlineLevel="0" collapsed="false">
      <c r="A498" s="5" t="s">
        <v>293</v>
      </c>
      <c r="B498" s="0" t="s">
        <v>107</v>
      </c>
      <c r="C498" s="22" t="n">
        <f aca="false">a26_tr</f>
        <v>19.512</v>
      </c>
      <c r="D498" s="22" t="n">
        <f aca="false">a27_tr</f>
        <v>37.59663</v>
      </c>
      <c r="E498" s="22" t="n">
        <f aca="false">D498*(1+g_tr28)</f>
        <v>35.7167985</v>
      </c>
      <c r="F498" s="22" t="n">
        <f aca="false">E498*(1+g_tr29)</f>
        <v>36.43113447</v>
      </c>
      <c r="G498" s="22" t="n">
        <f aca="false">F498*(1+g_tr30)</f>
        <v>37.5240685041</v>
      </c>
    </row>
    <row r="499" customFormat="false" ht="15" hidden="false" customHeight="false" outlineLevel="0" collapsed="false">
      <c r="A499" s="5" t="s">
        <v>296</v>
      </c>
      <c r="B499" s="0" t="s">
        <v>107</v>
      </c>
      <c r="C499" s="22" t="n">
        <f aca="false">a26_st</f>
        <v>16.631</v>
      </c>
      <c r="D499" s="22" t="n">
        <f aca="false">a27_st</f>
        <v>19.47008</v>
      </c>
      <c r="E499" s="22" t="n">
        <f aca="false">D499*(1+g_st28)</f>
        <v>20.2488832</v>
      </c>
      <c r="F499" s="22" t="n">
        <f aca="false">E499*(1+g_st29)</f>
        <v>21.058838528</v>
      </c>
      <c r="G499" s="22" t="n">
        <f aca="false">F499*(1+g_st30)</f>
        <v>21.90119206912</v>
      </c>
    </row>
    <row r="500" customFormat="false" ht="17.15" hidden="false" customHeight="false" outlineLevel="0" collapsed="false">
      <c r="A500" s="0" t="s">
        <v>299</v>
      </c>
      <c r="B500" s="0" t="s">
        <v>107</v>
      </c>
      <c r="C500" s="22" t="n">
        <f aca="false">C496+C498+C499</f>
        <v>60.826</v>
      </c>
      <c r="D500" s="22" t="n">
        <f aca="false">D496+D498+D499</f>
        <v>131.06671</v>
      </c>
      <c r="E500" s="22" t="n">
        <f aca="false">E496+E498+E499</f>
        <v>186.820119486415</v>
      </c>
      <c r="F500" s="22" t="n">
        <f aca="false">F496+F498+F499</f>
        <v>196.200061049354</v>
      </c>
      <c r="G500" s="22" t="n">
        <f aca="false">G496+G498+G499</f>
        <v>207.628923021231</v>
      </c>
    </row>
    <row r="501" customFormat="false" ht="17.15" hidden="false" customHeight="false" outlineLevel="0" collapsed="false">
      <c r="A501" s="0" t="s">
        <v>405</v>
      </c>
      <c r="B501" s="0" t="s">
        <v>107</v>
      </c>
      <c r="C501" s="22" t="n">
        <f aca="false">a26_csg</f>
        <v>50.984</v>
      </c>
      <c r="D501" s="22" t="n">
        <f aca="false">a27_csg</f>
        <v>60.17529</v>
      </c>
      <c r="E501" s="22" t="n">
        <f aca="false">D501*(1+g_csg28)</f>
        <v>61.9805487</v>
      </c>
      <c r="F501" s="22" t="n">
        <f aca="false">E501*(1+g_csg29)</f>
        <v>63.839965161</v>
      </c>
      <c r="G501" s="22" t="n">
        <f aca="false">F501*(1+g_csg30)</f>
        <v>65.75516411583</v>
      </c>
    </row>
    <row r="502" customFormat="false" ht="17.15" hidden="false" customHeight="false" outlineLevel="0" collapsed="false">
      <c r="A502" s="5" t="s">
        <v>406</v>
      </c>
      <c r="B502" s="0" t="s">
        <v>107</v>
      </c>
      <c r="C502" s="22" t="n">
        <f aca="false">a26_oth</f>
        <v>1.72799999999999</v>
      </c>
      <c r="D502" s="22" t="n">
        <f aca="false">a27_oth</f>
        <v>0.75800000000001</v>
      </c>
      <c r="E502" s="22" t="n">
        <f aca="false">D502</f>
        <v>0.75800000000001</v>
      </c>
      <c r="F502" s="22" t="n">
        <f aca="false">E502</f>
        <v>0.75800000000001</v>
      </c>
      <c r="G502" s="22" t="n">
        <f aca="false">F502</f>
        <v>0.75800000000001</v>
      </c>
      <c r="J502" s="8" t="s">
        <v>407</v>
      </c>
    </row>
    <row r="503" customFormat="false" ht="17.15" hidden="false" customHeight="false" outlineLevel="0" collapsed="false">
      <c r="A503" s="5" t="s">
        <v>306</v>
      </c>
      <c r="B503" s="0" t="s">
        <v>107</v>
      </c>
      <c r="C503" s="22" t="n">
        <f aca="false">C500+C501+C502</f>
        <v>113.538</v>
      </c>
      <c r="D503" s="22" t="n">
        <f aca="false">D500+D501+D502</f>
        <v>192</v>
      </c>
      <c r="E503" s="22" t="n">
        <f aca="false">E500+E501+E502</f>
        <v>249.558668186415</v>
      </c>
      <c r="F503" s="22" t="n">
        <f aca="false">F500+F501+F502</f>
        <v>260.798026210354</v>
      </c>
      <c r="G503" s="22" t="n">
        <f aca="false">G500+G501+G502</f>
        <v>274.142087137061</v>
      </c>
      <c r="H503" s="26" t="n">
        <f aca="false">G503*(1+H504)</f>
        <v>289.37976309346</v>
      </c>
      <c r="I503" s="26" t="n">
        <f aca="false">H503*(1+I504)</f>
        <v>306.742548879068</v>
      </c>
      <c r="J503" s="8" t="s">
        <v>408</v>
      </c>
    </row>
    <row r="504" customFormat="false" ht="15" hidden="false" customHeight="false" outlineLevel="0" collapsed="false">
      <c r="A504" s="5" t="s">
        <v>409</v>
      </c>
      <c r="B504" s="0" t="s">
        <v>130</v>
      </c>
      <c r="D504" s="17" t="n">
        <f aca="false">D503/C503-1</f>
        <v>0.691063784812134</v>
      </c>
      <c r="E504" s="17" t="n">
        <f aca="false">E503/D503-1</f>
        <v>0.299784730137576</v>
      </c>
      <c r="F504" s="17" t="n">
        <f aca="false">F503/E503-1</f>
        <v>0.0450369370281432</v>
      </c>
      <c r="G504" s="17" t="n">
        <f aca="false">G503/F503-1</f>
        <v>0.0511662650235885</v>
      </c>
      <c r="H504" s="27" t="n">
        <f aca="false">$G504+(fade_gA-$G504)*1/2</f>
        <v>0.0555831325117942</v>
      </c>
      <c r="I504" s="27" t="n">
        <f aca="false">$G504+(fade_gA-$G504)*2/2</f>
        <v>0.06</v>
      </c>
    </row>
    <row r="505" customFormat="false" ht="17.15" hidden="false" customHeight="false" outlineLevel="0" collapsed="false">
      <c r="A505" s="0" t="s">
        <v>410</v>
      </c>
      <c r="B505" s="0" t="s">
        <v>130</v>
      </c>
      <c r="C505" s="17" t="n">
        <f aca="false">C496/C503</f>
        <v>0.217398580211031</v>
      </c>
      <c r="D505" s="17" t="n">
        <f aca="false">D496/D503</f>
        <v>0.385416666666667</v>
      </c>
      <c r="E505" s="17" t="n">
        <f aca="false">E496/E503</f>
        <v>0.524343388820577</v>
      </c>
      <c r="F505" s="17" t="n">
        <f aca="false">F496/F503</f>
        <v>0.531867859841367</v>
      </c>
      <c r="G505" s="17" t="n">
        <f aca="false">G496/G503</f>
        <v>0.540608937488372</v>
      </c>
    </row>
    <row r="506" customFormat="false" ht="17.15" hidden="false" customHeight="false" outlineLevel="0" collapsed="false">
      <c r="A506" s="1" t="s">
        <v>411</v>
      </c>
    </row>
    <row r="507" customFormat="false" ht="17.15" hidden="false" customHeight="false" outlineLevel="0" collapsed="false">
      <c r="A507" s="0" t="s">
        <v>383</v>
      </c>
      <c r="B507" s="0" t="s">
        <v>130</v>
      </c>
      <c r="C507" s="23" t="n">
        <f aca="false">(a26_isgoi-m_nai*(a26_tr+a26_st))/a26_ai</f>
        <v>0.0538070736944455</v>
      </c>
      <c r="D507" s="23" t="n">
        <f aca="false">(a27_isgoi-m_nai*(a27_tr+a27_st))/a27_ai</f>
        <v>0.110710097972973</v>
      </c>
      <c r="E507" s="23" t="n">
        <f aca="false">$D507+ai_dm</f>
        <v>0.100710097972973</v>
      </c>
      <c r="F507" s="23" t="n">
        <f aca="false">$D507+ai_dm+dm_A</f>
        <v>0.100710097972973</v>
      </c>
      <c r="G507" s="23" t="n">
        <f aca="false">$D507+ai_dm+dm_A</f>
        <v>0.100710097972973</v>
      </c>
      <c r="J507" s="8" t="s">
        <v>412</v>
      </c>
    </row>
    <row r="508" customFormat="false" ht="17.15" hidden="false" customHeight="false" outlineLevel="0" collapsed="false">
      <c r="A508" s="5" t="s">
        <v>413</v>
      </c>
      <c r="B508" s="0" t="s">
        <v>130</v>
      </c>
      <c r="C508" s="23" t="n">
        <f aca="false">m_nai</f>
        <v>0.16</v>
      </c>
      <c r="D508" s="23" t="n">
        <f aca="false">m_nai</f>
        <v>0.16</v>
      </c>
      <c r="E508" s="23" t="n">
        <f aca="false">m_naif</f>
        <v>0.155</v>
      </c>
      <c r="F508" s="23" t="n">
        <f aca="false">m_naif</f>
        <v>0.155</v>
      </c>
      <c r="G508" s="23" t="n">
        <f aca="false">m_naif</f>
        <v>0.155</v>
      </c>
    </row>
    <row r="509" customFormat="false" ht="17.15" hidden="false" customHeight="false" outlineLevel="0" collapsed="false">
      <c r="A509" s="0" t="s">
        <v>308</v>
      </c>
      <c r="B509" s="0" t="s">
        <v>107</v>
      </c>
      <c r="C509" s="28" t="n">
        <f aca="false">a26_isgoi</f>
        <v>7.111</v>
      </c>
      <c r="D509" s="28" t="n">
        <f aca="false">a27_isgoi</f>
        <v>17.32322085</v>
      </c>
      <c r="E509" s="28" t="n">
        <f aca="false">E496*E507+(E498+E499)*E508</f>
        <v>21.8530439131681</v>
      </c>
      <c r="F509" s="28" t="n">
        <f aca="false">F496*F507+(F498+F499)*F508</f>
        <v>22.8804523721815</v>
      </c>
      <c r="G509" s="28" t="n">
        <f aca="false">G496*G507+(G498+G499)*G508</f>
        <v>24.1365207539417</v>
      </c>
    </row>
    <row r="510" customFormat="false" ht="17.15" hidden="false" customHeight="false" outlineLevel="0" collapsed="false">
      <c r="A510" s="0" t="s">
        <v>414</v>
      </c>
      <c r="B510" s="0" t="s">
        <v>130</v>
      </c>
      <c r="C510" s="23" t="n">
        <f aca="false">a26_csgoi/C501</f>
        <v>0.0555664522203044</v>
      </c>
      <c r="D510" s="23" t="n">
        <f aca="false">a27_csgoi/D501</f>
        <v>0.0764752733223222</v>
      </c>
      <c r="E510" s="23" t="n">
        <f aca="false">m_csgf_hi</f>
        <v>0.08</v>
      </c>
      <c r="F510" s="23" t="n">
        <f aca="false">m_csgf_hi</f>
        <v>0.08</v>
      </c>
      <c r="G510" s="23" t="n">
        <f aca="false">m_csgf_hi</f>
        <v>0.08</v>
      </c>
    </row>
    <row r="511" customFormat="false" ht="17.15" hidden="false" customHeight="false" outlineLevel="0" collapsed="false">
      <c r="A511" s="0" t="s">
        <v>310</v>
      </c>
      <c r="B511" s="0" t="s">
        <v>107</v>
      </c>
      <c r="C511" s="28" t="n">
        <f aca="false">C501*C510</f>
        <v>2.833</v>
      </c>
      <c r="D511" s="28" t="n">
        <f aca="false">D501*D510</f>
        <v>4.60192175</v>
      </c>
      <c r="E511" s="28" t="n">
        <f aca="false">E501*E510</f>
        <v>4.958443896</v>
      </c>
      <c r="F511" s="28" t="n">
        <f aca="false">F501*F510</f>
        <v>5.10719721288</v>
      </c>
      <c r="G511" s="28" t="n">
        <f aca="false">G501*G510</f>
        <v>5.2604131292664</v>
      </c>
    </row>
    <row r="512" customFormat="false" ht="17.15" hidden="false" customHeight="false" outlineLevel="0" collapsed="false">
      <c r="A512" s="5" t="s">
        <v>415</v>
      </c>
      <c r="B512" s="0" t="s">
        <v>107</v>
      </c>
      <c r="C512" s="28" t="n">
        <f aca="false">C509+C511</f>
        <v>9.944</v>
      </c>
      <c r="D512" s="28" t="n">
        <f aca="false">D509+D511</f>
        <v>21.9251426</v>
      </c>
      <c r="E512" s="28" t="n">
        <f aca="false">E509+E511</f>
        <v>26.8114878091681</v>
      </c>
      <c r="F512" s="28" t="n">
        <f aca="false">F509+F511</f>
        <v>27.9876495850615</v>
      </c>
      <c r="G512" s="28" t="n">
        <f aca="false">G509+G511</f>
        <v>29.3969338832081</v>
      </c>
    </row>
    <row r="513" customFormat="false" ht="15" hidden="false" customHeight="false" outlineLevel="0" collapsed="false">
      <c r="A513" s="5" t="s">
        <v>384</v>
      </c>
      <c r="B513" s="0" t="s">
        <v>130</v>
      </c>
      <c r="C513" s="23" t="n">
        <f aca="false">C512/C503</f>
        <v>0.0875830118550617</v>
      </c>
      <c r="D513" s="23" t="n">
        <f aca="false">D512/D503</f>
        <v>0.114193451041667</v>
      </c>
      <c r="E513" s="23" t="n">
        <f aca="false">E512/E503</f>
        <v>0.107435610247529</v>
      </c>
      <c r="F513" s="23" t="n">
        <f aca="false">F512/F503</f>
        <v>0.107315419490512</v>
      </c>
      <c r="G513" s="23" t="n">
        <f aca="false">G512/G503</f>
        <v>0.107232472730503</v>
      </c>
    </row>
    <row r="514" customFormat="false" ht="17.15" hidden="false" customHeight="false" outlineLevel="0" collapsed="false">
      <c r="A514" s="5" t="s">
        <v>416</v>
      </c>
      <c r="B514" s="0" t="s">
        <v>130</v>
      </c>
      <c r="C514" s="17" t="n">
        <f aca="false">a26_ni/a26_oi</f>
        <v>0.708567980691875</v>
      </c>
      <c r="D514" s="17" t="n">
        <f aca="false">a27_ni/a27_oi</f>
        <v>0.753655303477935</v>
      </c>
      <c r="E514" s="17" t="n">
        <f aca="false">nio_f</f>
        <v>0.75</v>
      </c>
      <c r="F514" s="17" t="n">
        <f aca="false">nio_f</f>
        <v>0.75</v>
      </c>
      <c r="G514" s="17" t="n">
        <f aca="false">nio_f</f>
        <v>0.75</v>
      </c>
    </row>
    <row r="515" customFormat="false" ht="17.15" hidden="false" customHeight="false" outlineLevel="0" collapsed="false">
      <c r="A515" s="0" t="s">
        <v>316</v>
      </c>
      <c r="B515" s="0" t="s">
        <v>107</v>
      </c>
      <c r="C515" s="28" t="n">
        <f aca="false">a26_ni</f>
        <v>7.046</v>
      </c>
      <c r="D515" s="28" t="n">
        <f aca="false">a27_ni</f>
        <v>16.524</v>
      </c>
      <c r="E515" s="28" t="n">
        <f aca="false">E512*E514</f>
        <v>20.1086158568761</v>
      </c>
      <c r="F515" s="28" t="n">
        <f aca="false">F512*F514</f>
        <v>20.9907371887961</v>
      </c>
      <c r="G515" s="28" t="n">
        <f aca="false">G512*G514</f>
        <v>22.0477004124061</v>
      </c>
      <c r="H515" s="29" t="n">
        <f aca="false">H503*H519</f>
        <v>23.0128930080734</v>
      </c>
      <c r="I515" s="29" t="n">
        <f aca="false">I503*I519</f>
        <v>24.1177616711458</v>
      </c>
    </row>
    <row r="516" customFormat="false" ht="15" hidden="false" customHeight="false" outlineLevel="0" collapsed="false">
      <c r="A516" s="5" t="s">
        <v>417</v>
      </c>
      <c r="B516" s="5" t="s">
        <v>143</v>
      </c>
      <c r="C516" s="32" t="n">
        <f aca="false">a26_sh</f>
        <v>0.684077669902913</v>
      </c>
      <c r="D516" s="32" t="n">
        <f aca="false">a27_sh</f>
        <v>0.648</v>
      </c>
      <c r="E516" s="32" t="n">
        <f aca="false">D516*(1+sh_g)</f>
        <v>0.62856</v>
      </c>
      <c r="F516" s="32" t="n">
        <f aca="false">E516*(1+sh_g)</f>
        <v>0.6097032</v>
      </c>
      <c r="G516" s="32" t="n">
        <f aca="false">F516*(1+sh_g)</f>
        <v>0.591412104</v>
      </c>
      <c r="H516" s="33" t="n">
        <f aca="false">G516*(1+sh_g)</f>
        <v>0.57366974088</v>
      </c>
      <c r="I516" s="33" t="n">
        <f aca="false">H516*(1+sh_g)</f>
        <v>0.5564596486536</v>
      </c>
    </row>
    <row r="517" customFormat="false" ht="15" hidden="false" customHeight="false" outlineLevel="0" collapsed="false">
      <c r="A517" s="0" t="s">
        <v>324</v>
      </c>
      <c r="B517" s="0" t="s">
        <v>117</v>
      </c>
      <c r="C517" s="28" t="n">
        <f aca="false">C515/C516</f>
        <v>10.3</v>
      </c>
      <c r="D517" s="28" t="n">
        <f aca="false">D515/D516</f>
        <v>25.5</v>
      </c>
      <c r="E517" s="28" t="n">
        <f aca="false">E515/E516</f>
        <v>31.9915614370563</v>
      </c>
      <c r="F517" s="28" t="n">
        <f aca="false">F515/F516</f>
        <v>34.4277956697556</v>
      </c>
      <c r="G517" s="28" t="n">
        <f aca="false">G515/G516</f>
        <v>37.2797585022137</v>
      </c>
      <c r="H517" s="31" t="n">
        <f aca="false">H515/H516</f>
        <v>40.1152289691487</v>
      </c>
      <c r="I517" s="31" t="n">
        <f aca="false">I515/I516</f>
        <v>43.3414385562381</v>
      </c>
    </row>
    <row r="518" customFormat="false" ht="17.15" hidden="false" customHeight="false" outlineLevel="0" collapsed="false">
      <c r="A518" s="0" t="s">
        <v>418</v>
      </c>
      <c r="B518" s="0" t="s">
        <v>130</v>
      </c>
      <c r="D518" s="17" t="n">
        <f aca="false">D517/C517-1</f>
        <v>1.47572815533981</v>
      </c>
      <c r="E518" s="17" t="n">
        <f aca="false">E517/D517-1</f>
        <v>0.254571036747305</v>
      </c>
      <c r="F518" s="17" t="n">
        <f aca="false">F517/E517-1</f>
        <v>0.0761524015479103</v>
      </c>
      <c r="G518" s="17" t="n">
        <f aca="false">G517/F517-1</f>
        <v>0.0828389612804485</v>
      </c>
      <c r="H518" s="27" t="n">
        <f aca="false">H517/G517-1</f>
        <v>0.0760592498679036</v>
      </c>
      <c r="I518" s="27" t="n">
        <f aca="false">I517/H517-1</f>
        <v>0.0804235615748472</v>
      </c>
    </row>
    <row r="519" customFormat="false" ht="17.15" hidden="false" customHeight="false" outlineLevel="0" collapsed="false">
      <c r="A519" s="5" t="s">
        <v>419</v>
      </c>
      <c r="B519" s="0" t="s">
        <v>130</v>
      </c>
      <c r="C519" s="23" t="n">
        <f aca="false">C515/C503</f>
        <v>0.0620585178530536</v>
      </c>
      <c r="D519" s="23" t="n">
        <f aca="false">D515/D503</f>
        <v>0.0860625</v>
      </c>
      <c r="E519" s="23" t="n">
        <f aca="false">E515/E503</f>
        <v>0.0805767076856469</v>
      </c>
      <c r="F519" s="23" t="n">
        <f aca="false">F515/F503</f>
        <v>0.0804865646178837</v>
      </c>
      <c r="G519" s="23" t="n">
        <f aca="false">G515/G503</f>
        <v>0.0804243545478773</v>
      </c>
      <c r="H519" s="30" t="n">
        <f aca="false">$G519+(fade_mA-$G519)*1/2</f>
        <v>0.0795248871658001</v>
      </c>
      <c r="I519" s="30" t="n">
        <f aca="false">$G519+(fade_mA-$G519)*2/2</f>
        <v>0.0786254197837229</v>
      </c>
    </row>
    <row r="520" customFormat="false" ht="17.15" hidden="false" customHeight="false" outlineLevel="0" collapsed="false">
      <c r="A520" s="0" t="s">
        <v>420</v>
      </c>
      <c r="B520" s="0" t="s">
        <v>74</v>
      </c>
      <c r="D520" s="20" t="n">
        <f aca="false">D496/(D489+D490)</f>
        <v>8.8622754491018</v>
      </c>
      <c r="E520" s="20" t="n">
        <f aca="false">E496/(E489+E490)</f>
        <v>11.6834319452156</v>
      </c>
      <c r="F520" s="20" t="n">
        <f aca="false">F496/(F489+F490)</f>
        <v>12.0617467870742</v>
      </c>
      <c r="G520" s="20" t="n">
        <f aca="false">G496/(G489+G490)</f>
        <v>11.4886560037218</v>
      </c>
    </row>
    <row r="523" customFormat="false" ht="17.15" hidden="false" customHeight="false" outlineLevel="0" collapsed="false">
      <c r="A523" s="3" t="s">
        <v>758</v>
      </c>
    </row>
    <row r="524" customFormat="false" ht="17.15" hidden="false" customHeight="false" outlineLevel="0" collapsed="false">
      <c r="A524" s="6" t="s">
        <v>20</v>
      </c>
      <c r="B524" s="6" t="s">
        <v>21</v>
      </c>
      <c r="C524" s="14" t="s">
        <v>284</v>
      </c>
      <c r="D524" s="14" t="s">
        <v>371</v>
      </c>
      <c r="E524" s="14" t="s">
        <v>372</v>
      </c>
      <c r="F524" s="14" t="s">
        <v>373</v>
      </c>
      <c r="G524" s="14" t="s">
        <v>374</v>
      </c>
      <c r="H524" s="14" t="s">
        <v>375</v>
      </c>
      <c r="I524" s="14" t="s">
        <v>376</v>
      </c>
      <c r="J524" s="6" t="s">
        <v>344</v>
      </c>
    </row>
    <row r="525" customFormat="false" ht="17.15" hidden="false" customHeight="false" outlineLevel="0" collapsed="false">
      <c r="A525" s="1" t="s">
        <v>394</v>
      </c>
    </row>
    <row r="526" customFormat="false" ht="17.15" hidden="false" customHeight="false" outlineLevel="0" collapsed="false">
      <c r="A526" s="0" t="s">
        <v>395</v>
      </c>
      <c r="B526" s="5" t="s">
        <v>31</v>
      </c>
      <c r="D526" s="18" t="n">
        <f aca="false">ug_26</f>
        <v>6.65</v>
      </c>
      <c r="E526" s="18" t="n">
        <f aca="false">ug_27*1</f>
        <v>2.4</v>
      </c>
      <c r="F526" s="18" t="n">
        <f aca="false">ug_28*um28_A*1</f>
        <v>0.5</v>
      </c>
      <c r="G526" s="18" t="n">
        <f aca="false">ug_29*um29_A*1</f>
        <v>0.25</v>
      </c>
    </row>
    <row r="527" customFormat="false" ht="17.15" hidden="false" customHeight="false" outlineLevel="0" collapsed="false">
      <c r="A527" s="0" t="s">
        <v>396</v>
      </c>
      <c r="B527" s="5" t="s">
        <v>31</v>
      </c>
      <c r="D527" s="18" t="n">
        <f aca="false">uv_26</f>
        <v>1.7</v>
      </c>
      <c r="E527" s="18" t="n">
        <f aca="false">uv_27*1</f>
        <v>8.8</v>
      </c>
      <c r="F527" s="18" t="n">
        <f aca="false">uv_28*um28_A*1</f>
        <v>11</v>
      </c>
      <c r="G527" s="18" t="n">
        <f aca="false">uv_29*um29_A*1</f>
        <v>12.65</v>
      </c>
    </row>
    <row r="528" customFormat="false" ht="17.15" hidden="false" customHeight="false" outlineLevel="0" collapsed="false">
      <c r="A528" s="5" t="s">
        <v>397</v>
      </c>
      <c r="B528" s="0" t="s">
        <v>107</v>
      </c>
      <c r="D528" s="22" t="n">
        <f aca="false">D526*v_gb+D527*v_vr</f>
        <v>595.4861102</v>
      </c>
      <c r="E528" s="22" t="n">
        <f aca="false">E526*v_gb+E527*v_vr</f>
        <v>1170.0000024</v>
      </c>
      <c r="F528" s="22" t="n">
        <f aca="false">F526*v_gb+F527*v_vr</f>
        <v>1313.194448</v>
      </c>
      <c r="G528" s="22" t="n">
        <f aca="false">G526*v_gb+G527*v_vr</f>
        <v>1490.76389305</v>
      </c>
      <c r="J528" s="5" t="s">
        <v>398</v>
      </c>
    </row>
    <row r="529" customFormat="false" ht="17.15" hidden="false" customHeight="false" outlineLevel="0" collapsed="false">
      <c r="A529" s="0" t="s">
        <v>399</v>
      </c>
      <c r="B529" s="0" t="s">
        <v>130</v>
      </c>
      <c r="D529" s="23" t="n">
        <f aca="false">a27_ai/D528</f>
        <v>0.124268221764478</v>
      </c>
      <c r="J529" s="8" t="s">
        <v>400</v>
      </c>
    </row>
    <row r="530" customFormat="false" ht="17.15" hidden="false" customHeight="false" outlineLevel="0" collapsed="false">
      <c r="A530" s="5" t="s">
        <v>401</v>
      </c>
      <c r="B530" s="0" t="s">
        <v>53</v>
      </c>
      <c r="D530" s="18" t="n">
        <f aca="false">1</f>
        <v>1</v>
      </c>
      <c r="E530" s="18" t="n">
        <f aca="false">rel_28</f>
        <v>0.9</v>
      </c>
      <c r="F530" s="18" t="n">
        <f aca="false">rel_29</f>
        <v>0.85</v>
      </c>
      <c r="G530" s="18" t="n">
        <f aca="false">rel_30</f>
        <v>0.8</v>
      </c>
    </row>
    <row r="531" customFormat="false" ht="17.15" hidden="false" customHeight="false" outlineLevel="0" collapsed="false">
      <c r="A531" s="5" t="s">
        <v>402</v>
      </c>
      <c r="B531" s="0" t="s">
        <v>53</v>
      </c>
      <c r="D531" s="18" t="n">
        <f aca="false">1</f>
        <v>1</v>
      </c>
      <c r="E531" s="18" t="n">
        <f aca="false">1</f>
        <v>1</v>
      </c>
      <c r="F531" s="18" t="n">
        <f aca="false">srel_A</f>
        <v>1</v>
      </c>
      <c r="G531" s="18" t="n">
        <f aca="false">srel_A</f>
        <v>1</v>
      </c>
    </row>
    <row r="532" customFormat="false" ht="17.15" hidden="false" customHeight="false" outlineLevel="0" collapsed="false">
      <c r="A532" s="0" t="s">
        <v>353</v>
      </c>
      <c r="B532" s="0" t="s">
        <v>130</v>
      </c>
      <c r="D532" s="23" t="n">
        <f aca="false">$D$529*D530*D531</f>
        <v>0.124268221764478</v>
      </c>
      <c r="E532" s="23" t="n">
        <f aca="false">$D$529*E530*E531</f>
        <v>0.11184139958803</v>
      </c>
      <c r="F532" s="23" t="n">
        <f aca="false">$D$529*F530*F531</f>
        <v>0.105627988499806</v>
      </c>
      <c r="G532" s="23" t="n">
        <f aca="false">$D$529*G530*G531</f>
        <v>0.0994145774115824</v>
      </c>
    </row>
    <row r="533" customFormat="false" ht="17.15" hidden="false" customHeight="false" outlineLevel="0" collapsed="false">
      <c r="A533" s="0" t="s">
        <v>403</v>
      </c>
      <c r="B533" s="0" t="s">
        <v>107</v>
      </c>
      <c r="C533" s="22" t="n">
        <f aca="false">a26_ai</f>
        <v>24.683</v>
      </c>
      <c r="D533" s="22" t="n">
        <f aca="false">D528*D532</f>
        <v>74</v>
      </c>
      <c r="E533" s="22" t="n">
        <f aca="false">E528*E532</f>
        <v>130.854437786415</v>
      </c>
      <c r="F533" s="22" t="n">
        <f aca="false">F528*F532</f>
        <v>138.710088051354</v>
      </c>
      <c r="G533" s="22" t="n">
        <f aca="false">G528*G532</f>
        <v>148.203662448011</v>
      </c>
    </row>
    <row r="534" customFormat="false" ht="17.15" hidden="false" customHeight="false" outlineLevel="0" collapsed="false">
      <c r="A534" s="1" t="s">
        <v>404</v>
      </c>
    </row>
    <row r="535" customFormat="false" ht="15" hidden="false" customHeight="false" outlineLevel="0" collapsed="false">
      <c r="A535" s="5" t="s">
        <v>293</v>
      </c>
      <c r="B535" s="0" t="s">
        <v>107</v>
      </c>
      <c r="C535" s="22" t="n">
        <f aca="false">a26_tr</f>
        <v>19.512</v>
      </c>
      <c r="D535" s="22" t="n">
        <f aca="false">a27_tr</f>
        <v>37.59663</v>
      </c>
      <c r="E535" s="22" t="n">
        <f aca="false">D535*(1+g_tr28_lo)</f>
        <v>31.9571355</v>
      </c>
      <c r="F535" s="22" t="n">
        <f aca="false">E535*(1+g_tr29_lo)</f>
        <v>30.359278725</v>
      </c>
      <c r="G535" s="22" t="n">
        <f aca="false">F535*(1+g_tr30_lo)</f>
        <v>29.44850036325</v>
      </c>
    </row>
    <row r="536" customFormat="false" ht="15" hidden="false" customHeight="false" outlineLevel="0" collapsed="false">
      <c r="A536" s="5" t="s">
        <v>296</v>
      </c>
      <c r="B536" s="0" t="s">
        <v>107</v>
      </c>
      <c r="C536" s="22" t="n">
        <f aca="false">a26_st</f>
        <v>16.631</v>
      </c>
      <c r="D536" s="22" t="n">
        <f aca="false">a27_st</f>
        <v>19.47008</v>
      </c>
      <c r="E536" s="22" t="n">
        <f aca="false">D536*(1+g_st28)</f>
        <v>20.2488832</v>
      </c>
      <c r="F536" s="22" t="n">
        <f aca="false">E536*(1+g_st29)</f>
        <v>21.058838528</v>
      </c>
      <c r="G536" s="22" t="n">
        <f aca="false">F536*(1+g_st30)</f>
        <v>21.90119206912</v>
      </c>
    </row>
    <row r="537" customFormat="false" ht="17.15" hidden="false" customHeight="false" outlineLevel="0" collapsed="false">
      <c r="A537" s="0" t="s">
        <v>299</v>
      </c>
      <c r="B537" s="0" t="s">
        <v>107</v>
      </c>
      <c r="C537" s="22" t="n">
        <f aca="false">C533+C535+C536</f>
        <v>60.826</v>
      </c>
      <c r="D537" s="22" t="n">
        <f aca="false">D533+D535+D536</f>
        <v>131.06671</v>
      </c>
      <c r="E537" s="22" t="n">
        <f aca="false">E533+E535+E536</f>
        <v>183.060456486415</v>
      </c>
      <c r="F537" s="22" t="n">
        <f aca="false">F533+F535+F536</f>
        <v>190.128205304354</v>
      </c>
      <c r="G537" s="22" t="n">
        <f aca="false">G533+G535+G536</f>
        <v>199.553354880381</v>
      </c>
    </row>
    <row r="538" customFormat="false" ht="17.15" hidden="false" customHeight="false" outlineLevel="0" collapsed="false">
      <c r="A538" s="0" t="s">
        <v>405</v>
      </c>
      <c r="B538" s="0" t="s">
        <v>107</v>
      </c>
      <c r="C538" s="22" t="n">
        <f aca="false">a26_csg</f>
        <v>50.984</v>
      </c>
      <c r="D538" s="22" t="n">
        <f aca="false">a27_csg</f>
        <v>60.17529</v>
      </c>
      <c r="E538" s="22" t="n">
        <f aca="false">D538*(1+g_csg28)</f>
        <v>61.9805487</v>
      </c>
      <c r="F538" s="22" t="n">
        <f aca="false">E538*(1+g_csg29)</f>
        <v>63.839965161</v>
      </c>
      <c r="G538" s="22" t="n">
        <f aca="false">F538*(1+g_csg30)</f>
        <v>65.75516411583</v>
      </c>
    </row>
    <row r="539" customFormat="false" ht="17.15" hidden="false" customHeight="false" outlineLevel="0" collapsed="false">
      <c r="A539" s="5" t="s">
        <v>406</v>
      </c>
      <c r="B539" s="0" t="s">
        <v>107</v>
      </c>
      <c r="C539" s="22" t="n">
        <f aca="false">a26_oth</f>
        <v>1.72799999999999</v>
      </c>
      <c r="D539" s="22" t="n">
        <f aca="false">a27_oth</f>
        <v>0.75800000000001</v>
      </c>
      <c r="E539" s="22" t="n">
        <f aca="false">D539</f>
        <v>0.75800000000001</v>
      </c>
      <c r="F539" s="22" t="n">
        <f aca="false">E539</f>
        <v>0.75800000000001</v>
      </c>
      <c r="G539" s="22" t="n">
        <f aca="false">F539</f>
        <v>0.75800000000001</v>
      </c>
      <c r="J539" s="8" t="s">
        <v>407</v>
      </c>
    </row>
    <row r="540" customFormat="false" ht="17.15" hidden="false" customHeight="false" outlineLevel="0" collapsed="false">
      <c r="A540" s="5" t="s">
        <v>306</v>
      </c>
      <c r="B540" s="0" t="s">
        <v>107</v>
      </c>
      <c r="C540" s="22" t="n">
        <f aca="false">C537+C538+C539</f>
        <v>113.538</v>
      </c>
      <c r="D540" s="22" t="n">
        <f aca="false">D537+D538+D539</f>
        <v>192</v>
      </c>
      <c r="E540" s="22" t="n">
        <f aca="false">E537+E538+E539</f>
        <v>245.799005186415</v>
      </c>
      <c r="F540" s="22" t="n">
        <f aca="false">F537+F538+F539</f>
        <v>254.726170465354</v>
      </c>
      <c r="G540" s="22" t="n">
        <f aca="false">G537+G538+G539</f>
        <v>266.066518996211</v>
      </c>
      <c r="H540" s="26" t="n">
        <f aca="false">G540*(1+H541)</f>
        <v>279.971123641359</v>
      </c>
      <c r="I540" s="26" t="n">
        <f aca="false">H540*(1+I541)</f>
        <v>296.76939105984</v>
      </c>
      <c r="J540" s="8" t="s">
        <v>408</v>
      </c>
    </row>
    <row r="541" customFormat="false" ht="15" hidden="false" customHeight="false" outlineLevel="0" collapsed="false">
      <c r="A541" s="5" t="s">
        <v>409</v>
      </c>
      <c r="B541" s="0" t="s">
        <v>130</v>
      </c>
      <c r="D541" s="17" t="n">
        <f aca="false">D540/C540-1</f>
        <v>0.691063784812134</v>
      </c>
      <c r="E541" s="17" t="n">
        <f aca="false">E540/D540-1</f>
        <v>0.280203152012577</v>
      </c>
      <c r="F541" s="17" t="n">
        <f aca="false">F540/E540-1</f>
        <v>0.0363189642373385</v>
      </c>
      <c r="G541" s="17" t="n">
        <f aca="false">G540/F540-1</f>
        <v>0.0445197621828188</v>
      </c>
      <c r="H541" s="27" t="n">
        <f aca="false">$G541+(fade_gA-$G541)*1/2</f>
        <v>0.0522598810914094</v>
      </c>
      <c r="I541" s="27" t="n">
        <f aca="false">$G541+(fade_gA-$G541)*2/2</f>
        <v>0.06</v>
      </c>
    </row>
    <row r="542" customFormat="false" ht="17.15" hidden="false" customHeight="false" outlineLevel="0" collapsed="false">
      <c r="A542" s="0" t="s">
        <v>410</v>
      </c>
      <c r="B542" s="0" t="s">
        <v>130</v>
      </c>
      <c r="C542" s="17" t="n">
        <f aca="false">C533/C540</f>
        <v>0.217398580211031</v>
      </c>
      <c r="D542" s="17" t="n">
        <f aca="false">D533/D540</f>
        <v>0.385416666666667</v>
      </c>
      <c r="E542" s="17" t="n">
        <f aca="false">E533/E540</f>
        <v>0.532363577660432</v>
      </c>
      <c r="F542" s="17" t="n">
        <f aca="false">F533/F540</f>
        <v>0.544545885481445</v>
      </c>
      <c r="G542" s="17" t="n">
        <f aca="false">G533/G540</f>
        <v>0.557017331632477</v>
      </c>
    </row>
    <row r="543" customFormat="false" ht="17.15" hidden="false" customHeight="false" outlineLevel="0" collapsed="false">
      <c r="A543" s="1" t="s">
        <v>411</v>
      </c>
    </row>
    <row r="544" customFormat="false" ht="17.15" hidden="false" customHeight="false" outlineLevel="0" collapsed="false">
      <c r="A544" s="0" t="s">
        <v>383</v>
      </c>
      <c r="B544" s="0" t="s">
        <v>130</v>
      </c>
      <c r="C544" s="23" t="n">
        <f aca="false">(a26_isgoi-m_nai*(a26_tr+a26_st))/a26_ai</f>
        <v>0.0538070736944455</v>
      </c>
      <c r="D544" s="23" t="n">
        <f aca="false">(a27_isgoi-m_nai*(a27_tr+a27_st))/a27_ai</f>
        <v>0.110710097972973</v>
      </c>
      <c r="E544" s="23" t="n">
        <f aca="false">$D544+ai_dm</f>
        <v>0.100710097972973</v>
      </c>
      <c r="F544" s="23" t="n">
        <f aca="false">$D544+ai_dm+dm_A</f>
        <v>0.100710097972973</v>
      </c>
      <c r="G544" s="23" t="n">
        <f aca="false">$D544+ai_dm+dm_A</f>
        <v>0.100710097972973</v>
      </c>
      <c r="J544" s="8" t="s">
        <v>412</v>
      </c>
    </row>
    <row r="545" customFormat="false" ht="17.15" hidden="false" customHeight="false" outlineLevel="0" collapsed="false">
      <c r="A545" s="5" t="s">
        <v>413</v>
      </c>
      <c r="B545" s="0" t="s">
        <v>130</v>
      </c>
      <c r="C545" s="23" t="n">
        <f aca="false">m_nai</f>
        <v>0.16</v>
      </c>
      <c r="D545" s="23" t="n">
        <f aca="false">m_nai</f>
        <v>0.16</v>
      </c>
      <c r="E545" s="23" t="n">
        <f aca="false">m_naif</f>
        <v>0.155</v>
      </c>
      <c r="F545" s="23" t="n">
        <f aca="false">m_naif</f>
        <v>0.155</v>
      </c>
      <c r="G545" s="23" t="n">
        <f aca="false">m_naif</f>
        <v>0.155</v>
      </c>
    </row>
    <row r="546" customFormat="false" ht="17.15" hidden="false" customHeight="false" outlineLevel="0" collapsed="false">
      <c r="A546" s="0" t="s">
        <v>308</v>
      </c>
      <c r="B546" s="0" t="s">
        <v>107</v>
      </c>
      <c r="C546" s="28" t="n">
        <f aca="false">a26_isgoi</f>
        <v>7.111</v>
      </c>
      <c r="D546" s="28" t="n">
        <f aca="false">a27_isgoi</f>
        <v>17.32322085</v>
      </c>
      <c r="E546" s="28" t="n">
        <f aca="false">E533*E544+(E535+E536)*E545</f>
        <v>21.2702961481681</v>
      </c>
      <c r="F546" s="28" t="n">
        <f aca="false">F533*F544+(F535+F536)*F545</f>
        <v>21.9393147317065</v>
      </c>
      <c r="G546" s="28" t="n">
        <f aca="false">G533*G544+(G535+G536)*G545</f>
        <v>22.88480769211</v>
      </c>
    </row>
    <row r="547" customFormat="false" ht="17.15" hidden="false" customHeight="false" outlineLevel="0" collapsed="false">
      <c r="A547" s="0" t="s">
        <v>414</v>
      </c>
      <c r="B547" s="0" t="s">
        <v>130</v>
      </c>
      <c r="C547" s="23" t="n">
        <f aca="false">a26_csgoi/C538</f>
        <v>0.0555664522203044</v>
      </c>
      <c r="D547" s="23" t="n">
        <f aca="false">a27_csgoi/D538</f>
        <v>0.0764752733223222</v>
      </c>
      <c r="E547" s="23" t="n">
        <f aca="false">m_csgf</f>
        <v>0.07</v>
      </c>
      <c r="F547" s="23" t="n">
        <f aca="false">m_csgf</f>
        <v>0.07</v>
      </c>
      <c r="G547" s="23" t="n">
        <f aca="false">m_csgf</f>
        <v>0.07</v>
      </c>
    </row>
    <row r="548" customFormat="false" ht="17.15" hidden="false" customHeight="false" outlineLevel="0" collapsed="false">
      <c r="A548" s="0" t="s">
        <v>310</v>
      </c>
      <c r="B548" s="0" t="s">
        <v>107</v>
      </c>
      <c r="C548" s="28" t="n">
        <f aca="false">C538*C547</f>
        <v>2.833</v>
      </c>
      <c r="D548" s="28" t="n">
        <f aca="false">D538*D547</f>
        <v>4.60192175</v>
      </c>
      <c r="E548" s="28" t="n">
        <f aca="false">E538*E547</f>
        <v>4.338638409</v>
      </c>
      <c r="F548" s="28" t="n">
        <f aca="false">F538*F547</f>
        <v>4.46879756127</v>
      </c>
      <c r="G548" s="28" t="n">
        <f aca="false">G538*G547</f>
        <v>4.6028614881081</v>
      </c>
    </row>
    <row r="549" customFormat="false" ht="17.15" hidden="false" customHeight="false" outlineLevel="0" collapsed="false">
      <c r="A549" s="5" t="s">
        <v>415</v>
      </c>
      <c r="B549" s="0" t="s">
        <v>107</v>
      </c>
      <c r="C549" s="28" t="n">
        <f aca="false">C546+C548</f>
        <v>9.944</v>
      </c>
      <c r="D549" s="28" t="n">
        <f aca="false">D546+D548</f>
        <v>21.9251426</v>
      </c>
      <c r="E549" s="28" t="n">
        <f aca="false">E546+E548</f>
        <v>25.6089345571681</v>
      </c>
      <c r="F549" s="28" t="n">
        <f aca="false">F546+F548</f>
        <v>26.4081122929765</v>
      </c>
      <c r="G549" s="28" t="n">
        <f aca="false">G546+G548</f>
        <v>27.4876691802181</v>
      </c>
    </row>
    <row r="550" customFormat="false" ht="15" hidden="false" customHeight="false" outlineLevel="0" collapsed="false">
      <c r="A550" s="5" t="s">
        <v>384</v>
      </c>
      <c r="B550" s="0" t="s">
        <v>130</v>
      </c>
      <c r="C550" s="23" t="n">
        <f aca="false">C549/C540</f>
        <v>0.0875830118550617</v>
      </c>
      <c r="D550" s="23" t="n">
        <f aca="false">D549/D540</f>
        <v>0.114193451041667</v>
      </c>
      <c r="E550" s="23" t="n">
        <f aca="false">E549/E540</f>
        <v>0.104186485774205</v>
      </c>
      <c r="F550" s="23" t="n">
        <f aca="false">F549/F540</f>
        <v>0.103672552548221</v>
      </c>
      <c r="G550" s="23" t="n">
        <f aca="false">G549/G540</f>
        <v>0.10331126698662</v>
      </c>
    </row>
    <row r="551" customFormat="false" ht="17.15" hidden="false" customHeight="false" outlineLevel="0" collapsed="false">
      <c r="A551" s="5" t="s">
        <v>416</v>
      </c>
      <c r="B551" s="0" t="s">
        <v>130</v>
      </c>
      <c r="C551" s="17" t="n">
        <f aca="false">a26_ni/a26_oi</f>
        <v>0.708567980691875</v>
      </c>
      <c r="D551" s="17" t="n">
        <f aca="false">a27_ni/a27_oi</f>
        <v>0.753655303477935</v>
      </c>
      <c r="E551" s="17" t="n">
        <f aca="false">nio_f</f>
        <v>0.75</v>
      </c>
      <c r="F551" s="17" t="n">
        <f aca="false">nio_f</f>
        <v>0.75</v>
      </c>
      <c r="G551" s="17" t="n">
        <f aca="false">nio_f</f>
        <v>0.75</v>
      </c>
    </row>
    <row r="552" customFormat="false" ht="17.15" hidden="false" customHeight="false" outlineLevel="0" collapsed="false">
      <c r="A552" s="0" t="s">
        <v>316</v>
      </c>
      <c r="B552" s="0" t="s">
        <v>107</v>
      </c>
      <c r="C552" s="28" t="n">
        <f aca="false">a26_ni</f>
        <v>7.046</v>
      </c>
      <c r="D552" s="28" t="n">
        <f aca="false">a27_ni</f>
        <v>16.524</v>
      </c>
      <c r="E552" s="28" t="n">
        <f aca="false">E549*E551</f>
        <v>19.2067009178761</v>
      </c>
      <c r="F552" s="28" t="n">
        <f aca="false">F549*F551</f>
        <v>19.8060842197324</v>
      </c>
      <c r="G552" s="28" t="n">
        <f aca="false">G549*G551</f>
        <v>20.6157518851636</v>
      </c>
      <c r="H552" s="29" t="n">
        <f aca="false">H540*H556</f>
        <v>21.8529878754573</v>
      </c>
      <c r="I552" s="29" t="n">
        <f aca="false">I540*I556</f>
        <v>23.3336179510397</v>
      </c>
    </row>
    <row r="553" customFormat="false" ht="15" hidden="false" customHeight="false" outlineLevel="0" collapsed="false">
      <c r="A553" s="5" t="s">
        <v>417</v>
      </c>
      <c r="B553" s="5" t="s">
        <v>143</v>
      </c>
      <c r="C553" s="32" t="n">
        <f aca="false">a26_sh</f>
        <v>0.684077669902913</v>
      </c>
      <c r="D553" s="32" t="n">
        <f aca="false">a27_sh</f>
        <v>0.648</v>
      </c>
      <c r="E553" s="32" t="n">
        <f aca="false">D553*(1+sh_g)</f>
        <v>0.62856</v>
      </c>
      <c r="F553" s="32" t="n">
        <f aca="false">E553*(1+sh_g)</f>
        <v>0.6097032</v>
      </c>
      <c r="G553" s="32" t="n">
        <f aca="false">F553*(1+sh_g)</f>
        <v>0.591412104</v>
      </c>
      <c r="H553" s="33" t="n">
        <f aca="false">G553*(1+sh_g)</f>
        <v>0.57366974088</v>
      </c>
      <c r="I553" s="33" t="n">
        <f aca="false">H553*(1+sh_g)</f>
        <v>0.5564596486536</v>
      </c>
    </row>
    <row r="554" customFormat="false" ht="15" hidden="false" customHeight="false" outlineLevel="0" collapsed="false">
      <c r="A554" s="0" t="s">
        <v>324</v>
      </c>
      <c r="B554" s="0" t="s">
        <v>117</v>
      </c>
      <c r="C554" s="28" t="n">
        <f aca="false">C552/C553</f>
        <v>10.3</v>
      </c>
      <c r="D554" s="28" t="n">
        <f aca="false">D552/D553</f>
        <v>25.5</v>
      </c>
      <c r="E554" s="28" t="n">
        <f aca="false">E552/E553</f>
        <v>30.5566706724515</v>
      </c>
      <c r="F554" s="28" t="n">
        <f aca="false">F552/F553</f>
        <v>32.4847962414047</v>
      </c>
      <c r="G554" s="28" t="n">
        <f aca="false">G552/G553</f>
        <v>34.8585220791551</v>
      </c>
      <c r="H554" s="31" t="n">
        <f aca="false">H552/H553</f>
        <v>38.0933249885817</v>
      </c>
      <c r="I554" s="31" t="n">
        <f aca="false">I552/I553</f>
        <v>41.9322730902364</v>
      </c>
    </row>
    <row r="555" customFormat="false" ht="17.15" hidden="false" customHeight="false" outlineLevel="0" collapsed="false">
      <c r="A555" s="0" t="s">
        <v>418</v>
      </c>
      <c r="B555" s="0" t="s">
        <v>130</v>
      </c>
      <c r="D555" s="17" t="n">
        <f aca="false">D554/C554-1</f>
        <v>1.47572815533981</v>
      </c>
      <c r="E555" s="17" t="n">
        <f aca="false">E554/D554-1</f>
        <v>0.198300810684371</v>
      </c>
      <c r="F555" s="17" t="n">
        <f aca="false">F554/E554-1</f>
        <v>0.063099988530213</v>
      </c>
      <c r="G555" s="17" t="n">
        <f aca="false">G554/F554-1</f>
        <v>0.0730719017016617</v>
      </c>
      <c r="H555" s="27" t="n">
        <f aca="false">H554/G554-1</f>
        <v>0.0927980509925577</v>
      </c>
      <c r="I555" s="27" t="n">
        <f aca="false">I554/H554-1</f>
        <v>0.100777448616139</v>
      </c>
    </row>
    <row r="556" customFormat="false" ht="17.15" hidden="false" customHeight="false" outlineLevel="0" collapsed="false">
      <c r="A556" s="5" t="s">
        <v>419</v>
      </c>
      <c r="B556" s="0" t="s">
        <v>130</v>
      </c>
      <c r="C556" s="23" t="n">
        <f aca="false">C552/C540</f>
        <v>0.0620585178530536</v>
      </c>
      <c r="D556" s="23" t="n">
        <f aca="false">D552/D540</f>
        <v>0.0860625</v>
      </c>
      <c r="E556" s="23" t="n">
        <f aca="false">E552/E540</f>
        <v>0.0781398643306537</v>
      </c>
      <c r="F556" s="23" t="n">
        <f aca="false">F552/F540</f>
        <v>0.0777544144111659</v>
      </c>
      <c r="G556" s="23" t="n">
        <f aca="false">G552/G540</f>
        <v>0.0774834502399647</v>
      </c>
      <c r="H556" s="30" t="n">
        <f aca="false">$G556+(fade_mA-$G556)*1/2</f>
        <v>0.0780544350118438</v>
      </c>
      <c r="I556" s="30" t="n">
        <f aca="false">$G556+(fade_mA-$G556)*2/2</f>
        <v>0.0786254197837229</v>
      </c>
    </row>
    <row r="557" customFormat="false" ht="17.15" hidden="false" customHeight="false" outlineLevel="0" collapsed="false">
      <c r="A557" s="0" t="s">
        <v>420</v>
      </c>
      <c r="B557" s="0" t="s">
        <v>74</v>
      </c>
      <c r="D557" s="20" t="n">
        <f aca="false">D533/(D526+D527)</f>
        <v>8.8622754491018</v>
      </c>
      <c r="E557" s="20" t="n">
        <f aca="false">E533/(E526+E527)</f>
        <v>11.6834319452156</v>
      </c>
      <c r="F557" s="20" t="n">
        <f aca="false">F533/(F526+F527)</f>
        <v>12.0617467870742</v>
      </c>
      <c r="G557" s="20" t="n">
        <f aca="false">G533/(G526+G527)</f>
        <v>11.4886560037218</v>
      </c>
    </row>
    <row r="560" customFormat="false" ht="17.15" hidden="false" customHeight="false" outlineLevel="0" collapsed="false">
      <c r="A560" s="3" t="s">
        <v>759</v>
      </c>
    </row>
    <row r="561" customFormat="false" ht="17.15" hidden="false" customHeight="false" outlineLevel="0" collapsed="false">
      <c r="A561" s="6" t="s">
        <v>20</v>
      </c>
      <c r="B561" s="6" t="s">
        <v>21</v>
      </c>
      <c r="C561" s="14" t="s">
        <v>284</v>
      </c>
      <c r="D561" s="14" t="s">
        <v>371</v>
      </c>
      <c r="E561" s="14" t="s">
        <v>372</v>
      </c>
      <c r="F561" s="14" t="s">
        <v>373</v>
      </c>
      <c r="G561" s="14" t="s">
        <v>374</v>
      </c>
      <c r="H561" s="14" t="s">
        <v>375</v>
      </c>
      <c r="I561" s="14" t="s">
        <v>376</v>
      </c>
      <c r="J561" s="6" t="s">
        <v>344</v>
      </c>
    </row>
    <row r="562" customFormat="false" ht="17.15" hidden="false" customHeight="false" outlineLevel="0" collapsed="false">
      <c r="A562" s="1" t="s">
        <v>394</v>
      </c>
    </row>
    <row r="563" customFormat="false" ht="17.15" hidden="false" customHeight="false" outlineLevel="0" collapsed="false">
      <c r="A563" s="0" t="s">
        <v>395</v>
      </c>
      <c r="B563" s="5" t="s">
        <v>31</v>
      </c>
      <c r="D563" s="18" t="n">
        <f aca="false">ug_26</f>
        <v>6.65</v>
      </c>
      <c r="E563" s="18" t="n">
        <f aca="false">ug_27*1</f>
        <v>2.4</v>
      </c>
      <c r="F563" s="18" t="n">
        <f aca="false">ug_28*um28_A*1</f>
        <v>0.5</v>
      </c>
      <c r="G563" s="18" t="n">
        <f aca="false">ug_29*um29_A*1</f>
        <v>0.25</v>
      </c>
    </row>
    <row r="564" customFormat="false" ht="17.15" hidden="false" customHeight="false" outlineLevel="0" collapsed="false">
      <c r="A564" s="0" t="s">
        <v>396</v>
      </c>
      <c r="B564" s="5" t="s">
        <v>31</v>
      </c>
      <c r="D564" s="18" t="n">
        <f aca="false">uv_26</f>
        <v>1.7</v>
      </c>
      <c r="E564" s="18" t="n">
        <f aca="false">uv_27*1</f>
        <v>8.8</v>
      </c>
      <c r="F564" s="18" t="n">
        <f aca="false">uv_28*um28_A*1</f>
        <v>11</v>
      </c>
      <c r="G564" s="18" t="n">
        <f aca="false">uv_29*um29_A*1</f>
        <v>12.65</v>
      </c>
    </row>
    <row r="565" customFormat="false" ht="17.15" hidden="false" customHeight="false" outlineLevel="0" collapsed="false">
      <c r="A565" s="5" t="s">
        <v>397</v>
      </c>
      <c r="B565" s="0" t="s">
        <v>107</v>
      </c>
      <c r="D565" s="22" t="n">
        <f aca="false">D563*v_gb+D564*v_vr</f>
        <v>595.4861102</v>
      </c>
      <c r="E565" s="22" t="n">
        <f aca="false">E563*v_gb+E564*v_vr</f>
        <v>1170.0000024</v>
      </c>
      <c r="F565" s="22" t="n">
        <f aca="false">F563*v_gb+F564*v_vr</f>
        <v>1313.194448</v>
      </c>
      <c r="G565" s="22" t="n">
        <f aca="false">G563*v_gb+G564*v_vr</f>
        <v>1490.76389305</v>
      </c>
      <c r="J565" s="5" t="s">
        <v>398</v>
      </c>
    </row>
    <row r="566" customFormat="false" ht="17.15" hidden="false" customHeight="false" outlineLevel="0" collapsed="false">
      <c r="A566" s="0" t="s">
        <v>399</v>
      </c>
      <c r="B566" s="0" t="s">
        <v>130</v>
      </c>
      <c r="D566" s="23" t="n">
        <f aca="false">a27_ai/D565</f>
        <v>0.124268221764478</v>
      </c>
      <c r="J566" s="8" t="s">
        <v>400</v>
      </c>
    </row>
    <row r="567" customFormat="false" ht="17.15" hidden="false" customHeight="false" outlineLevel="0" collapsed="false">
      <c r="A567" s="5" t="s">
        <v>401</v>
      </c>
      <c r="B567" s="0" t="s">
        <v>53</v>
      </c>
      <c r="D567" s="18" t="n">
        <f aca="false">1</f>
        <v>1</v>
      </c>
      <c r="E567" s="18" t="n">
        <f aca="false">rel_28</f>
        <v>0.9</v>
      </c>
      <c r="F567" s="18" t="n">
        <f aca="false">rel_29</f>
        <v>0.85</v>
      </c>
      <c r="G567" s="18" t="n">
        <f aca="false">rel_30</f>
        <v>0.8</v>
      </c>
    </row>
    <row r="568" customFormat="false" ht="17.15" hidden="false" customHeight="false" outlineLevel="0" collapsed="false">
      <c r="A568" s="5" t="s">
        <v>402</v>
      </c>
      <c r="B568" s="0" t="s">
        <v>53</v>
      </c>
      <c r="D568" s="18" t="n">
        <f aca="false">1</f>
        <v>1</v>
      </c>
      <c r="E568" s="18" t="n">
        <f aca="false">1</f>
        <v>1</v>
      </c>
      <c r="F568" s="18" t="n">
        <f aca="false">srel_A</f>
        <v>1</v>
      </c>
      <c r="G568" s="18" t="n">
        <f aca="false">srel_A</f>
        <v>1</v>
      </c>
    </row>
    <row r="569" customFormat="false" ht="17.15" hidden="false" customHeight="false" outlineLevel="0" collapsed="false">
      <c r="A569" s="0" t="s">
        <v>353</v>
      </c>
      <c r="B569" s="0" t="s">
        <v>130</v>
      </c>
      <c r="D569" s="23" t="n">
        <f aca="false">$D$566*D567*D568</f>
        <v>0.124268221764478</v>
      </c>
      <c r="E569" s="23" t="n">
        <f aca="false">$D$566*E567*E568</f>
        <v>0.11184139958803</v>
      </c>
      <c r="F569" s="23" t="n">
        <f aca="false">$D$566*F567*F568</f>
        <v>0.105627988499806</v>
      </c>
      <c r="G569" s="23" t="n">
        <f aca="false">$D$566*G567*G568</f>
        <v>0.0994145774115824</v>
      </c>
    </row>
    <row r="570" customFormat="false" ht="17.15" hidden="false" customHeight="false" outlineLevel="0" collapsed="false">
      <c r="A570" s="0" t="s">
        <v>403</v>
      </c>
      <c r="B570" s="0" t="s">
        <v>107</v>
      </c>
      <c r="C570" s="22" t="n">
        <f aca="false">a26_ai</f>
        <v>24.683</v>
      </c>
      <c r="D570" s="22" t="n">
        <f aca="false">D565*D569</f>
        <v>74</v>
      </c>
      <c r="E570" s="22" t="n">
        <f aca="false">E565*E569</f>
        <v>130.854437786415</v>
      </c>
      <c r="F570" s="22" t="n">
        <f aca="false">F565*F569</f>
        <v>138.710088051354</v>
      </c>
      <c r="G570" s="22" t="n">
        <f aca="false">G565*G569</f>
        <v>148.203662448011</v>
      </c>
    </row>
    <row r="571" customFormat="false" ht="17.15" hidden="false" customHeight="false" outlineLevel="0" collapsed="false">
      <c r="A571" s="1" t="s">
        <v>404</v>
      </c>
    </row>
    <row r="572" customFormat="false" ht="15" hidden="false" customHeight="false" outlineLevel="0" collapsed="false">
      <c r="A572" s="5" t="s">
        <v>293</v>
      </c>
      <c r="B572" s="0" t="s">
        <v>107</v>
      </c>
      <c r="C572" s="22" t="n">
        <f aca="false">a26_tr</f>
        <v>19.512</v>
      </c>
      <c r="D572" s="22" t="n">
        <f aca="false">a27_tr</f>
        <v>37.59663</v>
      </c>
      <c r="E572" s="22" t="n">
        <f aca="false">D572*(1+g_tr28_hi)</f>
        <v>39.4764615</v>
      </c>
      <c r="F572" s="22" t="n">
        <f aca="false">E572*(1+g_tr29_hi)</f>
        <v>41.84504919</v>
      </c>
      <c r="G572" s="22" t="n">
        <f aca="false">F572*(1+g_tr30_hi)</f>
        <v>44.3557521414</v>
      </c>
    </row>
    <row r="573" customFormat="false" ht="15" hidden="false" customHeight="false" outlineLevel="0" collapsed="false">
      <c r="A573" s="5" t="s">
        <v>296</v>
      </c>
      <c r="B573" s="0" t="s">
        <v>107</v>
      </c>
      <c r="C573" s="22" t="n">
        <f aca="false">a26_st</f>
        <v>16.631</v>
      </c>
      <c r="D573" s="22" t="n">
        <f aca="false">a27_st</f>
        <v>19.47008</v>
      </c>
      <c r="E573" s="22" t="n">
        <f aca="false">D573*(1+g_st28)</f>
        <v>20.2488832</v>
      </c>
      <c r="F573" s="22" t="n">
        <f aca="false">E573*(1+g_st29)</f>
        <v>21.058838528</v>
      </c>
      <c r="G573" s="22" t="n">
        <f aca="false">F573*(1+g_st30)</f>
        <v>21.90119206912</v>
      </c>
    </row>
    <row r="574" customFormat="false" ht="17.15" hidden="false" customHeight="false" outlineLevel="0" collapsed="false">
      <c r="A574" s="0" t="s">
        <v>299</v>
      </c>
      <c r="B574" s="0" t="s">
        <v>107</v>
      </c>
      <c r="C574" s="22" t="n">
        <f aca="false">C570+C572+C573</f>
        <v>60.826</v>
      </c>
      <c r="D574" s="22" t="n">
        <f aca="false">D570+D572+D573</f>
        <v>131.06671</v>
      </c>
      <c r="E574" s="22" t="n">
        <f aca="false">E570+E572+E573</f>
        <v>190.579782486415</v>
      </c>
      <c r="F574" s="22" t="n">
        <f aca="false">F570+F572+F573</f>
        <v>201.613975769354</v>
      </c>
      <c r="G574" s="22" t="n">
        <f aca="false">G570+G572+G573</f>
        <v>214.460606658531</v>
      </c>
    </row>
    <row r="575" customFormat="false" ht="17.15" hidden="false" customHeight="false" outlineLevel="0" collapsed="false">
      <c r="A575" s="0" t="s">
        <v>405</v>
      </c>
      <c r="B575" s="0" t="s">
        <v>107</v>
      </c>
      <c r="C575" s="22" t="n">
        <f aca="false">a26_csg</f>
        <v>50.984</v>
      </c>
      <c r="D575" s="22" t="n">
        <f aca="false">a27_csg</f>
        <v>60.17529</v>
      </c>
      <c r="E575" s="22" t="n">
        <f aca="false">D575*(1+g_csg28)</f>
        <v>61.9805487</v>
      </c>
      <c r="F575" s="22" t="n">
        <f aca="false">E575*(1+g_csg29)</f>
        <v>63.839965161</v>
      </c>
      <c r="G575" s="22" t="n">
        <f aca="false">F575*(1+g_csg30)</f>
        <v>65.75516411583</v>
      </c>
    </row>
    <row r="576" customFormat="false" ht="17.15" hidden="false" customHeight="false" outlineLevel="0" collapsed="false">
      <c r="A576" s="5" t="s">
        <v>406</v>
      </c>
      <c r="B576" s="0" t="s">
        <v>107</v>
      </c>
      <c r="C576" s="22" t="n">
        <f aca="false">a26_oth</f>
        <v>1.72799999999999</v>
      </c>
      <c r="D576" s="22" t="n">
        <f aca="false">a27_oth</f>
        <v>0.75800000000001</v>
      </c>
      <c r="E576" s="22" t="n">
        <f aca="false">D576</f>
        <v>0.75800000000001</v>
      </c>
      <c r="F576" s="22" t="n">
        <f aca="false">E576</f>
        <v>0.75800000000001</v>
      </c>
      <c r="G576" s="22" t="n">
        <f aca="false">F576</f>
        <v>0.75800000000001</v>
      </c>
      <c r="J576" s="8" t="s">
        <v>407</v>
      </c>
    </row>
    <row r="577" customFormat="false" ht="17.15" hidden="false" customHeight="false" outlineLevel="0" collapsed="false">
      <c r="A577" s="5" t="s">
        <v>306</v>
      </c>
      <c r="B577" s="0" t="s">
        <v>107</v>
      </c>
      <c r="C577" s="22" t="n">
        <f aca="false">C574+C575+C576</f>
        <v>113.538</v>
      </c>
      <c r="D577" s="22" t="n">
        <f aca="false">D574+D575+D576</f>
        <v>192</v>
      </c>
      <c r="E577" s="22" t="n">
        <f aca="false">E574+E575+E576</f>
        <v>253.318331186415</v>
      </c>
      <c r="F577" s="22" t="n">
        <f aca="false">F574+F575+F576</f>
        <v>266.211940930354</v>
      </c>
      <c r="G577" s="22" t="n">
        <f aca="false">G574+G575+G576</f>
        <v>280.973770774361</v>
      </c>
      <c r="H577" s="26" t="n">
        <f aca="false">G577*(1+H578)</f>
        <v>297.19318102456</v>
      </c>
      <c r="I577" s="26" t="n">
        <f aca="false">H577*(1+I578)</f>
        <v>315.024771886034</v>
      </c>
      <c r="J577" s="8" t="s">
        <v>408</v>
      </c>
    </row>
    <row r="578" customFormat="false" ht="15" hidden="false" customHeight="false" outlineLevel="0" collapsed="false">
      <c r="A578" s="5" t="s">
        <v>409</v>
      </c>
      <c r="B578" s="0" t="s">
        <v>130</v>
      </c>
      <c r="D578" s="17" t="n">
        <f aca="false">D577/C577-1</f>
        <v>0.691063784812134</v>
      </c>
      <c r="E578" s="17" t="n">
        <f aca="false">E577/D577-1</f>
        <v>0.319366308262577</v>
      </c>
      <c r="F578" s="17" t="n">
        <f aca="false">F577/E577-1</f>
        <v>0.0508988421151824</v>
      </c>
      <c r="G578" s="17" t="n">
        <f aca="false">G577/F577-1</f>
        <v>0.0554514188673065</v>
      </c>
      <c r="H578" s="27" t="n">
        <f aca="false">$G578+(fade_gA-$G578)*1/2</f>
        <v>0.0577257094336533</v>
      </c>
      <c r="I578" s="27" t="n">
        <f aca="false">$G578+(fade_gA-$G578)*2/2</f>
        <v>0.06</v>
      </c>
    </row>
    <row r="579" customFormat="false" ht="17.15" hidden="false" customHeight="false" outlineLevel="0" collapsed="false">
      <c r="A579" s="0" t="s">
        <v>410</v>
      </c>
      <c r="B579" s="0" t="s">
        <v>130</v>
      </c>
      <c r="C579" s="17" t="n">
        <f aca="false">C570/C577</f>
        <v>0.217398580211031</v>
      </c>
      <c r="D579" s="17" t="n">
        <f aca="false">D570/D577</f>
        <v>0.385416666666667</v>
      </c>
      <c r="E579" s="17" t="n">
        <f aca="false">E570/E577</f>
        <v>0.516561265714798</v>
      </c>
      <c r="F579" s="17" t="n">
        <f aca="false">F570/F577</f>
        <v>0.521051338142803</v>
      </c>
      <c r="G579" s="17" t="n">
        <f aca="false">G570/G577</f>
        <v>0.527464403668582</v>
      </c>
    </row>
    <row r="580" customFormat="false" ht="17.15" hidden="false" customHeight="false" outlineLevel="0" collapsed="false">
      <c r="A580" s="1" t="s">
        <v>411</v>
      </c>
    </row>
    <row r="581" customFormat="false" ht="17.15" hidden="false" customHeight="false" outlineLevel="0" collapsed="false">
      <c r="A581" s="0" t="s">
        <v>383</v>
      </c>
      <c r="B581" s="0" t="s">
        <v>130</v>
      </c>
      <c r="C581" s="23" t="n">
        <f aca="false">(a26_isgoi-m_nai*(a26_tr+a26_st))/a26_ai</f>
        <v>0.0538070736944455</v>
      </c>
      <c r="D581" s="23" t="n">
        <f aca="false">(a27_isgoi-m_nai*(a27_tr+a27_st))/a27_ai</f>
        <v>0.110710097972973</v>
      </c>
      <c r="E581" s="23" t="n">
        <f aca="false">$D581+ai_dm</f>
        <v>0.100710097972973</v>
      </c>
      <c r="F581" s="23" t="n">
        <f aca="false">$D581+ai_dm+dm_A</f>
        <v>0.100710097972973</v>
      </c>
      <c r="G581" s="23" t="n">
        <f aca="false">$D581+ai_dm+dm_A</f>
        <v>0.100710097972973</v>
      </c>
      <c r="J581" s="8" t="s">
        <v>412</v>
      </c>
    </row>
    <row r="582" customFormat="false" ht="17.15" hidden="false" customHeight="false" outlineLevel="0" collapsed="false">
      <c r="A582" s="5" t="s">
        <v>413</v>
      </c>
      <c r="B582" s="0" t="s">
        <v>130</v>
      </c>
      <c r="C582" s="23" t="n">
        <f aca="false">m_nai</f>
        <v>0.16</v>
      </c>
      <c r="D582" s="23" t="n">
        <f aca="false">m_nai</f>
        <v>0.16</v>
      </c>
      <c r="E582" s="23" t="n">
        <f aca="false">m_naif</f>
        <v>0.155</v>
      </c>
      <c r="F582" s="23" t="n">
        <f aca="false">m_naif</f>
        <v>0.155</v>
      </c>
      <c r="G582" s="23" t="n">
        <f aca="false">m_naif</f>
        <v>0.155</v>
      </c>
    </row>
    <row r="583" customFormat="false" ht="17.15" hidden="false" customHeight="false" outlineLevel="0" collapsed="false">
      <c r="A583" s="0" t="s">
        <v>308</v>
      </c>
      <c r="B583" s="0" t="s">
        <v>107</v>
      </c>
      <c r="C583" s="28" t="n">
        <f aca="false">a26_isgoi</f>
        <v>7.111</v>
      </c>
      <c r="D583" s="28" t="n">
        <f aca="false">a27_isgoi</f>
        <v>17.32322085</v>
      </c>
      <c r="E583" s="28" t="n">
        <f aca="false">E570*E581+(E572+E573)*E582</f>
        <v>22.4357916781681</v>
      </c>
      <c r="F583" s="28" t="n">
        <f aca="false">F570*F581+(F572+F573)*F582</f>
        <v>23.7196091537815</v>
      </c>
      <c r="G583" s="28" t="n">
        <f aca="false">G570*G581+(G572+G573)*G582</f>
        <v>25.1954317177232</v>
      </c>
    </row>
    <row r="584" customFormat="false" ht="17.15" hidden="false" customHeight="false" outlineLevel="0" collapsed="false">
      <c r="A584" s="0" t="s">
        <v>414</v>
      </c>
      <c r="B584" s="0" t="s">
        <v>130</v>
      </c>
      <c r="C584" s="23" t="n">
        <f aca="false">a26_csgoi/C575</f>
        <v>0.0555664522203044</v>
      </c>
      <c r="D584" s="23" t="n">
        <f aca="false">a27_csgoi/D575</f>
        <v>0.0764752733223222</v>
      </c>
      <c r="E584" s="23" t="n">
        <f aca="false">m_csgf</f>
        <v>0.07</v>
      </c>
      <c r="F584" s="23" t="n">
        <f aca="false">m_csgf</f>
        <v>0.07</v>
      </c>
      <c r="G584" s="23" t="n">
        <f aca="false">m_csgf</f>
        <v>0.07</v>
      </c>
    </row>
    <row r="585" customFormat="false" ht="17.15" hidden="false" customHeight="false" outlineLevel="0" collapsed="false">
      <c r="A585" s="0" t="s">
        <v>310</v>
      </c>
      <c r="B585" s="0" t="s">
        <v>107</v>
      </c>
      <c r="C585" s="28" t="n">
        <f aca="false">C575*C584</f>
        <v>2.833</v>
      </c>
      <c r="D585" s="28" t="n">
        <f aca="false">D575*D584</f>
        <v>4.60192175</v>
      </c>
      <c r="E585" s="28" t="n">
        <f aca="false">E575*E584</f>
        <v>4.338638409</v>
      </c>
      <c r="F585" s="28" t="n">
        <f aca="false">F575*F584</f>
        <v>4.46879756127</v>
      </c>
      <c r="G585" s="28" t="n">
        <f aca="false">G575*G584</f>
        <v>4.6028614881081</v>
      </c>
    </row>
    <row r="586" customFormat="false" ht="17.15" hidden="false" customHeight="false" outlineLevel="0" collapsed="false">
      <c r="A586" s="5" t="s">
        <v>415</v>
      </c>
      <c r="B586" s="0" t="s">
        <v>107</v>
      </c>
      <c r="C586" s="28" t="n">
        <f aca="false">C583+C585</f>
        <v>9.944</v>
      </c>
      <c r="D586" s="28" t="n">
        <f aca="false">D583+D585</f>
        <v>21.9251426</v>
      </c>
      <c r="E586" s="28" t="n">
        <f aca="false">E583+E585</f>
        <v>26.7744300871681</v>
      </c>
      <c r="F586" s="28" t="n">
        <f aca="false">F583+F585</f>
        <v>28.1884067150515</v>
      </c>
      <c r="G586" s="28" t="n">
        <f aca="false">G583+G585</f>
        <v>29.7982932058313</v>
      </c>
    </row>
    <row r="587" customFormat="false" ht="15" hidden="false" customHeight="false" outlineLevel="0" collapsed="false">
      <c r="A587" s="5" t="s">
        <v>384</v>
      </c>
      <c r="B587" s="0" t="s">
        <v>130</v>
      </c>
      <c r="C587" s="23" t="n">
        <f aca="false">C586/C577</f>
        <v>0.0875830118550617</v>
      </c>
      <c r="D587" s="23" t="n">
        <f aca="false">D586/D577</f>
        <v>0.114193451041667</v>
      </c>
      <c r="E587" s="23" t="n">
        <f aca="false">E586/E577</f>
        <v>0.105694798958174</v>
      </c>
      <c r="F587" s="23" t="n">
        <f aca="false">F586/F577</f>
        <v>0.105887086118448</v>
      </c>
      <c r="G587" s="23" t="n">
        <f aca="false">G586/G577</f>
        <v>0.106053647369673</v>
      </c>
    </row>
    <row r="588" customFormat="false" ht="17.15" hidden="false" customHeight="false" outlineLevel="0" collapsed="false">
      <c r="A588" s="5" t="s">
        <v>416</v>
      </c>
      <c r="B588" s="0" t="s">
        <v>130</v>
      </c>
      <c r="C588" s="17" t="n">
        <f aca="false">a26_ni/a26_oi</f>
        <v>0.708567980691875</v>
      </c>
      <c r="D588" s="17" t="n">
        <f aca="false">a27_ni/a27_oi</f>
        <v>0.753655303477935</v>
      </c>
      <c r="E588" s="17" t="n">
        <f aca="false">nio_f</f>
        <v>0.75</v>
      </c>
      <c r="F588" s="17" t="n">
        <f aca="false">nio_f</f>
        <v>0.75</v>
      </c>
      <c r="G588" s="17" t="n">
        <f aca="false">nio_f</f>
        <v>0.75</v>
      </c>
    </row>
    <row r="589" customFormat="false" ht="17.15" hidden="false" customHeight="false" outlineLevel="0" collapsed="false">
      <c r="A589" s="0" t="s">
        <v>316</v>
      </c>
      <c r="B589" s="0" t="s">
        <v>107</v>
      </c>
      <c r="C589" s="28" t="n">
        <f aca="false">a26_ni</f>
        <v>7.046</v>
      </c>
      <c r="D589" s="28" t="n">
        <f aca="false">a27_ni</f>
        <v>16.524</v>
      </c>
      <c r="E589" s="28" t="n">
        <f aca="false">E586*E588</f>
        <v>20.0808225653761</v>
      </c>
      <c r="F589" s="28" t="n">
        <f aca="false">F586*F588</f>
        <v>21.1413050362886</v>
      </c>
      <c r="G589" s="28" t="n">
        <f aca="false">G586*G588</f>
        <v>22.3487199043735</v>
      </c>
      <c r="H589" s="29" t="n">
        <f aca="false">H577*H593</f>
        <v>23.5028771153517</v>
      </c>
      <c r="I589" s="29" t="n">
        <f aca="false">I577*I593</f>
        <v>24.7689549318109</v>
      </c>
    </row>
    <row r="590" customFormat="false" ht="15" hidden="false" customHeight="false" outlineLevel="0" collapsed="false">
      <c r="A590" s="5" t="s">
        <v>417</v>
      </c>
      <c r="B590" s="5" t="s">
        <v>143</v>
      </c>
      <c r="C590" s="32" t="n">
        <f aca="false">a26_sh</f>
        <v>0.684077669902913</v>
      </c>
      <c r="D590" s="32" t="n">
        <f aca="false">a27_sh</f>
        <v>0.648</v>
      </c>
      <c r="E590" s="32" t="n">
        <f aca="false">D590*(1+sh_g)</f>
        <v>0.62856</v>
      </c>
      <c r="F590" s="32" t="n">
        <f aca="false">E590*(1+sh_g)</f>
        <v>0.6097032</v>
      </c>
      <c r="G590" s="32" t="n">
        <f aca="false">F590*(1+sh_g)</f>
        <v>0.591412104</v>
      </c>
      <c r="H590" s="33" t="n">
        <f aca="false">G590*(1+sh_g)</f>
        <v>0.57366974088</v>
      </c>
      <c r="I590" s="33" t="n">
        <f aca="false">H590*(1+sh_g)</f>
        <v>0.5564596486536</v>
      </c>
    </row>
    <row r="591" customFormat="false" ht="15" hidden="false" customHeight="false" outlineLevel="0" collapsed="false">
      <c r="A591" s="0" t="s">
        <v>324</v>
      </c>
      <c r="B591" s="0" t="s">
        <v>117</v>
      </c>
      <c r="C591" s="28" t="n">
        <f aca="false">C589/C590</f>
        <v>10.3</v>
      </c>
      <c r="D591" s="28" t="n">
        <f aca="false">D589/D590</f>
        <v>25.5</v>
      </c>
      <c r="E591" s="28" t="n">
        <f aca="false">E589/E590</f>
        <v>31.9473440329898</v>
      </c>
      <c r="F591" s="28" t="n">
        <f aca="false">F589/F590</f>
        <v>34.6747483632834</v>
      </c>
      <c r="G591" s="28" t="n">
        <f aca="false">G589/G590</f>
        <v>37.7887428296082</v>
      </c>
      <c r="H591" s="31" t="n">
        <f aca="false">H589/H590</f>
        <v>40.9693512495512</v>
      </c>
      <c r="I591" s="31" t="n">
        <f aca="false">I589/I590</f>
        <v>44.5116820091833</v>
      </c>
    </row>
    <row r="592" customFormat="false" ht="17.15" hidden="false" customHeight="false" outlineLevel="0" collapsed="false">
      <c r="A592" s="0" t="s">
        <v>418</v>
      </c>
      <c r="B592" s="0" t="s">
        <v>130</v>
      </c>
      <c r="D592" s="17" t="n">
        <f aca="false">D591/C591-1</f>
        <v>1.47572815533981</v>
      </c>
      <c r="E592" s="17" t="n">
        <f aca="false">E591/D591-1</f>
        <v>0.252837020901562</v>
      </c>
      <c r="F592" s="17" t="n">
        <f aca="false">F591/E591-1</f>
        <v>0.0853718646369208</v>
      </c>
      <c r="G592" s="17" t="n">
        <f aca="false">G591/F591-1</f>
        <v>0.0898058273905797</v>
      </c>
      <c r="H592" s="27" t="n">
        <f aca="false">H591/G591-1</f>
        <v>0.0841681459021941</v>
      </c>
      <c r="I592" s="27" t="n">
        <f aca="false">I591/H591-1</f>
        <v>0.0864629448988645</v>
      </c>
    </row>
    <row r="593" customFormat="false" ht="17.15" hidden="false" customHeight="false" outlineLevel="0" collapsed="false">
      <c r="A593" s="5" t="s">
        <v>419</v>
      </c>
      <c r="B593" s="0" t="s">
        <v>130</v>
      </c>
      <c r="C593" s="23" t="n">
        <f aca="false">C589/C577</f>
        <v>0.0620585178530536</v>
      </c>
      <c r="D593" s="23" t="n">
        <f aca="false">D589/D577</f>
        <v>0.0860625</v>
      </c>
      <c r="E593" s="23" t="n">
        <f aca="false">E589/E577</f>
        <v>0.0792710992186301</v>
      </c>
      <c r="F593" s="23" t="n">
        <f aca="false">F589/F577</f>
        <v>0.079415314588836</v>
      </c>
      <c r="G593" s="23" t="n">
        <f aca="false">G589/G577</f>
        <v>0.0795402355272545</v>
      </c>
      <c r="H593" s="30" t="n">
        <f aca="false">$G593+(fade_mA-$G593)*1/2</f>
        <v>0.0790828276554887</v>
      </c>
      <c r="I593" s="30" t="n">
        <f aca="false">$G593+(fade_mA-$G593)*2/2</f>
        <v>0.0786254197837229</v>
      </c>
    </row>
    <row r="594" customFormat="false" ht="17.15" hidden="false" customHeight="false" outlineLevel="0" collapsed="false">
      <c r="A594" s="0" t="s">
        <v>420</v>
      </c>
      <c r="B594" s="0" t="s">
        <v>74</v>
      </c>
      <c r="D594" s="20" t="n">
        <f aca="false">D570/(D563+D564)</f>
        <v>8.8622754491018</v>
      </c>
      <c r="E594" s="20" t="n">
        <f aca="false">E570/(E563+E564)</f>
        <v>11.6834319452156</v>
      </c>
      <c r="F594" s="20" t="n">
        <f aca="false">F570/(F563+F564)</f>
        <v>12.0617467870742</v>
      </c>
      <c r="G594" s="20" t="n">
        <f aca="false">G570/(G563+G564)</f>
        <v>11.4886560037218</v>
      </c>
    </row>
    <row r="597" customFormat="false" ht="17.15" hidden="false" customHeight="false" outlineLevel="0" collapsed="false">
      <c r="A597" s="3" t="s">
        <v>760</v>
      </c>
    </row>
    <row r="598" customFormat="false" ht="17.15" hidden="false" customHeight="false" outlineLevel="0" collapsed="false">
      <c r="A598" s="6" t="s">
        <v>20</v>
      </c>
      <c r="B598" s="6" t="s">
        <v>21</v>
      </c>
      <c r="C598" s="14" t="s">
        <v>284</v>
      </c>
      <c r="D598" s="14" t="s">
        <v>371</v>
      </c>
      <c r="E598" s="14" t="s">
        <v>372</v>
      </c>
      <c r="F598" s="14" t="s">
        <v>373</v>
      </c>
      <c r="G598" s="14" t="s">
        <v>374</v>
      </c>
      <c r="H598" s="14" t="s">
        <v>375</v>
      </c>
      <c r="I598" s="14" t="s">
        <v>376</v>
      </c>
      <c r="J598" s="6" t="s">
        <v>344</v>
      </c>
    </row>
    <row r="599" customFormat="false" ht="17.15" hidden="false" customHeight="false" outlineLevel="0" collapsed="false">
      <c r="A599" s="1" t="s">
        <v>394</v>
      </c>
    </row>
    <row r="600" customFormat="false" ht="17.15" hidden="false" customHeight="false" outlineLevel="0" collapsed="false">
      <c r="A600" s="0" t="s">
        <v>395</v>
      </c>
      <c r="B600" s="5" t="s">
        <v>31</v>
      </c>
      <c r="D600" s="18" t="n">
        <f aca="false">ug_26</f>
        <v>6.65</v>
      </c>
      <c r="E600" s="18" t="n">
        <f aca="false">ug_27*1</f>
        <v>2.4</v>
      </c>
      <c r="F600" s="18" t="n">
        <f aca="false">ug_28*um28_A*1</f>
        <v>0.5</v>
      </c>
      <c r="G600" s="18" t="n">
        <f aca="false">ug_29*um29_A*1</f>
        <v>0.25</v>
      </c>
    </row>
    <row r="601" customFormat="false" ht="17.15" hidden="false" customHeight="false" outlineLevel="0" collapsed="false">
      <c r="A601" s="0" t="s">
        <v>396</v>
      </c>
      <c r="B601" s="5" t="s">
        <v>31</v>
      </c>
      <c r="D601" s="18" t="n">
        <f aca="false">uv_26</f>
        <v>1.7</v>
      </c>
      <c r="E601" s="18" t="n">
        <f aca="false">uv_27*1</f>
        <v>8.8</v>
      </c>
      <c r="F601" s="18" t="n">
        <f aca="false">uv_28*um28_A*1</f>
        <v>11</v>
      </c>
      <c r="G601" s="18" t="n">
        <f aca="false">uv_29*um29_A*1</f>
        <v>12.65</v>
      </c>
    </row>
    <row r="602" customFormat="false" ht="17.15" hidden="false" customHeight="false" outlineLevel="0" collapsed="false">
      <c r="A602" s="5" t="s">
        <v>397</v>
      </c>
      <c r="B602" s="0" t="s">
        <v>107</v>
      </c>
      <c r="D602" s="22" t="n">
        <f aca="false">D600*v_gb+D601*v_vr</f>
        <v>595.4861102</v>
      </c>
      <c r="E602" s="22" t="n">
        <f aca="false">E600*v_gb+E601*v_vr</f>
        <v>1170.0000024</v>
      </c>
      <c r="F602" s="22" t="n">
        <f aca="false">F600*v_gb+F601*v_vr</f>
        <v>1313.194448</v>
      </c>
      <c r="G602" s="22" t="n">
        <f aca="false">G600*v_gb+G601*v_vr</f>
        <v>1490.76389305</v>
      </c>
      <c r="J602" s="5" t="s">
        <v>398</v>
      </c>
    </row>
    <row r="603" customFormat="false" ht="17.15" hidden="false" customHeight="false" outlineLevel="0" collapsed="false">
      <c r="A603" s="0" t="s">
        <v>399</v>
      </c>
      <c r="B603" s="0" t="s">
        <v>130</v>
      </c>
      <c r="D603" s="23" t="n">
        <f aca="false">a27_ai/D602</f>
        <v>0.124268221764478</v>
      </c>
      <c r="J603" s="8" t="s">
        <v>400</v>
      </c>
    </row>
    <row r="604" customFormat="false" ht="17.15" hidden="false" customHeight="false" outlineLevel="0" collapsed="false">
      <c r="A604" s="5" t="s">
        <v>401</v>
      </c>
      <c r="B604" s="0" t="s">
        <v>53</v>
      </c>
      <c r="D604" s="18" t="n">
        <f aca="false">1</f>
        <v>1</v>
      </c>
      <c r="E604" s="18" t="n">
        <f aca="false">rel_28</f>
        <v>0.9</v>
      </c>
      <c r="F604" s="18" t="n">
        <f aca="false">rel_29</f>
        <v>0.85</v>
      </c>
      <c r="G604" s="18" t="n">
        <f aca="false">rel_30</f>
        <v>0.8</v>
      </c>
    </row>
    <row r="605" customFormat="false" ht="17.15" hidden="false" customHeight="false" outlineLevel="0" collapsed="false">
      <c r="A605" s="5" t="s">
        <v>402</v>
      </c>
      <c r="B605" s="0" t="s">
        <v>53</v>
      </c>
      <c r="D605" s="18" t="n">
        <f aca="false">1</f>
        <v>1</v>
      </c>
      <c r="E605" s="18" t="n">
        <f aca="false">1</f>
        <v>1</v>
      </c>
      <c r="F605" s="18" t="n">
        <f aca="false">srel_A</f>
        <v>1</v>
      </c>
      <c r="G605" s="18" t="n">
        <f aca="false">srel_A</f>
        <v>1</v>
      </c>
    </row>
    <row r="606" customFormat="false" ht="17.15" hidden="false" customHeight="false" outlineLevel="0" collapsed="false">
      <c r="A606" s="0" t="s">
        <v>353</v>
      </c>
      <c r="B606" s="0" t="s">
        <v>130</v>
      </c>
      <c r="D606" s="23" t="n">
        <f aca="false">$D$603*D604*D605</f>
        <v>0.124268221764478</v>
      </c>
      <c r="E606" s="23" t="n">
        <f aca="false">$D$603*E604*E605</f>
        <v>0.11184139958803</v>
      </c>
      <c r="F606" s="23" t="n">
        <f aca="false">$D$603*F604*F605</f>
        <v>0.105627988499806</v>
      </c>
      <c r="G606" s="23" t="n">
        <f aca="false">$D$603*G604*G605</f>
        <v>0.0994145774115824</v>
      </c>
    </row>
    <row r="607" customFormat="false" ht="17.15" hidden="false" customHeight="false" outlineLevel="0" collapsed="false">
      <c r="A607" s="0" t="s">
        <v>403</v>
      </c>
      <c r="B607" s="0" t="s">
        <v>107</v>
      </c>
      <c r="C607" s="22" t="n">
        <f aca="false">a26_ai</f>
        <v>24.683</v>
      </c>
      <c r="D607" s="22" t="n">
        <f aca="false">D602*D606</f>
        <v>74</v>
      </c>
      <c r="E607" s="22" t="n">
        <f aca="false">E602*E606</f>
        <v>130.854437786415</v>
      </c>
      <c r="F607" s="22" t="n">
        <f aca="false">F602*F606</f>
        <v>138.710088051354</v>
      </c>
      <c r="G607" s="22" t="n">
        <f aca="false">G602*G606</f>
        <v>148.203662448011</v>
      </c>
    </row>
    <row r="608" customFormat="false" ht="17.15" hidden="false" customHeight="false" outlineLevel="0" collapsed="false">
      <c r="A608" s="1" t="s">
        <v>404</v>
      </c>
    </row>
    <row r="609" customFormat="false" ht="15" hidden="false" customHeight="false" outlineLevel="0" collapsed="false">
      <c r="A609" s="5" t="s">
        <v>293</v>
      </c>
      <c r="B609" s="0" t="s">
        <v>107</v>
      </c>
      <c r="C609" s="22" t="n">
        <f aca="false">a26_tr</f>
        <v>19.512</v>
      </c>
      <c r="D609" s="22" t="n">
        <f aca="false">a27_tr</f>
        <v>37.59663</v>
      </c>
      <c r="E609" s="22" t="n">
        <f aca="false">D609*(1+g_tr28)</f>
        <v>35.7167985</v>
      </c>
      <c r="F609" s="22" t="n">
        <f aca="false">E609*(1+g_tr29)</f>
        <v>36.43113447</v>
      </c>
      <c r="G609" s="22" t="n">
        <f aca="false">F609*(1+g_tr30)</f>
        <v>37.5240685041</v>
      </c>
    </row>
    <row r="610" customFormat="false" ht="15" hidden="false" customHeight="false" outlineLevel="0" collapsed="false">
      <c r="A610" s="5" t="s">
        <v>296</v>
      </c>
      <c r="B610" s="0" t="s">
        <v>107</v>
      </c>
      <c r="C610" s="22" t="n">
        <f aca="false">a26_st</f>
        <v>16.631</v>
      </c>
      <c r="D610" s="22" t="n">
        <f aca="false">a27_st</f>
        <v>19.47008</v>
      </c>
      <c r="E610" s="22" t="n">
        <f aca="false">D610*(1+g_st28)</f>
        <v>20.2488832</v>
      </c>
      <c r="F610" s="22" t="n">
        <f aca="false">E610*(1+g_st29)</f>
        <v>21.058838528</v>
      </c>
      <c r="G610" s="22" t="n">
        <f aca="false">F610*(1+g_st30)</f>
        <v>21.90119206912</v>
      </c>
    </row>
    <row r="611" customFormat="false" ht="17.15" hidden="false" customHeight="false" outlineLevel="0" collapsed="false">
      <c r="A611" s="0" t="s">
        <v>299</v>
      </c>
      <c r="B611" s="0" t="s">
        <v>107</v>
      </c>
      <c r="C611" s="22" t="n">
        <f aca="false">C607+C609+C610</f>
        <v>60.826</v>
      </c>
      <c r="D611" s="22" t="n">
        <f aca="false">D607+D609+D610</f>
        <v>131.06671</v>
      </c>
      <c r="E611" s="22" t="n">
        <f aca="false">E607+E609+E610</f>
        <v>186.820119486415</v>
      </c>
      <c r="F611" s="22" t="n">
        <f aca="false">F607+F609+F610</f>
        <v>196.200061049354</v>
      </c>
      <c r="G611" s="22" t="n">
        <f aca="false">G607+G609+G610</f>
        <v>207.628923021231</v>
      </c>
    </row>
    <row r="612" customFormat="false" ht="17.15" hidden="false" customHeight="false" outlineLevel="0" collapsed="false">
      <c r="A612" s="0" t="s">
        <v>405</v>
      </c>
      <c r="B612" s="0" t="s">
        <v>107</v>
      </c>
      <c r="C612" s="22" t="n">
        <f aca="false">a26_csg</f>
        <v>50.984</v>
      </c>
      <c r="D612" s="22" t="n">
        <f aca="false">a27_csg</f>
        <v>60.17529</v>
      </c>
      <c r="E612" s="22" t="n">
        <f aca="false">D612*(1+g_csg28_lo)</f>
        <v>56.5647726</v>
      </c>
      <c r="F612" s="22" t="n">
        <f aca="false">E612*(1+g_csg29_lo)</f>
        <v>54.302181696</v>
      </c>
      <c r="G612" s="22" t="n">
        <f aca="false">F612*(1+g_csg30_lo)</f>
        <v>52.13009442816</v>
      </c>
    </row>
    <row r="613" customFormat="false" ht="17.15" hidden="false" customHeight="false" outlineLevel="0" collapsed="false">
      <c r="A613" s="5" t="s">
        <v>406</v>
      </c>
      <c r="B613" s="0" t="s">
        <v>107</v>
      </c>
      <c r="C613" s="22" t="n">
        <f aca="false">a26_oth</f>
        <v>1.72799999999999</v>
      </c>
      <c r="D613" s="22" t="n">
        <f aca="false">a27_oth</f>
        <v>0.75800000000001</v>
      </c>
      <c r="E613" s="22" t="n">
        <f aca="false">D613</f>
        <v>0.75800000000001</v>
      </c>
      <c r="F613" s="22" t="n">
        <f aca="false">E613</f>
        <v>0.75800000000001</v>
      </c>
      <c r="G613" s="22" t="n">
        <f aca="false">F613</f>
        <v>0.75800000000001</v>
      </c>
      <c r="J613" s="8" t="s">
        <v>407</v>
      </c>
    </row>
    <row r="614" customFormat="false" ht="17.15" hidden="false" customHeight="false" outlineLevel="0" collapsed="false">
      <c r="A614" s="5" t="s">
        <v>306</v>
      </c>
      <c r="B614" s="0" t="s">
        <v>107</v>
      </c>
      <c r="C614" s="22" t="n">
        <f aca="false">C611+C612+C613</f>
        <v>113.538</v>
      </c>
      <c r="D614" s="22" t="n">
        <f aca="false">D611+D612+D613</f>
        <v>192</v>
      </c>
      <c r="E614" s="22" t="n">
        <f aca="false">E611+E612+E613</f>
        <v>244.142892086415</v>
      </c>
      <c r="F614" s="22" t="n">
        <f aca="false">F611+F612+F613</f>
        <v>251.260242745354</v>
      </c>
      <c r="G614" s="22" t="n">
        <f aca="false">G611+G612+G613</f>
        <v>260.517017449391</v>
      </c>
      <c r="H614" s="26" t="n">
        <f aca="false">G614*(1+H615)</f>
        <v>273.131431513575</v>
      </c>
      <c r="I614" s="26" t="n">
        <f aca="false">H614*(1+I615)</f>
        <v>289.51931740439</v>
      </c>
      <c r="J614" s="8" t="s">
        <v>408</v>
      </c>
    </row>
    <row r="615" customFormat="false" ht="15" hidden="false" customHeight="false" outlineLevel="0" collapsed="false">
      <c r="A615" s="5" t="s">
        <v>409</v>
      </c>
      <c r="B615" s="0" t="s">
        <v>130</v>
      </c>
      <c r="D615" s="17" t="n">
        <f aca="false">D614/C614-1</f>
        <v>0.691063784812134</v>
      </c>
      <c r="E615" s="17" t="n">
        <f aca="false">E614/D614-1</f>
        <v>0.271577562950077</v>
      </c>
      <c r="F615" s="17" t="n">
        <f aca="false">F614/E614-1</f>
        <v>0.0291523975902588</v>
      </c>
      <c r="G615" s="17" t="n">
        <f aca="false">G614/F614-1</f>
        <v>0.0368413824761733</v>
      </c>
      <c r="H615" s="27" t="n">
        <f aca="false">$G615+(fade_gA-$G615)*1/2</f>
        <v>0.0484206912380867</v>
      </c>
      <c r="I615" s="27" t="n">
        <f aca="false">$G615+(fade_gA-$G615)*2/2</f>
        <v>0.06</v>
      </c>
    </row>
    <row r="616" customFormat="false" ht="17.15" hidden="false" customHeight="false" outlineLevel="0" collapsed="false">
      <c r="A616" s="0" t="s">
        <v>410</v>
      </c>
      <c r="B616" s="0" t="s">
        <v>130</v>
      </c>
      <c r="C616" s="17" t="n">
        <f aca="false">C607/C614</f>
        <v>0.217398580211031</v>
      </c>
      <c r="D616" s="17" t="n">
        <f aca="false">D607/D614</f>
        <v>0.385416666666667</v>
      </c>
      <c r="E616" s="17" t="n">
        <f aca="false">E607/E614</f>
        <v>0.535974800118689</v>
      </c>
      <c r="F616" s="17" t="n">
        <f aca="false">F607/F614</f>
        <v>0.552057446636844</v>
      </c>
      <c r="G616" s="17" t="n">
        <f aca="false">G607/G614</f>
        <v>0.568882846498892</v>
      </c>
    </row>
    <row r="617" customFormat="false" ht="17.15" hidden="false" customHeight="false" outlineLevel="0" collapsed="false">
      <c r="A617" s="1" t="s">
        <v>411</v>
      </c>
    </row>
    <row r="618" customFormat="false" ht="17.15" hidden="false" customHeight="false" outlineLevel="0" collapsed="false">
      <c r="A618" s="0" t="s">
        <v>383</v>
      </c>
      <c r="B618" s="0" t="s">
        <v>130</v>
      </c>
      <c r="C618" s="23" t="n">
        <f aca="false">(a26_isgoi-m_nai*(a26_tr+a26_st))/a26_ai</f>
        <v>0.0538070736944455</v>
      </c>
      <c r="D618" s="23" t="n">
        <f aca="false">(a27_isgoi-m_nai*(a27_tr+a27_st))/a27_ai</f>
        <v>0.110710097972973</v>
      </c>
      <c r="E618" s="23" t="n">
        <f aca="false">$D618+ai_dm</f>
        <v>0.100710097972973</v>
      </c>
      <c r="F618" s="23" t="n">
        <f aca="false">$D618+ai_dm+dm_A</f>
        <v>0.100710097972973</v>
      </c>
      <c r="G618" s="23" t="n">
        <f aca="false">$D618+ai_dm+dm_A</f>
        <v>0.100710097972973</v>
      </c>
      <c r="J618" s="8" t="s">
        <v>412</v>
      </c>
    </row>
    <row r="619" customFormat="false" ht="17.15" hidden="false" customHeight="false" outlineLevel="0" collapsed="false">
      <c r="A619" s="5" t="s">
        <v>413</v>
      </c>
      <c r="B619" s="0" t="s">
        <v>130</v>
      </c>
      <c r="C619" s="23" t="n">
        <f aca="false">m_nai</f>
        <v>0.16</v>
      </c>
      <c r="D619" s="23" t="n">
        <f aca="false">m_nai</f>
        <v>0.16</v>
      </c>
      <c r="E619" s="23" t="n">
        <f aca="false">m_naif</f>
        <v>0.155</v>
      </c>
      <c r="F619" s="23" t="n">
        <f aca="false">m_naif</f>
        <v>0.155</v>
      </c>
      <c r="G619" s="23" t="n">
        <f aca="false">m_naif</f>
        <v>0.155</v>
      </c>
    </row>
    <row r="620" customFormat="false" ht="17.15" hidden="false" customHeight="false" outlineLevel="0" collapsed="false">
      <c r="A620" s="0" t="s">
        <v>308</v>
      </c>
      <c r="B620" s="0" t="s">
        <v>107</v>
      </c>
      <c r="C620" s="28" t="n">
        <f aca="false">a26_isgoi</f>
        <v>7.111</v>
      </c>
      <c r="D620" s="28" t="n">
        <f aca="false">a27_isgoi</f>
        <v>17.32322085</v>
      </c>
      <c r="E620" s="28" t="n">
        <f aca="false">E607*E618+(E609+E610)*E619</f>
        <v>21.8530439131681</v>
      </c>
      <c r="F620" s="28" t="n">
        <f aca="false">F607*F618+(F609+F610)*F619</f>
        <v>22.8804523721815</v>
      </c>
      <c r="G620" s="28" t="n">
        <f aca="false">G607*G618+(G609+G610)*G619</f>
        <v>24.1365207539417</v>
      </c>
    </row>
    <row r="621" customFormat="false" ht="17.15" hidden="false" customHeight="false" outlineLevel="0" collapsed="false">
      <c r="A621" s="0" t="s">
        <v>414</v>
      </c>
      <c r="B621" s="0" t="s">
        <v>130</v>
      </c>
      <c r="C621" s="23" t="n">
        <f aca="false">a26_csgoi/C612</f>
        <v>0.0555664522203044</v>
      </c>
      <c r="D621" s="23" t="n">
        <f aca="false">a27_csgoi/D612</f>
        <v>0.0764752733223222</v>
      </c>
      <c r="E621" s="23" t="n">
        <f aca="false">m_csgf</f>
        <v>0.07</v>
      </c>
      <c r="F621" s="23" t="n">
        <f aca="false">m_csgf</f>
        <v>0.07</v>
      </c>
      <c r="G621" s="23" t="n">
        <f aca="false">m_csgf</f>
        <v>0.07</v>
      </c>
    </row>
    <row r="622" customFormat="false" ht="17.15" hidden="false" customHeight="false" outlineLevel="0" collapsed="false">
      <c r="A622" s="0" t="s">
        <v>310</v>
      </c>
      <c r="B622" s="0" t="s">
        <v>107</v>
      </c>
      <c r="C622" s="28" t="n">
        <f aca="false">C612*C621</f>
        <v>2.833</v>
      </c>
      <c r="D622" s="28" t="n">
        <f aca="false">D612*D621</f>
        <v>4.60192175</v>
      </c>
      <c r="E622" s="28" t="n">
        <f aca="false">E612*E621</f>
        <v>3.959534082</v>
      </c>
      <c r="F622" s="28" t="n">
        <f aca="false">F612*F621</f>
        <v>3.80115271872</v>
      </c>
      <c r="G622" s="28" t="n">
        <f aca="false">G612*G621</f>
        <v>3.6491066099712</v>
      </c>
    </row>
    <row r="623" customFormat="false" ht="17.15" hidden="false" customHeight="false" outlineLevel="0" collapsed="false">
      <c r="A623" s="5" t="s">
        <v>415</v>
      </c>
      <c r="B623" s="0" t="s">
        <v>107</v>
      </c>
      <c r="C623" s="28" t="n">
        <f aca="false">C620+C622</f>
        <v>9.944</v>
      </c>
      <c r="D623" s="28" t="n">
        <f aca="false">D620+D622</f>
        <v>21.9251426</v>
      </c>
      <c r="E623" s="28" t="n">
        <f aca="false">E620+E622</f>
        <v>25.8125779951681</v>
      </c>
      <c r="F623" s="28" t="n">
        <f aca="false">F620+F622</f>
        <v>26.6816050909015</v>
      </c>
      <c r="G623" s="28" t="n">
        <f aca="false">G620+G622</f>
        <v>27.7856273639129</v>
      </c>
    </row>
    <row r="624" customFormat="false" ht="15" hidden="false" customHeight="false" outlineLevel="0" collapsed="false">
      <c r="A624" s="5" t="s">
        <v>384</v>
      </c>
      <c r="B624" s="0" t="s">
        <v>130</v>
      </c>
      <c r="C624" s="23" t="n">
        <f aca="false">C623/C614</f>
        <v>0.0875830118550617</v>
      </c>
      <c r="D624" s="23" t="n">
        <f aca="false">D623/D614</f>
        <v>0.114193451041667</v>
      </c>
      <c r="E624" s="23" t="n">
        <f aca="false">E623/E614</f>
        <v>0.105727337685636</v>
      </c>
      <c r="F624" s="23" t="n">
        <f aca="false">F623/F614</f>
        <v>0.10619111403925</v>
      </c>
      <c r="G624" s="23" t="n">
        <f aca="false">G623/G614</f>
        <v>0.106655709619087</v>
      </c>
    </row>
    <row r="625" customFormat="false" ht="17.15" hidden="false" customHeight="false" outlineLevel="0" collapsed="false">
      <c r="A625" s="5" t="s">
        <v>416</v>
      </c>
      <c r="B625" s="0" t="s">
        <v>130</v>
      </c>
      <c r="C625" s="17" t="n">
        <f aca="false">a26_ni/a26_oi</f>
        <v>0.708567980691875</v>
      </c>
      <c r="D625" s="17" t="n">
        <f aca="false">a27_ni/a27_oi</f>
        <v>0.753655303477935</v>
      </c>
      <c r="E625" s="17" t="n">
        <f aca="false">nio_f</f>
        <v>0.75</v>
      </c>
      <c r="F625" s="17" t="n">
        <f aca="false">nio_f</f>
        <v>0.75</v>
      </c>
      <c r="G625" s="17" t="n">
        <f aca="false">nio_f</f>
        <v>0.75</v>
      </c>
    </row>
    <row r="626" customFormat="false" ht="17.15" hidden="false" customHeight="false" outlineLevel="0" collapsed="false">
      <c r="A626" s="0" t="s">
        <v>316</v>
      </c>
      <c r="B626" s="0" t="s">
        <v>107</v>
      </c>
      <c r="C626" s="28" t="n">
        <f aca="false">a26_ni</f>
        <v>7.046</v>
      </c>
      <c r="D626" s="28" t="n">
        <f aca="false">a27_ni</f>
        <v>16.524</v>
      </c>
      <c r="E626" s="28" t="n">
        <f aca="false">E623*E625</f>
        <v>19.3594334963761</v>
      </c>
      <c r="F626" s="28" t="n">
        <f aca="false">F623*F625</f>
        <v>20.0112038181761</v>
      </c>
      <c r="G626" s="28" t="n">
        <f aca="false">G623*G625</f>
        <v>20.8392205229347</v>
      </c>
      <c r="H626" s="29" t="n">
        <f aca="false">H614*H630</f>
        <v>21.6616717222011</v>
      </c>
      <c r="I626" s="29" t="n">
        <f aca="false">I614*I630</f>
        <v>22.7635778664171</v>
      </c>
    </row>
    <row r="627" customFormat="false" ht="15" hidden="false" customHeight="false" outlineLevel="0" collapsed="false">
      <c r="A627" s="5" t="s">
        <v>417</v>
      </c>
      <c r="B627" s="5" t="s">
        <v>143</v>
      </c>
      <c r="C627" s="32" t="n">
        <f aca="false">a26_sh</f>
        <v>0.684077669902913</v>
      </c>
      <c r="D627" s="32" t="n">
        <f aca="false">a27_sh</f>
        <v>0.648</v>
      </c>
      <c r="E627" s="32" t="n">
        <f aca="false">D627*(1+sh_g)</f>
        <v>0.62856</v>
      </c>
      <c r="F627" s="32" t="n">
        <f aca="false">E627*(1+sh_g)</f>
        <v>0.6097032</v>
      </c>
      <c r="G627" s="32" t="n">
        <f aca="false">F627*(1+sh_g)</f>
        <v>0.591412104</v>
      </c>
      <c r="H627" s="33" t="n">
        <f aca="false">G627*(1+sh_g)</f>
        <v>0.57366974088</v>
      </c>
      <c r="I627" s="33" t="n">
        <f aca="false">H627*(1+sh_g)</f>
        <v>0.5564596486536</v>
      </c>
    </row>
    <row r="628" customFormat="false" ht="15" hidden="false" customHeight="false" outlineLevel="0" collapsed="false">
      <c r="A628" s="0" t="s">
        <v>324</v>
      </c>
      <c r="B628" s="0" t="s">
        <v>117</v>
      </c>
      <c r="C628" s="28" t="n">
        <f aca="false">C626/C627</f>
        <v>10.3</v>
      </c>
      <c r="D628" s="28" t="n">
        <f aca="false">D626/D627</f>
        <v>25.5</v>
      </c>
      <c r="E628" s="28" t="n">
        <f aca="false">E626/E627</f>
        <v>30.7996587380299</v>
      </c>
      <c r="F628" s="28" t="n">
        <f aca="false">F626/F627</f>
        <v>32.8212215684224</v>
      </c>
      <c r="G628" s="28" t="n">
        <f aca="false">G626/G627</f>
        <v>35.2363781227831</v>
      </c>
      <c r="H628" s="31" t="n">
        <f aca="false">H626/H627</f>
        <v>37.7598297044087</v>
      </c>
      <c r="I628" s="31" t="n">
        <f aca="false">I626/I627</f>
        <v>40.9078680215096</v>
      </c>
    </row>
    <row r="629" customFormat="false" ht="17.15" hidden="false" customHeight="false" outlineLevel="0" collapsed="false">
      <c r="A629" s="0" t="s">
        <v>418</v>
      </c>
      <c r="B629" s="0" t="s">
        <v>130</v>
      </c>
      <c r="D629" s="17" t="n">
        <f aca="false">D628/C628-1</f>
        <v>1.47572815533981</v>
      </c>
      <c r="E629" s="17" t="n">
        <f aca="false">E628/D628-1</f>
        <v>0.207829754432546</v>
      </c>
      <c r="F629" s="17" t="n">
        <f aca="false">F628/E628-1</f>
        <v>0.0656358840721933</v>
      </c>
      <c r="G629" s="17" t="n">
        <f aca="false">G628/F628-1</f>
        <v>0.0735852122178269</v>
      </c>
      <c r="H629" s="27" t="n">
        <f aca="false">H628/G628-1</f>
        <v>0.0716149535242396</v>
      </c>
      <c r="I629" s="27" t="n">
        <f aca="false">I628/H628-1</f>
        <v>0.0833700348159494</v>
      </c>
    </row>
    <row r="630" customFormat="false" ht="17.15" hidden="false" customHeight="false" outlineLevel="0" collapsed="false">
      <c r="A630" s="5" t="s">
        <v>419</v>
      </c>
      <c r="B630" s="0" t="s">
        <v>130</v>
      </c>
      <c r="C630" s="23" t="n">
        <f aca="false">C626/C614</f>
        <v>0.0620585178530536</v>
      </c>
      <c r="D630" s="23" t="n">
        <f aca="false">D626/D614</f>
        <v>0.0860625</v>
      </c>
      <c r="E630" s="23" t="n">
        <f aca="false">E626/E614</f>
        <v>0.0792955032642269</v>
      </c>
      <c r="F630" s="23" t="n">
        <f aca="false">F626/F614</f>
        <v>0.0796433355294377</v>
      </c>
      <c r="G630" s="23" t="n">
        <f aca="false">G626/G614</f>
        <v>0.0799917822143154</v>
      </c>
      <c r="H630" s="30" t="n">
        <f aca="false">$G630+(fade_mA-$G630)*1/2</f>
        <v>0.0793086009990191</v>
      </c>
      <c r="I630" s="30" t="n">
        <f aca="false">$G630+(fade_mA-$G630)*2/2</f>
        <v>0.0786254197837229</v>
      </c>
    </row>
    <row r="631" customFormat="false" ht="17.15" hidden="false" customHeight="false" outlineLevel="0" collapsed="false">
      <c r="A631" s="0" t="s">
        <v>420</v>
      </c>
      <c r="B631" s="0" t="s">
        <v>74</v>
      </c>
      <c r="D631" s="20" t="n">
        <f aca="false">D607/(D600+D601)</f>
        <v>8.8622754491018</v>
      </c>
      <c r="E631" s="20" t="n">
        <f aca="false">E607/(E600+E601)</f>
        <v>11.6834319452156</v>
      </c>
      <c r="F631" s="20" t="n">
        <f aca="false">F607/(F600+F601)</f>
        <v>12.0617467870742</v>
      </c>
      <c r="G631" s="20" t="n">
        <f aca="false">G607/(G600+G601)</f>
        <v>11.4886560037218</v>
      </c>
    </row>
    <row r="634" customFormat="false" ht="17.15" hidden="false" customHeight="false" outlineLevel="0" collapsed="false">
      <c r="A634" s="3" t="s">
        <v>761</v>
      </c>
    </row>
    <row r="635" customFormat="false" ht="17.15" hidden="false" customHeight="false" outlineLevel="0" collapsed="false">
      <c r="A635" s="6" t="s">
        <v>20</v>
      </c>
      <c r="B635" s="6" t="s">
        <v>21</v>
      </c>
      <c r="C635" s="14" t="s">
        <v>284</v>
      </c>
      <c r="D635" s="14" t="s">
        <v>371</v>
      </c>
      <c r="E635" s="14" t="s">
        <v>372</v>
      </c>
      <c r="F635" s="14" t="s">
        <v>373</v>
      </c>
      <c r="G635" s="14" t="s">
        <v>374</v>
      </c>
      <c r="H635" s="14" t="s">
        <v>375</v>
      </c>
      <c r="I635" s="14" t="s">
        <v>376</v>
      </c>
      <c r="J635" s="6" t="s">
        <v>344</v>
      </c>
    </row>
    <row r="636" customFormat="false" ht="17.15" hidden="false" customHeight="false" outlineLevel="0" collapsed="false">
      <c r="A636" s="1" t="s">
        <v>394</v>
      </c>
    </row>
    <row r="637" customFormat="false" ht="17.15" hidden="false" customHeight="false" outlineLevel="0" collapsed="false">
      <c r="A637" s="0" t="s">
        <v>395</v>
      </c>
      <c r="B637" s="5" t="s">
        <v>31</v>
      </c>
      <c r="D637" s="18" t="n">
        <f aca="false">ug_26</f>
        <v>6.65</v>
      </c>
      <c r="E637" s="18" t="n">
        <f aca="false">ug_27*1</f>
        <v>2.4</v>
      </c>
      <c r="F637" s="18" t="n">
        <f aca="false">ug_28*um28_A*1</f>
        <v>0.5</v>
      </c>
      <c r="G637" s="18" t="n">
        <f aca="false">ug_29*um29_A*1</f>
        <v>0.25</v>
      </c>
    </row>
    <row r="638" customFormat="false" ht="17.15" hidden="false" customHeight="false" outlineLevel="0" collapsed="false">
      <c r="A638" s="0" t="s">
        <v>396</v>
      </c>
      <c r="B638" s="5" t="s">
        <v>31</v>
      </c>
      <c r="D638" s="18" t="n">
        <f aca="false">uv_26</f>
        <v>1.7</v>
      </c>
      <c r="E638" s="18" t="n">
        <f aca="false">uv_27*1</f>
        <v>8.8</v>
      </c>
      <c r="F638" s="18" t="n">
        <f aca="false">uv_28*um28_A*1</f>
        <v>11</v>
      </c>
      <c r="G638" s="18" t="n">
        <f aca="false">uv_29*um29_A*1</f>
        <v>12.65</v>
      </c>
    </row>
    <row r="639" customFormat="false" ht="17.15" hidden="false" customHeight="false" outlineLevel="0" collapsed="false">
      <c r="A639" s="5" t="s">
        <v>397</v>
      </c>
      <c r="B639" s="0" t="s">
        <v>107</v>
      </c>
      <c r="D639" s="22" t="n">
        <f aca="false">D637*v_gb+D638*v_vr</f>
        <v>595.4861102</v>
      </c>
      <c r="E639" s="22" t="n">
        <f aca="false">E637*v_gb+E638*v_vr</f>
        <v>1170.0000024</v>
      </c>
      <c r="F639" s="22" t="n">
        <f aca="false">F637*v_gb+F638*v_vr</f>
        <v>1313.194448</v>
      </c>
      <c r="G639" s="22" t="n">
        <f aca="false">G637*v_gb+G638*v_vr</f>
        <v>1490.76389305</v>
      </c>
      <c r="J639" s="5" t="s">
        <v>398</v>
      </c>
    </row>
    <row r="640" customFormat="false" ht="17.15" hidden="false" customHeight="false" outlineLevel="0" collapsed="false">
      <c r="A640" s="0" t="s">
        <v>399</v>
      </c>
      <c r="B640" s="0" t="s">
        <v>130</v>
      </c>
      <c r="D640" s="23" t="n">
        <f aca="false">a27_ai/D639</f>
        <v>0.124268221764478</v>
      </c>
      <c r="J640" s="8" t="s">
        <v>400</v>
      </c>
    </row>
    <row r="641" customFormat="false" ht="17.15" hidden="false" customHeight="false" outlineLevel="0" collapsed="false">
      <c r="A641" s="5" t="s">
        <v>401</v>
      </c>
      <c r="B641" s="0" t="s">
        <v>53</v>
      </c>
      <c r="D641" s="18" t="n">
        <f aca="false">1</f>
        <v>1</v>
      </c>
      <c r="E641" s="18" t="n">
        <f aca="false">rel_28</f>
        <v>0.9</v>
      </c>
      <c r="F641" s="18" t="n">
        <f aca="false">rel_29</f>
        <v>0.85</v>
      </c>
      <c r="G641" s="18" t="n">
        <f aca="false">rel_30</f>
        <v>0.8</v>
      </c>
    </row>
    <row r="642" customFormat="false" ht="17.15" hidden="false" customHeight="false" outlineLevel="0" collapsed="false">
      <c r="A642" s="5" t="s">
        <v>402</v>
      </c>
      <c r="B642" s="0" t="s">
        <v>53</v>
      </c>
      <c r="D642" s="18" t="n">
        <f aca="false">1</f>
        <v>1</v>
      </c>
      <c r="E642" s="18" t="n">
        <f aca="false">1</f>
        <v>1</v>
      </c>
      <c r="F642" s="18" t="n">
        <f aca="false">srel_A</f>
        <v>1</v>
      </c>
      <c r="G642" s="18" t="n">
        <f aca="false">srel_A</f>
        <v>1</v>
      </c>
    </row>
    <row r="643" customFormat="false" ht="17.15" hidden="false" customHeight="false" outlineLevel="0" collapsed="false">
      <c r="A643" s="0" t="s">
        <v>353</v>
      </c>
      <c r="B643" s="0" t="s">
        <v>130</v>
      </c>
      <c r="D643" s="23" t="n">
        <f aca="false">$D$640*D641*D642</f>
        <v>0.124268221764478</v>
      </c>
      <c r="E643" s="23" t="n">
        <f aca="false">$D$640*E641*E642</f>
        <v>0.11184139958803</v>
      </c>
      <c r="F643" s="23" t="n">
        <f aca="false">$D$640*F641*F642</f>
        <v>0.105627988499806</v>
      </c>
      <c r="G643" s="23" t="n">
        <f aca="false">$D$640*G641*G642</f>
        <v>0.0994145774115824</v>
      </c>
    </row>
    <row r="644" customFormat="false" ht="17.15" hidden="false" customHeight="false" outlineLevel="0" collapsed="false">
      <c r="A644" s="0" t="s">
        <v>403</v>
      </c>
      <c r="B644" s="0" t="s">
        <v>107</v>
      </c>
      <c r="C644" s="22" t="n">
        <f aca="false">a26_ai</f>
        <v>24.683</v>
      </c>
      <c r="D644" s="22" t="n">
        <f aca="false">D639*D643</f>
        <v>74</v>
      </c>
      <c r="E644" s="22" t="n">
        <f aca="false">E639*E643</f>
        <v>130.854437786415</v>
      </c>
      <c r="F644" s="22" t="n">
        <f aca="false">F639*F643</f>
        <v>138.710088051354</v>
      </c>
      <c r="G644" s="22" t="n">
        <f aca="false">G639*G643</f>
        <v>148.203662448011</v>
      </c>
    </row>
    <row r="645" customFormat="false" ht="17.15" hidden="false" customHeight="false" outlineLevel="0" collapsed="false">
      <c r="A645" s="1" t="s">
        <v>404</v>
      </c>
    </row>
    <row r="646" customFormat="false" ht="15" hidden="false" customHeight="false" outlineLevel="0" collapsed="false">
      <c r="A646" s="5" t="s">
        <v>293</v>
      </c>
      <c r="B646" s="0" t="s">
        <v>107</v>
      </c>
      <c r="C646" s="22" t="n">
        <f aca="false">a26_tr</f>
        <v>19.512</v>
      </c>
      <c r="D646" s="22" t="n">
        <f aca="false">a27_tr</f>
        <v>37.59663</v>
      </c>
      <c r="E646" s="22" t="n">
        <f aca="false">D646*(1+g_tr28)</f>
        <v>35.7167985</v>
      </c>
      <c r="F646" s="22" t="n">
        <f aca="false">E646*(1+g_tr29)</f>
        <v>36.43113447</v>
      </c>
      <c r="G646" s="22" t="n">
        <f aca="false">F646*(1+g_tr30)</f>
        <v>37.5240685041</v>
      </c>
    </row>
    <row r="647" customFormat="false" ht="15" hidden="false" customHeight="false" outlineLevel="0" collapsed="false">
      <c r="A647" s="5" t="s">
        <v>296</v>
      </c>
      <c r="B647" s="0" t="s">
        <v>107</v>
      </c>
      <c r="C647" s="22" t="n">
        <f aca="false">a26_st</f>
        <v>16.631</v>
      </c>
      <c r="D647" s="22" t="n">
        <f aca="false">a27_st</f>
        <v>19.47008</v>
      </c>
      <c r="E647" s="22" t="n">
        <f aca="false">D647*(1+g_st28)</f>
        <v>20.2488832</v>
      </c>
      <c r="F647" s="22" t="n">
        <f aca="false">E647*(1+g_st29)</f>
        <v>21.058838528</v>
      </c>
      <c r="G647" s="22" t="n">
        <f aca="false">F647*(1+g_st30)</f>
        <v>21.90119206912</v>
      </c>
    </row>
    <row r="648" customFormat="false" ht="17.15" hidden="false" customHeight="false" outlineLevel="0" collapsed="false">
      <c r="A648" s="0" t="s">
        <v>299</v>
      </c>
      <c r="B648" s="0" t="s">
        <v>107</v>
      </c>
      <c r="C648" s="22" t="n">
        <f aca="false">C644+C646+C647</f>
        <v>60.826</v>
      </c>
      <c r="D648" s="22" t="n">
        <f aca="false">D644+D646+D647</f>
        <v>131.06671</v>
      </c>
      <c r="E648" s="22" t="n">
        <f aca="false">E644+E646+E647</f>
        <v>186.820119486415</v>
      </c>
      <c r="F648" s="22" t="n">
        <f aca="false">F644+F646+F647</f>
        <v>196.200061049354</v>
      </c>
      <c r="G648" s="22" t="n">
        <f aca="false">G644+G646+G647</f>
        <v>207.628923021231</v>
      </c>
    </row>
    <row r="649" customFormat="false" ht="17.15" hidden="false" customHeight="false" outlineLevel="0" collapsed="false">
      <c r="A649" s="0" t="s">
        <v>405</v>
      </c>
      <c r="B649" s="0" t="s">
        <v>107</v>
      </c>
      <c r="C649" s="22" t="n">
        <f aca="false">a26_csg</f>
        <v>50.984</v>
      </c>
      <c r="D649" s="22" t="n">
        <f aca="false">a27_csg</f>
        <v>60.17529</v>
      </c>
      <c r="E649" s="22" t="n">
        <f aca="false">D649*(1+g_csg28_hi)</f>
        <v>64.9893132</v>
      </c>
      <c r="F649" s="22" t="n">
        <f aca="false">E649*(1+g_csg29_hi)</f>
        <v>68.888671992</v>
      </c>
      <c r="G649" s="22" t="n">
        <f aca="false">F649*(1+g_csg30_hi)</f>
        <v>73.02199231152</v>
      </c>
    </row>
    <row r="650" customFormat="false" ht="17.15" hidden="false" customHeight="false" outlineLevel="0" collapsed="false">
      <c r="A650" s="5" t="s">
        <v>406</v>
      </c>
      <c r="B650" s="0" t="s">
        <v>107</v>
      </c>
      <c r="C650" s="22" t="n">
        <f aca="false">a26_oth</f>
        <v>1.72799999999999</v>
      </c>
      <c r="D650" s="22" t="n">
        <f aca="false">a27_oth</f>
        <v>0.75800000000001</v>
      </c>
      <c r="E650" s="22" t="n">
        <f aca="false">D650</f>
        <v>0.75800000000001</v>
      </c>
      <c r="F650" s="22" t="n">
        <f aca="false">E650</f>
        <v>0.75800000000001</v>
      </c>
      <c r="G650" s="22" t="n">
        <f aca="false">F650</f>
        <v>0.75800000000001</v>
      </c>
      <c r="J650" s="8" t="s">
        <v>407</v>
      </c>
    </row>
    <row r="651" customFormat="false" ht="17.15" hidden="false" customHeight="false" outlineLevel="0" collapsed="false">
      <c r="A651" s="5" t="s">
        <v>306</v>
      </c>
      <c r="B651" s="0" t="s">
        <v>107</v>
      </c>
      <c r="C651" s="22" t="n">
        <f aca="false">C648+C649+C650</f>
        <v>113.538</v>
      </c>
      <c r="D651" s="22" t="n">
        <f aca="false">D648+D649+D650</f>
        <v>192</v>
      </c>
      <c r="E651" s="22" t="n">
        <f aca="false">E648+E649+E650</f>
        <v>252.567432686415</v>
      </c>
      <c r="F651" s="22" t="n">
        <f aca="false">F648+F649+F650</f>
        <v>265.846733041354</v>
      </c>
      <c r="G651" s="22" t="n">
        <f aca="false">G648+G649+G650</f>
        <v>281.408915332751</v>
      </c>
      <c r="H651" s="26" t="n">
        <f aca="false">G651*(1+H652)</f>
        <v>298.087764805106</v>
      </c>
      <c r="I651" s="26" t="n">
        <f aca="false">H651*(1+I652)</f>
        <v>315.973030693413</v>
      </c>
      <c r="J651" s="8" t="s">
        <v>408</v>
      </c>
    </row>
    <row r="652" customFormat="false" ht="15" hidden="false" customHeight="false" outlineLevel="0" collapsed="false">
      <c r="A652" s="5" t="s">
        <v>409</v>
      </c>
      <c r="B652" s="0" t="s">
        <v>130</v>
      </c>
      <c r="D652" s="17" t="n">
        <f aca="false">D651/C651-1</f>
        <v>0.691063784812134</v>
      </c>
      <c r="E652" s="17" t="n">
        <f aca="false">E651/D651-1</f>
        <v>0.315455378575076</v>
      </c>
      <c r="F652" s="17" t="n">
        <f aca="false">F651/E651-1</f>
        <v>0.0525772472471788</v>
      </c>
      <c r="G652" s="17" t="n">
        <f aca="false">G651/F651-1</f>
        <v>0.0585381739070574</v>
      </c>
      <c r="H652" s="27" t="n">
        <f aca="false">$G652+(fade_gA-$G652)*1/2</f>
        <v>0.0592690869535287</v>
      </c>
      <c r="I652" s="27" t="n">
        <f aca="false">$G652+(fade_gA-$G652)*2/2</f>
        <v>0.06</v>
      </c>
    </row>
    <row r="653" customFormat="false" ht="17.15" hidden="false" customHeight="false" outlineLevel="0" collapsed="false">
      <c r="A653" s="0" t="s">
        <v>410</v>
      </c>
      <c r="B653" s="0" t="s">
        <v>130</v>
      </c>
      <c r="C653" s="17" t="n">
        <f aca="false">C644/C651</f>
        <v>0.217398580211031</v>
      </c>
      <c r="D653" s="17" t="n">
        <f aca="false">D644/D651</f>
        <v>0.385416666666667</v>
      </c>
      <c r="E653" s="17" t="n">
        <f aca="false">E644/E651</f>
        <v>0.518097034105273</v>
      </c>
      <c r="F653" s="17" t="n">
        <f aca="false">F644/F651</f>
        <v>0.521767134259937</v>
      </c>
      <c r="G653" s="17" t="n">
        <f aca="false">G644/G651</f>
        <v>0.526648781801274</v>
      </c>
    </row>
    <row r="654" customFormat="false" ht="17.15" hidden="false" customHeight="false" outlineLevel="0" collapsed="false">
      <c r="A654" s="1" t="s">
        <v>411</v>
      </c>
    </row>
    <row r="655" customFormat="false" ht="17.15" hidden="false" customHeight="false" outlineLevel="0" collapsed="false">
      <c r="A655" s="0" t="s">
        <v>383</v>
      </c>
      <c r="B655" s="0" t="s">
        <v>130</v>
      </c>
      <c r="C655" s="23" t="n">
        <f aca="false">(a26_isgoi-m_nai*(a26_tr+a26_st))/a26_ai</f>
        <v>0.0538070736944455</v>
      </c>
      <c r="D655" s="23" t="n">
        <f aca="false">(a27_isgoi-m_nai*(a27_tr+a27_st))/a27_ai</f>
        <v>0.110710097972973</v>
      </c>
      <c r="E655" s="23" t="n">
        <f aca="false">$D655+ai_dm</f>
        <v>0.100710097972973</v>
      </c>
      <c r="F655" s="23" t="n">
        <f aca="false">$D655+ai_dm+dm_A</f>
        <v>0.100710097972973</v>
      </c>
      <c r="G655" s="23" t="n">
        <f aca="false">$D655+ai_dm+dm_A</f>
        <v>0.100710097972973</v>
      </c>
      <c r="J655" s="8" t="s">
        <v>412</v>
      </c>
    </row>
    <row r="656" customFormat="false" ht="17.15" hidden="false" customHeight="false" outlineLevel="0" collapsed="false">
      <c r="A656" s="5" t="s">
        <v>413</v>
      </c>
      <c r="B656" s="0" t="s">
        <v>130</v>
      </c>
      <c r="C656" s="23" t="n">
        <f aca="false">m_nai</f>
        <v>0.16</v>
      </c>
      <c r="D656" s="23" t="n">
        <f aca="false">m_nai</f>
        <v>0.16</v>
      </c>
      <c r="E656" s="23" t="n">
        <f aca="false">m_naif</f>
        <v>0.155</v>
      </c>
      <c r="F656" s="23" t="n">
        <f aca="false">m_naif</f>
        <v>0.155</v>
      </c>
      <c r="G656" s="23" t="n">
        <f aca="false">m_naif</f>
        <v>0.155</v>
      </c>
    </row>
    <row r="657" customFormat="false" ht="17.15" hidden="false" customHeight="false" outlineLevel="0" collapsed="false">
      <c r="A657" s="0" t="s">
        <v>308</v>
      </c>
      <c r="B657" s="0" t="s">
        <v>107</v>
      </c>
      <c r="C657" s="28" t="n">
        <f aca="false">a26_isgoi</f>
        <v>7.111</v>
      </c>
      <c r="D657" s="28" t="n">
        <f aca="false">a27_isgoi</f>
        <v>17.32322085</v>
      </c>
      <c r="E657" s="28" t="n">
        <f aca="false">E644*E655+(E646+E647)*E656</f>
        <v>21.8530439131681</v>
      </c>
      <c r="F657" s="28" t="n">
        <f aca="false">F644*F655+(F646+F647)*F656</f>
        <v>22.8804523721815</v>
      </c>
      <c r="G657" s="28" t="n">
        <f aca="false">G644*G655+(G646+G647)*G656</f>
        <v>24.1365207539417</v>
      </c>
    </row>
    <row r="658" customFormat="false" ht="17.15" hidden="false" customHeight="false" outlineLevel="0" collapsed="false">
      <c r="A658" s="0" t="s">
        <v>414</v>
      </c>
      <c r="B658" s="0" t="s">
        <v>130</v>
      </c>
      <c r="C658" s="23" t="n">
        <f aca="false">a26_csgoi/C649</f>
        <v>0.0555664522203044</v>
      </c>
      <c r="D658" s="23" t="n">
        <f aca="false">a27_csgoi/D649</f>
        <v>0.0764752733223222</v>
      </c>
      <c r="E658" s="23" t="n">
        <f aca="false">m_csgf</f>
        <v>0.07</v>
      </c>
      <c r="F658" s="23" t="n">
        <f aca="false">m_csgf</f>
        <v>0.07</v>
      </c>
      <c r="G658" s="23" t="n">
        <f aca="false">m_csgf</f>
        <v>0.07</v>
      </c>
    </row>
    <row r="659" customFormat="false" ht="17.15" hidden="false" customHeight="false" outlineLevel="0" collapsed="false">
      <c r="A659" s="0" t="s">
        <v>310</v>
      </c>
      <c r="B659" s="0" t="s">
        <v>107</v>
      </c>
      <c r="C659" s="28" t="n">
        <f aca="false">C649*C658</f>
        <v>2.833</v>
      </c>
      <c r="D659" s="28" t="n">
        <f aca="false">D649*D658</f>
        <v>4.60192175</v>
      </c>
      <c r="E659" s="28" t="n">
        <f aca="false">E649*E658</f>
        <v>4.549251924</v>
      </c>
      <c r="F659" s="28" t="n">
        <f aca="false">F649*F658</f>
        <v>4.82220703944</v>
      </c>
      <c r="G659" s="28" t="n">
        <f aca="false">G649*G658</f>
        <v>5.1115394618064</v>
      </c>
    </row>
    <row r="660" customFormat="false" ht="17.15" hidden="false" customHeight="false" outlineLevel="0" collapsed="false">
      <c r="A660" s="5" t="s">
        <v>415</v>
      </c>
      <c r="B660" s="0" t="s">
        <v>107</v>
      </c>
      <c r="C660" s="28" t="n">
        <f aca="false">C657+C659</f>
        <v>9.944</v>
      </c>
      <c r="D660" s="28" t="n">
        <f aca="false">D657+D659</f>
        <v>21.9251426</v>
      </c>
      <c r="E660" s="28" t="n">
        <f aca="false">E657+E659</f>
        <v>26.4022958371681</v>
      </c>
      <c r="F660" s="28" t="n">
        <f aca="false">F657+F659</f>
        <v>27.7026594116215</v>
      </c>
      <c r="G660" s="28" t="n">
        <f aca="false">G657+G659</f>
        <v>29.2480602157481</v>
      </c>
    </row>
    <row r="661" customFormat="false" ht="15" hidden="false" customHeight="false" outlineLevel="0" collapsed="false">
      <c r="A661" s="5" t="s">
        <v>384</v>
      </c>
      <c r="B661" s="0" t="s">
        <v>130</v>
      </c>
      <c r="C661" s="23" t="n">
        <f aca="false">C660/C651</f>
        <v>0.0875830118550617</v>
      </c>
      <c r="D661" s="23" t="n">
        <f aca="false">D660/D651</f>
        <v>0.114193451041667</v>
      </c>
      <c r="E661" s="23" t="n">
        <f aca="false">E660/E651</f>
        <v>0.104535630569397</v>
      </c>
      <c r="F661" s="23" t="n">
        <f aca="false">F660/F651</f>
        <v>0.104205378394897</v>
      </c>
      <c r="G661" s="23" t="n">
        <f aca="false">G660/G651</f>
        <v>0.103934376710005</v>
      </c>
    </row>
    <row r="662" customFormat="false" ht="17.15" hidden="false" customHeight="false" outlineLevel="0" collapsed="false">
      <c r="A662" s="5" t="s">
        <v>416</v>
      </c>
      <c r="B662" s="0" t="s">
        <v>130</v>
      </c>
      <c r="C662" s="17" t="n">
        <f aca="false">a26_ni/a26_oi</f>
        <v>0.708567980691875</v>
      </c>
      <c r="D662" s="17" t="n">
        <f aca="false">a27_ni/a27_oi</f>
        <v>0.753655303477935</v>
      </c>
      <c r="E662" s="17" t="n">
        <f aca="false">nio_f</f>
        <v>0.75</v>
      </c>
      <c r="F662" s="17" t="n">
        <f aca="false">nio_f</f>
        <v>0.75</v>
      </c>
      <c r="G662" s="17" t="n">
        <f aca="false">nio_f</f>
        <v>0.75</v>
      </c>
    </row>
    <row r="663" customFormat="false" ht="17.15" hidden="false" customHeight="false" outlineLevel="0" collapsed="false">
      <c r="A663" s="0" t="s">
        <v>316</v>
      </c>
      <c r="B663" s="0" t="s">
        <v>107</v>
      </c>
      <c r="C663" s="28" t="n">
        <f aca="false">a26_ni</f>
        <v>7.046</v>
      </c>
      <c r="D663" s="28" t="n">
        <f aca="false">a27_ni</f>
        <v>16.524</v>
      </c>
      <c r="E663" s="28" t="n">
        <f aca="false">E660*E662</f>
        <v>19.8017218778761</v>
      </c>
      <c r="F663" s="28" t="n">
        <f aca="false">F660*F662</f>
        <v>20.7769945587161</v>
      </c>
      <c r="G663" s="28" t="n">
        <f aca="false">G660*G662</f>
        <v>21.9360451618111</v>
      </c>
      <c r="H663" s="29" t="n">
        <f aca="false">H651*H667</f>
        <v>23.3367250850581</v>
      </c>
      <c r="I663" s="29" t="n">
        <f aca="false">I651*I667</f>
        <v>24.8435121786047</v>
      </c>
    </row>
    <row r="664" customFormat="false" ht="15" hidden="false" customHeight="false" outlineLevel="0" collapsed="false">
      <c r="A664" s="5" t="s">
        <v>417</v>
      </c>
      <c r="B664" s="5" t="s">
        <v>143</v>
      </c>
      <c r="C664" s="32" t="n">
        <f aca="false">a26_sh</f>
        <v>0.684077669902913</v>
      </c>
      <c r="D664" s="32" t="n">
        <f aca="false">a27_sh</f>
        <v>0.648</v>
      </c>
      <c r="E664" s="32" t="n">
        <f aca="false">D664*(1+sh_g)</f>
        <v>0.62856</v>
      </c>
      <c r="F664" s="32" t="n">
        <f aca="false">E664*(1+sh_g)</f>
        <v>0.6097032</v>
      </c>
      <c r="G664" s="32" t="n">
        <f aca="false">F664*(1+sh_g)</f>
        <v>0.591412104</v>
      </c>
      <c r="H664" s="33" t="n">
        <f aca="false">G664*(1+sh_g)</f>
        <v>0.57366974088</v>
      </c>
      <c r="I664" s="33" t="n">
        <f aca="false">H664*(1+sh_g)</f>
        <v>0.5564596486536</v>
      </c>
    </row>
    <row r="665" customFormat="false" ht="15" hidden="false" customHeight="false" outlineLevel="0" collapsed="false">
      <c r="A665" s="0" t="s">
        <v>324</v>
      </c>
      <c r="B665" s="0" t="s">
        <v>117</v>
      </c>
      <c r="C665" s="28" t="n">
        <f aca="false">C663/C664</f>
        <v>10.3</v>
      </c>
      <c r="D665" s="28" t="n">
        <f aca="false">D663/D664</f>
        <v>25.5</v>
      </c>
      <c r="E665" s="28" t="n">
        <f aca="false">E663/E664</f>
        <v>31.5033121386599</v>
      </c>
      <c r="F665" s="28" t="n">
        <f aca="false">F663/F664</f>
        <v>34.077227343921</v>
      </c>
      <c r="G665" s="28" t="n">
        <f aca="false">G663/G664</f>
        <v>37.0909641744686</v>
      </c>
      <c r="H665" s="31" t="n">
        <f aca="false">H663/H664</f>
        <v>40.679721139309</v>
      </c>
      <c r="I665" s="31" t="n">
        <f aca="false">I663/I664</f>
        <v>44.6456670105652</v>
      </c>
    </row>
    <row r="666" customFormat="false" ht="17.15" hidden="false" customHeight="false" outlineLevel="0" collapsed="false">
      <c r="A666" s="0" t="s">
        <v>418</v>
      </c>
      <c r="B666" s="0" t="s">
        <v>130</v>
      </c>
      <c r="D666" s="17" t="n">
        <f aca="false">D665/C665-1</f>
        <v>1.47572815533981</v>
      </c>
      <c r="E666" s="17" t="n">
        <f aca="false">E665/D665-1</f>
        <v>0.235424005437645</v>
      </c>
      <c r="F666" s="17" t="n">
        <f aca="false">F665/E665-1</f>
        <v>0.081703002970994</v>
      </c>
      <c r="G666" s="17" t="n">
        <f aca="false">G665/F665-1</f>
        <v>0.0884384401386811</v>
      </c>
      <c r="H666" s="27" t="n">
        <f aca="false">H665/G665-1</f>
        <v>0.0967555587921529</v>
      </c>
      <c r="I666" s="27" t="n">
        <f aca="false">I665/H665-1</f>
        <v>0.097491963076016</v>
      </c>
    </row>
    <row r="667" customFormat="false" ht="17.15" hidden="false" customHeight="false" outlineLevel="0" collapsed="false">
      <c r="A667" s="5" t="s">
        <v>419</v>
      </c>
      <c r="B667" s="0" t="s">
        <v>130</v>
      </c>
      <c r="C667" s="23" t="n">
        <f aca="false">C663/C651</f>
        <v>0.0620585178530536</v>
      </c>
      <c r="D667" s="23" t="n">
        <f aca="false">D663/D651</f>
        <v>0.0860625</v>
      </c>
      <c r="E667" s="23" t="n">
        <f aca="false">E663/E651</f>
        <v>0.0784017229270478</v>
      </c>
      <c r="F667" s="23" t="n">
        <f aca="false">F663/F651</f>
        <v>0.0781540337961731</v>
      </c>
      <c r="G667" s="23" t="n">
        <f aca="false">G663/G651</f>
        <v>0.0779507825325039</v>
      </c>
      <c r="H667" s="30" t="n">
        <f aca="false">$G667+(fade_mA-$G667)*1/2</f>
        <v>0.0782881011581134</v>
      </c>
      <c r="I667" s="30" t="n">
        <f aca="false">$G667+(fade_mA-$G667)*2/2</f>
        <v>0.0786254197837229</v>
      </c>
    </row>
    <row r="668" customFormat="false" ht="17.15" hidden="false" customHeight="false" outlineLevel="0" collapsed="false">
      <c r="A668" s="0" t="s">
        <v>420</v>
      </c>
      <c r="B668" s="0" t="s">
        <v>74</v>
      </c>
      <c r="D668" s="20" t="n">
        <f aca="false">D644/(D637+D638)</f>
        <v>8.8622754491018</v>
      </c>
      <c r="E668" s="20" t="n">
        <f aca="false">E644/(E637+E638)</f>
        <v>11.6834319452156</v>
      </c>
      <c r="F668" s="20" t="n">
        <f aca="false">F644/(F637+F638)</f>
        <v>12.0617467870742</v>
      </c>
      <c r="G668" s="20" t="n">
        <f aca="false">G644/(G637+G638)</f>
        <v>11.4886560037218</v>
      </c>
    </row>
    <row r="671" customFormat="false" ht="17.15" hidden="false" customHeight="false" outlineLevel="0" collapsed="false">
      <c r="A671" s="3" t="s">
        <v>762</v>
      </c>
    </row>
    <row r="672" customFormat="false" ht="17.15" hidden="false" customHeight="false" outlineLevel="0" collapsed="false">
      <c r="A672" s="6" t="s">
        <v>20</v>
      </c>
      <c r="B672" s="6" t="s">
        <v>21</v>
      </c>
      <c r="C672" s="14" t="s">
        <v>284</v>
      </c>
      <c r="D672" s="14" t="s">
        <v>371</v>
      </c>
      <c r="E672" s="14" t="s">
        <v>372</v>
      </c>
      <c r="F672" s="14" t="s">
        <v>373</v>
      </c>
      <c r="G672" s="14" t="s">
        <v>374</v>
      </c>
      <c r="H672" s="14" t="s">
        <v>375</v>
      </c>
      <c r="I672" s="14" t="s">
        <v>376</v>
      </c>
      <c r="J672" s="6" t="s">
        <v>344</v>
      </c>
    </row>
    <row r="673" customFormat="false" ht="17.15" hidden="false" customHeight="false" outlineLevel="0" collapsed="false">
      <c r="A673" s="1" t="s">
        <v>394</v>
      </c>
    </row>
    <row r="674" customFormat="false" ht="17.15" hidden="false" customHeight="false" outlineLevel="0" collapsed="false">
      <c r="A674" s="0" t="s">
        <v>395</v>
      </c>
      <c r="B674" s="5" t="s">
        <v>31</v>
      </c>
      <c r="D674" s="18" t="n">
        <f aca="false">ug_26</f>
        <v>6.65</v>
      </c>
      <c r="E674" s="18" t="n">
        <f aca="false">ug_27*1</f>
        <v>2.4</v>
      </c>
      <c r="F674" s="18" t="n">
        <f aca="false">ug_28*um28_A*1</f>
        <v>0.5</v>
      </c>
      <c r="G674" s="18" t="n">
        <f aca="false">ug_29*um29_A*1</f>
        <v>0.25</v>
      </c>
    </row>
    <row r="675" customFormat="false" ht="17.15" hidden="false" customHeight="false" outlineLevel="0" collapsed="false">
      <c r="A675" s="0" t="s">
        <v>396</v>
      </c>
      <c r="B675" s="5" t="s">
        <v>31</v>
      </c>
      <c r="D675" s="18" t="n">
        <f aca="false">uv_26</f>
        <v>1.7</v>
      </c>
      <c r="E675" s="18" t="n">
        <f aca="false">uv_27*1</f>
        <v>8.8</v>
      </c>
      <c r="F675" s="18" t="n">
        <f aca="false">uv_28*um28_A*1</f>
        <v>11</v>
      </c>
      <c r="G675" s="18" t="n">
        <f aca="false">uv_29*um29_A*1</f>
        <v>12.65</v>
      </c>
    </row>
    <row r="676" customFormat="false" ht="17.15" hidden="false" customHeight="false" outlineLevel="0" collapsed="false">
      <c r="A676" s="5" t="s">
        <v>397</v>
      </c>
      <c r="B676" s="0" t="s">
        <v>107</v>
      </c>
      <c r="D676" s="22" t="n">
        <f aca="false">D674*v_gb+D675*v_vr</f>
        <v>595.4861102</v>
      </c>
      <c r="E676" s="22" t="n">
        <f aca="false">E674*v_gb+E675*v_vr</f>
        <v>1170.0000024</v>
      </c>
      <c r="F676" s="22" t="n">
        <f aca="false">F674*v_gb+F675*v_vr</f>
        <v>1313.194448</v>
      </c>
      <c r="G676" s="22" t="n">
        <f aca="false">G674*v_gb+G675*v_vr</f>
        <v>1490.76389305</v>
      </c>
      <c r="J676" s="5" t="s">
        <v>398</v>
      </c>
    </row>
    <row r="677" customFormat="false" ht="17.15" hidden="false" customHeight="false" outlineLevel="0" collapsed="false">
      <c r="A677" s="0" t="s">
        <v>399</v>
      </c>
      <c r="B677" s="0" t="s">
        <v>130</v>
      </c>
      <c r="D677" s="23" t="n">
        <f aca="false">a27_ai/D676</f>
        <v>0.124268221764478</v>
      </c>
      <c r="J677" s="8" t="s">
        <v>400</v>
      </c>
    </row>
    <row r="678" customFormat="false" ht="17.15" hidden="false" customHeight="false" outlineLevel="0" collapsed="false">
      <c r="A678" s="5" t="s">
        <v>401</v>
      </c>
      <c r="B678" s="0" t="s">
        <v>53</v>
      </c>
      <c r="D678" s="18" t="n">
        <f aca="false">1</f>
        <v>1</v>
      </c>
      <c r="E678" s="18" t="n">
        <f aca="false">rel_28</f>
        <v>0.9</v>
      </c>
      <c r="F678" s="18" t="n">
        <f aca="false">rel_29</f>
        <v>0.85</v>
      </c>
      <c r="G678" s="18" t="n">
        <f aca="false">rel_30</f>
        <v>0.8</v>
      </c>
    </row>
    <row r="679" customFormat="false" ht="17.15" hidden="false" customHeight="false" outlineLevel="0" collapsed="false">
      <c r="A679" s="5" t="s">
        <v>402</v>
      </c>
      <c r="B679" s="0" t="s">
        <v>53</v>
      </c>
      <c r="D679" s="18" t="n">
        <f aca="false">1</f>
        <v>1</v>
      </c>
      <c r="E679" s="18" t="n">
        <f aca="false">1</f>
        <v>1</v>
      </c>
      <c r="F679" s="18" t="n">
        <f aca="false">srel_A</f>
        <v>1</v>
      </c>
      <c r="G679" s="18" t="n">
        <f aca="false">srel_A</f>
        <v>1</v>
      </c>
    </row>
    <row r="680" customFormat="false" ht="17.15" hidden="false" customHeight="false" outlineLevel="0" collapsed="false">
      <c r="A680" s="0" t="s">
        <v>353</v>
      </c>
      <c r="B680" s="0" t="s">
        <v>130</v>
      </c>
      <c r="D680" s="23" t="n">
        <f aca="false">$D$677*D678*D679</f>
        <v>0.124268221764478</v>
      </c>
      <c r="E680" s="23" t="n">
        <f aca="false">$D$677*E678*E679</f>
        <v>0.11184139958803</v>
      </c>
      <c r="F680" s="23" t="n">
        <f aca="false">$D$677*F678*F679</f>
        <v>0.105627988499806</v>
      </c>
      <c r="G680" s="23" t="n">
        <f aca="false">$D$677*G678*G679</f>
        <v>0.0994145774115824</v>
      </c>
    </row>
    <row r="681" customFormat="false" ht="17.15" hidden="false" customHeight="false" outlineLevel="0" collapsed="false">
      <c r="A681" s="0" t="s">
        <v>403</v>
      </c>
      <c r="B681" s="0" t="s">
        <v>107</v>
      </c>
      <c r="C681" s="22" t="n">
        <f aca="false">a26_ai</f>
        <v>24.683</v>
      </c>
      <c r="D681" s="22" t="n">
        <f aca="false">D676*D680</f>
        <v>74</v>
      </c>
      <c r="E681" s="22" t="n">
        <f aca="false">E676*E680</f>
        <v>130.854437786415</v>
      </c>
      <c r="F681" s="22" t="n">
        <f aca="false">F676*F680</f>
        <v>138.710088051354</v>
      </c>
      <c r="G681" s="22" t="n">
        <f aca="false">G676*G680</f>
        <v>148.203662448011</v>
      </c>
    </row>
    <row r="682" customFormat="false" ht="17.15" hidden="false" customHeight="false" outlineLevel="0" collapsed="false">
      <c r="A682" s="1" t="s">
        <v>404</v>
      </c>
    </row>
    <row r="683" customFormat="false" ht="15" hidden="false" customHeight="false" outlineLevel="0" collapsed="false">
      <c r="A683" s="5" t="s">
        <v>293</v>
      </c>
      <c r="B683" s="0" t="s">
        <v>107</v>
      </c>
      <c r="C683" s="22" t="n">
        <f aca="false">a26_tr</f>
        <v>19.512</v>
      </c>
      <c r="D683" s="22" t="n">
        <f aca="false">a27_tr</f>
        <v>37.59663</v>
      </c>
      <c r="E683" s="22" t="n">
        <f aca="false">D683*(1+g_tr28)</f>
        <v>35.7167985</v>
      </c>
      <c r="F683" s="22" t="n">
        <f aca="false">E683*(1+g_tr29)</f>
        <v>36.43113447</v>
      </c>
      <c r="G683" s="22" t="n">
        <f aca="false">F683*(1+g_tr30)</f>
        <v>37.5240685041</v>
      </c>
    </row>
    <row r="684" customFormat="false" ht="15" hidden="false" customHeight="false" outlineLevel="0" collapsed="false">
      <c r="A684" s="5" t="s">
        <v>296</v>
      </c>
      <c r="B684" s="0" t="s">
        <v>107</v>
      </c>
      <c r="C684" s="22" t="n">
        <f aca="false">a26_st</f>
        <v>16.631</v>
      </c>
      <c r="D684" s="22" t="n">
        <f aca="false">a27_st</f>
        <v>19.47008</v>
      </c>
      <c r="E684" s="22" t="n">
        <f aca="false">D684*(1+g_st28)</f>
        <v>20.2488832</v>
      </c>
      <c r="F684" s="22" t="n">
        <f aca="false">E684*(1+g_st29)</f>
        <v>21.058838528</v>
      </c>
      <c r="G684" s="22" t="n">
        <f aca="false">F684*(1+g_st30)</f>
        <v>21.90119206912</v>
      </c>
    </row>
    <row r="685" customFormat="false" ht="17.15" hidden="false" customHeight="false" outlineLevel="0" collapsed="false">
      <c r="A685" s="0" t="s">
        <v>299</v>
      </c>
      <c r="B685" s="0" t="s">
        <v>107</v>
      </c>
      <c r="C685" s="22" t="n">
        <f aca="false">C681+C683+C684</f>
        <v>60.826</v>
      </c>
      <c r="D685" s="22" t="n">
        <f aca="false">D681+D683+D684</f>
        <v>131.06671</v>
      </c>
      <c r="E685" s="22" t="n">
        <f aca="false">E681+E683+E684</f>
        <v>186.820119486415</v>
      </c>
      <c r="F685" s="22" t="n">
        <f aca="false">F681+F683+F684</f>
        <v>196.200061049354</v>
      </c>
      <c r="G685" s="22" t="n">
        <f aca="false">G681+G683+G684</f>
        <v>207.628923021231</v>
      </c>
    </row>
    <row r="686" customFormat="false" ht="17.15" hidden="false" customHeight="false" outlineLevel="0" collapsed="false">
      <c r="A686" s="0" t="s">
        <v>405</v>
      </c>
      <c r="B686" s="0" t="s">
        <v>107</v>
      </c>
      <c r="C686" s="22" t="n">
        <f aca="false">a26_csg</f>
        <v>50.984</v>
      </c>
      <c r="D686" s="22" t="n">
        <f aca="false">a27_csg</f>
        <v>60.17529</v>
      </c>
      <c r="E686" s="22" t="n">
        <f aca="false">D686*(1+g_csg28)</f>
        <v>61.9805487</v>
      </c>
      <c r="F686" s="22" t="n">
        <f aca="false">E686*(1+g_csg29)</f>
        <v>63.839965161</v>
      </c>
      <c r="G686" s="22" t="n">
        <f aca="false">F686*(1+g_csg30)</f>
        <v>65.75516411583</v>
      </c>
    </row>
    <row r="687" customFormat="false" ht="17.15" hidden="false" customHeight="false" outlineLevel="0" collapsed="false">
      <c r="A687" s="5" t="s">
        <v>406</v>
      </c>
      <c r="B687" s="0" t="s">
        <v>107</v>
      </c>
      <c r="C687" s="22" t="n">
        <f aca="false">a26_oth</f>
        <v>1.72799999999999</v>
      </c>
      <c r="D687" s="22" t="n">
        <f aca="false">a27_oth</f>
        <v>0.75800000000001</v>
      </c>
      <c r="E687" s="22" t="n">
        <f aca="false">D687</f>
        <v>0.75800000000001</v>
      </c>
      <c r="F687" s="22" t="n">
        <f aca="false">E687</f>
        <v>0.75800000000001</v>
      </c>
      <c r="G687" s="22" t="n">
        <f aca="false">F687</f>
        <v>0.75800000000001</v>
      </c>
      <c r="J687" s="8" t="s">
        <v>407</v>
      </c>
    </row>
    <row r="688" customFormat="false" ht="17.15" hidden="false" customHeight="false" outlineLevel="0" collapsed="false">
      <c r="A688" s="5" t="s">
        <v>306</v>
      </c>
      <c r="B688" s="0" t="s">
        <v>107</v>
      </c>
      <c r="C688" s="22" t="n">
        <f aca="false">C685+C686+C687</f>
        <v>113.538</v>
      </c>
      <c r="D688" s="22" t="n">
        <f aca="false">D685+D686+D687</f>
        <v>192</v>
      </c>
      <c r="E688" s="22" t="n">
        <f aca="false">E685+E686+E687</f>
        <v>249.558668186415</v>
      </c>
      <c r="F688" s="22" t="n">
        <f aca="false">F685+F686+F687</f>
        <v>260.798026210354</v>
      </c>
      <c r="G688" s="22" t="n">
        <f aca="false">G685+G686+G687</f>
        <v>274.142087137061</v>
      </c>
      <c r="H688" s="26" t="n">
        <f aca="false">G688*(1+H689)</f>
        <v>289.37976309346</v>
      </c>
      <c r="I688" s="26" t="n">
        <f aca="false">H688*(1+I689)</f>
        <v>306.742548879068</v>
      </c>
      <c r="J688" s="8" t="s">
        <v>408</v>
      </c>
    </row>
    <row r="689" customFormat="false" ht="15" hidden="false" customHeight="false" outlineLevel="0" collapsed="false">
      <c r="A689" s="5" t="s">
        <v>409</v>
      </c>
      <c r="B689" s="0" t="s">
        <v>130</v>
      </c>
      <c r="D689" s="17" t="n">
        <f aca="false">D688/C688-1</f>
        <v>0.691063784812134</v>
      </c>
      <c r="E689" s="17" t="n">
        <f aca="false">E688/D688-1</f>
        <v>0.299784730137576</v>
      </c>
      <c r="F689" s="17" t="n">
        <f aca="false">F688/E688-1</f>
        <v>0.0450369370281432</v>
      </c>
      <c r="G689" s="17" t="n">
        <f aca="false">G688/F688-1</f>
        <v>0.0511662650235885</v>
      </c>
      <c r="H689" s="27" t="n">
        <f aca="false">$G689+(fade_gA-$G689)*1/2</f>
        <v>0.0555831325117942</v>
      </c>
      <c r="I689" s="27" t="n">
        <f aca="false">$G689+(fade_gA-$G689)*2/2</f>
        <v>0.06</v>
      </c>
    </row>
    <row r="690" customFormat="false" ht="17.15" hidden="false" customHeight="false" outlineLevel="0" collapsed="false">
      <c r="A690" s="0" t="s">
        <v>410</v>
      </c>
      <c r="B690" s="0" t="s">
        <v>130</v>
      </c>
      <c r="C690" s="17" t="n">
        <f aca="false">C681/C688</f>
        <v>0.217398580211031</v>
      </c>
      <c r="D690" s="17" t="n">
        <f aca="false">D681/D688</f>
        <v>0.385416666666667</v>
      </c>
      <c r="E690" s="17" t="n">
        <f aca="false">E681/E688</f>
        <v>0.524343388820577</v>
      </c>
      <c r="F690" s="17" t="n">
        <f aca="false">F681/F688</f>
        <v>0.531867859841367</v>
      </c>
      <c r="G690" s="17" t="n">
        <f aca="false">G681/G688</f>
        <v>0.540608937488372</v>
      </c>
    </row>
    <row r="691" customFormat="false" ht="17.15" hidden="false" customHeight="false" outlineLevel="0" collapsed="false">
      <c r="A691" s="1" t="s">
        <v>411</v>
      </c>
    </row>
    <row r="692" customFormat="false" ht="17.15" hidden="false" customHeight="false" outlineLevel="0" collapsed="false">
      <c r="A692" s="0" t="s">
        <v>383</v>
      </c>
      <c r="B692" s="0" t="s">
        <v>130</v>
      </c>
      <c r="C692" s="23" t="n">
        <f aca="false">(a26_isgoi-m_nai*(a26_tr+a26_st))/a26_ai</f>
        <v>0.0538070736944455</v>
      </c>
      <c r="D692" s="23" t="n">
        <f aca="false">(a27_isgoi-m_nai*(a27_tr+a27_st))/a27_ai</f>
        <v>0.110710097972973</v>
      </c>
      <c r="E692" s="23" t="n">
        <f aca="false">$D692+ai_dm</f>
        <v>0.100710097972973</v>
      </c>
      <c r="F692" s="23" t="n">
        <f aca="false">$D692+ai_dm+dm_A</f>
        <v>0.100710097972973</v>
      </c>
      <c r="G692" s="23" t="n">
        <f aca="false">$D692+ai_dm+dm_A</f>
        <v>0.100710097972973</v>
      </c>
      <c r="J692" s="8" t="s">
        <v>412</v>
      </c>
    </row>
    <row r="693" customFormat="false" ht="17.15" hidden="false" customHeight="false" outlineLevel="0" collapsed="false">
      <c r="A693" s="5" t="s">
        <v>413</v>
      </c>
      <c r="B693" s="0" t="s">
        <v>130</v>
      </c>
      <c r="C693" s="23" t="n">
        <f aca="false">m_nai</f>
        <v>0.16</v>
      </c>
      <c r="D693" s="23" t="n">
        <f aca="false">m_nai</f>
        <v>0.16</v>
      </c>
      <c r="E693" s="23" t="n">
        <f aca="false">m_naif</f>
        <v>0.155</v>
      </c>
      <c r="F693" s="23" t="n">
        <f aca="false">m_naif</f>
        <v>0.155</v>
      </c>
      <c r="G693" s="23" t="n">
        <f aca="false">m_naif</f>
        <v>0.155</v>
      </c>
    </row>
    <row r="694" customFormat="false" ht="17.15" hidden="false" customHeight="false" outlineLevel="0" collapsed="false">
      <c r="A694" s="0" t="s">
        <v>308</v>
      </c>
      <c r="B694" s="0" t="s">
        <v>107</v>
      </c>
      <c r="C694" s="28" t="n">
        <f aca="false">a26_isgoi</f>
        <v>7.111</v>
      </c>
      <c r="D694" s="28" t="n">
        <f aca="false">a27_isgoi</f>
        <v>17.32322085</v>
      </c>
      <c r="E694" s="28" t="n">
        <f aca="false">E681*E692+(E683+E684)*E693</f>
        <v>21.8530439131681</v>
      </c>
      <c r="F694" s="28" t="n">
        <f aca="false">F681*F692+(F683+F684)*F693</f>
        <v>22.8804523721815</v>
      </c>
      <c r="G694" s="28" t="n">
        <f aca="false">G681*G692+(G683+G684)*G693</f>
        <v>24.1365207539417</v>
      </c>
    </row>
    <row r="695" customFormat="false" ht="17.15" hidden="false" customHeight="false" outlineLevel="0" collapsed="false">
      <c r="A695" s="0" t="s">
        <v>414</v>
      </c>
      <c r="B695" s="0" t="s">
        <v>130</v>
      </c>
      <c r="C695" s="23" t="n">
        <f aca="false">a26_csgoi/C686</f>
        <v>0.0555664522203044</v>
      </c>
      <c r="D695" s="23" t="n">
        <f aca="false">a27_csgoi/D686</f>
        <v>0.0764752733223222</v>
      </c>
      <c r="E695" s="23" t="n">
        <f aca="false">m_csgf</f>
        <v>0.07</v>
      </c>
      <c r="F695" s="23" t="n">
        <f aca="false">m_csgf</f>
        <v>0.07</v>
      </c>
      <c r="G695" s="23" t="n">
        <f aca="false">m_csgf</f>
        <v>0.07</v>
      </c>
    </row>
    <row r="696" customFormat="false" ht="17.15" hidden="false" customHeight="false" outlineLevel="0" collapsed="false">
      <c r="A696" s="0" t="s">
        <v>310</v>
      </c>
      <c r="B696" s="0" t="s">
        <v>107</v>
      </c>
      <c r="C696" s="28" t="n">
        <f aca="false">C686*C695</f>
        <v>2.833</v>
      </c>
      <c r="D696" s="28" t="n">
        <f aca="false">D686*D695</f>
        <v>4.60192175</v>
      </c>
      <c r="E696" s="28" t="n">
        <f aca="false">E686*E695</f>
        <v>4.338638409</v>
      </c>
      <c r="F696" s="28" t="n">
        <f aca="false">F686*F695</f>
        <v>4.46879756127</v>
      </c>
      <c r="G696" s="28" t="n">
        <f aca="false">G686*G695</f>
        <v>4.6028614881081</v>
      </c>
    </row>
    <row r="697" customFormat="false" ht="17.15" hidden="false" customHeight="false" outlineLevel="0" collapsed="false">
      <c r="A697" s="5" t="s">
        <v>415</v>
      </c>
      <c r="B697" s="0" t="s">
        <v>107</v>
      </c>
      <c r="C697" s="28" t="n">
        <f aca="false">C694+C696</f>
        <v>9.944</v>
      </c>
      <c r="D697" s="28" t="n">
        <f aca="false">D694+D696</f>
        <v>21.9251426</v>
      </c>
      <c r="E697" s="28" t="n">
        <f aca="false">E694+E696</f>
        <v>26.1916823221681</v>
      </c>
      <c r="F697" s="28" t="n">
        <f aca="false">F694+F696</f>
        <v>27.3492499334515</v>
      </c>
      <c r="G697" s="28" t="n">
        <f aca="false">G694+G696</f>
        <v>28.7393822420498</v>
      </c>
    </row>
    <row r="698" customFormat="false" ht="15" hidden="false" customHeight="false" outlineLevel="0" collapsed="false">
      <c r="A698" s="5" t="s">
        <v>384</v>
      </c>
      <c r="B698" s="0" t="s">
        <v>130</v>
      </c>
      <c r="C698" s="23" t="n">
        <f aca="false">C697/C688</f>
        <v>0.0875830118550617</v>
      </c>
      <c r="D698" s="23" t="n">
        <f aca="false">D697/D688</f>
        <v>0.114193451041667</v>
      </c>
      <c r="E698" s="23" t="n">
        <f aca="false">E697/E688</f>
        <v>0.104952003921593</v>
      </c>
      <c r="F698" s="23" t="n">
        <f aca="false">F697/F688</f>
        <v>0.104867549539628</v>
      </c>
      <c r="G698" s="23" t="n">
        <f aca="false">G697/G688</f>
        <v>0.104833893044964</v>
      </c>
    </row>
    <row r="699" customFormat="false" ht="17.15" hidden="false" customHeight="false" outlineLevel="0" collapsed="false">
      <c r="A699" s="5" t="s">
        <v>416</v>
      </c>
      <c r="B699" s="0" t="s">
        <v>130</v>
      </c>
      <c r="C699" s="17" t="n">
        <f aca="false">a26_ni/a26_oi</f>
        <v>0.708567980691875</v>
      </c>
      <c r="D699" s="17" t="n">
        <f aca="false">a27_ni/a27_oi</f>
        <v>0.753655303477935</v>
      </c>
      <c r="E699" s="17" t="n">
        <f aca="false">nio_f_lo</f>
        <v>0.7</v>
      </c>
      <c r="F699" s="17" t="n">
        <f aca="false">nio_f_lo</f>
        <v>0.7</v>
      </c>
      <c r="G699" s="17" t="n">
        <f aca="false">nio_f_lo</f>
        <v>0.7</v>
      </c>
    </row>
    <row r="700" customFormat="false" ht="17.15" hidden="false" customHeight="false" outlineLevel="0" collapsed="false">
      <c r="A700" s="0" t="s">
        <v>316</v>
      </c>
      <c r="B700" s="0" t="s">
        <v>107</v>
      </c>
      <c r="C700" s="28" t="n">
        <f aca="false">a26_ni</f>
        <v>7.046</v>
      </c>
      <c r="D700" s="28" t="n">
        <f aca="false">a27_ni</f>
        <v>16.524</v>
      </c>
      <c r="E700" s="28" t="n">
        <f aca="false">E697*E699</f>
        <v>18.3341776255177</v>
      </c>
      <c r="F700" s="28" t="n">
        <f aca="false">F697*F699</f>
        <v>19.1444749534161</v>
      </c>
      <c r="G700" s="28" t="n">
        <f aca="false">G697*G699</f>
        <v>20.1175675694349</v>
      </c>
      <c r="H700" s="29" t="n">
        <f aca="false">H688*H704</f>
        <v>21.9941851717997</v>
      </c>
      <c r="I700" s="29" t="n">
        <f aca="false">I688*I704</f>
        <v>24.1177616711458</v>
      </c>
    </row>
    <row r="701" customFormat="false" ht="15" hidden="false" customHeight="false" outlineLevel="0" collapsed="false">
      <c r="A701" s="5" t="s">
        <v>417</v>
      </c>
      <c r="B701" s="5" t="s">
        <v>143</v>
      </c>
      <c r="C701" s="32" t="n">
        <f aca="false">a26_sh</f>
        <v>0.684077669902913</v>
      </c>
      <c r="D701" s="32" t="n">
        <f aca="false">a27_sh</f>
        <v>0.648</v>
      </c>
      <c r="E701" s="32" t="n">
        <f aca="false">D701*(1+sh_g)</f>
        <v>0.62856</v>
      </c>
      <c r="F701" s="32" t="n">
        <f aca="false">E701*(1+sh_g)</f>
        <v>0.6097032</v>
      </c>
      <c r="G701" s="32" t="n">
        <f aca="false">F701*(1+sh_g)</f>
        <v>0.591412104</v>
      </c>
      <c r="H701" s="33" t="n">
        <f aca="false">G701*(1+sh_g)</f>
        <v>0.57366974088</v>
      </c>
      <c r="I701" s="33" t="n">
        <f aca="false">H701*(1+sh_g)</f>
        <v>0.5564596486536</v>
      </c>
    </row>
    <row r="702" customFormat="false" ht="15" hidden="false" customHeight="false" outlineLevel="0" collapsed="false">
      <c r="A702" s="0" t="s">
        <v>324</v>
      </c>
      <c r="B702" s="0" t="s">
        <v>117</v>
      </c>
      <c r="C702" s="28" t="n">
        <f aca="false">C700/C701</f>
        <v>10.3</v>
      </c>
      <c r="D702" s="28" t="n">
        <f aca="false">D700/D701</f>
        <v>25.5</v>
      </c>
      <c r="E702" s="28" t="n">
        <f aca="false">E700/E701</f>
        <v>29.1685401958726</v>
      </c>
      <c r="F702" s="28" t="n">
        <f aca="false">F700/F701</f>
        <v>31.3996629071589</v>
      </c>
      <c r="G702" s="28" t="n">
        <f aca="false">G700/G701</f>
        <v>34.0161579943499</v>
      </c>
      <c r="H702" s="31" t="n">
        <f aca="false">H700/H701</f>
        <v>38.3394549241188</v>
      </c>
      <c r="I702" s="31" t="n">
        <f aca="false">I700/I701</f>
        <v>43.3414385562381</v>
      </c>
    </row>
    <row r="703" customFormat="false" ht="17.15" hidden="false" customHeight="false" outlineLevel="0" collapsed="false">
      <c r="A703" s="0" t="s">
        <v>418</v>
      </c>
      <c r="B703" s="0" t="s">
        <v>130</v>
      </c>
      <c r="D703" s="17" t="n">
        <f aca="false">D702/C702-1</f>
        <v>1.47572815533981</v>
      </c>
      <c r="E703" s="17" t="n">
        <f aca="false">E702/D702-1</f>
        <v>0.143864321406769</v>
      </c>
      <c r="F703" s="17" t="n">
        <f aca="false">F702/E702-1</f>
        <v>0.0764907224120175</v>
      </c>
      <c r="G703" s="17" t="n">
        <f aca="false">G702/F702-1</f>
        <v>0.0833287635898303</v>
      </c>
      <c r="H703" s="27" t="n">
        <f aca="false">H702/G702-1</f>
        <v>0.127095391857217</v>
      </c>
      <c r="I703" s="27" t="n">
        <f aca="false">I702/H702-1</f>
        <v>0.130465694987558</v>
      </c>
    </row>
    <row r="704" customFormat="false" ht="17.15" hidden="false" customHeight="false" outlineLevel="0" collapsed="false">
      <c r="A704" s="5" t="s">
        <v>419</v>
      </c>
      <c r="B704" s="0" t="s">
        <v>130</v>
      </c>
      <c r="C704" s="23" t="n">
        <f aca="false">C700/C688</f>
        <v>0.0620585178530536</v>
      </c>
      <c r="D704" s="23" t="n">
        <f aca="false">D700/D688</f>
        <v>0.0860625</v>
      </c>
      <c r="E704" s="23" t="n">
        <f aca="false">E700/E688</f>
        <v>0.0734664027451151</v>
      </c>
      <c r="F704" s="23" t="n">
        <f aca="false">F700/F688</f>
        <v>0.0734072846777398</v>
      </c>
      <c r="G704" s="23" t="n">
        <f aca="false">G700/G688</f>
        <v>0.0733837251314747</v>
      </c>
      <c r="H704" s="30" t="n">
        <f aca="false">$G704+(fade_mA-$G704)*1/2</f>
        <v>0.0760045724575988</v>
      </c>
      <c r="I704" s="30" t="n">
        <f aca="false">$G704+(fade_mA-$G704)*2/2</f>
        <v>0.0786254197837229</v>
      </c>
    </row>
    <row r="705" customFormat="false" ht="17.15" hidden="false" customHeight="false" outlineLevel="0" collapsed="false">
      <c r="A705" s="0" t="s">
        <v>420</v>
      </c>
      <c r="B705" s="0" t="s">
        <v>74</v>
      </c>
      <c r="D705" s="20" t="n">
        <f aca="false">D681/(D674+D675)</f>
        <v>8.8622754491018</v>
      </c>
      <c r="E705" s="20" t="n">
        <f aca="false">E681/(E674+E675)</f>
        <v>11.6834319452156</v>
      </c>
      <c r="F705" s="20" t="n">
        <f aca="false">F681/(F674+F675)</f>
        <v>12.0617467870742</v>
      </c>
      <c r="G705" s="20" t="n">
        <f aca="false">G681/(G674+G675)</f>
        <v>11.4886560037218</v>
      </c>
    </row>
    <row r="708" customFormat="false" ht="17.15" hidden="false" customHeight="false" outlineLevel="0" collapsed="false">
      <c r="A708" s="3" t="s">
        <v>763</v>
      </c>
    </row>
    <row r="709" customFormat="false" ht="17.15" hidden="false" customHeight="false" outlineLevel="0" collapsed="false">
      <c r="A709" s="6" t="s">
        <v>20</v>
      </c>
      <c r="B709" s="6" t="s">
        <v>21</v>
      </c>
      <c r="C709" s="14" t="s">
        <v>284</v>
      </c>
      <c r="D709" s="14" t="s">
        <v>371</v>
      </c>
      <c r="E709" s="14" t="s">
        <v>372</v>
      </c>
      <c r="F709" s="14" t="s">
        <v>373</v>
      </c>
      <c r="G709" s="14" t="s">
        <v>374</v>
      </c>
      <c r="H709" s="14" t="s">
        <v>375</v>
      </c>
      <c r="I709" s="14" t="s">
        <v>376</v>
      </c>
      <c r="J709" s="6" t="s">
        <v>344</v>
      </c>
    </row>
    <row r="710" customFormat="false" ht="17.15" hidden="false" customHeight="false" outlineLevel="0" collapsed="false">
      <c r="A710" s="1" t="s">
        <v>394</v>
      </c>
    </row>
    <row r="711" customFormat="false" ht="17.15" hidden="false" customHeight="false" outlineLevel="0" collapsed="false">
      <c r="A711" s="0" t="s">
        <v>395</v>
      </c>
      <c r="B711" s="5" t="s">
        <v>31</v>
      </c>
      <c r="D711" s="18" t="n">
        <f aca="false">ug_26</f>
        <v>6.65</v>
      </c>
      <c r="E711" s="18" t="n">
        <f aca="false">ug_27*1</f>
        <v>2.4</v>
      </c>
      <c r="F711" s="18" t="n">
        <f aca="false">ug_28*um28_A*1</f>
        <v>0.5</v>
      </c>
      <c r="G711" s="18" t="n">
        <f aca="false">ug_29*um29_A*1</f>
        <v>0.25</v>
      </c>
    </row>
    <row r="712" customFormat="false" ht="17.15" hidden="false" customHeight="false" outlineLevel="0" collapsed="false">
      <c r="A712" s="0" t="s">
        <v>396</v>
      </c>
      <c r="B712" s="5" t="s">
        <v>31</v>
      </c>
      <c r="D712" s="18" t="n">
        <f aca="false">uv_26</f>
        <v>1.7</v>
      </c>
      <c r="E712" s="18" t="n">
        <f aca="false">uv_27*1</f>
        <v>8.8</v>
      </c>
      <c r="F712" s="18" t="n">
        <f aca="false">uv_28*um28_A*1</f>
        <v>11</v>
      </c>
      <c r="G712" s="18" t="n">
        <f aca="false">uv_29*um29_A*1</f>
        <v>12.65</v>
      </c>
    </row>
    <row r="713" customFormat="false" ht="17.15" hidden="false" customHeight="false" outlineLevel="0" collapsed="false">
      <c r="A713" s="5" t="s">
        <v>397</v>
      </c>
      <c r="B713" s="0" t="s">
        <v>107</v>
      </c>
      <c r="D713" s="22" t="n">
        <f aca="false">D711*v_gb+D712*v_vr</f>
        <v>595.4861102</v>
      </c>
      <c r="E713" s="22" t="n">
        <f aca="false">E711*v_gb+E712*v_vr</f>
        <v>1170.0000024</v>
      </c>
      <c r="F713" s="22" t="n">
        <f aca="false">F711*v_gb+F712*v_vr</f>
        <v>1313.194448</v>
      </c>
      <c r="G713" s="22" t="n">
        <f aca="false">G711*v_gb+G712*v_vr</f>
        <v>1490.76389305</v>
      </c>
      <c r="J713" s="5" t="s">
        <v>398</v>
      </c>
    </row>
    <row r="714" customFormat="false" ht="17.15" hidden="false" customHeight="false" outlineLevel="0" collapsed="false">
      <c r="A714" s="0" t="s">
        <v>399</v>
      </c>
      <c r="B714" s="0" t="s">
        <v>130</v>
      </c>
      <c r="D714" s="23" t="n">
        <f aca="false">a27_ai/D713</f>
        <v>0.124268221764478</v>
      </c>
      <c r="J714" s="8" t="s">
        <v>400</v>
      </c>
    </row>
    <row r="715" customFormat="false" ht="17.15" hidden="false" customHeight="false" outlineLevel="0" collapsed="false">
      <c r="A715" s="5" t="s">
        <v>401</v>
      </c>
      <c r="B715" s="0" t="s">
        <v>53</v>
      </c>
      <c r="D715" s="18" t="n">
        <f aca="false">1</f>
        <v>1</v>
      </c>
      <c r="E715" s="18" t="n">
        <f aca="false">rel_28</f>
        <v>0.9</v>
      </c>
      <c r="F715" s="18" t="n">
        <f aca="false">rel_29</f>
        <v>0.85</v>
      </c>
      <c r="G715" s="18" t="n">
        <f aca="false">rel_30</f>
        <v>0.8</v>
      </c>
    </row>
    <row r="716" customFormat="false" ht="17.15" hidden="false" customHeight="false" outlineLevel="0" collapsed="false">
      <c r="A716" s="5" t="s">
        <v>402</v>
      </c>
      <c r="B716" s="0" t="s">
        <v>53</v>
      </c>
      <c r="D716" s="18" t="n">
        <f aca="false">1</f>
        <v>1</v>
      </c>
      <c r="E716" s="18" t="n">
        <f aca="false">1</f>
        <v>1</v>
      </c>
      <c r="F716" s="18" t="n">
        <f aca="false">srel_A</f>
        <v>1</v>
      </c>
      <c r="G716" s="18" t="n">
        <f aca="false">srel_A</f>
        <v>1</v>
      </c>
    </row>
    <row r="717" customFormat="false" ht="17.15" hidden="false" customHeight="false" outlineLevel="0" collapsed="false">
      <c r="A717" s="0" t="s">
        <v>353</v>
      </c>
      <c r="B717" s="0" t="s">
        <v>130</v>
      </c>
      <c r="D717" s="23" t="n">
        <f aca="false">$D$714*D715*D716</f>
        <v>0.124268221764478</v>
      </c>
      <c r="E717" s="23" t="n">
        <f aca="false">$D$714*E715*E716</f>
        <v>0.11184139958803</v>
      </c>
      <c r="F717" s="23" t="n">
        <f aca="false">$D$714*F715*F716</f>
        <v>0.105627988499806</v>
      </c>
      <c r="G717" s="23" t="n">
        <f aca="false">$D$714*G715*G716</f>
        <v>0.0994145774115824</v>
      </c>
    </row>
    <row r="718" customFormat="false" ht="17.15" hidden="false" customHeight="false" outlineLevel="0" collapsed="false">
      <c r="A718" s="0" t="s">
        <v>403</v>
      </c>
      <c r="B718" s="0" t="s">
        <v>107</v>
      </c>
      <c r="C718" s="22" t="n">
        <f aca="false">a26_ai</f>
        <v>24.683</v>
      </c>
      <c r="D718" s="22" t="n">
        <f aca="false">D713*D717</f>
        <v>74</v>
      </c>
      <c r="E718" s="22" t="n">
        <f aca="false">E713*E717</f>
        <v>130.854437786415</v>
      </c>
      <c r="F718" s="22" t="n">
        <f aca="false">F713*F717</f>
        <v>138.710088051354</v>
      </c>
      <c r="G718" s="22" t="n">
        <f aca="false">G713*G717</f>
        <v>148.203662448011</v>
      </c>
    </row>
    <row r="719" customFormat="false" ht="17.15" hidden="false" customHeight="false" outlineLevel="0" collapsed="false">
      <c r="A719" s="1" t="s">
        <v>404</v>
      </c>
    </row>
    <row r="720" customFormat="false" ht="15" hidden="false" customHeight="false" outlineLevel="0" collapsed="false">
      <c r="A720" s="5" t="s">
        <v>293</v>
      </c>
      <c r="B720" s="0" t="s">
        <v>107</v>
      </c>
      <c r="C720" s="22" t="n">
        <f aca="false">a26_tr</f>
        <v>19.512</v>
      </c>
      <c r="D720" s="22" t="n">
        <f aca="false">a27_tr</f>
        <v>37.59663</v>
      </c>
      <c r="E720" s="22" t="n">
        <f aca="false">D720*(1+g_tr28)</f>
        <v>35.7167985</v>
      </c>
      <c r="F720" s="22" t="n">
        <f aca="false">E720*(1+g_tr29)</f>
        <v>36.43113447</v>
      </c>
      <c r="G720" s="22" t="n">
        <f aca="false">F720*(1+g_tr30)</f>
        <v>37.5240685041</v>
      </c>
    </row>
    <row r="721" customFormat="false" ht="15" hidden="false" customHeight="false" outlineLevel="0" collapsed="false">
      <c r="A721" s="5" t="s">
        <v>296</v>
      </c>
      <c r="B721" s="0" t="s">
        <v>107</v>
      </c>
      <c r="C721" s="22" t="n">
        <f aca="false">a26_st</f>
        <v>16.631</v>
      </c>
      <c r="D721" s="22" t="n">
        <f aca="false">a27_st</f>
        <v>19.47008</v>
      </c>
      <c r="E721" s="22" t="n">
        <f aca="false">D721*(1+g_st28)</f>
        <v>20.2488832</v>
      </c>
      <c r="F721" s="22" t="n">
        <f aca="false">E721*(1+g_st29)</f>
        <v>21.058838528</v>
      </c>
      <c r="G721" s="22" t="n">
        <f aca="false">F721*(1+g_st30)</f>
        <v>21.90119206912</v>
      </c>
    </row>
    <row r="722" customFormat="false" ht="17.15" hidden="false" customHeight="false" outlineLevel="0" collapsed="false">
      <c r="A722" s="0" t="s">
        <v>299</v>
      </c>
      <c r="B722" s="0" t="s">
        <v>107</v>
      </c>
      <c r="C722" s="22" t="n">
        <f aca="false">C718+C720+C721</f>
        <v>60.826</v>
      </c>
      <c r="D722" s="22" t="n">
        <f aca="false">D718+D720+D721</f>
        <v>131.06671</v>
      </c>
      <c r="E722" s="22" t="n">
        <f aca="false">E718+E720+E721</f>
        <v>186.820119486415</v>
      </c>
      <c r="F722" s="22" t="n">
        <f aca="false">F718+F720+F721</f>
        <v>196.200061049354</v>
      </c>
      <c r="G722" s="22" t="n">
        <f aca="false">G718+G720+G721</f>
        <v>207.628923021231</v>
      </c>
    </row>
    <row r="723" customFormat="false" ht="17.15" hidden="false" customHeight="false" outlineLevel="0" collapsed="false">
      <c r="A723" s="0" t="s">
        <v>405</v>
      </c>
      <c r="B723" s="0" t="s">
        <v>107</v>
      </c>
      <c r="C723" s="22" t="n">
        <f aca="false">a26_csg</f>
        <v>50.984</v>
      </c>
      <c r="D723" s="22" t="n">
        <f aca="false">a27_csg</f>
        <v>60.17529</v>
      </c>
      <c r="E723" s="22" t="n">
        <f aca="false">D723*(1+g_csg28)</f>
        <v>61.9805487</v>
      </c>
      <c r="F723" s="22" t="n">
        <f aca="false">E723*(1+g_csg29)</f>
        <v>63.839965161</v>
      </c>
      <c r="G723" s="22" t="n">
        <f aca="false">F723*(1+g_csg30)</f>
        <v>65.75516411583</v>
      </c>
    </row>
    <row r="724" customFormat="false" ht="17.15" hidden="false" customHeight="false" outlineLevel="0" collapsed="false">
      <c r="A724" s="5" t="s">
        <v>406</v>
      </c>
      <c r="B724" s="0" t="s">
        <v>107</v>
      </c>
      <c r="C724" s="22" t="n">
        <f aca="false">a26_oth</f>
        <v>1.72799999999999</v>
      </c>
      <c r="D724" s="22" t="n">
        <f aca="false">a27_oth</f>
        <v>0.75800000000001</v>
      </c>
      <c r="E724" s="22" t="n">
        <f aca="false">D724</f>
        <v>0.75800000000001</v>
      </c>
      <c r="F724" s="22" t="n">
        <f aca="false">E724</f>
        <v>0.75800000000001</v>
      </c>
      <c r="G724" s="22" t="n">
        <f aca="false">F724</f>
        <v>0.75800000000001</v>
      </c>
      <c r="J724" s="8" t="s">
        <v>407</v>
      </c>
    </row>
    <row r="725" customFormat="false" ht="17.15" hidden="false" customHeight="false" outlineLevel="0" collapsed="false">
      <c r="A725" s="5" t="s">
        <v>306</v>
      </c>
      <c r="B725" s="0" t="s">
        <v>107</v>
      </c>
      <c r="C725" s="22" t="n">
        <f aca="false">C722+C723+C724</f>
        <v>113.538</v>
      </c>
      <c r="D725" s="22" t="n">
        <f aca="false">D722+D723+D724</f>
        <v>192</v>
      </c>
      <c r="E725" s="22" t="n">
        <f aca="false">E722+E723+E724</f>
        <v>249.558668186415</v>
      </c>
      <c r="F725" s="22" t="n">
        <f aca="false">F722+F723+F724</f>
        <v>260.798026210354</v>
      </c>
      <c r="G725" s="22" t="n">
        <f aca="false">G722+G723+G724</f>
        <v>274.142087137061</v>
      </c>
      <c r="H725" s="26" t="n">
        <f aca="false">G725*(1+H726)</f>
        <v>289.37976309346</v>
      </c>
      <c r="I725" s="26" t="n">
        <f aca="false">H725*(1+I726)</f>
        <v>306.742548879068</v>
      </c>
      <c r="J725" s="8" t="s">
        <v>408</v>
      </c>
    </row>
    <row r="726" customFormat="false" ht="15" hidden="false" customHeight="false" outlineLevel="0" collapsed="false">
      <c r="A726" s="5" t="s">
        <v>409</v>
      </c>
      <c r="B726" s="0" t="s">
        <v>130</v>
      </c>
      <c r="D726" s="17" t="n">
        <f aca="false">D725/C725-1</f>
        <v>0.691063784812134</v>
      </c>
      <c r="E726" s="17" t="n">
        <f aca="false">E725/D725-1</f>
        <v>0.299784730137576</v>
      </c>
      <c r="F726" s="17" t="n">
        <f aca="false">F725/E725-1</f>
        <v>0.0450369370281432</v>
      </c>
      <c r="G726" s="17" t="n">
        <f aca="false">G725/F725-1</f>
        <v>0.0511662650235885</v>
      </c>
      <c r="H726" s="27" t="n">
        <f aca="false">$G726+(fade_gA-$G726)*1/2</f>
        <v>0.0555831325117942</v>
      </c>
      <c r="I726" s="27" t="n">
        <f aca="false">$G726+(fade_gA-$G726)*2/2</f>
        <v>0.06</v>
      </c>
    </row>
    <row r="727" customFormat="false" ht="17.15" hidden="false" customHeight="false" outlineLevel="0" collapsed="false">
      <c r="A727" s="0" t="s">
        <v>410</v>
      </c>
      <c r="B727" s="0" t="s">
        <v>130</v>
      </c>
      <c r="C727" s="17" t="n">
        <f aca="false">C718/C725</f>
        <v>0.217398580211031</v>
      </c>
      <c r="D727" s="17" t="n">
        <f aca="false">D718/D725</f>
        <v>0.385416666666667</v>
      </c>
      <c r="E727" s="17" t="n">
        <f aca="false">E718/E725</f>
        <v>0.524343388820577</v>
      </c>
      <c r="F727" s="17" t="n">
        <f aca="false">F718/F725</f>
        <v>0.531867859841367</v>
      </c>
      <c r="G727" s="17" t="n">
        <f aca="false">G718/G725</f>
        <v>0.540608937488372</v>
      </c>
    </row>
    <row r="728" customFormat="false" ht="17.15" hidden="false" customHeight="false" outlineLevel="0" collapsed="false">
      <c r="A728" s="1" t="s">
        <v>411</v>
      </c>
    </row>
    <row r="729" customFormat="false" ht="17.15" hidden="false" customHeight="false" outlineLevel="0" collapsed="false">
      <c r="A729" s="0" t="s">
        <v>383</v>
      </c>
      <c r="B729" s="0" t="s">
        <v>130</v>
      </c>
      <c r="C729" s="23" t="n">
        <f aca="false">(a26_isgoi-m_nai*(a26_tr+a26_st))/a26_ai</f>
        <v>0.0538070736944455</v>
      </c>
      <c r="D729" s="23" t="n">
        <f aca="false">(a27_isgoi-m_nai*(a27_tr+a27_st))/a27_ai</f>
        <v>0.110710097972973</v>
      </c>
      <c r="E729" s="23" t="n">
        <f aca="false">$D729+ai_dm</f>
        <v>0.100710097972973</v>
      </c>
      <c r="F729" s="23" t="n">
        <f aca="false">$D729+ai_dm+dm_A</f>
        <v>0.100710097972973</v>
      </c>
      <c r="G729" s="23" t="n">
        <f aca="false">$D729+ai_dm+dm_A</f>
        <v>0.100710097972973</v>
      </c>
      <c r="J729" s="8" t="s">
        <v>412</v>
      </c>
    </row>
    <row r="730" customFormat="false" ht="17.15" hidden="false" customHeight="false" outlineLevel="0" collapsed="false">
      <c r="A730" s="5" t="s">
        <v>413</v>
      </c>
      <c r="B730" s="0" t="s">
        <v>130</v>
      </c>
      <c r="C730" s="23" t="n">
        <f aca="false">m_nai</f>
        <v>0.16</v>
      </c>
      <c r="D730" s="23" t="n">
        <f aca="false">m_nai</f>
        <v>0.16</v>
      </c>
      <c r="E730" s="23" t="n">
        <f aca="false">m_naif</f>
        <v>0.155</v>
      </c>
      <c r="F730" s="23" t="n">
        <f aca="false">m_naif</f>
        <v>0.155</v>
      </c>
      <c r="G730" s="23" t="n">
        <f aca="false">m_naif</f>
        <v>0.155</v>
      </c>
    </row>
    <row r="731" customFormat="false" ht="17.15" hidden="false" customHeight="false" outlineLevel="0" collapsed="false">
      <c r="A731" s="0" t="s">
        <v>308</v>
      </c>
      <c r="B731" s="0" t="s">
        <v>107</v>
      </c>
      <c r="C731" s="28" t="n">
        <f aca="false">a26_isgoi</f>
        <v>7.111</v>
      </c>
      <c r="D731" s="28" t="n">
        <f aca="false">a27_isgoi</f>
        <v>17.32322085</v>
      </c>
      <c r="E731" s="28" t="n">
        <f aca="false">E718*E729+(E720+E721)*E730</f>
        <v>21.8530439131681</v>
      </c>
      <c r="F731" s="28" t="n">
        <f aca="false">F718*F729+(F720+F721)*F730</f>
        <v>22.8804523721815</v>
      </c>
      <c r="G731" s="28" t="n">
        <f aca="false">G718*G729+(G720+G721)*G730</f>
        <v>24.1365207539417</v>
      </c>
    </row>
    <row r="732" customFormat="false" ht="17.15" hidden="false" customHeight="false" outlineLevel="0" collapsed="false">
      <c r="A732" s="0" t="s">
        <v>414</v>
      </c>
      <c r="B732" s="0" t="s">
        <v>130</v>
      </c>
      <c r="C732" s="23" t="n">
        <f aca="false">a26_csgoi/C723</f>
        <v>0.0555664522203044</v>
      </c>
      <c r="D732" s="23" t="n">
        <f aca="false">a27_csgoi/D723</f>
        <v>0.0764752733223222</v>
      </c>
      <c r="E732" s="23" t="n">
        <f aca="false">m_csgf</f>
        <v>0.07</v>
      </c>
      <c r="F732" s="23" t="n">
        <f aca="false">m_csgf</f>
        <v>0.07</v>
      </c>
      <c r="G732" s="23" t="n">
        <f aca="false">m_csgf</f>
        <v>0.07</v>
      </c>
    </row>
    <row r="733" customFormat="false" ht="17.15" hidden="false" customHeight="false" outlineLevel="0" collapsed="false">
      <c r="A733" s="0" t="s">
        <v>310</v>
      </c>
      <c r="B733" s="0" t="s">
        <v>107</v>
      </c>
      <c r="C733" s="28" t="n">
        <f aca="false">C723*C732</f>
        <v>2.833</v>
      </c>
      <c r="D733" s="28" t="n">
        <f aca="false">D723*D732</f>
        <v>4.60192175</v>
      </c>
      <c r="E733" s="28" t="n">
        <f aca="false">E723*E732</f>
        <v>4.338638409</v>
      </c>
      <c r="F733" s="28" t="n">
        <f aca="false">F723*F732</f>
        <v>4.46879756127</v>
      </c>
      <c r="G733" s="28" t="n">
        <f aca="false">G723*G732</f>
        <v>4.6028614881081</v>
      </c>
    </row>
    <row r="734" customFormat="false" ht="17.15" hidden="false" customHeight="false" outlineLevel="0" collapsed="false">
      <c r="A734" s="5" t="s">
        <v>415</v>
      </c>
      <c r="B734" s="0" t="s">
        <v>107</v>
      </c>
      <c r="C734" s="28" t="n">
        <f aca="false">C731+C733</f>
        <v>9.944</v>
      </c>
      <c r="D734" s="28" t="n">
        <f aca="false">D731+D733</f>
        <v>21.9251426</v>
      </c>
      <c r="E734" s="28" t="n">
        <f aca="false">E731+E733</f>
        <v>26.1916823221681</v>
      </c>
      <c r="F734" s="28" t="n">
        <f aca="false">F731+F733</f>
        <v>27.3492499334515</v>
      </c>
      <c r="G734" s="28" t="n">
        <f aca="false">G731+G733</f>
        <v>28.7393822420498</v>
      </c>
    </row>
    <row r="735" customFormat="false" ht="15" hidden="false" customHeight="false" outlineLevel="0" collapsed="false">
      <c r="A735" s="5" t="s">
        <v>384</v>
      </c>
      <c r="B735" s="0" t="s">
        <v>130</v>
      </c>
      <c r="C735" s="23" t="n">
        <f aca="false">C734/C725</f>
        <v>0.0875830118550617</v>
      </c>
      <c r="D735" s="23" t="n">
        <f aca="false">D734/D725</f>
        <v>0.114193451041667</v>
      </c>
      <c r="E735" s="23" t="n">
        <f aca="false">E734/E725</f>
        <v>0.104952003921593</v>
      </c>
      <c r="F735" s="23" t="n">
        <f aca="false">F734/F725</f>
        <v>0.104867549539628</v>
      </c>
      <c r="G735" s="23" t="n">
        <f aca="false">G734/G725</f>
        <v>0.104833893044964</v>
      </c>
    </row>
    <row r="736" customFormat="false" ht="17.15" hidden="false" customHeight="false" outlineLevel="0" collapsed="false">
      <c r="A736" s="5" t="s">
        <v>416</v>
      </c>
      <c r="B736" s="0" t="s">
        <v>130</v>
      </c>
      <c r="C736" s="17" t="n">
        <f aca="false">a26_ni/a26_oi</f>
        <v>0.708567980691875</v>
      </c>
      <c r="D736" s="17" t="n">
        <f aca="false">a27_ni/a27_oi</f>
        <v>0.753655303477935</v>
      </c>
      <c r="E736" s="17" t="n">
        <f aca="false">nio_f</f>
        <v>0.75</v>
      </c>
      <c r="F736" s="17" t="n">
        <f aca="false">nio_f</f>
        <v>0.75</v>
      </c>
      <c r="G736" s="17" t="n">
        <f aca="false">nio_f</f>
        <v>0.75</v>
      </c>
    </row>
    <row r="737" customFormat="false" ht="17.15" hidden="false" customHeight="false" outlineLevel="0" collapsed="false">
      <c r="A737" s="0" t="s">
        <v>316</v>
      </c>
      <c r="B737" s="0" t="s">
        <v>107</v>
      </c>
      <c r="C737" s="28" t="n">
        <f aca="false">a26_ni</f>
        <v>7.046</v>
      </c>
      <c r="D737" s="28" t="n">
        <f aca="false">a27_ni</f>
        <v>16.524</v>
      </c>
      <c r="E737" s="28" t="n">
        <f aca="false">E734*E736</f>
        <v>19.6437617416261</v>
      </c>
      <c r="F737" s="28" t="n">
        <f aca="false">F734*F736</f>
        <v>20.5119374500886</v>
      </c>
      <c r="G737" s="28" t="n">
        <f aca="false">G734*G736</f>
        <v>21.5545366815374</v>
      </c>
      <c r="H737" s="29" t="n">
        <f aca="false">H725*H741</f>
        <v>22.7526053501376</v>
      </c>
      <c r="I737" s="29" t="n">
        <f aca="false">I725*I741</f>
        <v>24.1177616711458</v>
      </c>
    </row>
    <row r="738" customFormat="false" ht="15" hidden="false" customHeight="false" outlineLevel="0" collapsed="false">
      <c r="A738" s="5" t="s">
        <v>417</v>
      </c>
      <c r="B738" s="5" t="s">
        <v>143</v>
      </c>
      <c r="C738" s="32" t="n">
        <f aca="false">a26_sh</f>
        <v>0.684077669902913</v>
      </c>
      <c r="D738" s="32" t="n">
        <f aca="false">a27_sh</f>
        <v>0.648</v>
      </c>
      <c r="E738" s="32" t="n">
        <f aca="false">D738*(1+sh_g_hi)</f>
        <v>0.64152</v>
      </c>
      <c r="F738" s="32" t="n">
        <f aca="false">E738*(1+sh_g_hi)</f>
        <v>0.6351048</v>
      </c>
      <c r="G738" s="32" t="n">
        <f aca="false">F738*(1+sh_g_hi)</f>
        <v>0.628753752</v>
      </c>
      <c r="H738" s="33" t="n">
        <f aca="false">G738*(1+sh_g_hi)</f>
        <v>0.62246621448</v>
      </c>
      <c r="I738" s="33" t="n">
        <f aca="false">H738*(1+sh_g_hi)</f>
        <v>0.6162415523352</v>
      </c>
    </row>
    <row r="739" customFormat="false" ht="15" hidden="false" customHeight="false" outlineLevel="0" collapsed="false">
      <c r="A739" s="0" t="s">
        <v>324</v>
      </c>
      <c r="B739" s="0" t="s">
        <v>117</v>
      </c>
      <c r="C739" s="28" t="n">
        <f aca="false">C737/C738</f>
        <v>10.3</v>
      </c>
      <c r="D739" s="28" t="n">
        <f aca="false">D737/D738</f>
        <v>25.5</v>
      </c>
      <c r="E739" s="28" t="n">
        <f aca="false">E737/E738</f>
        <v>30.6206536688273</v>
      </c>
      <c r="F739" s="28" t="n">
        <f aca="false">F737/F738</f>
        <v>32.2969334353774</v>
      </c>
      <c r="G739" s="28" t="n">
        <f aca="false">G737/G738</f>
        <v>34.2813647043451</v>
      </c>
      <c r="H739" s="31" t="n">
        <f aca="false">H737/H738</f>
        <v>36.5523538801938</v>
      </c>
      <c r="I739" s="31" t="n">
        <f aca="false">I737/I738</f>
        <v>39.1368637505106</v>
      </c>
    </row>
    <row r="740" customFormat="false" ht="17.15" hidden="false" customHeight="false" outlineLevel="0" collapsed="false">
      <c r="A740" s="0" t="s">
        <v>418</v>
      </c>
      <c r="B740" s="0" t="s">
        <v>130</v>
      </c>
      <c r="D740" s="17" t="n">
        <f aca="false">D739/C739-1</f>
        <v>1.47572815533981</v>
      </c>
      <c r="E740" s="17" t="n">
        <f aca="false">E739/D739-1</f>
        <v>0.200809947797149</v>
      </c>
      <c r="F740" s="17" t="n">
        <f aca="false">F739/E739-1</f>
        <v>0.0547434350905625</v>
      </c>
      <c r="G740" s="17" t="n">
        <f aca="false">G739/F739-1</f>
        <v>0.061443334022359</v>
      </c>
      <c r="H740" s="27" t="n">
        <f aca="false">H739/G739-1</f>
        <v>0.0662455883957516</v>
      </c>
      <c r="I740" s="27" t="n">
        <f aca="false">I739/H739-1</f>
        <v>0.0707070707070705</v>
      </c>
    </row>
    <row r="741" customFormat="false" ht="17.15" hidden="false" customHeight="false" outlineLevel="0" collapsed="false">
      <c r="A741" s="5" t="s">
        <v>419</v>
      </c>
      <c r="B741" s="0" t="s">
        <v>130</v>
      </c>
      <c r="C741" s="23" t="n">
        <f aca="false">C737/C725</f>
        <v>0.0620585178530536</v>
      </c>
      <c r="D741" s="23" t="n">
        <f aca="false">D737/D725</f>
        <v>0.0860625</v>
      </c>
      <c r="E741" s="23" t="n">
        <f aca="false">E737/E725</f>
        <v>0.0787140029411948</v>
      </c>
      <c r="F741" s="23" t="n">
        <f aca="false">F737/F725</f>
        <v>0.0786506621547212</v>
      </c>
      <c r="G741" s="23" t="n">
        <f aca="false">G737/G725</f>
        <v>0.0786254197837229</v>
      </c>
      <c r="H741" s="30" t="n">
        <f aca="false">$G741+(fade_mA-$G741)*1/2</f>
        <v>0.0786254197837229</v>
      </c>
      <c r="I741" s="30" t="n">
        <f aca="false">$G741+(fade_mA-$G741)*2/2</f>
        <v>0.0786254197837229</v>
      </c>
    </row>
    <row r="742" customFormat="false" ht="17.15" hidden="false" customHeight="false" outlineLevel="0" collapsed="false">
      <c r="A742" s="0" t="s">
        <v>420</v>
      </c>
      <c r="B742" s="0" t="s">
        <v>74</v>
      </c>
      <c r="D742" s="20" t="n">
        <f aca="false">D718/(D711+D712)</f>
        <v>8.8622754491018</v>
      </c>
      <c r="E742" s="20" t="n">
        <f aca="false">E718/(E711+E712)</f>
        <v>11.6834319452156</v>
      </c>
      <c r="F742" s="20" t="n">
        <f aca="false">F718/(F711+F712)</f>
        <v>12.0617467870742</v>
      </c>
      <c r="G742" s="20" t="n">
        <f aca="false">G718/(G711+G712)</f>
        <v>11.4886560037218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764</v>
      </c>
    </row>
    <row r="2" customFormat="false" ht="17.15" hidden="false" customHeight="false" outlineLevel="0" collapsed="false">
      <c r="A2" s="5" t="s">
        <v>765</v>
      </c>
      <c r="B2" s="0" t="s">
        <v>766</v>
      </c>
    </row>
    <row r="3" customFormat="false" ht="17.15" hidden="false" customHeight="false" outlineLevel="0" collapsed="false">
      <c r="A3" s="5" t="s">
        <v>767</v>
      </c>
      <c r="B3" s="0" t="s">
        <v>768</v>
      </c>
    </row>
    <row r="4" customFormat="false" ht="17.15" hidden="false" customHeight="false" outlineLevel="0" collapsed="false">
      <c r="A4" s="5" t="s">
        <v>769</v>
      </c>
      <c r="B4" s="0" t="s">
        <v>770</v>
      </c>
    </row>
    <row r="5" customFormat="false" ht="17.15" hidden="false" customHeight="false" outlineLevel="0" collapsed="false">
      <c r="A5" s="5" t="s">
        <v>771</v>
      </c>
      <c r="B5" s="0" t="s">
        <v>772</v>
      </c>
    </row>
    <row r="6" customFormat="false" ht="17.15" hidden="false" customHeight="false" outlineLevel="0" collapsed="false">
      <c r="A6" s="5" t="s">
        <v>773</v>
      </c>
      <c r="B6" s="0" t="s">
        <v>774</v>
      </c>
    </row>
    <row r="7" customFormat="false" ht="17.15" hidden="false" customHeight="false" outlineLevel="0" collapsed="false">
      <c r="A7" s="5" t="s">
        <v>775</v>
      </c>
      <c r="B7" s="0" t="s">
        <v>776</v>
      </c>
    </row>
    <row r="8" customFormat="false" ht="17.15" hidden="false" customHeight="false" outlineLevel="0" collapsed="false">
      <c r="A8" s="5" t="s">
        <v>777</v>
      </c>
      <c r="B8" s="0" t="s">
        <v>778</v>
      </c>
    </row>
    <row r="9" customFormat="false" ht="17.15" hidden="false" customHeight="false" outlineLevel="0" collapsed="false">
      <c r="A9" s="5" t="s">
        <v>779</v>
      </c>
      <c r="B9" s="0" t="s">
        <v>780</v>
      </c>
    </row>
    <row r="10" customFormat="false" ht="17.15" hidden="false" customHeight="false" outlineLevel="0" collapsed="false">
      <c r="A10" s="5" t="s">
        <v>781</v>
      </c>
      <c r="B10" s="0" t="s">
        <v>782</v>
      </c>
    </row>
    <row r="11" customFormat="false" ht="17.15" hidden="false" customHeight="false" outlineLevel="0" collapsed="false">
      <c r="A11" s="5" t="s">
        <v>783</v>
      </c>
      <c r="B11" s="0" t="s">
        <v>784</v>
      </c>
    </row>
    <row r="12" customFormat="false" ht="17.15" hidden="false" customHeight="false" outlineLevel="0" collapsed="false">
      <c r="A12" s="5" t="s">
        <v>785</v>
      </c>
      <c r="B12" s="0" t="s">
        <v>786</v>
      </c>
    </row>
    <row r="13" customFormat="false" ht="17.15" hidden="false" customHeight="false" outlineLevel="0" collapsed="false">
      <c r="A13" s="5" t="s">
        <v>787</v>
      </c>
      <c r="B13" s="0" t="s">
        <v>788</v>
      </c>
    </row>
    <row r="14" customFormat="false" ht="17.15" hidden="false" customHeight="false" outlineLevel="0" collapsed="false">
      <c r="A14" s="5" t="s">
        <v>789</v>
      </c>
      <c r="B14" s="0" t="s">
        <v>790</v>
      </c>
    </row>
    <row r="15" customFormat="false" ht="17.15" hidden="false" customHeight="false" outlineLevel="0" collapsed="false">
      <c r="A15" s="5" t="s">
        <v>791</v>
      </c>
      <c r="B15" s="0" t="s">
        <v>792</v>
      </c>
    </row>
    <row r="16" customFormat="false" ht="17.15" hidden="false" customHeight="false" outlineLevel="0" collapsed="false">
      <c r="A16" s="5" t="s">
        <v>793</v>
      </c>
      <c r="B16" s="0" t="s">
        <v>794</v>
      </c>
    </row>
    <row r="17" customFormat="false" ht="17.15" hidden="false" customHeight="false" outlineLevel="0" collapsed="false">
      <c r="A17" s="5" t="s">
        <v>795</v>
      </c>
      <c r="B17" s="5" t="s">
        <v>644</v>
      </c>
    </row>
    <row r="18" customFormat="false" ht="15" hidden="false" customHeight="false" outlineLevel="0" collapsed="false">
      <c r="A18" s="0" t="s">
        <v>796</v>
      </c>
      <c r="B18" s="5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2026-10-29T07:23:28Z</dcterms:created>
  <dc:creator>openpyxl</dc:creator>
  <dc:description/>
  <dc:language>en-US</dc:language>
  <cp:lastModifiedBy/>
  <dcterms:modified xsi:type="dcterms:W3CDTF">2026-10-29T07:23:28Z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