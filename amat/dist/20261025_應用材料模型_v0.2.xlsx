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gs" vbProcedure="false">Q!$F$5</definedName>
    <definedName function="false" hidden="false" name="a25_eps" vbProcedure="false">Q!$F$15</definedName>
    <definedName function="false" hidden="false" name="a25_gp" vbProcedure="false">Q!$F$10</definedName>
    <definedName function="false" hidden="false" name="a25_ni" vbProcedure="false">Q!$F$13</definedName>
    <definedName function="false" hidden="false" name="a25_oi" vbProcedure="false">Q!$F$11</definedName>
    <definedName function="false" hidden="false" name="a25_oth" vbProcedure="false">Q!$F$6</definedName>
    <definedName function="false" hidden="false" name="a25_rev" vbProcedure="false">Q!$F$7</definedName>
    <definedName function="false" hidden="false" name="a25_sh" vbProcedure="false">Q!$F$14</definedName>
    <definedName function="false" hidden="false" name="a25_ss" vbProcedure="false">Q!$F$4</definedName>
    <definedName function="false" hidden="false" name="aff_A" vbProcedure="false">In!$E$96</definedName>
    <definedName function="false" hidden="false" name="aff_B" vbProcedure="false">In!$E$97</definedName>
    <definedName function="false" hidden="false" name="aff_C" vbProcedure="false">In!$E$98</definedName>
    <definedName function="false" hidden="false" name="aff_hit" vbProcedure="false">In!$E$95</definedName>
    <definedName function="false" hidden="false" name="aff_hit_hi" vbProcedure="false">In!$F$95</definedName>
    <definedName function="false" hidden="false" name="aff_hit_lo" vbProcedure="false">In!$D$95</definedName>
    <definedName function="false" hidden="false" name="ai_inc27" vbProcedure="false">In!$E$85</definedName>
    <definedName function="false" hidden="false" name="an_ags" vbProcedure="false">Q!$K$5</definedName>
    <definedName function="false" hidden="false" name="an_eps" vbProcedure="false">Q!$K$15</definedName>
    <definedName function="false" hidden="false" name="an_gp" vbProcedure="false">Q!$K$10</definedName>
    <definedName function="false" hidden="false" name="an_ni" vbProcedure="false">Q!$K$13</definedName>
    <definedName function="false" hidden="false" name="an_oi" vbProcedure="false">Q!$K$11</definedName>
    <definedName function="false" hidden="false" name="an_opx" vbProcedure="false">Q!$K$12</definedName>
    <definedName function="false" hidden="false" name="an_oth" vbProcedure="false">Q!$K$6</definedName>
    <definedName function="false" hidden="false" name="an_rev" vbProcedure="false">Q!$K$7</definedName>
    <definedName function="false" hidden="false" name="an_sh" vbProcedure="false">Q!$K$14</definedName>
    <definedName function="false" hidden="false" name="an_ss" vbProcedure="false">Q!$K$4</definedName>
    <definedName function="false" hidden="false" name="bb" vbProcedure="false">In!$E$121</definedName>
    <definedName function="false" hidden="false" name="bb_hi" vbProcedure="false">In!$F$121</definedName>
    <definedName function="false" hidden="false" name="bb_lo" vbProcedure="false">In!$D$121</definedName>
    <definedName function="false" hidden="false" name="cF" vbProcedure="false">In!$E$112</definedName>
    <definedName function="false" hidden="false" name="cn_cut" vbProcedure="false">In!$E$100</definedName>
    <definedName function="false" hidden="false" name="cn_cut_hi" vbProcedure="false">In!$F$100</definedName>
    <definedName function="false" hidden="false" name="cn_cut_lo" vbProcedure="false">In!$D$100</definedName>
    <definedName function="false" hidden="false" name="cn_sh" vbProcedure="false">In!$E$99</definedName>
    <definedName function="false" hidden="false" name="cogs25" vbProcedure="false">In!$E$109</definedName>
    <definedName function="false" hidden="false" name="cogs26" vbProcedure="false">In!$E$110</definedName>
    <definedName function="false" hidden="false" name="cons_eps26" vbProcedure="false">In!$E$133</definedName>
    <definedName function="false" hidden="false" name="cons_eps27" vbProcedure="false">In!$E$135</definedName>
    <definedName function="false" hidden="false" name="cons_feps" vbProcedure="false">In!$E$153</definedName>
    <definedName function="false" hidden="false" name="cons_rev26" vbProcedure="false">In!$E$132</definedName>
    <definedName function="false" hidden="false" name="cons_rev27" vbProcedure="false">In!$E$134</definedName>
    <definedName function="false" hidden="false" name="cons_tp" vbProcedure="false">In!$E$152</definedName>
    <definedName function="false" hidden="false" name="co_ai27" vbProcedure="false">In!$E$86</definedName>
    <definedName function="false" hidden="false" name="cv" vbProcedure="false">In!$E$111</definedName>
    <definedName function="false" hidden="false" name="drA_25" vbProcedure="false">In!$E$20</definedName>
    <definedName function="false" hidden="false" name="drA_26" vbProcedure="false">In!$E$21</definedName>
    <definedName function="false" hidden="false" name="drA_27" vbProcedure="false">In!$E$22</definedName>
    <definedName function="false" hidden="false" name="drA_28" vbProcedure="false">In!$E$23</definedName>
    <definedName function="false" hidden="false" name="drA_29" vbProcedure="false">In!$E$24</definedName>
    <definedName function="false" hidden="false" name="drB_25" vbProcedure="false">In!$E$45</definedName>
    <definedName function="false" hidden="false" name="drB_26" vbProcedure="false">In!$E$46</definedName>
    <definedName function="false" hidden="false" name="drB_27" vbProcedure="false">In!$E$47</definedName>
    <definedName function="false" hidden="false" name="drB_28" vbProcedure="false">In!$E$48</definedName>
    <definedName function="false" hidden="false" name="drB_29" vbProcedure="false">In!$E$49</definedName>
    <definedName function="false" hidden="false" name="drC_25" vbProcedure="false">In!$E$70</definedName>
    <definedName function="false" hidden="false" name="drC_26" vbProcedure="false">In!$E$71</definedName>
    <definedName function="false" hidden="false" name="drC_27" vbProcedure="false">In!$E$72</definedName>
    <definedName function="false" hidden="false" name="drC_28" vbProcedure="false">In!$E$73</definedName>
    <definedName function="false" hidden="false" name="drC_29" vbProcedure="false">In!$E$74</definedName>
    <definedName function="false" hidden="false" name="fyw" vbProcedure="false">In!$E$80</definedName>
    <definedName function="false" hidden="false" name="fyw_hi" vbProcedure="false">In!$F$80</definedName>
    <definedName function="false" hidden="false" name="fyw_lo" vbProcedure="false">In!$D$80</definedName>
    <definedName function="false" hidden="false" name="g_ags_A" vbProcedure="false">In!$E$102</definedName>
    <definedName function="false" hidden="false" name="g_ags_A_hi" vbProcedure="false">In!$F$102</definedName>
    <definedName function="false" hidden="false" name="g_ags_A_lo" vbProcedure="false">In!$D$102</definedName>
    <definedName function="false" hidden="false" name="g_ags_B" vbProcedure="false">In!$E$103</definedName>
    <definedName function="false" hidden="false" name="g_ags_B_hi" vbProcedure="false">In!$F$103</definedName>
    <definedName function="false" hidden="false" name="g_ags_B_lo" vbProcedure="false">In!$D$103</definedName>
    <definedName function="false" hidden="false" name="g_ags_C" vbProcedure="false">In!$E$104</definedName>
    <definedName function="false" hidden="false" name="g_ags_C_hi" vbProcedure="false">In!$F$104</definedName>
    <definedName function="false" hidden="false" name="g_ags_C_lo" vbProcedure="false">In!$D$104</definedName>
    <definedName function="false" hidden="false" name="g_ags_q4" vbProcedure="false">In!$E$126</definedName>
    <definedName function="false" hidden="false" name="g_eps_q4" vbProcedure="false">In!$E$124</definedName>
    <definedName function="false" hidden="false" name="g_eps_q4_hi" vbProcedure="false">In!$F$124</definedName>
    <definedName function="false" hidden="false" name="g_eps_q4_lo" vbProcedure="false">In!$D$124</definedName>
    <definedName function="false" hidden="false" name="g_gm_q4" vbProcedure="false">In!$E$128</definedName>
    <definedName function="false" hidden="false" name="g_opx_q4" vbProcedure="false">In!$E$129</definedName>
    <definedName function="false" hidden="false" name="g_oth_A" vbProcedure="false">In!$E$105</definedName>
    <definedName function="false" hidden="false" name="g_oth_A_hi" vbProcedure="false">In!$F$105</definedName>
    <definedName function="false" hidden="false" name="g_oth_A_lo" vbProcedure="false">In!$D$105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In!$E$107</definedName>
    <definedName function="false" hidden="false" name="g_oth_C_hi" vbProcedure="false">In!$F$107</definedName>
    <definedName function="false" hidden="false" name="g_oth_C_lo" vbProcedure="false">In!$D$107</definedName>
    <definedName function="false" hidden="false" name="g_oth_q4" vbProcedure="false">In!$E$127</definedName>
    <definedName function="false" hidden="false" name="g_rev_q4" vbProcedure="false">In!$E$123</definedName>
    <definedName function="false" hidden="false" name="g_rev_q4_hi" vbProcedure="false">In!$F$123</definedName>
    <definedName function="false" hidden="false" name="g_rev_q4_lo" vbProcedure="false">In!$D$123</definedName>
    <definedName function="false" hidden="false" name="g_ss_q4" vbProcedure="false">In!$E$125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In!$E$30</definedName>
    <definedName function="false" hidden="false" name="laB_26" vbProcedure="false">In!$E$31</definedName>
    <definedName function="false" hidden="false" name="laB_27" vbProcedure="false">In!$E$32</definedName>
    <definedName function="false" hidden="false" name="laB_28" vbProcedure="false">In!$E$33</definedName>
    <definedName function="false" hidden="false" name="laB_29" vbProcedure="false">In!$E$34</definedName>
    <definedName function="false" hidden="false" name="laC_25" vbProcedure="false">In!$E$55</definedName>
    <definedName function="false" hidden="false" name="laC_26" vbProcedure="false">In!$E$56</definedName>
    <definedName function="false" hidden="false" name="laC_27" vbProcedure="false">In!$E$57</definedName>
    <definedName function="false" hidden="false" name="laC_28" vbProcedure="false">In!$E$58</definedName>
    <definedName function="false" hidden="false" name="laC_29" vbProcedure="false">In!$E$59</definedName>
    <definedName function="false" hidden="false" name="loA_25" vbProcedure="false">In!$E$10</definedName>
    <definedName function="false" hidden="false" name="loA_26" vbProcedure="false">In!$E$11</definedName>
    <definedName function="false" hidden="false" name="loA_27" vbProcedure="false">In!$E$12</definedName>
    <definedName function="false" hidden="false" name="loA_28" vbProcedure="false">In!$E$13</definedName>
    <definedName function="false" hidden="false" name="loA_29" vbProcedure="false">In!$E$14</definedName>
    <definedName function="false" hidden="false" name="loB_25" vbProcedure="false">In!$E$35</definedName>
    <definedName function="false" hidden="false" name="loB_26" vbProcedure="false">In!$E$36</definedName>
    <definedName function="false" hidden="false" name="loB_27" vbProcedure="false">In!$E$37</definedName>
    <definedName function="false" hidden="false" name="loB_28" vbProcedure="false">In!$E$38</definedName>
    <definedName function="false" hidden="false" name="loB_29" vbProcedure="false">In!$E$39</definedName>
    <definedName function="false" hidden="false" name="loC_25" vbProcedure="false">In!$E$60</definedName>
    <definedName function="false" hidden="false" name="loC_26" vbProcedure="false">In!$E$61</definedName>
    <definedName function="false" hidden="false" name="loC_27" vbProcedure="false">In!$E$62</definedName>
    <definedName function="false" hidden="false" name="loC_28" vbProcedure="false">In!$E$63</definedName>
    <definedName function="false" hidden="false" name="loC_29" vbProcedure="false">In!$E$64</definedName>
    <definedName function="false" hidden="false" name="m_dr" vbProcedure="false">In!$E$90</definedName>
    <definedName function="false" hidden="false" name="m_dr_hi" vbProcedure="false">In!$F$90</definedName>
    <definedName function="false" hidden="false" name="m_dr_lo" vbProcedure="false">In!$D$90</definedName>
    <definedName function="false" hidden="false" name="m_fl" vbProcedure="false">In!$E$92</definedName>
    <definedName function="false" hidden="false" name="m_fl_hi" vbProcedure="false">In!$F$92</definedName>
    <definedName function="false" hidden="false" name="m_fl_lo" vbProcedure="false">In!$D$92</definedName>
    <definedName function="false" hidden="false" name="m_nd" vbProcedure="false">In!$E$91</definedName>
    <definedName function="false" hidden="false" name="ndA_25" vbProcedure="false">In!$E$25</definedName>
    <definedName function="false" hidden="false" name="ndA_26" vbProcedure="false">In!$E$26</definedName>
    <definedName function="false" hidden="false" name="ndA_27" vbProcedure="false">In!$E$27</definedName>
    <definedName function="false" hidden="false" name="ndA_28" vbProcedure="false">In!$E$28</definedName>
    <definedName function="false" hidden="false" name="ndA_29" vbProcedure="false">In!$E$29</definedName>
    <definedName function="false" hidden="false" name="ndB_25" vbProcedure="false">In!$E$50</definedName>
    <definedName function="false" hidden="false" name="ndB_26" vbProcedure="false">In!$E$51</definedName>
    <definedName function="false" hidden="false" name="ndB_27" vbProcedure="false">In!$E$52</definedName>
    <definedName function="false" hidden="false" name="ndB_28" vbProcedure="false">In!$E$53</definedName>
    <definedName function="false" hidden="false" name="ndB_29" vbProcedure="false">In!$E$54</definedName>
    <definedName function="false" hidden="false" name="ndC_25" vbProcedure="false">In!$E$75</definedName>
    <definedName function="false" hidden="false" name="ndC_26" vbProcedure="false">In!$E$76</definedName>
    <definedName function="false" hidden="false" name="ndC_27" vbProcedure="false">In!$E$77</definedName>
    <definedName function="false" hidden="false" name="ndC_28" vbProcedure="false">In!$E$78</definedName>
    <definedName function="false" hidden="false" name="ndC_29" vbProcedure="false">In!$E$79</definedName>
    <definedName function="false" hidden="false" name="nim10" vbProcedure="false">In!$E$151</definedName>
    <definedName function="false" hidden="false" name="nioi" vbProcedure="false">In!$E$119</definedName>
    <definedName function="false" hidden="false" name="nioi_hi" vbProcedure="false">In!$F$119</definedName>
    <definedName function="false" hidden="false" name="nioi_lo" vbProcedure="false">In!$D$119</definedName>
    <definedName function="false" hidden="false" name="oF" vbProcedure="false">In!$E$117</definedName>
    <definedName function="false" hidden="false" name="ofA_25" vbProcedure="false">In!$E$15</definedName>
    <definedName function="false" hidden="false" name="ofA_26" vbProcedure="false">In!$E$16</definedName>
    <definedName function="false" hidden="false" name="ofA_27" vbProcedure="false">In!$E$17</definedName>
    <definedName function="false" hidden="false" name="ofA_28" vbProcedure="false">In!$E$18</definedName>
    <definedName function="false" hidden="false" name="ofA_29" vbProcedure="false">In!$E$19</definedName>
    <definedName function="false" hidden="false" name="ofB_25" vbProcedure="false">In!$E$40</definedName>
    <definedName function="false" hidden="false" name="ofB_26" vbProcedure="false">In!$E$41</definedName>
    <definedName function="false" hidden="false" name="ofB_27" vbProcedure="false">In!$E$42</definedName>
    <definedName function="false" hidden="false" name="ofB_28" vbProcedure="false">In!$E$43</definedName>
    <definedName function="false" hidden="false" name="ofB_29" vbProcedure="false">In!$E$44</definedName>
    <definedName function="false" hidden="false" name="ofC_25" vbProcedure="false">In!$E$65</definedName>
    <definedName function="false" hidden="false" name="ofC_26" vbProcedure="false">In!$E$66</definedName>
    <definedName function="false" hidden="false" name="ofC_27" vbProcedure="false">In!$E$67</definedName>
    <definedName function="false" hidden="false" name="ofC_28" vbProcedure="false">In!$E$68</definedName>
    <definedName function="false" hidden="false" name="ofC_29" vbProcedure="false">In!$E$69</definedName>
    <definedName function="false" hidden="false" name="opex25" vbProcedure="false">In!$E$114</definedName>
    <definedName function="false" hidden="false" name="opex26" vbProcedure="false">In!$E$115</definedName>
    <definedName function="false" hidden="false" name="ov" vbProcedure="false">In!$E$116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In!$E$118</definedName>
    <definedName function="false" hidden="false" name="phic" vbProcedure="false">In!$E$113</definedName>
    <definedName function="false" hidden="false" name="phic_hi" vbProcedure="false">In!$F$113</definedName>
    <definedName function="false" hidden="false" name="phic_lo" vbProcedure="false">In!$D$113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x" vbProcedure="false">In!$E$139</definedName>
    <definedName function="false" hidden="false" name="q4g_ags" vbProcedure="false">In!$E$131</definedName>
    <definedName function="false" hidden="false" name="q4g_ss" vbProcedure="false">In!$E$130</definedName>
    <definedName function="false" hidden="false" name="q4_dr" vbProcedure="false">In!$E$88</definedName>
    <definedName function="false" hidden="false" name="q4_dr_hi" vbProcedure="false">In!$F$88</definedName>
    <definedName function="false" hidden="false" name="q4_dr_lo" vbProcedure="false">In!$D$88</definedName>
    <definedName function="false" hidden="false" name="q4_nd" vbProcedure="false">In!$E$89</definedName>
    <definedName function="false" hidden="false" name="q4_nd_hi" vbProcedure="false">In!$F$89</definedName>
    <definedName function="false" hidden="false" name="q4_nd_lo" vbProcedure="false">In!$D$89</definedName>
    <definedName function="false" hidden="false" name="sa_fpe" vbProcedure="false">In!$E$140</definedName>
    <definedName function="false" hidden="false" name="semi_dr26" vbProcedure="false">In!$E$83</definedName>
    <definedName function="false" hidden="false" name="semi_fl26" vbProcedure="false">In!$E$82</definedName>
    <definedName function="false" hidden="false" name="semi_nd26" vbProcedure="false">In!$E$84</definedName>
    <definedName function="false" hidden="false" name="semi_wfe26" vbProcedure="false">In!$E$81</definedName>
    <definedName function="false" hidden="false" name="sf" vbProcedure="false">In!$E$93</definedName>
    <definedName function="false" hidden="false" name="sf_hi" vbProcedure="false">In!$F$93</definedName>
    <definedName function="false" hidden="false" name="sf_lo" vbProcedure="false">In!$D$93</definedName>
    <definedName function="false" hidden="false" name="sh_q4" vbProcedure="false">In!$E$120</definedName>
    <definedName function="false" hidden="false" name="sh_q4_hi" vbProcedure="false">In!$F$120</definedName>
    <definedName function="false" hidden="false" name="sh_q4_lo" vbProcedure="false">In!$D$120</definedName>
    <definedName function="false" hidden="false" name="tp_g" vbProcedure="false">In!$E$148</definedName>
    <definedName function="false" hidden="false" name="tp_price" vbProcedure="false">Val!$B$47</definedName>
    <definedName function="false" hidden="false" name="tp_r" vbProcedure="false">In!$E$147</definedName>
    <definedName function="false" hidden="false" name="tp_roe" vbProcedure="false">In!$E$149</definedName>
    <definedName function="false" hidden="false" name="tp_upside" vbProcedure="false">Val!$B$48</definedName>
    <definedName function="false" hidden="false" name="tp_wA" vbProcedure="false">In!$E$142</definedName>
    <definedName function="false" hidden="false" name="tp_wB" vbProcedure="false">In!$E$143</definedName>
    <definedName function="false" hidden="false" name="tp_wC" vbProcedure="false">In!$E$144</definedName>
    <definedName function="false" hidden="false" name="tp_w_dcf" vbProcedure="false">In!$E$150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<sst xmlns="http://schemas.openxmlformats.org/spreadsheetml/2006/main" count="3098" uniqueCount="952">
  <si>
    <r>
      <rPr>
        <b val="true"/>
        <sz val="11"/>
        <rFont val="Cambria"/>
        <family val="0"/>
        <charset val="1"/>
      </rPr>
      <t xml:space="preserve">Applied Materials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AMAT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</si>
  <si>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AMAT </t>
    </r>
    <r>
      <rPr>
        <sz val="11"/>
        <rFont val="Noto Sans CJK SC"/>
        <family val="2"/>
      </rPr>
      <t xml:space="preserve">的營收約四分之三來自半導體系統，跟著晶圓廠設備支出走；成長集中在先進代工邏輯、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與先進封裝，中國約占三成。股價取決於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年設備支出會不會見頂，以及出口管制會不會再收緊。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</si>
  <si>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月底（</t>
    </r>
    <r>
      <rPr>
        <sz val="11"/>
        <rFont val="Cambria"/>
        <family val="0"/>
        <charset val="1"/>
      </rPr>
      <t xml:space="preserve">52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53 </t>
    </r>
    <r>
      <rPr>
        <sz val="11"/>
        <rFont val="Noto Sans CJK SC"/>
        <family val="2"/>
      </rPr>
      <t xml:space="preserve">週；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2025-10-27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有 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：日曆年轉會計年度用 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2/12×CY(t−1)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10/12×CY(t)</t>
    </r>
    <r>
      <rPr>
        <sz val="11"/>
        <rFont val="Noto Sans CJK SC"/>
        <family val="2"/>
      </rPr>
      <t xml:space="preserve">；循環位置把 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已結束但第四季尚未公布（預定 </t>
    </r>
    <r>
      <rPr>
        <sz val="11"/>
        <rFont val="Cambria"/>
        <family val="0"/>
        <charset val="1"/>
      </rPr>
      <t xml:space="preserve">2026-11-12</t>
    </r>
    <r>
      <rPr>
        <sz val="11"/>
        <rFont val="Noto Sans CJK SC"/>
        <family val="2"/>
      </rPr>
      <t xml:space="preserve">），本版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＝前三季實績＋第四季公司指引（錨點）。金額為百萬美元；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稀釋（與指引、共識同口徑）。</t>
    </r>
  </si>
  <si>
    <t xml:space="preserve">驅動因子 → 推導量</t>
  </si>
  <si>
    <r>
      <rPr>
        <sz val="11"/>
        <rFont val="Noto Sans CJK SC"/>
        <family val="2"/>
      </rPr>
      <t xml:space="preserve">半導體系統＝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Σ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終端市場權重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各終端市場設備支出的會計年度指數）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份額係數。設備支出讀 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的三情境（晶圓代工邏輯＝先進邏輯＋其他代工邏輯＋其他前段；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</si>
  <si>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AGS </t>
    </r>
    <r>
      <rPr>
        <sz val="11"/>
        <rFont val="Noto Sans CJK SC"/>
        <family val="2"/>
      </rPr>
      <t xml:space="preserve">服務、其他（含顯示器）：前一年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取公司長期 </t>
    </r>
    <r>
      <rPr>
        <sz val="11"/>
        <rFont val="Cambria"/>
        <family val="0"/>
        <charset val="1"/>
      </rPr>
      <t xml:space="preserve">mid-teens</t>
    </r>
    <r>
      <rPr>
        <sz val="11"/>
        <rFont val="Noto Sans CJK SC"/>
        <family val="2"/>
      </rPr>
      <t xml:space="preserve">）。出口管制：情境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假設 </t>
    </r>
    <r>
      <rPr>
        <sz val="11"/>
        <rFont val="Cambria"/>
        <family val="0"/>
        <charset val="1"/>
      </rPr>
      <t xml:space="preserve">BIS </t>
    </r>
    <r>
      <rPr>
        <sz val="11"/>
        <rFont val="Noto Sans CJK SC"/>
        <family val="2"/>
      </rPr>
      <t xml:space="preserve">關係企業規則在暫停期（至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）後恢復，每年少 </t>
    </r>
    <r>
      <rPr>
        <sz val="11"/>
        <rFont val="Cambria"/>
        <family val="0"/>
        <charset val="1"/>
      </rPr>
      <t xml:space="preserve">US$600M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估計）。</t>
    </r>
  </si>
  <si>
    <r>
      <rPr>
        <sz val="11"/>
        <rFont val="Noto Sans CJK SC"/>
        <family val="2"/>
      </rPr>
      <t xml:space="preserve">毛利率：營業成本＝固定＋變動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營收（兩者都用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錨點兩點推導）；淨利＝營業利益 </t>
    </r>
    <r>
      <rPr>
        <sz val="11"/>
        <rFont val="Cambria"/>
        <family val="0"/>
        <charset val="1"/>
      </rPr>
      <t xml:space="preserve">× FY2025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營業利益。不寫死利益率。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</si>
  <si>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：共識、第四季年化、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、公司說法。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：份額、終端權重、會計年度權重、成本與費用的固定／變動拆分、</t>
    </r>
    <r>
      <rPr>
        <sz val="11"/>
        <rFont val="Cambria"/>
        <family val="0"/>
        <charset val="1"/>
      </rPr>
      <t xml:space="preserve">AGS</t>
    </r>
    <r>
      <rPr>
        <sz val="11"/>
        <rFont val="Noto Sans CJK SC"/>
        <family val="2"/>
      </rPr>
      <t xml:space="preserve">、出口管制、中國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</si>
  <si>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</si>
  <si>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半導體系統只用終端市場設備指數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份額係數，份額變化（環繞式閘極、背面供電、先進封裝、中國國產替代）只在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FY2025 Q4 </t>
    </r>
    <r>
      <rPr>
        <sz val="11"/>
        <rFont val="Noto Sans CJK SC"/>
        <family val="2"/>
      </rPr>
      <t xml:space="preserve">的重編分部由 </t>
    </r>
    <r>
      <rPr>
        <sz val="11"/>
        <rFont val="Cambria"/>
        <family val="0"/>
        <charset val="1"/>
      </rPr>
      <t xml:space="preserve">FY2026 Q4 </t>
    </r>
    <r>
      <rPr>
        <sz val="11"/>
        <rFont val="Noto Sans CJK SC"/>
        <family val="2"/>
      </rPr>
      <t xml:space="preserve">指引年增率（整數百分比）反推；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毛利率與營業費用只有兩點；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第四季終端市場組合、股數為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中國約三成營收，出口管制只以單一金額（公司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估計）建模；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設備市場模型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年以後高於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7–10%</t>
    </r>
    <r>
      <rPr>
        <sz val="11"/>
        <rFont val="Noto Sans CJK SC"/>
        <family val="2"/>
      </rPr>
      <t xml:space="preserve">，本模型只用成長指數；</t>
    </r>
    <r>
      <rPr>
        <sz val="11"/>
        <rFont val="Cambria"/>
        <family val="0"/>
        <charset val="1"/>
      </rPr>
      <t xml:space="preserve">(7) FY2028 </t>
    </r>
    <r>
      <rPr>
        <sz val="11"/>
        <rFont val="Noto Sans CJK SC"/>
        <family val="2"/>
      </rPr>
      <t xml:space="preserve">共識未找到。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</si>
  <si>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</si>
  <si>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</si>
  <si>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</si>
  <si>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未使用。公司新聞稿與 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附件以網頁擷取工具讀取（同一份文件的兩個轉載不算兩個獨立來源）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</si>
  <si>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</si>
  <si>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</si>
  <si>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</si>
  <si>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</si>
  <si>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</si>
  <si>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</si>
  <si>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</si>
  <si>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</si>
  <si>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</si>
  <si>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晶圓廠設備市場（日曆年，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</si>
  <si>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</si>
  <si>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</si>
  <si>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</si>
  <si>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</si>
  <si>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</si>
  <si>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節（公司資本支出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</si>
  <si>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</si>
  <si>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</si>
  <si>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</si>
  <si>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</si>
  <si>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</si>
  <si>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</si>
  <si>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</si>
  <si>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</si>
  <si>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</si>
  <si>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</si>
  <si>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</si>
  <si>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</si>
  <si>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</si>
  <si>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</si>
  <si>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</si>
  <si>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</si>
  <si>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</si>
  <si>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</si>
  <si>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</si>
  <si>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</si>
  <si>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</si>
  <si>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</si>
  <si>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</si>
  <si>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t xml:space="preserve">ofA_26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</si>
  <si>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</si>
  <si>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</si>
  <si>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</si>
  <si>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</si>
  <si>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</si>
  <si>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</si>
  <si>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</si>
  <si>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</si>
  <si>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</si>
  <si>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</si>
  <si>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</si>
  <si>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</si>
  <si>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</si>
  <si>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</si>
  <si>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</si>
  <si>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</si>
  <si>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</si>
  <si>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</si>
  <si>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</si>
  <si>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</si>
  <si>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</si>
  <si>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ndA_26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</si>
  <si>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</si>
  <si>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</si>
  <si>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</si>
  <si>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</si>
  <si>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</si>
  <si>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</si>
  <si>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</si>
  <si>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</si>
  <si>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</si>
  <si>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</si>
  <si>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</si>
  <si>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</si>
  <si>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</si>
  <si>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</si>
  <si>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</si>
  <si>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</si>
  <si>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</si>
  <si>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</si>
  <si>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</si>
  <si>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</si>
  <si>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</si>
  <si>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</si>
  <si>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</si>
  <si>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</si>
  <si>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</si>
  <si>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</si>
  <si>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</si>
  <si>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</si>
  <si>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</si>
  <si>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</si>
  <si>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</si>
  <si>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</si>
  <si>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t xml:space="preserve">ofB_26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</si>
  <si>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</si>
  <si>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</si>
  <si>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</si>
  <si>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</si>
  <si>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</si>
  <si>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</si>
  <si>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</si>
  <si>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</si>
  <si>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</si>
  <si>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</si>
  <si>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</si>
  <si>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</si>
  <si>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</si>
  <si>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</si>
  <si>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</si>
  <si>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</si>
  <si>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</si>
  <si>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</si>
  <si>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</si>
  <si>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</si>
  <si>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</si>
  <si>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ndB_26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</si>
  <si>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</si>
  <si>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</si>
  <si>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</si>
  <si>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</si>
  <si>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</si>
  <si>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</si>
  <si>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</si>
  <si>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</si>
  <si>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</si>
  <si>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</si>
  <si>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</si>
  <si>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</si>
  <si>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</si>
  <si>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</si>
  <si>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</si>
  <si>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</si>
  <si>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</si>
  <si>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</si>
  <si>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</si>
  <si>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</si>
  <si>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</si>
  <si>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</si>
  <si>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</si>
  <si>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</si>
  <si>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</si>
  <si>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</si>
  <si>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</si>
  <si>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</si>
  <si>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</si>
  <si>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</si>
  <si>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</si>
  <si>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</si>
  <si>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t xml:space="preserve">ofC_26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</si>
  <si>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</si>
  <si>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</si>
  <si>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</si>
  <si>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</si>
  <si>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</si>
  <si>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</si>
  <si>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</si>
  <si>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</si>
  <si>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</si>
  <si>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</si>
  <si>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</si>
  <si>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</si>
  <si>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</si>
  <si>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</si>
  <si>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</si>
  <si>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</si>
  <si>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</si>
  <si>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</si>
  <si>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</si>
  <si>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</si>
  <si>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</si>
  <si>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ndC_26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</si>
  <si>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</si>
  <si>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</si>
  <si>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</si>
  <si>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</si>
  <si>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</si>
  <si>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</si>
  <si>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</si>
  <si>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fyw</t>
  </si>
  <si>
    <r>
      <rPr>
        <sz val="11"/>
        <color theme="1"/>
        <rFont val="Noto Sans CJK SC"/>
        <family val="2"/>
      </rPr>
      <t xml:space="preserve">會計年度落在前一個日曆年的比例（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</si>
  <si>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</si>
  <si>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公司會計年度結束於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月最後一個星期日（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），約 </t>
    </r>
    <r>
      <rPr>
        <sz val="11"/>
        <color theme="1"/>
        <rFont val="Calibri"/>
        <family val="2"/>
        <charset val="1"/>
      </rPr>
      <t xml:space="preserve">11–12 </t>
    </r>
    <r>
      <rPr>
        <sz val="11"/>
        <color theme="1"/>
        <rFont val="Noto Sans CJK SC"/>
        <family val="2"/>
      </rPr>
      <t xml:space="preserve">月兩個月落在前一年 → </t>
    </r>
    <r>
      <rPr>
        <sz val="11"/>
        <color theme="1"/>
        <rFont val="Calibri"/>
        <family val="2"/>
        <charset val="1"/>
      </rPr>
      <t xml:space="preserve">2/12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</si>
  <si>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1/12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）：設備出貨與客戶資本支出約差一季，高值等於把市場往前移一季</t>
    </r>
  </si>
  <si>
    <t xml:space="preserve">semi_wfe26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</si>
  <si>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</si>
  <si>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</si>
  <si>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</si>
  <si>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</si>
  <si>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semi_fl26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</si>
  <si>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</si>
  <si>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Mkt!C43:G43</t>
    </r>
  </si>
  <si>
    <t xml:space="preserve">semi_dr26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</si>
  <si>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</si>
  <si>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Mkt!C41:G41</t>
    </r>
  </si>
  <si>
    <t xml:space="preserve">semi_nd26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</si>
  <si>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</si>
  <si>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Mkt!C42:G42</t>
    </r>
  </si>
  <si>
    <t xml:space="preserve">ai_inc27</t>
  </si>
  <si>
    <r>
      <rPr>
        <sz val="11"/>
        <color theme="1"/>
        <rFont val="Noto Sans CJK SC"/>
        <family val="2"/>
      </rPr>
      <t xml:space="preserve">設備市場模型：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增量（情境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</si>
  <si>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Mkt!C10:G10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</si>
  <si>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先進邏輯＋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＋先進封裝；只用於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</si>
  <si>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co_ai27</t>
  </si>
  <si>
    <r>
      <rPr>
        <sz val="11"/>
        <color theme="1"/>
        <rFont val="Noto Sans CJK SC"/>
        <family val="2"/>
      </rPr>
      <t xml:space="preserve">公司說法：先進代工邏輯、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、先進封裝占 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晶圓廠設備成長約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</si>
  <si>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</si>
  <si>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法說重點（可能同一來源轉載）；只用於 </t>
    </r>
    <r>
      <rPr>
        <sz val="11"/>
        <color theme="1"/>
        <rFont val="Calibri"/>
        <family val="2"/>
        <charset val="1"/>
      </rPr>
      <t xml:space="preserve">Recon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</si>
  <si>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半導體系統（</t>
    </r>
    <r>
      <rPr>
        <b val="true"/>
        <sz val="11"/>
        <rFont val="Cambria"/>
        <family val="0"/>
        <charset val="1"/>
      </rPr>
      <t xml:space="preserve">Semiconductor Systems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各終端市場設備指數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份額係數</t>
    </r>
  </si>
  <si>
    <t xml:space="preserve">q4_dr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</si>
  <si>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占比（公司未給）</t>
    </r>
  </si>
  <si>
    <t xml:space="preserve">Assumed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</si>
  <si>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very significant increase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34%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</si>
  <si>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、高＝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34%</t>
    </r>
  </si>
  <si>
    <t xml:space="preserve">q4_nd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</si>
  <si>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</si>
  <si>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Q1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7%</t>
    </r>
    <r>
      <rPr>
        <sz val="11"/>
        <color theme="1"/>
        <rFont val="Noto Sans CJK SC"/>
        <family val="2"/>
      </rPr>
      <t xml:space="preserve">（公司新聞稿）</t>
    </r>
  </si>
  <si>
    <t xml:space="preserve">—</t>
  </si>
  <si>
    <t xml:space="preserve">m_dr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</si>
  <si>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權重（前三季實績＋第四季假設，金額加權）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</si>
  <si>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頁：各季營收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終端市場占比</t>
    </r>
  </si>
  <si>
    <r>
      <rPr>
        <sz val="11"/>
        <color theme="1"/>
        <rFont val="Noto Sans CJK SC"/>
        <family val="2"/>
      </rPr>
      <t xml:space="preserve">低／高對應 </t>
    </r>
    <r>
      <rPr>
        <sz val="11"/>
        <color theme="1"/>
        <rFont val="Calibri"/>
        <family val="2"/>
        <charset val="1"/>
      </rPr>
      <t xml:space="preserve">q4_dr </t>
    </r>
    <r>
      <rPr>
        <sz val="11"/>
        <color theme="1"/>
        <rFont val="Noto Sans CJK SC"/>
        <family val="2"/>
      </rPr>
      <t xml:space="preserve">低／高</t>
    </r>
  </si>
  <si>
    <t xml:space="preserve">m_nd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</si>
  <si>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權重</t>
    </r>
  </si>
  <si>
    <t xml:space="preserve">m_fl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</si>
  <si>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晶圓代工、邏輯與其他 權重（＝</t>
    </r>
    <r>
      <rPr>
        <sz val="11"/>
        <color theme="1"/>
        <rFont val="Calibri"/>
        <family val="2"/>
        <charset val="1"/>
      </rPr>
      <t xml:space="preserve">1 − DRAM − NAND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</si>
  <si>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同上；公司「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（成熟製程、功率、類比等），故對應設備市場的先進邏輯＋其他代工邏輯＋其他前段</t>
    </r>
  </si>
  <si>
    <r>
      <rPr>
        <sz val="11"/>
        <color theme="1"/>
        <rFont val="Noto Sans CJK SC"/>
        <family val="2"/>
      </rPr>
      <t xml:space="preserve">低／高與 </t>
    </r>
    <r>
      <rPr>
        <sz val="11"/>
        <color theme="1"/>
        <rFont val="Calibri"/>
        <family val="2"/>
        <charset val="1"/>
      </rPr>
      <t xml:space="preserve">m_dr </t>
    </r>
    <r>
      <rPr>
        <sz val="11"/>
        <color theme="1"/>
        <rFont val="Noto Sans CJK SC"/>
        <family val="2"/>
      </rPr>
      <t xml:space="preserve">對沖</t>
    </r>
  </si>
  <si>
    <t xml:space="preserve">sf</t>
  </si>
  <si>
    <r>
      <rPr>
        <sz val="11"/>
        <color theme="1"/>
        <rFont val="Noto Sans CJK SC"/>
        <family val="2"/>
      </rPr>
      <t xml:space="preserve">份額係數（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依市場指數推得的營收）</t>
    </r>
  </si>
  <si>
    <t xml:space="preserve">x</t>
  </si>
  <si>
    <r>
      <rPr>
        <sz val="11"/>
        <color theme="1"/>
        <rFont val="Noto Sans CJK SC"/>
        <family val="2"/>
      </rPr>
      <t xml:space="preserve">無：基準假設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在三個終端市場的份額維持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</t>
    </r>
  </si>
  <si>
    <r>
      <rPr>
        <sz val="11"/>
        <color theme="1"/>
        <rFont val="Noto Sans CJK SC"/>
        <family val="2"/>
      </rPr>
      <t xml:space="preserve">上方＝環繞式閘極、背面供電、先進封裝的份額提升；下方＝中國國產替代、競爭（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</si>
  <si>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出口管制與中國</t>
    </r>
  </si>
  <si>
    <t xml:space="preserve">aff_hit</t>
  </si>
  <si>
    <r>
      <rPr>
        <sz val="11"/>
        <color theme="1"/>
        <rFont val="Calibri"/>
        <family val="2"/>
        <charset val="1"/>
      </rPr>
      <t xml:space="preserve">BIS</t>
    </r>
    <r>
      <rPr>
        <sz val="11"/>
        <color theme="1"/>
        <rFont val="Noto Sans CJK SC"/>
        <family val="2"/>
      </rPr>
      <t xml:space="preserve">「關係企業規則」恢復時的年營收影響</t>
    </r>
  </si>
  <si>
    <t xml:space="preserve">US$M</t>
  </si>
  <si>
    <r>
      <rPr>
        <sz val="11"/>
        <color theme="1"/>
        <rFont val="Calibri"/>
        <family val="2"/>
        <charset val="1"/>
      </rPr>
      <t xml:space="preserve">AMAT 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）：該規則將使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營收減少約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US$110M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</si>
  <si>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）：規則暫停後約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營收可恢復；</t>
    </r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：暫停至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，除非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延長。低／高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±50%</t>
    </r>
    <r>
      <rPr>
        <sz val="11"/>
        <color theme="1"/>
        <rFont val="Noto Sans CJK SC"/>
        <family val="2"/>
      </rPr>
      <t xml:space="preserve">）</t>
    </r>
  </si>
  <si>
    <t xml:space="preserve">aff_A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</si>
  <si>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</si>
  <si>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0/1</t>
  </si>
  <si>
    <r>
      <rPr>
        <sz val="11"/>
        <color theme="1"/>
        <rFont val="Noto Sans CJK SC"/>
        <family val="2"/>
      </rPr>
      <t xml:space="preserve">暫停期至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Skadden 2025-11</t>
    </r>
    <r>
      <rPr>
        <sz val="11"/>
        <color theme="1"/>
        <rFont val="Noto Sans CJK SC"/>
        <family val="2"/>
      </rPr>
      <t xml:space="preserve">）；是否延長未知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</si>
  <si>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假設延長；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假設恢復（與設備市場下修同向的保守組合）</t>
    </r>
  </si>
  <si>
    <t xml:space="preserve">aff_B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</si>
  <si>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</si>
  <si>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aff_C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</si>
  <si>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</si>
  <si>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cn_sh</t>
  </si>
  <si>
    <r>
      <rPr>
        <sz val="11"/>
        <color theme="1"/>
        <rFont val="Noto Sans CJK SC"/>
        <family val="2"/>
      </rPr>
      <t xml:space="preserve">中國占營收（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</si>
  <si>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頁：前三季中國營收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營收（公司新聞稿；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</si>
  <si>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中國占半導體系統＋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；預期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中國營收增加（</t>
    </r>
    <r>
      <rPr>
        <sz val="11"/>
        <color theme="1"/>
        <rFont val="Calibri"/>
        <family val="2"/>
        <charset val="1"/>
      </rPr>
      <t xml:space="preserve">28nm </t>
    </r>
    <r>
      <rPr>
        <sz val="11"/>
        <color theme="1"/>
        <rFont val="Noto Sans CJK SC"/>
        <family val="2"/>
      </rPr>
      <t xml:space="preserve">代工邏輯帶動）</t>
    </r>
  </si>
  <si>
    <t xml:space="preserve">cn_cut</t>
  </si>
  <si>
    <t xml:space="preserve">敏感度：中國營收下修比例（國產替代或新管制）</t>
  </si>
  <si>
    <r>
      <rPr>
        <sz val="11"/>
        <color theme="1"/>
        <rFont val="Noto Sans CJK SC"/>
        <family val="2"/>
      </rPr>
      <t xml:space="preserve">無；基準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（市場層的「其他代工邏輯」已含中國擴產的成長假設）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</si>
  <si>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用高值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（只對半導體系統＋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</si>
  <si>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AGS </t>
    </r>
    <r>
      <rPr>
        <b val="true"/>
        <sz val="11"/>
        <rFont val="Noto Sans CJK SC"/>
        <family val="2"/>
      </rPr>
      <t xml:space="preserve">服務與其他（含顯示器）：前一年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</t>
    </r>
  </si>
  <si>
    <t xml:space="preserve">g_ags_A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</si>
  <si>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</si>
  <si>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長期年成長 </t>
    </r>
    <r>
      <rPr>
        <sz val="11"/>
        <color theme="1"/>
        <rFont val="Calibri"/>
        <family val="2"/>
        <charset val="1"/>
      </rPr>
      <t xml:space="preserve">mid-teens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&gt;20%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</si>
  <si>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±4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</si>
  <si>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g_ags_B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</si>
  <si>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</si>
  <si>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無：裝機量與稼動隨設備市場放緩（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</si>
  <si>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g_ags_C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</si>
  <si>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</si>
  <si>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g_oth_A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</si>
  <si>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</si>
  <si>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無：顯示器設備隨面板廠投資起伏；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US$510M </t>
    </r>
    <r>
      <rPr>
        <sz val="11"/>
        <color theme="1"/>
        <rFont val="Noto Sans CJK SC"/>
        <family val="2"/>
      </rPr>
      <t xml:space="preserve">高於前三季（</t>
    </r>
    <r>
      <rPr>
        <sz val="11"/>
        <color theme="1"/>
        <rFont val="Calibri"/>
        <family val="2"/>
        <charset val="1"/>
      </rPr>
      <t xml:space="preserve">280–312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</si>
  <si>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1.4% </t>
    </r>
    <r>
      <rPr>
        <sz val="11"/>
        <color theme="1"/>
        <rFont val="Noto Sans CJK SC"/>
        <family val="2"/>
      </rPr>
      <t xml:space="preserve">營收以下的小項；區間 </t>
    </r>
    <r>
      <rPr>
        <sz val="11"/>
        <color theme="1"/>
        <rFont val="Calibri"/>
        <family val="2"/>
        <charset val="1"/>
      </rPr>
      <t xml:space="preserve">±10 </t>
    </r>
    <r>
      <rPr>
        <sz val="11"/>
        <color theme="1"/>
        <rFont val="Noto Sans CJK SC"/>
        <family val="2"/>
      </rPr>
      <t xml:space="preserve">個百分點</t>
    </r>
  </si>
  <si>
    <t xml:space="preserve">g_oth_B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</si>
  <si>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</si>
  <si>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</si>
  <si>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</si>
  <si>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毛利、營業費用、淨利、股數（兩點推導：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；不寫死利益率）</t>
    </r>
  </si>
  <si>
    <t xml:space="preserve">cogs25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</si>
  <si>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</si>
  <si>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</si>
  <si>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cogs26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</si>
  <si>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</si>
  <si>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頁（前三季實績＋第四季指引毛利率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</si>
  <si>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cv</t>
  </si>
  <si>
    <t xml:space="preserve">營業成本變動部分占營收（兩點斜率）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</si>
  <si>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營業成本）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</si>
  <si>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隱含毛利率隨營收上升而遞增、但趨緩</t>
  </si>
  <si>
    <t xml:space="preserve">cF</t>
  </si>
  <si>
    <t xml:space="preserve">營業成本固定部分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</si>
  <si>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營業成本 − 變動部分</t>
    </r>
  </si>
  <si>
    <t xml:space="preserve">phic</t>
  </si>
  <si>
    <r>
      <rPr>
        <sz val="11"/>
        <color theme="1"/>
        <rFont val="Noto Sans CJK SC"/>
        <family val="2"/>
      </rPr>
      <t xml:space="preserve">營業成本中變動部分占比（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</si>
  <si>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</si>
  <si>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低＝固定成本較多（營收增加時毛利率升得更快）</t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</si>
  <si>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</si>
  <si>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營業利益）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</si>
  <si>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</si>
  <si>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 </t>
    </r>
    <r>
      <rPr>
        <sz val="11"/>
        <color theme="1"/>
        <rFont val="Calibri"/>
        <family val="2"/>
        <charset val="1"/>
      </rPr>
      <t xml:space="preserve">US$1,580M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</si>
  <si>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週，營業費用增幅大於往常（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</si>
  <si>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t xml:space="preserve">ov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</si>
  <si>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</si>
  <si>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營業費用）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</si>
  <si>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oF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</si>
  <si>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</si>
  <si>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</si>
  <si>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</si>
  <si>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</si>
  <si>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公司：產能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年前倍增、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增聘逾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人（費用前置的風險）</t>
    </r>
  </si>
  <si>
    <t xml:space="preserve">nioi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</si>
  <si>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</si>
  <si>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0.888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錨點隱含（含公司內部無形資產移轉的稅務利益，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指引各 </t>
    </r>
    <r>
      <rPr>
        <sz val="11"/>
        <color theme="1"/>
        <rFont val="Calibri"/>
        <family val="2"/>
        <charset val="1"/>
      </rPr>
      <t xml:space="preserve">US$0.04</t>
    </r>
    <r>
      <rPr>
        <sz val="11"/>
        <color theme="1"/>
        <rFont val="Noto Sans CJK SC"/>
        <family val="2"/>
      </rPr>
      <t xml:space="preserve">／股）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</si>
  <si>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：全球最低稅負等稅率上升）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</si>
  <si>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</si>
  <si>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第四季稀釋股數（公司未給）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</si>
  <si>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</si>
  <si>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800M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封面流通股 </t>
    </r>
    <r>
      <rPr>
        <sz val="11"/>
        <color theme="1"/>
        <rFont val="Calibri"/>
        <family val="2"/>
        <charset val="1"/>
      </rPr>
      <t xml:space="preserve">793.6M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US$440M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</si>
  <si>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錨點淨利（＝第四季指引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股數）</t>
    </r>
  </si>
  <si>
    <t xml:space="preserve">bb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</si>
  <si>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起稀釋股數年減幅（淨回購）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</si>
  <si>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808M → FY2026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799M</t>
    </r>
    <r>
      <rPr>
        <sz val="11"/>
        <color theme="1"/>
        <rFont val="Noto Sans CJK SC"/>
        <family val="2"/>
      </rPr>
      <t xml:space="preserve">（約 −</t>
    </r>
    <r>
      <rPr>
        <sz val="11"/>
        <color theme="1"/>
        <rFont val="Calibri"/>
        <family val="2"/>
        <charset val="1"/>
      </rPr>
      <t xml:space="preserve">1.1%</t>
    </r>
    <r>
      <rPr>
        <sz val="11"/>
        <color theme="1"/>
        <rFont val="Noto Sans CJK SC"/>
        <family val="2"/>
      </rPr>
      <t xml:space="preserve">）；回購授權餘額 </t>
    </r>
    <r>
      <rPr>
        <sz val="11"/>
        <color theme="1"/>
        <rFont val="Calibri"/>
        <family val="2"/>
        <charset val="1"/>
      </rPr>
      <t xml:space="preserve">US$12.8B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</si>
  <si>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公司指引、共識、股價、循環位置</t>
    </r>
  </si>
  <si>
    <t xml:space="preserve">g_rev_q4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</si>
  <si>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±US$500M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</si>
  <si>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</si>
  <si>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法說重點；低／高＝公司指引區間（未進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：錨點只影響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水準）</t>
    </r>
  </si>
  <si>
    <t xml:space="preserve">g_eps_q4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</si>
  <si>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±US$0.20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</si>
  <si>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</si>
  <si>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同上（低／高＝指引區間，未進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</si>
  <si>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g_ss_q4</t>
  </si>
  <si>
    <r>
      <rPr>
        <sz val="11"/>
        <color theme="1"/>
        <rFont val="Noto Sans CJK SC"/>
        <family val="2"/>
      </rPr>
      <t xml:space="preserve">指引 半導體系統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</si>
  <si>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</si>
  <si>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法說重點（可能同源）</t>
    </r>
  </si>
  <si>
    <t xml:space="preserve">g_ags_q4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</si>
  <si>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</si>
  <si>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g_oth_q4</t>
  </si>
  <si>
    <r>
      <rPr>
        <sz val="11"/>
        <color theme="1"/>
        <rFont val="Noto Sans CJK SC"/>
        <family val="2"/>
      </rPr>
      <t xml:space="preserve">指引 其他（主要為顯示器）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第四季（約）</t>
    </r>
  </si>
  <si>
    <t xml:space="preserve">g_gm_q4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</si>
  <si>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</si>
  <si>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g_opx_q4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</si>
  <si>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</si>
  <si>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q4g_ss</t>
  </si>
  <si>
    <r>
      <rPr>
        <sz val="11"/>
        <color theme="1"/>
        <rFont val="Noto Sans CJK SC"/>
        <family val="2"/>
      </rPr>
      <t xml:space="preserve">第四季半導體系統指引年增（用於反推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重編後數字）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</si>
  <si>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</si>
  <si>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四捨五入到整數百分比：反推值誤差約 </t>
    </r>
    <r>
      <rPr>
        <sz val="11"/>
        <color theme="1"/>
        <rFont val="Calibri"/>
        <family val="2"/>
        <charset val="1"/>
      </rPr>
      <t xml:space="preserve">±0.3%</t>
    </r>
  </si>
  <si>
    <t xml:space="preserve">q4g_ags</t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</si>
  <si>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指引年增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</si>
  <si>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</si>
  <si>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</si>
  <si>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</si>
  <si>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（資料更新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</si>
  <si>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tickflow 31,430</t>
    </r>
    <r>
      <rPr>
        <sz val="11"/>
        <color theme="1"/>
        <rFont val="Noto Sans CJK SC"/>
        <family val="2"/>
      </rPr>
      <t xml:space="preserve">（明顯過時，低於前三季實績＋指引，未採）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</si>
  <si>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</si>
  <si>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FY2026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</si>
  <si>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tickflow 11.05</t>
    </r>
    <r>
      <rPr>
        <sz val="11"/>
        <color theme="1"/>
        <rFont val="Noto Sans CJK SC"/>
        <family val="2"/>
      </rPr>
      <t xml:space="preserve">（過時，未採）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</si>
  <si>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</si>
  <si>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</si>
  <si>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Next Year </t>
    </r>
    <r>
      <rPr>
        <sz val="11"/>
        <color theme="1"/>
        <rFont val="Noto Sans CJK SC"/>
        <family val="2"/>
      </rPr>
      <t xml:space="preserve">摘要框）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</si>
  <si>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37,670 </t>
    </r>
    <r>
      <rPr>
        <sz val="11"/>
        <color theme="1"/>
        <rFont val="Noto Sans CJK SC"/>
        <family val="2"/>
      </rPr>
      <t xml:space="preserve">過時，未採）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</si>
  <si>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</si>
  <si>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FY2027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</si>
  <si>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</si>
  <si>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</si>
  <si>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</si>
  <si>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</si>
  <si>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</si>
  <si>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</si>
  <si>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</si>
  <si>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</si>
  <si>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</si>
  <si>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</si>
  <si>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</si>
  <si>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</si>
  <si>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</si>
  <si>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</si>
  <si>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、市值 </t>
    </r>
    <r>
      <rPr>
        <sz val="11"/>
        <color theme="1"/>
        <rFont val="Calibri"/>
        <family val="2"/>
        <charset val="1"/>
      </rPr>
      <t xml:space="preserve">299.38B</t>
    </r>
    <r>
      <rPr>
        <sz val="11"/>
        <color theme="1"/>
        <rFont val="Noto Sans CJK SC"/>
        <family val="2"/>
      </rPr>
      <t xml:space="preserve">、流通股 </t>
    </r>
    <r>
      <rPr>
        <sz val="11"/>
        <color theme="1"/>
        <rFont val="Calibri"/>
        <family val="2"/>
        <charset val="1"/>
      </rPr>
      <t xml:space="preserve">793.60M</t>
    </r>
  </si>
  <si>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最新價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（未標日期）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</si>
  <si>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</si>
  <si>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</si>
  <si>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</si>
  <si>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</si>
  <si>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</si>
  <si>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</si>
  <si>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</si>
  <si>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</si>
  <si>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</si>
  <si>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；目標價＝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情境隱含價（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</si>
  <si>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</si>
  <si>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</si>
  <si>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</si>
  <si>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</si>
  <si>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</si>
  <si>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</si>
  <si>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</si>
  <si>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</si>
  <si>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</si>
  <si>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</si>
  <si>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</si>
  <si>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</si>
  <si>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</si>
  <si>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</si>
  <si>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48.04%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40.61%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35.51%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</si>
  <si>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41.07%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</si>
  <si>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</si>
  <si>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</si>
  <si>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</si>
  <si>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</si>
  <si>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</si>
  <si>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</si>
  <si>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 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營收與淨利相同；模型淨利為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，十年平均為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（略低）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</si>
  <si>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</si>
  <si>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</si>
  <si>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US$627.83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607.50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358–900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2026-10-16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</si>
  <si>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</si>
  <si>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</si>
  <si>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</si>
  <si>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18.49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</si>
  <si>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為美元）。會計年度約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月～隔年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。藍字＝輸入；黑字＝公式。損益為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（公司揭露），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另列。分部自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起重編（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設備移入半導體系統、公司費用全數分攤），</t>
    </r>
    <r>
      <rPr>
        <sz val="11"/>
        <color theme="1"/>
        <rFont val="Calibri"/>
        <family val="2"/>
        <charset val="1"/>
      </rPr>
      <t xml:space="preserve">FY2025 Q1–Q3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新聞稿的重編比較數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</si>
  <si>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）已結束、尚未公布：預定 </t>
    </r>
    <r>
      <rPr>
        <sz val="11"/>
        <color theme="1"/>
        <rFont val="Calibri"/>
        <family val="2"/>
        <charset val="1"/>
      </rPr>
      <t xml:space="preserve">2026-11-12 </t>
    </r>
    <r>
      <rPr>
        <sz val="11"/>
        <color theme="1"/>
        <rFont val="Noto Sans CJK SC"/>
        <family val="2"/>
      </rPr>
      <t xml:space="preserve">公布（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）。本版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＝前三季實績＋第四季公司指引（錨點）。公布後更新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</si>
  <si>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11–1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</si>
  <si>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2–4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</si>
  <si>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5–7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</si>
  <si>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8–10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</si>
  <si>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</si>
  <si>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FY26 Q1</t>
  </si>
  <si>
    <t xml:space="preserve">FY26 Q2</t>
  </si>
  <si>
    <t xml:space="preserve">FY26 Q3</t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</si>
  <si>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</si>
  <si>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</si>
  <si>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</si>
  <si>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半導體系統（重編後）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</si>
  <si>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</si>
  <si>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各季新聞稿的重編比較數；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62%) </t>
    </r>
    <r>
      <rPr>
        <sz val="11"/>
        <color theme="1"/>
        <rFont val="Noto Sans CJK SC"/>
        <family val="2"/>
      </rPr>
      <t xml:space="preserve">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</si>
  <si>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20,798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新聞稿）；重編差額主要為 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設備由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移入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</si>
  <si>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服務（重編後）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</si>
  <si>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）：同上；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22%) </t>
    </r>
    <r>
      <rPr>
        <sz val="11"/>
        <color theme="1"/>
        <rFont val="Noto Sans CJK SC"/>
        <family val="2"/>
      </rPr>
      <t xml:space="preserve">反推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</si>
  <si>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6,385</t>
    </r>
  </si>
  <si>
    <t xml:space="preserve">其他（含顯示器）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</si>
  <si>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＝營收 − 半導體系統 − 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</si>
  <si>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舊口徑顯示器 </t>
    </r>
    <r>
      <rPr>
        <sz val="11"/>
        <color theme="1"/>
        <rFont val="Calibri"/>
        <family val="2"/>
        <charset val="1"/>
      </rPr>
      <t xml:space="preserve">1,060</t>
    </r>
    <r>
      <rPr>
        <sz val="11"/>
        <color theme="1"/>
        <rFont val="Noto Sans CJK SC"/>
        <family val="2"/>
      </rPr>
      <t xml:space="preserve">（另含於公司與其他）</t>
    </r>
  </si>
  <si>
    <t xml:space="preserve">營收</t>
  </si>
  <si>
    <t xml:space="preserve">Verified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</si>
  <si>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28,368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24,037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</si>
  <si>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</t>
    </r>
  </si>
  <si>
    <r>
      <rPr>
        <sz val="11"/>
        <color theme="1"/>
        <rFont val="Noto Sans CJK SC"/>
        <family val="2"/>
      </rPr>
      <t xml:space="preserve">檢查：分部合計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</si>
  <si>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各季：公司分部表加總＝營收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</si>
  <si>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</si>
  <si>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（四季加權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</si>
  <si>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營收（差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個百分點內）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</si>
  <si>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</si>
  <si>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毛利率（毛利率為公司公布的一位小數）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</si>
  <si>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</si>
  <si>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＝指引毛利 − 指引營業費用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</si>
  <si>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Q1 2,096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</si>
  <si>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</si>
  <si>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為公司指引約 </t>
    </r>
    <r>
      <rPr>
        <sz val="11"/>
        <color theme="1"/>
        <rFont val="Calibri"/>
        <family val="2"/>
        <charset val="1"/>
      </rPr>
      <t xml:space="preserve">1,580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</si>
  <si>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</si>
  <si>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7,607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假設股數</t>
    </r>
  </si>
  <si>
    <t xml:space="preserve">稀釋加權股數（百萬股）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</si>
  <si>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</si>
  <si>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</si>
  <si>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</si>
  <si>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9.42</t>
    </r>
    <r>
      <rPr>
        <sz val="11"/>
        <color theme="1"/>
        <rFont val="Noto Sans CJK SC"/>
        <family val="2"/>
      </rPr>
      <t xml:space="preserve">（四季合計 </t>
    </r>
    <r>
      <rPr>
        <sz val="11"/>
        <color theme="1"/>
        <rFont val="Calibri"/>
        <family val="2"/>
        <charset val="1"/>
      </rPr>
      <t xml:space="preserve">9.42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</si>
  <si>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12.79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</si>
  <si>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（美元；參考）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</si>
  <si>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8.61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</si>
  <si>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  <r>
      <rPr>
        <sz val="11"/>
        <color theme="1"/>
        <rFont val="Noto Sans CJK SC"/>
        <family val="2"/>
      </rPr>
      <t xml:space="preserve">（每股 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含投資評價益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</si>
  <si>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淨利（參考）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</si>
  <si>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</t>
    </r>
  </si>
  <si>
    <t xml:space="preserve">半導體系統：晶圓代工、邏輯與其他 占比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</si>
  <si>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</si>
  <si>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為舊口徑：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</si>
  <si>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q4_dr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q4_nd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</si>
  <si>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</si>
  <si>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</si>
  <si>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封裝）年增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</si>
  <si>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</si>
  <si>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</si>
  <si>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中國營收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</si>
  <si>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10,117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</si>
  <si>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</t>
    </r>
  </si>
  <si>
    <t xml:space="preserve">中國占營收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</si>
  <si>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28%</t>
    </r>
  </si>
  <si>
    <r>
      <rPr>
        <sz val="11"/>
        <color theme="1"/>
        <rFont val="Noto Sans CJK SC"/>
        <family val="2"/>
      </rPr>
      <t xml:space="preserve">檢查：四季合計 − 全年公布值（營收、毛利率、營業利益、淨利、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、中國 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</si>
  <si>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毛利率差為四捨五入（公司公布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</si>
  <si>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錨點的組成（前三季實績＋第四季指引）</t>
    </r>
  </si>
  <si>
    <t xml:space="preserve">前三季實績</t>
  </si>
  <si>
    <t xml:space="preserve">第四季指引</t>
  </si>
  <si>
    <t xml:space="preserve">FY2025</t>
  </si>
  <si>
    <t xml:space="preserve">年增</t>
  </si>
  <si>
    <r>
      <rPr>
        <b val="true"/>
        <sz val="11"/>
        <rFont val="Noto Sans CJK SC"/>
        <family val="2"/>
      </rPr>
      <t xml:space="preserve">第四季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（年化）</t>
    </r>
  </si>
  <si>
    <t xml:space="preserve">半導體系統</t>
  </si>
  <si>
    <t xml:space="preserve">AGS</t>
  </si>
  <si>
    <t xml:space="preserve">其他</t>
  </si>
  <si>
    <t xml:space="preserve">non-GAAP EPS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</si>
  <si>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</si>
  <si>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</si>
  <si>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</si>
  <si>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晶圓廠設備市場（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成品，三情境）：日曆年 →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會計年度（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），以及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半導體系統占市場的隱含份額（只作檢驗，不校準）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</si>
  <si>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</si>
  <si>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</si>
  <si>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</si>
  <si>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</si>
  <si>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</si>
  <si>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</si>
  <si>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</si>
  <si>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  晶圓代工、邏輯與其他（先進邏輯＋其他代工邏輯＋其他前段）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</si>
  <si>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</si>
  <si>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</si>
  <si>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合計（晶圓前段）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</si>
  <si>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</si>
  <si>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t xml:space="preserve">  晶圓代工、邏輯與其他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</si>
  <si>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</si>
  <si>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</si>
  <si>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</si>
  <si>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</si>
  <si>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Cambria"/>
        <family val="0"/>
        <charset val="1"/>
      </rPr>
      <t xml:space="preserve">AMAT </t>
    </r>
    <r>
      <rPr>
        <b val="true"/>
        <sz val="11"/>
        <rFont val="Noto Sans CJK SC"/>
        <family val="2"/>
      </rPr>
      <t xml:space="preserve">半導體系統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會計年度晶圓前段市場（隱含份額；情境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起份額係數 </t>
    </r>
    <r>
      <rPr>
        <b val="true"/>
        <sz val="11"/>
        <rFont val="Cambria"/>
        <family val="0"/>
        <charset val="1"/>
      </rPr>
      <t xml:space="preserve">sf </t>
    </r>
    <r>
      <rPr>
        <b val="true"/>
        <sz val="11"/>
        <rFont val="Noto Sans CJK SC"/>
        <family val="2"/>
      </rPr>
      <t xml:space="preserve">決定變化）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</si>
  <si>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</si>
  <si>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半導體系統也含先進封裝等後段設備，故份額略高於純前段口徑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</si>
  <si>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AMAT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（成熟製程、功率、類比、物聯網等），故以設備市場的先進邏輯＋其他代工邏輯＋其他前段為對應；設備市場模型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 Recon</t>
    </r>
    <r>
      <rPr>
        <sz val="11"/>
        <color theme="1"/>
        <rFont val="Noto Sans CJK SC"/>
        <family val="2"/>
      </rPr>
      <t xml:space="preserve">），本模型只用各終端市場的成長指數，水準由 </t>
    </r>
    <r>
      <rPr>
        <sz val="11"/>
        <color theme="1"/>
        <rFont val="Calibri"/>
        <family val="2"/>
        <charset val="1"/>
      </rPr>
      <t xml:space="preserve">AMAT FY2026 </t>
    </r>
    <r>
      <rPr>
        <sz val="11"/>
        <color theme="1"/>
        <rFont val="Noto Sans CJK SC"/>
        <family val="2"/>
      </rPr>
      <t xml:space="preserve">錨點決定。</t>
    </r>
  </si>
  <si>
    <r>
      <rPr>
        <sz val="11"/>
        <color theme="1"/>
        <rFont val="Calibri"/>
        <family val="2"/>
        <charset val="1"/>
      </rPr>
      <t xml:space="preserve">PL — Applied Materials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</si>
  <si>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</si>
  <si>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</si>
  <si>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</si>
  <si>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</si>
  <si>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</si>
  <si>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</si>
  <si>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</si>
  <si>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半導體系統</t>
  </si>
  <si>
    <r>
      <rPr>
        <sz val="11"/>
        <color theme="1"/>
        <rFont val="Calibri"/>
        <family val="2"/>
        <charset val="1"/>
      </rPr>
      <t xml:space="preserve">  AGS </t>
    </r>
    <r>
      <rPr>
        <sz val="11"/>
        <color theme="1"/>
        <rFont val="Noto Sans CJK SC"/>
        <family val="2"/>
      </rPr>
      <t xml:space="preserve">服務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</si>
  <si>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</si>
  <si>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</si>
  <si>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</si>
  <si>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三情境相同（錨點）；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1/6 </t>
    </r>
    <r>
      <rPr>
        <b val="true"/>
        <sz val="11"/>
        <rFont val="Noto Sans CJK SC"/>
        <family val="2"/>
      </rPr>
      <t xml:space="preserve">落在 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5/6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，設備市場三情境在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以前相同，所以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只有情境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的出口管制調整造成差異；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起情境差異來自設備市場。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</si>
  <si>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2028 +12.7%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+5.9%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</si>
  <si>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市場（日曆年 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頁的設備市場成品）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</si>
  <si>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</si>
  <si>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</t>
    </r>
  </si>
  <si>
    <t xml:space="preserve">NAND CY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</si>
  <si>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fyw×CY(t−1)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(1−fyw)×CY(t)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</si>
  <si>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</si>
  <si>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</t>
    </r>
  </si>
  <si>
    <t xml:space="preserve">NAND FY</t>
  </si>
  <si>
    <r>
      <rPr>
        <sz val="11"/>
        <color theme="1"/>
        <rFont val="Noto Sans CJK SC"/>
        <family val="2"/>
      </rPr>
      <t xml:space="preserve">半導體系統需求指數（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終端市場權重加權）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</si>
  <si>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FY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</si>
  <si>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起模型）</t>
    </r>
  </si>
  <si>
    <t xml:space="preserve">半導體系統營收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</si>
  <si>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</si>
  <si>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服務營收</t>
    </r>
  </si>
  <si>
    <t xml:space="preserve">其他（含顯示器）營收</t>
  </si>
  <si>
    <t xml:space="preserve">出口管制與中國調整</t>
  </si>
  <si>
    <r>
      <rPr>
        <sz val="11"/>
        <color theme="1"/>
        <rFont val="Noto Sans CJK SC"/>
        <family val="2"/>
      </rPr>
      <t xml:space="preserve">關係企業規則恢復（情境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）；中國下修只在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</si>
  <si>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營業成本＝固定＋變動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</si>
  <si>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</si>
  <si>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</si>
  <si>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</si>
  <si>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</si>
  <si>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合計＋第四季指引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</si>
  <si>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÷ FY </t>
    </r>
    <r>
      <rPr>
        <sz val="11"/>
        <color theme="1"/>
        <rFont val="Noto Sans CJK SC"/>
        <family val="2"/>
      </rPr>
      <t xml:space="preserve">晶圓前段市場（隱含份額）</t>
    </r>
  </si>
  <si>
    <r>
      <rPr>
        <sz val="11"/>
        <color theme="1"/>
        <rFont val="Noto Sans CJK SC"/>
        <family val="2"/>
      </rPr>
      <t xml:space="preserve">檢驗用；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起等於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組合效果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</si>
  <si>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成長放緩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</si>
  <si>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持平；關係企業規則恢復；</t>
    </r>
    <r>
      <rPr>
        <b val="true"/>
        <sz val="11"/>
        <rFont val="Cambria"/>
        <family val="0"/>
        <charset val="1"/>
      </rPr>
      <t xml:space="preserve">AGS</t>
    </r>
    <r>
      <rPr>
        <b val="true"/>
        <sz val="11"/>
        <rFont val="Noto Sans CJK SC"/>
        <family val="2"/>
      </rPr>
      <t xml:space="preserve">、顯示器放緩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</si>
  <si>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</si>
  <si>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</si>
  <si>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</si>
  <si>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</si>
  <si>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</si>
  <si>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</si>
  <si>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</si>
  <si>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</si>
  <si>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</si>
  <si>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</si>
  <si>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</si>
  <si>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</si>
  <si>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</si>
  <si>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</si>
  <si>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</si>
  <si>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定義（自算）：日曆年底收盤價（未調整股利）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月結束的會計年度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，與模型對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套用倍數的口徑一致）；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口徑另列對照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</si>
  <si>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102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</si>
  <si>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（會計年度，美元）— 兩個口徑、兩個來源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</si>
  <si>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月底結束）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</si>
  <si>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</si>
  <si>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</si>
  <si>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</si>
  <si>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兩來源差距</t>
    </r>
  </si>
  <si>
    <t xml:space="preserve">FY2016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</si>
  <si>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2016-11</t>
    </r>
    <r>
      <rPr>
        <sz val="11"/>
        <color theme="1"/>
        <rFont val="Noto Sans CJK SC"/>
        <family val="2"/>
      </rPr>
      <t xml:space="preserve">）</t>
    </r>
  </si>
  <si>
    <t xml:space="preserve">FY2017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</si>
  <si>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比較數）；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</t>
    </r>
  </si>
  <si>
    <t xml:space="preserve">FY2018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</si>
  <si>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採用）</t>
    </r>
  </si>
  <si>
    <t xml:space="preserve">FY2019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</si>
  <si>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比較數）</t>
    </r>
  </si>
  <si>
    <t xml:space="preserve">FY2020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</si>
  <si>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</t>
    </r>
  </si>
  <si>
    <t xml:space="preserve">FY2021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</si>
  <si>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</t>
    </r>
  </si>
  <si>
    <t xml:space="preserve">FY2022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</si>
  <si>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比較數）</t>
    </r>
  </si>
  <si>
    <t xml:space="preserve">FY2023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</si>
  <si>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</t>
    </r>
  </si>
  <si>
    <t xml:space="preserve">FY2024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</si>
  <si>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比較數）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</si>
  <si>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stockanalysis 8.66</t>
    </r>
  </si>
  <si>
    <r>
      <rPr>
        <sz val="11"/>
        <color theme="1"/>
        <rFont val="Noto Sans CJK SC"/>
        <family val="2"/>
      </rPr>
      <t xml:space="preserve">規則用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、公司指引、共識同口徑）。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的第二來源：未找到（各資料商多列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兩來源除 </t>
    </r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重編）外相同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</si>
  <si>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</si>
  <si>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</si>
  <si>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</si>
  <si>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non-GAAP EPS FY(t)</t>
  </si>
  <si>
    <t xml:space="preserve">GAAP EPS FY(t)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</si>
  <si>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</si>
  <si>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</si>
  <si>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</si>
  <si>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GAAP − cmc</t>
    </r>
  </si>
  <si>
    <r>
      <rPr>
        <b val="true"/>
        <sz val="11"/>
        <rFont val="Noto Sans CJK SC"/>
        <family val="2"/>
      </rPr>
      <t xml:space="preserve">股利調整後收盤（</t>
    </r>
    <r>
      <rPr>
        <b val="true"/>
        <sz val="11"/>
        <rFont val="Cambria"/>
        <family val="0"/>
        <charset val="1"/>
      </rPr>
      <t xml:space="preserve">statmuse</t>
    </r>
    <r>
      <rPr>
        <b val="true"/>
        <sz val="11"/>
        <rFont val="Noto Sans CJK SC"/>
        <family val="2"/>
      </rPr>
      <t xml:space="preserve">）</t>
    </r>
  </si>
  <si>
    <t xml:space="preserve">來源／說明</t>
  </si>
  <si>
    <r>
      <rPr>
        <sz val="11"/>
        <color theme="1"/>
        <rFont val="Noto Sans CJK SC"/>
        <family val="2"/>
      </rPr>
      <t xml:space="preserve">輔助：不含 </t>
    </r>
    <r>
      <rPr>
        <sz val="11"/>
        <color theme="1"/>
        <rFont val="Calibri"/>
        <family val="2"/>
        <charset val="1"/>
      </rPr>
      <t xml:space="preserve">2018</t>
    </r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</si>
  <si>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</si>
  <si>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</si>
  <si>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</si>
  <si>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</si>
  <si>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FY2018 non-GAAP EPS 4.45 </t>
    </r>
    <r>
      <rPr>
        <sz val="11"/>
        <color theme="1"/>
        <rFont val="Noto Sans CJK SC"/>
        <family val="2"/>
      </rPr>
      <t xml:space="preserve">為當年高峰（稅改後）→ </t>
    </r>
    <r>
      <rPr>
        <sz val="11"/>
        <color theme="1"/>
        <rFont val="Calibri"/>
        <family val="2"/>
        <charset val="1"/>
      </rPr>
      <t xml:space="preserve">P/E 7.4 </t>
    </r>
    <r>
      <rPr>
        <sz val="11"/>
        <color theme="1"/>
        <rFont val="Noto Sans CJK SC"/>
        <family val="2"/>
      </rPr>
      <t xml:space="preserve">為極端低值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</si>
  <si>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</si>
  <si>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</si>
  <si>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</si>
  <si>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</si>
  <si>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</si>
  <si>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</si>
  <si>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</si>
  <si>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256.08</t>
    </r>
    <r>
      <rPr>
        <sz val="11"/>
        <color theme="1"/>
        <rFont val="Noto Sans CJK SC"/>
        <family val="2"/>
      </rPr>
      <t xml:space="preserve">（股利調整後）；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未調整 </t>
    </r>
    <r>
      <rPr>
        <sz val="11"/>
        <color theme="1"/>
        <rFont val="Calibri"/>
        <family val="2"/>
        <charset val="1"/>
      </rPr>
      <t xml:space="preserve">256.99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</si>
  <si>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AMAT Price History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，未調整股利）；來源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年底收盤（股利調整後，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）——兩者比值 </t>
    </r>
    <r>
      <rPr>
        <sz val="11"/>
        <color theme="1"/>
        <rFont val="Calibri"/>
        <family val="2"/>
        <charset val="1"/>
      </rPr>
      <t xml:space="preserve">0.90–1.00 </t>
    </r>
    <r>
      <rPr>
        <sz val="11"/>
        <color theme="1"/>
        <rFont val="Noto Sans CJK SC"/>
        <family val="2"/>
      </rPr>
      <t xml:space="preserve">隨年份遞增，符合股利調整，故未調整價可信；</t>
    </r>
    <r>
      <rPr>
        <sz val="11"/>
        <color theme="1"/>
        <rFont val="Calibri"/>
        <family val="2"/>
        <charset val="1"/>
      </rPr>
      <t xml:space="preserve">2021–2024 </t>
    </r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的年底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TTM </t>
    </r>
    <r>
      <rPr>
        <sz val="11"/>
        <color theme="1"/>
        <rFont val="Noto Sans CJK SC"/>
        <family val="2"/>
      </rPr>
      <t xml:space="preserve">口徑，與自算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欄（−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+2.0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</si>
  <si>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</si>
  <si>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</si>
  <si>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（自算；規則用）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</si>
  <si>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（自算；參考）</t>
    </r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</si>
  <si>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</si>
  <si>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</si>
  <si>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</si>
  <si>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</si>
  <si>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</si>
  <si>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</si>
  <si>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</si>
  <si>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</si>
  <si>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</si>
  <si>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敏感度：去掉 </t>
    </r>
    <r>
      <rPr>
        <b val="true"/>
        <sz val="11"/>
        <rFont val="Cambria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年（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極端低值 </t>
    </r>
    <r>
      <rPr>
        <b val="true"/>
        <sz val="11"/>
        <rFont val="Cambria"/>
        <family val="0"/>
        <charset val="1"/>
      </rPr>
      <t xml:space="preserve">7.4</t>
    </r>
    <r>
      <rPr>
        <b val="true"/>
        <sz val="11"/>
        <rFont val="Noto Sans CJK SC"/>
        <family val="2"/>
      </rPr>
      <t xml:space="preserve">）後的分位（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年）</t>
    </r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</si>
  <si>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（不含 </t>
    </r>
    <r>
      <rPr>
        <b val="true"/>
        <sz val="11"/>
        <rFont val="Cambria"/>
        <family val="0"/>
        <charset val="1"/>
      </rPr>
      <t xml:space="preserve">2018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</si>
  <si>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舊法：規則值情境加權（參考）（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</si>
  <si>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r>
      <rPr>
        <b val="true"/>
        <sz val="11"/>
        <rFont val="Noto Sans CJK SC"/>
        <family val="2"/>
      </rPr>
      <t xml:space="preserve">規則值情境加權價（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</si>
  <si>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</si>
  <si>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</si>
  <si>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</si>
  <si>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</si>
  <si>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F68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2028 +12.7%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+5.9%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</si>
  <si>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</si>
  <si>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F75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成長放緩）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</si>
  <si>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</si>
  <si>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F82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、顯示器放緩）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</si>
  <si>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</si>
  <si>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</si>
  <si>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</si>
  <si>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non-GAAP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（自算）依設備股共用循環規則取分位（見頂＝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分位；見頂年讀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即本模型三個設備市場情境（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年極端低值（</t>
    </r>
    <r>
      <rPr>
        <sz val="11"/>
        <color theme="1"/>
        <rFont val="Calibri"/>
        <family val="2"/>
        <charset val="1"/>
      </rPr>
      <t xml:space="preserve">7.4x</t>
    </r>
    <r>
      <rPr>
        <sz val="11"/>
        <color theme="1"/>
        <rFont val="Noto Sans CJK SC"/>
        <family val="2"/>
      </rPr>
      <t xml:space="preserve">），去掉後分位略高（第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節敏感度），目標價可能略偏低。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</si>
  <si>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</si>
  <si>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</si>
  <si>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</si>
  <si>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</si>
  <si>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</si>
  <si>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</si>
  <si>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</si>
  <si>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</si>
  <si>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</si>
  <si>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</si>
  <si>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</si>
  <si>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</si>
  <si>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</si>
  <si>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</si>
  <si>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</si>
  <si>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</si>
  <si>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</si>
  <si>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</si>
  <si>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</si>
  <si>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</si>
  <si>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</si>
  <si>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</si>
  <si>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</si>
  <si>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</si>
  <si>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</si>
  <si>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21.39x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</si>
  <si>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</si>
  <si>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接近（其遠期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月或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</si>
  <si>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Q1–Q3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</si>
  <si>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TTM P/E 32.54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</si>
  <si>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</si>
  <si>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t xml:space="preserve">三情境相同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</si>
  <si>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</si>
  <si>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</si>
  <si>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</si>
  <si>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</si>
  <si>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</si>
  <si>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</si>
  <si>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</si>
  <si>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</si>
  <si>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</si>
  <si>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</si>
  <si>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</si>
  <si>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</si>
  <si>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</si>
  <si>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</si>
  <si>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</si>
  <si>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</si>
  <si>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</si>
  <si>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</si>
  <si>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</si>
  <si>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</si>
  <si>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</si>
  <si>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</si>
  <si>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11–10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大致對齊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</si>
  <si>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</si>
  <si>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</si>
  <si>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</si>
  <si>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</si>
  <si>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</si>
  <si>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</si>
  <si>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</si>
  <si>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</si>
  <si>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</si>
  <si>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</si>
  <si>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</si>
  <si>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</si>
  <si>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</si>
  <si>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</si>
  <si>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</si>
  <si>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</si>
  <si>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</si>
  <si>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</si>
  <si>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</si>
  <si>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</si>
  <si>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</si>
  <si>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前段設備同業：科林研發、科磊、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</si>
  <si>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</si>
  <si>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11–10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</si>
  <si>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</si>
  <si>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</si>
  <si>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</si>
  <si>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</si>
  <si>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</si>
  <si>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</si>
  <si>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</si>
  <si>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</si>
  <si>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</si>
  <si>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</si>
  <si>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</si>
  <si>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</si>
  <si>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</si>
  <si>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18.49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</si>
  <si>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</si>
  <si>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</si>
  <si>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</si>
  <si>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</si>
  <si>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</si>
  <si>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</si>
  <si>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：科林研發、科磊、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FY2028 EPS</t>
    </r>
    <r>
      <rPr>
        <sz val="11"/>
        <color theme="1"/>
        <rFont val="Noto Sans CJK SC"/>
        <family val="2"/>
      </rPr>
      <t xml:space="preserve">。偏誤：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略高於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，偏高估；十年平均淨利率為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</si>
  <si>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、第四季年化。只作事後對照，不為對上數字而調整參數。差距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</si>
  <si>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</si>
  <si>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</si>
  <si>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</si>
  <si>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</si>
  <si>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</si>
  <si>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</si>
  <si>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</si>
  <si>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</si>
  <si>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，資料更新 </t>
    </r>
    <r>
      <rPr>
        <b val="true"/>
        <sz val="11"/>
        <rFont val="Cambria"/>
        <family val="0"/>
        <charset val="1"/>
      </rPr>
      <t xml:space="preserve">2026-10-16</t>
    </r>
    <r>
      <rPr>
        <b val="true"/>
        <sz val="1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</si>
  <si>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營收（錨點）</t>
    </r>
  </si>
  <si>
    <t xml:space="preserve">stockanalysis</t>
  </si>
  <si>
    <t xml:space="preserve">錨點＝前三季實績＋第四季指引中點，非模型預測</t>
  </si>
  <si>
    <r>
      <rPr>
        <sz val="11"/>
        <color theme="1"/>
        <rFont val="Calibri"/>
        <family val="2"/>
        <charset val="1"/>
      </rPr>
      <t xml:space="preserve">FY2026 non-GAAP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</si>
  <si>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</si>
  <si>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</si>
  <si>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第四季年化（</t>
    </r>
    <r>
      <rPr>
        <b val="true"/>
        <sz val="11"/>
        <rFont val="Cambria"/>
        <family val="0"/>
        <charset val="1"/>
      </rPr>
      <t xml:space="preserve">FY2026 Q4 </t>
    </r>
    <r>
      <rPr>
        <b val="true"/>
        <sz val="11"/>
        <rFont val="Noto Sans CJK SC"/>
        <family val="2"/>
      </rPr>
      <t xml:space="preserve">指引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FY2027 </t>
    </r>
    <r>
      <rPr>
        <b val="true"/>
        <sz val="1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</si>
  <si>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</si>
  <si>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模型若接近第四季年化，代表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各季大致持平於第四季水準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</si>
  <si>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市場與公司說法</t>
    </r>
  </si>
  <si>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年增（重編口徑）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</si>
  <si>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</si>
  <si>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口徑差一季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</si>
  <si>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設備增量：設備市場模型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</si>
  <si>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法說；</t>
    </r>
    <r>
      <rPr>
        <sz val="11"/>
        <color theme="1"/>
        <rFont val="Calibri"/>
        <family val="2"/>
        <charset val="1"/>
      </rPr>
      <t xml:space="preserve">markets/equipment</t>
    </r>
  </si>
  <si>
    <r>
      <rPr>
        <sz val="11"/>
        <color theme="1"/>
        <rFont val="Noto Sans CJK SC"/>
        <family val="2"/>
      </rPr>
      <t xml:space="preserve">公司口徑含先進封裝與先進代工邏輯、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；模型 </t>
    </r>
    <r>
      <rPr>
        <sz val="11"/>
        <color theme="1"/>
        <rFont val="Calibri"/>
        <family val="2"/>
        <charset val="1"/>
      </rPr>
      <t xml:space="preserve">63% </t>
    </r>
    <r>
      <rPr>
        <sz val="11"/>
        <color theme="1"/>
        <rFont val="Noto Sans CJK SC"/>
        <family val="2"/>
      </rPr>
      <t xml:space="preserve">較低，代表公司看的成長更集中在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相關（只作對照，不改上游）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</si>
  <si>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</si>
  <si>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FY2026 ÷ SEMI </t>
    </r>
    <r>
      <rPr>
        <sz val="11"/>
        <color theme="1"/>
        <rFont val="Noto Sans CJK SC"/>
        <family val="2"/>
      </rPr>
      <t xml:space="preserve">晶圓前段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（隱含份額）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</si>
  <si>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</si>
  <si>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對設備市場模型的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口徑為 </t>
    </r>
    <r>
      <rPr>
        <sz val="11"/>
        <color theme="1"/>
        <rFont val="Calibri"/>
        <family val="2"/>
        <charset val="1"/>
      </rPr>
      <t xml:space="preserve">17.4%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較低，故對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的份額較高；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半導體系統另含先進封裝等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</si>
  <si>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</si>
  <si>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第四季指引占全年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</si>
  <si>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</si>
  <si>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年增見下一列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</si>
  <si>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</si>
  <si>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</si>
  <si>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</si>
  <si>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</si>
  <si>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</si>
  <si>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</si>
  <si>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</si>
  <si>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</si>
  <si>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</si>
  <si>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</si>
  <si>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</si>
  <si>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0.95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</si>
  <si>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（中國國產替代、競爭）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</si>
  <si>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1.05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</si>
  <si>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（環繞式閘極、背面供電、先進封裝）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</si>
  <si>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26%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</si>
  <si>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終端權重偏向代工邏輯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</si>
  <si>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</si>
  <si>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Noto Sans CJK SC"/>
        <family val="2"/>
      </rPr>
      <t xml:space="preserve">權重偏向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</si>
  <si>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1/12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</si>
  <si>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幾乎等於日曆年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</si>
  <si>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3/12</t>
    </r>
  </si>
  <si>
    <t xml:space="preserve">設備出貨領先一季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</si>
  <si>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75%</t>
    </r>
  </si>
  <si>
    <t xml:space="preserve">固定成本較多 → 毛利率對營收更敏感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</si>
  <si>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95%</t>
    </r>
  </si>
  <si>
    <t xml:space="preserve">幾乎全變動 → 毛利率接近持平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</si>
  <si>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</si>
  <si>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</si>
  <si>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</si>
  <si>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（費用隨營收擴張）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</si>
  <si>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</si>
  <si>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−4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</si>
  <si>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</si>
  <si>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+4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</si>
  <si>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／年</t>
    </r>
  </si>
  <si>
    <t xml:space="preserve">顯示器下滑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</si>
  <si>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</si>
  <si>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0.85</t>
    </r>
  </si>
  <si>
    <t xml:space="preserve">稅率上升</t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</si>
  <si>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錨點值</t>
    </r>
  </si>
  <si>
    <t xml:space="preserve">含稅務利益</t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</si>
  <si>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</si>
  <si>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2.5%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</si>
  <si>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</si>
  <si>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加上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的出口管制假設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</si>
  <si>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US$900M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</si>
  <si>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影響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</si>
  <si>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</si>
  <si>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中的中國部分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</si>
  <si>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</si>
  <si>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</si>
  <si>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11%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</si>
  <si>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</si>
  <si>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 7%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</si>
  <si>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5/6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，而設備市場三情境在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以前相同，所以市場情境對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最敏感的是份額、營業成本與營業費用的固定／變動拆分、出口管制。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</si>
  <si>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</si>
  <si>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1.05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</si>
  <si>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</si>
  <si>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</si>
  <si>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1/12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</si>
  <si>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3/12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</si>
  <si>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</si>
  <si>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95%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</si>
  <si>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</si>
  <si>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</si>
  <si>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</si>
  <si>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</si>
  <si>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</si>
  <si>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</si>
  <si>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</si>
  <si>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</si>
  <si>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</si>
  <si>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</si>
  <si>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US$600M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</si>
  <si>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US$900M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</si>
  <si>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</si>
  <si>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</si>
  <si>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</si>
  <si>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</si>
  <si>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</si>
  <si>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</si>
  <si>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</si>
  <si>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</si>
  <si>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</si>
  <si>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</si>
  <si>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</si>
  <si>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</si>
  <si>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</si>
  <si>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</si>
  <si>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</si>
  <si>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</si>
  <si>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</si>
  <si>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</si>
  <si>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</si>
  <si>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來源（公司新聞稿與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文件以網頁擷取工具讀取；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全文擷取在附註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前截斷，地區別與分部重編說明未能讀到）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</si>
  <si>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</si>
  <si>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https://ir.appliedmaterials.com/news-releases/news-release-details/applied-materials-announces-third-quarter-2026-results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</si>
  <si>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</si>
  <si>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https://ir.appliedmaterials.com/news-releases/news-release-details/applied-materials-announces-second-quarter-2026-results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</si>
  <si>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US$253M</t>
    </r>
    <r>
      <rPr>
        <sz val="11"/>
        <color theme="1"/>
        <rFont val="Noto Sans CJK SC"/>
        <family val="2"/>
      </rPr>
      <t xml:space="preserve">、分部重編）</t>
    </r>
  </si>
  <si>
    <t xml:space="preserve">https://ir.appliedmaterials.com/news-releases/news-release-details/applied-materials-announces-first-quarter-2026-results/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</si>
  <si>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附件，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</si>
  <si>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https://www.sec.gov/Archives/edgar/data/6951/000162828025051998/exhibit991q42025earningsre.htm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</si>
  <si>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關係企業規則影響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</si>
  <si>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https://www.sec.gov/Archives/edgar/data/6951/000162828025043753/amat-20250929.htm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</si>
  <si>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10-Q Q3 FY2026</t>
    </r>
    <r>
      <rPr>
        <sz val="11"/>
        <color theme="1"/>
        <rFont val="Noto Sans CJK SC"/>
        <family val="2"/>
      </rPr>
      <t xml:space="preserve">（封面流通股 </t>
    </r>
    <r>
      <rPr>
        <sz val="11"/>
        <color theme="1"/>
        <rFont val="Calibri"/>
        <family val="2"/>
        <charset val="1"/>
      </rPr>
      <t xml:space="preserve">793,597,443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</si>
  <si>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https://www.sec.gov/Archives/edgar/data/0000006951/000162828026058235/amat-20260726.htm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</si>
  <si>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10-Q </t>
    </r>
    <r>
      <rPr>
        <sz val="11"/>
        <color theme="1"/>
        <rFont val="Noto Sans CJK SC"/>
        <family val="2"/>
      </rPr>
      <t xml:space="preserve">分部附註（</t>
    </r>
    <r>
      <rPr>
        <sz val="11"/>
        <color theme="1"/>
        <rFont val="Calibri"/>
        <family val="2"/>
        <charset val="1"/>
      </rPr>
      <t xml:space="preserve">XBRL R21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</si>
  <si>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https://www.sec.gov/Archives/edgar/data/6951/000162828026009694/R21.htm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</si>
  <si>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</si>
  <si>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https://www.sec.gov/Archives/edgar/data/6951/000000695123000035/exhibit991q42023earningsre.htm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</si>
  <si>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 EPS</t>
    </r>
    <r>
      <rPr>
        <sz val="11"/>
        <color theme="1"/>
        <rFont val="Noto Sans CJK SC"/>
        <family val="2"/>
      </rPr>
      <t xml:space="preserve">）</t>
    </r>
  </si>
  <si>
    <t xml:space="preserve">https://investor.appliedmaterials.com/news-releases/news-release-details/applied-materials-announces-fourth-quarter-and-fiscal-year-2021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</si>
  <si>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</si>
  <si>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https://www.sec.gov/Archives/edgar/data/6951/000000695120000041/exhibit991q42020earnin.htm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</si>
  <si>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</si>
  <si>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https://www.sec.gov/Archives/edgar/data/0000006951/000000695118000032/exhibit991q42018earningsre.htm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</si>
  <si>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FY2016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</si>
  <si>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https://www.sec.gov/Archives/edgar/data/6951/000000695116000063/exhibit991earningsreleaseq.htm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</si>
  <si>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法說重點（第四季分部指引、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說法）</t>
    </r>
  </si>
  <si>
    <t xml:space="preserve">https://www.marketbeat.com/instant-alerts/applied-materials-q3-earnings-call-highlights-2026-08-13/</t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</si>
  <si>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法說重點（可能與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同源）</t>
    </r>
  </si>
  <si>
    <t xml:space="preserve">https://www.nasdaq.com/articles/applied-materials-q3-earnings-call-highlights</t>
  </si>
  <si>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暫停關係企業規則一年（</t>
    </r>
    <r>
      <rPr>
        <sz val="11"/>
        <color theme="1"/>
        <rFont val="Calibri"/>
        <family val="2"/>
        <charset val="1"/>
      </rPr>
      <t xml:space="preserve">2025-11-10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）</t>
    </r>
  </si>
  <si>
    <t xml:space="preserve">https://www.skadden.com/insights/publications/2025/11/bis-suspends-affiliates-rule-for-one-year-as-part-of-the-us-china-trade-deal</t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</si>
  <si>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可恢復</t>
    </r>
  </si>
  <si>
    <t xml:space="preserve">https://finance.yahoo.com/news/applied-materials-shares-drop-stringent-111350305.html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</si>
  <si>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：股價、市值、遠期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</si>
  <si>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</si>
  <si>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</si>
  <si>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https://stockanalysis.com/stocks/amat/forecast/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</si>
  <si>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：年度與季度財報（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對照）</t>
    </r>
  </si>
  <si>
    <t xml:space="preserve">https://stockanalysis.com/stocks/amat/financials/?p=quarterly</t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</si>
  <si>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：共識（過時，未採）</t>
    </r>
  </si>
  <si>
    <t xml:space="preserve">https://www.tickflow.io/stock/AMAT/forecast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</si>
  <si>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歷史（第二來源）</t>
    </r>
  </si>
  <si>
    <t xml:space="preserve">https://www.macrotrends.net/stocks/charts/AMAT/applied-materials/eps-earnings-per-share-diluted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</si>
  <si>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：年底收盤價（未調整與調整後）</t>
    </r>
  </si>
  <si>
    <t xml:space="preserve">https://www.digrin.com/stocks/detail/AMAT/price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</si>
  <si>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：年底收盤價（股利調整後）</t>
    </r>
  </si>
  <si>
    <t xml:space="preserve">https://www.statmuse.com/money/ask/applied-materials-closing-price-december-31-2019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</si>
  <si>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</si>
  <si>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https://companiesmarketcap.com/applied-materials/pe-ratio/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</si>
  <si>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tools/cycle_position.py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</si>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</sst>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%"/>
    <numFmt numFmtId="168" formatCode="0.00"/>
    <numFmt numFmtId="169" formatCode="0"/>
    <numFmt numFmtId="170" formatCode="0.000"/>
    <numFmt numFmtId="171" formatCode="0.0"/>
    <numFmt numFmtId="172" formatCode="#,##0.0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0" t="s">
        <v>10</v>
      </c>
    </row>
    <row r="15" customFormat="false" ht="17.15" hidden="false" customHeight="false" outlineLevel="0" collapsed="false">
      <c r="A15" s="5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5" t="s">
        <v>13</v>
      </c>
    </row>
    <row r="3" customFormat="false" ht="17.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customFormat="false" ht="17.15" hidden="false" customHeight="false" outlineLevel="0" collapsed="false">
      <c r="A4" s="1" t="s">
        <v>23</v>
      </c>
    </row>
    <row r="5" customFormat="false" ht="17.15" hidden="false" customHeight="false" outlineLevel="0" collapsed="false">
      <c r="A5" s="0" t="s">
        <v>24</v>
      </c>
      <c r="B5" s="5" t="s">
        <v>25</v>
      </c>
      <c r="C5" s="0" t="s">
        <v>26</v>
      </c>
      <c r="E5" s="7" t="n">
        <v>36.0323364171573</v>
      </c>
      <c r="G5" s="8" t="s">
        <v>27</v>
      </c>
      <c r="H5" s="8" t="s">
        <v>28</v>
      </c>
      <c r="I5" s="8" t="s">
        <v>29</v>
      </c>
    </row>
    <row r="6" customFormat="false" ht="17.15" hidden="false" customHeight="false" outlineLevel="0" collapsed="false">
      <c r="A6" s="0" t="s">
        <v>30</v>
      </c>
      <c r="B6" s="5" t="s">
        <v>31</v>
      </c>
      <c r="C6" s="0" t="s">
        <v>26</v>
      </c>
      <c r="E6" s="7" t="n">
        <v>50.3248433305299</v>
      </c>
      <c r="G6" s="8" t="s">
        <v>27</v>
      </c>
      <c r="H6" s="5" t="s">
        <v>32</v>
      </c>
    </row>
    <row r="7" customFormat="false" ht="17.15" hidden="false" customHeight="false" outlineLevel="0" collapsed="false">
      <c r="A7" s="0" t="s">
        <v>33</v>
      </c>
      <c r="B7" s="5" t="s">
        <v>34</v>
      </c>
      <c r="C7" s="0" t="s">
        <v>26</v>
      </c>
      <c r="E7" s="7" t="n">
        <v>60.7764307969723</v>
      </c>
      <c r="G7" s="8" t="s">
        <v>27</v>
      </c>
      <c r="H7" s="5" t="s">
        <v>32</v>
      </c>
    </row>
    <row r="8" customFormat="false" ht="17.15" hidden="false" customHeight="false" outlineLevel="0" collapsed="false">
      <c r="A8" s="0" t="s">
        <v>35</v>
      </c>
      <c r="B8" s="5" t="s">
        <v>36</v>
      </c>
      <c r="C8" s="0" t="s">
        <v>26</v>
      </c>
      <c r="E8" s="7" t="n">
        <v>70.01614526073</v>
      </c>
      <c r="G8" s="8" t="s">
        <v>27</v>
      </c>
      <c r="H8" s="5" t="s">
        <v>32</v>
      </c>
    </row>
    <row r="9" customFormat="false" ht="17.15" hidden="false" customHeight="false" outlineLevel="0" collapsed="false">
      <c r="A9" s="0" t="s">
        <v>37</v>
      </c>
      <c r="B9" s="5" t="s">
        <v>38</v>
      </c>
      <c r="C9" s="0" t="s">
        <v>26</v>
      </c>
      <c r="E9" s="7" t="n">
        <v>74.2094368815884</v>
      </c>
      <c r="G9" s="8" t="s">
        <v>27</v>
      </c>
      <c r="H9" s="5" t="s">
        <v>32</v>
      </c>
    </row>
    <row r="10" customFormat="false" ht="17.15" hidden="false" customHeight="false" outlineLevel="0" collapsed="false">
      <c r="A10" s="0" t="s">
        <v>39</v>
      </c>
      <c r="B10" s="5" t="s">
        <v>40</v>
      </c>
      <c r="C10" s="0" t="s">
        <v>26</v>
      </c>
      <c r="E10" s="7" t="n">
        <v>29.5690092514718</v>
      </c>
      <c r="G10" s="8" t="s">
        <v>27</v>
      </c>
      <c r="H10" s="8" t="s">
        <v>41</v>
      </c>
    </row>
    <row r="11" customFormat="false" ht="17.15" hidden="false" customHeight="false" outlineLevel="0" collapsed="false">
      <c r="A11" s="0" t="s">
        <v>42</v>
      </c>
      <c r="B11" s="5" t="s">
        <v>43</v>
      </c>
      <c r="C11" s="0" t="s">
        <v>26</v>
      </c>
      <c r="E11" s="7" t="n">
        <v>31.9345299915896</v>
      </c>
      <c r="G11" s="8" t="s">
        <v>27</v>
      </c>
      <c r="H11" s="5" t="s">
        <v>32</v>
      </c>
    </row>
    <row r="12" customFormat="false" ht="17.15" hidden="false" customHeight="false" outlineLevel="0" collapsed="false">
      <c r="A12" s="0" t="s">
        <v>44</v>
      </c>
      <c r="B12" s="5" t="s">
        <v>45</v>
      </c>
      <c r="C12" s="0" t="s">
        <v>26</v>
      </c>
      <c r="E12" s="7" t="n">
        <v>34.4892923909167</v>
      </c>
      <c r="G12" s="8" t="s">
        <v>27</v>
      </c>
      <c r="H12" s="5" t="s">
        <v>32</v>
      </c>
    </row>
    <row r="13" customFormat="false" ht="17.15" hidden="false" customHeight="false" outlineLevel="0" collapsed="false">
      <c r="A13" s="0" t="s">
        <v>46</v>
      </c>
      <c r="B13" s="5" t="s">
        <v>47</v>
      </c>
      <c r="C13" s="0" t="s">
        <v>26</v>
      </c>
      <c r="E13" s="7" t="n">
        <v>37.2484357821901</v>
      </c>
      <c r="G13" s="8" t="s">
        <v>27</v>
      </c>
      <c r="H13" s="5" t="s">
        <v>32</v>
      </c>
    </row>
    <row r="14" customFormat="false" ht="17.15" hidden="false" customHeight="false" outlineLevel="0" collapsed="false">
      <c r="A14" s="0" t="s">
        <v>48</v>
      </c>
      <c r="B14" s="5" t="s">
        <v>49</v>
      </c>
      <c r="C14" s="0" t="s">
        <v>26</v>
      </c>
      <c r="E14" s="7" t="n">
        <v>40.2283106447653</v>
      </c>
      <c r="G14" s="8" t="s">
        <v>27</v>
      </c>
      <c r="H14" s="5" t="s">
        <v>32</v>
      </c>
    </row>
    <row r="15" customFormat="false" ht="17.15" hidden="false" customHeight="false" outlineLevel="0" collapsed="false">
      <c r="A15" s="0" t="s">
        <v>50</v>
      </c>
      <c r="B15" s="5" t="s">
        <v>51</v>
      </c>
      <c r="C15" s="0" t="s">
        <v>26</v>
      </c>
      <c r="E15" s="7" t="n">
        <v>12.7467750295502</v>
      </c>
      <c r="G15" s="8" t="s">
        <v>27</v>
      </c>
      <c r="H15" s="8" t="s">
        <v>52</v>
      </c>
    </row>
    <row r="16" customFormat="false" ht="17.15" hidden="false" customHeight="false" outlineLevel="0" collapsed="false">
      <c r="A16" s="0" t="s">
        <v>53</v>
      </c>
      <c r="B16" s="5" t="s">
        <v>54</v>
      </c>
      <c r="C16" s="0" t="s">
        <v>26</v>
      </c>
      <c r="E16" s="7" t="n">
        <v>17.0278249760553</v>
      </c>
      <c r="G16" s="8" t="s">
        <v>27</v>
      </c>
      <c r="H16" s="5" t="s">
        <v>32</v>
      </c>
    </row>
    <row r="17" customFormat="false" ht="17.15" hidden="false" customHeight="false" outlineLevel="0" collapsed="false">
      <c r="A17" s="0" t="s">
        <v>55</v>
      </c>
      <c r="B17" s="5" t="s">
        <v>56</v>
      </c>
      <c r="C17" s="0" t="s">
        <v>26</v>
      </c>
      <c r="E17" s="7" t="n">
        <v>21.0229861332022</v>
      </c>
      <c r="G17" s="8" t="s">
        <v>27</v>
      </c>
      <c r="H17" s="5" t="s">
        <v>32</v>
      </c>
    </row>
    <row r="18" customFormat="false" ht="17.15" hidden="false" customHeight="false" outlineLevel="0" collapsed="false">
      <c r="A18" s="0" t="s">
        <v>57</v>
      </c>
      <c r="B18" s="5" t="s">
        <v>58</v>
      </c>
      <c r="C18" s="0" t="s">
        <v>26</v>
      </c>
      <c r="E18" s="7" t="n">
        <v>23.6218237993404</v>
      </c>
      <c r="G18" s="8" t="s">
        <v>27</v>
      </c>
      <c r="H18" s="5" t="s">
        <v>32</v>
      </c>
    </row>
    <row r="19" customFormat="false" ht="17.15" hidden="false" customHeight="false" outlineLevel="0" collapsed="false">
      <c r="A19" s="0" t="s">
        <v>59</v>
      </c>
      <c r="B19" s="5" t="s">
        <v>60</v>
      </c>
      <c r="C19" s="0" t="s">
        <v>26</v>
      </c>
      <c r="E19" s="7" t="n">
        <v>24.9603324658488</v>
      </c>
      <c r="G19" s="8" t="s">
        <v>27</v>
      </c>
      <c r="H19" s="5" t="s">
        <v>32</v>
      </c>
    </row>
    <row r="20" customFormat="false" ht="17.15" hidden="false" customHeight="false" outlineLevel="0" collapsed="false">
      <c r="A20" s="0" t="s">
        <v>61</v>
      </c>
      <c r="B20" s="0" t="s">
        <v>62</v>
      </c>
      <c r="C20" s="0" t="s">
        <v>26</v>
      </c>
      <c r="E20" s="7" t="n">
        <v>26.3761091658243</v>
      </c>
      <c r="G20" s="8" t="s">
        <v>27</v>
      </c>
      <c r="H20" s="8" t="s">
        <v>63</v>
      </c>
    </row>
    <row r="21" customFormat="false" ht="17.15" hidden="false" customHeight="false" outlineLevel="0" collapsed="false">
      <c r="A21" s="0" t="s">
        <v>64</v>
      </c>
      <c r="B21" s="0" t="s">
        <v>65</v>
      </c>
      <c r="C21" s="0" t="s">
        <v>26</v>
      </c>
      <c r="E21" s="7" t="n">
        <v>39.3659468014757</v>
      </c>
      <c r="G21" s="8" t="s">
        <v>27</v>
      </c>
      <c r="H21" s="5" t="s">
        <v>32</v>
      </c>
    </row>
    <row r="22" customFormat="false" ht="17.15" hidden="false" customHeight="false" outlineLevel="0" collapsed="false">
      <c r="A22" s="0" t="s">
        <v>66</v>
      </c>
      <c r="B22" s="0" t="s">
        <v>67</v>
      </c>
      <c r="C22" s="0" t="s">
        <v>26</v>
      </c>
      <c r="E22" s="7" t="n">
        <v>53.2587328153375</v>
      </c>
      <c r="G22" s="8" t="s">
        <v>27</v>
      </c>
      <c r="H22" s="5" t="s">
        <v>32</v>
      </c>
    </row>
    <row r="23" customFormat="false" ht="17.15" hidden="false" customHeight="false" outlineLevel="0" collapsed="false">
      <c r="A23" s="0" t="s">
        <v>68</v>
      </c>
      <c r="B23" s="0" t="s">
        <v>69</v>
      </c>
      <c r="C23" s="0" t="s">
        <v>26</v>
      </c>
      <c r="E23" s="7" t="n">
        <v>59.5608998372386</v>
      </c>
      <c r="G23" s="8" t="s">
        <v>27</v>
      </c>
      <c r="H23" s="5" t="s">
        <v>32</v>
      </c>
    </row>
    <row r="24" customFormat="false" ht="17.15" hidden="false" customHeight="false" outlineLevel="0" collapsed="false">
      <c r="A24" s="0" t="s">
        <v>70</v>
      </c>
      <c r="B24" s="0" t="s">
        <v>71</v>
      </c>
      <c r="C24" s="0" t="s">
        <v>26</v>
      </c>
      <c r="E24" s="7" t="n">
        <v>61.8312930912183</v>
      </c>
      <c r="G24" s="8" t="s">
        <v>27</v>
      </c>
      <c r="H24" s="5" t="s">
        <v>32</v>
      </c>
    </row>
    <row r="25" customFormat="false" ht="17.15" hidden="false" customHeight="false" outlineLevel="0" collapsed="false">
      <c r="A25" s="0" t="s">
        <v>72</v>
      </c>
      <c r="B25" s="0" t="s">
        <v>73</v>
      </c>
      <c r="C25" s="0" t="s">
        <v>26</v>
      </c>
      <c r="E25" s="7" t="n">
        <v>12.1726019800256</v>
      </c>
      <c r="G25" s="8" t="s">
        <v>27</v>
      </c>
      <c r="H25" s="8" t="s">
        <v>74</v>
      </c>
    </row>
    <row r="26" customFormat="false" ht="17.15" hidden="false" customHeight="false" outlineLevel="0" collapsed="false">
      <c r="A26" s="0" t="s">
        <v>75</v>
      </c>
      <c r="B26" s="0" t="s">
        <v>76</v>
      </c>
      <c r="C26" s="0" t="s">
        <v>26</v>
      </c>
      <c r="E26" s="7" t="n">
        <v>17.5039054704765</v>
      </c>
      <c r="G26" s="8" t="s">
        <v>27</v>
      </c>
      <c r="H26" s="5" t="s">
        <v>32</v>
      </c>
    </row>
    <row r="27" customFormat="false" ht="17.15" hidden="false" customHeight="false" outlineLevel="0" collapsed="false">
      <c r="A27" s="0" t="s">
        <v>77</v>
      </c>
      <c r="B27" s="0" t="s">
        <v>78</v>
      </c>
      <c r="C27" s="0" t="s">
        <v>26</v>
      </c>
      <c r="E27" s="7" t="n">
        <v>23.2480272411321</v>
      </c>
      <c r="G27" s="8" t="s">
        <v>27</v>
      </c>
      <c r="H27" s="5" t="s">
        <v>32</v>
      </c>
    </row>
    <row r="28" customFormat="false" ht="17.15" hidden="false" customHeight="false" outlineLevel="0" collapsed="false">
      <c r="A28" s="0" t="s">
        <v>79</v>
      </c>
      <c r="B28" s="0" t="s">
        <v>80</v>
      </c>
      <c r="C28" s="0" t="s">
        <v>26</v>
      </c>
      <c r="E28" s="7" t="n">
        <v>26.181321629459</v>
      </c>
      <c r="G28" s="8" t="s">
        <v>27</v>
      </c>
      <c r="H28" s="5" t="s">
        <v>32</v>
      </c>
    </row>
    <row r="29" customFormat="false" ht="17.15" hidden="false" customHeight="false" outlineLevel="0" collapsed="false">
      <c r="A29" s="0" t="s">
        <v>81</v>
      </c>
      <c r="B29" s="0" t="s">
        <v>82</v>
      </c>
      <c r="C29" s="0" t="s">
        <v>26</v>
      </c>
      <c r="E29" s="7" t="n">
        <v>27.674312771805</v>
      </c>
      <c r="G29" s="8" t="s">
        <v>27</v>
      </c>
      <c r="H29" s="5" t="s">
        <v>32</v>
      </c>
    </row>
    <row r="30" customFormat="false" ht="17.15" hidden="false" customHeight="false" outlineLevel="0" collapsed="false">
      <c r="A30" s="0" t="s">
        <v>83</v>
      </c>
      <c r="B30" s="5" t="s">
        <v>84</v>
      </c>
      <c r="C30" s="0" t="s">
        <v>26</v>
      </c>
      <c r="E30" s="7" t="n">
        <v>36.0323364171573</v>
      </c>
      <c r="G30" s="8" t="s">
        <v>27</v>
      </c>
      <c r="H30" s="8" t="s">
        <v>85</v>
      </c>
    </row>
    <row r="31" customFormat="false" ht="17.15" hidden="false" customHeight="false" outlineLevel="0" collapsed="false">
      <c r="A31" s="0" t="s">
        <v>86</v>
      </c>
      <c r="B31" s="5" t="s">
        <v>87</v>
      </c>
      <c r="C31" s="0" t="s">
        <v>26</v>
      </c>
      <c r="E31" s="7" t="n">
        <v>50.3248433305299</v>
      </c>
      <c r="G31" s="8" t="s">
        <v>27</v>
      </c>
      <c r="H31" s="5" t="s">
        <v>32</v>
      </c>
    </row>
    <row r="32" customFormat="false" ht="17.15" hidden="false" customHeight="false" outlineLevel="0" collapsed="false">
      <c r="A32" s="0" t="s">
        <v>88</v>
      </c>
      <c r="B32" s="5" t="s">
        <v>89</v>
      </c>
      <c r="C32" s="0" t="s">
        <v>26</v>
      </c>
      <c r="E32" s="7" t="n">
        <v>60.7764307969723</v>
      </c>
      <c r="G32" s="8" t="s">
        <v>27</v>
      </c>
      <c r="H32" s="5" t="s">
        <v>32</v>
      </c>
    </row>
    <row r="33" customFormat="false" ht="17.15" hidden="false" customHeight="false" outlineLevel="0" collapsed="false">
      <c r="A33" s="0" t="s">
        <v>90</v>
      </c>
      <c r="B33" s="5" t="s">
        <v>91</v>
      </c>
      <c r="C33" s="0" t="s">
        <v>26</v>
      </c>
      <c r="E33" s="7" t="n">
        <v>60.7764307969723</v>
      </c>
      <c r="G33" s="8" t="s">
        <v>27</v>
      </c>
      <c r="H33" s="5" t="s">
        <v>32</v>
      </c>
    </row>
    <row r="34" customFormat="false" ht="17.15" hidden="false" customHeight="false" outlineLevel="0" collapsed="false">
      <c r="A34" s="0" t="s">
        <v>92</v>
      </c>
      <c r="B34" s="5" t="s">
        <v>93</v>
      </c>
      <c r="C34" s="0" t="s">
        <v>26</v>
      </c>
      <c r="E34" s="7" t="n">
        <v>57.7376092571236</v>
      </c>
      <c r="G34" s="8" t="s">
        <v>27</v>
      </c>
      <c r="H34" s="5" t="s">
        <v>32</v>
      </c>
    </row>
    <row r="35" customFormat="false" ht="17.15" hidden="false" customHeight="false" outlineLevel="0" collapsed="false">
      <c r="A35" s="0" t="s">
        <v>94</v>
      </c>
      <c r="B35" s="5" t="s">
        <v>95</v>
      </c>
      <c r="C35" s="0" t="s">
        <v>26</v>
      </c>
      <c r="E35" s="7" t="n">
        <v>29.5690092514718</v>
      </c>
      <c r="G35" s="8" t="s">
        <v>27</v>
      </c>
      <c r="H35" s="8" t="s">
        <v>96</v>
      </c>
    </row>
    <row r="36" customFormat="false" ht="17.15" hidden="false" customHeight="false" outlineLevel="0" collapsed="false">
      <c r="A36" s="0" t="s">
        <v>97</v>
      </c>
      <c r="B36" s="5" t="s">
        <v>98</v>
      </c>
      <c r="C36" s="0" t="s">
        <v>26</v>
      </c>
      <c r="E36" s="7" t="n">
        <v>31.9345299915896</v>
      </c>
      <c r="G36" s="8" t="s">
        <v>27</v>
      </c>
      <c r="H36" s="5" t="s">
        <v>32</v>
      </c>
    </row>
    <row r="37" customFormat="false" ht="17.15" hidden="false" customHeight="false" outlineLevel="0" collapsed="false">
      <c r="A37" s="0" t="s">
        <v>99</v>
      </c>
      <c r="B37" s="5" t="s">
        <v>100</v>
      </c>
      <c r="C37" s="0" t="s">
        <v>26</v>
      </c>
      <c r="E37" s="7" t="n">
        <v>34.4892923909167</v>
      </c>
      <c r="G37" s="8" t="s">
        <v>27</v>
      </c>
      <c r="H37" s="5" t="s">
        <v>32</v>
      </c>
    </row>
    <row r="38" customFormat="false" ht="17.15" hidden="false" customHeight="false" outlineLevel="0" collapsed="false">
      <c r="A38" s="0" t="s">
        <v>101</v>
      </c>
      <c r="B38" s="5" t="s">
        <v>102</v>
      </c>
      <c r="C38" s="0" t="s">
        <v>26</v>
      </c>
      <c r="E38" s="7" t="n">
        <v>34.4892923909167</v>
      </c>
      <c r="G38" s="8" t="s">
        <v>27</v>
      </c>
      <c r="H38" s="5" t="s">
        <v>32</v>
      </c>
    </row>
    <row r="39" customFormat="false" ht="17.15" hidden="false" customHeight="false" outlineLevel="0" collapsed="false">
      <c r="A39" s="0" t="s">
        <v>103</v>
      </c>
      <c r="B39" s="5" t="s">
        <v>104</v>
      </c>
      <c r="C39" s="0" t="s">
        <v>26</v>
      </c>
      <c r="E39" s="7" t="n">
        <v>32.7648277713709</v>
      </c>
      <c r="G39" s="8" t="s">
        <v>27</v>
      </c>
      <c r="H39" s="5" t="s">
        <v>32</v>
      </c>
    </row>
    <row r="40" customFormat="false" ht="17.15" hidden="false" customHeight="false" outlineLevel="0" collapsed="false">
      <c r="A40" s="0" t="s">
        <v>105</v>
      </c>
      <c r="B40" s="5" t="s">
        <v>106</v>
      </c>
      <c r="C40" s="0" t="s">
        <v>26</v>
      </c>
      <c r="E40" s="7" t="n">
        <v>12.7467750295502</v>
      </c>
      <c r="G40" s="8" t="s">
        <v>27</v>
      </c>
      <c r="H40" s="8" t="s">
        <v>107</v>
      </c>
    </row>
    <row r="41" customFormat="false" ht="17.15" hidden="false" customHeight="false" outlineLevel="0" collapsed="false">
      <c r="A41" s="0" t="s">
        <v>108</v>
      </c>
      <c r="B41" s="5" t="s">
        <v>109</v>
      </c>
      <c r="C41" s="0" t="s">
        <v>26</v>
      </c>
      <c r="E41" s="7" t="n">
        <v>17.0278249760553</v>
      </c>
      <c r="G41" s="8" t="s">
        <v>27</v>
      </c>
      <c r="H41" s="5" t="s">
        <v>32</v>
      </c>
    </row>
    <row r="42" customFormat="false" ht="17.15" hidden="false" customHeight="false" outlineLevel="0" collapsed="false">
      <c r="A42" s="0" t="s">
        <v>110</v>
      </c>
      <c r="B42" s="5" t="s">
        <v>111</v>
      </c>
      <c r="C42" s="0" t="s">
        <v>26</v>
      </c>
      <c r="E42" s="7" t="n">
        <v>21.0229861332022</v>
      </c>
      <c r="G42" s="8" t="s">
        <v>27</v>
      </c>
      <c r="H42" s="5" t="s">
        <v>32</v>
      </c>
    </row>
    <row r="43" customFormat="false" ht="17.15" hidden="false" customHeight="false" outlineLevel="0" collapsed="false">
      <c r="A43" s="0" t="s">
        <v>112</v>
      </c>
      <c r="B43" s="5" t="s">
        <v>113</v>
      </c>
      <c r="C43" s="0" t="s">
        <v>26</v>
      </c>
      <c r="E43" s="7" t="n">
        <v>21.0229861332022</v>
      </c>
      <c r="G43" s="8" t="s">
        <v>27</v>
      </c>
      <c r="H43" s="5" t="s">
        <v>32</v>
      </c>
    </row>
    <row r="44" customFormat="false" ht="17.15" hidden="false" customHeight="false" outlineLevel="0" collapsed="false">
      <c r="A44" s="0" t="s">
        <v>114</v>
      </c>
      <c r="B44" s="5" t="s">
        <v>115</v>
      </c>
      <c r="C44" s="0" t="s">
        <v>26</v>
      </c>
      <c r="E44" s="7" t="n">
        <v>19.9718368265421</v>
      </c>
      <c r="G44" s="8" t="s">
        <v>27</v>
      </c>
      <c r="H44" s="5" t="s">
        <v>32</v>
      </c>
    </row>
    <row r="45" customFormat="false" ht="17.15" hidden="false" customHeight="false" outlineLevel="0" collapsed="false">
      <c r="A45" s="0" t="s">
        <v>116</v>
      </c>
      <c r="B45" s="0" t="s">
        <v>117</v>
      </c>
      <c r="C45" s="0" t="s">
        <v>26</v>
      </c>
      <c r="E45" s="7" t="n">
        <v>26.3761091658243</v>
      </c>
      <c r="G45" s="8" t="s">
        <v>27</v>
      </c>
      <c r="H45" s="8" t="s">
        <v>118</v>
      </c>
    </row>
    <row r="46" customFormat="false" ht="17.15" hidden="false" customHeight="false" outlineLevel="0" collapsed="false">
      <c r="A46" s="0" t="s">
        <v>119</v>
      </c>
      <c r="B46" s="0" t="s">
        <v>120</v>
      </c>
      <c r="C46" s="0" t="s">
        <v>26</v>
      </c>
      <c r="E46" s="7" t="n">
        <v>39.3659468014757</v>
      </c>
      <c r="G46" s="8" t="s">
        <v>27</v>
      </c>
      <c r="H46" s="5" t="s">
        <v>32</v>
      </c>
    </row>
    <row r="47" customFormat="false" ht="17.15" hidden="false" customHeight="false" outlineLevel="0" collapsed="false">
      <c r="A47" s="0" t="s">
        <v>121</v>
      </c>
      <c r="B47" s="0" t="s">
        <v>122</v>
      </c>
      <c r="C47" s="0" t="s">
        <v>26</v>
      </c>
      <c r="E47" s="7" t="n">
        <v>53.2587328153375</v>
      </c>
      <c r="G47" s="8" t="s">
        <v>27</v>
      </c>
      <c r="H47" s="5" t="s">
        <v>32</v>
      </c>
    </row>
    <row r="48" customFormat="false" ht="17.15" hidden="false" customHeight="false" outlineLevel="0" collapsed="false">
      <c r="A48" s="0" t="s">
        <v>123</v>
      </c>
      <c r="B48" s="0" t="s">
        <v>124</v>
      </c>
      <c r="C48" s="0" t="s">
        <v>26</v>
      </c>
      <c r="E48" s="7" t="n">
        <v>53.2587328153375</v>
      </c>
      <c r="G48" s="8" t="s">
        <v>27</v>
      </c>
      <c r="H48" s="5" t="s">
        <v>32</v>
      </c>
    </row>
    <row r="49" customFormat="false" ht="17.15" hidden="false" customHeight="false" outlineLevel="0" collapsed="false">
      <c r="A49" s="0" t="s">
        <v>125</v>
      </c>
      <c r="B49" s="0" t="s">
        <v>126</v>
      </c>
      <c r="C49" s="0" t="s">
        <v>26</v>
      </c>
      <c r="E49" s="7" t="n">
        <v>50.5957961745707</v>
      </c>
      <c r="G49" s="8" t="s">
        <v>27</v>
      </c>
      <c r="H49" s="5" t="s">
        <v>32</v>
      </c>
    </row>
    <row r="50" customFormat="false" ht="17.15" hidden="false" customHeight="false" outlineLevel="0" collapsed="false">
      <c r="A50" s="0" t="s">
        <v>127</v>
      </c>
      <c r="B50" s="0" t="s">
        <v>128</v>
      </c>
      <c r="C50" s="0" t="s">
        <v>26</v>
      </c>
      <c r="E50" s="7" t="n">
        <v>12.1726019800256</v>
      </c>
      <c r="G50" s="8" t="s">
        <v>27</v>
      </c>
      <c r="H50" s="8" t="s">
        <v>129</v>
      </c>
    </row>
    <row r="51" customFormat="false" ht="17.15" hidden="false" customHeight="false" outlineLevel="0" collapsed="false">
      <c r="A51" s="0" t="s">
        <v>130</v>
      </c>
      <c r="B51" s="0" t="s">
        <v>131</v>
      </c>
      <c r="C51" s="0" t="s">
        <v>26</v>
      </c>
      <c r="E51" s="7" t="n">
        <v>17.5039054704765</v>
      </c>
      <c r="G51" s="8" t="s">
        <v>27</v>
      </c>
      <c r="H51" s="5" t="s">
        <v>32</v>
      </c>
    </row>
    <row r="52" customFormat="false" ht="17.15" hidden="false" customHeight="false" outlineLevel="0" collapsed="false">
      <c r="A52" s="0" t="s">
        <v>132</v>
      </c>
      <c r="B52" s="0" t="s">
        <v>133</v>
      </c>
      <c r="C52" s="0" t="s">
        <v>26</v>
      </c>
      <c r="E52" s="7" t="n">
        <v>23.2480272411321</v>
      </c>
      <c r="G52" s="8" t="s">
        <v>27</v>
      </c>
      <c r="H52" s="5" t="s">
        <v>32</v>
      </c>
    </row>
    <row r="53" customFormat="false" ht="17.15" hidden="false" customHeight="false" outlineLevel="0" collapsed="false">
      <c r="A53" s="0" t="s">
        <v>134</v>
      </c>
      <c r="B53" s="0" t="s">
        <v>135</v>
      </c>
      <c r="C53" s="0" t="s">
        <v>26</v>
      </c>
      <c r="E53" s="7" t="n">
        <v>23.2480272411321</v>
      </c>
      <c r="G53" s="8" t="s">
        <v>27</v>
      </c>
      <c r="H53" s="5" t="s">
        <v>32</v>
      </c>
    </row>
    <row r="54" customFormat="false" ht="17.15" hidden="false" customHeight="false" outlineLevel="0" collapsed="false">
      <c r="A54" s="0" t="s">
        <v>136</v>
      </c>
      <c r="B54" s="0" t="s">
        <v>137</v>
      </c>
      <c r="C54" s="0" t="s">
        <v>26</v>
      </c>
      <c r="E54" s="7" t="n">
        <v>22.0856258790755</v>
      </c>
      <c r="G54" s="8" t="s">
        <v>27</v>
      </c>
      <c r="H54" s="5" t="s">
        <v>32</v>
      </c>
    </row>
    <row r="55" customFormat="false" ht="17.15" hidden="false" customHeight="false" outlineLevel="0" collapsed="false">
      <c r="A55" s="0" t="s">
        <v>138</v>
      </c>
      <c r="B55" s="5" t="s">
        <v>139</v>
      </c>
      <c r="C55" s="0" t="s">
        <v>26</v>
      </c>
      <c r="E55" s="7" t="n">
        <v>36.0323364171573</v>
      </c>
      <c r="G55" s="8" t="s">
        <v>27</v>
      </c>
      <c r="H55" s="8" t="s">
        <v>140</v>
      </c>
    </row>
    <row r="56" customFormat="false" ht="17.15" hidden="false" customHeight="false" outlineLevel="0" collapsed="false">
      <c r="A56" s="0" t="s">
        <v>141</v>
      </c>
      <c r="B56" s="5" t="s">
        <v>142</v>
      </c>
      <c r="C56" s="0" t="s">
        <v>26</v>
      </c>
      <c r="E56" s="7" t="n">
        <v>50.3248433305299</v>
      </c>
      <c r="G56" s="8" t="s">
        <v>27</v>
      </c>
      <c r="H56" s="5" t="s">
        <v>32</v>
      </c>
    </row>
    <row r="57" customFormat="false" ht="17.15" hidden="false" customHeight="false" outlineLevel="0" collapsed="false">
      <c r="A57" s="0" t="s">
        <v>143</v>
      </c>
      <c r="B57" s="5" t="s">
        <v>144</v>
      </c>
      <c r="C57" s="0" t="s">
        <v>26</v>
      </c>
      <c r="E57" s="7" t="n">
        <v>60.7764307969723</v>
      </c>
      <c r="G57" s="8" t="s">
        <v>27</v>
      </c>
      <c r="H57" s="5" t="s">
        <v>32</v>
      </c>
    </row>
    <row r="58" customFormat="false" ht="17.15" hidden="false" customHeight="false" outlineLevel="0" collapsed="false">
      <c r="A58" s="0" t="s">
        <v>145</v>
      </c>
      <c r="B58" s="5" t="s">
        <v>146</v>
      </c>
      <c r="C58" s="0" t="s">
        <v>26</v>
      </c>
      <c r="E58" s="7" t="n">
        <v>48.6211446375778</v>
      </c>
      <c r="G58" s="8" t="s">
        <v>27</v>
      </c>
      <c r="H58" s="5" t="s">
        <v>32</v>
      </c>
    </row>
    <row r="59" customFormat="false" ht="17.15" hidden="false" customHeight="false" outlineLevel="0" collapsed="false">
      <c r="A59" s="0" t="s">
        <v>147</v>
      </c>
      <c r="B59" s="5" t="s">
        <v>148</v>
      </c>
      <c r="C59" s="0" t="s">
        <v>26</v>
      </c>
      <c r="E59" s="7" t="n">
        <v>48.6211446375778</v>
      </c>
      <c r="G59" s="8" t="s">
        <v>27</v>
      </c>
      <c r="H59" s="5" t="s">
        <v>32</v>
      </c>
    </row>
    <row r="60" customFormat="false" ht="17.15" hidden="false" customHeight="false" outlineLevel="0" collapsed="false">
      <c r="A60" s="0" t="s">
        <v>149</v>
      </c>
      <c r="B60" s="5" t="s">
        <v>150</v>
      </c>
      <c r="C60" s="0" t="s">
        <v>26</v>
      </c>
      <c r="E60" s="7" t="n">
        <v>29.5690092514718</v>
      </c>
      <c r="G60" s="8" t="s">
        <v>27</v>
      </c>
      <c r="H60" s="8" t="s">
        <v>151</v>
      </c>
    </row>
    <row r="61" customFormat="false" ht="17.15" hidden="false" customHeight="false" outlineLevel="0" collapsed="false">
      <c r="A61" s="0" t="s">
        <v>152</v>
      </c>
      <c r="B61" s="5" t="s">
        <v>153</v>
      </c>
      <c r="C61" s="0" t="s">
        <v>26</v>
      </c>
      <c r="E61" s="7" t="n">
        <v>31.9345299915896</v>
      </c>
      <c r="G61" s="8" t="s">
        <v>27</v>
      </c>
      <c r="H61" s="5" t="s">
        <v>32</v>
      </c>
    </row>
    <row r="62" customFormat="false" ht="17.15" hidden="false" customHeight="false" outlineLevel="0" collapsed="false">
      <c r="A62" s="0" t="s">
        <v>154</v>
      </c>
      <c r="B62" s="5" t="s">
        <v>155</v>
      </c>
      <c r="C62" s="0" t="s">
        <v>26</v>
      </c>
      <c r="E62" s="7" t="n">
        <v>34.4892923909167</v>
      </c>
      <c r="G62" s="8" t="s">
        <v>27</v>
      </c>
      <c r="H62" s="5" t="s">
        <v>32</v>
      </c>
    </row>
    <row r="63" customFormat="false" ht="17.15" hidden="false" customHeight="false" outlineLevel="0" collapsed="false">
      <c r="A63" s="0" t="s">
        <v>156</v>
      </c>
      <c r="B63" s="5" t="s">
        <v>157</v>
      </c>
      <c r="C63" s="0" t="s">
        <v>26</v>
      </c>
      <c r="E63" s="7" t="n">
        <v>27.5914339127334</v>
      </c>
      <c r="G63" s="8" t="s">
        <v>27</v>
      </c>
      <c r="H63" s="5" t="s">
        <v>32</v>
      </c>
    </row>
    <row r="64" customFormat="false" ht="17.15" hidden="false" customHeight="false" outlineLevel="0" collapsed="false">
      <c r="A64" s="0" t="s">
        <v>158</v>
      </c>
      <c r="B64" s="5" t="s">
        <v>159</v>
      </c>
      <c r="C64" s="0" t="s">
        <v>26</v>
      </c>
      <c r="E64" s="7" t="n">
        <v>27.5914339127334</v>
      </c>
      <c r="G64" s="8" t="s">
        <v>27</v>
      </c>
      <c r="H64" s="5" t="s">
        <v>32</v>
      </c>
    </row>
    <row r="65" customFormat="false" ht="17.15" hidden="false" customHeight="false" outlineLevel="0" collapsed="false">
      <c r="A65" s="0" t="s">
        <v>160</v>
      </c>
      <c r="B65" s="5" t="s">
        <v>161</v>
      </c>
      <c r="C65" s="0" t="s">
        <v>26</v>
      </c>
      <c r="E65" s="7" t="n">
        <v>12.7467750295502</v>
      </c>
      <c r="G65" s="8" t="s">
        <v>27</v>
      </c>
      <c r="H65" s="8" t="s">
        <v>162</v>
      </c>
    </row>
    <row r="66" customFormat="false" ht="17.15" hidden="false" customHeight="false" outlineLevel="0" collapsed="false">
      <c r="A66" s="0" t="s">
        <v>163</v>
      </c>
      <c r="B66" s="5" t="s">
        <v>164</v>
      </c>
      <c r="C66" s="0" t="s">
        <v>26</v>
      </c>
      <c r="E66" s="7" t="n">
        <v>17.0278249760553</v>
      </c>
      <c r="G66" s="8" t="s">
        <v>27</v>
      </c>
      <c r="H66" s="5" t="s">
        <v>32</v>
      </c>
    </row>
    <row r="67" customFormat="false" ht="17.15" hidden="false" customHeight="false" outlineLevel="0" collapsed="false">
      <c r="A67" s="0" t="s">
        <v>165</v>
      </c>
      <c r="B67" s="5" t="s">
        <v>166</v>
      </c>
      <c r="C67" s="0" t="s">
        <v>26</v>
      </c>
      <c r="E67" s="7" t="n">
        <v>21.0229861332022</v>
      </c>
      <c r="G67" s="8" t="s">
        <v>27</v>
      </c>
      <c r="H67" s="5" t="s">
        <v>32</v>
      </c>
    </row>
    <row r="68" customFormat="false" ht="17.15" hidden="false" customHeight="false" outlineLevel="0" collapsed="false">
      <c r="A68" s="0" t="s">
        <v>167</v>
      </c>
      <c r="B68" s="5" t="s">
        <v>168</v>
      </c>
      <c r="C68" s="0" t="s">
        <v>26</v>
      </c>
      <c r="E68" s="7" t="n">
        <v>16.8183889065618</v>
      </c>
      <c r="G68" s="8" t="s">
        <v>27</v>
      </c>
      <c r="H68" s="5" t="s">
        <v>32</v>
      </c>
    </row>
    <row r="69" customFormat="false" ht="17.15" hidden="false" customHeight="false" outlineLevel="0" collapsed="false">
      <c r="A69" s="0" t="s">
        <v>169</v>
      </c>
      <c r="B69" s="5" t="s">
        <v>170</v>
      </c>
      <c r="C69" s="0" t="s">
        <v>26</v>
      </c>
      <c r="E69" s="7" t="n">
        <v>16.8183889065618</v>
      </c>
      <c r="G69" s="8" t="s">
        <v>27</v>
      </c>
      <c r="H69" s="5" t="s">
        <v>32</v>
      </c>
    </row>
    <row r="70" customFormat="false" ht="17.15" hidden="false" customHeight="false" outlineLevel="0" collapsed="false">
      <c r="A70" s="0" t="s">
        <v>171</v>
      </c>
      <c r="B70" s="0" t="s">
        <v>172</v>
      </c>
      <c r="C70" s="0" t="s">
        <v>26</v>
      </c>
      <c r="E70" s="7" t="n">
        <v>26.3761091658243</v>
      </c>
      <c r="G70" s="8" t="s">
        <v>27</v>
      </c>
      <c r="H70" s="8" t="s">
        <v>173</v>
      </c>
    </row>
    <row r="71" customFormat="false" ht="17.15" hidden="false" customHeight="false" outlineLevel="0" collapsed="false">
      <c r="A71" s="0" t="s">
        <v>174</v>
      </c>
      <c r="B71" s="0" t="s">
        <v>175</v>
      </c>
      <c r="C71" s="0" t="s">
        <v>26</v>
      </c>
      <c r="E71" s="7" t="n">
        <v>39.3659468014757</v>
      </c>
      <c r="G71" s="8" t="s">
        <v>27</v>
      </c>
      <c r="H71" s="5" t="s">
        <v>32</v>
      </c>
    </row>
    <row r="72" customFormat="false" ht="17.15" hidden="false" customHeight="false" outlineLevel="0" collapsed="false">
      <c r="A72" s="0" t="s">
        <v>176</v>
      </c>
      <c r="B72" s="0" t="s">
        <v>177</v>
      </c>
      <c r="C72" s="0" t="s">
        <v>26</v>
      </c>
      <c r="E72" s="7" t="n">
        <v>53.2587328153375</v>
      </c>
      <c r="G72" s="8" t="s">
        <v>27</v>
      </c>
      <c r="H72" s="5" t="s">
        <v>32</v>
      </c>
    </row>
    <row r="73" customFormat="false" ht="17.15" hidden="false" customHeight="false" outlineLevel="0" collapsed="false">
      <c r="A73" s="0" t="s">
        <v>178</v>
      </c>
      <c r="B73" s="0" t="s">
        <v>179</v>
      </c>
      <c r="C73" s="0" t="s">
        <v>26</v>
      </c>
      <c r="E73" s="7" t="n">
        <v>42.60698625227</v>
      </c>
      <c r="G73" s="8" t="s">
        <v>27</v>
      </c>
      <c r="H73" s="5" t="s">
        <v>32</v>
      </c>
    </row>
    <row r="74" customFormat="false" ht="17.15" hidden="false" customHeight="false" outlineLevel="0" collapsed="false">
      <c r="A74" s="0" t="s">
        <v>180</v>
      </c>
      <c r="B74" s="0" t="s">
        <v>181</v>
      </c>
      <c r="C74" s="0" t="s">
        <v>26</v>
      </c>
      <c r="E74" s="7" t="n">
        <v>42.60698625227</v>
      </c>
      <c r="G74" s="8" t="s">
        <v>27</v>
      </c>
      <c r="H74" s="5" t="s">
        <v>32</v>
      </c>
    </row>
    <row r="75" customFormat="false" ht="17.15" hidden="false" customHeight="false" outlineLevel="0" collapsed="false">
      <c r="A75" s="0" t="s">
        <v>182</v>
      </c>
      <c r="B75" s="0" t="s">
        <v>183</v>
      </c>
      <c r="C75" s="0" t="s">
        <v>26</v>
      </c>
      <c r="E75" s="7" t="n">
        <v>12.1726019800256</v>
      </c>
      <c r="G75" s="8" t="s">
        <v>27</v>
      </c>
      <c r="H75" s="8" t="s">
        <v>184</v>
      </c>
    </row>
    <row r="76" customFormat="false" ht="17.15" hidden="false" customHeight="false" outlineLevel="0" collapsed="false">
      <c r="A76" s="0" t="s">
        <v>185</v>
      </c>
      <c r="B76" s="0" t="s">
        <v>186</v>
      </c>
      <c r="C76" s="0" t="s">
        <v>26</v>
      </c>
      <c r="E76" s="7" t="n">
        <v>17.5039054704765</v>
      </c>
      <c r="G76" s="8" t="s">
        <v>27</v>
      </c>
      <c r="H76" s="5" t="s">
        <v>32</v>
      </c>
    </row>
    <row r="77" customFormat="false" ht="17.15" hidden="false" customHeight="false" outlineLevel="0" collapsed="false">
      <c r="A77" s="0" t="s">
        <v>187</v>
      </c>
      <c r="B77" s="0" t="s">
        <v>188</v>
      </c>
      <c r="C77" s="0" t="s">
        <v>26</v>
      </c>
      <c r="E77" s="7" t="n">
        <v>23.2480272411321</v>
      </c>
      <c r="G77" s="8" t="s">
        <v>27</v>
      </c>
      <c r="H77" s="5" t="s">
        <v>32</v>
      </c>
    </row>
    <row r="78" customFormat="false" ht="17.15" hidden="false" customHeight="false" outlineLevel="0" collapsed="false">
      <c r="A78" s="0" t="s">
        <v>189</v>
      </c>
      <c r="B78" s="0" t="s">
        <v>190</v>
      </c>
      <c r="C78" s="0" t="s">
        <v>26</v>
      </c>
      <c r="E78" s="7" t="n">
        <v>18.5984217929057</v>
      </c>
      <c r="G78" s="8" t="s">
        <v>27</v>
      </c>
      <c r="H78" s="5" t="s">
        <v>32</v>
      </c>
    </row>
    <row r="79" customFormat="false" ht="17.15" hidden="false" customHeight="false" outlineLevel="0" collapsed="false">
      <c r="A79" s="0" t="s">
        <v>191</v>
      </c>
      <c r="B79" s="0" t="s">
        <v>192</v>
      </c>
      <c r="C79" s="0" t="s">
        <v>26</v>
      </c>
      <c r="E79" s="7" t="n">
        <v>18.5984217929057</v>
      </c>
      <c r="G79" s="8" t="s">
        <v>27</v>
      </c>
      <c r="H79" s="5" t="s">
        <v>32</v>
      </c>
    </row>
    <row r="80" customFormat="false" ht="17.15" hidden="false" customHeight="false" outlineLevel="0" collapsed="false">
      <c r="A80" s="0" t="s">
        <v>193</v>
      </c>
      <c r="B80" s="5" t="s">
        <v>194</v>
      </c>
      <c r="C80" s="0" t="s">
        <v>195</v>
      </c>
      <c r="D80" s="7" t="n">
        <v>0.0833333333333333</v>
      </c>
      <c r="E80" s="7" t="n">
        <v>0.166666666666667</v>
      </c>
      <c r="F80" s="7" t="n">
        <v>0.25</v>
      </c>
      <c r="G80" s="8" t="s">
        <v>27</v>
      </c>
      <c r="H80" s="5" t="s">
        <v>196</v>
      </c>
      <c r="I80" s="5" t="s">
        <v>197</v>
      </c>
    </row>
    <row r="81" customFormat="false" ht="17.15" hidden="false" customHeight="false" outlineLevel="0" collapsed="false">
      <c r="A81" s="0" t="s">
        <v>198</v>
      </c>
      <c r="B81" s="0" t="s">
        <v>199</v>
      </c>
      <c r="C81" s="0" t="s">
        <v>26</v>
      </c>
      <c r="E81" s="7" t="n">
        <v>143.9</v>
      </c>
      <c r="G81" s="8" t="s">
        <v>200</v>
      </c>
      <c r="H81" s="8" t="s">
        <v>201</v>
      </c>
      <c r="I81" s="8" t="s">
        <v>202</v>
      </c>
    </row>
    <row r="82" customFormat="false" ht="17.15" hidden="false" customHeight="false" outlineLevel="0" collapsed="false">
      <c r="A82" s="0" t="s">
        <v>203</v>
      </c>
      <c r="B82" s="0" t="s">
        <v>204</v>
      </c>
      <c r="C82" s="0" t="s">
        <v>26</v>
      </c>
      <c r="E82" s="7" t="n">
        <v>78</v>
      </c>
      <c r="G82" s="8" t="s">
        <v>200</v>
      </c>
      <c r="H82" s="8" t="s">
        <v>205</v>
      </c>
      <c r="I82" s="8" t="s">
        <v>202</v>
      </c>
    </row>
    <row r="83" customFormat="false" ht="17.15" hidden="false" customHeight="false" outlineLevel="0" collapsed="false">
      <c r="A83" s="0" t="s">
        <v>206</v>
      </c>
      <c r="B83" s="0" t="s">
        <v>207</v>
      </c>
      <c r="C83" s="0" t="s">
        <v>26</v>
      </c>
      <c r="E83" s="7" t="n">
        <v>38.8</v>
      </c>
      <c r="G83" s="8" t="s">
        <v>200</v>
      </c>
      <c r="H83" s="8" t="s">
        <v>208</v>
      </c>
      <c r="I83" s="8" t="s">
        <v>202</v>
      </c>
    </row>
    <row r="84" customFormat="false" ht="17.15" hidden="false" customHeight="false" outlineLevel="0" collapsed="false">
      <c r="A84" s="0" t="s">
        <v>209</v>
      </c>
      <c r="B84" s="0" t="s">
        <v>210</v>
      </c>
      <c r="C84" s="0" t="s">
        <v>26</v>
      </c>
      <c r="E84" s="7" t="n">
        <v>13.9</v>
      </c>
      <c r="G84" s="8" t="s">
        <v>200</v>
      </c>
      <c r="H84" s="8" t="s">
        <v>211</v>
      </c>
      <c r="I84" s="8" t="s">
        <v>202</v>
      </c>
    </row>
    <row r="85" customFormat="false" ht="17.15" hidden="false" customHeight="false" outlineLevel="0" collapsed="false">
      <c r="A85" s="0" t="s">
        <v>212</v>
      </c>
      <c r="B85" s="5" t="s">
        <v>213</v>
      </c>
      <c r="C85" s="0" t="s">
        <v>195</v>
      </c>
      <c r="E85" s="7" t="n">
        <v>0.626860639170224</v>
      </c>
      <c r="G85" s="8" t="s">
        <v>27</v>
      </c>
      <c r="H85" s="8" t="s">
        <v>214</v>
      </c>
      <c r="I85" s="5" t="s">
        <v>215</v>
      </c>
    </row>
    <row r="86" customFormat="false" ht="17.15" hidden="false" customHeight="false" outlineLevel="0" collapsed="false">
      <c r="A86" s="0" t="s">
        <v>216</v>
      </c>
      <c r="B86" s="5" t="s">
        <v>217</v>
      </c>
      <c r="C86" s="0" t="s">
        <v>195</v>
      </c>
      <c r="E86" s="7" t="n">
        <v>0.8</v>
      </c>
      <c r="G86" s="8" t="s">
        <v>200</v>
      </c>
      <c r="H86" s="8" t="s">
        <v>218</v>
      </c>
      <c r="I86" s="8" t="s">
        <v>219</v>
      </c>
    </row>
    <row r="87" customFormat="false" ht="17.15" hidden="false" customHeight="false" outlineLevel="0" collapsed="false">
      <c r="A87" s="1" t="s">
        <v>220</v>
      </c>
    </row>
    <row r="88" customFormat="false" ht="17.15" hidden="false" customHeight="false" outlineLevel="0" collapsed="false">
      <c r="A88" s="0" t="s">
        <v>221</v>
      </c>
      <c r="B88" s="0" t="s">
        <v>222</v>
      </c>
      <c r="C88" s="0" t="s">
        <v>195</v>
      </c>
      <c r="D88" s="7" t="n">
        <v>0.26</v>
      </c>
      <c r="E88" s="7" t="n">
        <v>0.3</v>
      </c>
      <c r="F88" s="7" t="n">
        <v>0.34</v>
      </c>
      <c r="G88" s="8" t="s">
        <v>223</v>
      </c>
      <c r="H88" s="5" t="s">
        <v>224</v>
      </c>
      <c r="I88" s="5" t="s">
        <v>225</v>
      </c>
    </row>
    <row r="89" customFormat="false" ht="17.15" hidden="false" customHeight="false" outlineLevel="0" collapsed="false">
      <c r="A89" s="0" t="s">
        <v>226</v>
      </c>
      <c r="B89" s="0" t="s">
        <v>227</v>
      </c>
      <c r="C89" s="0" t="s">
        <v>195</v>
      </c>
      <c r="D89" s="7" t="n">
        <v>0.04</v>
      </c>
      <c r="E89" s="7" t="n">
        <v>0.06</v>
      </c>
      <c r="F89" s="7" t="n">
        <v>0.08</v>
      </c>
      <c r="G89" s="8" t="s">
        <v>223</v>
      </c>
      <c r="H89" s="8" t="s">
        <v>228</v>
      </c>
      <c r="I89" s="8" t="s">
        <v>229</v>
      </c>
    </row>
    <row r="90" customFormat="false" ht="17.15" hidden="false" customHeight="false" outlineLevel="0" collapsed="false">
      <c r="A90" s="0" t="s">
        <v>230</v>
      </c>
      <c r="B90" s="0" t="s">
        <v>231</v>
      </c>
      <c r="C90" s="0" t="s">
        <v>195</v>
      </c>
      <c r="D90" s="0" t="n">
        <f aca="false">(SUMPRODUCT(Q!G19:I19,Q!G4:I4)+q4_dr_lo*Q!J4)/an_ss</f>
        <v>0.282661061199416</v>
      </c>
      <c r="E90" s="0" t="n">
        <f aca="false">(SUMPRODUCT(Q!G19:I19,Q!G4:I4)+q4_dr*Q!J4)/an_ss</f>
        <v>0.294793442371189</v>
      </c>
      <c r="F90" s="0" t="n">
        <f aca="false">(SUMPRODUCT(Q!G19:I19,Q!G4:I4)+q4_dr_hi*Q!J4)/an_ss</f>
        <v>0.306925823542963</v>
      </c>
      <c r="G90" s="0" t="s">
        <v>27</v>
      </c>
      <c r="H90" s="0" t="s">
        <v>232</v>
      </c>
      <c r="I90" s="5" t="s">
        <v>233</v>
      </c>
    </row>
    <row r="91" customFormat="false" ht="17.15" hidden="false" customHeight="false" outlineLevel="0" collapsed="false">
      <c r="A91" s="0" t="s">
        <v>234</v>
      </c>
      <c r="B91" s="0" t="s">
        <v>235</v>
      </c>
      <c r="C91" s="0" t="s">
        <v>195</v>
      </c>
      <c r="E91" s="0" t="n">
        <f aca="false">(SUMPRODUCT(Q!G20:I20,Q!G4:I4)+q4_nd*Q!J4)/an_ss</f>
        <v>0.0541749212930968</v>
      </c>
      <c r="G91" s="0" t="s">
        <v>27</v>
      </c>
      <c r="H91" s="5" t="s">
        <v>32</v>
      </c>
      <c r="I91" s="0" t="s">
        <v>229</v>
      </c>
    </row>
    <row r="92" customFormat="false" ht="17.15" hidden="false" customHeight="false" outlineLevel="0" collapsed="false">
      <c r="A92" s="0" t="s">
        <v>236</v>
      </c>
      <c r="B92" s="0" t="s">
        <v>237</v>
      </c>
      <c r="C92" s="0" t="s">
        <v>195</v>
      </c>
      <c r="D92" s="0" t="n">
        <f aca="false">1-m_dr_lo-m_nd</f>
        <v>0.663164017507487</v>
      </c>
      <c r="E92" s="0" t="n">
        <f aca="false">1-m_dr-m_nd</f>
        <v>0.651031636335714</v>
      </c>
      <c r="F92" s="0" t="n">
        <f aca="false">1-m_dr_hi-m_nd</f>
        <v>0.638899255163941</v>
      </c>
      <c r="G92" s="0" t="s">
        <v>27</v>
      </c>
      <c r="H92" s="5" t="s">
        <v>238</v>
      </c>
      <c r="I92" s="5" t="s">
        <v>239</v>
      </c>
    </row>
    <row r="93" customFormat="false" ht="17.15" hidden="false" customHeight="false" outlineLevel="0" collapsed="false">
      <c r="A93" s="0" t="s">
        <v>240</v>
      </c>
      <c r="B93" s="5" t="s">
        <v>241</v>
      </c>
      <c r="C93" s="0" t="s">
        <v>242</v>
      </c>
      <c r="D93" s="7" t="n">
        <v>0.95</v>
      </c>
      <c r="E93" s="7" t="n">
        <v>1</v>
      </c>
      <c r="F93" s="7" t="n">
        <v>1.05</v>
      </c>
      <c r="G93" s="8" t="s">
        <v>223</v>
      </c>
      <c r="H93" s="5" t="s">
        <v>243</v>
      </c>
      <c r="I93" s="5" t="s">
        <v>244</v>
      </c>
    </row>
    <row r="94" customFormat="false" ht="17.15" hidden="false" customHeight="false" outlineLevel="0" collapsed="false">
      <c r="A94" s="1" t="s">
        <v>245</v>
      </c>
    </row>
    <row r="95" customFormat="false" ht="17.15" hidden="false" customHeight="false" outlineLevel="0" collapsed="false">
      <c r="A95" s="0" t="s">
        <v>246</v>
      </c>
      <c r="B95" s="0" t="s">
        <v>247</v>
      </c>
      <c r="C95" s="0" t="s">
        <v>248</v>
      </c>
      <c r="D95" s="7" t="n">
        <v>300</v>
      </c>
      <c r="E95" s="7" t="n">
        <v>600</v>
      </c>
      <c r="F95" s="7" t="n">
        <v>900</v>
      </c>
      <c r="G95" s="8" t="s">
        <v>200</v>
      </c>
      <c r="H95" s="8" t="s">
        <v>249</v>
      </c>
      <c r="I95" s="8" t="s">
        <v>250</v>
      </c>
    </row>
    <row r="96" customFormat="false" ht="17.15" hidden="false" customHeight="false" outlineLevel="0" collapsed="false">
      <c r="A96" s="0" t="s">
        <v>251</v>
      </c>
      <c r="B96" s="5" t="s">
        <v>252</v>
      </c>
      <c r="C96" s="0" t="s">
        <v>253</v>
      </c>
      <c r="E96" s="7" t="n">
        <v>0</v>
      </c>
      <c r="G96" s="8" t="s">
        <v>223</v>
      </c>
      <c r="H96" s="5" t="s">
        <v>254</v>
      </c>
      <c r="I96" s="8" t="s">
        <v>255</v>
      </c>
    </row>
    <row r="97" customFormat="false" ht="17.15" hidden="false" customHeight="false" outlineLevel="0" collapsed="false">
      <c r="A97" s="0" t="s">
        <v>256</v>
      </c>
      <c r="B97" s="5" t="s">
        <v>257</v>
      </c>
      <c r="C97" s="0" t="s">
        <v>253</v>
      </c>
      <c r="E97" s="7" t="n">
        <v>0</v>
      </c>
      <c r="G97" s="8" t="s">
        <v>223</v>
      </c>
      <c r="H97" s="5" t="s">
        <v>32</v>
      </c>
      <c r="I97" s="8" t="s">
        <v>255</v>
      </c>
    </row>
    <row r="98" customFormat="false" ht="17.15" hidden="false" customHeight="false" outlineLevel="0" collapsed="false">
      <c r="A98" s="0" t="s">
        <v>258</v>
      </c>
      <c r="B98" s="5" t="s">
        <v>259</v>
      </c>
      <c r="C98" s="0" t="s">
        <v>253</v>
      </c>
      <c r="E98" s="7" t="n">
        <v>1</v>
      </c>
      <c r="G98" s="8" t="s">
        <v>223</v>
      </c>
      <c r="H98" s="5" t="s">
        <v>32</v>
      </c>
      <c r="I98" s="8" t="s">
        <v>255</v>
      </c>
    </row>
    <row r="99" customFormat="false" ht="17.15" hidden="false" customHeight="false" outlineLevel="0" collapsed="false">
      <c r="A99" s="0" t="s">
        <v>260</v>
      </c>
      <c r="B99" s="5" t="s">
        <v>261</v>
      </c>
      <c r="C99" s="0" t="s">
        <v>195</v>
      </c>
      <c r="E99" s="0" t="n">
        <f aca="false">SUM(Q!G21:I21)/SUM(Q!G7:I7)</f>
        <v>0.278237716853185</v>
      </c>
      <c r="G99" s="0" t="s">
        <v>27</v>
      </c>
      <c r="H99" s="0" t="s">
        <v>262</v>
      </c>
      <c r="I99" s="5" t="s">
        <v>263</v>
      </c>
    </row>
    <row r="100" customFormat="false" ht="17.15" hidden="false" customHeight="false" outlineLevel="0" collapsed="false">
      <c r="A100" s="0" t="s">
        <v>264</v>
      </c>
      <c r="B100" s="5" t="s">
        <v>265</v>
      </c>
      <c r="C100" s="0" t="s">
        <v>195</v>
      </c>
      <c r="D100" s="7" t="n">
        <v>0</v>
      </c>
      <c r="E100" s="7" t="n">
        <v>0</v>
      </c>
      <c r="F100" s="7" t="n">
        <v>0.4</v>
      </c>
      <c r="G100" s="8" t="s">
        <v>223</v>
      </c>
      <c r="H100" s="5" t="s">
        <v>266</v>
      </c>
      <c r="I100" s="8" t="s">
        <v>267</v>
      </c>
    </row>
    <row r="101" customFormat="false" ht="17.15" hidden="false" customHeight="false" outlineLevel="0" collapsed="false">
      <c r="A101" s="1" t="s">
        <v>268</v>
      </c>
    </row>
    <row r="102" customFormat="false" ht="17.15" hidden="false" customHeight="false" outlineLevel="0" collapsed="false">
      <c r="A102" s="0" t="s">
        <v>269</v>
      </c>
      <c r="B102" s="0" t="s">
        <v>270</v>
      </c>
      <c r="C102" s="0" t="s">
        <v>195</v>
      </c>
      <c r="D102" s="7" t="n">
        <v>0.11</v>
      </c>
      <c r="E102" s="7" t="n">
        <v>0.15</v>
      </c>
      <c r="F102" s="7" t="n">
        <v>0.19</v>
      </c>
      <c r="G102" s="8" t="s">
        <v>200</v>
      </c>
      <c r="H102" s="8" t="s">
        <v>271</v>
      </c>
      <c r="I102" s="5" t="s">
        <v>272</v>
      </c>
    </row>
    <row r="103" customFormat="false" ht="17.15" hidden="false" customHeight="false" outlineLevel="0" collapsed="false">
      <c r="A103" s="0" t="s">
        <v>273</v>
      </c>
      <c r="B103" s="0" t="s">
        <v>274</v>
      </c>
      <c r="C103" s="0" t="s">
        <v>195</v>
      </c>
      <c r="D103" s="7" t="n">
        <v>0.07</v>
      </c>
      <c r="E103" s="7" t="n">
        <v>0.11</v>
      </c>
      <c r="F103" s="7" t="n">
        <v>0.15</v>
      </c>
      <c r="G103" s="8" t="s">
        <v>223</v>
      </c>
      <c r="H103" s="5" t="s">
        <v>275</v>
      </c>
      <c r="I103" s="5" t="s">
        <v>272</v>
      </c>
    </row>
    <row r="104" customFormat="false" ht="17.15" hidden="false" customHeight="false" outlineLevel="0" collapsed="false">
      <c r="A104" s="0" t="s">
        <v>276</v>
      </c>
      <c r="B104" s="0" t="s">
        <v>277</v>
      </c>
      <c r="C104" s="0" t="s">
        <v>195</v>
      </c>
      <c r="D104" s="7" t="n">
        <v>0.03</v>
      </c>
      <c r="E104" s="7" t="n">
        <v>0.07</v>
      </c>
      <c r="F104" s="7" t="n">
        <v>0.11</v>
      </c>
      <c r="G104" s="8" t="s">
        <v>223</v>
      </c>
      <c r="H104" s="5" t="s">
        <v>275</v>
      </c>
      <c r="I104" s="5" t="s">
        <v>272</v>
      </c>
    </row>
    <row r="105" customFormat="false" ht="17.15" hidden="false" customHeight="false" outlineLevel="0" collapsed="false">
      <c r="A105" s="0" t="s">
        <v>278</v>
      </c>
      <c r="B105" s="5" t="s">
        <v>279</v>
      </c>
      <c r="C105" s="0" t="s">
        <v>195</v>
      </c>
      <c r="D105" s="7" t="n">
        <v>-0.1</v>
      </c>
      <c r="E105" s="7" t="n">
        <v>0</v>
      </c>
      <c r="F105" s="7" t="n">
        <v>0.1</v>
      </c>
      <c r="G105" s="8" t="s">
        <v>223</v>
      </c>
      <c r="H105" s="5" t="s">
        <v>280</v>
      </c>
      <c r="I105" s="8" t="s">
        <v>281</v>
      </c>
    </row>
    <row r="106" customFormat="false" ht="17.15" hidden="false" customHeight="false" outlineLevel="0" collapsed="false">
      <c r="A106" s="0" t="s">
        <v>282</v>
      </c>
      <c r="B106" s="5" t="s">
        <v>283</v>
      </c>
      <c r="C106" s="0" t="s">
        <v>195</v>
      </c>
      <c r="D106" s="7" t="n">
        <v>-0.15</v>
      </c>
      <c r="E106" s="7" t="n">
        <v>-0.05</v>
      </c>
      <c r="F106" s="7" t="n">
        <v>0.05</v>
      </c>
      <c r="G106" s="8" t="s">
        <v>223</v>
      </c>
      <c r="H106" s="5" t="s">
        <v>280</v>
      </c>
      <c r="I106" s="8" t="s">
        <v>281</v>
      </c>
    </row>
    <row r="107" customFormat="false" ht="17.15" hidden="false" customHeight="false" outlineLevel="0" collapsed="false">
      <c r="A107" s="0" t="s">
        <v>284</v>
      </c>
      <c r="B107" s="5" t="s">
        <v>285</v>
      </c>
      <c r="C107" s="0" t="s">
        <v>195</v>
      </c>
      <c r="D107" s="7" t="n">
        <v>-0.2</v>
      </c>
      <c r="E107" s="7" t="n">
        <v>-0.1</v>
      </c>
      <c r="F107" s="7" t="n">
        <v>0</v>
      </c>
      <c r="G107" s="8" t="s">
        <v>223</v>
      </c>
      <c r="H107" s="5" t="s">
        <v>280</v>
      </c>
      <c r="I107" s="8" t="s">
        <v>281</v>
      </c>
    </row>
    <row r="108" customFormat="false" ht="17.15" hidden="false" customHeight="false" outlineLevel="0" collapsed="false">
      <c r="A108" s="1" t="s">
        <v>286</v>
      </c>
    </row>
    <row r="109" customFormat="false" ht="17.15" hidden="false" customHeight="false" outlineLevel="0" collapsed="false">
      <c r="A109" s="0" t="s">
        <v>287</v>
      </c>
      <c r="B109" s="5" t="s">
        <v>288</v>
      </c>
      <c r="C109" s="0" t="s">
        <v>248</v>
      </c>
      <c r="E109" s="0" t="n">
        <f aca="false">a25_rev-a25_gp</f>
        <v>14529.148</v>
      </c>
      <c r="G109" s="0" t="s">
        <v>27</v>
      </c>
      <c r="H109" s="0" t="s">
        <v>289</v>
      </c>
      <c r="I109" s="0" t="s">
        <v>229</v>
      </c>
    </row>
    <row r="110" customFormat="false" ht="17.15" hidden="false" customHeight="false" outlineLevel="0" collapsed="false">
      <c r="A110" s="0" t="s">
        <v>290</v>
      </c>
      <c r="B110" s="5" t="s">
        <v>291</v>
      </c>
      <c r="C110" s="0" t="s">
        <v>248</v>
      </c>
      <c r="E110" s="0" t="n">
        <f aca="false">an_rev-an_gp</f>
        <v>17129.148</v>
      </c>
      <c r="G110" s="0" t="s">
        <v>27</v>
      </c>
      <c r="H110" s="0" t="s">
        <v>292</v>
      </c>
      <c r="I110" s="0" t="s">
        <v>229</v>
      </c>
    </row>
    <row r="111" customFormat="false" ht="17.15" hidden="false" customHeight="false" outlineLevel="0" collapsed="false">
      <c r="A111" s="0" t="s">
        <v>293</v>
      </c>
      <c r="B111" s="5" t="s">
        <v>294</v>
      </c>
      <c r="C111" s="0" t="s">
        <v>195</v>
      </c>
      <c r="E111" s="0" t="n">
        <f aca="false">(cogs26-cogs25)/(an_rev-a25_rev)</f>
        <v>0.439263389085994</v>
      </c>
      <c r="G111" s="0" t="s">
        <v>27</v>
      </c>
      <c r="H111" s="5" t="s">
        <v>295</v>
      </c>
      <c r="I111" s="5" t="s">
        <v>296</v>
      </c>
    </row>
    <row r="112" customFormat="false" ht="17.15" hidden="false" customHeight="false" outlineLevel="0" collapsed="false">
      <c r="A112" s="0" t="s">
        <v>297</v>
      </c>
      <c r="B112" s="5" t="s">
        <v>298</v>
      </c>
      <c r="C112" s="0" t="s">
        <v>248</v>
      </c>
      <c r="E112" s="0" t="n">
        <f aca="false">cogs25-cv*a25_rev</f>
        <v>2068.12417840852</v>
      </c>
      <c r="G112" s="0" t="s">
        <v>27</v>
      </c>
      <c r="H112" s="0" t="s">
        <v>299</v>
      </c>
      <c r="I112" s="0" t="s">
        <v>229</v>
      </c>
    </row>
    <row r="113" customFormat="false" ht="17.15" hidden="false" customHeight="false" outlineLevel="0" collapsed="false">
      <c r="A113" s="0" t="s">
        <v>300</v>
      </c>
      <c r="B113" s="5" t="s">
        <v>301</v>
      </c>
      <c r="C113" s="0" t="s">
        <v>195</v>
      </c>
      <c r="D113" s="7" t="n">
        <v>0.75</v>
      </c>
      <c r="E113" s="8" t="n">
        <f aca="false">cv*a25_rev/cogs25</f>
        <v>0.857656885427245</v>
      </c>
      <c r="F113" s="7" t="n">
        <v>0.95</v>
      </c>
      <c r="G113" s="8" t="s">
        <v>27</v>
      </c>
      <c r="H113" s="5" t="s">
        <v>302</v>
      </c>
      <c r="I113" s="5" t="s">
        <v>303</v>
      </c>
    </row>
    <row r="114" customFormat="false" ht="17.15" hidden="false" customHeight="false" outlineLevel="0" collapsed="false">
      <c r="A114" s="0" t="s">
        <v>304</v>
      </c>
      <c r="B114" s="5" t="s">
        <v>305</v>
      </c>
      <c r="C114" s="0" t="s">
        <v>248</v>
      </c>
      <c r="E114" s="0" t="n">
        <f aca="false">a25_gp-a25_oi</f>
        <v>5276.852</v>
      </c>
      <c r="G114" s="0" t="s">
        <v>27</v>
      </c>
      <c r="H114" s="0" t="s">
        <v>289</v>
      </c>
      <c r="I114" s="0" t="s">
        <v>229</v>
      </c>
    </row>
    <row r="115" customFormat="false" ht="17.15" hidden="false" customHeight="false" outlineLevel="0" collapsed="false">
      <c r="A115" s="0" t="s">
        <v>306</v>
      </c>
      <c r="B115" s="5" t="s">
        <v>307</v>
      </c>
      <c r="C115" s="0" t="s">
        <v>248</v>
      </c>
      <c r="E115" s="9" t="n">
        <f aca="false">an_opx</f>
        <v>5832.852</v>
      </c>
      <c r="G115" s="8" t="s">
        <v>27</v>
      </c>
      <c r="H115" s="8" t="s">
        <v>289</v>
      </c>
      <c r="I115" s="5" t="s">
        <v>308</v>
      </c>
    </row>
    <row r="116" customFormat="false" ht="17.15" hidden="false" customHeight="false" outlineLevel="0" collapsed="false">
      <c r="A116" s="0" t="s">
        <v>309</v>
      </c>
      <c r="B116" s="5" t="s">
        <v>310</v>
      </c>
      <c r="C116" s="0" t="s">
        <v>195</v>
      </c>
      <c r="E116" s="0" t="n">
        <f aca="false">(opex26-opex25)/(an_rev-a25_rev)</f>
        <v>0.0939347862814666</v>
      </c>
      <c r="G116" s="0" t="s">
        <v>27</v>
      </c>
      <c r="H116" s="5" t="s">
        <v>311</v>
      </c>
      <c r="I116" s="0" t="s">
        <v>229</v>
      </c>
    </row>
    <row r="117" customFormat="false" ht="17.15" hidden="false" customHeight="false" outlineLevel="0" collapsed="false">
      <c r="A117" s="0" t="s">
        <v>312</v>
      </c>
      <c r="B117" s="5" t="s">
        <v>313</v>
      </c>
      <c r="C117" s="0" t="s">
        <v>248</v>
      </c>
      <c r="E117" s="0" t="n">
        <f aca="false">opex25-ov*a25_rev</f>
        <v>2612.10998276735</v>
      </c>
      <c r="G117" s="0" t="s">
        <v>27</v>
      </c>
      <c r="H117" s="0" t="s">
        <v>314</v>
      </c>
      <c r="I117" s="0" t="s">
        <v>229</v>
      </c>
    </row>
    <row r="118" customFormat="false" ht="17.15" hidden="false" customHeight="false" outlineLevel="0" collapsed="false">
      <c r="A118" s="0" t="s">
        <v>315</v>
      </c>
      <c r="B118" s="5" t="s">
        <v>316</v>
      </c>
      <c r="C118" s="0" t="s">
        <v>195</v>
      </c>
      <c r="D118" s="7" t="n">
        <v>0.35</v>
      </c>
      <c r="E118" s="8" t="n">
        <f aca="false">ov*a25_rev/opex25</f>
        <v>0.504987067522956</v>
      </c>
      <c r="F118" s="7" t="n">
        <v>0.75</v>
      </c>
      <c r="G118" s="8" t="s">
        <v>27</v>
      </c>
      <c r="H118" s="5" t="s">
        <v>302</v>
      </c>
      <c r="I118" s="5" t="s">
        <v>317</v>
      </c>
    </row>
    <row r="119" customFormat="false" ht="17.15" hidden="false" customHeight="false" outlineLevel="0" collapsed="false">
      <c r="A119" s="0" t="s">
        <v>318</v>
      </c>
      <c r="B119" s="0" t="s">
        <v>319</v>
      </c>
      <c r="C119" s="0" t="s">
        <v>242</v>
      </c>
      <c r="D119" s="7" t="n">
        <v>0.85</v>
      </c>
      <c r="E119" s="8" t="n">
        <f aca="false">a25_ni/a25_oi</f>
        <v>0.888460640037375</v>
      </c>
      <c r="F119" s="8" t="n">
        <f aca="false">an_ni/an_oi</f>
        <v>0.898889183222958</v>
      </c>
      <c r="G119" s="8" t="s">
        <v>27</v>
      </c>
      <c r="H119" s="5" t="s">
        <v>320</v>
      </c>
      <c r="I119" s="5" t="s">
        <v>321</v>
      </c>
    </row>
    <row r="120" customFormat="false" ht="17.15" hidden="false" customHeight="false" outlineLevel="0" collapsed="false">
      <c r="A120" s="0" t="s">
        <v>322</v>
      </c>
      <c r="B120" s="0" t="s">
        <v>323</v>
      </c>
      <c r="C120" s="5" t="s">
        <v>324</v>
      </c>
      <c r="D120" s="7" t="n">
        <v>793</v>
      </c>
      <c r="E120" s="7" t="n">
        <v>796</v>
      </c>
      <c r="F120" s="7" t="n">
        <v>800</v>
      </c>
      <c r="G120" s="8" t="s">
        <v>223</v>
      </c>
      <c r="H120" s="8" t="s">
        <v>325</v>
      </c>
      <c r="I120" s="5" t="s">
        <v>326</v>
      </c>
    </row>
    <row r="121" customFormat="false" ht="17.15" hidden="false" customHeight="false" outlineLevel="0" collapsed="false">
      <c r="A121" s="0" t="s">
        <v>327</v>
      </c>
      <c r="B121" s="0" t="s">
        <v>328</v>
      </c>
      <c r="C121" s="0" t="s">
        <v>195</v>
      </c>
      <c r="D121" s="7" t="n">
        <v>0</v>
      </c>
      <c r="E121" s="7" t="n">
        <v>0.01</v>
      </c>
      <c r="F121" s="7" t="n">
        <v>0.025</v>
      </c>
      <c r="G121" s="8" t="s">
        <v>223</v>
      </c>
      <c r="H121" s="8" t="s">
        <v>329</v>
      </c>
      <c r="I121" s="8" t="s">
        <v>229</v>
      </c>
    </row>
    <row r="122" customFormat="false" ht="17.15" hidden="false" customHeight="false" outlineLevel="0" collapsed="false">
      <c r="A122" s="1" t="s">
        <v>330</v>
      </c>
    </row>
    <row r="123" customFormat="false" ht="17.15" hidden="false" customHeight="false" outlineLevel="0" collapsed="false">
      <c r="A123" s="0" t="s">
        <v>331</v>
      </c>
      <c r="B123" s="5" t="s">
        <v>332</v>
      </c>
      <c r="C123" s="0" t="s">
        <v>248</v>
      </c>
      <c r="D123" s="7" t="n">
        <v>9750</v>
      </c>
      <c r="E123" s="7" t="n">
        <v>10250</v>
      </c>
      <c r="F123" s="7" t="n">
        <v>10750</v>
      </c>
      <c r="G123" s="8" t="s">
        <v>200</v>
      </c>
      <c r="H123" s="8" t="s">
        <v>333</v>
      </c>
      <c r="I123" s="8" t="s">
        <v>334</v>
      </c>
    </row>
    <row r="124" customFormat="false" ht="17.15" hidden="false" customHeight="false" outlineLevel="0" collapsed="false">
      <c r="A124" s="0" t="s">
        <v>335</v>
      </c>
      <c r="B124" s="5" t="s">
        <v>336</v>
      </c>
      <c r="C124" s="0" t="s">
        <v>337</v>
      </c>
      <c r="D124" s="7" t="n">
        <v>3.82</v>
      </c>
      <c r="E124" s="7" t="n">
        <v>4.02</v>
      </c>
      <c r="F124" s="7" t="n">
        <v>4.22</v>
      </c>
      <c r="G124" s="8" t="s">
        <v>200</v>
      </c>
      <c r="H124" s="5" t="s">
        <v>32</v>
      </c>
      <c r="I124" s="5" t="s">
        <v>338</v>
      </c>
    </row>
    <row r="125" customFormat="false" ht="17.15" hidden="false" customHeight="false" outlineLevel="0" collapsed="false">
      <c r="A125" s="0" t="s">
        <v>339</v>
      </c>
      <c r="B125" s="5" t="s">
        <v>340</v>
      </c>
      <c r="C125" s="0" t="s">
        <v>248</v>
      </c>
      <c r="E125" s="7" t="n">
        <v>7900</v>
      </c>
      <c r="G125" s="8" t="s">
        <v>200</v>
      </c>
      <c r="H125" s="8" t="s">
        <v>341</v>
      </c>
      <c r="I125" s="8" t="s">
        <v>342</v>
      </c>
    </row>
    <row r="126" customFormat="false" ht="17.15" hidden="false" customHeight="false" outlineLevel="0" collapsed="false">
      <c r="A126" s="0" t="s">
        <v>343</v>
      </c>
      <c r="B126" s="5" t="s">
        <v>344</v>
      </c>
      <c r="C126" s="0" t="s">
        <v>248</v>
      </c>
      <c r="E126" s="7" t="n">
        <v>1840</v>
      </c>
      <c r="G126" s="8" t="s">
        <v>200</v>
      </c>
      <c r="H126" s="5" t="s">
        <v>32</v>
      </c>
      <c r="I126" s="5" t="s">
        <v>32</v>
      </c>
    </row>
    <row r="127" customFormat="false" ht="17.15" hidden="false" customHeight="false" outlineLevel="0" collapsed="false">
      <c r="A127" s="0" t="s">
        <v>345</v>
      </c>
      <c r="B127" s="5" t="s">
        <v>346</v>
      </c>
      <c r="C127" s="0" t="s">
        <v>248</v>
      </c>
      <c r="E127" s="7" t="n">
        <v>510</v>
      </c>
      <c r="G127" s="8" t="s">
        <v>200</v>
      </c>
      <c r="H127" s="5" t="s">
        <v>32</v>
      </c>
      <c r="I127" s="5" t="s">
        <v>32</v>
      </c>
    </row>
    <row r="128" customFormat="false" ht="17.15" hidden="false" customHeight="false" outlineLevel="0" collapsed="false">
      <c r="A128" s="0" t="s">
        <v>347</v>
      </c>
      <c r="B128" s="5" t="s">
        <v>348</v>
      </c>
      <c r="C128" s="0" t="s">
        <v>195</v>
      </c>
      <c r="E128" s="7" t="n">
        <v>0.504</v>
      </c>
      <c r="G128" s="8" t="s">
        <v>200</v>
      </c>
      <c r="H128" s="5" t="s">
        <v>32</v>
      </c>
      <c r="I128" s="5" t="s">
        <v>32</v>
      </c>
    </row>
    <row r="129" customFormat="false" ht="17.15" hidden="false" customHeight="false" outlineLevel="0" collapsed="false">
      <c r="A129" s="0" t="s">
        <v>349</v>
      </c>
      <c r="B129" s="5" t="s">
        <v>350</v>
      </c>
      <c r="C129" s="0" t="s">
        <v>248</v>
      </c>
      <c r="E129" s="7" t="n">
        <v>1580</v>
      </c>
      <c r="G129" s="8" t="s">
        <v>200</v>
      </c>
      <c r="H129" s="5" t="s">
        <v>32</v>
      </c>
      <c r="I129" s="5" t="s">
        <v>32</v>
      </c>
    </row>
    <row r="130" customFormat="false" ht="17.15" hidden="false" customHeight="false" outlineLevel="0" collapsed="false">
      <c r="A130" s="0" t="s">
        <v>351</v>
      </c>
      <c r="B130" s="5" t="s">
        <v>352</v>
      </c>
      <c r="C130" s="0" t="s">
        <v>195</v>
      </c>
      <c r="E130" s="7" t="n">
        <v>0.62</v>
      </c>
      <c r="G130" s="8" t="s">
        <v>200</v>
      </c>
      <c r="H130" s="5" t="s">
        <v>353</v>
      </c>
      <c r="I130" s="5" t="s">
        <v>354</v>
      </c>
    </row>
    <row r="131" customFormat="false" ht="17.15" hidden="false" customHeight="false" outlineLevel="0" collapsed="false">
      <c r="A131" s="0" t="s">
        <v>355</v>
      </c>
      <c r="B131" s="5" t="s">
        <v>356</v>
      </c>
      <c r="C131" s="0" t="s">
        <v>195</v>
      </c>
      <c r="E131" s="7" t="n">
        <v>0.22</v>
      </c>
      <c r="G131" s="8" t="s">
        <v>200</v>
      </c>
      <c r="H131" s="5" t="s">
        <v>357</v>
      </c>
      <c r="I131" s="5" t="s">
        <v>32</v>
      </c>
    </row>
    <row r="132" customFormat="false" ht="17.15" hidden="false" customHeight="false" outlineLevel="0" collapsed="false">
      <c r="A132" s="0" t="s">
        <v>358</v>
      </c>
      <c r="B132" s="5" t="s">
        <v>359</v>
      </c>
      <c r="C132" s="0" t="s">
        <v>248</v>
      </c>
      <c r="E132" s="7" t="n">
        <v>34260</v>
      </c>
      <c r="G132" s="8" t="s">
        <v>200</v>
      </c>
      <c r="H132" s="8" t="s">
        <v>360</v>
      </c>
      <c r="I132" s="5" t="s">
        <v>361</v>
      </c>
    </row>
    <row r="133" customFormat="false" ht="17.15" hidden="false" customHeight="false" outlineLevel="0" collapsed="false">
      <c r="A133" s="0" t="s">
        <v>362</v>
      </c>
      <c r="B133" s="5" t="s">
        <v>363</v>
      </c>
      <c r="C133" s="0" t="s">
        <v>337</v>
      </c>
      <c r="E133" s="7" t="n">
        <v>12.79</v>
      </c>
      <c r="G133" s="8" t="s">
        <v>200</v>
      </c>
      <c r="H133" s="5" t="s">
        <v>32</v>
      </c>
      <c r="I133" s="5" t="s">
        <v>364</v>
      </c>
    </row>
    <row r="134" customFormat="false" ht="17.15" hidden="false" customHeight="false" outlineLevel="0" collapsed="false">
      <c r="A134" s="0" t="s">
        <v>365</v>
      </c>
      <c r="B134" s="5" t="s">
        <v>366</v>
      </c>
      <c r="C134" s="0" t="s">
        <v>248</v>
      </c>
      <c r="E134" s="7" t="n">
        <v>46370</v>
      </c>
      <c r="G134" s="8" t="s">
        <v>200</v>
      </c>
      <c r="H134" s="8" t="s">
        <v>367</v>
      </c>
      <c r="I134" s="5" t="s">
        <v>368</v>
      </c>
    </row>
    <row r="135" customFormat="false" ht="17.15" hidden="false" customHeight="false" outlineLevel="0" collapsed="false">
      <c r="A135" s="0" t="s">
        <v>369</v>
      </c>
      <c r="B135" s="5" t="s">
        <v>370</v>
      </c>
      <c r="C135" s="0" t="s">
        <v>337</v>
      </c>
      <c r="E135" s="7" t="n">
        <v>18.49</v>
      </c>
      <c r="G135" s="8" t="s">
        <v>200</v>
      </c>
      <c r="H135" s="5" t="s">
        <v>32</v>
      </c>
      <c r="I135" s="5" t="s">
        <v>371</v>
      </c>
    </row>
    <row r="136" customFormat="false" ht="17.15" hidden="false" customHeight="false" outlineLevel="0" collapsed="false">
      <c r="A136" s="0" t="s">
        <v>372</v>
      </c>
      <c r="B136" s="5" t="s">
        <v>373</v>
      </c>
      <c r="C136" s="5" t="s">
        <v>374</v>
      </c>
      <c r="E136" s="7" t="n">
        <v>2029</v>
      </c>
      <c r="G136" s="8" t="s">
        <v>27</v>
      </c>
      <c r="H136" s="8" t="s">
        <v>375</v>
      </c>
      <c r="I136" s="5" t="s">
        <v>376</v>
      </c>
    </row>
    <row r="137" customFormat="false" ht="17.15" hidden="false" customHeight="false" outlineLevel="0" collapsed="false">
      <c r="A137" s="0" t="s">
        <v>377</v>
      </c>
      <c r="B137" s="5" t="s">
        <v>378</v>
      </c>
      <c r="C137" s="5" t="s">
        <v>374</v>
      </c>
      <c r="E137" s="7" t="n">
        <v>2028</v>
      </c>
      <c r="G137" s="8" t="s">
        <v>27</v>
      </c>
      <c r="H137" s="8" t="s">
        <v>379</v>
      </c>
      <c r="I137" s="5" t="s">
        <v>32</v>
      </c>
    </row>
    <row r="138" customFormat="false" ht="17.15" hidden="false" customHeight="false" outlineLevel="0" collapsed="false">
      <c r="A138" s="0" t="s">
        <v>380</v>
      </c>
      <c r="B138" s="5" t="s">
        <v>381</v>
      </c>
      <c r="C138" s="5" t="s">
        <v>374</v>
      </c>
      <c r="E138" s="7" t="n">
        <v>2027</v>
      </c>
      <c r="G138" s="8" t="s">
        <v>27</v>
      </c>
      <c r="H138" s="8" t="s">
        <v>382</v>
      </c>
      <c r="I138" s="5" t="s">
        <v>32</v>
      </c>
    </row>
    <row r="139" customFormat="false" ht="17.15" hidden="false" customHeight="false" outlineLevel="0" collapsed="false">
      <c r="A139" s="0" t="s">
        <v>383</v>
      </c>
      <c r="B139" s="5" t="s">
        <v>384</v>
      </c>
      <c r="C139" s="0" t="s">
        <v>337</v>
      </c>
      <c r="E139" s="7" t="n">
        <v>377.24</v>
      </c>
      <c r="G139" s="8" t="s">
        <v>200</v>
      </c>
      <c r="H139" s="8" t="s">
        <v>385</v>
      </c>
      <c r="I139" s="8" t="s">
        <v>386</v>
      </c>
    </row>
    <row r="140" customFormat="false" ht="17.15" hidden="false" customHeight="false" outlineLevel="0" collapsed="false">
      <c r="A140" s="0" t="s">
        <v>387</v>
      </c>
      <c r="B140" s="5" t="s">
        <v>388</v>
      </c>
      <c r="C140" s="0" t="s">
        <v>242</v>
      </c>
      <c r="E140" s="7" t="n">
        <v>21.39</v>
      </c>
      <c r="G140" s="8" t="s">
        <v>200</v>
      </c>
      <c r="H140" s="8" t="s">
        <v>389</v>
      </c>
      <c r="I140" s="5" t="s">
        <v>390</v>
      </c>
    </row>
    <row r="141" customFormat="false" ht="17.15" hidden="false" customHeight="false" outlineLevel="0" collapsed="false">
      <c r="A141" s="1" t="s">
        <v>391</v>
      </c>
    </row>
    <row r="142" customFormat="false" ht="17.15" hidden="false" customHeight="false" outlineLevel="0" collapsed="false">
      <c r="A142" s="0" t="s">
        <v>392</v>
      </c>
      <c r="B142" s="5" t="s">
        <v>393</v>
      </c>
      <c r="C142" s="5" t="s">
        <v>394</v>
      </c>
      <c r="E142" s="7" t="n">
        <v>0.3</v>
      </c>
      <c r="G142" s="8" t="s">
        <v>223</v>
      </c>
      <c r="H142" s="8" t="s">
        <v>395</v>
      </c>
      <c r="I142" s="5" t="s">
        <v>396</v>
      </c>
    </row>
    <row r="143" customFormat="false" ht="17.15" hidden="false" customHeight="false" outlineLevel="0" collapsed="false">
      <c r="A143" s="0" t="s">
        <v>397</v>
      </c>
      <c r="B143" s="5" t="s">
        <v>398</v>
      </c>
      <c r="C143" s="5" t="s">
        <v>394</v>
      </c>
      <c r="E143" s="7" t="n">
        <v>0.5</v>
      </c>
      <c r="G143" s="8" t="s">
        <v>223</v>
      </c>
      <c r="H143" s="8" t="s">
        <v>395</v>
      </c>
      <c r="I143" s="5" t="s">
        <v>396</v>
      </c>
    </row>
    <row r="144" customFormat="false" ht="17.15" hidden="false" customHeight="false" outlineLevel="0" collapsed="false">
      <c r="A144" s="0" t="s">
        <v>399</v>
      </c>
      <c r="B144" s="5" t="s">
        <v>400</v>
      </c>
      <c r="C144" s="5" t="s">
        <v>394</v>
      </c>
      <c r="E144" s="7" t="n">
        <v>0.2</v>
      </c>
      <c r="G144" s="8" t="s">
        <v>223</v>
      </c>
      <c r="H144" s="8" t="s">
        <v>395</v>
      </c>
      <c r="I144" s="5" t="s">
        <v>396</v>
      </c>
    </row>
    <row r="146" customFormat="false" ht="17.15" hidden="false" customHeight="false" outlineLevel="0" collapsed="false">
      <c r="A146" s="1" t="s">
        <v>401</v>
      </c>
    </row>
    <row r="147" customFormat="false" ht="17.15" hidden="false" customHeight="false" outlineLevel="0" collapsed="false">
      <c r="A147" s="0" t="s">
        <v>402</v>
      </c>
      <c r="B147" s="5" t="s">
        <v>403</v>
      </c>
      <c r="C147" s="0" t="s">
        <v>195</v>
      </c>
      <c r="E147" s="10" t="n">
        <v>0.1</v>
      </c>
      <c r="G147" s="8" t="s">
        <v>223</v>
      </c>
      <c r="H147" s="8" t="s">
        <v>404</v>
      </c>
      <c r="I147" s="8" t="s">
        <v>229</v>
      </c>
    </row>
    <row r="148" customFormat="false" ht="17.15" hidden="false" customHeight="false" outlineLevel="0" collapsed="false">
      <c r="A148" s="0" t="s">
        <v>405</v>
      </c>
      <c r="B148" s="5" t="s">
        <v>406</v>
      </c>
      <c r="C148" s="0" t="s">
        <v>195</v>
      </c>
      <c r="E148" s="10" t="n">
        <v>0.04</v>
      </c>
      <c r="G148" s="8" t="s">
        <v>223</v>
      </c>
      <c r="H148" s="8" t="s">
        <v>407</v>
      </c>
      <c r="I148" s="5" t="s">
        <v>408</v>
      </c>
    </row>
    <row r="149" customFormat="false" ht="17.15" hidden="false" customHeight="false" outlineLevel="0" collapsed="false">
      <c r="A149" s="0" t="s">
        <v>409</v>
      </c>
      <c r="B149" s="0" t="s">
        <v>410</v>
      </c>
      <c r="C149" s="0" t="s">
        <v>195</v>
      </c>
      <c r="E149" s="11" t="n">
        <f aca="false">AVERAGE(0.4804,0.4061,0.3551)</f>
        <v>0.413866666666667</v>
      </c>
      <c r="G149" s="8" t="s">
        <v>27</v>
      </c>
      <c r="H149" s="8" t="s">
        <v>411</v>
      </c>
      <c r="I149" s="5" t="s">
        <v>412</v>
      </c>
    </row>
    <row r="150" customFormat="false" ht="17.15" hidden="false" customHeight="false" outlineLevel="0" collapsed="false">
      <c r="A150" s="0" t="s">
        <v>413</v>
      </c>
      <c r="B150" s="5" t="s">
        <v>414</v>
      </c>
      <c r="C150" s="0" t="s">
        <v>195</v>
      </c>
      <c r="E150" s="12" t="n">
        <v>0.5</v>
      </c>
      <c r="G150" s="8" t="s">
        <v>223</v>
      </c>
      <c r="H150" s="8" t="s">
        <v>415</v>
      </c>
      <c r="I150" s="8" t="s">
        <v>229</v>
      </c>
    </row>
    <row r="151" customFormat="false" ht="17.15" hidden="false" customHeight="false" outlineLevel="0" collapsed="false">
      <c r="A151" s="0" t="s">
        <v>416</v>
      </c>
      <c r="B151" s="5" t="s">
        <v>417</v>
      </c>
      <c r="C151" s="0" t="s">
        <v>195</v>
      </c>
      <c r="E151" s="11" t="n">
        <f aca="false">AVERAGE(1.72/10.82,3.52/14.7,3.04/16.7,2.71/14.61,3.62/17.2,5.89/23.06,6.53/25.79,6.86/26.52,7.18/27.18,7/28.37)</f>
        <v>0.225460769402647</v>
      </c>
      <c r="G151" s="8" t="s">
        <v>27</v>
      </c>
      <c r="H151" s="8" t="s">
        <v>418</v>
      </c>
      <c r="I151" s="5" t="s">
        <v>419</v>
      </c>
    </row>
    <row r="152" customFormat="false" ht="17.15" hidden="false" customHeight="false" outlineLevel="0" collapsed="false">
      <c r="A152" s="0" t="s">
        <v>420</v>
      </c>
      <c r="B152" s="5" t="s">
        <v>421</v>
      </c>
      <c r="C152" s="0" t="s">
        <v>337</v>
      </c>
      <c r="E152" s="13" t="n">
        <v>627.83</v>
      </c>
      <c r="G152" s="8" t="s">
        <v>200</v>
      </c>
      <c r="H152" s="8" t="s">
        <v>422</v>
      </c>
      <c r="I152" s="5" t="s">
        <v>423</v>
      </c>
    </row>
    <row r="153" customFormat="false" ht="17.15" hidden="false" customHeight="false" outlineLevel="0" collapsed="false">
      <c r="A153" s="0" t="s">
        <v>424</v>
      </c>
      <c r="B153" s="5" t="s">
        <v>425</v>
      </c>
      <c r="C153" s="0" t="s">
        <v>337</v>
      </c>
      <c r="E153" s="14" t="n">
        <f aca="false">cons_eps27</f>
        <v>18.49</v>
      </c>
      <c r="G153" s="8" t="s">
        <v>200</v>
      </c>
      <c r="H153" s="5" t="s">
        <v>426</v>
      </c>
      <c r="I153" s="8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1" min="2" style="0" width="13"/>
    <col collapsed="false" customWidth="true" hidden="false" outlineLevel="0" max="12" min="12" style="0" width="18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427</v>
      </c>
    </row>
    <row r="2" customFormat="false" ht="17.15" hidden="false" customHeight="false" outlineLevel="0" collapsed="false">
      <c r="A2" s="0" t="s">
        <v>428</v>
      </c>
    </row>
    <row r="3" customFormat="false" ht="17.15" hidden="false" customHeight="false" outlineLevel="0" collapsed="false">
      <c r="A3" s="6" t="s">
        <v>15</v>
      </c>
      <c r="B3" s="15" t="s">
        <v>429</v>
      </c>
      <c r="C3" s="15" t="s">
        <v>430</v>
      </c>
      <c r="D3" s="15" t="s">
        <v>431</v>
      </c>
      <c r="E3" s="15" t="s">
        <v>432</v>
      </c>
      <c r="F3" s="15" t="s">
        <v>433</v>
      </c>
      <c r="G3" s="15" t="s">
        <v>434</v>
      </c>
      <c r="H3" s="15" t="s">
        <v>435</v>
      </c>
      <c r="I3" s="15" t="s">
        <v>436</v>
      </c>
      <c r="J3" s="15" t="s">
        <v>437</v>
      </c>
      <c r="K3" s="15" t="s">
        <v>438</v>
      </c>
      <c r="L3" s="6" t="s">
        <v>20</v>
      </c>
      <c r="M3" s="6" t="s">
        <v>439</v>
      </c>
      <c r="N3" s="6" t="s">
        <v>22</v>
      </c>
    </row>
    <row r="4" customFormat="false" ht="17.15" hidden="false" customHeight="false" outlineLevel="0" collapsed="false">
      <c r="A4" s="5" t="s">
        <v>440</v>
      </c>
      <c r="B4" s="16" t="n">
        <v>5597</v>
      </c>
      <c r="C4" s="16" t="n">
        <v>5401</v>
      </c>
      <c r="D4" s="16" t="n">
        <v>5564</v>
      </c>
      <c r="E4" s="9" t="n">
        <f aca="false">J4/(1+q4g_ss)</f>
        <v>4876.54320987654</v>
      </c>
      <c r="F4" s="9" t="n">
        <f aca="false">SUM(B4:E4)</f>
        <v>21438.5432098765</v>
      </c>
      <c r="G4" s="16" t="n">
        <v>5141</v>
      </c>
      <c r="H4" s="16" t="n">
        <v>5965</v>
      </c>
      <c r="I4" s="16" t="n">
        <v>7040</v>
      </c>
      <c r="J4" s="9" t="n">
        <f aca="false">g_ss_q4</f>
        <v>7900</v>
      </c>
      <c r="K4" s="9" t="n">
        <f aca="false">SUM(G4:J4)</f>
        <v>26046</v>
      </c>
      <c r="L4" s="8" t="s">
        <v>441</v>
      </c>
      <c r="M4" s="8" t="s">
        <v>442</v>
      </c>
      <c r="N4" s="8" t="s">
        <v>443</v>
      </c>
    </row>
    <row r="5" customFormat="false" ht="17.15" hidden="false" customHeight="false" outlineLevel="0" collapsed="false">
      <c r="A5" s="0" t="s">
        <v>444</v>
      </c>
      <c r="B5" s="16" t="n">
        <v>1353</v>
      </c>
      <c r="C5" s="16" t="n">
        <v>1420</v>
      </c>
      <c r="D5" s="16" t="n">
        <v>1463</v>
      </c>
      <c r="E5" s="9" t="n">
        <f aca="false">J5/(1+q4g_ags)</f>
        <v>1508.19672131148</v>
      </c>
      <c r="F5" s="9" t="n">
        <f aca="false">SUM(B5:E5)</f>
        <v>5744.19672131148</v>
      </c>
      <c r="G5" s="16" t="n">
        <v>1559</v>
      </c>
      <c r="H5" s="16" t="n">
        <v>1665</v>
      </c>
      <c r="I5" s="16" t="n">
        <v>1781</v>
      </c>
      <c r="J5" s="9" t="n">
        <f aca="false">g_ags_q4</f>
        <v>1840</v>
      </c>
      <c r="K5" s="9" t="n">
        <f aca="false">SUM(G5:J5)</f>
        <v>6845</v>
      </c>
      <c r="L5" s="8" t="s">
        <v>441</v>
      </c>
      <c r="M5" s="8" t="s">
        <v>445</v>
      </c>
      <c r="N5" s="8" t="s">
        <v>446</v>
      </c>
    </row>
    <row r="6" customFormat="false" ht="17.15" hidden="false" customHeight="false" outlineLevel="0" collapsed="false">
      <c r="A6" s="5" t="s">
        <v>447</v>
      </c>
      <c r="B6" s="16" t="n">
        <v>216</v>
      </c>
      <c r="C6" s="16" t="n">
        <v>279</v>
      </c>
      <c r="D6" s="16" t="n">
        <v>275</v>
      </c>
      <c r="E6" s="9" t="n">
        <f aca="false">E7-E4-E5</f>
        <v>415.260068811981</v>
      </c>
      <c r="F6" s="9" t="n">
        <f aca="false">SUM(B6:E6)</f>
        <v>1185.26006881198</v>
      </c>
      <c r="G6" s="16" t="n">
        <v>312</v>
      </c>
      <c r="H6" s="16" t="n">
        <v>280</v>
      </c>
      <c r="I6" s="16" t="n">
        <v>294</v>
      </c>
      <c r="J6" s="9" t="n">
        <f aca="false">g_oth_q4</f>
        <v>510</v>
      </c>
      <c r="K6" s="9" t="n">
        <f aca="false">SUM(G6:J6)</f>
        <v>1396</v>
      </c>
      <c r="L6" s="8" t="s">
        <v>441</v>
      </c>
      <c r="M6" s="8" t="s">
        <v>448</v>
      </c>
      <c r="N6" s="8" t="s">
        <v>449</v>
      </c>
    </row>
    <row r="7" customFormat="false" ht="17.15" hidden="false" customHeight="false" outlineLevel="0" collapsed="false">
      <c r="A7" s="5" t="s">
        <v>450</v>
      </c>
      <c r="B7" s="16" t="n">
        <v>7166</v>
      </c>
      <c r="C7" s="16" t="n">
        <v>7100</v>
      </c>
      <c r="D7" s="16" t="n">
        <v>7302</v>
      </c>
      <c r="E7" s="16" t="n">
        <v>6800</v>
      </c>
      <c r="F7" s="16" t="n">
        <v>28368</v>
      </c>
      <c r="G7" s="16" t="n">
        <v>7012</v>
      </c>
      <c r="H7" s="16" t="n">
        <v>7910</v>
      </c>
      <c r="I7" s="16" t="n">
        <v>9115</v>
      </c>
      <c r="J7" s="9" t="n">
        <f aca="false">g_rev_q4</f>
        <v>10250</v>
      </c>
      <c r="K7" s="9" t="n">
        <f aca="false">SUM(G7:J7)</f>
        <v>34287</v>
      </c>
      <c r="L7" s="8" t="s">
        <v>451</v>
      </c>
      <c r="M7" s="8" t="s">
        <v>452</v>
      </c>
      <c r="N7" s="8" t="s">
        <v>453</v>
      </c>
    </row>
    <row r="8" customFormat="false" ht="17.15" hidden="false" customHeight="false" outlineLevel="0" collapsed="false">
      <c r="A8" s="5" t="s">
        <v>454</v>
      </c>
      <c r="B8" s="17" t="n">
        <f aca="false">B4+B5+B6-B7</f>
        <v>0</v>
      </c>
      <c r="C8" s="17" t="n">
        <f aca="false">C4+C5+C6-C7</f>
        <v>0</v>
      </c>
      <c r="D8" s="17" t="n">
        <f aca="false">D4+D5+D6-D7</f>
        <v>0</v>
      </c>
      <c r="E8" s="17" t="n">
        <f aca="false">E4+E5+E6-E7</f>
        <v>0</v>
      </c>
      <c r="F8" s="17" t="n">
        <f aca="false">F4+F5+F6-F7</f>
        <v>0</v>
      </c>
      <c r="G8" s="17" t="n">
        <f aca="false">G4+G5+G6-G7</f>
        <v>0</v>
      </c>
      <c r="H8" s="17" t="n">
        <f aca="false">H4+H5+H6-H7</f>
        <v>0</v>
      </c>
      <c r="I8" s="17" t="n">
        <f aca="false">I4+I5+I6-I7</f>
        <v>0</v>
      </c>
      <c r="J8" s="17" t="n">
        <f aca="false">J4+J5+J6-J7</f>
        <v>0</v>
      </c>
      <c r="K8" s="17" t="n">
        <f aca="false">K4+K5+K6-K7</f>
        <v>0</v>
      </c>
      <c r="L8" s="8" t="s">
        <v>229</v>
      </c>
      <c r="M8" s="8" t="s">
        <v>229</v>
      </c>
      <c r="N8" s="8" t="s">
        <v>455</v>
      </c>
    </row>
    <row r="9" customFormat="false" ht="17.15" hidden="false" customHeight="false" outlineLevel="0" collapsed="false">
      <c r="A9" s="0" t="s">
        <v>456</v>
      </c>
      <c r="B9" s="18" t="n">
        <v>0.489</v>
      </c>
      <c r="C9" s="18" t="n">
        <v>0.492</v>
      </c>
      <c r="D9" s="18" t="n">
        <v>0.489</v>
      </c>
      <c r="E9" s="18" t="n">
        <v>0.481</v>
      </c>
      <c r="F9" s="11" t="n">
        <f aca="false">F10/F7</f>
        <v>0.487833192329385</v>
      </c>
      <c r="G9" s="18" t="n">
        <v>0.491</v>
      </c>
      <c r="H9" s="18" t="n">
        <v>0.5</v>
      </c>
      <c r="I9" s="18" t="n">
        <v>0.504</v>
      </c>
      <c r="J9" s="11" t="n">
        <f aca="false">g_gm_q4</f>
        <v>0.504</v>
      </c>
      <c r="K9" s="11" t="n">
        <f aca="false">K10/K7</f>
        <v>0.500418584303089</v>
      </c>
      <c r="L9" s="8" t="s">
        <v>451</v>
      </c>
      <c r="M9" s="8" t="s">
        <v>457</v>
      </c>
      <c r="N9" s="8" t="s">
        <v>458</v>
      </c>
    </row>
    <row r="10" customFormat="false" ht="17.15" hidden="false" customHeight="false" outlineLevel="0" collapsed="false">
      <c r="A10" s="0" t="s">
        <v>459</v>
      </c>
      <c r="B10" s="9" t="n">
        <f aca="false">B7*B9</f>
        <v>3504.174</v>
      </c>
      <c r="C10" s="9" t="n">
        <f aca="false">C7*C9</f>
        <v>3493.2</v>
      </c>
      <c r="D10" s="9" t="n">
        <f aca="false">D7*D9</f>
        <v>3570.678</v>
      </c>
      <c r="E10" s="9" t="n">
        <f aca="false">E7*E9</f>
        <v>3270.8</v>
      </c>
      <c r="F10" s="9" t="n">
        <f aca="false">SUM(B10:E10)</f>
        <v>13838.852</v>
      </c>
      <c r="G10" s="9" t="n">
        <f aca="false">G7*G9</f>
        <v>3442.892</v>
      </c>
      <c r="H10" s="9" t="n">
        <f aca="false">H7*H9</f>
        <v>3955</v>
      </c>
      <c r="I10" s="9" t="n">
        <f aca="false">I7*I9</f>
        <v>4593.96</v>
      </c>
      <c r="J10" s="9" t="n">
        <f aca="false">J7*J9</f>
        <v>5166</v>
      </c>
      <c r="K10" s="9" t="n">
        <f aca="false">SUM(G10:J10)</f>
        <v>17157.852</v>
      </c>
      <c r="L10" s="8" t="s">
        <v>27</v>
      </c>
      <c r="M10" s="5" t="s">
        <v>460</v>
      </c>
      <c r="N10" s="8" t="s">
        <v>229</v>
      </c>
    </row>
    <row r="11" customFormat="false" ht="17.15" hidden="false" customHeight="false" outlineLevel="0" collapsed="false">
      <c r="A11" s="0" t="s">
        <v>461</v>
      </c>
      <c r="B11" s="16" t="n">
        <v>2190</v>
      </c>
      <c r="C11" s="16" t="n">
        <v>2180</v>
      </c>
      <c r="D11" s="16" t="n">
        <v>2245</v>
      </c>
      <c r="E11" s="16" t="n">
        <v>1947</v>
      </c>
      <c r="F11" s="9" t="n">
        <f aca="false">SUM(B11:E11)</f>
        <v>8562</v>
      </c>
      <c r="G11" s="16" t="n">
        <v>2107</v>
      </c>
      <c r="H11" s="16" t="n">
        <v>2536</v>
      </c>
      <c r="I11" s="16" t="n">
        <v>3096</v>
      </c>
      <c r="J11" s="9" t="n">
        <f aca="false">J10-J12</f>
        <v>3586</v>
      </c>
      <c r="K11" s="9" t="n">
        <f aca="false">SUM(G11:J11)</f>
        <v>11325</v>
      </c>
      <c r="L11" s="8" t="s">
        <v>441</v>
      </c>
      <c r="M11" s="8" t="s">
        <v>462</v>
      </c>
      <c r="N11" s="8" t="s">
        <v>463</v>
      </c>
    </row>
    <row r="12" customFormat="false" ht="17.15" hidden="false" customHeight="false" outlineLevel="0" collapsed="false">
      <c r="A12" s="0" t="s">
        <v>464</v>
      </c>
      <c r="B12" s="9" t="n">
        <f aca="false">B10-B11</f>
        <v>1314.174</v>
      </c>
      <c r="C12" s="9" t="n">
        <f aca="false">C10-C11</f>
        <v>1313.2</v>
      </c>
      <c r="D12" s="9" t="n">
        <f aca="false">D10-D11</f>
        <v>1325.678</v>
      </c>
      <c r="E12" s="9" t="n">
        <f aca="false">E10-E11</f>
        <v>1323.8</v>
      </c>
      <c r="F12" s="9" t="n">
        <f aca="false">F10-F11</f>
        <v>5276.852</v>
      </c>
      <c r="G12" s="9" t="n">
        <f aca="false">G10-G11</f>
        <v>1335.892</v>
      </c>
      <c r="H12" s="9" t="n">
        <f aca="false">H10-H11</f>
        <v>1419</v>
      </c>
      <c r="I12" s="9" t="n">
        <f aca="false">I10-I11</f>
        <v>1497.96</v>
      </c>
      <c r="J12" s="9" t="n">
        <f aca="false">g_opx_q4</f>
        <v>1580</v>
      </c>
      <c r="K12" s="9" t="n">
        <f aca="false">SUM(G12:J12)</f>
        <v>5832.852</v>
      </c>
      <c r="L12" s="8" t="s">
        <v>27</v>
      </c>
      <c r="M12" s="8" t="s">
        <v>229</v>
      </c>
      <c r="N12" s="8" t="s">
        <v>465</v>
      </c>
    </row>
    <row r="13" customFormat="false" ht="17.15" hidden="false" customHeight="false" outlineLevel="0" collapsed="false">
      <c r="A13" s="0" t="s">
        <v>466</v>
      </c>
      <c r="B13" s="16" t="n">
        <v>1946</v>
      </c>
      <c r="C13" s="16" t="n">
        <v>1940</v>
      </c>
      <c r="D13" s="16" t="n">
        <v>1989</v>
      </c>
      <c r="E13" s="16" t="n">
        <v>1732</v>
      </c>
      <c r="F13" s="9" t="n">
        <f aca="false">SUM(B13:E13)</f>
        <v>7607</v>
      </c>
      <c r="G13" s="16" t="n">
        <v>1899</v>
      </c>
      <c r="H13" s="16" t="n">
        <v>2286</v>
      </c>
      <c r="I13" s="16" t="n">
        <v>2795</v>
      </c>
      <c r="J13" s="9" t="n">
        <f aca="false">J15*J14</f>
        <v>3199.92</v>
      </c>
      <c r="K13" s="9" t="n">
        <f aca="false">SUM(G13:J13)</f>
        <v>10179.92</v>
      </c>
      <c r="L13" s="8" t="s">
        <v>441</v>
      </c>
      <c r="M13" s="8" t="s">
        <v>467</v>
      </c>
      <c r="N13" s="8" t="s">
        <v>229</v>
      </c>
    </row>
    <row r="14" customFormat="false" ht="17.15" hidden="false" customHeight="false" outlineLevel="0" collapsed="false">
      <c r="A14" s="5" t="s">
        <v>468</v>
      </c>
      <c r="B14" s="16" t="n">
        <v>819</v>
      </c>
      <c r="C14" s="16" t="n">
        <v>812</v>
      </c>
      <c r="D14" s="16" t="n">
        <v>802</v>
      </c>
      <c r="E14" s="16" t="n">
        <v>798</v>
      </c>
      <c r="F14" s="16" t="n">
        <v>808</v>
      </c>
      <c r="G14" s="16" t="n">
        <v>799</v>
      </c>
      <c r="H14" s="16" t="n">
        <v>799</v>
      </c>
      <c r="I14" s="16" t="n">
        <v>800</v>
      </c>
      <c r="J14" s="9" t="n">
        <f aca="false">sh_q4</f>
        <v>796</v>
      </c>
      <c r="K14" s="9" t="n">
        <f aca="false">K13/K15</f>
        <v>797.799373040752</v>
      </c>
      <c r="L14" s="8" t="s">
        <v>441</v>
      </c>
      <c r="M14" s="8" t="s">
        <v>469</v>
      </c>
      <c r="N14" s="8" t="s">
        <v>470</v>
      </c>
    </row>
    <row r="15" customFormat="false" ht="17.15" hidden="false" customHeight="false" outlineLevel="0" collapsed="false">
      <c r="A15" s="0" t="s">
        <v>471</v>
      </c>
      <c r="B15" s="13" t="n">
        <v>2.38</v>
      </c>
      <c r="C15" s="13" t="n">
        <v>2.39</v>
      </c>
      <c r="D15" s="13" t="n">
        <v>2.48</v>
      </c>
      <c r="E15" s="13" t="n">
        <v>2.17</v>
      </c>
      <c r="F15" s="13" t="n">
        <v>9.42</v>
      </c>
      <c r="G15" s="13" t="n">
        <v>2.38</v>
      </c>
      <c r="H15" s="13" t="n">
        <v>2.86</v>
      </c>
      <c r="I15" s="13" t="n">
        <v>3.5</v>
      </c>
      <c r="J15" s="14" t="n">
        <f aca="false">g_eps_q4</f>
        <v>4.02</v>
      </c>
      <c r="K15" s="14" t="n">
        <f aca="false">SUM(G15:J15)</f>
        <v>12.76</v>
      </c>
      <c r="L15" s="8" t="s">
        <v>451</v>
      </c>
      <c r="M15" s="8" t="s">
        <v>472</v>
      </c>
      <c r="N15" s="5" t="s">
        <v>473</v>
      </c>
    </row>
    <row r="16" customFormat="false" ht="17.15" hidden="false" customHeight="false" outlineLevel="0" collapsed="false">
      <c r="A16" s="0" t="s">
        <v>474</v>
      </c>
      <c r="B16" s="13" t="n">
        <v>1.45</v>
      </c>
      <c r="C16" s="13" t="n">
        <v>2.63</v>
      </c>
      <c r="D16" s="13" t="n">
        <v>2.22</v>
      </c>
      <c r="E16" s="13" t="n">
        <v>2.38</v>
      </c>
      <c r="F16" s="13" t="n">
        <v>8.66</v>
      </c>
      <c r="G16" s="13" t="n">
        <v>2.54</v>
      </c>
      <c r="H16" s="13" t="n">
        <v>3.51</v>
      </c>
      <c r="I16" s="13" t="n">
        <v>3.17</v>
      </c>
      <c r="L16" s="8" t="s">
        <v>451</v>
      </c>
      <c r="M16" s="8" t="s">
        <v>475</v>
      </c>
      <c r="N16" s="8" t="s">
        <v>476</v>
      </c>
    </row>
    <row r="17" customFormat="false" ht="17.15" hidden="false" customHeight="false" outlineLevel="0" collapsed="false">
      <c r="A17" s="0" t="s">
        <v>477</v>
      </c>
      <c r="B17" s="16" t="n">
        <v>1185</v>
      </c>
      <c r="C17" s="16" t="n">
        <v>2137</v>
      </c>
      <c r="D17" s="16" t="n">
        <v>1779</v>
      </c>
      <c r="E17" s="16" t="n">
        <v>1897</v>
      </c>
      <c r="F17" s="16" t="n">
        <v>6998</v>
      </c>
      <c r="G17" s="16" t="n">
        <v>2026</v>
      </c>
      <c r="H17" s="16" t="n">
        <v>2806</v>
      </c>
      <c r="I17" s="16" t="n">
        <v>2538</v>
      </c>
      <c r="L17" s="8" t="s">
        <v>451</v>
      </c>
      <c r="M17" s="8" t="s">
        <v>469</v>
      </c>
      <c r="N17" s="8" t="s">
        <v>478</v>
      </c>
    </row>
    <row r="18" customFormat="false" ht="17.15" hidden="false" customHeight="false" outlineLevel="0" collapsed="false">
      <c r="A18" s="5" t="s">
        <v>479</v>
      </c>
      <c r="B18" s="19" t="n">
        <v>0.69</v>
      </c>
      <c r="C18" s="19" t="n">
        <v>0.66</v>
      </c>
      <c r="D18" s="19" t="n">
        <v>0.69</v>
      </c>
      <c r="E18" s="19" t="n">
        <v>0.65</v>
      </c>
      <c r="G18" s="19" t="n">
        <v>0.62</v>
      </c>
      <c r="H18" s="19" t="n">
        <v>0.67</v>
      </c>
      <c r="I18" s="19" t="n">
        <v>0.67</v>
      </c>
      <c r="J18" s="20" t="n">
        <f aca="false">1-J19-J20</f>
        <v>0.64</v>
      </c>
      <c r="K18" s="20" t="n">
        <f aca="false">SUMPRODUCT(G18:J18,G4:J4)/K4</f>
        <v>0.651031636335714</v>
      </c>
      <c r="L18" s="8" t="s">
        <v>480</v>
      </c>
      <c r="M18" s="8" t="s">
        <v>481</v>
      </c>
      <c r="N18" s="8" t="s">
        <v>482</v>
      </c>
    </row>
    <row r="19" customFormat="false" ht="17.15" hidden="false" customHeight="false" outlineLevel="0" collapsed="false">
      <c r="A19" s="5" t="s">
        <v>483</v>
      </c>
      <c r="B19" s="19" t="n">
        <v>0.27</v>
      </c>
      <c r="C19" s="19" t="n">
        <v>0.27</v>
      </c>
      <c r="D19" s="19" t="n">
        <v>0.22</v>
      </c>
      <c r="E19" s="19" t="n">
        <v>0.29</v>
      </c>
      <c r="G19" s="19" t="n">
        <v>0.34</v>
      </c>
      <c r="H19" s="19" t="n">
        <v>0.29</v>
      </c>
      <c r="I19" s="19" t="n">
        <v>0.26</v>
      </c>
      <c r="J19" s="20" t="n">
        <f aca="false">q4_dr</f>
        <v>0.3</v>
      </c>
      <c r="K19" s="20" t="n">
        <f aca="false">SUMPRODUCT(G19:J19,G4:J4)/K4</f>
        <v>0.294793442371189</v>
      </c>
      <c r="L19" s="8" t="s">
        <v>480</v>
      </c>
      <c r="M19" s="8" t="s">
        <v>484</v>
      </c>
      <c r="N19" s="8" t="s">
        <v>485</v>
      </c>
    </row>
    <row r="20" customFormat="false" ht="17.15" hidden="false" customHeight="false" outlineLevel="0" collapsed="false">
      <c r="A20" s="5" t="s">
        <v>486</v>
      </c>
      <c r="B20" s="19" t="n">
        <v>0.04</v>
      </c>
      <c r="C20" s="19" t="n">
        <v>0.07</v>
      </c>
      <c r="D20" s="19" t="n">
        <v>0.09</v>
      </c>
      <c r="E20" s="19" t="n">
        <v>0.06</v>
      </c>
      <c r="G20" s="19" t="n">
        <v>0.04</v>
      </c>
      <c r="H20" s="19" t="n">
        <v>0.04</v>
      </c>
      <c r="I20" s="19" t="n">
        <v>0.07</v>
      </c>
      <c r="J20" s="20" t="n">
        <f aca="false">q4_nd</f>
        <v>0.06</v>
      </c>
      <c r="K20" s="20" t="n">
        <f aca="false">SUMPRODUCT(G20:J20,G4:J4)/K4</f>
        <v>0.0541749212930968</v>
      </c>
      <c r="L20" s="8" t="s">
        <v>480</v>
      </c>
      <c r="M20" s="8" t="s">
        <v>487</v>
      </c>
      <c r="N20" s="8" t="s">
        <v>229</v>
      </c>
    </row>
    <row r="21" customFormat="false" ht="17.15" hidden="false" customHeight="false" outlineLevel="0" collapsed="false">
      <c r="A21" s="5" t="s">
        <v>488</v>
      </c>
      <c r="B21" s="16" t="n">
        <v>2243</v>
      </c>
      <c r="C21" s="16" t="n">
        <v>1774</v>
      </c>
      <c r="D21" s="16" t="n">
        <v>2548</v>
      </c>
      <c r="E21" s="16" t="n">
        <v>1964</v>
      </c>
      <c r="F21" s="9" t="n">
        <f aca="false">SUM(B21:E21)</f>
        <v>8529</v>
      </c>
      <c r="G21" s="16" t="n">
        <v>2095</v>
      </c>
      <c r="H21" s="16" t="n">
        <v>2087</v>
      </c>
      <c r="I21" s="16" t="n">
        <v>2506</v>
      </c>
      <c r="L21" s="8" t="s">
        <v>451</v>
      </c>
      <c r="M21" s="8" t="s">
        <v>489</v>
      </c>
      <c r="N21" s="8" t="s">
        <v>490</v>
      </c>
    </row>
    <row r="22" customFormat="false" ht="17.15" hidden="false" customHeight="false" outlineLevel="0" collapsed="false">
      <c r="A22" s="5" t="s">
        <v>491</v>
      </c>
      <c r="B22" s="11" t="n">
        <f aca="false">B21/B7</f>
        <v>0.313005861010327</v>
      </c>
      <c r="C22" s="11" t="n">
        <f aca="false">C21/C7</f>
        <v>0.249859154929577</v>
      </c>
      <c r="D22" s="11" t="n">
        <f aca="false">D21/D7</f>
        <v>0.3489454943851</v>
      </c>
      <c r="E22" s="11" t="n">
        <f aca="false">E21/E7</f>
        <v>0.288823529411765</v>
      </c>
      <c r="F22" s="11" t="n">
        <f aca="false">F21/F7</f>
        <v>0.300655668358714</v>
      </c>
      <c r="G22" s="11" t="n">
        <f aca="false">G21/G7</f>
        <v>0.298773531089561</v>
      </c>
      <c r="H22" s="11" t="n">
        <f aca="false">H21/H7</f>
        <v>0.263843236409608</v>
      </c>
      <c r="I22" s="11" t="n">
        <f aca="false">I21/I7</f>
        <v>0.274931431705979</v>
      </c>
      <c r="L22" s="8" t="s">
        <v>27</v>
      </c>
      <c r="M22" s="5" t="s">
        <v>492</v>
      </c>
      <c r="N22" s="8" t="s">
        <v>229</v>
      </c>
    </row>
    <row r="23" customFormat="false" ht="17.15" hidden="false" customHeight="false" outlineLevel="0" collapsed="false">
      <c r="A23" s="5" t="s">
        <v>493</v>
      </c>
      <c r="B23" s="21" t="n">
        <f aca="false">SUM(B7:E7)-F7</f>
        <v>0</v>
      </c>
      <c r="C23" s="21" t="n">
        <f aca="false">F9-0.488</f>
        <v>-0.000166807670614777</v>
      </c>
      <c r="D23" s="21" t="n">
        <f aca="false">F11-8562</f>
        <v>0</v>
      </c>
      <c r="E23" s="21" t="n">
        <f aca="false">F13-7607</f>
        <v>0</v>
      </c>
      <c r="F23" s="21" t="n">
        <f aca="false">SUM(B15:E15)-F15</f>
        <v>0</v>
      </c>
      <c r="G23" s="21" t="n">
        <f aca="false">F21-8529</f>
        <v>0</v>
      </c>
      <c r="L23" s="8" t="s">
        <v>229</v>
      </c>
      <c r="M23" s="8" t="s">
        <v>229</v>
      </c>
      <c r="N23" s="5" t="s">
        <v>494</v>
      </c>
    </row>
    <row r="26" customFormat="false" ht="17.15" hidden="false" customHeight="false" outlineLevel="0" collapsed="false">
      <c r="A26" s="1" t="s">
        <v>495</v>
      </c>
    </row>
    <row r="27" customFormat="false" ht="17.15" hidden="false" customHeight="false" outlineLevel="0" collapsed="false">
      <c r="A27" s="6" t="s">
        <v>15</v>
      </c>
      <c r="B27" s="6" t="s">
        <v>496</v>
      </c>
      <c r="C27" s="6" t="s">
        <v>497</v>
      </c>
      <c r="D27" s="15" t="s">
        <v>438</v>
      </c>
      <c r="E27" s="15" t="s">
        <v>498</v>
      </c>
      <c r="F27" s="6" t="s">
        <v>499</v>
      </c>
      <c r="G27" s="6" t="s">
        <v>500</v>
      </c>
    </row>
    <row r="28" customFormat="false" ht="15" hidden="false" customHeight="false" outlineLevel="0" collapsed="false">
      <c r="A28" s="5" t="s">
        <v>450</v>
      </c>
      <c r="B28" s="9" t="n">
        <f aca="false">SUM(G7:I7)</f>
        <v>24037</v>
      </c>
      <c r="C28" s="9" t="n">
        <f aca="false">J7</f>
        <v>10250</v>
      </c>
      <c r="D28" s="9" t="n">
        <f aca="false">K7</f>
        <v>34287</v>
      </c>
      <c r="E28" s="9" t="n">
        <f aca="false">F7</f>
        <v>28368</v>
      </c>
      <c r="F28" s="11" t="n">
        <f aca="false">D28/E28-1</f>
        <v>0.208650592216582</v>
      </c>
      <c r="G28" s="9" t="n">
        <f aca="false">C28*4</f>
        <v>41000</v>
      </c>
    </row>
    <row r="29" customFormat="false" ht="15" hidden="false" customHeight="false" outlineLevel="0" collapsed="false">
      <c r="A29" s="5" t="s">
        <v>501</v>
      </c>
      <c r="B29" s="9" t="n">
        <f aca="false">SUM(G4:I4)</f>
        <v>18146</v>
      </c>
      <c r="C29" s="9" t="n">
        <f aca="false">J4</f>
        <v>7900</v>
      </c>
      <c r="D29" s="9" t="n">
        <f aca="false">K4</f>
        <v>26046</v>
      </c>
      <c r="E29" s="9" t="n">
        <f aca="false">F4</f>
        <v>21438.5432098765</v>
      </c>
      <c r="F29" s="11" t="n">
        <f aca="false">D29/E29-1</f>
        <v>0.214914639722388</v>
      </c>
      <c r="G29" s="9" t="n">
        <f aca="false">C29*4</f>
        <v>31600</v>
      </c>
    </row>
    <row r="30" customFormat="false" ht="15" hidden="false" customHeight="false" outlineLevel="0" collapsed="false">
      <c r="A30" s="0" t="s">
        <v>502</v>
      </c>
      <c r="B30" s="9" t="n">
        <f aca="false">SUM(G5:I5)</f>
        <v>5005</v>
      </c>
      <c r="C30" s="9" t="n">
        <f aca="false">J5</f>
        <v>1840</v>
      </c>
      <c r="D30" s="9" t="n">
        <f aca="false">K5</f>
        <v>6845</v>
      </c>
      <c r="E30" s="9" t="n">
        <f aca="false">F5</f>
        <v>5744.19672131148</v>
      </c>
      <c r="F30" s="11" t="n">
        <f aca="false">D30/E30-1</f>
        <v>0.191637461614859</v>
      </c>
      <c r="G30" s="9" t="n">
        <f aca="false">C30*4</f>
        <v>7360</v>
      </c>
    </row>
    <row r="31" customFormat="false" ht="15" hidden="false" customHeight="false" outlineLevel="0" collapsed="false">
      <c r="A31" s="5" t="s">
        <v>503</v>
      </c>
      <c r="B31" s="9" t="n">
        <f aca="false">SUM(G6:I6)</f>
        <v>886</v>
      </c>
      <c r="C31" s="9" t="n">
        <f aca="false">J6</f>
        <v>510</v>
      </c>
      <c r="D31" s="9" t="n">
        <f aca="false">K6</f>
        <v>1396</v>
      </c>
      <c r="E31" s="9" t="n">
        <f aca="false">F6</f>
        <v>1185.26006881198</v>
      </c>
      <c r="F31" s="11" t="n">
        <f aca="false">D31/E31-1</f>
        <v>0.17780058295497</v>
      </c>
      <c r="G31" s="9" t="n">
        <f aca="false">C31*4</f>
        <v>2040</v>
      </c>
    </row>
    <row r="32" customFormat="false" ht="17.15" hidden="false" customHeight="false" outlineLevel="0" collapsed="false">
      <c r="A32" s="0" t="s">
        <v>461</v>
      </c>
      <c r="B32" s="9" t="n">
        <f aca="false">SUM(G11:I11)</f>
        <v>7739</v>
      </c>
      <c r="C32" s="9" t="n">
        <f aca="false">J11</f>
        <v>3586</v>
      </c>
      <c r="D32" s="9" t="n">
        <f aca="false">K11</f>
        <v>11325</v>
      </c>
      <c r="E32" s="9" t="n">
        <f aca="false">F11</f>
        <v>8562</v>
      </c>
      <c r="F32" s="11" t="n">
        <f aca="false">D32/E32-1</f>
        <v>0.32270497547302</v>
      </c>
      <c r="G32" s="9" t="n">
        <f aca="false">C32*4</f>
        <v>14344</v>
      </c>
    </row>
    <row r="33" customFormat="false" ht="15" hidden="false" customHeight="false" outlineLevel="0" collapsed="false">
      <c r="A33" s="0" t="s">
        <v>504</v>
      </c>
      <c r="B33" s="14" t="n">
        <f aca="false">SUM(G15:I15)</f>
        <v>8.74</v>
      </c>
      <c r="C33" s="14" t="n">
        <f aca="false">J15</f>
        <v>4.02</v>
      </c>
      <c r="D33" s="14" t="n">
        <f aca="false">K15</f>
        <v>12.76</v>
      </c>
      <c r="E33" s="14" t="n">
        <f aca="false">F15</f>
        <v>9.42</v>
      </c>
      <c r="F33" s="11" t="n">
        <f aca="false">D33/E33-1</f>
        <v>0.354564755838641</v>
      </c>
      <c r="G33" s="14" t="n">
        <f aca="false">C33*4</f>
        <v>16.08</v>
      </c>
    </row>
    <row r="35" customFormat="false" ht="17.15" hidden="false" customHeight="false" outlineLevel="0" collapsed="false">
      <c r="A35" s="0" t="s">
        <v>505</v>
      </c>
      <c r="B35" s="11" t="n">
        <f aca="false">a25_oi/a25_rev</f>
        <v>0.301818950930626</v>
      </c>
    </row>
    <row r="36" customFormat="false" ht="17.15" hidden="false" customHeight="false" outlineLevel="0" collapsed="false">
      <c r="A36" s="0" t="s">
        <v>506</v>
      </c>
      <c r="B36" s="11" t="n">
        <f aca="false">an_oi/an_rev</f>
        <v>0.330300113745735</v>
      </c>
    </row>
    <row r="37" customFormat="false" ht="17.15" hidden="false" customHeight="false" outlineLevel="0" collapsed="false">
      <c r="A37" s="5" t="s">
        <v>507</v>
      </c>
      <c r="B37" s="9" t="n">
        <f aca="false">cons_rev26</f>
        <v>34260</v>
      </c>
      <c r="C37" s="14" t="n">
        <f aca="false">cons_eps26</f>
        <v>12.79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508</v>
      </c>
    </row>
    <row r="3" customFormat="false" ht="15" hidden="false" customHeight="false" outlineLevel="0" collapsed="false">
      <c r="A3" s="6" t="s">
        <v>15</v>
      </c>
      <c r="B3" s="6" t="s">
        <v>16</v>
      </c>
      <c r="C3" s="15" t="s">
        <v>509</v>
      </c>
      <c r="D3" s="15" t="s">
        <v>510</v>
      </c>
      <c r="E3" s="15" t="s">
        <v>511</v>
      </c>
      <c r="F3" s="15" t="s">
        <v>512</v>
      </c>
      <c r="G3" s="15" t="s">
        <v>513</v>
      </c>
      <c r="H3" s="6" t="s">
        <v>514</v>
      </c>
    </row>
    <row r="4" customFormat="false" ht="17.15" hidden="false" customHeight="false" outlineLevel="0" collapsed="false">
      <c r="A4" s="3" t="s">
        <v>515</v>
      </c>
    </row>
    <row r="5" customFormat="false" ht="15" hidden="false" customHeight="false" outlineLevel="0" collapsed="false">
      <c r="A5" s="5" t="s">
        <v>516</v>
      </c>
      <c r="B5" s="0" t="s">
        <v>26</v>
      </c>
      <c r="C5" s="22" t="n">
        <f aca="false">laA_25+loA_25+ofA_25</f>
        <v>78.3481206981793</v>
      </c>
      <c r="D5" s="22" t="n">
        <f aca="false">laA_26+loA_26+ofA_26</f>
        <v>99.2871982981748</v>
      </c>
      <c r="E5" s="22" t="n">
        <f aca="false">laA_27+loA_27+ofA_27</f>
        <v>116.288709321091</v>
      </c>
      <c r="F5" s="22" t="n">
        <f aca="false">laA_28+loA_28+ofA_28</f>
        <v>130.886404842261</v>
      </c>
      <c r="G5" s="22" t="n">
        <f aca="false">laA_29+loA_29+ofA_29</f>
        <v>139.398079992203</v>
      </c>
    </row>
    <row r="6" customFormat="false" ht="17.15" hidden="false" customHeight="false" outlineLevel="0" collapsed="false">
      <c r="A6" s="0" t="s">
        <v>517</v>
      </c>
      <c r="B6" s="0" t="s">
        <v>26</v>
      </c>
      <c r="C6" s="22" t="n">
        <f aca="false">drA_25</f>
        <v>26.3761091658243</v>
      </c>
      <c r="D6" s="22" t="n">
        <f aca="false">drA_26</f>
        <v>39.3659468014757</v>
      </c>
      <c r="E6" s="22" t="n">
        <f aca="false">drA_27</f>
        <v>53.2587328153375</v>
      </c>
      <c r="F6" s="22" t="n">
        <f aca="false">drA_28</f>
        <v>59.5608998372386</v>
      </c>
      <c r="G6" s="22" t="n">
        <f aca="false">drA_29</f>
        <v>61.8312930912183</v>
      </c>
    </row>
    <row r="7" customFormat="false" ht="15" hidden="false" customHeight="false" outlineLevel="0" collapsed="false">
      <c r="A7" s="0" t="s">
        <v>518</v>
      </c>
      <c r="B7" s="0" t="s">
        <v>26</v>
      </c>
      <c r="C7" s="22" t="n">
        <f aca="false">ndA_25</f>
        <v>12.1726019800256</v>
      </c>
      <c r="D7" s="22" t="n">
        <f aca="false">ndA_26</f>
        <v>17.5039054704765</v>
      </c>
      <c r="E7" s="22" t="n">
        <f aca="false">ndA_27</f>
        <v>23.2480272411321</v>
      </c>
      <c r="F7" s="22" t="n">
        <f aca="false">ndA_28</f>
        <v>26.181321629459</v>
      </c>
      <c r="G7" s="22" t="n">
        <f aca="false">ndA_29</f>
        <v>27.674312771805</v>
      </c>
    </row>
    <row r="8" customFormat="false" ht="15" hidden="false" customHeight="false" outlineLevel="0" collapsed="false">
      <c r="A8" s="5" t="s">
        <v>519</v>
      </c>
      <c r="B8" s="0" t="s">
        <v>26</v>
      </c>
      <c r="C8" s="22" t="n">
        <f aca="false">SUM(C5:C7)</f>
        <v>116.896831844029</v>
      </c>
      <c r="D8" s="22" t="n">
        <f aca="false">SUM(D5:D7)</f>
        <v>156.157050570127</v>
      </c>
      <c r="E8" s="22" t="n">
        <f aca="false">SUM(E5:E7)</f>
        <v>192.795469377561</v>
      </c>
      <c r="F8" s="22" t="n">
        <f aca="false">SUM(F5:F7)</f>
        <v>216.628626308958</v>
      </c>
      <c r="G8" s="22" t="n">
        <f aca="false">SUM(G5:G7)</f>
        <v>228.903685855226</v>
      </c>
    </row>
    <row r="9" customFormat="false" ht="17.15" hidden="false" customHeight="false" outlineLevel="0" collapsed="false">
      <c r="A9" s="3" t="s">
        <v>520</v>
      </c>
    </row>
    <row r="10" customFormat="false" ht="15" hidden="false" customHeight="false" outlineLevel="0" collapsed="false">
      <c r="A10" s="5" t="s">
        <v>521</v>
      </c>
      <c r="B10" s="0" t="s">
        <v>26</v>
      </c>
      <c r="D10" s="22" t="n">
        <f aca="false">fyw*C5+(1-fyw)*D5</f>
        <v>95.7973520315089</v>
      </c>
      <c r="E10" s="22" t="n">
        <f aca="false">fyw*D5+(1-fyw)*E5</f>
        <v>113.455124150605</v>
      </c>
      <c r="F10" s="22" t="n">
        <f aca="false">fyw*E5+(1-fyw)*F5</f>
        <v>128.453455588732</v>
      </c>
      <c r="G10" s="22" t="n">
        <f aca="false">fyw*F5+(1-fyw)*G5</f>
        <v>137.979467467212</v>
      </c>
    </row>
    <row r="11" customFormat="false" ht="17.15" hidden="false" customHeight="false" outlineLevel="0" collapsed="false">
      <c r="A11" s="0" t="s">
        <v>517</v>
      </c>
      <c r="B11" s="0" t="s">
        <v>26</v>
      </c>
      <c r="D11" s="22" t="n">
        <f aca="false">fyw*C6+(1-fyw)*D6</f>
        <v>37.2009738622005</v>
      </c>
      <c r="E11" s="22" t="n">
        <f aca="false">fyw*D6+(1-fyw)*E6</f>
        <v>50.9432684796939</v>
      </c>
      <c r="F11" s="22" t="n">
        <f aca="false">fyw*E6+(1-fyw)*F6</f>
        <v>58.5105386669218</v>
      </c>
      <c r="G11" s="22" t="n">
        <f aca="false">fyw*F6+(1-fyw)*G6</f>
        <v>61.452894215555</v>
      </c>
    </row>
    <row r="12" customFormat="false" ht="15" hidden="false" customHeight="false" outlineLevel="0" collapsed="false">
      <c r="A12" s="0" t="s">
        <v>518</v>
      </c>
      <c r="B12" s="0" t="s">
        <v>26</v>
      </c>
      <c r="D12" s="22" t="n">
        <f aca="false">fyw*C7+(1-fyw)*D7</f>
        <v>16.6153548887347</v>
      </c>
      <c r="E12" s="22" t="n">
        <f aca="false">fyw*D7+(1-fyw)*E7</f>
        <v>22.2906736126895</v>
      </c>
      <c r="F12" s="22" t="n">
        <f aca="false">fyw*E7+(1-fyw)*F7</f>
        <v>25.6924392314045</v>
      </c>
      <c r="G12" s="22" t="n">
        <f aca="false">fyw*F7+(1-fyw)*G7</f>
        <v>27.4254809147473</v>
      </c>
    </row>
    <row r="13" customFormat="false" ht="15" hidden="false" customHeight="false" outlineLevel="0" collapsed="false">
      <c r="A13" s="5" t="s">
        <v>519</v>
      </c>
      <c r="B13" s="0" t="s">
        <v>26</v>
      </c>
      <c r="D13" s="22" t="n">
        <f aca="false">fyw*C8+(1-fyw)*D8</f>
        <v>149.613680782444</v>
      </c>
      <c r="E13" s="22" t="n">
        <f aca="false">fyw*D8+(1-fyw)*E8</f>
        <v>186.689066242988</v>
      </c>
      <c r="F13" s="22" t="n">
        <f aca="false">fyw*E8+(1-fyw)*F8</f>
        <v>212.656433487059</v>
      </c>
      <c r="G13" s="22" t="n">
        <f aca="false">fyw*F8+(1-fyw)*G8</f>
        <v>226.857842597515</v>
      </c>
    </row>
    <row r="15" customFormat="false" ht="17.15" hidden="false" customHeight="false" outlineLevel="0" collapsed="false">
      <c r="A15" s="3" t="s">
        <v>522</v>
      </c>
    </row>
    <row r="16" customFormat="false" ht="15" hidden="false" customHeight="false" outlineLevel="0" collapsed="false">
      <c r="A16" s="5" t="s">
        <v>516</v>
      </c>
      <c r="B16" s="0" t="s">
        <v>26</v>
      </c>
      <c r="C16" s="22" t="n">
        <f aca="false">laB_25+loB_25+ofB_25</f>
        <v>78.3481206981793</v>
      </c>
      <c r="D16" s="22" t="n">
        <f aca="false">laB_26+loB_26+ofB_26</f>
        <v>99.2871982981748</v>
      </c>
      <c r="E16" s="22" t="n">
        <f aca="false">laB_27+loB_27+ofB_27</f>
        <v>116.288709321091</v>
      </c>
      <c r="F16" s="22" t="n">
        <f aca="false">laB_28+loB_28+ofB_28</f>
        <v>116.288709321091</v>
      </c>
      <c r="G16" s="22" t="n">
        <f aca="false">laB_29+loB_29+ofB_29</f>
        <v>110.474273855037</v>
      </c>
    </row>
    <row r="17" customFormat="false" ht="17.15" hidden="false" customHeight="false" outlineLevel="0" collapsed="false">
      <c r="A17" s="0" t="s">
        <v>517</v>
      </c>
      <c r="B17" s="0" t="s">
        <v>26</v>
      </c>
      <c r="C17" s="22" t="n">
        <f aca="false">drB_25</f>
        <v>26.3761091658243</v>
      </c>
      <c r="D17" s="22" t="n">
        <f aca="false">drB_26</f>
        <v>39.3659468014757</v>
      </c>
      <c r="E17" s="22" t="n">
        <f aca="false">drB_27</f>
        <v>53.2587328153375</v>
      </c>
      <c r="F17" s="22" t="n">
        <f aca="false">drB_28</f>
        <v>53.2587328153375</v>
      </c>
      <c r="G17" s="22" t="n">
        <f aca="false">drB_29</f>
        <v>50.5957961745707</v>
      </c>
    </row>
    <row r="18" customFormat="false" ht="15" hidden="false" customHeight="false" outlineLevel="0" collapsed="false">
      <c r="A18" s="0" t="s">
        <v>518</v>
      </c>
      <c r="B18" s="0" t="s">
        <v>26</v>
      </c>
      <c r="C18" s="22" t="n">
        <f aca="false">ndB_25</f>
        <v>12.1726019800256</v>
      </c>
      <c r="D18" s="22" t="n">
        <f aca="false">ndB_26</f>
        <v>17.5039054704765</v>
      </c>
      <c r="E18" s="22" t="n">
        <f aca="false">ndB_27</f>
        <v>23.2480272411321</v>
      </c>
      <c r="F18" s="22" t="n">
        <f aca="false">ndB_28</f>
        <v>23.2480272411321</v>
      </c>
      <c r="G18" s="22" t="n">
        <f aca="false">ndB_29</f>
        <v>22.0856258790755</v>
      </c>
    </row>
    <row r="19" customFormat="false" ht="15" hidden="false" customHeight="false" outlineLevel="0" collapsed="false">
      <c r="A19" s="5" t="s">
        <v>519</v>
      </c>
      <c r="B19" s="0" t="s">
        <v>26</v>
      </c>
      <c r="C19" s="22" t="n">
        <f aca="false">SUM(C16:C18)</f>
        <v>116.896831844029</v>
      </c>
      <c r="D19" s="22" t="n">
        <f aca="false">SUM(D16:D18)</f>
        <v>156.157050570127</v>
      </c>
      <c r="E19" s="22" t="n">
        <f aca="false">SUM(E16:E18)</f>
        <v>192.795469377561</v>
      </c>
      <c r="F19" s="22" t="n">
        <f aca="false">SUM(F16:F18)</f>
        <v>192.795469377561</v>
      </c>
      <c r="G19" s="22" t="n">
        <f aca="false">SUM(G16:G18)</f>
        <v>183.155695908683</v>
      </c>
    </row>
    <row r="20" customFormat="false" ht="17.15" hidden="false" customHeight="false" outlineLevel="0" collapsed="false">
      <c r="A20" s="3" t="s">
        <v>523</v>
      </c>
    </row>
    <row r="21" customFormat="false" ht="15" hidden="false" customHeight="false" outlineLevel="0" collapsed="false">
      <c r="A21" s="5" t="s">
        <v>521</v>
      </c>
      <c r="B21" s="0" t="s">
        <v>26</v>
      </c>
      <c r="D21" s="22" t="n">
        <f aca="false">fyw*C16+(1-fyw)*D16</f>
        <v>95.7973520315089</v>
      </c>
      <c r="E21" s="22" t="n">
        <f aca="false">fyw*D16+(1-fyw)*E16</f>
        <v>113.455124150605</v>
      </c>
      <c r="F21" s="22" t="n">
        <f aca="false">fyw*E16+(1-fyw)*F16</f>
        <v>116.288709321091</v>
      </c>
      <c r="G21" s="22" t="n">
        <f aca="false">fyw*F16+(1-fyw)*G16</f>
        <v>111.443346432712</v>
      </c>
    </row>
    <row r="22" customFormat="false" ht="17.15" hidden="false" customHeight="false" outlineLevel="0" collapsed="false">
      <c r="A22" s="0" t="s">
        <v>517</v>
      </c>
      <c r="B22" s="0" t="s">
        <v>26</v>
      </c>
      <c r="D22" s="22" t="n">
        <f aca="false">fyw*C17+(1-fyw)*D17</f>
        <v>37.2009738622005</v>
      </c>
      <c r="E22" s="22" t="n">
        <f aca="false">fyw*D17+(1-fyw)*E17</f>
        <v>50.9432684796939</v>
      </c>
      <c r="F22" s="22" t="n">
        <f aca="false">fyw*E17+(1-fyw)*F17</f>
        <v>53.2587328153375</v>
      </c>
      <c r="G22" s="22" t="n">
        <f aca="false">fyw*F17+(1-fyw)*G17</f>
        <v>51.0396189480318</v>
      </c>
    </row>
    <row r="23" customFormat="false" ht="15" hidden="false" customHeight="false" outlineLevel="0" collapsed="false">
      <c r="A23" s="0" t="s">
        <v>518</v>
      </c>
      <c r="B23" s="0" t="s">
        <v>26</v>
      </c>
      <c r="D23" s="22" t="n">
        <f aca="false">fyw*C18+(1-fyw)*D18</f>
        <v>16.6153548887347</v>
      </c>
      <c r="E23" s="22" t="n">
        <f aca="false">fyw*D18+(1-fyw)*E18</f>
        <v>22.2906736126895</v>
      </c>
      <c r="F23" s="22" t="n">
        <f aca="false">fyw*E18+(1-fyw)*F18</f>
        <v>23.2480272411321</v>
      </c>
      <c r="G23" s="22" t="n">
        <f aca="false">fyw*F18+(1-fyw)*G18</f>
        <v>22.2793594394183</v>
      </c>
    </row>
    <row r="24" customFormat="false" ht="15" hidden="false" customHeight="false" outlineLevel="0" collapsed="false">
      <c r="A24" s="5" t="s">
        <v>519</v>
      </c>
      <c r="B24" s="0" t="s">
        <v>26</v>
      </c>
      <c r="D24" s="22" t="n">
        <f aca="false">fyw*C19+(1-fyw)*D19</f>
        <v>149.613680782444</v>
      </c>
      <c r="E24" s="22" t="n">
        <f aca="false">fyw*D19+(1-fyw)*E19</f>
        <v>186.689066242988</v>
      </c>
      <c r="F24" s="22" t="n">
        <f aca="false">fyw*E19+(1-fyw)*F19</f>
        <v>192.795469377561</v>
      </c>
      <c r="G24" s="22" t="n">
        <f aca="false">fyw*F19+(1-fyw)*G19</f>
        <v>184.762324820162</v>
      </c>
    </row>
    <row r="26" customFormat="false" ht="17.15" hidden="false" customHeight="false" outlineLevel="0" collapsed="false">
      <c r="A26" s="3" t="s">
        <v>524</v>
      </c>
    </row>
    <row r="27" customFormat="false" ht="15" hidden="false" customHeight="false" outlineLevel="0" collapsed="false">
      <c r="A27" s="5" t="s">
        <v>516</v>
      </c>
      <c r="B27" s="0" t="s">
        <v>26</v>
      </c>
      <c r="C27" s="22" t="n">
        <f aca="false">laC_25+loC_25+ofC_25</f>
        <v>78.3481206981793</v>
      </c>
      <c r="D27" s="22" t="n">
        <f aca="false">laC_26+loC_26+ofC_26</f>
        <v>99.2871982981748</v>
      </c>
      <c r="E27" s="22" t="n">
        <f aca="false">laC_27+loC_27+ofC_27</f>
        <v>116.288709321091</v>
      </c>
      <c r="F27" s="22" t="n">
        <f aca="false">laC_28+loC_28+ofC_28</f>
        <v>93.030967456873</v>
      </c>
      <c r="G27" s="22" t="n">
        <f aca="false">laC_29+loC_29+ofC_29</f>
        <v>93.030967456873</v>
      </c>
    </row>
    <row r="28" customFormat="false" ht="17.15" hidden="false" customHeight="false" outlineLevel="0" collapsed="false">
      <c r="A28" s="0" t="s">
        <v>517</v>
      </c>
      <c r="B28" s="0" t="s">
        <v>26</v>
      </c>
      <c r="C28" s="22" t="n">
        <f aca="false">drC_25</f>
        <v>26.3761091658243</v>
      </c>
      <c r="D28" s="22" t="n">
        <f aca="false">drC_26</f>
        <v>39.3659468014757</v>
      </c>
      <c r="E28" s="22" t="n">
        <f aca="false">drC_27</f>
        <v>53.2587328153375</v>
      </c>
      <c r="F28" s="22" t="n">
        <f aca="false">drC_28</f>
        <v>42.60698625227</v>
      </c>
      <c r="G28" s="22" t="n">
        <f aca="false">drC_29</f>
        <v>42.60698625227</v>
      </c>
    </row>
    <row r="29" customFormat="false" ht="15" hidden="false" customHeight="false" outlineLevel="0" collapsed="false">
      <c r="A29" s="0" t="s">
        <v>518</v>
      </c>
      <c r="B29" s="0" t="s">
        <v>26</v>
      </c>
      <c r="C29" s="22" t="n">
        <f aca="false">ndC_25</f>
        <v>12.1726019800256</v>
      </c>
      <c r="D29" s="22" t="n">
        <f aca="false">ndC_26</f>
        <v>17.5039054704765</v>
      </c>
      <c r="E29" s="22" t="n">
        <f aca="false">ndC_27</f>
        <v>23.2480272411321</v>
      </c>
      <c r="F29" s="22" t="n">
        <f aca="false">ndC_28</f>
        <v>18.5984217929057</v>
      </c>
      <c r="G29" s="22" t="n">
        <f aca="false">ndC_29</f>
        <v>18.5984217929057</v>
      </c>
    </row>
    <row r="30" customFormat="false" ht="15" hidden="false" customHeight="false" outlineLevel="0" collapsed="false">
      <c r="A30" s="5" t="s">
        <v>519</v>
      </c>
      <c r="B30" s="0" t="s">
        <v>26</v>
      </c>
      <c r="C30" s="22" t="n">
        <f aca="false">SUM(C27:C29)</f>
        <v>116.896831844029</v>
      </c>
      <c r="D30" s="22" t="n">
        <f aca="false">SUM(D27:D29)</f>
        <v>156.157050570127</v>
      </c>
      <c r="E30" s="22" t="n">
        <f aca="false">SUM(E27:E29)</f>
        <v>192.795469377561</v>
      </c>
      <c r="F30" s="22" t="n">
        <f aca="false">SUM(F27:F29)</f>
        <v>154.236375502049</v>
      </c>
      <c r="G30" s="22" t="n">
        <f aca="false">SUM(G27:G29)</f>
        <v>154.236375502049</v>
      </c>
    </row>
    <row r="31" customFormat="false" ht="17.15" hidden="false" customHeight="false" outlineLevel="0" collapsed="false">
      <c r="A31" s="3" t="s">
        <v>525</v>
      </c>
    </row>
    <row r="32" customFormat="false" ht="15" hidden="false" customHeight="false" outlineLevel="0" collapsed="false">
      <c r="A32" s="5" t="s">
        <v>521</v>
      </c>
      <c r="B32" s="0" t="s">
        <v>26</v>
      </c>
      <c r="D32" s="22" t="n">
        <f aca="false">fyw*C27+(1-fyw)*D27</f>
        <v>95.7973520315089</v>
      </c>
      <c r="E32" s="22" t="n">
        <f aca="false">fyw*D27+(1-fyw)*E27</f>
        <v>113.455124150605</v>
      </c>
      <c r="F32" s="22" t="n">
        <f aca="false">fyw*E27+(1-fyw)*F27</f>
        <v>96.907257767576</v>
      </c>
      <c r="G32" s="22" t="n">
        <f aca="false">fyw*F27+(1-fyw)*G27</f>
        <v>93.030967456873</v>
      </c>
    </row>
    <row r="33" customFormat="false" ht="17.15" hidden="false" customHeight="false" outlineLevel="0" collapsed="false">
      <c r="A33" s="0" t="s">
        <v>517</v>
      </c>
      <c r="B33" s="0" t="s">
        <v>26</v>
      </c>
      <c r="D33" s="22" t="n">
        <f aca="false">fyw*C28+(1-fyw)*D28</f>
        <v>37.2009738622005</v>
      </c>
      <c r="E33" s="22" t="n">
        <f aca="false">fyw*D28+(1-fyw)*E28</f>
        <v>50.9432684796939</v>
      </c>
      <c r="F33" s="22" t="n">
        <f aca="false">fyw*E28+(1-fyw)*F28</f>
        <v>44.3822773461146</v>
      </c>
      <c r="G33" s="22" t="n">
        <f aca="false">fyw*F28+(1-fyw)*G28</f>
        <v>42.60698625227</v>
      </c>
    </row>
    <row r="34" customFormat="false" ht="15" hidden="false" customHeight="false" outlineLevel="0" collapsed="false">
      <c r="A34" s="0" t="s">
        <v>518</v>
      </c>
      <c r="B34" s="0" t="s">
        <v>26</v>
      </c>
      <c r="D34" s="22" t="n">
        <f aca="false">fyw*C29+(1-fyw)*D29</f>
        <v>16.6153548887347</v>
      </c>
      <c r="E34" s="22" t="n">
        <f aca="false">fyw*D29+(1-fyw)*E29</f>
        <v>22.2906736126895</v>
      </c>
      <c r="F34" s="22" t="n">
        <f aca="false">fyw*E29+(1-fyw)*F29</f>
        <v>19.3733560342768</v>
      </c>
      <c r="G34" s="22" t="n">
        <f aca="false">fyw*F29+(1-fyw)*G29</f>
        <v>18.5984217929057</v>
      </c>
    </row>
    <row r="35" customFormat="false" ht="15" hidden="false" customHeight="false" outlineLevel="0" collapsed="false">
      <c r="A35" s="5" t="s">
        <v>519</v>
      </c>
      <c r="B35" s="0" t="s">
        <v>26</v>
      </c>
      <c r="D35" s="22" t="n">
        <f aca="false">fyw*C30+(1-fyw)*D30</f>
        <v>149.613680782444</v>
      </c>
      <c r="E35" s="22" t="n">
        <f aca="false">fyw*D30+(1-fyw)*E30</f>
        <v>186.689066242988</v>
      </c>
      <c r="F35" s="22" t="n">
        <f aca="false">fyw*E30+(1-fyw)*F30</f>
        <v>160.662891147967</v>
      </c>
      <c r="G35" s="22" t="n">
        <f aca="false">fyw*F30+(1-fyw)*G30</f>
        <v>154.236375502049</v>
      </c>
    </row>
    <row r="37" customFormat="false" ht="17.15" hidden="false" customHeight="false" outlineLevel="0" collapsed="false">
      <c r="A37" s="1" t="s">
        <v>526</v>
      </c>
    </row>
    <row r="38" customFormat="false" ht="17.15" hidden="false" customHeight="false" outlineLevel="0" collapsed="false">
      <c r="A38" s="5" t="s">
        <v>527</v>
      </c>
      <c r="B38" s="0" t="s">
        <v>195</v>
      </c>
      <c r="D38" s="11" t="n">
        <f aca="false">PL!D65</f>
        <v>0.174088357854613</v>
      </c>
      <c r="E38" s="11" t="n">
        <f aca="false">PL!E65</f>
        <v>0.174032095099019</v>
      </c>
      <c r="F38" s="11" t="n">
        <f aca="false">PL!F65</f>
        <v>0.173968172468113</v>
      </c>
      <c r="G38" s="11" t="n">
        <f aca="false">PL!G65</f>
        <v>0.17383613380168</v>
      </c>
      <c r="H38" s="8" t="s">
        <v>528</v>
      </c>
    </row>
    <row r="40" customFormat="false" ht="17.15" hidden="false" customHeight="false" outlineLevel="0" collapsed="false">
      <c r="A40" s="5" t="s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530</v>
      </c>
    </row>
    <row r="3" customFormat="false" ht="17.15" hidden="false" customHeight="false" outlineLevel="0" collapsed="false">
      <c r="A3" s="6" t="s">
        <v>531</v>
      </c>
      <c r="B3" s="6" t="s">
        <v>16</v>
      </c>
      <c r="C3" s="15" t="s">
        <v>532</v>
      </c>
      <c r="D3" s="15" t="s">
        <v>533</v>
      </c>
      <c r="E3" s="15" t="s">
        <v>534</v>
      </c>
      <c r="F3" s="15" t="s">
        <v>535</v>
      </c>
      <c r="G3" s="15" t="s">
        <v>536</v>
      </c>
      <c r="H3" s="6" t="s">
        <v>514</v>
      </c>
    </row>
    <row r="4" customFormat="false" ht="17.15" hidden="false" customHeight="false" outlineLevel="0" collapsed="false">
      <c r="A4" s="3" t="s">
        <v>537</v>
      </c>
    </row>
    <row r="5" customFormat="false" ht="15" hidden="false" customHeight="false" outlineLevel="0" collapsed="false">
      <c r="A5" s="5" t="s">
        <v>450</v>
      </c>
      <c r="B5" s="0" t="s">
        <v>248</v>
      </c>
      <c r="C5" s="9" t="n">
        <f aca="false">C56</f>
        <v>28368</v>
      </c>
      <c r="D5" s="9" t="n">
        <f aca="false">D56</f>
        <v>34287</v>
      </c>
      <c r="E5" s="9" t="n">
        <f aca="false">E56</f>
        <v>41757.6393303468</v>
      </c>
      <c r="F5" s="9" t="n">
        <f aca="false">F56</f>
        <v>47443.9635973303</v>
      </c>
      <c r="G5" s="9" t="n">
        <f aca="false">G56</f>
        <v>51242.479654742</v>
      </c>
    </row>
    <row r="6" customFormat="false" ht="15" hidden="false" customHeight="false" outlineLevel="0" collapsed="false">
      <c r="A6" s="5" t="s">
        <v>538</v>
      </c>
      <c r="B6" s="0" t="s">
        <v>248</v>
      </c>
      <c r="C6" s="9" t="n">
        <f aca="false">C52</f>
        <v>21438.5432098765</v>
      </c>
      <c r="D6" s="9" t="n">
        <f aca="false">D52</f>
        <v>26046</v>
      </c>
      <c r="E6" s="9" t="n">
        <f aca="false">E52</f>
        <v>32489.8893303468</v>
      </c>
      <c r="F6" s="9" t="n">
        <f aca="false">F52</f>
        <v>36995.4510973303</v>
      </c>
      <c r="G6" s="9" t="n">
        <f aca="false">G52</f>
        <v>39436.090279742</v>
      </c>
    </row>
    <row r="7" customFormat="false" ht="17.15" hidden="false" customHeight="false" outlineLevel="0" collapsed="false">
      <c r="A7" s="0" t="s">
        <v>539</v>
      </c>
      <c r="B7" s="0" t="s">
        <v>248</v>
      </c>
      <c r="C7" s="9" t="n">
        <f aca="false">C53</f>
        <v>5744.19672131148</v>
      </c>
      <c r="D7" s="9" t="n">
        <f aca="false">D53</f>
        <v>6845</v>
      </c>
      <c r="E7" s="9" t="n">
        <f aca="false">E53</f>
        <v>7871.75</v>
      </c>
      <c r="F7" s="9" t="n">
        <f aca="false">F53</f>
        <v>9052.5125</v>
      </c>
      <c r="G7" s="9" t="n">
        <f aca="false">G53</f>
        <v>10410.389375</v>
      </c>
    </row>
    <row r="8" customFormat="false" ht="17.15" hidden="false" customHeight="false" outlineLevel="0" collapsed="false">
      <c r="A8" s="0" t="s">
        <v>456</v>
      </c>
      <c r="B8" s="0" t="s">
        <v>195</v>
      </c>
      <c r="C8" s="11" t="n">
        <f aca="false">C57</f>
        <v>0.487833192329385</v>
      </c>
      <c r="D8" s="11" t="n">
        <f aca="false">D57</f>
        <v>0.500418584303089</v>
      </c>
      <c r="E8" s="11" t="n">
        <f aca="false">E57</f>
        <v>0.511209764771017</v>
      </c>
      <c r="F8" s="11" t="n">
        <f aca="false">F57</f>
        <v>0.51714572976501</v>
      </c>
      <c r="G8" s="11" t="n">
        <f aca="false">G57</f>
        <v>0.520377046108731</v>
      </c>
    </row>
    <row r="9" customFormat="false" ht="17.15" hidden="false" customHeight="false" outlineLevel="0" collapsed="false">
      <c r="A9" s="0" t="s">
        <v>461</v>
      </c>
      <c r="B9" s="0" t="s">
        <v>248</v>
      </c>
      <c r="C9" s="9" t="n">
        <f aca="false">C60</f>
        <v>8562</v>
      </c>
      <c r="D9" s="9" t="n">
        <f aca="false">D60</f>
        <v>11325</v>
      </c>
      <c r="E9" s="9" t="n">
        <f aca="false">E60</f>
        <v>14812.3080705775</v>
      </c>
      <c r="F9" s="9" t="n">
        <f aca="false">F60</f>
        <v>17466.6946138577</v>
      </c>
      <c r="G9" s="9" t="n">
        <f aca="false">G60</f>
        <v>19239.8488403535</v>
      </c>
    </row>
    <row r="10" customFormat="false" ht="17.15" hidden="false" customHeight="false" outlineLevel="0" collapsed="false">
      <c r="A10" s="0" t="s">
        <v>540</v>
      </c>
      <c r="B10" s="0" t="s">
        <v>195</v>
      </c>
      <c r="C10" s="11" t="n">
        <f aca="false">C61</f>
        <v>0.301818950930626</v>
      </c>
      <c r="D10" s="11" t="n">
        <f aca="false">D61</f>
        <v>0.330300113745735</v>
      </c>
      <c r="E10" s="11" t="n">
        <f aca="false">E61</f>
        <v>0.354720915935802</v>
      </c>
      <c r="F10" s="11" t="n">
        <f aca="false">F61</f>
        <v>0.368154203179612</v>
      </c>
      <c r="G10" s="11" t="n">
        <f aca="false">G61</f>
        <v>0.375466780100931</v>
      </c>
    </row>
    <row r="11" customFormat="false" ht="17.15" hidden="false" customHeight="false" outlineLevel="0" collapsed="false">
      <c r="A11" s="0" t="s">
        <v>466</v>
      </c>
      <c r="B11" s="0" t="s">
        <v>248</v>
      </c>
      <c r="C11" s="9" t="n">
        <f aca="false">C62</f>
        <v>7607</v>
      </c>
      <c r="D11" s="9" t="n">
        <f aca="false">D62</f>
        <v>10179.92</v>
      </c>
      <c r="E11" s="9" t="n">
        <f aca="false">E62</f>
        <v>13160.1527088161</v>
      </c>
      <c r="F11" s="9" t="n">
        <f aca="false">F62</f>
        <v>15518.4706759653</v>
      </c>
      <c r="G11" s="9" t="n">
        <f aca="false">G62</f>
        <v>17093.8484149228</v>
      </c>
    </row>
    <row r="12" customFormat="false" ht="15" hidden="false" customHeight="false" outlineLevel="0" collapsed="false">
      <c r="A12" s="0" t="s">
        <v>504</v>
      </c>
      <c r="B12" s="0" t="s">
        <v>337</v>
      </c>
      <c r="C12" s="14" t="n">
        <f aca="false">C64</f>
        <v>9.42</v>
      </c>
      <c r="D12" s="14" t="n">
        <f aca="false">D64</f>
        <v>12.76</v>
      </c>
      <c r="E12" s="14" t="n">
        <f aca="false">E64</f>
        <v>16.6621885068586</v>
      </c>
      <c r="F12" s="14" t="n">
        <f aca="false">F64</f>
        <v>19.8465416556624</v>
      </c>
      <c r="G12" s="14" t="n">
        <f aca="false">G64</f>
        <v>22.0821102531286</v>
      </c>
    </row>
    <row r="14" customFormat="false" ht="17.15" hidden="false" customHeight="false" outlineLevel="0" collapsed="false">
      <c r="A14" s="3" t="s">
        <v>541</v>
      </c>
    </row>
    <row r="15" customFormat="false" ht="15" hidden="false" customHeight="false" outlineLevel="0" collapsed="false">
      <c r="A15" s="5" t="s">
        <v>450</v>
      </c>
      <c r="B15" s="0" t="s">
        <v>248</v>
      </c>
      <c r="C15" s="9" t="n">
        <f aca="false">C84</f>
        <v>28368</v>
      </c>
      <c r="D15" s="9" t="n">
        <f aca="false">D84</f>
        <v>34287</v>
      </c>
      <c r="E15" s="9" t="n">
        <f aca="false">E84</f>
        <v>41414.0393303468</v>
      </c>
      <c r="F15" s="9" t="n">
        <f aca="false">F84</f>
        <v>43244.2756331856</v>
      </c>
      <c r="G15" s="9" t="n">
        <f aca="false">G84</f>
        <v>42711.0466143029</v>
      </c>
    </row>
    <row r="16" customFormat="false" ht="15" hidden="false" customHeight="false" outlineLevel="0" collapsed="false">
      <c r="A16" s="5" t="s">
        <v>538</v>
      </c>
      <c r="B16" s="0" t="s">
        <v>248</v>
      </c>
      <c r="C16" s="9" t="n">
        <f aca="false">C80</f>
        <v>21438.5432098765</v>
      </c>
      <c r="D16" s="9" t="n">
        <f aca="false">D80</f>
        <v>26046</v>
      </c>
      <c r="E16" s="9" t="n">
        <f aca="false">E80</f>
        <v>32489.8893303468</v>
      </c>
      <c r="F16" s="9" t="n">
        <f aca="false">F80</f>
        <v>33550.6611331856</v>
      </c>
      <c r="G16" s="9" t="n">
        <f aca="false">G80</f>
        <v>32152.7169193029</v>
      </c>
    </row>
    <row r="17" customFormat="false" ht="17.15" hidden="false" customHeight="false" outlineLevel="0" collapsed="false">
      <c r="A17" s="0" t="s">
        <v>539</v>
      </c>
      <c r="B17" s="0" t="s">
        <v>248</v>
      </c>
      <c r="C17" s="9" t="n">
        <f aca="false">C81</f>
        <v>5744.19672131148</v>
      </c>
      <c r="D17" s="9" t="n">
        <f aca="false">D81</f>
        <v>6845</v>
      </c>
      <c r="E17" s="9" t="n">
        <f aca="false">E81</f>
        <v>7597.95</v>
      </c>
      <c r="F17" s="9" t="n">
        <f aca="false">F81</f>
        <v>8433.7245</v>
      </c>
      <c r="G17" s="9" t="n">
        <f aca="false">G81</f>
        <v>9361.434195</v>
      </c>
    </row>
    <row r="18" customFormat="false" ht="17.15" hidden="false" customHeight="false" outlineLevel="0" collapsed="false">
      <c r="A18" s="0" t="s">
        <v>456</v>
      </c>
      <c r="B18" s="0" t="s">
        <v>195</v>
      </c>
      <c r="C18" s="11" t="n">
        <f aca="false">C85</f>
        <v>0.487833192329385</v>
      </c>
      <c r="D18" s="11" t="n">
        <f aca="false">D85</f>
        <v>0.500418584303089</v>
      </c>
      <c r="E18" s="11" t="n">
        <f aca="false">E85</f>
        <v>0.510798855219331</v>
      </c>
      <c r="F18" s="11" t="n">
        <f aca="false">F85</f>
        <v>0.512912381044806</v>
      </c>
      <c r="G18" s="11" t="n">
        <f aca="false">G85</f>
        <v>0.512315316135527</v>
      </c>
    </row>
    <row r="19" customFormat="false" ht="17.15" hidden="false" customHeight="false" outlineLevel="0" collapsed="false">
      <c r="A19" s="0" t="s">
        <v>461</v>
      </c>
      <c r="B19" s="0" t="s">
        <v>248</v>
      </c>
      <c r="C19" s="9" t="n">
        <f aca="false">C88</f>
        <v>8562</v>
      </c>
      <c r="D19" s="9" t="n">
        <f aca="false">D88</f>
        <v>11325</v>
      </c>
      <c r="E19" s="9" t="n">
        <f aca="false">E88</f>
        <v>14651.9149636338</v>
      </c>
      <c r="F19" s="9" t="n">
        <f aca="false">F88</f>
        <v>15506.2726093076</v>
      </c>
      <c r="G19" s="9" t="n">
        <f aca="false">G88</f>
        <v>15257.3603303462</v>
      </c>
    </row>
    <row r="20" customFormat="false" ht="17.15" hidden="false" customHeight="false" outlineLevel="0" collapsed="false">
      <c r="A20" s="0" t="s">
        <v>540</v>
      </c>
      <c r="B20" s="0" t="s">
        <v>195</v>
      </c>
      <c r="C20" s="11" t="n">
        <f aca="false">C89</f>
        <v>0.301818950930626</v>
      </c>
      <c r="D20" s="11" t="n">
        <f aca="false">D89</f>
        <v>0.330300113745735</v>
      </c>
      <c r="E20" s="11" t="n">
        <f aca="false">E89</f>
        <v>0.353791013882032</v>
      </c>
      <c r="F20" s="11" t="n">
        <f aca="false">F89</f>
        <v>0.358573993488473</v>
      </c>
      <c r="G20" s="11" t="n">
        <f aca="false">G89</f>
        <v>0.357222815636572</v>
      </c>
    </row>
    <row r="21" customFormat="false" ht="17.15" hidden="false" customHeight="false" outlineLevel="0" collapsed="false">
      <c r="A21" s="0" t="s">
        <v>466</v>
      </c>
      <c r="B21" s="0" t="s">
        <v>248</v>
      </c>
      <c r="C21" s="9" t="n">
        <f aca="false">C90</f>
        <v>7607</v>
      </c>
      <c r="D21" s="9" t="n">
        <f aca="false">D90</f>
        <v>10179.92</v>
      </c>
      <c r="E21" s="9" t="n">
        <f aca="false">E90</f>
        <v>13017.6497463633</v>
      </c>
      <c r="F21" s="9" t="n">
        <f aca="false">F90</f>
        <v>13776.7128870595</v>
      </c>
      <c r="G21" s="9" t="n">
        <f aca="false">G90</f>
        <v>13555.5641243802</v>
      </c>
    </row>
    <row r="22" customFormat="false" ht="15" hidden="false" customHeight="false" outlineLevel="0" collapsed="false">
      <c r="A22" s="0" t="s">
        <v>504</v>
      </c>
      <c r="B22" s="0" t="s">
        <v>337</v>
      </c>
      <c r="C22" s="14" t="n">
        <f aca="false">C92</f>
        <v>9.42</v>
      </c>
      <c r="D22" s="14" t="n">
        <f aca="false">D92</f>
        <v>12.76</v>
      </c>
      <c r="E22" s="14" t="n">
        <f aca="false">E92</f>
        <v>16.4817642157648</v>
      </c>
      <c r="F22" s="14" t="n">
        <f aca="false">F92</f>
        <v>17.6190110417642</v>
      </c>
      <c r="G22" s="14" t="n">
        <f aca="false">G92</f>
        <v>17.5112972966697</v>
      </c>
    </row>
    <row r="24" customFormat="false" ht="17.15" hidden="false" customHeight="false" outlineLevel="0" collapsed="false">
      <c r="A24" s="3" t="s">
        <v>542</v>
      </c>
    </row>
    <row r="25" customFormat="false" ht="15" hidden="false" customHeight="false" outlineLevel="0" collapsed="false">
      <c r="A25" s="5" t="s">
        <v>450</v>
      </c>
      <c r="B25" s="0" t="s">
        <v>248</v>
      </c>
      <c r="C25" s="9" t="n">
        <f aca="false">C112</f>
        <v>28368</v>
      </c>
      <c r="D25" s="9" t="n">
        <f aca="false">D112</f>
        <v>34287</v>
      </c>
      <c r="E25" s="9" t="n">
        <f aca="false">E112</f>
        <v>40470.4393303468</v>
      </c>
      <c r="F25" s="9" t="n">
        <f aca="false">F112</f>
        <v>36326.4847776547</v>
      </c>
      <c r="G25" s="9" t="n">
        <f aca="false">G112</f>
        <v>35643.6322415485</v>
      </c>
    </row>
    <row r="26" customFormat="false" ht="15" hidden="false" customHeight="false" outlineLevel="0" collapsed="false">
      <c r="A26" s="5" t="s">
        <v>538</v>
      </c>
      <c r="B26" s="0" t="s">
        <v>248</v>
      </c>
      <c r="C26" s="9" t="n">
        <f aca="false">C108</f>
        <v>21438.5432098765</v>
      </c>
      <c r="D26" s="9" t="n">
        <f aca="false">D108</f>
        <v>26046</v>
      </c>
      <c r="E26" s="9" t="n">
        <f aca="false">E108</f>
        <v>32489.8893303468</v>
      </c>
      <c r="F26" s="9" t="n">
        <f aca="false">F108</f>
        <v>27958.8842776547</v>
      </c>
      <c r="G26" s="9" t="n">
        <f aca="false">G108</f>
        <v>26840.5289065485</v>
      </c>
    </row>
    <row r="27" customFormat="false" ht="17.15" hidden="false" customHeight="false" outlineLevel="0" collapsed="false">
      <c r="A27" s="0" t="s">
        <v>539</v>
      </c>
      <c r="B27" s="0" t="s">
        <v>248</v>
      </c>
      <c r="C27" s="9" t="n">
        <f aca="false">C109</f>
        <v>5744.19672131148</v>
      </c>
      <c r="D27" s="9" t="n">
        <f aca="false">D109</f>
        <v>6845</v>
      </c>
      <c r="E27" s="9" t="n">
        <f aca="false">E109</f>
        <v>7324.15</v>
      </c>
      <c r="F27" s="9" t="n">
        <f aca="false">F109</f>
        <v>7836.8405</v>
      </c>
      <c r="G27" s="9" t="n">
        <f aca="false">G109</f>
        <v>8385.419335</v>
      </c>
    </row>
    <row r="28" customFormat="false" ht="17.15" hidden="false" customHeight="false" outlineLevel="0" collapsed="false">
      <c r="A28" s="0" t="s">
        <v>456</v>
      </c>
      <c r="B28" s="0" t="s">
        <v>195</v>
      </c>
      <c r="C28" s="11" t="n">
        <f aca="false">C113</f>
        <v>0.487833192329385</v>
      </c>
      <c r="D28" s="11" t="n">
        <f aca="false">D113</f>
        <v>0.500418584303089</v>
      </c>
      <c r="E28" s="11" t="n">
        <f aca="false">E113</f>
        <v>0.509634517321023</v>
      </c>
      <c r="F28" s="11" t="n">
        <f aca="false">F113</f>
        <v>0.503805030799195</v>
      </c>
      <c r="G28" s="11" t="n">
        <f aca="false">G113</f>
        <v>0.502714348637442</v>
      </c>
    </row>
    <row r="29" customFormat="false" ht="17.15" hidden="false" customHeight="false" outlineLevel="0" collapsed="false">
      <c r="A29" s="0" t="s">
        <v>461</v>
      </c>
      <c r="B29" s="0" t="s">
        <v>248</v>
      </c>
      <c r="C29" s="9" t="n">
        <f aca="false">C116</f>
        <v>8562</v>
      </c>
      <c r="D29" s="9" t="n">
        <f aca="false">D116</f>
        <v>11325</v>
      </c>
      <c r="E29" s="9" t="n">
        <f aca="false">E116</f>
        <v>14211.4407619105</v>
      </c>
      <c r="F29" s="9" t="n">
        <f aca="false">F116</f>
        <v>12277.0352155195</v>
      </c>
      <c r="G29" s="9" t="n">
        <f aca="false">G116</f>
        <v>11958.2784057102</v>
      </c>
    </row>
    <row r="30" customFormat="false" ht="17.15" hidden="false" customHeight="false" outlineLevel="0" collapsed="false">
      <c r="A30" s="0" t="s">
        <v>540</v>
      </c>
      <c r="B30" s="0" t="s">
        <v>195</v>
      </c>
      <c r="C30" s="11" t="n">
        <f aca="false">C117</f>
        <v>0.301818950930626</v>
      </c>
      <c r="D30" s="11" t="n">
        <f aca="false">D117</f>
        <v>0.330300113745735</v>
      </c>
      <c r="E30" s="11" t="n">
        <f aca="false">E117</f>
        <v>0.351156078289816</v>
      </c>
      <c r="F30" s="11" t="n">
        <f aca="false">F117</f>
        <v>0.337963755388504</v>
      </c>
      <c r="G30" s="11" t="n">
        <f aca="false">G117</f>
        <v>0.335495505190709</v>
      </c>
    </row>
    <row r="31" customFormat="false" ht="17.15" hidden="false" customHeight="false" outlineLevel="0" collapsed="false">
      <c r="A31" s="0" t="s">
        <v>466</v>
      </c>
      <c r="B31" s="0" t="s">
        <v>248</v>
      </c>
      <c r="C31" s="9" t="n">
        <f aca="false">C118</f>
        <v>7607</v>
      </c>
      <c r="D31" s="9" t="n">
        <f aca="false">D118</f>
        <v>10179.92</v>
      </c>
      <c r="E31" s="9" t="n">
        <f aca="false">E118</f>
        <v>12626.3057551802</v>
      </c>
      <c r="F31" s="9" t="n">
        <f aca="false">F118</f>
        <v>10907.6625653418</v>
      </c>
      <c r="G31" s="9" t="n">
        <f aca="false">G118</f>
        <v>10624.4596860824</v>
      </c>
    </row>
    <row r="32" customFormat="false" ht="15" hidden="false" customHeight="false" outlineLevel="0" collapsed="false">
      <c r="A32" s="0" t="s">
        <v>504</v>
      </c>
      <c r="B32" s="0" t="s">
        <v>337</v>
      </c>
      <c r="C32" s="14" t="n">
        <f aca="false">C120</f>
        <v>9.42</v>
      </c>
      <c r="D32" s="14" t="n">
        <f aca="false">D120</f>
        <v>12.76</v>
      </c>
      <c r="E32" s="14" t="n">
        <f aca="false">E120</f>
        <v>15.9862800449961</v>
      </c>
      <c r="F32" s="14" t="n">
        <f aca="false">F120</f>
        <v>13.94978822264</v>
      </c>
      <c r="G32" s="14" t="n">
        <f aca="false">G120</f>
        <v>13.7248491078918</v>
      </c>
    </row>
    <row r="34" customFormat="false" ht="17.15" hidden="false" customHeight="false" outlineLevel="0" collapsed="false">
      <c r="A34" s="3" t="s">
        <v>543</v>
      </c>
    </row>
    <row r="40" customFormat="false" ht="17.15" hidden="false" customHeight="false" outlineLevel="0" collapsed="false">
      <c r="A40" s="3" t="s">
        <v>544</v>
      </c>
    </row>
    <row r="41" customFormat="false" ht="15" hidden="false" customHeight="false" outlineLevel="0" collapsed="false">
      <c r="A41" s="6" t="s">
        <v>15</v>
      </c>
      <c r="B41" s="6" t="s">
        <v>16</v>
      </c>
      <c r="C41" s="15" t="s">
        <v>509</v>
      </c>
      <c r="D41" s="15" t="s">
        <v>510</v>
      </c>
      <c r="E41" s="15" t="s">
        <v>511</v>
      </c>
      <c r="F41" s="15" t="s">
        <v>512</v>
      </c>
      <c r="G41" s="15" t="s">
        <v>513</v>
      </c>
      <c r="H41" s="6" t="s">
        <v>514</v>
      </c>
    </row>
    <row r="42" customFormat="false" ht="17.15" hidden="false" customHeight="false" outlineLevel="0" collapsed="false">
      <c r="A42" s="1" t="s">
        <v>545</v>
      </c>
    </row>
    <row r="43" customFormat="false" ht="17.15" hidden="false" customHeight="false" outlineLevel="0" collapsed="false">
      <c r="A43" s="5" t="s">
        <v>546</v>
      </c>
      <c r="B43" s="0" t="s">
        <v>26</v>
      </c>
      <c r="C43" s="22" t="n">
        <f aca="false">laA_25+loA_25+ofA_25</f>
        <v>78.3481206981793</v>
      </c>
      <c r="D43" s="22" t="n">
        <f aca="false">laA_26+loA_26+ofA_26</f>
        <v>99.2871982981748</v>
      </c>
      <c r="E43" s="22" t="n">
        <f aca="false">laA_27+loA_27+ofA_27</f>
        <v>116.288709321091</v>
      </c>
      <c r="F43" s="22" t="n">
        <f aca="false">laA_28+loA_28+ofA_28</f>
        <v>130.886404842261</v>
      </c>
      <c r="G43" s="22" t="n">
        <f aca="false">laA_29+loA_29+ofA_29</f>
        <v>139.398079992203</v>
      </c>
    </row>
    <row r="44" customFormat="false" ht="17.15" hidden="false" customHeight="false" outlineLevel="0" collapsed="false">
      <c r="A44" s="0" t="s">
        <v>547</v>
      </c>
      <c r="B44" s="0" t="s">
        <v>26</v>
      </c>
      <c r="C44" s="22" t="n">
        <f aca="false">drA_25</f>
        <v>26.3761091658243</v>
      </c>
      <c r="D44" s="22" t="n">
        <f aca="false">drA_26</f>
        <v>39.3659468014757</v>
      </c>
      <c r="E44" s="22" t="n">
        <f aca="false">drA_27</f>
        <v>53.2587328153375</v>
      </c>
      <c r="F44" s="22" t="n">
        <f aca="false">drA_28</f>
        <v>59.5608998372386</v>
      </c>
      <c r="G44" s="22" t="n">
        <f aca="false">drA_29</f>
        <v>61.8312930912183</v>
      </c>
    </row>
    <row r="45" customFormat="false" ht="15" hidden="false" customHeight="false" outlineLevel="0" collapsed="false">
      <c r="A45" s="0" t="s">
        <v>548</v>
      </c>
      <c r="B45" s="0" t="s">
        <v>26</v>
      </c>
      <c r="C45" s="22" t="n">
        <f aca="false">ndA_25</f>
        <v>12.1726019800256</v>
      </c>
      <c r="D45" s="22" t="n">
        <f aca="false">ndA_26</f>
        <v>17.5039054704765</v>
      </c>
      <c r="E45" s="22" t="n">
        <f aca="false">ndA_27</f>
        <v>23.2480272411321</v>
      </c>
      <c r="F45" s="22" t="n">
        <f aca="false">ndA_28</f>
        <v>26.181321629459</v>
      </c>
      <c r="G45" s="22" t="n">
        <f aca="false">ndA_29</f>
        <v>27.674312771805</v>
      </c>
    </row>
    <row r="46" customFormat="false" ht="17.15" hidden="false" customHeight="false" outlineLevel="0" collapsed="false">
      <c r="A46" s="1" t="s">
        <v>549</v>
      </c>
    </row>
    <row r="47" customFormat="false" ht="17.15" hidden="false" customHeight="false" outlineLevel="0" collapsed="false">
      <c r="A47" s="5" t="s">
        <v>550</v>
      </c>
      <c r="B47" s="0" t="s">
        <v>26</v>
      </c>
      <c r="D47" s="22" t="n">
        <f aca="false">fyw*C43+(1-fyw)*D43</f>
        <v>95.7973520315089</v>
      </c>
      <c r="E47" s="22" t="n">
        <f aca="false">fyw*D43+(1-fyw)*E43</f>
        <v>113.455124150605</v>
      </c>
      <c r="F47" s="22" t="n">
        <f aca="false">fyw*E43+(1-fyw)*F43</f>
        <v>128.453455588732</v>
      </c>
      <c r="G47" s="22" t="n">
        <f aca="false">fyw*F43+(1-fyw)*G43</f>
        <v>137.979467467212</v>
      </c>
    </row>
    <row r="48" customFormat="false" ht="17.15" hidden="false" customHeight="false" outlineLevel="0" collapsed="false">
      <c r="A48" s="0" t="s">
        <v>551</v>
      </c>
      <c r="B48" s="0" t="s">
        <v>26</v>
      </c>
      <c r="D48" s="22" t="n">
        <f aca="false">fyw*C44+(1-fyw)*D44</f>
        <v>37.2009738622005</v>
      </c>
      <c r="E48" s="22" t="n">
        <f aca="false">fyw*D44+(1-fyw)*E44</f>
        <v>50.9432684796939</v>
      </c>
      <c r="F48" s="22" t="n">
        <f aca="false">fyw*E44+(1-fyw)*F44</f>
        <v>58.5105386669218</v>
      </c>
      <c r="G48" s="22" t="n">
        <f aca="false">fyw*F44+(1-fyw)*G44</f>
        <v>61.452894215555</v>
      </c>
    </row>
    <row r="49" customFormat="false" ht="15" hidden="false" customHeight="false" outlineLevel="0" collapsed="false">
      <c r="A49" s="0" t="s">
        <v>552</v>
      </c>
      <c r="B49" s="0" t="s">
        <v>26</v>
      </c>
      <c r="D49" s="22" t="n">
        <f aca="false">fyw*C45+(1-fyw)*D45</f>
        <v>16.6153548887347</v>
      </c>
      <c r="E49" s="22" t="n">
        <f aca="false">fyw*D45+(1-fyw)*E45</f>
        <v>22.2906736126895</v>
      </c>
      <c r="F49" s="22" t="n">
        <f aca="false">fyw*E45+(1-fyw)*F45</f>
        <v>25.6924392314045</v>
      </c>
      <c r="G49" s="22" t="n">
        <f aca="false">fyw*F45+(1-fyw)*G45</f>
        <v>27.4254809147473</v>
      </c>
    </row>
    <row r="50" customFormat="false" ht="17.15" hidden="false" customHeight="false" outlineLevel="0" collapsed="false">
      <c r="A50" s="5" t="s">
        <v>553</v>
      </c>
      <c r="B50" s="0" t="s">
        <v>242</v>
      </c>
      <c r="D50" s="21" t="n">
        <f aca="false">m_fl*D47/$D47+m_dr*D48/$D48+m_nd*D49/$D49</f>
        <v>1</v>
      </c>
      <c r="E50" s="21" t="n">
        <f aca="false">m_fl*E47/$D47+m_dr*E48/$D48+m_nd*E49/$D49</f>
        <v>1.2474041822294</v>
      </c>
      <c r="F50" s="21" t="n">
        <f aca="false">m_fl*F47/$D47+m_dr*F48/$D48+m_nd*F49/$D49</f>
        <v>1.42038896941297</v>
      </c>
      <c r="G50" s="21" t="n">
        <f aca="false">m_fl*G47/$D47+m_dr*G48/$D48+m_nd*G49/$D49</f>
        <v>1.51409392151355</v>
      </c>
      <c r="H50" s="8" t="s">
        <v>554</v>
      </c>
    </row>
    <row r="51" customFormat="false" ht="17.15" hidden="false" customHeight="false" outlineLevel="0" collapsed="false">
      <c r="A51" s="1" t="s">
        <v>555</v>
      </c>
    </row>
    <row r="52" customFormat="false" ht="17.15" hidden="false" customHeight="false" outlineLevel="0" collapsed="false">
      <c r="A52" s="5" t="s">
        <v>556</v>
      </c>
      <c r="B52" s="0" t="s">
        <v>248</v>
      </c>
      <c r="C52" s="9" t="n">
        <f aca="false">a25_ss</f>
        <v>21438.5432098765</v>
      </c>
      <c r="D52" s="9" t="n">
        <f aca="false">an_ss</f>
        <v>26046</v>
      </c>
      <c r="E52" s="9" t="n">
        <f aca="false">$D52*E50*sf</f>
        <v>32489.8893303468</v>
      </c>
      <c r="F52" s="9" t="n">
        <f aca="false">$D52*F50*sf</f>
        <v>36995.4510973303</v>
      </c>
      <c r="G52" s="9" t="n">
        <f aca="false">$D52*G50*sf</f>
        <v>39436.090279742</v>
      </c>
      <c r="H52" s="8" t="s">
        <v>557</v>
      </c>
    </row>
    <row r="53" customFormat="false" ht="17.15" hidden="false" customHeight="false" outlineLevel="0" collapsed="false">
      <c r="A53" s="0" t="s">
        <v>558</v>
      </c>
      <c r="B53" s="0" t="s">
        <v>248</v>
      </c>
      <c r="C53" s="9" t="n">
        <f aca="false">a25_ags</f>
        <v>5744.19672131148</v>
      </c>
      <c r="D53" s="9" t="n">
        <f aca="false">an_ags</f>
        <v>6845</v>
      </c>
      <c r="E53" s="9" t="n">
        <f aca="false">D53*(1+g_ags_A)</f>
        <v>7871.75</v>
      </c>
      <c r="F53" s="9" t="n">
        <f aca="false">E53*(1+g_ags_A)</f>
        <v>9052.5125</v>
      </c>
      <c r="G53" s="9" t="n">
        <f aca="false">F53*(1+g_ags_A)</f>
        <v>10410.389375</v>
      </c>
    </row>
    <row r="54" customFormat="false" ht="15" hidden="false" customHeight="false" outlineLevel="0" collapsed="false">
      <c r="A54" s="5" t="s">
        <v>559</v>
      </c>
      <c r="B54" s="0" t="s">
        <v>248</v>
      </c>
      <c r="C54" s="9" t="n">
        <f aca="false">a25_oth</f>
        <v>1185.26006881198</v>
      </c>
      <c r="D54" s="9" t="n">
        <f aca="false">an_oth</f>
        <v>1396</v>
      </c>
      <c r="E54" s="9" t="n">
        <f aca="false">D54*(1+g_oth_A)</f>
        <v>1396</v>
      </c>
      <c r="F54" s="9" t="n">
        <f aca="false">E54*(1+g_oth_A)</f>
        <v>1396</v>
      </c>
      <c r="G54" s="9" t="n">
        <f aca="false">F54*(1+g_oth_A)</f>
        <v>1396</v>
      </c>
    </row>
    <row r="55" customFormat="false" ht="17.15" hidden="false" customHeight="false" outlineLevel="0" collapsed="false">
      <c r="A55" s="5" t="s">
        <v>560</v>
      </c>
      <c r="B55" s="0" t="s">
        <v>248</v>
      </c>
      <c r="C55" s="9" t="n">
        <v>0</v>
      </c>
      <c r="D55" s="9" t="n">
        <v>0</v>
      </c>
      <c r="E55" s="9" t="n">
        <f aca="false">-aff_hit*aff_A-0*cn_sh*(E52+E53)</f>
        <v>-0</v>
      </c>
      <c r="F55" s="9" t="n">
        <f aca="false">-aff_hit*aff_A-0*cn_sh*(F52+F53)</f>
        <v>-0</v>
      </c>
      <c r="G55" s="9" t="n">
        <f aca="false">-aff_hit*aff_A-0*cn_sh*(G52+G53)</f>
        <v>-0</v>
      </c>
      <c r="H55" s="5" t="s">
        <v>561</v>
      </c>
    </row>
    <row r="56" customFormat="false" ht="15" hidden="false" customHeight="false" outlineLevel="0" collapsed="false">
      <c r="A56" s="5" t="s">
        <v>450</v>
      </c>
      <c r="B56" s="0" t="s">
        <v>248</v>
      </c>
      <c r="C56" s="9" t="n">
        <f aca="false">C52+C53+C54+C55</f>
        <v>28368</v>
      </c>
      <c r="D56" s="9" t="n">
        <f aca="false">D52+D53+D54+D55</f>
        <v>34287</v>
      </c>
      <c r="E56" s="9" t="n">
        <f aca="false">E52+E53+E54+E55</f>
        <v>41757.6393303468</v>
      </c>
      <c r="F56" s="9" t="n">
        <f aca="false">F52+F53+F54+F55</f>
        <v>47443.9635973303</v>
      </c>
      <c r="G56" s="9" t="n">
        <f aca="false">G52+G53+G54+G55</f>
        <v>51242.479654742</v>
      </c>
    </row>
    <row r="57" customFormat="false" ht="17.15" hidden="false" customHeight="false" outlineLevel="0" collapsed="false">
      <c r="A57" s="0" t="s">
        <v>456</v>
      </c>
      <c r="B57" s="0" t="s">
        <v>195</v>
      </c>
      <c r="C57" s="11" t="n">
        <f aca="false">a25_gp/a25_rev</f>
        <v>0.487833192329385</v>
      </c>
      <c r="D57" s="11" t="n">
        <f aca="false">an_gp/an_rev</f>
        <v>0.500418584303089</v>
      </c>
      <c r="E57" s="11" t="n">
        <f aca="false">1-(cF+cv*E56)/E56</f>
        <v>0.511209764771017</v>
      </c>
      <c r="F57" s="11" t="n">
        <f aca="false">1-(cF+cv*F56)/F56</f>
        <v>0.51714572976501</v>
      </c>
      <c r="G57" s="11" t="n">
        <f aca="false">1-(cF+cv*G56)/G56</f>
        <v>0.520377046108731</v>
      </c>
      <c r="H57" s="5" t="s">
        <v>562</v>
      </c>
    </row>
    <row r="58" customFormat="false" ht="17.15" hidden="false" customHeight="false" outlineLevel="0" collapsed="false">
      <c r="A58" s="0" t="s">
        <v>459</v>
      </c>
      <c r="B58" s="0" t="s">
        <v>248</v>
      </c>
      <c r="C58" s="9" t="n">
        <f aca="false">C56*C57</f>
        <v>13838.852</v>
      </c>
      <c r="D58" s="9" t="n">
        <f aca="false">D56*D57</f>
        <v>17157.852</v>
      </c>
      <c r="E58" s="9" t="n">
        <f aca="false">E56*E57</f>
        <v>21346.9129794596</v>
      </c>
      <c r="F58" s="9" t="n">
        <f aca="false">F56*F57</f>
        <v>24535.4431774859</v>
      </c>
      <c r="G58" s="9" t="n">
        <f aca="false">G56*G57</f>
        <v>26665.4101980214</v>
      </c>
    </row>
    <row r="59" customFormat="false" ht="17.15" hidden="false" customHeight="false" outlineLevel="0" collapsed="false">
      <c r="A59" s="0" t="s">
        <v>563</v>
      </c>
      <c r="B59" s="0" t="s">
        <v>248</v>
      </c>
      <c r="C59" s="9" t="n">
        <f aca="false">opex25</f>
        <v>5276.852</v>
      </c>
      <c r="D59" s="9" t="n">
        <f aca="false">opex26</f>
        <v>5832.852</v>
      </c>
      <c r="E59" s="9" t="n">
        <f aca="false">oF+ov*E56</f>
        <v>6534.60490888205</v>
      </c>
      <c r="F59" s="9" t="n">
        <f aca="false">oF+ov*F56</f>
        <v>7068.74856362826</v>
      </c>
      <c r="G59" s="9" t="n">
        <f aca="false">oF+ov*G56</f>
        <v>7425.56135766795</v>
      </c>
      <c r="H59" s="5" t="s">
        <v>564</v>
      </c>
    </row>
    <row r="60" customFormat="false" ht="17.15" hidden="false" customHeight="false" outlineLevel="0" collapsed="false">
      <c r="A60" s="0" t="s">
        <v>461</v>
      </c>
      <c r="B60" s="0" t="s">
        <v>248</v>
      </c>
      <c r="C60" s="9" t="n">
        <f aca="false">C58-C59</f>
        <v>8562</v>
      </c>
      <c r="D60" s="9" t="n">
        <f aca="false">D58-D59</f>
        <v>11325</v>
      </c>
      <c r="E60" s="9" t="n">
        <f aca="false">E58-E59</f>
        <v>14812.3080705775</v>
      </c>
      <c r="F60" s="9" t="n">
        <f aca="false">F58-F59</f>
        <v>17466.6946138577</v>
      </c>
      <c r="G60" s="9" t="n">
        <f aca="false">G58-G59</f>
        <v>19239.8488403535</v>
      </c>
    </row>
    <row r="61" customFormat="false" ht="17.15" hidden="false" customHeight="false" outlineLevel="0" collapsed="false">
      <c r="A61" s="0" t="s">
        <v>540</v>
      </c>
      <c r="B61" s="0" t="s">
        <v>195</v>
      </c>
      <c r="C61" s="11" t="n">
        <f aca="false">C60/C56</f>
        <v>0.301818950930626</v>
      </c>
      <c r="D61" s="11" t="n">
        <f aca="false">D60/D56</f>
        <v>0.330300113745735</v>
      </c>
      <c r="E61" s="11" t="n">
        <f aca="false">E60/E56</f>
        <v>0.354720915935802</v>
      </c>
      <c r="F61" s="11" t="n">
        <f aca="false">F60/F56</f>
        <v>0.368154203179612</v>
      </c>
      <c r="G61" s="11" t="n">
        <f aca="false">G60/G56</f>
        <v>0.375466780100931</v>
      </c>
    </row>
    <row r="62" customFormat="false" ht="17.15" hidden="false" customHeight="false" outlineLevel="0" collapsed="false">
      <c r="A62" s="0" t="s">
        <v>466</v>
      </c>
      <c r="B62" s="0" t="s">
        <v>248</v>
      </c>
      <c r="C62" s="9" t="n">
        <f aca="false">a25_ni</f>
        <v>7607</v>
      </c>
      <c r="D62" s="9" t="n">
        <f aca="false">an_ni</f>
        <v>10179.92</v>
      </c>
      <c r="E62" s="9" t="n">
        <f aca="false">E60*nioi</f>
        <v>13160.1527088161</v>
      </c>
      <c r="F62" s="9" t="n">
        <f aca="false">F60*nioi</f>
        <v>15518.4706759653</v>
      </c>
      <c r="G62" s="9" t="n">
        <f aca="false">G60*nioi</f>
        <v>17093.8484149228</v>
      </c>
    </row>
    <row r="63" customFormat="false" ht="15" hidden="false" customHeight="false" outlineLevel="0" collapsed="false">
      <c r="A63" s="5" t="s">
        <v>565</v>
      </c>
      <c r="B63" s="5" t="s">
        <v>324</v>
      </c>
      <c r="C63" s="23" t="n">
        <f aca="false">a25_sh</f>
        <v>808</v>
      </c>
      <c r="D63" s="23" t="n">
        <f aca="false">an_sh</f>
        <v>797.799373040752</v>
      </c>
      <c r="E63" s="23" t="n">
        <f aca="false">$D63*(1-bb)^1</f>
        <v>789.821379310345</v>
      </c>
      <c r="F63" s="23" t="n">
        <f aca="false">$D63*(1-bb)^2</f>
        <v>781.923165517241</v>
      </c>
      <c r="G63" s="23" t="n">
        <f aca="false">$D63*(1-bb)^3</f>
        <v>774.103933862069</v>
      </c>
    </row>
    <row r="64" customFormat="false" ht="17.15" hidden="false" customHeight="false" outlineLevel="0" collapsed="false">
      <c r="A64" s="0" t="s">
        <v>566</v>
      </c>
      <c r="B64" s="0" t="s">
        <v>337</v>
      </c>
      <c r="C64" s="14" t="n">
        <f aca="false">a25_eps</f>
        <v>9.42</v>
      </c>
      <c r="D64" s="14" t="n">
        <f aca="false">an_eps</f>
        <v>12.76</v>
      </c>
      <c r="E64" s="14" t="n">
        <f aca="false">E62/E63</f>
        <v>16.6621885068586</v>
      </c>
      <c r="F64" s="14" t="n">
        <f aca="false">F62/F63</f>
        <v>19.8465416556624</v>
      </c>
      <c r="G64" s="14" t="n">
        <f aca="false">G62/G63</f>
        <v>22.0821102531286</v>
      </c>
      <c r="H64" s="8" t="s">
        <v>567</v>
      </c>
    </row>
    <row r="65" customFormat="false" ht="17.15" hidden="false" customHeight="false" outlineLevel="0" collapsed="false">
      <c r="A65" s="5" t="s">
        <v>568</v>
      </c>
      <c r="B65" s="0" t="s">
        <v>195</v>
      </c>
      <c r="D65" s="11" t="n">
        <f aca="false">D52/1000/(D47+D48+D49)</f>
        <v>0.174088357854613</v>
      </c>
      <c r="E65" s="11" t="n">
        <f aca="false">E52/1000/(E47+E48+E49)</f>
        <v>0.174032095099019</v>
      </c>
      <c r="F65" s="11" t="n">
        <f aca="false">F52/1000/(F47+F48+F49)</f>
        <v>0.173968172468113</v>
      </c>
      <c r="G65" s="11" t="n">
        <f aca="false">G52/1000/(G47+G48+G49)</f>
        <v>0.17383613380168</v>
      </c>
      <c r="H65" s="5" t="s">
        <v>569</v>
      </c>
    </row>
    <row r="68" customFormat="false" ht="17.15" hidden="false" customHeight="false" outlineLevel="0" collapsed="false">
      <c r="A68" s="3" t="s">
        <v>570</v>
      </c>
    </row>
    <row r="69" customFormat="false" ht="15" hidden="false" customHeight="false" outlineLevel="0" collapsed="false">
      <c r="A69" s="6" t="s">
        <v>15</v>
      </c>
      <c r="B69" s="6" t="s">
        <v>16</v>
      </c>
      <c r="C69" s="15" t="s">
        <v>509</v>
      </c>
      <c r="D69" s="15" t="s">
        <v>510</v>
      </c>
      <c r="E69" s="15" t="s">
        <v>511</v>
      </c>
      <c r="F69" s="15" t="s">
        <v>512</v>
      </c>
      <c r="G69" s="15" t="s">
        <v>513</v>
      </c>
      <c r="H69" s="6" t="s">
        <v>514</v>
      </c>
    </row>
    <row r="70" customFormat="false" ht="17.15" hidden="false" customHeight="false" outlineLevel="0" collapsed="false">
      <c r="A70" s="1" t="s">
        <v>545</v>
      </c>
    </row>
    <row r="71" customFormat="false" ht="17.15" hidden="false" customHeight="false" outlineLevel="0" collapsed="false">
      <c r="A71" s="5" t="s">
        <v>546</v>
      </c>
      <c r="B71" s="0" t="s">
        <v>26</v>
      </c>
      <c r="C71" s="22" t="n">
        <f aca="false">laB_25+loB_25+ofB_25</f>
        <v>78.3481206981793</v>
      </c>
      <c r="D71" s="22" t="n">
        <f aca="false">laB_26+loB_26+ofB_26</f>
        <v>99.2871982981748</v>
      </c>
      <c r="E71" s="22" t="n">
        <f aca="false">laB_27+loB_27+ofB_27</f>
        <v>116.288709321091</v>
      </c>
      <c r="F71" s="22" t="n">
        <f aca="false">laB_28+loB_28+ofB_28</f>
        <v>116.288709321091</v>
      </c>
      <c r="G71" s="22" t="n">
        <f aca="false">laB_29+loB_29+ofB_29</f>
        <v>110.474273855037</v>
      </c>
    </row>
    <row r="72" customFormat="false" ht="17.15" hidden="false" customHeight="false" outlineLevel="0" collapsed="false">
      <c r="A72" s="0" t="s">
        <v>547</v>
      </c>
      <c r="B72" s="0" t="s">
        <v>26</v>
      </c>
      <c r="C72" s="22" t="n">
        <f aca="false">drB_25</f>
        <v>26.3761091658243</v>
      </c>
      <c r="D72" s="22" t="n">
        <f aca="false">drB_26</f>
        <v>39.3659468014757</v>
      </c>
      <c r="E72" s="22" t="n">
        <f aca="false">drB_27</f>
        <v>53.2587328153375</v>
      </c>
      <c r="F72" s="22" t="n">
        <f aca="false">drB_28</f>
        <v>53.2587328153375</v>
      </c>
      <c r="G72" s="22" t="n">
        <f aca="false">drB_29</f>
        <v>50.5957961745707</v>
      </c>
    </row>
    <row r="73" customFormat="false" ht="15" hidden="false" customHeight="false" outlineLevel="0" collapsed="false">
      <c r="A73" s="0" t="s">
        <v>548</v>
      </c>
      <c r="B73" s="0" t="s">
        <v>26</v>
      </c>
      <c r="C73" s="22" t="n">
        <f aca="false">ndB_25</f>
        <v>12.1726019800256</v>
      </c>
      <c r="D73" s="22" t="n">
        <f aca="false">ndB_26</f>
        <v>17.5039054704765</v>
      </c>
      <c r="E73" s="22" t="n">
        <f aca="false">ndB_27</f>
        <v>23.2480272411321</v>
      </c>
      <c r="F73" s="22" t="n">
        <f aca="false">ndB_28</f>
        <v>23.2480272411321</v>
      </c>
      <c r="G73" s="22" t="n">
        <f aca="false">ndB_29</f>
        <v>22.0856258790755</v>
      </c>
    </row>
    <row r="74" customFormat="false" ht="17.15" hidden="false" customHeight="false" outlineLevel="0" collapsed="false">
      <c r="A74" s="1" t="s">
        <v>549</v>
      </c>
    </row>
    <row r="75" customFormat="false" ht="17.15" hidden="false" customHeight="false" outlineLevel="0" collapsed="false">
      <c r="A75" s="5" t="s">
        <v>550</v>
      </c>
      <c r="B75" s="0" t="s">
        <v>26</v>
      </c>
      <c r="D75" s="22" t="n">
        <f aca="false">fyw*C71+(1-fyw)*D71</f>
        <v>95.7973520315089</v>
      </c>
      <c r="E75" s="22" t="n">
        <f aca="false">fyw*D71+(1-fyw)*E71</f>
        <v>113.455124150605</v>
      </c>
      <c r="F75" s="22" t="n">
        <f aca="false">fyw*E71+(1-fyw)*F71</f>
        <v>116.288709321091</v>
      </c>
      <c r="G75" s="22" t="n">
        <f aca="false">fyw*F71+(1-fyw)*G71</f>
        <v>111.443346432712</v>
      </c>
    </row>
    <row r="76" customFormat="false" ht="17.15" hidden="false" customHeight="false" outlineLevel="0" collapsed="false">
      <c r="A76" s="0" t="s">
        <v>551</v>
      </c>
      <c r="B76" s="0" t="s">
        <v>26</v>
      </c>
      <c r="D76" s="22" t="n">
        <f aca="false">fyw*C72+(1-fyw)*D72</f>
        <v>37.2009738622005</v>
      </c>
      <c r="E76" s="22" t="n">
        <f aca="false">fyw*D72+(1-fyw)*E72</f>
        <v>50.9432684796939</v>
      </c>
      <c r="F76" s="22" t="n">
        <f aca="false">fyw*E72+(1-fyw)*F72</f>
        <v>53.2587328153375</v>
      </c>
      <c r="G76" s="22" t="n">
        <f aca="false">fyw*F72+(1-fyw)*G72</f>
        <v>51.0396189480318</v>
      </c>
    </row>
    <row r="77" customFormat="false" ht="15" hidden="false" customHeight="false" outlineLevel="0" collapsed="false">
      <c r="A77" s="0" t="s">
        <v>552</v>
      </c>
      <c r="B77" s="0" t="s">
        <v>26</v>
      </c>
      <c r="D77" s="22" t="n">
        <f aca="false">fyw*C73+(1-fyw)*D73</f>
        <v>16.6153548887347</v>
      </c>
      <c r="E77" s="22" t="n">
        <f aca="false">fyw*D73+(1-fyw)*E73</f>
        <v>22.2906736126895</v>
      </c>
      <c r="F77" s="22" t="n">
        <f aca="false">fyw*E73+(1-fyw)*F73</f>
        <v>23.2480272411321</v>
      </c>
      <c r="G77" s="22" t="n">
        <f aca="false">fyw*F73+(1-fyw)*G73</f>
        <v>22.2793594394183</v>
      </c>
    </row>
    <row r="78" customFormat="false" ht="17.15" hidden="false" customHeight="false" outlineLevel="0" collapsed="false">
      <c r="A78" s="5" t="s">
        <v>553</v>
      </c>
      <c r="B78" s="0" t="s">
        <v>242</v>
      </c>
      <c r="D78" s="21" t="n">
        <f aca="false">m_fl*D75/$D75+m_dr*D76/$D76+m_nd*D77/$D77</f>
        <v>1</v>
      </c>
      <c r="E78" s="21" t="n">
        <f aca="false">m_fl*E75/$D75+m_dr*E76/$D76+m_nd*E77/$D77</f>
        <v>1.2474041822294</v>
      </c>
      <c r="F78" s="21" t="n">
        <f aca="false">m_fl*F75/$D75+m_dr*F76/$D76+m_nd*F77/$D77</f>
        <v>1.28813104250885</v>
      </c>
      <c r="G78" s="21" t="n">
        <f aca="false">m_fl*G75/$D75+m_dr*G76/$D76+m_nd*G77/$D77</f>
        <v>1.23445891573765</v>
      </c>
      <c r="H78" s="8" t="s">
        <v>554</v>
      </c>
    </row>
    <row r="79" customFormat="false" ht="17.15" hidden="false" customHeight="false" outlineLevel="0" collapsed="false">
      <c r="A79" s="1" t="s">
        <v>555</v>
      </c>
    </row>
    <row r="80" customFormat="false" ht="17.15" hidden="false" customHeight="false" outlineLevel="0" collapsed="false">
      <c r="A80" s="5" t="s">
        <v>556</v>
      </c>
      <c r="B80" s="0" t="s">
        <v>248</v>
      </c>
      <c r="C80" s="9" t="n">
        <f aca="false">a25_ss</f>
        <v>21438.5432098765</v>
      </c>
      <c r="D80" s="9" t="n">
        <f aca="false">an_ss</f>
        <v>26046</v>
      </c>
      <c r="E80" s="9" t="n">
        <f aca="false">$D80*E78*sf</f>
        <v>32489.8893303468</v>
      </c>
      <c r="F80" s="9" t="n">
        <f aca="false">$D80*F78*sf</f>
        <v>33550.6611331856</v>
      </c>
      <c r="G80" s="9" t="n">
        <f aca="false">$D80*G78*sf</f>
        <v>32152.7169193029</v>
      </c>
      <c r="H80" s="8" t="s">
        <v>557</v>
      </c>
    </row>
    <row r="81" customFormat="false" ht="17.15" hidden="false" customHeight="false" outlineLevel="0" collapsed="false">
      <c r="A81" s="0" t="s">
        <v>558</v>
      </c>
      <c r="B81" s="0" t="s">
        <v>248</v>
      </c>
      <c r="C81" s="9" t="n">
        <f aca="false">a25_ags</f>
        <v>5744.19672131148</v>
      </c>
      <c r="D81" s="9" t="n">
        <f aca="false">an_ags</f>
        <v>6845</v>
      </c>
      <c r="E81" s="9" t="n">
        <f aca="false">D81*(1+g_ags_B)</f>
        <v>7597.95</v>
      </c>
      <c r="F81" s="9" t="n">
        <f aca="false">E81*(1+g_ags_B)</f>
        <v>8433.7245</v>
      </c>
      <c r="G81" s="9" t="n">
        <f aca="false">F81*(1+g_ags_B)</f>
        <v>9361.434195</v>
      </c>
    </row>
    <row r="82" customFormat="false" ht="15" hidden="false" customHeight="false" outlineLevel="0" collapsed="false">
      <c r="A82" s="5" t="s">
        <v>559</v>
      </c>
      <c r="B82" s="0" t="s">
        <v>248</v>
      </c>
      <c r="C82" s="9" t="n">
        <f aca="false">a25_oth</f>
        <v>1185.26006881198</v>
      </c>
      <c r="D82" s="9" t="n">
        <f aca="false">an_oth</f>
        <v>1396</v>
      </c>
      <c r="E82" s="9" t="n">
        <f aca="false">D82*(1+g_oth_B)</f>
        <v>1326.2</v>
      </c>
      <c r="F82" s="9" t="n">
        <f aca="false">E82*(1+g_oth_B)</f>
        <v>1259.89</v>
      </c>
      <c r="G82" s="9" t="n">
        <f aca="false">F82*(1+g_oth_B)</f>
        <v>1196.8955</v>
      </c>
    </row>
    <row r="83" customFormat="false" ht="17.15" hidden="false" customHeight="false" outlineLevel="0" collapsed="false">
      <c r="A83" s="5" t="s">
        <v>560</v>
      </c>
      <c r="B83" s="0" t="s">
        <v>248</v>
      </c>
      <c r="C83" s="9" t="n">
        <v>0</v>
      </c>
      <c r="D83" s="9" t="n">
        <v>0</v>
      </c>
      <c r="E83" s="9" t="n">
        <f aca="false">-aff_hit*aff_B-0*cn_sh*(E80+E81)</f>
        <v>-0</v>
      </c>
      <c r="F83" s="9" t="n">
        <f aca="false">-aff_hit*aff_B-0*cn_sh*(F80+F81)</f>
        <v>-0</v>
      </c>
      <c r="G83" s="9" t="n">
        <f aca="false">-aff_hit*aff_B-0*cn_sh*(G80+G81)</f>
        <v>-0</v>
      </c>
      <c r="H83" s="5" t="s">
        <v>561</v>
      </c>
    </row>
    <row r="84" customFormat="false" ht="15" hidden="false" customHeight="false" outlineLevel="0" collapsed="false">
      <c r="A84" s="5" t="s">
        <v>450</v>
      </c>
      <c r="B84" s="0" t="s">
        <v>248</v>
      </c>
      <c r="C84" s="9" t="n">
        <f aca="false">C80+C81+C82+C83</f>
        <v>28368</v>
      </c>
      <c r="D84" s="9" t="n">
        <f aca="false">D80+D81+D82+D83</f>
        <v>34287</v>
      </c>
      <c r="E84" s="9" t="n">
        <f aca="false">E80+E81+E82+E83</f>
        <v>41414.0393303468</v>
      </c>
      <c r="F84" s="9" t="n">
        <f aca="false">F80+F81+F82+F83</f>
        <v>43244.2756331856</v>
      </c>
      <c r="G84" s="9" t="n">
        <f aca="false">G80+G81+G82+G83</f>
        <v>42711.0466143029</v>
      </c>
    </row>
    <row r="85" customFormat="false" ht="17.15" hidden="false" customHeight="false" outlineLevel="0" collapsed="false">
      <c r="A85" s="0" t="s">
        <v>456</v>
      </c>
      <c r="B85" s="0" t="s">
        <v>195</v>
      </c>
      <c r="C85" s="11" t="n">
        <f aca="false">a25_gp/a25_rev</f>
        <v>0.487833192329385</v>
      </c>
      <c r="D85" s="11" t="n">
        <f aca="false">an_gp/an_rev</f>
        <v>0.500418584303089</v>
      </c>
      <c r="E85" s="11" t="n">
        <f aca="false">1-(cF+cv*E84)/E84</f>
        <v>0.510798855219331</v>
      </c>
      <c r="F85" s="11" t="n">
        <f aca="false">1-(cF+cv*F84)/F84</f>
        <v>0.512912381044806</v>
      </c>
      <c r="G85" s="11" t="n">
        <f aca="false">1-(cF+cv*G84)/G84</f>
        <v>0.512315316135527</v>
      </c>
      <c r="H85" s="5" t="s">
        <v>562</v>
      </c>
    </row>
    <row r="86" customFormat="false" ht="17.15" hidden="false" customHeight="false" outlineLevel="0" collapsed="false">
      <c r="A86" s="0" t="s">
        <v>459</v>
      </c>
      <c r="B86" s="0" t="s">
        <v>248</v>
      </c>
      <c r="C86" s="9" t="n">
        <f aca="false">C84*C85</f>
        <v>13838.852</v>
      </c>
      <c r="D86" s="9" t="n">
        <f aca="false">D84*D85</f>
        <v>17157.852</v>
      </c>
      <c r="E86" s="9" t="n">
        <f aca="false">E84*E85</f>
        <v>21154.2438799495</v>
      </c>
      <c r="F86" s="9" t="n">
        <f aca="false">F84*F85</f>
        <v>22180.5243815751</v>
      </c>
      <c r="G86" s="9" t="n">
        <f aca="false">G84*G85</f>
        <v>21881.5233486858</v>
      </c>
    </row>
    <row r="87" customFormat="false" ht="17.15" hidden="false" customHeight="false" outlineLevel="0" collapsed="false">
      <c r="A87" s="0" t="s">
        <v>563</v>
      </c>
      <c r="B87" s="0" t="s">
        <v>248</v>
      </c>
      <c r="C87" s="9" t="n">
        <f aca="false">opex25</f>
        <v>5276.852</v>
      </c>
      <c r="D87" s="9" t="n">
        <f aca="false">opex26</f>
        <v>5832.852</v>
      </c>
      <c r="E87" s="9" t="n">
        <f aca="false">oF+ov*E84</f>
        <v>6502.32891631574</v>
      </c>
      <c r="F87" s="9" t="n">
        <f aca="false">oF+ov*F84</f>
        <v>6674.25177226748</v>
      </c>
      <c r="G87" s="9" t="n">
        <f aca="false">oF+ov*G84</f>
        <v>6624.16301833966</v>
      </c>
      <c r="H87" s="5" t="s">
        <v>564</v>
      </c>
    </row>
    <row r="88" customFormat="false" ht="17.15" hidden="false" customHeight="false" outlineLevel="0" collapsed="false">
      <c r="A88" s="0" t="s">
        <v>461</v>
      </c>
      <c r="B88" s="0" t="s">
        <v>248</v>
      </c>
      <c r="C88" s="9" t="n">
        <f aca="false">C86-C87</f>
        <v>8562</v>
      </c>
      <c r="D88" s="9" t="n">
        <f aca="false">D86-D87</f>
        <v>11325</v>
      </c>
      <c r="E88" s="9" t="n">
        <f aca="false">E86-E87</f>
        <v>14651.9149636338</v>
      </c>
      <c r="F88" s="9" t="n">
        <f aca="false">F86-F87</f>
        <v>15506.2726093076</v>
      </c>
      <c r="G88" s="9" t="n">
        <f aca="false">G86-G87</f>
        <v>15257.3603303462</v>
      </c>
    </row>
    <row r="89" customFormat="false" ht="17.15" hidden="false" customHeight="false" outlineLevel="0" collapsed="false">
      <c r="A89" s="0" t="s">
        <v>540</v>
      </c>
      <c r="B89" s="0" t="s">
        <v>195</v>
      </c>
      <c r="C89" s="11" t="n">
        <f aca="false">C88/C84</f>
        <v>0.301818950930626</v>
      </c>
      <c r="D89" s="11" t="n">
        <f aca="false">D88/D84</f>
        <v>0.330300113745735</v>
      </c>
      <c r="E89" s="11" t="n">
        <f aca="false">E88/E84</f>
        <v>0.353791013882032</v>
      </c>
      <c r="F89" s="11" t="n">
        <f aca="false">F88/F84</f>
        <v>0.358573993488473</v>
      </c>
      <c r="G89" s="11" t="n">
        <f aca="false">G88/G84</f>
        <v>0.357222815636572</v>
      </c>
    </row>
    <row r="90" customFormat="false" ht="17.15" hidden="false" customHeight="false" outlineLevel="0" collapsed="false">
      <c r="A90" s="0" t="s">
        <v>466</v>
      </c>
      <c r="B90" s="0" t="s">
        <v>248</v>
      </c>
      <c r="C90" s="9" t="n">
        <f aca="false">a25_ni</f>
        <v>7607</v>
      </c>
      <c r="D90" s="9" t="n">
        <f aca="false">an_ni</f>
        <v>10179.92</v>
      </c>
      <c r="E90" s="9" t="n">
        <f aca="false">E88*nioi</f>
        <v>13017.6497463633</v>
      </c>
      <c r="F90" s="9" t="n">
        <f aca="false">F88*nioi</f>
        <v>13776.7128870595</v>
      </c>
      <c r="G90" s="9" t="n">
        <f aca="false">G88*nioi</f>
        <v>13555.5641243802</v>
      </c>
    </row>
    <row r="91" customFormat="false" ht="15" hidden="false" customHeight="false" outlineLevel="0" collapsed="false">
      <c r="A91" s="5" t="s">
        <v>565</v>
      </c>
      <c r="B91" s="5" t="s">
        <v>324</v>
      </c>
      <c r="C91" s="23" t="n">
        <f aca="false">a25_sh</f>
        <v>808</v>
      </c>
      <c r="D91" s="23" t="n">
        <f aca="false">an_sh</f>
        <v>797.799373040752</v>
      </c>
      <c r="E91" s="23" t="n">
        <f aca="false">$D91*(1-bb)^1</f>
        <v>789.821379310345</v>
      </c>
      <c r="F91" s="23" t="n">
        <f aca="false">$D91*(1-bb)^2</f>
        <v>781.923165517241</v>
      </c>
      <c r="G91" s="23" t="n">
        <f aca="false">$D91*(1-bb)^3</f>
        <v>774.103933862069</v>
      </c>
    </row>
    <row r="92" customFormat="false" ht="17.15" hidden="false" customHeight="false" outlineLevel="0" collapsed="false">
      <c r="A92" s="0" t="s">
        <v>566</v>
      </c>
      <c r="B92" s="0" t="s">
        <v>337</v>
      </c>
      <c r="C92" s="14" t="n">
        <f aca="false">a25_eps</f>
        <v>9.42</v>
      </c>
      <c r="D92" s="14" t="n">
        <f aca="false">an_eps</f>
        <v>12.76</v>
      </c>
      <c r="E92" s="14" t="n">
        <f aca="false">E90/E91</f>
        <v>16.4817642157648</v>
      </c>
      <c r="F92" s="14" t="n">
        <f aca="false">F90/F91</f>
        <v>17.6190110417642</v>
      </c>
      <c r="G92" s="14" t="n">
        <f aca="false">G90/G91</f>
        <v>17.5112972966697</v>
      </c>
      <c r="H92" s="8" t="s">
        <v>567</v>
      </c>
    </row>
    <row r="93" customFormat="false" ht="17.15" hidden="false" customHeight="false" outlineLevel="0" collapsed="false">
      <c r="A93" s="5" t="s">
        <v>568</v>
      </c>
      <c r="B93" s="0" t="s">
        <v>195</v>
      </c>
      <c r="D93" s="11" t="n">
        <f aca="false">D80/1000/(D75+D76+D77)</f>
        <v>0.174088357854613</v>
      </c>
      <c r="E93" s="11" t="n">
        <f aca="false">E80/1000/(E75+E76+E77)</f>
        <v>0.174032095099019</v>
      </c>
      <c r="F93" s="11" t="n">
        <f aca="false">F80/1000/(F75+F76+F77)</f>
        <v>0.174022041293313</v>
      </c>
      <c r="G93" s="11" t="n">
        <f aca="false">G80/1000/(G75+G76+G77)</f>
        <v>0.174022041293313</v>
      </c>
      <c r="H93" s="5" t="s">
        <v>569</v>
      </c>
    </row>
    <row r="96" customFormat="false" ht="17.15" hidden="false" customHeight="false" outlineLevel="0" collapsed="false">
      <c r="A96" s="3" t="s">
        <v>571</v>
      </c>
    </row>
    <row r="97" customFormat="false" ht="15" hidden="false" customHeight="false" outlineLevel="0" collapsed="false">
      <c r="A97" s="6" t="s">
        <v>15</v>
      </c>
      <c r="B97" s="6" t="s">
        <v>16</v>
      </c>
      <c r="C97" s="15" t="s">
        <v>509</v>
      </c>
      <c r="D97" s="15" t="s">
        <v>510</v>
      </c>
      <c r="E97" s="15" t="s">
        <v>511</v>
      </c>
      <c r="F97" s="15" t="s">
        <v>512</v>
      </c>
      <c r="G97" s="15" t="s">
        <v>513</v>
      </c>
      <c r="H97" s="6" t="s">
        <v>514</v>
      </c>
    </row>
    <row r="98" customFormat="false" ht="17.15" hidden="false" customHeight="false" outlineLevel="0" collapsed="false">
      <c r="A98" s="1" t="s">
        <v>545</v>
      </c>
    </row>
    <row r="99" customFormat="false" ht="17.15" hidden="false" customHeight="false" outlineLevel="0" collapsed="false">
      <c r="A99" s="5" t="s">
        <v>546</v>
      </c>
      <c r="B99" s="0" t="s">
        <v>26</v>
      </c>
      <c r="C99" s="22" t="n">
        <f aca="false">laC_25+loC_25+ofC_25</f>
        <v>78.3481206981793</v>
      </c>
      <c r="D99" s="22" t="n">
        <f aca="false">laC_26+loC_26+ofC_26</f>
        <v>99.2871982981748</v>
      </c>
      <c r="E99" s="22" t="n">
        <f aca="false">laC_27+loC_27+ofC_27</f>
        <v>116.288709321091</v>
      </c>
      <c r="F99" s="22" t="n">
        <f aca="false">laC_28+loC_28+ofC_28</f>
        <v>93.030967456873</v>
      </c>
      <c r="G99" s="22" t="n">
        <f aca="false">laC_29+loC_29+ofC_29</f>
        <v>93.030967456873</v>
      </c>
    </row>
    <row r="100" customFormat="false" ht="17.15" hidden="false" customHeight="false" outlineLevel="0" collapsed="false">
      <c r="A100" s="0" t="s">
        <v>547</v>
      </c>
      <c r="B100" s="0" t="s">
        <v>26</v>
      </c>
      <c r="C100" s="22" t="n">
        <f aca="false">drC_25</f>
        <v>26.3761091658243</v>
      </c>
      <c r="D100" s="22" t="n">
        <f aca="false">drC_26</f>
        <v>39.3659468014757</v>
      </c>
      <c r="E100" s="22" t="n">
        <f aca="false">drC_27</f>
        <v>53.2587328153375</v>
      </c>
      <c r="F100" s="22" t="n">
        <f aca="false">drC_28</f>
        <v>42.60698625227</v>
      </c>
      <c r="G100" s="22" t="n">
        <f aca="false">drC_29</f>
        <v>42.60698625227</v>
      </c>
    </row>
    <row r="101" customFormat="false" ht="15" hidden="false" customHeight="false" outlineLevel="0" collapsed="false">
      <c r="A101" s="0" t="s">
        <v>548</v>
      </c>
      <c r="B101" s="0" t="s">
        <v>26</v>
      </c>
      <c r="C101" s="22" t="n">
        <f aca="false">ndC_25</f>
        <v>12.1726019800256</v>
      </c>
      <c r="D101" s="22" t="n">
        <f aca="false">ndC_26</f>
        <v>17.5039054704765</v>
      </c>
      <c r="E101" s="22" t="n">
        <f aca="false">ndC_27</f>
        <v>23.2480272411321</v>
      </c>
      <c r="F101" s="22" t="n">
        <f aca="false">ndC_28</f>
        <v>18.5984217929057</v>
      </c>
      <c r="G101" s="22" t="n">
        <f aca="false">ndC_29</f>
        <v>18.5984217929057</v>
      </c>
    </row>
    <row r="102" customFormat="false" ht="17.15" hidden="false" customHeight="false" outlineLevel="0" collapsed="false">
      <c r="A102" s="1" t="s">
        <v>549</v>
      </c>
    </row>
    <row r="103" customFormat="false" ht="17.15" hidden="false" customHeight="false" outlineLevel="0" collapsed="false">
      <c r="A103" s="5" t="s">
        <v>550</v>
      </c>
      <c r="B103" s="0" t="s">
        <v>26</v>
      </c>
      <c r="D103" s="22" t="n">
        <f aca="false">fyw*C99+(1-fyw)*D99</f>
        <v>95.7973520315089</v>
      </c>
      <c r="E103" s="22" t="n">
        <f aca="false">fyw*D99+(1-fyw)*E99</f>
        <v>113.455124150605</v>
      </c>
      <c r="F103" s="22" t="n">
        <f aca="false">fyw*E99+(1-fyw)*F99</f>
        <v>96.907257767576</v>
      </c>
      <c r="G103" s="22" t="n">
        <f aca="false">fyw*F99+(1-fyw)*G99</f>
        <v>93.030967456873</v>
      </c>
    </row>
    <row r="104" customFormat="false" ht="17.15" hidden="false" customHeight="false" outlineLevel="0" collapsed="false">
      <c r="A104" s="0" t="s">
        <v>551</v>
      </c>
      <c r="B104" s="0" t="s">
        <v>26</v>
      </c>
      <c r="D104" s="22" t="n">
        <f aca="false">fyw*C100+(1-fyw)*D100</f>
        <v>37.2009738622005</v>
      </c>
      <c r="E104" s="22" t="n">
        <f aca="false">fyw*D100+(1-fyw)*E100</f>
        <v>50.9432684796939</v>
      </c>
      <c r="F104" s="22" t="n">
        <f aca="false">fyw*E100+(1-fyw)*F100</f>
        <v>44.3822773461146</v>
      </c>
      <c r="G104" s="22" t="n">
        <f aca="false">fyw*F100+(1-fyw)*G100</f>
        <v>42.60698625227</v>
      </c>
    </row>
    <row r="105" customFormat="false" ht="15" hidden="false" customHeight="false" outlineLevel="0" collapsed="false">
      <c r="A105" s="0" t="s">
        <v>552</v>
      </c>
      <c r="B105" s="0" t="s">
        <v>26</v>
      </c>
      <c r="D105" s="22" t="n">
        <f aca="false">fyw*C101+(1-fyw)*D101</f>
        <v>16.6153548887347</v>
      </c>
      <c r="E105" s="22" t="n">
        <f aca="false">fyw*D101+(1-fyw)*E101</f>
        <v>22.2906736126895</v>
      </c>
      <c r="F105" s="22" t="n">
        <f aca="false">fyw*E101+(1-fyw)*F101</f>
        <v>19.3733560342768</v>
      </c>
      <c r="G105" s="22" t="n">
        <f aca="false">fyw*F101+(1-fyw)*G101</f>
        <v>18.5984217929057</v>
      </c>
    </row>
    <row r="106" customFormat="false" ht="17.15" hidden="false" customHeight="false" outlineLevel="0" collapsed="false">
      <c r="A106" s="5" t="s">
        <v>553</v>
      </c>
      <c r="B106" s="0" t="s">
        <v>242</v>
      </c>
      <c r="D106" s="21" t="n">
        <f aca="false">m_fl*D103/$D103+m_dr*D104/$D104+m_nd*D105/$D105</f>
        <v>1</v>
      </c>
      <c r="E106" s="21" t="n">
        <f aca="false">m_fl*E103/$D103+m_dr*E104/$D104+m_nd*E105/$D105</f>
        <v>1.2474041822294</v>
      </c>
      <c r="F106" s="21" t="n">
        <f aca="false">m_fl*F103/$D103+m_dr*F104/$D104+m_nd*F105/$D105</f>
        <v>1.07344253542405</v>
      </c>
      <c r="G106" s="21" t="n">
        <f aca="false">m_fl*G103/$D103+m_dr*G104/$D104+m_nd*G105/$D105</f>
        <v>1.03050483400708</v>
      </c>
      <c r="H106" s="8" t="s">
        <v>554</v>
      </c>
    </row>
    <row r="107" customFormat="false" ht="17.15" hidden="false" customHeight="false" outlineLevel="0" collapsed="false">
      <c r="A107" s="1" t="s">
        <v>555</v>
      </c>
    </row>
    <row r="108" customFormat="false" ht="17.15" hidden="false" customHeight="false" outlineLevel="0" collapsed="false">
      <c r="A108" s="5" t="s">
        <v>556</v>
      </c>
      <c r="B108" s="0" t="s">
        <v>248</v>
      </c>
      <c r="C108" s="9" t="n">
        <f aca="false">a25_ss</f>
        <v>21438.5432098765</v>
      </c>
      <c r="D108" s="9" t="n">
        <f aca="false">an_ss</f>
        <v>26046</v>
      </c>
      <c r="E108" s="9" t="n">
        <f aca="false">$D108*E106*sf</f>
        <v>32489.8893303468</v>
      </c>
      <c r="F108" s="9" t="n">
        <f aca="false">$D108*F106*sf</f>
        <v>27958.8842776547</v>
      </c>
      <c r="G108" s="9" t="n">
        <f aca="false">$D108*G106*sf</f>
        <v>26840.5289065485</v>
      </c>
      <c r="H108" s="8" t="s">
        <v>557</v>
      </c>
    </row>
    <row r="109" customFormat="false" ht="17.15" hidden="false" customHeight="false" outlineLevel="0" collapsed="false">
      <c r="A109" s="0" t="s">
        <v>558</v>
      </c>
      <c r="B109" s="0" t="s">
        <v>248</v>
      </c>
      <c r="C109" s="9" t="n">
        <f aca="false">a25_ags</f>
        <v>5744.19672131148</v>
      </c>
      <c r="D109" s="9" t="n">
        <f aca="false">an_ags</f>
        <v>6845</v>
      </c>
      <c r="E109" s="9" t="n">
        <f aca="false">D109*(1+g_ags_C)</f>
        <v>7324.15</v>
      </c>
      <c r="F109" s="9" t="n">
        <f aca="false">E109*(1+g_ags_C)</f>
        <v>7836.8405</v>
      </c>
      <c r="G109" s="9" t="n">
        <f aca="false">F109*(1+g_ags_C)</f>
        <v>8385.419335</v>
      </c>
    </row>
    <row r="110" customFormat="false" ht="15" hidden="false" customHeight="false" outlineLevel="0" collapsed="false">
      <c r="A110" s="5" t="s">
        <v>559</v>
      </c>
      <c r="B110" s="0" t="s">
        <v>248</v>
      </c>
      <c r="C110" s="9" t="n">
        <f aca="false">a25_oth</f>
        <v>1185.26006881198</v>
      </c>
      <c r="D110" s="9" t="n">
        <f aca="false">an_oth</f>
        <v>1396</v>
      </c>
      <c r="E110" s="9" t="n">
        <f aca="false">D110*(1+g_oth_C)</f>
        <v>1256.4</v>
      </c>
      <c r="F110" s="9" t="n">
        <f aca="false">E110*(1+g_oth_C)</f>
        <v>1130.76</v>
      </c>
      <c r="G110" s="9" t="n">
        <f aca="false">F110*(1+g_oth_C)</f>
        <v>1017.684</v>
      </c>
    </row>
    <row r="111" customFormat="false" ht="17.15" hidden="false" customHeight="false" outlineLevel="0" collapsed="false">
      <c r="A111" s="5" t="s">
        <v>560</v>
      </c>
      <c r="B111" s="0" t="s">
        <v>248</v>
      </c>
      <c r="C111" s="9" t="n">
        <v>0</v>
      </c>
      <c r="D111" s="9" t="n">
        <v>0</v>
      </c>
      <c r="E111" s="9" t="n">
        <f aca="false">-aff_hit*aff_C-0*cn_sh*(E108+E109)</f>
        <v>-600</v>
      </c>
      <c r="F111" s="9" t="n">
        <f aca="false">-aff_hit*aff_C-0*cn_sh*(F108+F109)</f>
        <v>-600</v>
      </c>
      <c r="G111" s="9" t="n">
        <f aca="false">-aff_hit*aff_C-0*cn_sh*(G108+G109)</f>
        <v>-600</v>
      </c>
      <c r="H111" s="5" t="s">
        <v>561</v>
      </c>
    </row>
    <row r="112" customFormat="false" ht="15" hidden="false" customHeight="false" outlineLevel="0" collapsed="false">
      <c r="A112" s="5" t="s">
        <v>450</v>
      </c>
      <c r="B112" s="0" t="s">
        <v>248</v>
      </c>
      <c r="C112" s="9" t="n">
        <f aca="false">C108+C109+C110+C111</f>
        <v>28368</v>
      </c>
      <c r="D112" s="9" t="n">
        <f aca="false">D108+D109+D110+D111</f>
        <v>34287</v>
      </c>
      <c r="E112" s="9" t="n">
        <f aca="false">E108+E109+E110+E111</f>
        <v>40470.4393303468</v>
      </c>
      <c r="F112" s="9" t="n">
        <f aca="false">F108+F109+F110+F111</f>
        <v>36326.4847776547</v>
      </c>
      <c r="G112" s="9" t="n">
        <f aca="false">G108+G109+G110+G111</f>
        <v>35643.6322415485</v>
      </c>
    </row>
    <row r="113" customFormat="false" ht="17.15" hidden="false" customHeight="false" outlineLevel="0" collapsed="false">
      <c r="A113" s="0" t="s">
        <v>456</v>
      </c>
      <c r="B113" s="0" t="s">
        <v>195</v>
      </c>
      <c r="C113" s="11" t="n">
        <f aca="false">a25_gp/a25_rev</f>
        <v>0.487833192329385</v>
      </c>
      <c r="D113" s="11" t="n">
        <f aca="false">an_gp/an_rev</f>
        <v>0.500418584303089</v>
      </c>
      <c r="E113" s="11" t="n">
        <f aca="false">1-(cF+cv*E112)/E112</f>
        <v>0.509634517321023</v>
      </c>
      <c r="F113" s="11" t="n">
        <f aca="false">1-(cF+cv*F112)/F112</f>
        <v>0.503805030799195</v>
      </c>
      <c r="G113" s="11" t="n">
        <f aca="false">1-(cF+cv*G112)/G112</f>
        <v>0.502714348637442</v>
      </c>
      <c r="H113" s="5" t="s">
        <v>562</v>
      </c>
    </row>
    <row r="114" customFormat="false" ht="17.15" hidden="false" customHeight="false" outlineLevel="0" collapsed="false">
      <c r="A114" s="0" t="s">
        <v>459</v>
      </c>
      <c r="B114" s="0" t="s">
        <v>248</v>
      </c>
      <c r="C114" s="9" t="n">
        <f aca="false">C112*C113</f>
        <v>13838.852</v>
      </c>
      <c r="D114" s="9" t="n">
        <f aca="false">D112*D113</f>
        <v>17157.852</v>
      </c>
      <c r="E114" s="9" t="n">
        <f aca="false">E112*E113</f>
        <v>20625.1328138911</v>
      </c>
      <c r="F114" s="9" t="n">
        <f aca="false">F112*F113</f>
        <v>18301.4657822328</v>
      </c>
      <c r="G114" s="9" t="n">
        <f aca="false">G112*G113</f>
        <v>17918.5653653826</v>
      </c>
    </row>
    <row r="115" customFormat="false" ht="17.15" hidden="false" customHeight="false" outlineLevel="0" collapsed="false">
      <c r="A115" s="0" t="s">
        <v>563</v>
      </c>
      <c r="B115" s="0" t="s">
        <v>248</v>
      </c>
      <c r="C115" s="9" t="n">
        <f aca="false">opex25</f>
        <v>5276.852</v>
      </c>
      <c r="D115" s="9" t="n">
        <f aca="false">opex26</f>
        <v>5832.852</v>
      </c>
      <c r="E115" s="9" t="n">
        <f aca="false">oF+ov*E112</f>
        <v>6413.69205198055</v>
      </c>
      <c r="F115" s="9" t="n">
        <f aca="false">oF+ov*F112</f>
        <v>6024.4305667133</v>
      </c>
      <c r="G115" s="9" t="n">
        <f aca="false">oF+ov*G112</f>
        <v>5960.28695967241</v>
      </c>
      <c r="H115" s="5" t="s">
        <v>564</v>
      </c>
    </row>
    <row r="116" customFormat="false" ht="17.15" hidden="false" customHeight="false" outlineLevel="0" collapsed="false">
      <c r="A116" s="0" t="s">
        <v>461</v>
      </c>
      <c r="B116" s="0" t="s">
        <v>248</v>
      </c>
      <c r="C116" s="9" t="n">
        <f aca="false">C114-C115</f>
        <v>8562</v>
      </c>
      <c r="D116" s="9" t="n">
        <f aca="false">D114-D115</f>
        <v>11325</v>
      </c>
      <c r="E116" s="9" t="n">
        <f aca="false">E114-E115</f>
        <v>14211.4407619105</v>
      </c>
      <c r="F116" s="9" t="n">
        <f aca="false">F114-F115</f>
        <v>12277.0352155195</v>
      </c>
      <c r="G116" s="9" t="n">
        <f aca="false">G114-G115</f>
        <v>11958.2784057102</v>
      </c>
    </row>
    <row r="117" customFormat="false" ht="17.15" hidden="false" customHeight="false" outlineLevel="0" collapsed="false">
      <c r="A117" s="0" t="s">
        <v>540</v>
      </c>
      <c r="B117" s="0" t="s">
        <v>195</v>
      </c>
      <c r="C117" s="11" t="n">
        <f aca="false">C116/C112</f>
        <v>0.301818950930626</v>
      </c>
      <c r="D117" s="11" t="n">
        <f aca="false">D116/D112</f>
        <v>0.330300113745735</v>
      </c>
      <c r="E117" s="11" t="n">
        <f aca="false">E116/E112</f>
        <v>0.351156078289816</v>
      </c>
      <c r="F117" s="11" t="n">
        <f aca="false">F116/F112</f>
        <v>0.337963755388504</v>
      </c>
      <c r="G117" s="11" t="n">
        <f aca="false">G116/G112</f>
        <v>0.335495505190709</v>
      </c>
    </row>
    <row r="118" customFormat="false" ht="17.15" hidden="false" customHeight="false" outlineLevel="0" collapsed="false">
      <c r="A118" s="0" t="s">
        <v>466</v>
      </c>
      <c r="B118" s="0" t="s">
        <v>248</v>
      </c>
      <c r="C118" s="9" t="n">
        <f aca="false">a25_ni</f>
        <v>7607</v>
      </c>
      <c r="D118" s="9" t="n">
        <f aca="false">an_ni</f>
        <v>10179.92</v>
      </c>
      <c r="E118" s="9" t="n">
        <f aca="false">E116*nioi</f>
        <v>12626.3057551802</v>
      </c>
      <c r="F118" s="9" t="n">
        <f aca="false">F116*nioi</f>
        <v>10907.6625653418</v>
      </c>
      <c r="G118" s="9" t="n">
        <f aca="false">G116*nioi</f>
        <v>10624.4596860824</v>
      </c>
    </row>
    <row r="119" customFormat="false" ht="15" hidden="false" customHeight="false" outlineLevel="0" collapsed="false">
      <c r="A119" s="5" t="s">
        <v>565</v>
      </c>
      <c r="B119" s="5" t="s">
        <v>324</v>
      </c>
      <c r="C119" s="23" t="n">
        <f aca="false">a25_sh</f>
        <v>808</v>
      </c>
      <c r="D119" s="23" t="n">
        <f aca="false">an_sh</f>
        <v>797.799373040752</v>
      </c>
      <c r="E119" s="23" t="n">
        <f aca="false">$D119*(1-bb)^1</f>
        <v>789.821379310345</v>
      </c>
      <c r="F119" s="23" t="n">
        <f aca="false">$D119*(1-bb)^2</f>
        <v>781.923165517241</v>
      </c>
      <c r="G119" s="23" t="n">
        <f aca="false">$D119*(1-bb)^3</f>
        <v>774.103933862069</v>
      </c>
    </row>
    <row r="120" customFormat="false" ht="17.15" hidden="false" customHeight="false" outlineLevel="0" collapsed="false">
      <c r="A120" s="0" t="s">
        <v>566</v>
      </c>
      <c r="B120" s="0" t="s">
        <v>337</v>
      </c>
      <c r="C120" s="14" t="n">
        <f aca="false">a25_eps</f>
        <v>9.42</v>
      </c>
      <c r="D120" s="14" t="n">
        <f aca="false">an_eps</f>
        <v>12.76</v>
      </c>
      <c r="E120" s="14" t="n">
        <f aca="false">E118/E119</f>
        <v>15.9862800449961</v>
      </c>
      <c r="F120" s="14" t="n">
        <f aca="false">F118/F119</f>
        <v>13.94978822264</v>
      </c>
      <c r="G120" s="14" t="n">
        <f aca="false">G118/G119</f>
        <v>13.7248491078918</v>
      </c>
      <c r="H120" s="8" t="s">
        <v>567</v>
      </c>
    </row>
    <row r="121" customFormat="false" ht="17.15" hidden="false" customHeight="false" outlineLevel="0" collapsed="false">
      <c r="A121" s="5" t="s">
        <v>568</v>
      </c>
      <c r="B121" s="0" t="s">
        <v>195</v>
      </c>
      <c r="D121" s="11" t="n">
        <f aca="false">D108/1000/(D103+D104+D105)</f>
        <v>0.174088357854613</v>
      </c>
      <c r="E121" s="11" t="n">
        <f aca="false">E108/1000/(E103+E104+E105)</f>
        <v>0.174032095099019</v>
      </c>
      <c r="F121" s="11" t="n">
        <f aca="false">F108/1000/(F103+F104+F105)</f>
        <v>0.174022041293313</v>
      </c>
      <c r="G121" s="11" t="n">
        <f aca="false">G108/1000/(G103+G104+G105)</f>
        <v>0.174022041293313</v>
      </c>
      <c r="H121" s="5" t="s">
        <v>569</v>
      </c>
    </row>
    <row r="124" customFormat="false" ht="17.15" hidden="false" customHeight="false" outlineLevel="0" collapsed="false">
      <c r="A124" s="3" t="s">
        <v>572</v>
      </c>
    </row>
    <row r="125" customFormat="false" ht="17.15" hidden="false" customHeight="false" outlineLevel="0" collapsed="false">
      <c r="A125" s="5" t="s">
        <v>573</v>
      </c>
    </row>
    <row r="126" customFormat="false" ht="17.15" hidden="false" customHeight="false" outlineLevel="0" collapsed="false">
      <c r="A126" s="6" t="s">
        <v>574</v>
      </c>
      <c r="B126" s="6" t="s">
        <v>16</v>
      </c>
      <c r="C126" s="15" t="s">
        <v>532</v>
      </c>
      <c r="D126" s="15" t="s">
        <v>533</v>
      </c>
      <c r="E126" s="15" t="s">
        <v>534</v>
      </c>
      <c r="F126" s="15" t="s">
        <v>535</v>
      </c>
      <c r="G126" s="15" t="s">
        <v>536</v>
      </c>
      <c r="H126" s="15" t="s">
        <v>575</v>
      </c>
      <c r="I126" s="15" t="s">
        <v>576</v>
      </c>
      <c r="J126" s="15" t="s">
        <v>577</v>
      </c>
      <c r="K126" s="6" t="s">
        <v>514</v>
      </c>
    </row>
    <row r="127" customFormat="false" ht="17.15" hidden="false" customHeight="false" outlineLevel="0" collapsed="false">
      <c r="A127" s="3" t="s">
        <v>578</v>
      </c>
    </row>
    <row r="128" customFormat="false" ht="17.15" hidden="false" customHeight="false" outlineLevel="0" collapsed="false">
      <c r="A128" s="5" t="s">
        <v>450</v>
      </c>
      <c r="B128" s="0" t="s">
        <v>248</v>
      </c>
      <c r="C128" s="9" t="n">
        <f aca="false">C5</f>
        <v>28368</v>
      </c>
      <c r="D128" s="9" t="n">
        <f aca="false">D5</f>
        <v>34287</v>
      </c>
      <c r="E128" s="9" t="n">
        <f aca="false">E5</f>
        <v>41757.6393303468</v>
      </c>
      <c r="F128" s="9" t="n">
        <f aca="false">F5</f>
        <v>47443.9635973303</v>
      </c>
      <c r="G128" s="9" t="n">
        <f aca="false">G5</f>
        <v>51242.479654742</v>
      </c>
      <c r="H128" s="24" t="n">
        <f aca="false">G128*(1+H129)</f>
        <v>55002.4208805981</v>
      </c>
      <c r="I128" s="24" t="n">
        <f aca="false">H128*(1+I129)</f>
        <v>58670.4078544896</v>
      </c>
      <c r="J128" s="24" t="n">
        <f aca="false">I128*(1+J129)</f>
        <v>62190.632325759</v>
      </c>
      <c r="K128" s="8" t="s">
        <v>579</v>
      </c>
    </row>
    <row r="129" customFormat="false" ht="15" hidden="false" customHeight="false" outlineLevel="0" collapsed="false">
      <c r="A129" s="5" t="s">
        <v>580</v>
      </c>
      <c r="B129" s="0" t="s">
        <v>195</v>
      </c>
      <c r="D129" s="11" t="n">
        <f aca="false">D128/C128-1</f>
        <v>0.208650592216582</v>
      </c>
      <c r="E129" s="11" t="n">
        <f aca="false">E128/D128-1</f>
        <v>0.21788547642975</v>
      </c>
      <c r="F129" s="11" t="n">
        <f aca="false">F128/E128-1</f>
        <v>0.136174466712513</v>
      </c>
      <c r="G129" s="11" t="n">
        <f aca="false">G128/F128-1</f>
        <v>0.0800632107732557</v>
      </c>
      <c r="H129" s="25" t="n">
        <f aca="false">$G129+((tp_g+0.02)-$G129)*1/3</f>
        <v>0.0733754738488372</v>
      </c>
      <c r="I129" s="25" t="n">
        <f aca="false">$G129+((tp_g+0.02)-$G129)*2/3</f>
        <v>0.0666877369244186</v>
      </c>
      <c r="J129" s="25" t="n">
        <f aca="false">$G129+((tp_g+0.02)-$G129)*3/3</f>
        <v>0.06</v>
      </c>
    </row>
    <row r="130" customFormat="false" ht="17.15" hidden="false" customHeight="false" outlineLevel="0" collapsed="false">
      <c r="A130" s="5" t="s">
        <v>581</v>
      </c>
      <c r="B130" s="0" t="s">
        <v>195</v>
      </c>
      <c r="C130" s="11" t="n">
        <f aca="false">C131/C128</f>
        <v>0.268154258319233</v>
      </c>
      <c r="D130" s="11" t="n">
        <f aca="false">D131/D128</f>
        <v>0.296903199463354</v>
      </c>
      <c r="E130" s="11" t="n">
        <f aca="false">E131/E128</f>
        <v>0.315155572006967</v>
      </c>
      <c r="F130" s="11" t="n">
        <f aca="false">F131/F128</f>
        <v>0.327090518989408</v>
      </c>
      <c r="G130" s="11" t="n">
        <f aca="false">G131/G128</f>
        <v>0.333587455761246</v>
      </c>
      <c r="H130" s="25" t="n">
        <f aca="false">$G130+($G130-$G130)*1/3</f>
        <v>0.333587455761246</v>
      </c>
      <c r="I130" s="25" t="n">
        <f aca="false">$G130+($G130-$G130)*2/3</f>
        <v>0.333587455761246</v>
      </c>
      <c r="J130" s="25" t="n">
        <f aca="false">$G130+($G130-$G130)*3/3</f>
        <v>0.333587455761246</v>
      </c>
    </row>
    <row r="131" customFormat="false" ht="15" hidden="false" customHeight="false" outlineLevel="0" collapsed="false">
      <c r="A131" s="5" t="s">
        <v>582</v>
      </c>
      <c r="B131" s="0" t="s">
        <v>248</v>
      </c>
      <c r="C131" s="9" t="n">
        <f aca="false">C11</f>
        <v>7607</v>
      </c>
      <c r="D131" s="9" t="n">
        <f aca="false">D11</f>
        <v>10179.92</v>
      </c>
      <c r="E131" s="9" t="n">
        <f aca="false">E11</f>
        <v>13160.1527088161</v>
      </c>
      <c r="F131" s="9" t="n">
        <f aca="false">F11</f>
        <v>15518.4706759653</v>
      </c>
      <c r="G131" s="9" t="n">
        <f aca="false">G11</f>
        <v>17093.8484149228</v>
      </c>
      <c r="H131" s="24" t="n">
        <f aca="false">H128*H130</f>
        <v>18348.1176422679</v>
      </c>
      <c r="I131" s="24" t="n">
        <f aca="false">I128*I130</f>
        <v>19571.7120846538</v>
      </c>
      <c r="J131" s="24" t="n">
        <f aca="false">J128*J130</f>
        <v>20746.014809733</v>
      </c>
    </row>
    <row r="132" customFormat="false" ht="17.15" hidden="false" customHeight="false" outlineLevel="0" collapsed="false">
      <c r="A132" s="0" t="s">
        <v>583</v>
      </c>
      <c r="B132" s="0" t="s">
        <v>337</v>
      </c>
      <c r="C132" s="14" t="n">
        <f aca="false">C12</f>
        <v>9.42</v>
      </c>
      <c r="D132" s="14" t="n">
        <f aca="false">D12</f>
        <v>12.76</v>
      </c>
      <c r="E132" s="14" t="n">
        <f aca="false">E12</f>
        <v>16.6621885068586</v>
      </c>
      <c r="F132" s="14" t="n">
        <f aca="false">F12</f>
        <v>19.8465416556624</v>
      </c>
      <c r="G132" s="14" t="n">
        <f aca="false">G12</f>
        <v>22.0821102531286</v>
      </c>
      <c r="H132" s="26" t="n">
        <f aca="false">$G132*H131/$G131</f>
        <v>23.7023955565342</v>
      </c>
      <c r="I132" s="26" t="n">
        <f aca="false">$G132*I131/$G131</f>
        <v>25.2830546758868</v>
      </c>
      <c r="J132" s="26" t="n">
        <f aca="false">$G132*J131/$G131</f>
        <v>26.80003795644</v>
      </c>
    </row>
    <row r="134" customFormat="false" ht="17.15" hidden="false" customHeight="false" outlineLevel="0" collapsed="false">
      <c r="A134" s="3" t="s">
        <v>584</v>
      </c>
    </row>
    <row r="135" customFormat="false" ht="17.15" hidden="false" customHeight="false" outlineLevel="0" collapsed="false">
      <c r="A135" s="5" t="s">
        <v>450</v>
      </c>
      <c r="B135" s="0" t="s">
        <v>248</v>
      </c>
      <c r="C135" s="9" t="n">
        <f aca="false">C15</f>
        <v>28368</v>
      </c>
      <c r="D135" s="9" t="n">
        <f aca="false">D15</f>
        <v>34287</v>
      </c>
      <c r="E135" s="9" t="n">
        <f aca="false">E15</f>
        <v>41414.0393303468</v>
      </c>
      <c r="F135" s="9" t="n">
        <f aca="false">F15</f>
        <v>43244.2756331856</v>
      </c>
      <c r="G135" s="9" t="n">
        <f aca="false">G15</f>
        <v>42711.0466143029</v>
      </c>
      <c r="H135" s="24" t="n">
        <f aca="false">G135*(1+H136)</f>
        <v>42929.4245885497</v>
      </c>
      <c r="I135" s="24" t="n">
        <f aca="false">H135*(1+I136)</f>
        <v>43897.7603415138</v>
      </c>
      <c r="J135" s="24" t="n">
        <f aca="false">I135*(1+J136)</f>
        <v>45653.6707551744</v>
      </c>
      <c r="K135" s="8" t="s">
        <v>579</v>
      </c>
    </row>
    <row r="136" customFormat="false" ht="15" hidden="false" customHeight="false" outlineLevel="0" collapsed="false">
      <c r="A136" s="5" t="s">
        <v>580</v>
      </c>
      <c r="B136" s="0" t="s">
        <v>195</v>
      </c>
      <c r="D136" s="11" t="n">
        <f aca="false">D135/C135-1</f>
        <v>0.208650592216582</v>
      </c>
      <c r="E136" s="11" t="n">
        <f aca="false">E135/D135-1</f>
        <v>0.207864185561491</v>
      </c>
      <c r="F136" s="11" t="n">
        <f aca="false">F135/E135-1</f>
        <v>0.0441936196621529</v>
      </c>
      <c r="G136" s="11" t="n">
        <f aca="false">G135/F135-1</f>
        <v>-0.012330626680067</v>
      </c>
      <c r="H136" s="25" t="n">
        <f aca="false">$G136+((tp_g)-$G136)*1/3</f>
        <v>0.00511291554662199</v>
      </c>
      <c r="I136" s="25" t="n">
        <f aca="false">$G136+((tp_g)-$G136)*2/3</f>
        <v>0.022556457773311</v>
      </c>
      <c r="J136" s="25" t="n">
        <f aca="false">$G136+((tp_g)-$G136)*3/3</f>
        <v>0.04</v>
      </c>
    </row>
    <row r="137" customFormat="false" ht="17.15" hidden="false" customHeight="false" outlineLevel="0" collapsed="false">
      <c r="A137" s="5" t="s">
        <v>581</v>
      </c>
      <c r="B137" s="0" t="s">
        <v>195</v>
      </c>
      <c r="C137" s="11" t="n">
        <f aca="false">C138/C135</f>
        <v>0.268154258319233</v>
      </c>
      <c r="D137" s="11" t="n">
        <f aca="false">D138/D135</f>
        <v>0.296903199463354</v>
      </c>
      <c r="E137" s="11" t="n">
        <f aca="false">E138/E135</f>
        <v>0.314329390633102</v>
      </c>
      <c r="F137" s="11" t="n">
        <f aca="false">F138/F135</f>
        <v>0.318578879755526</v>
      </c>
      <c r="G137" s="11" t="n">
        <f aca="false">G138/G135</f>
        <v>0.317378411416422</v>
      </c>
      <c r="H137" s="25" t="n">
        <f aca="false">$G137+(($G137+nim10)/2-$G137)*1/3</f>
        <v>0.302058804414126</v>
      </c>
      <c r="I137" s="25" t="n">
        <f aca="false">$G137+(($G137+nim10)/2-$G137)*2/3</f>
        <v>0.28673919741183</v>
      </c>
      <c r="J137" s="25" t="n">
        <f aca="false">$G137+(($G137+nim10)/2-$G137)*3/3</f>
        <v>0.271419590409534</v>
      </c>
    </row>
    <row r="138" customFormat="false" ht="15" hidden="false" customHeight="false" outlineLevel="0" collapsed="false">
      <c r="A138" s="5" t="s">
        <v>582</v>
      </c>
      <c r="B138" s="0" t="s">
        <v>248</v>
      </c>
      <c r="C138" s="9" t="n">
        <f aca="false">C21</f>
        <v>7607</v>
      </c>
      <c r="D138" s="9" t="n">
        <f aca="false">D21</f>
        <v>10179.92</v>
      </c>
      <c r="E138" s="9" t="n">
        <f aca="false">E21</f>
        <v>13017.6497463633</v>
      </c>
      <c r="F138" s="9" t="n">
        <f aca="false">F21</f>
        <v>13776.7128870595</v>
      </c>
      <c r="G138" s="9" t="n">
        <f aca="false">G21</f>
        <v>13555.5641243802</v>
      </c>
      <c r="H138" s="24" t="n">
        <f aca="false">H135*H137</f>
        <v>12967.2106654037</v>
      </c>
      <c r="I138" s="24" t="n">
        <f aca="false">I135*I137</f>
        <v>12587.2085685025</v>
      </c>
      <c r="J138" s="24" t="n">
        <f aca="false">J135*J137</f>
        <v>12391.3006170612</v>
      </c>
    </row>
    <row r="139" customFormat="false" ht="17.15" hidden="false" customHeight="false" outlineLevel="0" collapsed="false">
      <c r="A139" s="0" t="s">
        <v>583</v>
      </c>
      <c r="B139" s="0" t="s">
        <v>337</v>
      </c>
      <c r="C139" s="14" t="n">
        <f aca="false">C22</f>
        <v>9.42</v>
      </c>
      <c r="D139" s="14" t="n">
        <f aca="false">D22</f>
        <v>12.76</v>
      </c>
      <c r="E139" s="14" t="n">
        <f aca="false">E22</f>
        <v>16.4817642157648</v>
      </c>
      <c r="F139" s="14" t="n">
        <f aca="false">F22</f>
        <v>17.6190110417642</v>
      </c>
      <c r="G139" s="14" t="n">
        <f aca="false">G22</f>
        <v>17.5112972966697</v>
      </c>
      <c r="H139" s="26" t="n">
        <f aca="false">$G139*H138/$G138</f>
        <v>16.7512527687454</v>
      </c>
      <c r="I139" s="26" t="n">
        <f aca="false">$G139*I138/$G138</f>
        <v>16.2603599050374</v>
      </c>
      <c r="J139" s="26" t="n">
        <f aca="false">$G139*J138/$G138</f>
        <v>16.0072828402253</v>
      </c>
    </row>
    <row r="141" customFormat="false" ht="17.15" hidden="false" customHeight="false" outlineLevel="0" collapsed="false">
      <c r="A141" s="3" t="s">
        <v>585</v>
      </c>
    </row>
    <row r="142" customFormat="false" ht="17.15" hidden="false" customHeight="false" outlineLevel="0" collapsed="false">
      <c r="A142" s="5" t="s">
        <v>450</v>
      </c>
      <c r="B142" s="0" t="s">
        <v>248</v>
      </c>
      <c r="C142" s="9" t="n">
        <f aca="false">C25</f>
        <v>28368</v>
      </c>
      <c r="D142" s="9" t="n">
        <f aca="false">D25</f>
        <v>34287</v>
      </c>
      <c r="E142" s="9" t="n">
        <f aca="false">E25</f>
        <v>40470.4393303468</v>
      </c>
      <c r="F142" s="9" t="n">
        <f aca="false">F25</f>
        <v>36326.4847776547</v>
      </c>
      <c r="G142" s="9" t="n">
        <f aca="false">G25</f>
        <v>35643.6322415485</v>
      </c>
      <c r="H142" s="24" t="n">
        <f aca="false">G142*(1+H143)</f>
        <v>35434.5787809403</v>
      </c>
      <c r="I142" s="24" t="n">
        <f aca="false">H142*(1+I143)</f>
        <v>35685.0108981515</v>
      </c>
      <c r="J142" s="24" t="n">
        <f aca="false">I142*(1+J143)</f>
        <v>36398.7111161145</v>
      </c>
      <c r="K142" s="8" t="s">
        <v>579</v>
      </c>
    </row>
    <row r="143" customFormat="false" ht="15" hidden="false" customHeight="false" outlineLevel="0" collapsed="false">
      <c r="A143" s="5" t="s">
        <v>580</v>
      </c>
      <c r="B143" s="0" t="s">
        <v>195</v>
      </c>
      <c r="D143" s="11" t="n">
        <f aca="false">D142/C142-1</f>
        <v>0.208650592216582</v>
      </c>
      <c r="E143" s="11" t="n">
        <f aca="false">E142/D142-1</f>
        <v>0.180343550918624</v>
      </c>
      <c r="F143" s="11" t="n">
        <f aca="false">F142/E142-1</f>
        <v>-0.102394602610227</v>
      </c>
      <c r="G143" s="11" t="n">
        <f aca="false">G142/F142-1</f>
        <v>-0.0187976497116568</v>
      </c>
      <c r="H143" s="25" t="n">
        <f aca="false">$G143+((tp_g-0.02)-$G143)*1/3</f>
        <v>-0.00586509980777117</v>
      </c>
      <c r="I143" s="25" t="n">
        <f aca="false">$G143+((tp_g-0.02)-$G143)*2/3</f>
        <v>0.00706745009611441</v>
      </c>
      <c r="J143" s="25" t="n">
        <f aca="false">$G143+((tp_g-0.02)-$G143)*3/3</f>
        <v>0.02</v>
      </c>
    </row>
    <row r="144" customFormat="false" ht="17.15" hidden="false" customHeight="false" outlineLevel="0" collapsed="false">
      <c r="A144" s="5" t="s">
        <v>581</v>
      </c>
      <c r="B144" s="0" t="s">
        <v>195</v>
      </c>
      <c r="C144" s="11" t="n">
        <f aca="false">C145/C142</f>
        <v>0.268154258319233</v>
      </c>
      <c r="D144" s="11" t="n">
        <f aca="false">D145/D142</f>
        <v>0.296903199463354</v>
      </c>
      <c r="E144" s="11" t="n">
        <f aca="false">E145/E142</f>
        <v>0.311988354070384</v>
      </c>
      <c r="F144" s="11" t="n">
        <f aca="false">F145/F142</f>
        <v>0.300267494421905</v>
      </c>
      <c r="G144" s="11" t="n">
        <f aca="false">G145/G142</f>
        <v>0.2980745512714</v>
      </c>
      <c r="H144" s="25" t="n">
        <f aca="false">$G144+(nim10-$G144)*1/3</f>
        <v>0.273869957315149</v>
      </c>
      <c r="I144" s="25" t="n">
        <f aca="false">$G144+(nim10-$G144)*2/3</f>
        <v>0.249665363358898</v>
      </c>
      <c r="J144" s="25" t="n">
        <f aca="false">$G144+(nim10-$G144)*3/3</f>
        <v>0.225460769402647</v>
      </c>
    </row>
    <row r="145" customFormat="false" ht="15" hidden="false" customHeight="false" outlineLevel="0" collapsed="false">
      <c r="A145" s="5" t="s">
        <v>582</v>
      </c>
      <c r="B145" s="0" t="s">
        <v>248</v>
      </c>
      <c r="C145" s="9" t="n">
        <f aca="false">C31</f>
        <v>7607</v>
      </c>
      <c r="D145" s="9" t="n">
        <f aca="false">D31</f>
        <v>10179.92</v>
      </c>
      <c r="E145" s="9" t="n">
        <f aca="false">E31</f>
        <v>12626.3057551802</v>
      </c>
      <c r="F145" s="9" t="n">
        <f aca="false">F31</f>
        <v>10907.6625653418</v>
      </c>
      <c r="G145" s="9" t="n">
        <f aca="false">G31</f>
        <v>10624.4596860824</v>
      </c>
      <c r="H145" s="24" t="n">
        <f aca="false">H142*H144</f>
        <v>9704.46657821641</v>
      </c>
      <c r="I145" s="24" t="n">
        <f aca="false">I142*I144</f>
        <v>8909.31121235323</v>
      </c>
      <c r="J145" s="24" t="n">
        <f aca="false">J142*J144</f>
        <v>8206.48141350386</v>
      </c>
    </row>
    <row r="146" customFormat="false" ht="17.15" hidden="false" customHeight="false" outlineLevel="0" collapsed="false">
      <c r="A146" s="0" t="s">
        <v>583</v>
      </c>
      <c r="B146" s="0" t="s">
        <v>337</v>
      </c>
      <c r="C146" s="14" t="n">
        <f aca="false">C32</f>
        <v>9.42</v>
      </c>
      <c r="D146" s="14" t="n">
        <f aca="false">D32</f>
        <v>12.76</v>
      </c>
      <c r="E146" s="14" t="n">
        <f aca="false">E32</f>
        <v>15.9862800449961</v>
      </c>
      <c r="F146" s="14" t="n">
        <f aca="false">F32</f>
        <v>13.94978822264</v>
      </c>
      <c r="G146" s="14" t="n">
        <f aca="false">G32</f>
        <v>13.7248491078918</v>
      </c>
      <c r="H146" s="26" t="n">
        <f aca="false">$G146*H145/$G145</f>
        <v>12.5363871099324</v>
      </c>
      <c r="I146" s="26" t="n">
        <f aca="false">$G146*I145/$G145</f>
        <v>11.5091925291013</v>
      </c>
      <c r="J146" s="26" t="n">
        <f aca="false">$G146*J145/$G145</f>
        <v>10.6012656111448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586</v>
      </c>
    </row>
    <row r="2" customFormat="false" ht="17.15" hidden="false" customHeight="false" outlineLevel="0" collapsed="false">
      <c r="A2" s="0" t="s">
        <v>587</v>
      </c>
    </row>
    <row r="3" customFormat="false" ht="17.15" hidden="false" customHeight="false" outlineLevel="0" collapsed="false">
      <c r="A3" s="5" t="s">
        <v>588</v>
      </c>
    </row>
    <row r="4" customFormat="false" ht="17.15" hidden="false" customHeight="false" outlineLevel="0" collapsed="false">
      <c r="A4" s="1" t="s">
        <v>589</v>
      </c>
    </row>
    <row r="5" customFormat="false" ht="17.15" hidden="false" customHeight="false" outlineLevel="0" collapsed="false">
      <c r="A5" s="6" t="s">
        <v>590</v>
      </c>
      <c r="B5" s="15" t="s">
        <v>591</v>
      </c>
      <c r="C5" s="15" t="s">
        <v>592</v>
      </c>
      <c r="D5" s="15" t="s">
        <v>593</v>
      </c>
      <c r="E5" s="15" t="s">
        <v>594</v>
      </c>
      <c r="F5" s="6" t="s">
        <v>20</v>
      </c>
      <c r="G5" s="6" t="s">
        <v>514</v>
      </c>
    </row>
    <row r="6" customFormat="false" ht="17.15" hidden="false" customHeight="false" outlineLevel="0" collapsed="false">
      <c r="A6" s="0" t="s">
        <v>595</v>
      </c>
      <c r="B6" s="13" t="n">
        <v>1.75</v>
      </c>
      <c r="C6" s="13" t="n">
        <v>1.54</v>
      </c>
      <c r="D6" s="13" t="n">
        <v>1.54</v>
      </c>
      <c r="E6" s="11" t="n">
        <f aca="false">D6/C6-1</f>
        <v>0</v>
      </c>
      <c r="F6" s="8" t="s">
        <v>451</v>
      </c>
      <c r="G6" s="5" t="s">
        <v>596</v>
      </c>
    </row>
    <row r="7" customFormat="false" ht="17.15" hidden="false" customHeight="false" outlineLevel="0" collapsed="false">
      <c r="A7" s="0" t="s">
        <v>597</v>
      </c>
      <c r="B7" s="13" t="n">
        <v>3.25</v>
      </c>
      <c r="C7" s="13" t="n">
        <v>3.17</v>
      </c>
      <c r="D7" s="13" t="n">
        <v>3.25</v>
      </c>
      <c r="E7" s="11" t="n">
        <f aca="false">D7/C7-1</f>
        <v>0.025236593059937</v>
      </c>
      <c r="F7" s="8" t="s">
        <v>451</v>
      </c>
      <c r="G7" s="5" t="s">
        <v>598</v>
      </c>
    </row>
    <row r="8" customFormat="false" ht="17.15" hidden="false" customHeight="false" outlineLevel="0" collapsed="false">
      <c r="A8" s="0" t="s">
        <v>599</v>
      </c>
      <c r="B8" s="13" t="n">
        <v>4.45</v>
      </c>
      <c r="C8" s="13" t="n">
        <v>3.23</v>
      </c>
      <c r="D8" s="13" t="n">
        <v>2.96</v>
      </c>
      <c r="E8" s="11" t="n">
        <f aca="false">D8/C8-1</f>
        <v>-0.0835913312693498</v>
      </c>
      <c r="F8" s="8" t="s">
        <v>451</v>
      </c>
      <c r="G8" s="5" t="s">
        <v>600</v>
      </c>
    </row>
    <row r="9" customFormat="false" ht="17.15" hidden="false" customHeight="false" outlineLevel="0" collapsed="false">
      <c r="A9" s="0" t="s">
        <v>601</v>
      </c>
      <c r="B9" s="13" t="n">
        <v>3.04</v>
      </c>
      <c r="C9" s="13" t="n">
        <v>2.86</v>
      </c>
      <c r="D9" s="13" t="n">
        <v>2.86</v>
      </c>
      <c r="E9" s="11" t="n">
        <f aca="false">D9/C9-1</f>
        <v>0</v>
      </c>
      <c r="F9" s="8" t="s">
        <v>451</v>
      </c>
      <c r="G9" s="5" t="s">
        <v>602</v>
      </c>
    </row>
    <row r="10" customFormat="false" ht="17.15" hidden="false" customHeight="false" outlineLevel="0" collapsed="false">
      <c r="A10" s="0" t="s">
        <v>603</v>
      </c>
      <c r="B10" s="13" t="n">
        <v>4.17</v>
      </c>
      <c r="C10" s="13" t="n">
        <v>3.92</v>
      </c>
      <c r="D10" s="13" t="n">
        <v>3.92</v>
      </c>
      <c r="E10" s="11" t="n">
        <f aca="false">D10/C10-1</f>
        <v>0</v>
      </c>
      <c r="F10" s="8" t="s">
        <v>451</v>
      </c>
      <c r="G10" s="5" t="s">
        <v>604</v>
      </c>
    </row>
    <row r="11" customFormat="false" ht="17.15" hidden="false" customHeight="false" outlineLevel="0" collapsed="false">
      <c r="A11" s="0" t="s">
        <v>605</v>
      </c>
      <c r="B11" s="13" t="n">
        <v>6.84</v>
      </c>
      <c r="C11" s="13" t="n">
        <v>6.4</v>
      </c>
      <c r="D11" s="13" t="n">
        <v>6.4</v>
      </c>
      <c r="E11" s="11" t="n">
        <f aca="false">D11/C11-1</f>
        <v>0</v>
      </c>
      <c r="F11" s="8" t="s">
        <v>451</v>
      </c>
      <c r="G11" s="5" t="s">
        <v>606</v>
      </c>
    </row>
    <row r="12" customFormat="false" ht="17.15" hidden="false" customHeight="false" outlineLevel="0" collapsed="false">
      <c r="A12" s="0" t="s">
        <v>607</v>
      </c>
      <c r="B12" s="13" t="n">
        <v>7.7</v>
      </c>
      <c r="C12" s="13" t="n">
        <v>7.44</v>
      </c>
      <c r="D12" s="13" t="n">
        <v>7.44</v>
      </c>
      <c r="E12" s="11" t="n">
        <f aca="false">D12/C12-1</f>
        <v>0</v>
      </c>
      <c r="F12" s="8" t="s">
        <v>451</v>
      </c>
      <c r="G12" s="5" t="s">
        <v>608</v>
      </c>
    </row>
    <row r="13" customFormat="false" ht="17.15" hidden="false" customHeight="false" outlineLevel="0" collapsed="false">
      <c r="A13" s="0" t="s">
        <v>609</v>
      </c>
      <c r="B13" s="13" t="n">
        <v>8.05</v>
      </c>
      <c r="C13" s="13" t="n">
        <v>8.11</v>
      </c>
      <c r="D13" s="13" t="n">
        <v>8.11</v>
      </c>
      <c r="E13" s="11" t="n">
        <f aca="false">D13/C13-1</f>
        <v>0</v>
      </c>
      <c r="F13" s="8" t="s">
        <v>451</v>
      </c>
      <c r="G13" s="5" t="s">
        <v>610</v>
      </c>
    </row>
    <row r="14" customFormat="false" ht="17.15" hidden="false" customHeight="false" outlineLevel="0" collapsed="false">
      <c r="A14" s="0" t="s">
        <v>611</v>
      </c>
      <c r="B14" s="13" t="n">
        <v>8.65</v>
      </c>
      <c r="C14" s="13" t="n">
        <v>8.61</v>
      </c>
      <c r="D14" s="13" t="n">
        <v>8.61</v>
      </c>
      <c r="E14" s="11" t="n">
        <f aca="false">D14/C14-1</f>
        <v>0</v>
      </c>
      <c r="F14" s="8" t="s">
        <v>451</v>
      </c>
      <c r="G14" s="5" t="s">
        <v>612</v>
      </c>
    </row>
    <row r="15" customFormat="false" ht="17.15" hidden="false" customHeight="false" outlineLevel="0" collapsed="false">
      <c r="A15" s="0" t="s">
        <v>498</v>
      </c>
      <c r="B15" s="13" t="n">
        <v>9.42</v>
      </c>
      <c r="C15" s="13" t="n">
        <v>8.66</v>
      </c>
      <c r="D15" s="13" t="n">
        <v>8.66</v>
      </c>
      <c r="E15" s="11" t="n">
        <f aca="false">D15/C15-1</f>
        <v>0</v>
      </c>
      <c r="F15" s="8" t="s">
        <v>451</v>
      </c>
      <c r="G15" s="5" t="s">
        <v>613</v>
      </c>
    </row>
    <row r="16" customFormat="false" ht="17.15" hidden="false" customHeight="false" outlineLevel="0" collapsed="false">
      <c r="A16" s="5" t="s">
        <v>614</v>
      </c>
    </row>
    <row r="18" customFormat="false" ht="17.15" hidden="false" customHeight="false" outlineLevel="0" collapsed="false">
      <c r="A18" s="1" t="s">
        <v>615</v>
      </c>
    </row>
    <row r="19" customFormat="false" ht="17.15" hidden="false" customHeight="false" outlineLevel="0" collapsed="false">
      <c r="A19" s="6" t="s">
        <v>616</v>
      </c>
      <c r="B19" s="6" t="s">
        <v>617</v>
      </c>
      <c r="C19" s="15" t="s">
        <v>618</v>
      </c>
      <c r="D19" s="15" t="s">
        <v>619</v>
      </c>
      <c r="E19" s="15" t="s">
        <v>620</v>
      </c>
      <c r="F19" s="15" t="s">
        <v>621</v>
      </c>
      <c r="G19" s="15" t="s">
        <v>622</v>
      </c>
      <c r="H19" s="6" t="s">
        <v>623</v>
      </c>
      <c r="I19" s="6" t="s">
        <v>624</v>
      </c>
      <c r="J19" s="6" t="s">
        <v>20</v>
      </c>
      <c r="K19" s="6" t="s">
        <v>625</v>
      </c>
      <c r="L19" s="5" t="s">
        <v>626</v>
      </c>
    </row>
    <row r="20" customFormat="false" ht="17.15" hidden="false" customHeight="false" outlineLevel="0" collapsed="false">
      <c r="A20" s="0" t="s">
        <v>627</v>
      </c>
      <c r="B20" s="13" t="n">
        <v>32.27</v>
      </c>
      <c r="C20" s="14" t="n">
        <f aca="false">B6</f>
        <v>1.75</v>
      </c>
      <c r="D20" s="14" t="n">
        <f aca="false">C6</f>
        <v>1.54</v>
      </c>
      <c r="E20" s="22" t="n">
        <f aca="false">B20/C20</f>
        <v>18.44</v>
      </c>
      <c r="F20" s="22" t="n">
        <f aca="false">B20/D20</f>
        <v>20.9545454545455</v>
      </c>
      <c r="G20" s="27" t="n">
        <v>18.6</v>
      </c>
      <c r="H20" s="22" t="n">
        <f aca="false">F20-G20</f>
        <v>2.35454545454546</v>
      </c>
      <c r="I20" s="13" t="n">
        <v>29.1</v>
      </c>
      <c r="J20" s="8" t="s">
        <v>441</v>
      </c>
      <c r="K20" s="5" t="s">
        <v>628</v>
      </c>
      <c r="L20" s="22" t="n">
        <f aca="false">IF(A20="2018-12","",E20)</f>
        <v>18.44</v>
      </c>
    </row>
    <row r="21" customFormat="false" ht="17.15" hidden="false" customHeight="false" outlineLevel="0" collapsed="false">
      <c r="A21" s="0" t="s">
        <v>629</v>
      </c>
      <c r="B21" s="13" t="n">
        <v>51.12</v>
      </c>
      <c r="C21" s="14" t="n">
        <f aca="false">B7</f>
        <v>3.25</v>
      </c>
      <c r="D21" s="14" t="n">
        <f aca="false">C7</f>
        <v>3.17</v>
      </c>
      <c r="E21" s="22" t="n">
        <f aca="false">B21/C21</f>
        <v>15.7292307692308</v>
      </c>
      <c r="F21" s="22" t="n">
        <f aca="false">B21/D21</f>
        <v>16.1261829652997</v>
      </c>
      <c r="G21" s="27" t="n">
        <v>14.7</v>
      </c>
      <c r="H21" s="22" t="n">
        <f aca="false">F21-G21</f>
        <v>1.42618296529968</v>
      </c>
      <c r="I21" s="13" t="n">
        <v>46.52</v>
      </c>
      <c r="J21" s="8" t="s">
        <v>441</v>
      </c>
      <c r="K21" s="5" t="s">
        <v>628</v>
      </c>
      <c r="L21" s="22" t="n">
        <f aca="false">IF(A21="2018-12","",E21)</f>
        <v>15.7292307692308</v>
      </c>
    </row>
    <row r="22" customFormat="false" ht="17.15" hidden="false" customHeight="false" outlineLevel="0" collapsed="false">
      <c r="A22" s="0" t="s">
        <v>630</v>
      </c>
      <c r="B22" s="13" t="n">
        <v>32.74</v>
      </c>
      <c r="C22" s="14" t="n">
        <f aca="false">B8</f>
        <v>4.45</v>
      </c>
      <c r="D22" s="14" t="n">
        <f aca="false">C8</f>
        <v>3.23</v>
      </c>
      <c r="E22" s="22" t="n">
        <f aca="false">B22/C22</f>
        <v>7.35730337078652</v>
      </c>
      <c r="F22" s="22" t="n">
        <f aca="false">B22/D22</f>
        <v>10.1362229102167</v>
      </c>
      <c r="G22" s="27" t="n">
        <v>9.2</v>
      </c>
      <c r="H22" s="22" t="n">
        <f aca="false">F22-G22</f>
        <v>0.936222910216719</v>
      </c>
      <c r="I22" s="13" t="n">
        <v>30.27</v>
      </c>
      <c r="J22" s="8" t="s">
        <v>441</v>
      </c>
      <c r="K22" s="8" t="s">
        <v>631</v>
      </c>
      <c r="L22" s="22" t="str">
        <f aca="false">IF(A22="2018-12","",E22)</f>
        <v/>
      </c>
    </row>
    <row r="23" customFormat="false" ht="17.15" hidden="false" customHeight="false" outlineLevel="0" collapsed="false">
      <c r="A23" s="0" t="s">
        <v>632</v>
      </c>
      <c r="B23" s="13" t="n">
        <v>61.04</v>
      </c>
      <c r="C23" s="14" t="n">
        <f aca="false">B9</f>
        <v>3.04</v>
      </c>
      <c r="D23" s="14" t="n">
        <f aca="false">C9</f>
        <v>2.86</v>
      </c>
      <c r="E23" s="22" t="n">
        <f aca="false">B23/C23</f>
        <v>20.0789473684211</v>
      </c>
      <c r="F23" s="22" t="n">
        <f aca="false">B23/D23</f>
        <v>21.3426573426573</v>
      </c>
      <c r="G23" s="27" t="n">
        <v>20</v>
      </c>
      <c r="H23" s="22" t="n">
        <f aca="false">F23-G23</f>
        <v>1.34265734265734</v>
      </c>
      <c r="I23" s="13" t="n">
        <v>57.47</v>
      </c>
      <c r="J23" s="8" t="s">
        <v>441</v>
      </c>
      <c r="K23" s="5" t="s">
        <v>628</v>
      </c>
      <c r="L23" s="22" t="n">
        <f aca="false">IF(A23="2018-12","",E23)</f>
        <v>20.0789473684211</v>
      </c>
    </row>
    <row r="24" customFormat="false" ht="17.15" hidden="false" customHeight="false" outlineLevel="0" collapsed="false">
      <c r="A24" s="0" t="s">
        <v>633</v>
      </c>
      <c r="B24" s="13" t="n">
        <v>86.3</v>
      </c>
      <c r="C24" s="14" t="n">
        <f aca="false">B10</f>
        <v>4.17</v>
      </c>
      <c r="D24" s="14" t="n">
        <f aca="false">C10</f>
        <v>3.92</v>
      </c>
      <c r="E24" s="22" t="n">
        <f aca="false">B24/C24</f>
        <v>20.6954436450839</v>
      </c>
      <c r="F24" s="22" t="n">
        <f aca="false">B24/D24</f>
        <v>22.015306122449</v>
      </c>
      <c r="G24" s="27" t="n">
        <v>21</v>
      </c>
      <c r="H24" s="22" t="n">
        <f aca="false">F24-G24</f>
        <v>1.01530612244898</v>
      </c>
      <c r="I24" s="13" t="n">
        <v>82.31</v>
      </c>
      <c r="J24" s="8" t="s">
        <v>441</v>
      </c>
      <c r="K24" s="5" t="s">
        <v>628</v>
      </c>
      <c r="L24" s="22" t="n">
        <f aca="false">IF(A24="2018-12","",E24)</f>
        <v>20.6954436450839</v>
      </c>
    </row>
    <row r="25" customFormat="false" ht="17.15" hidden="false" customHeight="false" outlineLevel="0" collapsed="false">
      <c r="A25" s="0" t="s">
        <v>634</v>
      </c>
      <c r="B25" s="13" t="n">
        <v>157.36</v>
      </c>
      <c r="C25" s="14" t="n">
        <f aca="false">B11</f>
        <v>6.84</v>
      </c>
      <c r="D25" s="14" t="n">
        <f aca="false">C11</f>
        <v>6.4</v>
      </c>
      <c r="E25" s="22" t="n">
        <f aca="false">B25/C25</f>
        <v>23.0058479532164</v>
      </c>
      <c r="F25" s="22" t="n">
        <f aca="false">B25/D25</f>
        <v>24.5875</v>
      </c>
      <c r="G25" s="27" t="n">
        <v>23.5</v>
      </c>
      <c r="H25" s="22" t="n">
        <f aca="false">F25-G25</f>
        <v>1.0875</v>
      </c>
      <c r="I25" s="14"/>
      <c r="J25" s="8" t="s">
        <v>441</v>
      </c>
      <c r="K25" s="5" t="s">
        <v>628</v>
      </c>
      <c r="L25" s="22" t="n">
        <f aca="false">IF(A25="2018-12","",E25)</f>
        <v>23.0058479532164</v>
      </c>
    </row>
    <row r="26" customFormat="false" ht="17.15" hidden="false" customHeight="false" outlineLevel="0" collapsed="false">
      <c r="A26" s="0" t="s">
        <v>635</v>
      </c>
      <c r="B26" s="13" t="n">
        <v>97.38</v>
      </c>
      <c r="C26" s="14" t="n">
        <f aca="false">B12</f>
        <v>7.7</v>
      </c>
      <c r="D26" s="14" t="n">
        <f aca="false">C12</f>
        <v>7.44</v>
      </c>
      <c r="E26" s="22" t="n">
        <f aca="false">B26/C26</f>
        <v>12.6467532467532</v>
      </c>
      <c r="F26" s="22" t="n">
        <f aca="false">B26/D26</f>
        <v>13.0887096774194</v>
      </c>
      <c r="G26" s="27" t="n">
        <v>12.7</v>
      </c>
      <c r="H26" s="22" t="n">
        <f aca="false">F26-G26</f>
        <v>0.388709677419355</v>
      </c>
      <c r="I26" s="14"/>
      <c r="J26" s="8" t="s">
        <v>441</v>
      </c>
      <c r="K26" s="5" t="s">
        <v>628</v>
      </c>
      <c r="L26" s="22" t="n">
        <f aca="false">IF(A26="2018-12","",E26)</f>
        <v>12.6467532467532</v>
      </c>
    </row>
    <row r="27" customFormat="false" ht="17.15" hidden="false" customHeight="false" outlineLevel="0" collapsed="false">
      <c r="A27" s="0" t="s">
        <v>636</v>
      </c>
      <c r="B27" s="13" t="n">
        <v>162.07</v>
      </c>
      <c r="C27" s="14" t="n">
        <f aca="false">B13</f>
        <v>8.05</v>
      </c>
      <c r="D27" s="14" t="n">
        <f aca="false">C13</f>
        <v>8.11</v>
      </c>
      <c r="E27" s="22" t="n">
        <f aca="false">B27/C27</f>
        <v>20.1329192546584</v>
      </c>
      <c r="F27" s="22" t="n">
        <f aca="false">B27/D27</f>
        <v>19.9839704069051</v>
      </c>
      <c r="G27" s="27" t="n">
        <v>19.6</v>
      </c>
      <c r="H27" s="22" t="n">
        <f aca="false">F27-G27</f>
        <v>0.383970406905053</v>
      </c>
      <c r="I27" s="14"/>
      <c r="J27" s="8" t="s">
        <v>441</v>
      </c>
      <c r="K27" s="5" t="s">
        <v>628</v>
      </c>
      <c r="L27" s="22" t="n">
        <f aca="false">IF(A27="2018-12","",E27)</f>
        <v>20.1329192546584</v>
      </c>
    </row>
    <row r="28" customFormat="false" ht="17.15" hidden="false" customHeight="false" outlineLevel="0" collapsed="false">
      <c r="A28" s="0" t="s">
        <v>637</v>
      </c>
      <c r="B28" s="13" t="n">
        <v>162.63</v>
      </c>
      <c r="C28" s="14" t="n">
        <f aca="false">B14</f>
        <v>8.65</v>
      </c>
      <c r="D28" s="14" t="n">
        <f aca="false">C14</f>
        <v>8.61</v>
      </c>
      <c r="E28" s="22" t="n">
        <f aca="false">B28/C28</f>
        <v>18.8011560693642</v>
      </c>
      <c r="F28" s="22" t="n">
        <f aca="false">B28/D28</f>
        <v>18.8885017421603</v>
      </c>
      <c r="G28" s="27" t="n">
        <v>18.6</v>
      </c>
      <c r="H28" s="22" t="n">
        <f aca="false">F28-G28</f>
        <v>0.288501742160278</v>
      </c>
      <c r="I28" s="14"/>
      <c r="J28" s="8" t="s">
        <v>441</v>
      </c>
      <c r="K28" s="5" t="s">
        <v>628</v>
      </c>
      <c r="L28" s="22" t="n">
        <f aca="false">IF(A28="2018-12","",E28)</f>
        <v>18.8011560693642</v>
      </c>
    </row>
    <row r="29" customFormat="false" ht="17.15" hidden="false" customHeight="false" outlineLevel="0" collapsed="false">
      <c r="A29" s="0" t="s">
        <v>638</v>
      </c>
      <c r="B29" s="13" t="n">
        <v>256.99</v>
      </c>
      <c r="C29" s="14" t="n">
        <f aca="false">B15</f>
        <v>9.42</v>
      </c>
      <c r="D29" s="14" t="n">
        <f aca="false">C15</f>
        <v>8.66</v>
      </c>
      <c r="E29" s="22" t="n">
        <f aca="false">B29/C29</f>
        <v>27.2813163481953</v>
      </c>
      <c r="F29" s="22" t="n">
        <f aca="false">B29/D29</f>
        <v>29.675519630485</v>
      </c>
      <c r="G29" s="27" t="n">
        <v>29.5</v>
      </c>
      <c r="H29" s="22" t="n">
        <f aca="false">F29-G29</f>
        <v>0.175519630484988</v>
      </c>
      <c r="I29" s="13" t="n">
        <v>256.08</v>
      </c>
      <c r="J29" s="8" t="s">
        <v>441</v>
      </c>
      <c r="K29" s="8" t="s">
        <v>639</v>
      </c>
      <c r="L29" s="22" t="n">
        <f aca="false">IF(A29="2018-12","",E29)</f>
        <v>27.2813163481953</v>
      </c>
    </row>
    <row r="31" customFormat="false" ht="17.15" hidden="false" customHeight="false" outlineLevel="0" collapsed="false">
      <c r="A31" s="5" t="s">
        <v>640</v>
      </c>
    </row>
    <row r="33" customFormat="false" ht="17.15" hidden="false" customHeight="false" outlineLevel="0" collapsed="false">
      <c r="A33" s="1" t="s">
        <v>641</v>
      </c>
    </row>
    <row r="34" customFormat="false" ht="17.15" hidden="false" customHeight="false" outlineLevel="0" collapsed="false">
      <c r="A34" s="6" t="s">
        <v>642</v>
      </c>
      <c r="B34" s="15" t="s">
        <v>643</v>
      </c>
      <c r="C34" s="15" t="s">
        <v>644</v>
      </c>
      <c r="D34" s="15" t="s">
        <v>645</v>
      </c>
      <c r="E34" s="6" t="s">
        <v>646</v>
      </c>
    </row>
    <row r="35" customFormat="false" ht="17.15" hidden="false" customHeight="false" outlineLevel="0" collapsed="false">
      <c r="A35" s="0" t="s">
        <v>647</v>
      </c>
      <c r="B35" s="22" t="n">
        <f aca="false">PERCENTILE(E20:E29,0.25)</f>
        <v>16.4069230769231</v>
      </c>
      <c r="C35" s="22" t="n">
        <f aca="false">PERCENTILE(F20:F29,0.25)</f>
        <v>16.8167626595148</v>
      </c>
      <c r="D35" s="22" t="n">
        <f aca="false">PERCENTILE(G20:G29,0.25)</f>
        <v>15.675</v>
      </c>
      <c r="E35" s="5" t="s">
        <v>648</v>
      </c>
    </row>
    <row r="36" customFormat="false" ht="15" hidden="false" customHeight="false" outlineLevel="0" collapsed="false">
      <c r="A36" s="5" t="s">
        <v>649</v>
      </c>
      <c r="B36" s="22" t="n">
        <f aca="false">PERCENTILE(E20:E29,0.5)</f>
        <v>19.4400517188926</v>
      </c>
      <c r="C36" s="22" t="n">
        <f aca="false">PERCENTILE(F20:F29,0.5)</f>
        <v>20.4692579307253</v>
      </c>
      <c r="D36" s="22" t="n">
        <f aca="false">PERCENTILE(G20:G29,0.5)</f>
        <v>19.1</v>
      </c>
      <c r="E36" s="5" t="s">
        <v>650</v>
      </c>
    </row>
    <row r="37" customFormat="false" ht="17.15" hidden="false" customHeight="false" outlineLevel="0" collapsed="false">
      <c r="A37" s="0" t="s">
        <v>651</v>
      </c>
      <c r="B37" s="22" t="n">
        <f aca="false">PERCENTILE(E20:E29,0.75)</f>
        <v>20.5548125474775</v>
      </c>
      <c r="C37" s="22" t="n">
        <f aca="false">PERCENTILE(F20:F29,0.75)</f>
        <v>21.8471439275011</v>
      </c>
      <c r="D37" s="22" t="n">
        <f aca="false">PERCENTILE(G20:G29,0.75)</f>
        <v>20.75</v>
      </c>
      <c r="E37" s="5" t="s">
        <v>652</v>
      </c>
    </row>
    <row r="38" customFormat="false" ht="15" hidden="false" customHeight="false" outlineLevel="0" collapsed="false">
      <c r="A38" s="5" t="s">
        <v>653</v>
      </c>
      <c r="B38" s="0" t="n">
        <f aca="false">COUNT(E20:E29)</f>
        <v>10</v>
      </c>
      <c r="C38" s="0" t="n">
        <f aca="false">COUNT(F20:F29)</f>
        <v>10</v>
      </c>
      <c r="D38" s="0" t="n">
        <f aca="false">COUNT(G20:G29)</f>
        <v>10</v>
      </c>
    </row>
    <row r="40" customFormat="false" ht="17.15" hidden="false" customHeight="false" outlineLevel="0" collapsed="false">
      <c r="A40" s="3" t="s">
        <v>654</v>
      </c>
    </row>
    <row r="41" customFormat="false" ht="17.15" hidden="false" customHeight="false" outlineLevel="0" collapsed="false">
      <c r="A41" s="6" t="s">
        <v>642</v>
      </c>
      <c r="B41" s="15" t="s">
        <v>655</v>
      </c>
    </row>
    <row r="42" customFormat="false" ht="17.15" hidden="false" customHeight="false" outlineLevel="0" collapsed="false">
      <c r="A42" s="0" t="s">
        <v>647</v>
      </c>
      <c r="B42" s="22" t="n">
        <f aca="false">PERCENTILE(L20:L29,0.25)</f>
        <v>18.44</v>
      </c>
    </row>
    <row r="43" customFormat="false" ht="15" hidden="false" customHeight="false" outlineLevel="0" collapsed="false">
      <c r="A43" s="5" t="s">
        <v>649</v>
      </c>
      <c r="B43" s="22" t="n">
        <f aca="false">PERCENTILE(L20:L29,0.5)</f>
        <v>20.0789473684211</v>
      </c>
    </row>
    <row r="44" customFormat="false" ht="17.15" hidden="false" customHeight="false" outlineLevel="0" collapsed="false">
      <c r="A44" s="0" t="s">
        <v>651</v>
      </c>
      <c r="B44" s="22" t="n">
        <f aca="false">PERCENTILE(L20:L29,0.75)</f>
        <v>20.6954436450839</v>
      </c>
    </row>
    <row r="46" customFormat="false" ht="17.15" hidden="false" customHeight="false" outlineLevel="0" collapsed="false">
      <c r="A46" s="3" t="s">
        <v>656</v>
      </c>
    </row>
    <row r="47" customFormat="false" ht="17.15" hidden="false" customHeight="false" outlineLevel="0" collapsed="false">
      <c r="A47" s="28" t="s">
        <v>657</v>
      </c>
      <c r="B47" s="29" t="n">
        <f aca="false">tp_wA*B49+tp_wB*B50+tp_wC*B51</f>
        <v>309.834449680392</v>
      </c>
      <c r="C47" s="30"/>
      <c r="D47" s="30"/>
      <c r="E47" s="31" t="s">
        <v>658</v>
      </c>
    </row>
    <row r="48" customFormat="false" ht="17.15" hidden="false" customHeight="false" outlineLevel="0" collapsed="false">
      <c r="A48" s="31" t="s">
        <v>659</v>
      </c>
      <c r="B48" s="32" t="n">
        <f aca="false">B47/px-1</f>
        <v>-0.178680814122596</v>
      </c>
      <c r="C48" s="30"/>
      <c r="D48" s="30"/>
      <c r="E48" s="31" t="s">
        <v>660</v>
      </c>
    </row>
    <row r="49" customFormat="false" ht="17.15" hidden="false" customHeight="false" outlineLevel="0" collapsed="false">
      <c r="A49" s="5" t="s">
        <v>661</v>
      </c>
      <c r="B49" s="9" t="n">
        <f aca="false">F68</f>
        <v>323.91380632327</v>
      </c>
      <c r="E49" s="5" t="s">
        <v>662</v>
      </c>
    </row>
    <row r="50" customFormat="false" ht="17.15" hidden="false" customHeight="false" outlineLevel="0" collapsed="false">
      <c r="A50" s="5" t="s">
        <v>663</v>
      </c>
      <c r="B50" s="9" t="n">
        <f aca="false">F75</f>
        <v>320.406348773061</v>
      </c>
      <c r="E50" s="5" t="s">
        <v>664</v>
      </c>
    </row>
    <row r="51" customFormat="false" ht="17.15" hidden="false" customHeight="false" outlineLevel="0" collapsed="false">
      <c r="A51" s="5" t="s">
        <v>665</v>
      </c>
      <c r="B51" s="9" t="n">
        <f aca="false">F82</f>
        <v>262.285666984401</v>
      </c>
      <c r="E51" s="5" t="s">
        <v>666</v>
      </c>
    </row>
    <row r="52" customFormat="false" ht="17.15" hidden="false" customHeight="false" outlineLevel="0" collapsed="false">
      <c r="A52" s="5" t="s">
        <v>667</v>
      </c>
      <c r="B52" s="20" t="n">
        <f aca="false">tp_wA</f>
        <v>0.3</v>
      </c>
      <c r="C52" s="20" t="n">
        <f aca="false">tp_wB</f>
        <v>0.5</v>
      </c>
      <c r="D52" s="20" t="n">
        <f aca="false">tp_wC</f>
        <v>0.2</v>
      </c>
      <c r="E52" s="8" t="s">
        <v>668</v>
      </c>
    </row>
    <row r="53" customFormat="false" ht="17.15" hidden="false" customHeight="false" outlineLevel="0" collapsed="false">
      <c r="A53" s="5" t="s">
        <v>669</v>
      </c>
      <c r="B53" s="0" t="s">
        <v>670</v>
      </c>
    </row>
    <row r="59" customFormat="false" ht="17.15" hidden="false" customHeight="false" outlineLevel="0" collapsed="false">
      <c r="A59" s="1" t="s">
        <v>671</v>
      </c>
    </row>
    <row r="60" customFormat="false" ht="17.15" hidden="false" customHeight="false" outlineLevel="0" collapsed="false">
      <c r="A60" s="5" t="s">
        <v>672</v>
      </c>
    </row>
    <row r="61" customFormat="false" ht="17.15" hidden="false" customHeight="false" outlineLevel="0" collapsed="false">
      <c r="A61" s="6" t="s">
        <v>673</v>
      </c>
      <c r="B61" s="6" t="s">
        <v>674</v>
      </c>
      <c r="C61" s="15" t="s">
        <v>675</v>
      </c>
      <c r="D61" s="6" t="s">
        <v>676</v>
      </c>
      <c r="E61" s="6" t="s">
        <v>677</v>
      </c>
      <c r="F61" s="6" t="s">
        <v>678</v>
      </c>
    </row>
    <row r="62" customFormat="false" ht="15" hidden="false" customHeight="false" outlineLevel="0" collapsed="false">
      <c r="A62" s="0" t="s">
        <v>679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22" t="n">
        <f aca="false">IF(D62="見頂",pe_peak,IF(D62="谷底",pe_trough,pe_mid))</f>
        <v>19.4400517188926</v>
      </c>
      <c r="F62" s="8" t="s">
        <v>680</v>
      </c>
    </row>
    <row r="63" customFormat="false" ht="15" hidden="false" customHeight="false" outlineLevel="0" collapsed="false">
      <c r="A63" s="0" t="s">
        <v>681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22" t="n">
        <f aca="false">IF(D63="見頂",pe_peak,IF(D63="谷底",pe_trough,pe_mid))</f>
        <v>19.4400517188926</v>
      </c>
      <c r="F63" s="8" t="s">
        <v>680</v>
      </c>
    </row>
    <row r="64" customFormat="false" ht="15" hidden="false" customHeight="false" outlineLevel="0" collapsed="false">
      <c r="A64" s="0" t="s">
        <v>682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22" t="n">
        <f aca="false">IF(D64="見頂",pe_peak,IF(D64="谷底",pe_trough,pe_mid))</f>
        <v>16.4069230769231</v>
      </c>
      <c r="F64" s="8" t="s">
        <v>680</v>
      </c>
    </row>
    <row r="66" customFormat="false" ht="17.15" hidden="false" customHeight="false" outlineLevel="0" collapsed="false">
      <c r="A66" s="1" t="s">
        <v>683</v>
      </c>
    </row>
    <row r="67" customFormat="false" ht="17.15" hidden="false" customHeight="false" outlineLevel="0" collapsed="false">
      <c r="A67" s="6" t="s">
        <v>673</v>
      </c>
      <c r="B67" s="15" t="s">
        <v>684</v>
      </c>
      <c r="C67" s="15" t="s">
        <v>685</v>
      </c>
      <c r="D67" s="6" t="s">
        <v>686</v>
      </c>
      <c r="E67" s="6" t="s">
        <v>677</v>
      </c>
      <c r="F67" s="6" t="s">
        <v>687</v>
      </c>
      <c r="G67" s="6" t="s">
        <v>688</v>
      </c>
      <c r="H67" s="6" t="s">
        <v>689</v>
      </c>
    </row>
    <row r="68" customFormat="false" ht="15" hidden="false" customHeight="false" outlineLevel="0" collapsed="false">
      <c r="A68" s="30" t="s">
        <v>679</v>
      </c>
      <c r="B68" s="30" t="s">
        <v>534</v>
      </c>
      <c r="C68" s="33" t="n">
        <f aca="false">PL!E12</f>
        <v>16.6621885068586</v>
      </c>
      <c r="D68" s="30" t="str">
        <f aca="false">"規則值："&amp;D62</f>
        <v>規則值：中段</v>
      </c>
      <c r="E68" s="34" t="n">
        <f aca="false">E62</f>
        <v>19.4400517188926</v>
      </c>
      <c r="F68" s="29" t="n">
        <f aca="false">C68*E68</f>
        <v>323.91380632327</v>
      </c>
      <c r="G68" s="35" t="n">
        <f aca="false">F68/px-1</f>
        <v>-0.141358799906505</v>
      </c>
      <c r="H68" s="30"/>
    </row>
    <row r="69" customFormat="false" ht="17.15" hidden="false" customHeight="false" outlineLevel="0" collapsed="false">
      <c r="A69" s="0" t="s">
        <v>679</v>
      </c>
      <c r="B69" s="0" t="s">
        <v>534</v>
      </c>
      <c r="C69" s="14" t="n">
        <f aca="false">PL!E12</f>
        <v>16.6621885068586</v>
      </c>
      <c r="D69" s="5" t="s">
        <v>690</v>
      </c>
      <c r="E69" s="22" t="n">
        <f aca="false">pe_peak</f>
        <v>16.4069230769231</v>
      </c>
      <c r="F69" s="9" t="n">
        <f aca="false">C69*E69</f>
        <v>273.375245125222</v>
      </c>
      <c r="G69" s="20" t="n">
        <f aca="false">F69/px-1</f>
        <v>-0.275328053426939</v>
      </c>
    </row>
    <row r="70" customFormat="false" ht="15" hidden="false" customHeight="false" outlineLevel="0" collapsed="false">
      <c r="A70" s="0" t="s">
        <v>679</v>
      </c>
      <c r="B70" s="0" t="s">
        <v>534</v>
      </c>
      <c r="C70" s="14" t="n">
        <f aca="false">PL!E12</f>
        <v>16.6621885068586</v>
      </c>
      <c r="D70" s="5" t="s">
        <v>691</v>
      </c>
      <c r="E70" s="22" t="n">
        <f aca="false">pe_mid</f>
        <v>19.4400517188926</v>
      </c>
      <c r="F70" s="9" t="n">
        <f aca="false">C70*E70</f>
        <v>323.91380632327</v>
      </c>
      <c r="G70" s="20" t="n">
        <f aca="false">F70/px-1</f>
        <v>-0.141358799906505</v>
      </c>
    </row>
    <row r="71" customFormat="false" ht="17.15" hidden="false" customHeight="false" outlineLevel="0" collapsed="false">
      <c r="A71" s="0" t="s">
        <v>679</v>
      </c>
      <c r="B71" s="0" t="s">
        <v>534</v>
      </c>
      <c r="C71" s="14" t="n">
        <f aca="false">PL!E12</f>
        <v>16.6621885068586</v>
      </c>
      <c r="D71" s="5" t="s">
        <v>692</v>
      </c>
      <c r="E71" s="22" t="n">
        <f aca="false">pe_trough</f>
        <v>20.5548125474775</v>
      </c>
      <c r="F71" s="9" t="n">
        <f aca="false">C71*E71</f>
        <v>342.488161389214</v>
      </c>
      <c r="G71" s="20" t="n">
        <f aca="false">F71/px-1</f>
        <v>-0.0921212984062819</v>
      </c>
    </row>
    <row r="72" customFormat="false" ht="17.15" hidden="false" customHeight="false" outlineLevel="0" collapsed="false">
      <c r="A72" s="0" t="s">
        <v>679</v>
      </c>
      <c r="B72" s="0" t="s">
        <v>535</v>
      </c>
      <c r="C72" s="14" t="n">
        <f aca="false">PL!F12</f>
        <v>19.8465416556624</v>
      </c>
      <c r="D72" s="5" t="s">
        <v>690</v>
      </c>
      <c r="E72" s="22" t="n">
        <f aca="false">pe_peak</f>
        <v>16.4069230769231</v>
      </c>
      <c r="F72" s="9" t="n">
        <f aca="false">C72*E72</f>
        <v>325.620682287403</v>
      </c>
      <c r="G72" s="20" t="n">
        <f aca="false">F72/px-1</f>
        <v>-0.136834157863952</v>
      </c>
    </row>
    <row r="73" customFormat="false" ht="15" hidden="false" customHeight="false" outlineLevel="0" collapsed="false">
      <c r="A73" s="0" t="s">
        <v>679</v>
      </c>
      <c r="B73" s="0" t="s">
        <v>535</v>
      </c>
      <c r="C73" s="14" t="n">
        <f aca="false">PL!F12</f>
        <v>19.8465416556624</v>
      </c>
      <c r="D73" s="5" t="s">
        <v>691</v>
      </c>
      <c r="E73" s="22" t="n">
        <f aca="false">pe_mid</f>
        <v>19.4400517188926</v>
      </c>
      <c r="F73" s="9" t="n">
        <f aca="false">C73*E73</f>
        <v>385.817796227234</v>
      </c>
      <c r="G73" s="20" t="n">
        <f aca="false">F73/px-1</f>
        <v>0.0227382998283157</v>
      </c>
    </row>
    <row r="74" customFormat="false" ht="17.15" hidden="false" customHeight="false" outlineLevel="0" collapsed="false">
      <c r="A74" s="0" t="s">
        <v>679</v>
      </c>
      <c r="B74" s="0" t="s">
        <v>535</v>
      </c>
      <c r="C74" s="14" t="n">
        <f aca="false">PL!F12</f>
        <v>19.8465416556624</v>
      </c>
      <c r="D74" s="5" t="s">
        <v>692</v>
      </c>
      <c r="E74" s="22" t="n">
        <f aca="false">pe_trough</f>
        <v>20.5548125474775</v>
      </c>
      <c r="F74" s="9" t="n">
        <f aca="false">C74*E74</f>
        <v>407.941943447846</v>
      </c>
      <c r="G74" s="20" t="n">
        <f aca="false">F74/px-1</f>
        <v>0.0813857052482387</v>
      </c>
    </row>
    <row r="75" customFormat="false" ht="15" hidden="false" customHeight="false" outlineLevel="0" collapsed="false">
      <c r="A75" s="30" t="s">
        <v>681</v>
      </c>
      <c r="B75" s="30" t="s">
        <v>534</v>
      </c>
      <c r="C75" s="33" t="n">
        <f aca="false">PL!E22</f>
        <v>16.4817642157648</v>
      </c>
      <c r="D75" s="30" t="str">
        <f aca="false">"規則值："&amp;D63</f>
        <v>規則值：中段</v>
      </c>
      <c r="E75" s="34" t="n">
        <f aca="false">E63</f>
        <v>19.4400517188926</v>
      </c>
      <c r="F75" s="29" t="n">
        <f aca="false">C75*E75</f>
        <v>320.406348773061</v>
      </c>
      <c r="G75" s="35" t="n">
        <f aca="false">F75/px-1</f>
        <v>-0.1506564818867</v>
      </c>
      <c r="H75" s="30"/>
    </row>
    <row r="76" customFormat="false" ht="17.15" hidden="false" customHeight="false" outlineLevel="0" collapsed="false">
      <c r="A76" s="0" t="s">
        <v>681</v>
      </c>
      <c r="B76" s="0" t="s">
        <v>534</v>
      </c>
      <c r="C76" s="14" t="n">
        <f aca="false">PL!E22</f>
        <v>16.4817642157648</v>
      </c>
      <c r="D76" s="5" t="s">
        <v>690</v>
      </c>
      <c r="E76" s="22" t="n">
        <f aca="false">pe_peak</f>
        <v>16.4069230769231</v>
      </c>
      <c r="F76" s="9" t="n">
        <f aca="false">C76*E76</f>
        <v>270.415037660037</v>
      </c>
      <c r="G76" s="20" t="n">
        <f aca="false">F76/px-1</f>
        <v>-0.283175067171995</v>
      </c>
    </row>
    <row r="77" customFormat="false" ht="15" hidden="false" customHeight="false" outlineLevel="0" collapsed="false">
      <c r="A77" s="0" t="s">
        <v>681</v>
      </c>
      <c r="B77" s="0" t="s">
        <v>534</v>
      </c>
      <c r="C77" s="14" t="n">
        <f aca="false">PL!E22</f>
        <v>16.4817642157648</v>
      </c>
      <c r="D77" s="5" t="s">
        <v>691</v>
      </c>
      <c r="E77" s="22" t="n">
        <f aca="false">pe_mid</f>
        <v>19.4400517188926</v>
      </c>
      <c r="F77" s="9" t="n">
        <f aca="false">C77*E77</f>
        <v>320.406348773061</v>
      </c>
      <c r="G77" s="20" t="n">
        <f aca="false">F77/px-1</f>
        <v>-0.1506564818867</v>
      </c>
    </row>
    <row r="78" customFormat="false" ht="17.15" hidden="false" customHeight="false" outlineLevel="0" collapsed="false">
      <c r="A78" s="0" t="s">
        <v>681</v>
      </c>
      <c r="B78" s="0" t="s">
        <v>534</v>
      </c>
      <c r="C78" s="14" t="n">
        <f aca="false">PL!E22</f>
        <v>16.4817642157648</v>
      </c>
      <c r="D78" s="5" t="s">
        <v>692</v>
      </c>
      <c r="E78" s="22" t="n">
        <f aca="false">pe_trough</f>
        <v>20.5548125474775</v>
      </c>
      <c r="F78" s="9" t="n">
        <f aca="false">C78*E78</f>
        <v>338.779573906769</v>
      </c>
      <c r="G78" s="20" t="n">
        <f aca="false">F78/px-1</f>
        <v>-0.101952142119688</v>
      </c>
    </row>
    <row r="79" customFormat="false" ht="17.15" hidden="false" customHeight="false" outlineLevel="0" collapsed="false">
      <c r="A79" s="0" t="s">
        <v>681</v>
      </c>
      <c r="B79" s="0" t="s">
        <v>535</v>
      </c>
      <c r="C79" s="14" t="n">
        <f aca="false">PL!F22</f>
        <v>17.6190110417642</v>
      </c>
      <c r="D79" s="5" t="s">
        <v>690</v>
      </c>
      <c r="E79" s="22" t="n">
        <f aca="false">pe_peak</f>
        <v>16.4069230769231</v>
      </c>
      <c r="F79" s="9" t="n">
        <f aca="false">C79*E79</f>
        <v>289.073758853683</v>
      </c>
      <c r="G79" s="20" t="n">
        <f aca="false">F79/px-1</f>
        <v>-0.233713925210256</v>
      </c>
    </row>
    <row r="80" customFormat="false" ht="15" hidden="false" customHeight="false" outlineLevel="0" collapsed="false">
      <c r="A80" s="0" t="s">
        <v>681</v>
      </c>
      <c r="B80" s="0" t="s">
        <v>535</v>
      </c>
      <c r="C80" s="14" t="n">
        <f aca="false">PL!F22</f>
        <v>17.6190110417642</v>
      </c>
      <c r="D80" s="5" t="s">
        <v>691</v>
      </c>
      <c r="E80" s="22" t="n">
        <f aca="false">pe_mid</f>
        <v>19.4400517188926</v>
      </c>
      <c r="F80" s="9" t="n">
        <f aca="false">C80*E80</f>
        <v>342.514485887635</v>
      </c>
      <c r="G80" s="20" t="n">
        <f aca="false">F80/px-1</f>
        <v>-0.0920515165739704</v>
      </c>
    </row>
    <row r="81" customFormat="false" ht="17.15" hidden="false" customHeight="false" outlineLevel="0" collapsed="false">
      <c r="A81" s="0" t="s">
        <v>681</v>
      </c>
      <c r="B81" s="0" t="s">
        <v>535</v>
      </c>
      <c r="C81" s="14" t="n">
        <f aca="false">PL!F22</f>
        <v>17.6190110417642</v>
      </c>
      <c r="D81" s="5" t="s">
        <v>692</v>
      </c>
      <c r="E81" s="22" t="n">
        <f aca="false">pe_trough</f>
        <v>20.5548125474775</v>
      </c>
      <c r="F81" s="9" t="n">
        <f aca="false">C81*E81</f>
        <v>362.1554692354</v>
      </c>
      <c r="G81" s="20" t="n">
        <f aca="false">F81/px-1</f>
        <v>-0.0399865623067552</v>
      </c>
    </row>
    <row r="82" customFormat="false" ht="15" hidden="false" customHeight="false" outlineLevel="0" collapsed="false">
      <c r="A82" s="30" t="s">
        <v>682</v>
      </c>
      <c r="B82" s="30" t="s">
        <v>534</v>
      </c>
      <c r="C82" s="33" t="n">
        <f aca="false">PL!E32</f>
        <v>15.9862800449961</v>
      </c>
      <c r="D82" s="30" t="str">
        <f aca="false">"規則值："&amp;D64</f>
        <v>規則值：見頂</v>
      </c>
      <c r="E82" s="34" t="n">
        <f aca="false">E64</f>
        <v>16.4069230769231</v>
      </c>
      <c r="F82" s="29" t="n">
        <f aca="false">C82*E82</f>
        <v>262.285666984401</v>
      </c>
      <c r="G82" s="35" t="n">
        <f aca="false">F82/px-1</f>
        <v>-0.304724666036472</v>
      </c>
      <c r="H82" s="30"/>
    </row>
    <row r="83" customFormat="false" ht="17.15" hidden="false" customHeight="false" outlineLevel="0" collapsed="false">
      <c r="A83" s="0" t="s">
        <v>682</v>
      </c>
      <c r="B83" s="0" t="s">
        <v>534</v>
      </c>
      <c r="C83" s="14" t="n">
        <f aca="false">PL!E32</f>
        <v>15.9862800449961</v>
      </c>
      <c r="D83" s="5" t="s">
        <v>690</v>
      </c>
      <c r="E83" s="22" t="n">
        <f aca="false">pe_peak</f>
        <v>16.4069230769231</v>
      </c>
      <c r="F83" s="9" t="n">
        <f aca="false">C83*E83</f>
        <v>262.285666984401</v>
      </c>
      <c r="G83" s="20" t="n">
        <f aca="false">F83/px-1</f>
        <v>-0.304724666036472</v>
      </c>
    </row>
    <row r="84" customFormat="false" ht="15" hidden="false" customHeight="false" outlineLevel="0" collapsed="false">
      <c r="A84" s="0" t="s">
        <v>682</v>
      </c>
      <c r="B84" s="0" t="s">
        <v>534</v>
      </c>
      <c r="C84" s="14" t="n">
        <f aca="false">PL!E32</f>
        <v>15.9862800449961</v>
      </c>
      <c r="D84" s="5" t="s">
        <v>691</v>
      </c>
      <c r="E84" s="22" t="n">
        <f aca="false">pe_mid</f>
        <v>19.4400517188926</v>
      </c>
      <c r="F84" s="9" t="n">
        <f aca="false">C84*E84</f>
        <v>310.774110867425</v>
      </c>
      <c r="G84" s="20" t="n">
        <f aca="false">F84/px-1</f>
        <v>-0.176189929839294</v>
      </c>
    </row>
    <row r="85" customFormat="false" ht="17.15" hidden="false" customHeight="false" outlineLevel="0" collapsed="false">
      <c r="A85" s="0" t="s">
        <v>682</v>
      </c>
      <c r="B85" s="0" t="s">
        <v>534</v>
      </c>
      <c r="C85" s="14" t="n">
        <f aca="false">PL!E32</f>
        <v>15.9862800449961</v>
      </c>
      <c r="D85" s="5" t="s">
        <v>692</v>
      </c>
      <c r="E85" s="22" t="n">
        <f aca="false">pe_trough</f>
        <v>20.5548125474775</v>
      </c>
      <c r="F85" s="9" t="n">
        <f aca="false">C85*E85</f>
        <v>328.594989656375</v>
      </c>
      <c r="G85" s="20" t="n">
        <f aca="false">F85/px-1</f>
        <v>-0.128949767637643</v>
      </c>
    </row>
    <row r="86" customFormat="false" ht="17.15" hidden="false" customHeight="false" outlineLevel="0" collapsed="false">
      <c r="A86" s="0" t="s">
        <v>682</v>
      </c>
      <c r="B86" s="0" t="s">
        <v>535</v>
      </c>
      <c r="C86" s="14" t="n">
        <f aca="false">PL!F32</f>
        <v>13.94978822264</v>
      </c>
      <c r="D86" s="5" t="s">
        <v>690</v>
      </c>
      <c r="E86" s="22" t="n">
        <f aca="false">pe_peak</f>
        <v>16.4069230769231</v>
      </c>
      <c r="F86" s="9" t="n">
        <f aca="false">C86*E86</f>
        <v>228.873102308223</v>
      </c>
      <c r="G86" s="20" t="n">
        <f aca="false">F86/px-1</f>
        <v>-0.393295773756169</v>
      </c>
    </row>
    <row r="87" customFormat="false" ht="15" hidden="false" customHeight="false" outlineLevel="0" collapsed="false">
      <c r="A87" s="0" t="s">
        <v>682</v>
      </c>
      <c r="B87" s="0" t="s">
        <v>535</v>
      </c>
      <c r="C87" s="14" t="n">
        <f aca="false">PL!F32</f>
        <v>13.94978822264</v>
      </c>
      <c r="D87" s="5" t="s">
        <v>691</v>
      </c>
      <c r="E87" s="22" t="n">
        <f aca="false">pe_mid</f>
        <v>19.4400517188926</v>
      </c>
      <c r="F87" s="9" t="n">
        <f aca="false">C87*E87</f>
        <v>271.184604515722</v>
      </c>
      <c r="G87" s="20" t="n">
        <f aca="false">F87/px-1</f>
        <v>-0.281135074446714</v>
      </c>
    </row>
    <row r="88" customFormat="false" ht="17.15" hidden="false" customHeight="false" outlineLevel="0" collapsed="false">
      <c r="A88" s="0" t="s">
        <v>682</v>
      </c>
      <c r="B88" s="0" t="s">
        <v>535</v>
      </c>
      <c r="C88" s="14" t="n">
        <f aca="false">PL!F32</f>
        <v>13.94978822264</v>
      </c>
      <c r="D88" s="5" t="s">
        <v>692</v>
      </c>
      <c r="E88" s="22" t="n">
        <f aca="false">pe_trough</f>
        <v>20.5548125474775</v>
      </c>
      <c r="F88" s="9" t="n">
        <f aca="false">C88*E88</f>
        <v>286.735281993376</v>
      </c>
      <c r="G88" s="20" t="n">
        <f aca="false">F88/px-1</f>
        <v>-0.239912835347852</v>
      </c>
    </row>
    <row r="90" customFormat="false" ht="17.15" hidden="false" customHeight="false" outlineLevel="0" collapsed="false">
      <c r="A90" s="1" t="s">
        <v>693</v>
      </c>
    </row>
    <row r="91" customFormat="false" ht="15" hidden="false" customHeight="false" outlineLevel="0" collapsed="false">
      <c r="A91" s="6" t="s">
        <v>15</v>
      </c>
      <c r="B91" s="15" t="s">
        <v>679</v>
      </c>
      <c r="C91" s="15" t="s">
        <v>681</v>
      </c>
      <c r="D91" s="15" t="s">
        <v>682</v>
      </c>
      <c r="E91" s="6" t="s">
        <v>689</v>
      </c>
    </row>
    <row r="92" customFormat="false" ht="17.15" hidden="false" customHeight="false" outlineLevel="0" collapsed="false">
      <c r="A92" s="5" t="s">
        <v>694</v>
      </c>
      <c r="B92" s="14" t="n">
        <f aca="false">px</f>
        <v>377.24</v>
      </c>
    </row>
    <row r="93" customFormat="false" ht="17.15" hidden="false" customHeight="false" outlineLevel="0" collapsed="false">
      <c r="A93" s="5" t="s">
        <v>695</v>
      </c>
      <c r="B93" s="22" t="n">
        <f aca="false">sa_fpe</f>
        <v>21.39</v>
      </c>
      <c r="E93" s="8" t="s">
        <v>696</v>
      </c>
    </row>
    <row r="94" customFormat="false" ht="17.15" hidden="false" customHeight="false" outlineLevel="0" collapsed="false">
      <c r="A94" s="5" t="s">
        <v>697</v>
      </c>
      <c r="B94" s="22" t="n">
        <f aca="false">px/cons_eps27</f>
        <v>20.4023796646836</v>
      </c>
      <c r="E94" s="5" t="s">
        <v>698</v>
      </c>
    </row>
    <row r="95" customFormat="false" ht="17.15" hidden="false" customHeight="false" outlineLevel="0" collapsed="false">
      <c r="A95" s="5" t="s">
        <v>699</v>
      </c>
      <c r="B95" s="22" t="n">
        <f aca="false">px/(Q!E15+SUM(Q!G15:I15))</f>
        <v>34.5774518790101</v>
      </c>
      <c r="E95" s="8" t="s">
        <v>700</v>
      </c>
    </row>
    <row r="96" customFormat="false" ht="17.15" hidden="false" customHeight="false" outlineLevel="0" collapsed="false">
      <c r="A96" s="5" t="s">
        <v>701</v>
      </c>
      <c r="B96" s="22" t="n">
        <f aca="false">px/PL!D12</f>
        <v>29.564263322884</v>
      </c>
      <c r="C96" s="22" t="n">
        <f aca="false">px/PL!D22</f>
        <v>29.564263322884</v>
      </c>
      <c r="D96" s="22" t="n">
        <f aca="false">px/PL!D32</f>
        <v>29.564263322884</v>
      </c>
      <c r="E96" s="5" t="s">
        <v>702</v>
      </c>
    </row>
    <row r="97" customFormat="false" ht="17.15" hidden="false" customHeight="false" outlineLevel="0" collapsed="false">
      <c r="A97" s="5" t="s">
        <v>703</v>
      </c>
      <c r="B97" s="22" t="n">
        <f aca="false">px/PL!E12</f>
        <v>22.6404832621307</v>
      </c>
      <c r="C97" s="22" t="n">
        <f aca="false">px/PL!E22</f>
        <v>22.8883264595649</v>
      </c>
      <c r="D97" s="22" t="n">
        <f aca="false">px/PL!E32</f>
        <v>23.5977349913923</v>
      </c>
    </row>
    <row r="98" customFormat="false" ht="17.15" hidden="false" customHeight="false" outlineLevel="0" collapsed="false">
      <c r="A98" s="5" t="s">
        <v>704</v>
      </c>
      <c r="B98" s="22" t="n">
        <f aca="false">px/PL!F12</f>
        <v>19.0078456259592</v>
      </c>
      <c r="C98" s="22" t="n">
        <f aca="false">px/PL!F22</f>
        <v>21.4109633682497</v>
      </c>
      <c r="D98" s="22" t="n">
        <f aca="false">px/PL!F32</f>
        <v>27.042704446778</v>
      </c>
    </row>
    <row r="99" customFormat="false" ht="17.15" hidden="false" customHeight="false" outlineLevel="0" collapsed="false">
      <c r="A99" s="5" t="s">
        <v>705</v>
      </c>
      <c r="B99" s="14" t="n">
        <f aca="false">B97/E62</f>
        <v>1.1646308142343</v>
      </c>
      <c r="E99" s="8" t="s">
        <v>706</v>
      </c>
    </row>
    <row r="102" customFormat="false" ht="17.15" hidden="false" customHeight="false" outlineLevel="0" collapsed="false">
      <c r="A102" s="1" t="s">
        <v>707</v>
      </c>
    </row>
    <row r="103" customFormat="false" ht="17.15" hidden="false" customHeight="false" outlineLevel="0" collapsed="false">
      <c r="A103" s="1" t="s">
        <v>708</v>
      </c>
    </row>
    <row r="104" customFormat="false" ht="17.15" hidden="false" customHeight="false" outlineLevel="0" collapsed="false">
      <c r="A104" s="6" t="s">
        <v>15</v>
      </c>
      <c r="B104" s="15" t="s">
        <v>709</v>
      </c>
      <c r="C104" s="15" t="s">
        <v>710</v>
      </c>
      <c r="D104" s="15" t="s">
        <v>711</v>
      </c>
      <c r="E104" s="6" t="s">
        <v>514</v>
      </c>
    </row>
    <row r="105" customFormat="false" ht="17.15" hidden="false" customHeight="false" outlineLevel="0" collapsed="false">
      <c r="A105" s="5" t="s">
        <v>712</v>
      </c>
      <c r="E105" s="0" t="s">
        <v>713</v>
      </c>
    </row>
    <row r="106" customFormat="false" ht="15" hidden="false" customHeight="false" outlineLevel="0" collapsed="false">
      <c r="A106" s="0" t="s">
        <v>714</v>
      </c>
      <c r="B106" s="14" t="n">
        <f aca="false">PL!E132</f>
        <v>16.6621885068586</v>
      </c>
      <c r="C106" s="14" t="n">
        <f aca="false">PL!E139</f>
        <v>16.4817642157648</v>
      </c>
      <c r="D106" s="14" t="n">
        <f aca="false">PL!E146</f>
        <v>15.9862800449961</v>
      </c>
    </row>
    <row r="107" customFormat="false" ht="15" hidden="false" customHeight="false" outlineLevel="0" collapsed="false">
      <c r="A107" s="0" t="s">
        <v>715</v>
      </c>
      <c r="B107" s="14" t="n">
        <f aca="false">PL!F132</f>
        <v>19.8465416556624</v>
      </c>
      <c r="C107" s="14" t="n">
        <f aca="false">PL!F139</f>
        <v>17.6190110417642</v>
      </c>
      <c r="D107" s="14" t="n">
        <f aca="false">PL!F146</f>
        <v>13.94978822264</v>
      </c>
    </row>
    <row r="108" customFormat="false" ht="15" hidden="false" customHeight="false" outlineLevel="0" collapsed="false">
      <c r="A108" s="0" t="s">
        <v>716</v>
      </c>
      <c r="B108" s="14" t="n">
        <f aca="false">PL!G132</f>
        <v>22.0821102531286</v>
      </c>
      <c r="C108" s="14" t="n">
        <f aca="false">PL!G139</f>
        <v>17.5112972966697</v>
      </c>
      <c r="D108" s="14" t="n">
        <f aca="false">PL!G146</f>
        <v>13.7248491078918</v>
      </c>
    </row>
    <row r="109" customFormat="false" ht="15" hidden="false" customHeight="false" outlineLevel="0" collapsed="false">
      <c r="A109" s="0" t="s">
        <v>717</v>
      </c>
      <c r="B109" s="14" t="n">
        <f aca="false">PL!H132</f>
        <v>23.7023955565342</v>
      </c>
      <c r="C109" s="14" t="n">
        <f aca="false">PL!H139</f>
        <v>16.7512527687454</v>
      </c>
      <c r="D109" s="14" t="n">
        <f aca="false">PL!H146</f>
        <v>12.5363871099324</v>
      </c>
    </row>
    <row r="110" customFormat="false" ht="15" hidden="false" customHeight="false" outlineLevel="0" collapsed="false">
      <c r="A110" s="0" t="s">
        <v>718</v>
      </c>
      <c r="B110" s="14" t="n">
        <f aca="false">PL!I132</f>
        <v>25.2830546758868</v>
      </c>
      <c r="C110" s="14" t="n">
        <f aca="false">PL!I139</f>
        <v>16.2603599050374</v>
      </c>
      <c r="D110" s="14" t="n">
        <f aca="false">PL!I146</f>
        <v>11.5091925291013</v>
      </c>
    </row>
    <row r="111" customFormat="false" ht="15" hidden="false" customHeight="false" outlineLevel="0" collapsed="false">
      <c r="A111" s="0" t="s">
        <v>719</v>
      </c>
      <c r="B111" s="14" t="n">
        <f aca="false">PL!J132</f>
        <v>26.80003795644</v>
      </c>
      <c r="C111" s="14" t="n">
        <f aca="false">PL!J139</f>
        <v>16.0072828402253</v>
      </c>
      <c r="D111" s="14" t="n">
        <f aca="false">PL!J146</f>
        <v>10.6012656111448</v>
      </c>
    </row>
    <row r="112" customFormat="false" ht="17.15" hidden="false" customHeight="false" outlineLevel="0" collapsed="false">
      <c r="A112" s="5" t="s">
        <v>720</v>
      </c>
      <c r="E112" s="5" t="s">
        <v>721</v>
      </c>
    </row>
    <row r="113" customFormat="false" ht="17.15" hidden="false" customHeight="false" outlineLevel="0" collapsed="false">
      <c r="A113" s="5" t="s">
        <v>722</v>
      </c>
      <c r="B113" s="11" t="n">
        <f aca="false">MIN(tp_g/tp_roe,0.8)</f>
        <v>0.0966494845360825</v>
      </c>
      <c r="E113" s="8" t="s">
        <v>723</v>
      </c>
    </row>
    <row r="114" customFormat="false" ht="15" hidden="false" customHeight="false" outlineLevel="0" collapsed="false">
      <c r="A114" s="0" t="s">
        <v>714</v>
      </c>
      <c r="B114" s="14" t="n">
        <f aca="false">B106*(1-$B$113)</f>
        <v>15.0517965764277</v>
      </c>
      <c r="C114" s="14" t="n">
        <f aca="false">C106*(1-$B$113)</f>
        <v>14.8888102000659</v>
      </c>
      <c r="D114" s="14" t="n">
        <f aca="false">D106*(1-$B$113)</f>
        <v>14.4412143189978</v>
      </c>
    </row>
    <row r="115" customFormat="false" ht="15" hidden="false" customHeight="false" outlineLevel="0" collapsed="false">
      <c r="A115" s="0" t="s">
        <v>715</v>
      </c>
      <c r="B115" s="14" t="n">
        <f aca="false">B107*(1-$B$113)</f>
        <v>17.9283836348188</v>
      </c>
      <c r="C115" s="14" t="n">
        <f aca="false">C107*(1-$B$113)</f>
        <v>15.9161427065421</v>
      </c>
      <c r="D115" s="14" t="n">
        <f aca="false">D107*(1-$B$113)</f>
        <v>12.6015483815344</v>
      </c>
    </row>
    <row r="116" customFormat="false" ht="15" hidden="false" customHeight="false" outlineLevel="0" collapsed="false">
      <c r="A116" s="0" t="s">
        <v>716</v>
      </c>
      <c r="B116" s="14" t="n">
        <f aca="false">B108*(1-$B$113)</f>
        <v>19.9478856796948</v>
      </c>
      <c r="C116" s="14" t="n">
        <f aca="false">C108*(1-$B$113)</f>
        <v>15.8188394393884</v>
      </c>
      <c r="D116" s="14" t="n">
        <f aca="false">D108*(1-$B$113)</f>
        <v>12.3983495162786</v>
      </c>
    </row>
    <row r="117" customFormat="false" ht="15" hidden="false" customHeight="false" outlineLevel="0" collapsed="false">
      <c r="A117" s="0" t="s">
        <v>717</v>
      </c>
      <c r="B117" s="14" t="n">
        <f aca="false">B109*(1-$B$113)</f>
        <v>21.4115712437248</v>
      </c>
      <c r="C117" s="14" t="n">
        <f aca="false">C109*(1-$B$113)</f>
        <v>15.1322528233125</v>
      </c>
      <c r="D117" s="14" t="n">
        <f aca="false">D109*(1-$B$113)</f>
        <v>11.3247517578127</v>
      </c>
    </row>
    <row r="118" customFormat="false" ht="15" hidden="false" customHeight="false" outlineLevel="0" collapsed="false">
      <c r="A118" s="0" t="s">
        <v>718</v>
      </c>
      <c r="B118" s="14" t="n">
        <f aca="false">B110*(1-$B$113)</f>
        <v>22.8394604739648</v>
      </c>
      <c r="C118" s="14" t="n">
        <f aca="false">C110*(1-$B$113)</f>
        <v>14.6888045018444</v>
      </c>
      <c r="D118" s="14" t="n">
        <f aca="false">D110*(1-$B$113)</f>
        <v>10.3968350037371</v>
      </c>
    </row>
    <row r="119" customFormat="false" ht="15" hidden="false" customHeight="false" outlineLevel="0" collapsed="false">
      <c r="A119" s="0" t="s">
        <v>719</v>
      </c>
      <c r="B119" s="14" t="n">
        <f aca="false">B111*(1-$B$113)</f>
        <v>24.2098281024027</v>
      </c>
      <c r="C119" s="14" t="n">
        <f aca="false">C111*(1-$B$113)</f>
        <v>14.4601872048942</v>
      </c>
      <c r="D119" s="14" t="n">
        <f aca="false">D111*(1-$B$113)</f>
        <v>9.57665875439756</v>
      </c>
    </row>
    <row r="120" customFormat="false" ht="17.15" hidden="false" customHeight="false" outlineLevel="0" collapsed="false">
      <c r="A120" s="0" t="s">
        <v>724</v>
      </c>
      <c r="B120" s="14" t="n">
        <f aca="false">SUMPRODUCT(B114:B119,1/(1+tp_r)^{1;2;3;4;5;6})+B119*(1+tp_g)/(tp_r-tp_g)/(1+tp_r)^6</f>
        <v>322.833313385219</v>
      </c>
      <c r="C120" s="14" t="n">
        <f aca="false">SUMPRODUCT(C114:C119,1/(1+tp_r)^{1;2;3;4;5;6})+C119*(1+tp_g)/(tp_r-tp_g)/(1+tp_r)^6</f>
        <v>207.674147547698</v>
      </c>
      <c r="D120" s="14" t="n">
        <f aca="false">SUMPRODUCT(D114:D119,1/(1+tp_r)^{1;2;3;4;5;6})+D119*(1+tp_g)/(tp_r-tp_g)/(1+tp_r)^6</f>
        <v>146.154377726468</v>
      </c>
      <c r="E120" s="8" t="s">
        <v>725</v>
      </c>
    </row>
    <row r="121" customFormat="false" ht="17.15" hidden="false" customHeight="false" outlineLevel="0" collapsed="false">
      <c r="A121" s="0" t="s">
        <v>726</v>
      </c>
      <c r="B121" s="14" t="n">
        <f aca="false">B120*(1+tp_r)</f>
        <v>355.116644723741</v>
      </c>
      <c r="C121" s="14" t="n">
        <f aca="false">C120*(1+tp_r)</f>
        <v>228.441562302467</v>
      </c>
      <c r="D121" s="14" t="n">
        <f aca="false">D120*(1+tp_r)</f>
        <v>160.769815499115</v>
      </c>
    </row>
    <row r="122" customFormat="false" ht="17.15" hidden="false" customHeight="false" outlineLevel="0" collapsed="false">
      <c r="A122" s="0" t="s">
        <v>727</v>
      </c>
      <c r="B122" s="33" t="n">
        <f aca="false">tp_wA*B121+tp_wB*C121+tp_wC*D121</f>
        <v>252.909737668179</v>
      </c>
      <c r="E122" s="8" t="s">
        <v>728</v>
      </c>
    </row>
    <row r="124" customFormat="false" ht="17.15" hidden="false" customHeight="false" outlineLevel="0" collapsed="false">
      <c r="A124" s="1" t="s">
        <v>729</v>
      </c>
    </row>
    <row r="125" customFormat="false" ht="17.15" hidden="false" customHeight="false" outlineLevel="0" collapsed="false">
      <c r="A125" s="6" t="s">
        <v>730</v>
      </c>
      <c r="B125" s="6" t="s">
        <v>731</v>
      </c>
      <c r="C125" s="6" t="s">
        <v>732</v>
      </c>
      <c r="D125" s="6" t="s">
        <v>733</v>
      </c>
      <c r="E125" s="6" t="s">
        <v>734</v>
      </c>
      <c r="F125" s="6" t="s">
        <v>20</v>
      </c>
    </row>
    <row r="126" customFormat="false" ht="17.15" hidden="false" customHeight="false" outlineLevel="0" collapsed="false">
      <c r="A126" s="5" t="s">
        <v>735</v>
      </c>
      <c r="B126" s="0" t="s">
        <v>736</v>
      </c>
      <c r="C126" s="27" t="n">
        <v>22.39</v>
      </c>
      <c r="D126" s="8" t="s">
        <v>737</v>
      </c>
      <c r="E126" s="8" t="s">
        <v>738</v>
      </c>
      <c r="F126" s="8" t="s">
        <v>200</v>
      </c>
    </row>
    <row r="127" customFormat="false" ht="17.15" hidden="false" customHeight="false" outlineLevel="0" collapsed="false">
      <c r="A127" s="5" t="s">
        <v>739</v>
      </c>
      <c r="B127" s="0" t="s">
        <v>740</v>
      </c>
      <c r="C127" s="27" t="n">
        <v>26.65</v>
      </c>
      <c r="D127" s="8" t="s">
        <v>737</v>
      </c>
      <c r="E127" s="8" t="s">
        <v>738</v>
      </c>
      <c r="F127" s="8" t="s">
        <v>200</v>
      </c>
    </row>
    <row r="128" customFormat="false" ht="17.15" hidden="false" customHeight="false" outlineLevel="0" collapsed="false">
      <c r="A128" s="0" t="s">
        <v>741</v>
      </c>
      <c r="B128" s="0" t="s">
        <v>742</v>
      </c>
      <c r="C128" s="27" t="n">
        <v>24.74</v>
      </c>
      <c r="D128" s="8" t="s">
        <v>737</v>
      </c>
      <c r="E128" s="8" t="s">
        <v>738</v>
      </c>
      <c r="F128" s="8" t="s">
        <v>200</v>
      </c>
    </row>
    <row r="129" customFormat="false" ht="17.15" hidden="false" customHeight="false" outlineLevel="0" collapsed="false">
      <c r="A129" s="5" t="s">
        <v>743</v>
      </c>
      <c r="B129" s="0" t="s">
        <v>744</v>
      </c>
      <c r="C129" s="27" t="n">
        <v>27.09</v>
      </c>
      <c r="D129" s="8" t="s">
        <v>745</v>
      </c>
      <c r="E129" s="8" t="s">
        <v>738</v>
      </c>
      <c r="F129" s="8" t="s">
        <v>200</v>
      </c>
    </row>
    <row r="130" customFormat="false" ht="17.15" hidden="false" customHeight="false" outlineLevel="0" collapsed="false">
      <c r="A130" s="5" t="s">
        <v>746</v>
      </c>
      <c r="B130" s="22" t="n">
        <f aca="false">MEDIAN(C126:C129)</f>
        <v>25.695</v>
      </c>
      <c r="E130" s="5" t="s">
        <v>747</v>
      </c>
    </row>
    <row r="131" customFormat="false" ht="17.15" hidden="false" customHeight="false" outlineLevel="0" collapsed="false">
      <c r="A131" s="0" t="s">
        <v>748</v>
      </c>
      <c r="B131" s="14" t="n">
        <f aca="false">tp_wA*(1*B107)+tp_wB*(1*C107)+tp_wC*(1*D107)</f>
        <v>17.5534256621088</v>
      </c>
      <c r="E131" s="5" t="s">
        <v>749</v>
      </c>
    </row>
    <row r="132" customFormat="false" ht="17.15" hidden="false" customHeight="false" outlineLevel="0" collapsed="false">
      <c r="A132" s="0" t="s">
        <v>750</v>
      </c>
      <c r="B132" s="33" t="n">
        <f aca="false">B130*B131</f>
        <v>451.035272387886</v>
      </c>
      <c r="E132" s="5" t="s">
        <v>751</v>
      </c>
    </row>
    <row r="134" customFormat="false" ht="17.15" hidden="false" customHeight="false" outlineLevel="0" collapsed="false">
      <c r="A134" s="1" t="s">
        <v>752</v>
      </c>
    </row>
    <row r="135" customFormat="false" ht="15" hidden="false" customHeight="false" outlineLevel="0" collapsed="false">
      <c r="A135" s="6" t="s">
        <v>15</v>
      </c>
      <c r="B135" s="6" t="s">
        <v>753</v>
      </c>
      <c r="C135" s="15"/>
      <c r="D135" s="15"/>
      <c r="E135" s="6" t="s">
        <v>514</v>
      </c>
    </row>
    <row r="136" customFormat="false" ht="17.15" hidden="false" customHeight="false" outlineLevel="0" collapsed="false">
      <c r="A136" s="5" t="s">
        <v>754</v>
      </c>
      <c r="B136" s="33" t="n">
        <f aca="false">tp_w_dcf*B122+(1-tp_w_dcf)*B132</f>
        <v>351.972505028033</v>
      </c>
      <c r="E136" s="8" t="s">
        <v>755</v>
      </c>
    </row>
    <row r="137" customFormat="false" ht="17.15" hidden="false" customHeight="false" outlineLevel="0" collapsed="false">
      <c r="A137" s="0" t="s">
        <v>756</v>
      </c>
      <c r="B137" s="14" t="n">
        <f aca="false">B132</f>
        <v>451.035272387886</v>
      </c>
      <c r="E137" s="5" t="s">
        <v>757</v>
      </c>
    </row>
    <row r="138" customFormat="false" ht="17.15" hidden="false" customHeight="false" outlineLevel="0" collapsed="false">
      <c r="A138" s="5" t="s">
        <v>758</v>
      </c>
      <c r="B138" s="14" t="n">
        <f aca="false">cons_tp</f>
        <v>627.83</v>
      </c>
      <c r="E138" s="8" t="s">
        <v>422</v>
      </c>
    </row>
    <row r="139" customFormat="false" ht="17.15" hidden="false" customHeight="false" outlineLevel="0" collapsed="false">
      <c r="A139" s="5" t="s">
        <v>759</v>
      </c>
      <c r="B139" s="11" t="n">
        <f aca="false">B136/px-1</f>
        <v>-0.0669798933622297</v>
      </c>
      <c r="E139" s="5" t="s">
        <v>760</v>
      </c>
    </row>
    <row r="140" customFormat="false" ht="17.15" hidden="false" customHeight="false" outlineLevel="0" collapsed="false">
      <c r="A140" s="5" t="s">
        <v>761</v>
      </c>
      <c r="B140" s="11" t="n">
        <f aca="false">B137/px-1</f>
        <v>0.195618896161293</v>
      </c>
    </row>
    <row r="141" customFormat="false" ht="17.15" hidden="false" customHeight="false" outlineLevel="0" collapsed="false">
      <c r="A141" s="5" t="s">
        <v>762</v>
      </c>
      <c r="B141" s="11" t="n">
        <f aca="false">B131/cons_feps-1</f>
        <v>-0.0506530198967645</v>
      </c>
      <c r="E141" s="5" t="s">
        <v>763</v>
      </c>
    </row>
    <row r="142" customFormat="false" ht="17.15" hidden="false" customHeight="false" outlineLevel="0" collapsed="false">
      <c r="A142" s="5" t="s">
        <v>764</v>
      </c>
      <c r="B142" s="11" t="n">
        <f aca="false">(cons_tp/cons_feps)/B130-1</f>
        <v>0.321467634588089</v>
      </c>
      <c r="E142" s="0" t="str">
        <f aca="false">"共識目標價 ÷ 共識前瞻 EPS 隱含 "&amp;TEXT(cons_tp/cons_feps,"0.0")&amp;"x，同業中位數 "&amp;TEXT(B130,"0.0")&amp;"x"</f>
        <v>共識目標價 ÷ 共識前瞻 EPS 隱含 34.0x，同業中位數 25.7x</v>
      </c>
    </row>
    <row r="143" customFormat="false" ht="17.15" hidden="false" customHeight="false" outlineLevel="0" collapsed="false">
      <c r="A143" s="5" t="s">
        <v>765</v>
      </c>
      <c r="B143" s="36" t="str">
        <f aca="false">TEXT(D121,"0.00")&amp;"～"&amp;TEXT(B121,"0.00")</f>
        <v>160.77～355.12</v>
      </c>
      <c r="E143" s="8" t="s">
        <v>766</v>
      </c>
    </row>
    <row r="144" customFormat="false" ht="17.15" hidden="false" customHeight="false" outlineLevel="0" collapsed="false">
      <c r="A144" s="5" t="s">
        <v>767</v>
      </c>
      <c r="B144" s="20" t="n">
        <f aca="false">IF(px/B107&lt;MIN(E20:E29),0,IF(px/B107&gt;MAX(E20:E29),1,PERCENTRANK(E20:E29,px/B107)))</f>
        <v>0.462</v>
      </c>
      <c r="C144" s="20" t="n">
        <f aca="false">IF(px/C107&lt;MIN(E20:E29),0,IF(px/C107&gt;MAX(E20:E29),1,PERCENTRANK(E20:E29,px/C107)))</f>
        <v>0.812</v>
      </c>
      <c r="D144" s="20" t="n">
        <f aca="false">IF(px/D107&lt;MIN(E20:E29),0,IF(px/D107&gt;MAX(E20:E29),1,PERCENTRANK(E20:E29,px/D107)))</f>
        <v>0.994</v>
      </c>
      <c r="E144" s="5" t="s">
        <v>768</v>
      </c>
    </row>
    <row r="145" customFormat="false" ht="17.15" hidden="false" customHeight="false" outlineLevel="0" collapsed="false">
      <c r="A145" s="5" t="s">
        <v>769</v>
      </c>
      <c r="B145" s="0" t="s">
        <v>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2"/>
    <col collapsed="false" customWidth="true" hidden="false" outlineLevel="0" max="9" min="9" style="0" width="34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771</v>
      </c>
    </row>
    <row r="3" customFormat="false" ht="17.15" hidden="false" customHeight="false" outlineLevel="0" collapsed="false">
      <c r="A3" s="6" t="s">
        <v>15</v>
      </c>
      <c r="B3" s="6" t="s">
        <v>772</v>
      </c>
      <c r="C3" s="6" t="s">
        <v>773</v>
      </c>
      <c r="D3" s="6" t="s">
        <v>774</v>
      </c>
      <c r="E3" s="6" t="s">
        <v>775</v>
      </c>
      <c r="F3" s="6" t="s">
        <v>776</v>
      </c>
      <c r="G3" s="6" t="s">
        <v>777</v>
      </c>
      <c r="H3" s="6" t="s">
        <v>778</v>
      </c>
      <c r="I3" s="6" t="s">
        <v>779</v>
      </c>
      <c r="J3" s="6" t="s">
        <v>514</v>
      </c>
    </row>
    <row r="4" customFormat="false" ht="17.15" hidden="false" customHeight="false" outlineLevel="0" collapsed="false">
      <c r="A4" s="1" t="s">
        <v>780</v>
      </c>
    </row>
    <row r="5" customFormat="false" ht="17.15" hidden="false" customHeight="false" outlineLevel="0" collapsed="false">
      <c r="A5" s="0" t="s">
        <v>781</v>
      </c>
      <c r="B5" s="9" t="n">
        <f aca="false">cons_rev26</f>
        <v>34260</v>
      </c>
      <c r="C5" s="9" t="n">
        <f aca="false">PL!D5</f>
        <v>34287</v>
      </c>
      <c r="D5" s="11" t="n">
        <f aca="false">C5/B5-1</f>
        <v>0.000788091068301133</v>
      </c>
      <c r="E5" s="9" t="n">
        <f aca="false">PL!D15</f>
        <v>34287</v>
      </c>
      <c r="F5" s="11" t="n">
        <f aca="false">E5/B5-1</f>
        <v>0.000788091068301133</v>
      </c>
      <c r="G5" s="9" t="n">
        <f aca="false">PL!D25</f>
        <v>34287</v>
      </c>
      <c r="H5" s="11" t="n">
        <f aca="false">G5/B5-1</f>
        <v>0.000788091068301133</v>
      </c>
      <c r="I5" s="8" t="s">
        <v>782</v>
      </c>
      <c r="J5" s="5" t="s">
        <v>783</v>
      </c>
    </row>
    <row r="6" customFormat="false" ht="17.15" hidden="false" customHeight="false" outlineLevel="0" collapsed="false">
      <c r="A6" s="0" t="s">
        <v>784</v>
      </c>
      <c r="B6" s="14" t="n">
        <f aca="false">cons_eps26</f>
        <v>12.79</v>
      </c>
      <c r="C6" s="14" t="n">
        <f aca="false">PL!D12</f>
        <v>12.76</v>
      </c>
      <c r="D6" s="11" t="n">
        <f aca="false">C6/B6-1</f>
        <v>-0.00234558248631733</v>
      </c>
      <c r="E6" s="14" t="n">
        <f aca="false">PL!D22</f>
        <v>12.76</v>
      </c>
      <c r="F6" s="11" t="n">
        <f aca="false">E6/B6-1</f>
        <v>-0.00234558248631733</v>
      </c>
      <c r="G6" s="14" t="n">
        <f aca="false">PL!D32</f>
        <v>12.76</v>
      </c>
      <c r="H6" s="11" t="n">
        <f aca="false">G6/B6-1</f>
        <v>-0.00234558248631733</v>
      </c>
      <c r="I6" s="8" t="s">
        <v>782</v>
      </c>
    </row>
    <row r="7" customFormat="false" ht="17.15" hidden="false" customHeight="false" outlineLevel="0" collapsed="false">
      <c r="A7" s="0" t="s">
        <v>785</v>
      </c>
      <c r="B7" s="9" t="n">
        <f aca="false">cons_rev27</f>
        <v>46370</v>
      </c>
      <c r="C7" s="9" t="n">
        <f aca="false">PL!E5</f>
        <v>41757.6393303468</v>
      </c>
      <c r="D7" s="11" t="n">
        <f aca="false">C7/B7-1</f>
        <v>-0.0994686363953667</v>
      </c>
      <c r="E7" s="9" t="n">
        <f aca="false">PL!E15</f>
        <v>41414.0393303468</v>
      </c>
      <c r="F7" s="11" t="n">
        <f aca="false">E7/B7-1</f>
        <v>-0.106878599733732</v>
      </c>
      <c r="G7" s="9" t="n">
        <f aca="false">PL!E25</f>
        <v>40470.4393303468</v>
      </c>
      <c r="H7" s="11" t="n">
        <f aca="false">G7/B7-1</f>
        <v>-0.127227963546542</v>
      </c>
      <c r="I7" s="8" t="s">
        <v>782</v>
      </c>
    </row>
    <row r="8" customFormat="false" ht="15" hidden="false" customHeight="false" outlineLevel="0" collapsed="false">
      <c r="A8" s="0" t="s">
        <v>786</v>
      </c>
      <c r="B8" s="14" t="n">
        <f aca="false">cons_eps27</f>
        <v>18.49</v>
      </c>
      <c r="C8" s="14" t="n">
        <f aca="false">PL!E12</f>
        <v>16.6621885068586</v>
      </c>
      <c r="D8" s="11" t="n">
        <f aca="false">C8/B8-1</f>
        <v>-0.0988540558756816</v>
      </c>
      <c r="E8" s="14" t="n">
        <f aca="false">PL!E22</f>
        <v>16.4817642157648</v>
      </c>
      <c r="F8" s="11" t="n">
        <f aca="false">E8/B8-1</f>
        <v>-0.108611994820724</v>
      </c>
      <c r="G8" s="14" t="n">
        <f aca="false">PL!E32</f>
        <v>15.9862800449961</v>
      </c>
      <c r="H8" s="11" t="n">
        <f aca="false">G8/B8-1</f>
        <v>-0.135409408058622</v>
      </c>
      <c r="I8" s="8" t="s">
        <v>782</v>
      </c>
    </row>
    <row r="9" customFormat="false" ht="17.15" hidden="false" customHeight="false" outlineLevel="0" collapsed="false">
      <c r="A9" s="1" t="s">
        <v>787</v>
      </c>
    </row>
    <row r="10" customFormat="false" ht="17.15" hidden="false" customHeight="false" outlineLevel="0" collapsed="false">
      <c r="A10" s="5" t="s">
        <v>501</v>
      </c>
      <c r="B10" s="9" t="n">
        <f aca="false">g_ss_q4*4</f>
        <v>31600</v>
      </c>
      <c r="C10" s="9" t="n">
        <f aca="false">PL!E6</f>
        <v>32489.8893303468</v>
      </c>
      <c r="D10" s="11" t="n">
        <f aca="false">C10/B10-1</f>
        <v>0.0281610547578115</v>
      </c>
      <c r="E10" s="9" t="n">
        <f aca="false">PL!E16</f>
        <v>32489.8893303468</v>
      </c>
      <c r="F10" s="11" t="n">
        <f aca="false">E10/B10-1</f>
        <v>0.0281610547578115</v>
      </c>
      <c r="G10" s="9" t="n">
        <f aca="false">PL!E26</f>
        <v>32489.8893303468</v>
      </c>
      <c r="H10" s="11" t="n">
        <f aca="false">G10/B10-1</f>
        <v>0.0281610547578115</v>
      </c>
      <c r="I10" s="5" t="s">
        <v>788</v>
      </c>
      <c r="J10" s="8" t="s">
        <v>789</v>
      </c>
    </row>
    <row r="11" customFormat="false" ht="17.15" hidden="false" customHeight="false" outlineLevel="0" collapsed="false">
      <c r="A11" s="5" t="s">
        <v>450</v>
      </c>
      <c r="B11" s="9" t="n">
        <f aca="false">g_rev_q4*4</f>
        <v>41000</v>
      </c>
      <c r="C11" s="9" t="n">
        <f aca="false">PL!E5</f>
        <v>41757.6393303468</v>
      </c>
      <c r="D11" s="11" t="n">
        <f aca="false">C11/B11-1</f>
        <v>0.0184790080572401</v>
      </c>
      <c r="E11" s="9" t="n">
        <f aca="false">PL!E15</f>
        <v>41414.0393303468</v>
      </c>
      <c r="F11" s="11" t="n">
        <f aca="false">E11/B11-1</f>
        <v>0.010098520252362</v>
      </c>
      <c r="G11" s="9" t="n">
        <f aca="false">PL!E25</f>
        <v>40470.4393303468</v>
      </c>
      <c r="H11" s="11" t="n">
        <f aca="false">G11/B11-1</f>
        <v>-0.0129161138939794</v>
      </c>
      <c r="I11" s="5" t="s">
        <v>788</v>
      </c>
    </row>
    <row r="12" customFormat="false" ht="17.15" hidden="false" customHeight="false" outlineLevel="0" collapsed="false">
      <c r="A12" s="1" t="s">
        <v>790</v>
      </c>
    </row>
    <row r="13" customFormat="false" ht="17.15" hidden="false" customHeight="false" outlineLevel="0" collapsed="false">
      <c r="A13" s="0" t="s">
        <v>791</v>
      </c>
      <c r="B13" s="11" t="n">
        <v>0.2</v>
      </c>
      <c r="C13" s="11" t="n">
        <f aca="false">PL!D53/PL!C53-1</f>
        <v>0.191637461614859</v>
      </c>
      <c r="D13" s="11" t="n">
        <f aca="false">C13-B13</f>
        <v>-0.00836253838514139</v>
      </c>
      <c r="E13" s="11" t="n">
        <f aca="false">PL!D81/PL!C81-1</f>
        <v>0.191637461614859</v>
      </c>
      <c r="F13" s="11" t="n">
        <f aca="false">E13-B13</f>
        <v>-0.00836253838514139</v>
      </c>
      <c r="G13" s="11" t="n">
        <f aca="false">PL!D109/PL!C109-1</f>
        <v>0.191637461614859</v>
      </c>
      <c r="H13" s="11" t="n">
        <f aca="false">G13-B13</f>
        <v>-0.00836253838514139</v>
      </c>
      <c r="I13" s="5" t="s">
        <v>792</v>
      </c>
      <c r="J13" s="8" t="s">
        <v>793</v>
      </c>
    </row>
    <row r="14" customFormat="false" ht="17.15" hidden="false" customHeight="false" outlineLevel="0" collapsed="false">
      <c r="A14" s="0" t="s">
        <v>794</v>
      </c>
      <c r="B14" s="11" t="n">
        <f aca="false">co_ai27</f>
        <v>0.8</v>
      </c>
      <c r="C14" s="11" t="n">
        <f aca="false">ai_inc27</f>
        <v>0.626860639170224</v>
      </c>
      <c r="D14" s="11" t="n">
        <f aca="false">C14-B14</f>
        <v>-0.173139360829776</v>
      </c>
      <c r="E14" s="11" t="n">
        <f aca="false">ai_inc27</f>
        <v>0.626860639170224</v>
      </c>
      <c r="F14" s="11" t="n">
        <f aca="false">E14-B14</f>
        <v>-0.173139360829776</v>
      </c>
      <c r="G14" s="11" t="n">
        <f aca="false">ai_inc27</f>
        <v>0.626860639170224</v>
      </c>
      <c r="H14" s="11" t="n">
        <f aca="false">G14-B14</f>
        <v>-0.173139360829776</v>
      </c>
      <c r="I14" s="5" t="s">
        <v>795</v>
      </c>
      <c r="J14" s="5" t="s">
        <v>796</v>
      </c>
    </row>
    <row r="15" customFormat="false" ht="17.15" hidden="false" customHeight="false" outlineLevel="0" collapsed="false">
      <c r="A15" s="1" t="s">
        <v>797</v>
      </c>
    </row>
    <row r="16" customFormat="false" ht="17.15" hidden="false" customHeight="false" outlineLevel="0" collapsed="false">
      <c r="A16" s="0" t="s">
        <v>798</v>
      </c>
      <c r="B16" s="22" t="n">
        <f aca="false">semi_wfe26</f>
        <v>143.9</v>
      </c>
      <c r="C16" s="11" t="n">
        <f aca="false">PL!D52/1000/semi_wfe26</f>
        <v>0.181000694927033</v>
      </c>
      <c r="I16" s="8" t="s">
        <v>799</v>
      </c>
      <c r="J16" s="5" t="s">
        <v>800</v>
      </c>
    </row>
    <row r="17" customFormat="false" ht="17.15" hidden="false" customHeight="false" outlineLevel="0" collapsed="false">
      <c r="A17" s="0" t="s">
        <v>801</v>
      </c>
      <c r="C17" s="11" t="n">
        <f aca="false">SUM(Q!G7:I7)/an_rev</f>
        <v>0.701052877183772</v>
      </c>
      <c r="J17" s="5" t="s">
        <v>802</v>
      </c>
    </row>
    <row r="18" customFormat="false" ht="17.15" hidden="false" customHeight="false" outlineLevel="0" collapsed="false">
      <c r="A18" s="0" t="s">
        <v>803</v>
      </c>
      <c r="C18" s="11" t="n">
        <f aca="false">PL!E5/PL!D5-1</f>
        <v>0.21788547642975</v>
      </c>
      <c r="J18" s="5" t="s">
        <v>804</v>
      </c>
    </row>
    <row r="19" customFormat="false" ht="17.15" hidden="false" customHeight="false" outlineLevel="0" collapsed="false">
      <c r="A19" s="5" t="s">
        <v>805</v>
      </c>
      <c r="C19" s="11" t="n">
        <f aca="false">cons_rev27/cons_rev26-1</f>
        <v>0.353473438412143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806</v>
      </c>
    </row>
    <row r="3" customFormat="false" ht="17.15" hidden="false" customHeight="false" outlineLevel="0" collapsed="false">
      <c r="A3" s="6" t="s">
        <v>807</v>
      </c>
      <c r="B3" s="6" t="s">
        <v>808</v>
      </c>
      <c r="C3" s="15" t="s">
        <v>809</v>
      </c>
      <c r="D3" s="15" t="s">
        <v>810</v>
      </c>
      <c r="E3" s="6" t="s">
        <v>811</v>
      </c>
      <c r="F3" s="15" t="s">
        <v>812</v>
      </c>
      <c r="G3" s="15" t="s">
        <v>813</v>
      </c>
      <c r="H3" s="6" t="s">
        <v>811</v>
      </c>
    </row>
    <row r="4" customFormat="false" ht="17.15" hidden="false" customHeight="false" outlineLevel="0" collapsed="false">
      <c r="A4" s="5" t="s">
        <v>814</v>
      </c>
      <c r="B4" s="0" t="s">
        <v>815</v>
      </c>
      <c r="C4" s="9" t="n">
        <f aca="false">PL!E56</f>
        <v>41757.6393303468</v>
      </c>
      <c r="D4" s="14" t="n">
        <f aca="false">PL!E64</f>
        <v>16.6621885068586</v>
      </c>
      <c r="E4" s="11" t="n">
        <f aca="false">D4/D$4-1</f>
        <v>0</v>
      </c>
      <c r="F4" s="9" t="n">
        <f aca="false">PL!F56</f>
        <v>47443.9635973303</v>
      </c>
      <c r="G4" s="14" t="n">
        <f aca="false">PL!F64</f>
        <v>19.8465416556624</v>
      </c>
      <c r="H4" s="11" t="n">
        <f aca="false">G4/G$4-1</f>
        <v>0</v>
      </c>
    </row>
    <row r="5" customFormat="false" ht="17.15" hidden="false" customHeight="false" outlineLevel="0" collapsed="false">
      <c r="A5" s="5" t="s">
        <v>816</v>
      </c>
      <c r="B5" s="0" t="s">
        <v>817</v>
      </c>
      <c r="C5" s="9" t="n">
        <f aca="false">E76</f>
        <v>40133.1448638295</v>
      </c>
      <c r="D5" s="14" t="n">
        <f aca="false">E84</f>
        <v>15.8091667882695</v>
      </c>
      <c r="E5" s="11" t="n">
        <f aca="false">D5/D$4-1</f>
        <v>-0.0511950586946032</v>
      </c>
      <c r="F5" s="9" t="n">
        <f aca="false">F76</f>
        <v>45594.1910424638</v>
      </c>
      <c r="G5" s="14" t="n">
        <f aca="false">F84</f>
        <v>18.8654151934365</v>
      </c>
      <c r="H5" s="11" t="n">
        <f aca="false">G5/G$4-1</f>
        <v>-0.049435638674407</v>
      </c>
    </row>
    <row r="6" customFormat="false" ht="17.15" hidden="false" customHeight="false" outlineLevel="0" collapsed="false">
      <c r="A6" s="5" t="s">
        <v>818</v>
      </c>
      <c r="B6" s="5" t="s">
        <v>819</v>
      </c>
      <c r="C6" s="9" t="n">
        <f aca="false">E108</f>
        <v>43382.1337968642</v>
      </c>
      <c r="D6" s="14" t="n">
        <f aca="false">E116</f>
        <v>17.5152102254478</v>
      </c>
      <c r="E6" s="11" t="n">
        <f aca="false">D6/D$4-1</f>
        <v>0.0511950586946028</v>
      </c>
      <c r="F6" s="9" t="n">
        <f aca="false">F108</f>
        <v>49293.7361521968</v>
      </c>
      <c r="G6" s="14" t="n">
        <f aca="false">F116</f>
        <v>20.8276681178883</v>
      </c>
      <c r="H6" s="11" t="n">
        <f aca="false">G6/G$4-1</f>
        <v>0.0494356386744077</v>
      </c>
    </row>
    <row r="7" customFormat="false" ht="17.15" hidden="false" customHeight="false" outlineLevel="0" collapsed="false">
      <c r="A7" s="5" t="s">
        <v>820</v>
      </c>
      <c r="B7" s="0" t="s">
        <v>821</v>
      </c>
      <c r="C7" s="9" t="n">
        <f aca="false">E140</f>
        <v>41699.1532186369</v>
      </c>
      <c r="D7" s="14" t="n">
        <f aca="false">E148</f>
        <v>16.6314774613287</v>
      </c>
      <c r="E7" s="11" t="n">
        <f aca="false">D7/D$4-1</f>
        <v>-0.00184315796915413</v>
      </c>
      <c r="F7" s="9" t="n">
        <f aca="false">F140</f>
        <v>47370.6719990595</v>
      </c>
      <c r="G7" s="14" t="n">
        <f aca="false">F148</f>
        <v>19.8076675106584</v>
      </c>
      <c r="H7" s="11" t="n">
        <f aca="false">G7/G$4-1</f>
        <v>-0.00195873647300804</v>
      </c>
    </row>
    <row r="8" customFormat="false" ht="17.15" hidden="false" customHeight="false" outlineLevel="0" collapsed="false">
      <c r="A8" s="5" t="s">
        <v>822</v>
      </c>
      <c r="B8" s="5" t="s">
        <v>823</v>
      </c>
      <c r="C8" s="9" t="n">
        <f aca="false">E172</f>
        <v>41816.1254420567</v>
      </c>
      <c r="D8" s="14" t="n">
        <f aca="false">E180</f>
        <v>16.6928995523886</v>
      </c>
      <c r="E8" s="11" t="n">
        <f aca="false">D8/D$4-1</f>
        <v>0.00184315796915335</v>
      </c>
      <c r="F8" s="9" t="n">
        <f aca="false">F172</f>
        <v>47517.2551956011</v>
      </c>
      <c r="G8" s="14" t="n">
        <f aca="false">F180</f>
        <v>19.8854158006664</v>
      </c>
      <c r="H8" s="11" t="n">
        <f aca="false">G8/G$4-1</f>
        <v>0.00195873647300826</v>
      </c>
    </row>
    <row r="9" customFormat="false" ht="17.15" hidden="false" customHeight="false" outlineLevel="0" collapsed="false">
      <c r="A9" s="5" t="s">
        <v>824</v>
      </c>
      <c r="B9" s="0" t="s">
        <v>825</v>
      </c>
      <c r="C9" s="9" t="n">
        <f aca="false">E204</f>
        <v>41569.8695282338</v>
      </c>
      <c r="D9" s="14" t="n">
        <f aca="false">E212</f>
        <v>16.5635906214248</v>
      </c>
      <c r="E9" s="11" t="n">
        <f aca="false">D9/D$4-1</f>
        <v>-0.00591746308675478</v>
      </c>
      <c r="F9" s="9" t="n">
        <f aca="false">F204</f>
        <v>46975.9532061198</v>
      </c>
      <c r="G9" s="14" t="n">
        <f aca="false">F212</f>
        <v>19.598307148017</v>
      </c>
      <c r="H9" s="11" t="n">
        <f aca="false">G9/G$4-1</f>
        <v>-0.0125076958974666</v>
      </c>
    </row>
    <row r="10" customFormat="false" ht="17.15" hidden="false" customHeight="false" outlineLevel="0" collapsed="false">
      <c r="A10" s="5" t="s">
        <v>826</v>
      </c>
      <c r="B10" s="5" t="s">
        <v>827</v>
      </c>
      <c r="C10" s="9" t="n">
        <f aca="false">E236</f>
        <v>41954.0363599471</v>
      </c>
      <c r="D10" s="14" t="n">
        <f aca="false">E244</f>
        <v>16.7653165477159</v>
      </c>
      <c r="E10" s="11" t="n">
        <f aca="false">D10/D$4-1</f>
        <v>0.00618934546412286</v>
      </c>
      <c r="F10" s="9" t="n">
        <f aca="false">F236</f>
        <v>47935.3850481886</v>
      </c>
      <c r="G10" s="14" t="n">
        <f aca="false">F244</f>
        <v>20.1071934791929</v>
      </c>
      <c r="H10" s="11" t="n">
        <f aca="false">G10/G$4-1</f>
        <v>0.0131333623788339</v>
      </c>
    </row>
    <row r="11" customFormat="false" ht="17.15" hidden="false" customHeight="false" outlineLevel="0" collapsed="false">
      <c r="A11" s="5" t="s">
        <v>828</v>
      </c>
      <c r="B11" s="5" t="s">
        <v>829</v>
      </c>
      <c r="C11" s="9" t="n">
        <f aca="false">E268</f>
        <v>41757.6393303468</v>
      </c>
      <c r="D11" s="14" t="n">
        <f aca="false">E276</f>
        <v>17.4926728074749</v>
      </c>
      <c r="E11" s="11" t="n">
        <f aca="false">D11/D$4-1</f>
        <v>0.0498424501844024</v>
      </c>
      <c r="F11" s="9" t="n">
        <f aca="false">F268</f>
        <v>47443.9635973303</v>
      </c>
      <c r="G11" s="14" t="n">
        <f aca="false">F276</f>
        <v>21.0416680519686</v>
      </c>
      <c r="H11" s="11" t="n">
        <f aca="false">G11/G$4-1</f>
        <v>0.0602183703862171</v>
      </c>
    </row>
    <row r="12" customFormat="false" ht="17.15" hidden="false" customHeight="false" outlineLevel="0" collapsed="false">
      <c r="A12" s="5" t="s">
        <v>830</v>
      </c>
      <c r="B12" s="5" t="s">
        <v>831</v>
      </c>
      <c r="C12" s="9" t="n">
        <f aca="false">E300</f>
        <v>41757.6393303468</v>
      </c>
      <c r="D12" s="14" t="n">
        <f aca="false">E308</f>
        <v>15.949837349584</v>
      </c>
      <c r="E12" s="11" t="n">
        <f aca="false">D12/D$4-1</f>
        <v>-0.0427525566033176</v>
      </c>
      <c r="F12" s="9" t="n">
        <f aca="false">F300</f>
        <v>47443.9635973303</v>
      </c>
      <c r="G12" s="14" t="n">
        <f aca="false">F308</f>
        <v>18.8214173145202</v>
      </c>
      <c r="H12" s="11" t="n">
        <f aca="false">G12/G$4-1</f>
        <v>-0.0516525427416064</v>
      </c>
    </row>
    <row r="13" customFormat="false" ht="17.15" hidden="false" customHeight="false" outlineLevel="0" collapsed="false">
      <c r="A13" s="5" t="s">
        <v>832</v>
      </c>
      <c r="B13" s="0" t="s">
        <v>833</v>
      </c>
      <c r="C13" s="9" t="n">
        <f aca="false">E332</f>
        <v>41757.6393303468</v>
      </c>
      <c r="D13" s="14" t="n">
        <f aca="false">E340</f>
        <v>17.09641852511</v>
      </c>
      <c r="E13" s="11" t="n">
        <f aca="false">D13/D$4-1</f>
        <v>0.0260608033616123</v>
      </c>
      <c r="F13" s="9" t="n">
        <f aca="false">F332</f>
        <v>47443.9635973303</v>
      </c>
      <c r="G13" s="14" t="n">
        <f aca="false">F340</f>
        <v>20.4714297558898</v>
      </c>
      <c r="H13" s="11" t="n">
        <f aca="false">G13/G$4-1</f>
        <v>0.0314859944401977</v>
      </c>
    </row>
    <row r="14" customFormat="false" ht="17.15" hidden="false" customHeight="false" outlineLevel="0" collapsed="false">
      <c r="A14" s="5" t="s">
        <v>834</v>
      </c>
      <c r="B14" s="5" t="s">
        <v>835</v>
      </c>
      <c r="C14" s="9" t="n">
        <f aca="false">E364</f>
        <v>41757.6393303468</v>
      </c>
      <c r="D14" s="14" t="n">
        <f aca="false">E372</f>
        <v>15.9757314247181</v>
      </c>
      <c r="E14" s="11" t="n">
        <f aca="false">D14/D$4-1</f>
        <v>-0.0411984945349743</v>
      </c>
      <c r="F14" s="9" t="n">
        <f aca="false">F364</f>
        <v>47443.9635973303</v>
      </c>
      <c r="G14" s="14" t="n">
        <f aca="false">F372</f>
        <v>18.8586807434348</v>
      </c>
      <c r="H14" s="11" t="n">
        <f aca="false">G14/G$4-1</f>
        <v>-0.0497749647957307</v>
      </c>
    </row>
    <row r="15" customFormat="false" ht="17.15" hidden="false" customHeight="false" outlineLevel="0" collapsed="false">
      <c r="A15" s="0" t="s">
        <v>836</v>
      </c>
      <c r="B15" s="5" t="s">
        <v>837</v>
      </c>
      <c r="C15" s="9" t="n">
        <f aca="false">E396</f>
        <v>41483.8393303469</v>
      </c>
      <c r="D15" s="14" t="n">
        <f aca="false">E404</f>
        <v>16.518416181767</v>
      </c>
      <c r="E15" s="11" t="n">
        <f aca="false">D15/D$4-1</f>
        <v>-0.00862865793604872</v>
      </c>
      <c r="F15" s="9" t="n">
        <f aca="false">F396</f>
        <v>46825.1755973303</v>
      </c>
      <c r="G15" s="14" t="n">
        <f aca="false">F404</f>
        <v>19.5183341256552</v>
      </c>
      <c r="H15" s="11" t="n">
        <f aca="false">G15/G$4-1</f>
        <v>-0.0165372655700721</v>
      </c>
    </row>
    <row r="16" customFormat="false" ht="17.15" hidden="false" customHeight="false" outlineLevel="0" collapsed="false">
      <c r="A16" s="0" t="s">
        <v>838</v>
      </c>
      <c r="B16" s="5" t="s">
        <v>839</v>
      </c>
      <c r="C16" s="9" t="n">
        <f aca="false">E428</f>
        <v>42031.4393303468</v>
      </c>
      <c r="D16" s="14" t="n">
        <f aca="false">E436</f>
        <v>16.8059608319503</v>
      </c>
      <c r="E16" s="11" t="n">
        <f aca="false">D16/D$4-1</f>
        <v>0.00862865793604839</v>
      </c>
      <c r="F16" s="9" t="n">
        <f aca="false">F428</f>
        <v>48084.6555973303</v>
      </c>
      <c r="G16" s="14" t="n">
        <f aca="false">F436</f>
        <v>20.1863671513336</v>
      </c>
      <c r="H16" s="11" t="n">
        <f aca="false">G16/G$4-1</f>
        <v>0.017122655501757</v>
      </c>
    </row>
    <row r="17" customFormat="false" ht="17.15" hidden="false" customHeight="false" outlineLevel="0" collapsed="false">
      <c r="A17" s="5" t="s">
        <v>840</v>
      </c>
      <c r="B17" s="5" t="s">
        <v>841</v>
      </c>
      <c r="C17" s="9" t="n">
        <f aca="false">E460</f>
        <v>41618.0393303468</v>
      </c>
      <c r="D17" s="14" t="n">
        <f aca="false">E468</f>
        <v>16.5888845748543</v>
      </c>
      <c r="E17" s="11" t="n">
        <f aca="false">D17/D$4-1</f>
        <v>-0.00439941799807331</v>
      </c>
      <c r="F17" s="9" t="n">
        <f aca="false">F460</f>
        <v>47178.7235973303</v>
      </c>
      <c r="G17" s="14" t="n">
        <f aca="false">F468</f>
        <v>19.7058573417147</v>
      </c>
      <c r="H17" s="11" t="n">
        <f aca="false">G17/G$4-1</f>
        <v>-0.00708860598428851</v>
      </c>
    </row>
    <row r="18" customFormat="false" ht="17.15" hidden="false" customHeight="false" outlineLevel="0" collapsed="false">
      <c r="A18" s="5" t="s">
        <v>842</v>
      </c>
      <c r="C18" s="9" t="n">
        <f aca="false">E492</f>
        <v>41897.2393303468</v>
      </c>
      <c r="D18" s="14" t="n">
        <f aca="false">E500</f>
        <v>16.735492438863</v>
      </c>
      <c r="E18" s="11" t="n">
        <f aca="false">D18/D$4-1</f>
        <v>0.00439941799807309</v>
      </c>
      <c r="F18" s="9" t="n">
        <f aca="false">F492</f>
        <v>47737.1235973303</v>
      </c>
      <c r="G18" s="14" t="n">
        <f aca="false">F500</f>
        <v>20.0020348447626</v>
      </c>
      <c r="H18" s="11" t="n">
        <f aca="false">G18/G$4-1</f>
        <v>0.00783477503526697</v>
      </c>
    </row>
    <row r="19" customFormat="false" ht="17.15" hidden="false" customHeight="false" outlineLevel="0" collapsed="false">
      <c r="A19" s="5" t="s">
        <v>843</v>
      </c>
      <c r="B19" s="5" t="s">
        <v>844</v>
      </c>
      <c r="C19" s="9" t="n">
        <f aca="false">E524</f>
        <v>41757.6393303468</v>
      </c>
      <c r="D19" s="14" t="n">
        <f aca="false">E532</f>
        <v>15.9408977647384</v>
      </c>
      <c r="E19" s="11" t="n">
        <f aca="false">D19/D$4-1</f>
        <v>-0.0432890758511897</v>
      </c>
      <c r="F19" s="9" t="n">
        <f aca="false">F524</f>
        <v>47443.9635973303</v>
      </c>
      <c r="G19" s="14" t="n">
        <f aca="false">F532</f>
        <v>18.9874032085466</v>
      </c>
      <c r="H19" s="11" t="n">
        <f aca="false">G19/G$4-1</f>
        <v>-0.0432890758511898</v>
      </c>
    </row>
    <row r="20" customFormat="false" ht="17.15" hidden="false" customHeight="false" outlineLevel="0" collapsed="false">
      <c r="A20" s="5" t="s">
        <v>845</v>
      </c>
      <c r="B20" s="5" t="s">
        <v>846</v>
      </c>
      <c r="C20" s="9" t="n">
        <f aca="false">E556</f>
        <v>41757.6393303468</v>
      </c>
      <c r="D20" s="14" t="n">
        <f aca="false">E564</f>
        <v>16.8577653783369</v>
      </c>
      <c r="E20" s="11" t="n">
        <f aca="false">D20/D$4-1</f>
        <v>0.0117377661042419</v>
      </c>
      <c r="F20" s="9" t="n">
        <f aca="false">F556</f>
        <v>47443.9635973303</v>
      </c>
      <c r="G20" s="14" t="n">
        <f aca="false">F564</f>
        <v>20.0794957195947</v>
      </c>
      <c r="H20" s="11" t="n">
        <f aca="false">G20/G$4-1</f>
        <v>0.0117377661042419</v>
      </c>
    </row>
    <row r="21" customFormat="false" ht="17.15" hidden="false" customHeight="false" outlineLevel="0" collapsed="false">
      <c r="A21" s="5" t="s">
        <v>847</v>
      </c>
      <c r="C21" s="9" t="n">
        <f aca="false">E588</f>
        <v>41757.6393303468</v>
      </c>
      <c r="D21" s="14" t="n">
        <f aca="false">E596</f>
        <v>16.4955666217901</v>
      </c>
      <c r="E21" s="11" t="n">
        <f aca="false">D21/D$4-1</f>
        <v>-0.01</v>
      </c>
      <c r="F21" s="9" t="n">
        <f aca="false">F588</f>
        <v>47443.9635973303</v>
      </c>
      <c r="G21" s="14" t="n">
        <f aca="false">F596</f>
        <v>19.4515954767147</v>
      </c>
      <c r="H21" s="11" t="n">
        <f aca="false">G21/G$4-1</f>
        <v>-0.0198999999999999</v>
      </c>
    </row>
    <row r="22" customFormat="false" ht="17.15" hidden="false" customHeight="false" outlineLevel="0" collapsed="false">
      <c r="A22" s="5" t="s">
        <v>848</v>
      </c>
      <c r="C22" s="9" t="n">
        <f aca="false">E620</f>
        <v>41757.6393303468</v>
      </c>
      <c r="D22" s="14" t="n">
        <f aca="false">E628</f>
        <v>16.9185298685026</v>
      </c>
      <c r="E22" s="11" t="n">
        <f aca="false">D22/D$4-1</f>
        <v>0.0153846153846153</v>
      </c>
      <c r="F22" s="9" t="n">
        <f aca="false">F620</f>
        <v>47443.9635973303</v>
      </c>
      <c r="G22" s="14" t="n">
        <f aca="false">F628</f>
        <v>20.4619018821457</v>
      </c>
      <c r="H22" s="11" t="n">
        <f aca="false">G22/G$4-1</f>
        <v>0.0310059171597634</v>
      </c>
    </row>
    <row r="23" customFormat="false" ht="17.15" hidden="false" customHeight="false" outlineLevel="0" collapsed="false">
      <c r="A23" s="5" t="s">
        <v>849</v>
      </c>
      <c r="B23" s="5" t="s">
        <v>850</v>
      </c>
      <c r="C23" s="9" t="n">
        <f aca="false">E652</f>
        <v>41157.6393303468</v>
      </c>
      <c r="D23" s="14" t="n">
        <f aca="false">E660</f>
        <v>16.3471286271837</v>
      </c>
      <c r="E23" s="11" t="n">
        <f aca="false">D23/D$4-1</f>
        <v>-0.0189086733441541</v>
      </c>
      <c r="F23" s="9" t="n">
        <f aca="false">F652</f>
        <v>46843.9635973303</v>
      </c>
      <c r="G23" s="14" t="n">
        <f aca="false">F660</f>
        <v>19.5282993529605</v>
      </c>
      <c r="H23" s="11" t="n">
        <f aca="false">G23/G$4-1</f>
        <v>-0.0160351515253095</v>
      </c>
    </row>
    <row r="24" customFormat="false" ht="17.15" hidden="false" customHeight="false" outlineLevel="0" collapsed="false">
      <c r="A24" s="5" t="s">
        <v>851</v>
      </c>
      <c r="B24" s="5" t="s">
        <v>852</v>
      </c>
      <c r="C24" s="9" t="n">
        <f aca="false">E684</f>
        <v>40857.6393303468</v>
      </c>
      <c r="D24" s="14" t="n">
        <f aca="false">E692</f>
        <v>16.1895986873463</v>
      </c>
      <c r="E24" s="11" t="n">
        <f aca="false">D24/D$4-1</f>
        <v>-0.0283630100162307</v>
      </c>
      <c r="F24" s="9" t="n">
        <f aca="false">F684</f>
        <v>46543.9635973303</v>
      </c>
      <c r="G24" s="14" t="n">
        <f aca="false">F692</f>
        <v>19.3691782016095</v>
      </c>
      <c r="H24" s="11" t="n">
        <f aca="false">G24/G$4-1</f>
        <v>-0.0240527272879648</v>
      </c>
    </row>
    <row r="25" customFormat="false" ht="17.15" hidden="false" customHeight="false" outlineLevel="0" collapsed="false">
      <c r="A25" s="5" t="s">
        <v>853</v>
      </c>
      <c r="B25" s="5" t="s">
        <v>854</v>
      </c>
      <c r="C25" s="9" t="n">
        <f aca="false">E716</f>
        <v>39511.6132552014</v>
      </c>
      <c r="D25" s="14" t="n">
        <f aca="false">E724</f>
        <v>15.4828006652219</v>
      </c>
      <c r="E25" s="11" t="n">
        <f aca="false">D25/D$4-1</f>
        <v>-0.0707822889622964</v>
      </c>
      <c r="F25" s="9" t="n">
        <f aca="false">F716</f>
        <v>44881.5075459183</v>
      </c>
      <c r="G25" s="14" t="n">
        <f aca="false">F724</f>
        <v>18.4874051317061</v>
      </c>
      <c r="H25" s="11" t="n">
        <f aca="false">G25/G$4-1</f>
        <v>-0.0684822851022299</v>
      </c>
    </row>
    <row r="26" customFormat="false" ht="17.15" hidden="false" customHeight="false" outlineLevel="0" collapsed="false">
      <c r="A26" s="5" t="s">
        <v>855</v>
      </c>
      <c r="C26" s="9" t="n">
        <f aca="false">E748</f>
        <v>37265.5871800559</v>
      </c>
      <c r="D26" s="14" t="n">
        <f aca="false">E756</f>
        <v>14.3034128235852</v>
      </c>
      <c r="E26" s="11" t="n">
        <f aca="false">D26/D$4-1</f>
        <v>-0.141564577924593</v>
      </c>
      <c r="F26" s="9" t="n">
        <f aca="false">F748</f>
        <v>42319.0514945064</v>
      </c>
      <c r="G26" s="14" t="n">
        <f aca="false">F756</f>
        <v>17.1282686077497</v>
      </c>
      <c r="H26" s="11" t="n">
        <f aca="false">G26/G$4-1</f>
        <v>-0.13696457020446</v>
      </c>
    </row>
    <row r="27" customFormat="false" ht="17.15" hidden="false" customHeight="false" outlineLevel="0" collapsed="false">
      <c r="A27" s="5" t="s">
        <v>856</v>
      </c>
      <c r="B27" s="0" t="s">
        <v>857</v>
      </c>
      <c r="C27" s="9" t="n">
        <f aca="false">PL!E84</f>
        <v>41414.0393303468</v>
      </c>
      <c r="D27" s="14" t="n">
        <f aca="false">PL!E92</f>
        <v>16.4817642157648</v>
      </c>
      <c r="E27" s="11" t="n">
        <f aca="false">D27/D$4-1</f>
        <v>-0.0108283669350854</v>
      </c>
      <c r="F27" s="9" t="n">
        <f aca="false">PL!F84</f>
        <v>43244.2756331856</v>
      </c>
      <c r="G27" s="14" t="n">
        <f aca="false">PL!F92</f>
        <v>17.6190110417642</v>
      </c>
      <c r="H27" s="11" t="n">
        <f aca="false">G27/G$4-1</f>
        <v>-0.112237721440133</v>
      </c>
    </row>
    <row r="28" customFormat="false" ht="17.15" hidden="false" customHeight="false" outlineLevel="0" collapsed="false">
      <c r="A28" s="5" t="s">
        <v>858</v>
      </c>
      <c r="B28" s="0" t="s">
        <v>859</v>
      </c>
      <c r="C28" s="9" t="n">
        <f aca="false">PL!E112</f>
        <v>40470.4393303468</v>
      </c>
      <c r="D28" s="14" t="n">
        <f aca="false">PL!E120</f>
        <v>15.9862800449961</v>
      </c>
      <c r="E28" s="11" t="n">
        <f aca="false">D28/D$4-1</f>
        <v>-0.0405654072143247</v>
      </c>
      <c r="F28" s="9" t="n">
        <f aca="false">PL!F112</f>
        <v>36326.4847776547</v>
      </c>
      <c r="G28" s="14" t="n">
        <f aca="false">PL!F120</f>
        <v>13.94978822264</v>
      </c>
      <c r="H28" s="11" t="n">
        <f aca="false">G28/G$4-1</f>
        <v>-0.297117429088204</v>
      </c>
    </row>
    <row r="30" customFormat="false" ht="17.15" hidden="false" customHeight="false" outlineLevel="0" collapsed="false">
      <c r="A30" s="5" t="s">
        <v>860</v>
      </c>
    </row>
    <row r="60" customFormat="false" ht="17.15" hidden="false" customHeight="false" outlineLevel="0" collapsed="false">
      <c r="A60" s="3" t="s">
        <v>861</v>
      </c>
    </row>
    <row r="61" customFormat="false" ht="15" hidden="false" customHeight="false" outlineLevel="0" collapsed="false">
      <c r="A61" s="6" t="s">
        <v>15</v>
      </c>
      <c r="B61" s="6" t="s">
        <v>16</v>
      </c>
      <c r="C61" s="15" t="s">
        <v>509</v>
      </c>
      <c r="D61" s="15" t="s">
        <v>510</v>
      </c>
      <c r="E61" s="15" t="s">
        <v>511</v>
      </c>
      <c r="F61" s="15" t="s">
        <v>512</v>
      </c>
      <c r="G61" s="15" t="s">
        <v>513</v>
      </c>
      <c r="H61" s="6" t="s">
        <v>514</v>
      </c>
    </row>
    <row r="62" customFormat="false" ht="17.15" hidden="false" customHeight="false" outlineLevel="0" collapsed="false">
      <c r="A62" s="1" t="s">
        <v>545</v>
      </c>
    </row>
    <row r="63" customFormat="false" ht="17.15" hidden="false" customHeight="false" outlineLevel="0" collapsed="false">
      <c r="A63" s="5" t="s">
        <v>546</v>
      </c>
      <c r="B63" s="0" t="s">
        <v>26</v>
      </c>
      <c r="C63" s="22" t="n">
        <f aca="false">laA_25+loA_25+ofA_25</f>
        <v>78.3481206981793</v>
      </c>
      <c r="D63" s="22" t="n">
        <f aca="false">laA_26+loA_26+ofA_26</f>
        <v>99.2871982981748</v>
      </c>
      <c r="E63" s="22" t="n">
        <f aca="false">laA_27+loA_27+ofA_27</f>
        <v>116.288709321091</v>
      </c>
      <c r="F63" s="22" t="n">
        <f aca="false">laA_28+loA_28+ofA_28</f>
        <v>130.886404842261</v>
      </c>
      <c r="G63" s="22" t="n">
        <f aca="false">laA_29+loA_29+ofA_29</f>
        <v>139.398079992203</v>
      </c>
    </row>
    <row r="64" customFormat="false" ht="17.15" hidden="false" customHeight="false" outlineLevel="0" collapsed="false">
      <c r="A64" s="0" t="s">
        <v>547</v>
      </c>
      <c r="B64" s="0" t="s">
        <v>26</v>
      </c>
      <c r="C64" s="22" t="n">
        <f aca="false">drA_25</f>
        <v>26.3761091658243</v>
      </c>
      <c r="D64" s="22" t="n">
        <f aca="false">drA_26</f>
        <v>39.3659468014757</v>
      </c>
      <c r="E64" s="22" t="n">
        <f aca="false">drA_27</f>
        <v>53.2587328153375</v>
      </c>
      <c r="F64" s="22" t="n">
        <f aca="false">drA_28</f>
        <v>59.5608998372386</v>
      </c>
      <c r="G64" s="22" t="n">
        <f aca="false">drA_29</f>
        <v>61.8312930912183</v>
      </c>
    </row>
    <row r="65" customFormat="false" ht="15" hidden="false" customHeight="false" outlineLevel="0" collapsed="false">
      <c r="A65" s="0" t="s">
        <v>548</v>
      </c>
      <c r="B65" s="0" t="s">
        <v>26</v>
      </c>
      <c r="C65" s="22" t="n">
        <f aca="false">ndA_25</f>
        <v>12.1726019800256</v>
      </c>
      <c r="D65" s="22" t="n">
        <f aca="false">ndA_26</f>
        <v>17.5039054704765</v>
      </c>
      <c r="E65" s="22" t="n">
        <f aca="false">ndA_27</f>
        <v>23.2480272411321</v>
      </c>
      <c r="F65" s="22" t="n">
        <f aca="false">ndA_28</f>
        <v>26.181321629459</v>
      </c>
      <c r="G65" s="22" t="n">
        <f aca="false">ndA_29</f>
        <v>27.674312771805</v>
      </c>
    </row>
    <row r="66" customFormat="false" ht="17.15" hidden="false" customHeight="false" outlineLevel="0" collapsed="false">
      <c r="A66" s="1" t="s">
        <v>549</v>
      </c>
    </row>
    <row r="67" customFormat="false" ht="17.15" hidden="false" customHeight="false" outlineLevel="0" collapsed="false">
      <c r="A67" s="5" t="s">
        <v>550</v>
      </c>
      <c r="B67" s="0" t="s">
        <v>26</v>
      </c>
      <c r="D67" s="22" t="n">
        <f aca="false">fyw*C63+(1-fyw)*D63</f>
        <v>95.7973520315089</v>
      </c>
      <c r="E67" s="22" t="n">
        <f aca="false">fyw*D63+(1-fyw)*E63</f>
        <v>113.455124150605</v>
      </c>
      <c r="F67" s="22" t="n">
        <f aca="false">fyw*E63+(1-fyw)*F63</f>
        <v>128.453455588732</v>
      </c>
      <c r="G67" s="22" t="n">
        <f aca="false">fyw*F63+(1-fyw)*G63</f>
        <v>137.979467467212</v>
      </c>
    </row>
    <row r="68" customFormat="false" ht="17.15" hidden="false" customHeight="false" outlineLevel="0" collapsed="false">
      <c r="A68" s="0" t="s">
        <v>551</v>
      </c>
      <c r="B68" s="0" t="s">
        <v>26</v>
      </c>
      <c r="D68" s="22" t="n">
        <f aca="false">fyw*C64+(1-fyw)*D64</f>
        <v>37.2009738622005</v>
      </c>
      <c r="E68" s="22" t="n">
        <f aca="false">fyw*D64+(1-fyw)*E64</f>
        <v>50.9432684796939</v>
      </c>
      <c r="F68" s="22" t="n">
        <f aca="false">fyw*E64+(1-fyw)*F64</f>
        <v>58.5105386669218</v>
      </c>
      <c r="G68" s="22" t="n">
        <f aca="false">fyw*F64+(1-fyw)*G64</f>
        <v>61.452894215555</v>
      </c>
    </row>
    <row r="69" customFormat="false" ht="15" hidden="false" customHeight="false" outlineLevel="0" collapsed="false">
      <c r="A69" s="0" t="s">
        <v>552</v>
      </c>
      <c r="B69" s="0" t="s">
        <v>26</v>
      </c>
      <c r="D69" s="22" t="n">
        <f aca="false">fyw*C65+(1-fyw)*D65</f>
        <v>16.6153548887347</v>
      </c>
      <c r="E69" s="22" t="n">
        <f aca="false">fyw*D65+(1-fyw)*E65</f>
        <v>22.2906736126895</v>
      </c>
      <c r="F69" s="22" t="n">
        <f aca="false">fyw*E65+(1-fyw)*F65</f>
        <v>25.6924392314045</v>
      </c>
      <c r="G69" s="22" t="n">
        <f aca="false">fyw*F65+(1-fyw)*G65</f>
        <v>27.4254809147473</v>
      </c>
    </row>
    <row r="70" customFormat="false" ht="17.15" hidden="false" customHeight="false" outlineLevel="0" collapsed="false">
      <c r="A70" s="5" t="s">
        <v>553</v>
      </c>
      <c r="B70" s="0" t="s">
        <v>242</v>
      </c>
      <c r="D70" s="21" t="n">
        <f aca="false">m_fl*D67/$D67+m_dr*D68/$D68+m_nd*D69/$D69</f>
        <v>1</v>
      </c>
      <c r="E70" s="21" t="n">
        <f aca="false">m_fl*E67/$D67+m_dr*E68/$D68+m_nd*E69/$D69</f>
        <v>1.2474041822294</v>
      </c>
      <c r="F70" s="21" t="n">
        <f aca="false">m_fl*F67/$D67+m_dr*F68/$D68+m_nd*F69/$D69</f>
        <v>1.42038896941297</v>
      </c>
      <c r="G70" s="21" t="n">
        <f aca="false">m_fl*G67/$D67+m_dr*G68/$D68+m_nd*G69/$D69</f>
        <v>1.51409392151355</v>
      </c>
      <c r="H70" s="8" t="s">
        <v>554</v>
      </c>
    </row>
    <row r="71" customFormat="false" ht="17.15" hidden="false" customHeight="false" outlineLevel="0" collapsed="false">
      <c r="A71" s="1" t="s">
        <v>555</v>
      </c>
    </row>
    <row r="72" customFormat="false" ht="17.15" hidden="false" customHeight="false" outlineLevel="0" collapsed="false">
      <c r="A72" s="5" t="s">
        <v>556</v>
      </c>
      <c r="B72" s="0" t="s">
        <v>248</v>
      </c>
      <c r="C72" s="9" t="n">
        <f aca="false">a25_ss</f>
        <v>21438.5432098765</v>
      </c>
      <c r="D72" s="9" t="n">
        <f aca="false">an_ss</f>
        <v>26046</v>
      </c>
      <c r="E72" s="9" t="n">
        <f aca="false">$D72*E70*sf_lo</f>
        <v>30865.3948638295</v>
      </c>
      <c r="F72" s="9" t="n">
        <f aca="false">$D72*F70*sf_lo</f>
        <v>35145.6785424638</v>
      </c>
      <c r="G72" s="9" t="n">
        <f aca="false">$D72*G70*sf_lo</f>
        <v>37464.2857657549</v>
      </c>
      <c r="H72" s="8" t="s">
        <v>557</v>
      </c>
    </row>
    <row r="73" customFormat="false" ht="17.15" hidden="false" customHeight="false" outlineLevel="0" collapsed="false">
      <c r="A73" s="0" t="s">
        <v>558</v>
      </c>
      <c r="B73" s="0" t="s">
        <v>248</v>
      </c>
      <c r="C73" s="9" t="n">
        <f aca="false">a25_ags</f>
        <v>5744.19672131148</v>
      </c>
      <c r="D73" s="9" t="n">
        <f aca="false">an_ags</f>
        <v>6845</v>
      </c>
      <c r="E73" s="9" t="n">
        <f aca="false">D73*(1+g_ags_A)</f>
        <v>7871.75</v>
      </c>
      <c r="F73" s="9" t="n">
        <f aca="false">E73*(1+g_ags_A)</f>
        <v>9052.5125</v>
      </c>
      <c r="G73" s="9" t="n">
        <f aca="false">F73*(1+g_ags_A)</f>
        <v>10410.389375</v>
      </c>
    </row>
    <row r="74" customFormat="false" ht="15" hidden="false" customHeight="false" outlineLevel="0" collapsed="false">
      <c r="A74" s="5" t="s">
        <v>559</v>
      </c>
      <c r="B74" s="0" t="s">
        <v>248</v>
      </c>
      <c r="C74" s="9" t="n">
        <f aca="false">a25_oth</f>
        <v>1185.26006881198</v>
      </c>
      <c r="D74" s="9" t="n">
        <f aca="false">an_oth</f>
        <v>1396</v>
      </c>
      <c r="E74" s="9" t="n">
        <f aca="false">D74*(1+g_oth_A)</f>
        <v>1396</v>
      </c>
      <c r="F74" s="9" t="n">
        <f aca="false">E74*(1+g_oth_A)</f>
        <v>1396</v>
      </c>
      <c r="G74" s="9" t="n">
        <f aca="false">F74*(1+g_oth_A)</f>
        <v>1396</v>
      </c>
    </row>
    <row r="75" customFormat="false" ht="17.15" hidden="false" customHeight="false" outlineLevel="0" collapsed="false">
      <c r="A75" s="5" t="s">
        <v>560</v>
      </c>
      <c r="B75" s="0" t="s">
        <v>248</v>
      </c>
      <c r="C75" s="9" t="n">
        <v>0</v>
      </c>
      <c r="D75" s="9" t="n">
        <v>0</v>
      </c>
      <c r="E75" s="9" t="n">
        <f aca="false">-aff_hit*aff_A-0*cn_sh*(E72+E73)</f>
        <v>-0</v>
      </c>
      <c r="F75" s="9" t="n">
        <f aca="false">-aff_hit*aff_A-0*cn_sh*(F72+F73)</f>
        <v>-0</v>
      </c>
      <c r="G75" s="9" t="n">
        <f aca="false">-aff_hit*aff_A-0*cn_sh*(G72+G73)</f>
        <v>-0</v>
      </c>
      <c r="H75" s="5" t="s">
        <v>561</v>
      </c>
    </row>
    <row r="76" customFormat="false" ht="15" hidden="false" customHeight="false" outlineLevel="0" collapsed="false">
      <c r="A76" s="5" t="s">
        <v>450</v>
      </c>
      <c r="B76" s="0" t="s">
        <v>248</v>
      </c>
      <c r="C76" s="9" t="n">
        <f aca="false">C72+C73+C74+C75</f>
        <v>28368</v>
      </c>
      <c r="D76" s="9" t="n">
        <f aca="false">D72+D73+D74+D75</f>
        <v>34287</v>
      </c>
      <c r="E76" s="9" t="n">
        <f aca="false">E72+E73+E74+E75</f>
        <v>40133.1448638295</v>
      </c>
      <c r="F76" s="9" t="n">
        <f aca="false">F72+F73+F74+F75</f>
        <v>45594.1910424638</v>
      </c>
      <c r="G76" s="9" t="n">
        <f aca="false">G72+G73+G74+G75</f>
        <v>49270.6751407549</v>
      </c>
    </row>
    <row r="77" customFormat="false" ht="17.15" hidden="false" customHeight="false" outlineLevel="0" collapsed="false">
      <c r="A77" s="0" t="s">
        <v>456</v>
      </c>
      <c r="B77" s="0" t="s">
        <v>195</v>
      </c>
      <c r="C77" s="11" t="n">
        <f aca="false">a25_gp/a25_rev</f>
        <v>0.487833192329385</v>
      </c>
      <c r="D77" s="11" t="n">
        <f aca="false">an_gp/an_rev</f>
        <v>0.500418584303089</v>
      </c>
      <c r="E77" s="11" t="n">
        <f aca="false">1-(cF+cv*E76)/E76</f>
        <v>0.509205035568351</v>
      </c>
      <c r="F77" s="11" t="n">
        <f aca="false">1-(cF+cv*F76)/F76</f>
        <v>0.515377232205381</v>
      </c>
      <c r="G77" s="11" t="n">
        <f aca="false">1-(cF+cv*G76)/G76</f>
        <v>0.518761862800643</v>
      </c>
      <c r="H77" s="5" t="s">
        <v>562</v>
      </c>
    </row>
    <row r="78" customFormat="false" ht="17.15" hidden="false" customHeight="false" outlineLevel="0" collapsed="false">
      <c r="A78" s="0" t="s">
        <v>459</v>
      </c>
      <c r="B78" s="0" t="s">
        <v>248</v>
      </c>
      <c r="C78" s="9" t="n">
        <f aca="false">C76*C77</f>
        <v>13838.852</v>
      </c>
      <c r="D78" s="9" t="n">
        <f aca="false">D76*D77</f>
        <v>17157.852</v>
      </c>
      <c r="E78" s="9" t="n">
        <f aca="false">E76*E77</f>
        <v>20435.9994578561</v>
      </c>
      <c r="F78" s="9" t="n">
        <f aca="false">F76*F77</f>
        <v>23498.2079841083</v>
      </c>
      <c r="G78" s="9" t="n">
        <f aca="false">G76*G77</f>
        <v>25559.7472174634</v>
      </c>
    </row>
    <row r="79" customFormat="false" ht="17.15" hidden="false" customHeight="false" outlineLevel="0" collapsed="false">
      <c r="A79" s="0" t="s">
        <v>563</v>
      </c>
      <c r="B79" s="0" t="s">
        <v>248</v>
      </c>
      <c r="C79" s="9" t="n">
        <f aca="false">opex25</f>
        <v>5276.852</v>
      </c>
      <c r="D79" s="9" t="n">
        <f aca="false">opex26</f>
        <v>5832.852</v>
      </c>
      <c r="E79" s="9" t="n">
        <f aca="false">oF+ov*E76</f>
        <v>6382.00836835432</v>
      </c>
      <c r="F79" s="9" t="n">
        <f aca="false">oF+ov*F76</f>
        <v>6894.99057401755</v>
      </c>
      <c r="G79" s="9" t="n">
        <f aca="false">oF+ov*G76</f>
        <v>7240.34032205774</v>
      </c>
      <c r="H79" s="5" t="s">
        <v>564</v>
      </c>
    </row>
    <row r="80" customFormat="false" ht="17.15" hidden="false" customHeight="false" outlineLevel="0" collapsed="false">
      <c r="A80" s="0" t="s">
        <v>461</v>
      </c>
      <c r="B80" s="0" t="s">
        <v>248</v>
      </c>
      <c r="C80" s="9" t="n">
        <f aca="false">C78-C79</f>
        <v>8562</v>
      </c>
      <c r="D80" s="9" t="n">
        <f aca="false">D78-D79</f>
        <v>11325</v>
      </c>
      <c r="E80" s="9" t="n">
        <f aca="false">E78-E79</f>
        <v>14053.9910895018</v>
      </c>
      <c r="F80" s="9" t="n">
        <f aca="false">F78-F79</f>
        <v>16603.2174100908</v>
      </c>
      <c r="G80" s="9" t="n">
        <f aca="false">G78-G79</f>
        <v>18319.4068954056</v>
      </c>
    </row>
    <row r="81" customFormat="false" ht="17.15" hidden="false" customHeight="false" outlineLevel="0" collapsed="false">
      <c r="A81" s="0" t="s">
        <v>540</v>
      </c>
      <c r="B81" s="0" t="s">
        <v>195</v>
      </c>
      <c r="C81" s="11" t="n">
        <f aca="false">C80/C76</f>
        <v>0.301818950930626</v>
      </c>
      <c r="D81" s="11" t="n">
        <f aca="false">D80/D76</f>
        <v>0.330300113745735</v>
      </c>
      <c r="E81" s="11" t="n">
        <f aca="false">E80/E76</f>
        <v>0.350184146724273</v>
      </c>
      <c r="F81" s="11" t="n">
        <f aca="false">F80/F76</f>
        <v>0.364152034074418</v>
      </c>
      <c r="G81" s="11" t="n">
        <f aca="false">G80/G76</f>
        <v>0.371811566272865</v>
      </c>
    </row>
    <row r="82" customFormat="false" ht="17.15" hidden="false" customHeight="false" outlineLevel="0" collapsed="false">
      <c r="A82" s="0" t="s">
        <v>466</v>
      </c>
      <c r="B82" s="0" t="s">
        <v>248</v>
      </c>
      <c r="C82" s="9" t="n">
        <f aca="false">a25_ni</f>
        <v>7607</v>
      </c>
      <c r="D82" s="9" t="n">
        <f aca="false">an_ni</f>
        <v>10179.92</v>
      </c>
      <c r="E82" s="9" t="n">
        <f aca="false">E80*nioi</f>
        <v>12486.4179184583</v>
      </c>
      <c r="F82" s="9" t="n">
        <f aca="false">F80*nioi</f>
        <v>14751.3051668489</v>
      </c>
      <c r="G82" s="9" t="n">
        <f aca="false">G80*nioi</f>
        <v>16276.0719753972</v>
      </c>
    </row>
    <row r="83" customFormat="false" ht="15" hidden="false" customHeight="false" outlineLevel="0" collapsed="false">
      <c r="A83" s="5" t="s">
        <v>565</v>
      </c>
      <c r="B83" s="5" t="s">
        <v>324</v>
      </c>
      <c r="C83" s="23" t="n">
        <f aca="false">a25_sh</f>
        <v>808</v>
      </c>
      <c r="D83" s="23" t="n">
        <f aca="false">an_sh</f>
        <v>797.799373040752</v>
      </c>
      <c r="E83" s="23" t="n">
        <f aca="false">$D83*(1-bb)^1</f>
        <v>789.821379310345</v>
      </c>
      <c r="F83" s="23" t="n">
        <f aca="false">$D83*(1-bb)^2</f>
        <v>781.923165517241</v>
      </c>
      <c r="G83" s="23" t="n">
        <f aca="false">$D83*(1-bb)^3</f>
        <v>774.103933862069</v>
      </c>
    </row>
    <row r="84" customFormat="false" ht="17.15" hidden="false" customHeight="false" outlineLevel="0" collapsed="false">
      <c r="A84" s="0" t="s">
        <v>566</v>
      </c>
      <c r="B84" s="0" t="s">
        <v>337</v>
      </c>
      <c r="C84" s="14" t="n">
        <f aca="false">a25_eps</f>
        <v>9.42</v>
      </c>
      <c r="D84" s="14" t="n">
        <f aca="false">an_eps</f>
        <v>12.76</v>
      </c>
      <c r="E84" s="14" t="n">
        <f aca="false">E82/E83</f>
        <v>15.8091667882695</v>
      </c>
      <c r="F84" s="14" t="n">
        <f aca="false">F82/F83</f>
        <v>18.8654151934365</v>
      </c>
      <c r="G84" s="14" t="n">
        <f aca="false">G82/G83</f>
        <v>21.0256934029446</v>
      </c>
      <c r="H84" s="8" t="s">
        <v>567</v>
      </c>
    </row>
    <row r="85" customFormat="false" ht="17.15" hidden="false" customHeight="false" outlineLevel="0" collapsed="false">
      <c r="A85" s="5" t="s">
        <v>568</v>
      </c>
      <c r="B85" s="0" t="s">
        <v>195</v>
      </c>
      <c r="D85" s="11" t="n">
        <f aca="false">D72/1000/(D67+D68+D69)</f>
        <v>0.174088357854613</v>
      </c>
      <c r="E85" s="11" t="n">
        <f aca="false">E72/1000/(E67+E68+E69)</f>
        <v>0.165330490344068</v>
      </c>
      <c r="F85" s="11" t="n">
        <f aca="false">F72/1000/(F67+F68+F69)</f>
        <v>0.165269763844707</v>
      </c>
      <c r="G85" s="11" t="n">
        <f aca="false">G72/1000/(G67+G68+G69)</f>
        <v>0.165144327111596</v>
      </c>
      <c r="H85" s="5" t="s">
        <v>569</v>
      </c>
    </row>
    <row r="92" customFormat="false" ht="17.15" hidden="false" customHeight="false" outlineLevel="0" collapsed="false">
      <c r="A92" s="3" t="s">
        <v>862</v>
      </c>
    </row>
    <row r="93" customFormat="false" ht="15" hidden="false" customHeight="false" outlineLevel="0" collapsed="false">
      <c r="A93" s="6" t="s">
        <v>15</v>
      </c>
      <c r="B93" s="6" t="s">
        <v>16</v>
      </c>
      <c r="C93" s="15" t="s">
        <v>509</v>
      </c>
      <c r="D93" s="15" t="s">
        <v>510</v>
      </c>
      <c r="E93" s="15" t="s">
        <v>511</v>
      </c>
      <c r="F93" s="15" t="s">
        <v>512</v>
      </c>
      <c r="G93" s="15" t="s">
        <v>513</v>
      </c>
      <c r="H93" s="6" t="s">
        <v>514</v>
      </c>
    </row>
    <row r="94" customFormat="false" ht="17.15" hidden="false" customHeight="false" outlineLevel="0" collapsed="false">
      <c r="A94" s="1" t="s">
        <v>545</v>
      </c>
    </row>
    <row r="95" customFormat="false" ht="17.15" hidden="false" customHeight="false" outlineLevel="0" collapsed="false">
      <c r="A95" s="5" t="s">
        <v>546</v>
      </c>
      <c r="B95" s="0" t="s">
        <v>26</v>
      </c>
      <c r="C95" s="22" t="n">
        <f aca="false">laA_25+loA_25+ofA_25</f>
        <v>78.3481206981793</v>
      </c>
      <c r="D95" s="22" t="n">
        <f aca="false">laA_26+loA_26+ofA_26</f>
        <v>99.2871982981748</v>
      </c>
      <c r="E95" s="22" t="n">
        <f aca="false">laA_27+loA_27+ofA_27</f>
        <v>116.288709321091</v>
      </c>
      <c r="F95" s="22" t="n">
        <f aca="false">laA_28+loA_28+ofA_28</f>
        <v>130.886404842261</v>
      </c>
      <c r="G95" s="22" t="n">
        <f aca="false">laA_29+loA_29+ofA_29</f>
        <v>139.398079992203</v>
      </c>
    </row>
    <row r="96" customFormat="false" ht="17.15" hidden="false" customHeight="false" outlineLevel="0" collapsed="false">
      <c r="A96" s="0" t="s">
        <v>547</v>
      </c>
      <c r="B96" s="0" t="s">
        <v>26</v>
      </c>
      <c r="C96" s="22" t="n">
        <f aca="false">drA_25</f>
        <v>26.3761091658243</v>
      </c>
      <c r="D96" s="22" t="n">
        <f aca="false">drA_26</f>
        <v>39.3659468014757</v>
      </c>
      <c r="E96" s="22" t="n">
        <f aca="false">drA_27</f>
        <v>53.2587328153375</v>
      </c>
      <c r="F96" s="22" t="n">
        <f aca="false">drA_28</f>
        <v>59.5608998372386</v>
      </c>
      <c r="G96" s="22" t="n">
        <f aca="false">drA_29</f>
        <v>61.8312930912183</v>
      </c>
    </row>
    <row r="97" customFormat="false" ht="15" hidden="false" customHeight="false" outlineLevel="0" collapsed="false">
      <c r="A97" s="0" t="s">
        <v>548</v>
      </c>
      <c r="B97" s="0" t="s">
        <v>26</v>
      </c>
      <c r="C97" s="22" t="n">
        <f aca="false">ndA_25</f>
        <v>12.1726019800256</v>
      </c>
      <c r="D97" s="22" t="n">
        <f aca="false">ndA_26</f>
        <v>17.5039054704765</v>
      </c>
      <c r="E97" s="22" t="n">
        <f aca="false">ndA_27</f>
        <v>23.2480272411321</v>
      </c>
      <c r="F97" s="22" t="n">
        <f aca="false">ndA_28</f>
        <v>26.181321629459</v>
      </c>
      <c r="G97" s="22" t="n">
        <f aca="false">ndA_29</f>
        <v>27.674312771805</v>
      </c>
    </row>
    <row r="98" customFormat="false" ht="17.15" hidden="false" customHeight="false" outlineLevel="0" collapsed="false">
      <c r="A98" s="1" t="s">
        <v>549</v>
      </c>
    </row>
    <row r="99" customFormat="false" ht="17.15" hidden="false" customHeight="false" outlineLevel="0" collapsed="false">
      <c r="A99" s="5" t="s">
        <v>550</v>
      </c>
      <c r="B99" s="0" t="s">
        <v>26</v>
      </c>
      <c r="D99" s="22" t="n">
        <f aca="false">fyw*C95+(1-fyw)*D95</f>
        <v>95.7973520315089</v>
      </c>
      <c r="E99" s="22" t="n">
        <f aca="false">fyw*D95+(1-fyw)*E95</f>
        <v>113.455124150605</v>
      </c>
      <c r="F99" s="22" t="n">
        <f aca="false">fyw*E95+(1-fyw)*F95</f>
        <v>128.453455588732</v>
      </c>
      <c r="G99" s="22" t="n">
        <f aca="false">fyw*F95+(1-fyw)*G95</f>
        <v>137.979467467212</v>
      </c>
    </row>
    <row r="100" customFormat="false" ht="17.15" hidden="false" customHeight="false" outlineLevel="0" collapsed="false">
      <c r="A100" s="0" t="s">
        <v>551</v>
      </c>
      <c r="B100" s="0" t="s">
        <v>26</v>
      </c>
      <c r="D100" s="22" t="n">
        <f aca="false">fyw*C96+(1-fyw)*D96</f>
        <v>37.2009738622005</v>
      </c>
      <c r="E100" s="22" t="n">
        <f aca="false">fyw*D96+(1-fyw)*E96</f>
        <v>50.9432684796939</v>
      </c>
      <c r="F100" s="22" t="n">
        <f aca="false">fyw*E96+(1-fyw)*F96</f>
        <v>58.5105386669218</v>
      </c>
      <c r="G100" s="22" t="n">
        <f aca="false">fyw*F96+(1-fyw)*G96</f>
        <v>61.452894215555</v>
      </c>
    </row>
    <row r="101" customFormat="false" ht="15" hidden="false" customHeight="false" outlineLevel="0" collapsed="false">
      <c r="A101" s="0" t="s">
        <v>552</v>
      </c>
      <c r="B101" s="0" t="s">
        <v>26</v>
      </c>
      <c r="D101" s="22" t="n">
        <f aca="false">fyw*C97+(1-fyw)*D97</f>
        <v>16.6153548887347</v>
      </c>
      <c r="E101" s="22" t="n">
        <f aca="false">fyw*D97+(1-fyw)*E97</f>
        <v>22.2906736126895</v>
      </c>
      <c r="F101" s="22" t="n">
        <f aca="false">fyw*E97+(1-fyw)*F97</f>
        <v>25.6924392314045</v>
      </c>
      <c r="G101" s="22" t="n">
        <f aca="false">fyw*F97+(1-fyw)*G97</f>
        <v>27.4254809147473</v>
      </c>
    </row>
    <row r="102" customFormat="false" ht="17.15" hidden="false" customHeight="false" outlineLevel="0" collapsed="false">
      <c r="A102" s="5" t="s">
        <v>553</v>
      </c>
      <c r="B102" s="0" t="s">
        <v>242</v>
      </c>
      <c r="D102" s="21" t="n">
        <f aca="false">m_fl*D99/$D99+m_dr*D100/$D100+m_nd*D101/$D101</f>
        <v>1</v>
      </c>
      <c r="E102" s="21" t="n">
        <f aca="false">m_fl*E99/$D99+m_dr*E100/$D100+m_nd*E101/$D101</f>
        <v>1.2474041822294</v>
      </c>
      <c r="F102" s="21" t="n">
        <f aca="false">m_fl*F99/$D99+m_dr*F100/$D100+m_nd*F101/$D101</f>
        <v>1.42038896941297</v>
      </c>
      <c r="G102" s="21" t="n">
        <f aca="false">m_fl*G99/$D99+m_dr*G100/$D100+m_nd*G101/$D101</f>
        <v>1.51409392151355</v>
      </c>
      <c r="H102" s="8" t="s">
        <v>554</v>
      </c>
    </row>
    <row r="103" customFormat="false" ht="17.15" hidden="false" customHeight="false" outlineLevel="0" collapsed="false">
      <c r="A103" s="1" t="s">
        <v>555</v>
      </c>
    </row>
    <row r="104" customFormat="false" ht="17.15" hidden="false" customHeight="false" outlineLevel="0" collapsed="false">
      <c r="A104" s="5" t="s">
        <v>556</v>
      </c>
      <c r="B104" s="0" t="s">
        <v>248</v>
      </c>
      <c r="C104" s="9" t="n">
        <f aca="false">a25_ss</f>
        <v>21438.5432098765</v>
      </c>
      <c r="D104" s="9" t="n">
        <f aca="false">an_ss</f>
        <v>26046</v>
      </c>
      <c r="E104" s="9" t="n">
        <f aca="false">$D104*E102*sf_hi</f>
        <v>34114.3837968642</v>
      </c>
      <c r="F104" s="9" t="n">
        <f aca="false">$D104*F102*sf_hi</f>
        <v>38845.2236521968</v>
      </c>
      <c r="G104" s="9" t="n">
        <f aca="false">$D104*G102*sf_hi</f>
        <v>41407.8947937291</v>
      </c>
      <c r="H104" s="8" t="s">
        <v>557</v>
      </c>
    </row>
    <row r="105" customFormat="false" ht="17.15" hidden="false" customHeight="false" outlineLevel="0" collapsed="false">
      <c r="A105" s="0" t="s">
        <v>558</v>
      </c>
      <c r="B105" s="0" t="s">
        <v>248</v>
      </c>
      <c r="C105" s="9" t="n">
        <f aca="false">a25_ags</f>
        <v>5744.19672131148</v>
      </c>
      <c r="D105" s="9" t="n">
        <f aca="false">an_ags</f>
        <v>6845</v>
      </c>
      <c r="E105" s="9" t="n">
        <f aca="false">D105*(1+g_ags_A)</f>
        <v>7871.75</v>
      </c>
      <c r="F105" s="9" t="n">
        <f aca="false">E105*(1+g_ags_A)</f>
        <v>9052.5125</v>
      </c>
      <c r="G105" s="9" t="n">
        <f aca="false">F105*(1+g_ags_A)</f>
        <v>10410.389375</v>
      </c>
    </row>
    <row r="106" customFormat="false" ht="15" hidden="false" customHeight="false" outlineLevel="0" collapsed="false">
      <c r="A106" s="5" t="s">
        <v>559</v>
      </c>
      <c r="B106" s="0" t="s">
        <v>248</v>
      </c>
      <c r="C106" s="9" t="n">
        <f aca="false">a25_oth</f>
        <v>1185.26006881198</v>
      </c>
      <c r="D106" s="9" t="n">
        <f aca="false">an_oth</f>
        <v>1396</v>
      </c>
      <c r="E106" s="9" t="n">
        <f aca="false">D106*(1+g_oth_A)</f>
        <v>1396</v>
      </c>
      <c r="F106" s="9" t="n">
        <f aca="false">E106*(1+g_oth_A)</f>
        <v>1396</v>
      </c>
      <c r="G106" s="9" t="n">
        <f aca="false">F106*(1+g_oth_A)</f>
        <v>1396</v>
      </c>
    </row>
    <row r="107" customFormat="false" ht="17.15" hidden="false" customHeight="false" outlineLevel="0" collapsed="false">
      <c r="A107" s="5" t="s">
        <v>560</v>
      </c>
      <c r="B107" s="0" t="s">
        <v>248</v>
      </c>
      <c r="C107" s="9" t="n">
        <v>0</v>
      </c>
      <c r="D107" s="9" t="n">
        <v>0</v>
      </c>
      <c r="E107" s="9" t="n">
        <f aca="false">-aff_hit*aff_A-0*cn_sh*(E104+E105)</f>
        <v>-0</v>
      </c>
      <c r="F107" s="9" t="n">
        <f aca="false">-aff_hit*aff_A-0*cn_sh*(F104+F105)</f>
        <v>-0</v>
      </c>
      <c r="G107" s="9" t="n">
        <f aca="false">-aff_hit*aff_A-0*cn_sh*(G104+G105)</f>
        <v>-0</v>
      </c>
      <c r="H107" s="5" t="s">
        <v>561</v>
      </c>
    </row>
    <row r="108" customFormat="false" ht="15" hidden="false" customHeight="false" outlineLevel="0" collapsed="false">
      <c r="A108" s="5" t="s">
        <v>450</v>
      </c>
      <c r="B108" s="0" t="s">
        <v>248</v>
      </c>
      <c r="C108" s="9" t="n">
        <f aca="false">C104+C105+C106+C107</f>
        <v>28368</v>
      </c>
      <c r="D108" s="9" t="n">
        <f aca="false">D104+D105+D106+D107</f>
        <v>34287</v>
      </c>
      <c r="E108" s="9" t="n">
        <f aca="false">E104+E105+E106+E107</f>
        <v>43382.1337968642</v>
      </c>
      <c r="F108" s="9" t="n">
        <f aca="false">F104+F105+F106+F107</f>
        <v>49293.7361521968</v>
      </c>
      <c r="G108" s="9" t="n">
        <f aca="false">G104+G105+G106+G107</f>
        <v>53214.2841687291</v>
      </c>
    </row>
    <row r="109" customFormat="false" ht="17.15" hidden="false" customHeight="false" outlineLevel="0" collapsed="false">
      <c r="A109" s="0" t="s">
        <v>456</v>
      </c>
      <c r="B109" s="0" t="s">
        <v>195</v>
      </c>
      <c r="C109" s="11" t="n">
        <f aca="false">a25_gp/a25_rev</f>
        <v>0.487833192329385</v>
      </c>
      <c r="D109" s="11" t="n">
        <f aca="false">an_gp/an_rev</f>
        <v>0.500418584303089</v>
      </c>
      <c r="E109" s="11" t="n">
        <f aca="false">1-(cF+cv*E108)/E108</f>
        <v>0.513064355139487</v>
      </c>
      <c r="F109" s="11" t="n">
        <f aca="false">1-(cF+cv*F108)/F108</f>
        <v>0.518781499781365</v>
      </c>
      <c r="G109" s="11" t="n">
        <f aca="false">1-(cF+cv*G108)/G108</f>
        <v>0.521872531264808</v>
      </c>
      <c r="H109" s="5" t="s">
        <v>562</v>
      </c>
    </row>
    <row r="110" customFormat="false" ht="17.15" hidden="false" customHeight="false" outlineLevel="0" collapsed="false">
      <c r="A110" s="0" t="s">
        <v>459</v>
      </c>
      <c r="B110" s="0" t="s">
        <v>248</v>
      </c>
      <c r="C110" s="9" t="n">
        <f aca="false">C108*C109</f>
        <v>13838.852</v>
      </c>
      <c r="D110" s="9" t="n">
        <f aca="false">D108*D109</f>
        <v>17157.852</v>
      </c>
      <c r="E110" s="9" t="n">
        <f aca="false">E108*E109</f>
        <v>22257.8265010631</v>
      </c>
      <c r="F110" s="9" t="n">
        <f aca="false">F108*F109</f>
        <v>25572.6783708635</v>
      </c>
      <c r="G110" s="9" t="n">
        <f aca="false">G108*G109</f>
        <v>27771.0731785795</v>
      </c>
    </row>
    <row r="111" customFormat="false" ht="17.15" hidden="false" customHeight="false" outlineLevel="0" collapsed="false">
      <c r="A111" s="0" t="s">
        <v>563</v>
      </c>
      <c r="B111" s="0" t="s">
        <v>248</v>
      </c>
      <c r="C111" s="9" t="n">
        <f aca="false">opex25</f>
        <v>5276.852</v>
      </c>
      <c r="D111" s="9" t="n">
        <f aca="false">opex26</f>
        <v>5832.852</v>
      </c>
      <c r="E111" s="9" t="n">
        <f aca="false">oF+ov*E108</f>
        <v>6687.20144940978</v>
      </c>
      <c r="F111" s="9" t="n">
        <f aca="false">oF+ov*F108</f>
        <v>7242.50655323897</v>
      </c>
      <c r="G111" s="9" t="n">
        <f aca="false">oF+ov*G108</f>
        <v>7610.78239327816</v>
      </c>
      <c r="H111" s="5" t="s">
        <v>564</v>
      </c>
    </row>
    <row r="112" customFormat="false" ht="17.15" hidden="false" customHeight="false" outlineLevel="0" collapsed="false">
      <c r="A112" s="0" t="s">
        <v>461</v>
      </c>
      <c r="B112" s="0" t="s">
        <v>248</v>
      </c>
      <c r="C112" s="9" t="n">
        <f aca="false">C110-C111</f>
        <v>8562</v>
      </c>
      <c r="D112" s="9" t="n">
        <f aca="false">D110-D111</f>
        <v>11325</v>
      </c>
      <c r="E112" s="9" t="n">
        <f aca="false">E110-E111</f>
        <v>15570.6250516533</v>
      </c>
      <c r="F112" s="9" t="n">
        <f aca="false">F110-F111</f>
        <v>18330.1718176246</v>
      </c>
      <c r="G112" s="9" t="n">
        <f aca="false">G110-G111</f>
        <v>20160.2907853013</v>
      </c>
    </row>
    <row r="113" customFormat="false" ht="17.15" hidden="false" customHeight="false" outlineLevel="0" collapsed="false">
      <c r="A113" s="0" t="s">
        <v>540</v>
      </c>
      <c r="B113" s="0" t="s">
        <v>195</v>
      </c>
      <c r="C113" s="11" t="n">
        <f aca="false">C112/C108</f>
        <v>0.301818950930626</v>
      </c>
      <c r="D113" s="11" t="n">
        <f aca="false">D112/D108</f>
        <v>0.330300113745735</v>
      </c>
      <c r="E113" s="11" t="n">
        <f aca="false">E112/E108</f>
        <v>0.358917915945821</v>
      </c>
      <c r="F113" s="11" t="n">
        <f aca="false">F112/F108</f>
        <v>0.371856005416779</v>
      </c>
      <c r="G113" s="11" t="n">
        <f aca="false">G112/G108</f>
        <v>0.37885111300902</v>
      </c>
    </row>
    <row r="114" customFormat="false" ht="17.15" hidden="false" customHeight="false" outlineLevel="0" collapsed="false">
      <c r="A114" s="0" t="s">
        <v>466</v>
      </c>
      <c r="B114" s="0" t="s">
        <v>248</v>
      </c>
      <c r="C114" s="9" t="n">
        <f aca="false">a25_ni</f>
        <v>7607</v>
      </c>
      <c r="D114" s="9" t="n">
        <f aca="false">an_ni</f>
        <v>10179.92</v>
      </c>
      <c r="E114" s="9" t="n">
        <f aca="false">E112*nioi</f>
        <v>13833.8874991738</v>
      </c>
      <c r="F114" s="9" t="n">
        <f aca="false">F112*nioi</f>
        <v>16285.6361850818</v>
      </c>
      <c r="G114" s="9" t="n">
        <f aca="false">G112*nioi</f>
        <v>17911.6248544484</v>
      </c>
    </row>
    <row r="115" customFormat="false" ht="15" hidden="false" customHeight="false" outlineLevel="0" collapsed="false">
      <c r="A115" s="5" t="s">
        <v>565</v>
      </c>
      <c r="B115" s="5" t="s">
        <v>324</v>
      </c>
      <c r="C115" s="23" t="n">
        <f aca="false">a25_sh</f>
        <v>808</v>
      </c>
      <c r="D115" s="23" t="n">
        <f aca="false">an_sh</f>
        <v>797.799373040752</v>
      </c>
      <c r="E115" s="23" t="n">
        <f aca="false">$D115*(1-bb)^1</f>
        <v>789.821379310345</v>
      </c>
      <c r="F115" s="23" t="n">
        <f aca="false">$D115*(1-bb)^2</f>
        <v>781.923165517241</v>
      </c>
      <c r="G115" s="23" t="n">
        <f aca="false">$D115*(1-bb)^3</f>
        <v>774.103933862069</v>
      </c>
    </row>
    <row r="116" customFormat="false" ht="17.15" hidden="false" customHeight="false" outlineLevel="0" collapsed="false">
      <c r="A116" s="0" t="s">
        <v>566</v>
      </c>
      <c r="B116" s="0" t="s">
        <v>337</v>
      </c>
      <c r="C116" s="14" t="n">
        <f aca="false">a25_eps</f>
        <v>9.42</v>
      </c>
      <c r="D116" s="14" t="n">
        <f aca="false">an_eps</f>
        <v>12.76</v>
      </c>
      <c r="E116" s="14" t="n">
        <f aca="false">E114/E115</f>
        <v>17.5152102254478</v>
      </c>
      <c r="F116" s="14" t="n">
        <f aca="false">F114/F115</f>
        <v>20.8276681178883</v>
      </c>
      <c r="G116" s="14" t="n">
        <f aca="false">G114/G115</f>
        <v>23.1385271033126</v>
      </c>
      <c r="H116" s="8" t="s">
        <v>567</v>
      </c>
    </row>
    <row r="117" customFormat="false" ht="17.15" hidden="false" customHeight="false" outlineLevel="0" collapsed="false">
      <c r="A117" s="5" t="s">
        <v>568</v>
      </c>
      <c r="B117" s="0" t="s">
        <v>195</v>
      </c>
      <c r="D117" s="11" t="n">
        <f aca="false">D104/1000/(D99+D100+D101)</f>
        <v>0.174088357854613</v>
      </c>
      <c r="E117" s="11" t="n">
        <f aca="false">E104/1000/(E99+E100+E101)</f>
        <v>0.18273369985397</v>
      </c>
      <c r="F117" s="11" t="n">
        <f aca="false">F104/1000/(F99+F100+F101)</f>
        <v>0.182666581091518</v>
      </c>
      <c r="G117" s="11" t="n">
        <f aca="false">G104/1000/(G99+G100+G101)</f>
        <v>0.182527940491764</v>
      </c>
      <c r="H117" s="5" t="s">
        <v>569</v>
      </c>
    </row>
    <row r="124" customFormat="false" ht="17.15" hidden="false" customHeight="false" outlineLevel="0" collapsed="false">
      <c r="A124" s="3" t="s">
        <v>863</v>
      </c>
    </row>
    <row r="125" customFormat="false" ht="15" hidden="false" customHeight="false" outlineLevel="0" collapsed="false">
      <c r="A125" s="6" t="s">
        <v>15</v>
      </c>
      <c r="B125" s="6" t="s">
        <v>16</v>
      </c>
      <c r="C125" s="15" t="s">
        <v>509</v>
      </c>
      <c r="D125" s="15" t="s">
        <v>510</v>
      </c>
      <c r="E125" s="15" t="s">
        <v>511</v>
      </c>
      <c r="F125" s="15" t="s">
        <v>512</v>
      </c>
      <c r="G125" s="15" t="s">
        <v>513</v>
      </c>
      <c r="H125" s="6" t="s">
        <v>514</v>
      </c>
    </row>
    <row r="126" customFormat="false" ht="17.15" hidden="false" customHeight="false" outlineLevel="0" collapsed="false">
      <c r="A126" s="1" t="s">
        <v>545</v>
      </c>
    </row>
    <row r="127" customFormat="false" ht="17.15" hidden="false" customHeight="false" outlineLevel="0" collapsed="false">
      <c r="A127" s="5" t="s">
        <v>546</v>
      </c>
      <c r="B127" s="0" t="s">
        <v>26</v>
      </c>
      <c r="C127" s="22" t="n">
        <f aca="false">laA_25+loA_25+ofA_25</f>
        <v>78.3481206981793</v>
      </c>
      <c r="D127" s="22" t="n">
        <f aca="false">laA_26+loA_26+ofA_26</f>
        <v>99.2871982981748</v>
      </c>
      <c r="E127" s="22" t="n">
        <f aca="false">laA_27+loA_27+ofA_27</f>
        <v>116.288709321091</v>
      </c>
      <c r="F127" s="22" t="n">
        <f aca="false">laA_28+loA_28+ofA_28</f>
        <v>130.886404842261</v>
      </c>
      <c r="G127" s="22" t="n">
        <f aca="false">laA_29+loA_29+ofA_29</f>
        <v>139.398079992203</v>
      </c>
    </row>
    <row r="128" customFormat="false" ht="17.15" hidden="false" customHeight="false" outlineLevel="0" collapsed="false">
      <c r="A128" s="0" t="s">
        <v>547</v>
      </c>
      <c r="B128" s="0" t="s">
        <v>26</v>
      </c>
      <c r="C128" s="22" t="n">
        <f aca="false">drA_25</f>
        <v>26.3761091658243</v>
      </c>
      <c r="D128" s="22" t="n">
        <f aca="false">drA_26</f>
        <v>39.3659468014757</v>
      </c>
      <c r="E128" s="22" t="n">
        <f aca="false">drA_27</f>
        <v>53.2587328153375</v>
      </c>
      <c r="F128" s="22" t="n">
        <f aca="false">drA_28</f>
        <v>59.5608998372386</v>
      </c>
      <c r="G128" s="22" t="n">
        <f aca="false">drA_29</f>
        <v>61.8312930912183</v>
      </c>
    </row>
    <row r="129" customFormat="false" ht="15" hidden="false" customHeight="false" outlineLevel="0" collapsed="false">
      <c r="A129" s="0" t="s">
        <v>548</v>
      </c>
      <c r="B129" s="0" t="s">
        <v>26</v>
      </c>
      <c r="C129" s="22" t="n">
        <f aca="false">ndA_25</f>
        <v>12.1726019800256</v>
      </c>
      <c r="D129" s="22" t="n">
        <f aca="false">ndA_26</f>
        <v>17.5039054704765</v>
      </c>
      <c r="E129" s="22" t="n">
        <f aca="false">ndA_27</f>
        <v>23.2480272411321</v>
      </c>
      <c r="F129" s="22" t="n">
        <f aca="false">ndA_28</f>
        <v>26.181321629459</v>
      </c>
      <c r="G129" s="22" t="n">
        <f aca="false">ndA_29</f>
        <v>27.674312771805</v>
      </c>
    </row>
    <row r="130" customFormat="false" ht="17.15" hidden="false" customHeight="false" outlineLevel="0" collapsed="false">
      <c r="A130" s="1" t="s">
        <v>549</v>
      </c>
    </row>
    <row r="131" customFormat="false" ht="17.15" hidden="false" customHeight="false" outlineLevel="0" collapsed="false">
      <c r="A131" s="5" t="s">
        <v>550</v>
      </c>
      <c r="B131" s="0" t="s">
        <v>26</v>
      </c>
      <c r="D131" s="22" t="n">
        <f aca="false">fyw*C127+(1-fyw)*D127</f>
        <v>95.7973520315089</v>
      </c>
      <c r="E131" s="22" t="n">
        <f aca="false">fyw*D127+(1-fyw)*E127</f>
        <v>113.455124150605</v>
      </c>
      <c r="F131" s="22" t="n">
        <f aca="false">fyw*E127+(1-fyw)*F127</f>
        <v>128.453455588732</v>
      </c>
      <c r="G131" s="22" t="n">
        <f aca="false">fyw*F127+(1-fyw)*G127</f>
        <v>137.979467467212</v>
      </c>
    </row>
    <row r="132" customFormat="false" ht="17.15" hidden="false" customHeight="false" outlineLevel="0" collapsed="false">
      <c r="A132" s="0" t="s">
        <v>551</v>
      </c>
      <c r="B132" s="0" t="s">
        <v>26</v>
      </c>
      <c r="D132" s="22" t="n">
        <f aca="false">fyw*C128+(1-fyw)*D128</f>
        <v>37.2009738622005</v>
      </c>
      <c r="E132" s="22" t="n">
        <f aca="false">fyw*D128+(1-fyw)*E128</f>
        <v>50.9432684796939</v>
      </c>
      <c r="F132" s="22" t="n">
        <f aca="false">fyw*E128+(1-fyw)*F128</f>
        <v>58.5105386669218</v>
      </c>
      <c r="G132" s="22" t="n">
        <f aca="false">fyw*F128+(1-fyw)*G128</f>
        <v>61.452894215555</v>
      </c>
    </row>
    <row r="133" customFormat="false" ht="15" hidden="false" customHeight="false" outlineLevel="0" collapsed="false">
      <c r="A133" s="0" t="s">
        <v>552</v>
      </c>
      <c r="B133" s="0" t="s">
        <v>26</v>
      </c>
      <c r="D133" s="22" t="n">
        <f aca="false">fyw*C129+(1-fyw)*D129</f>
        <v>16.6153548887347</v>
      </c>
      <c r="E133" s="22" t="n">
        <f aca="false">fyw*D129+(1-fyw)*E129</f>
        <v>22.2906736126895</v>
      </c>
      <c r="F133" s="22" t="n">
        <f aca="false">fyw*E129+(1-fyw)*F129</f>
        <v>25.6924392314045</v>
      </c>
      <c r="G133" s="22" t="n">
        <f aca="false">fyw*F129+(1-fyw)*G129</f>
        <v>27.4254809147473</v>
      </c>
    </row>
    <row r="134" customFormat="false" ht="17.15" hidden="false" customHeight="false" outlineLevel="0" collapsed="false">
      <c r="A134" s="5" t="s">
        <v>553</v>
      </c>
      <c r="B134" s="0" t="s">
        <v>242</v>
      </c>
      <c r="D134" s="21" t="n">
        <f aca="false">m_fl_lo*D131/$D131+m_dr_lo*D132/$D132+m_nd*D133/$D133</f>
        <v>1</v>
      </c>
      <c r="E134" s="21" t="n">
        <f aca="false">m_fl_lo*E131/$D131+m_dr_lo*E132/$D132+m_nd*E133/$D133</f>
        <v>1.24515868918978</v>
      </c>
      <c r="F134" s="21" t="n">
        <f aca="false">m_fl_lo*F131/$D131+m_dr_lo*F132/$D132+m_nd*F133/$D133</f>
        <v>1.41757504027718</v>
      </c>
      <c r="G134" s="21" t="n">
        <f aca="false">m_fl_lo*G131/$D131+m_dr_lo*G132/$D132+m_nd*G133/$D133</f>
        <v>1.51152683403872</v>
      </c>
      <c r="H134" s="8" t="s">
        <v>554</v>
      </c>
    </row>
    <row r="135" customFormat="false" ht="17.15" hidden="false" customHeight="false" outlineLevel="0" collapsed="false">
      <c r="A135" s="1" t="s">
        <v>555</v>
      </c>
    </row>
    <row r="136" customFormat="false" ht="17.15" hidden="false" customHeight="false" outlineLevel="0" collapsed="false">
      <c r="A136" s="5" t="s">
        <v>556</v>
      </c>
      <c r="B136" s="0" t="s">
        <v>248</v>
      </c>
      <c r="C136" s="9" t="n">
        <f aca="false">a25_ss</f>
        <v>21438.5432098765</v>
      </c>
      <c r="D136" s="9" t="n">
        <f aca="false">an_ss</f>
        <v>26046</v>
      </c>
      <c r="E136" s="9" t="n">
        <f aca="false">$D136*E134*sf</f>
        <v>32431.4032186369</v>
      </c>
      <c r="F136" s="9" t="n">
        <f aca="false">$D136*F134*sf</f>
        <v>36922.1594990595</v>
      </c>
      <c r="G136" s="9" t="n">
        <f aca="false">$D136*G134*sf</f>
        <v>39369.2279193724</v>
      </c>
      <c r="H136" s="8" t="s">
        <v>557</v>
      </c>
    </row>
    <row r="137" customFormat="false" ht="17.15" hidden="false" customHeight="false" outlineLevel="0" collapsed="false">
      <c r="A137" s="0" t="s">
        <v>558</v>
      </c>
      <c r="B137" s="0" t="s">
        <v>248</v>
      </c>
      <c r="C137" s="9" t="n">
        <f aca="false">a25_ags</f>
        <v>5744.19672131148</v>
      </c>
      <c r="D137" s="9" t="n">
        <f aca="false">an_ags</f>
        <v>6845</v>
      </c>
      <c r="E137" s="9" t="n">
        <f aca="false">D137*(1+g_ags_A)</f>
        <v>7871.75</v>
      </c>
      <c r="F137" s="9" t="n">
        <f aca="false">E137*(1+g_ags_A)</f>
        <v>9052.5125</v>
      </c>
      <c r="G137" s="9" t="n">
        <f aca="false">F137*(1+g_ags_A)</f>
        <v>10410.389375</v>
      </c>
    </row>
    <row r="138" customFormat="false" ht="15" hidden="false" customHeight="false" outlineLevel="0" collapsed="false">
      <c r="A138" s="5" t="s">
        <v>559</v>
      </c>
      <c r="B138" s="0" t="s">
        <v>248</v>
      </c>
      <c r="C138" s="9" t="n">
        <f aca="false">a25_oth</f>
        <v>1185.26006881198</v>
      </c>
      <c r="D138" s="9" t="n">
        <f aca="false">an_oth</f>
        <v>1396</v>
      </c>
      <c r="E138" s="9" t="n">
        <f aca="false">D138*(1+g_oth_A)</f>
        <v>1396</v>
      </c>
      <c r="F138" s="9" t="n">
        <f aca="false">E138*(1+g_oth_A)</f>
        <v>1396</v>
      </c>
      <c r="G138" s="9" t="n">
        <f aca="false">F138*(1+g_oth_A)</f>
        <v>1396</v>
      </c>
    </row>
    <row r="139" customFormat="false" ht="17.15" hidden="false" customHeight="false" outlineLevel="0" collapsed="false">
      <c r="A139" s="5" t="s">
        <v>560</v>
      </c>
      <c r="B139" s="0" t="s">
        <v>248</v>
      </c>
      <c r="C139" s="9" t="n">
        <v>0</v>
      </c>
      <c r="D139" s="9" t="n">
        <v>0</v>
      </c>
      <c r="E139" s="9" t="n">
        <f aca="false">-aff_hit*aff_A-0*cn_sh*(E136+E137)</f>
        <v>-0</v>
      </c>
      <c r="F139" s="9" t="n">
        <f aca="false">-aff_hit*aff_A-0*cn_sh*(F136+F137)</f>
        <v>-0</v>
      </c>
      <c r="G139" s="9" t="n">
        <f aca="false">-aff_hit*aff_A-0*cn_sh*(G136+G137)</f>
        <v>-0</v>
      </c>
      <c r="H139" s="5" t="s">
        <v>561</v>
      </c>
    </row>
    <row r="140" customFormat="false" ht="15" hidden="false" customHeight="false" outlineLevel="0" collapsed="false">
      <c r="A140" s="5" t="s">
        <v>450</v>
      </c>
      <c r="B140" s="0" t="s">
        <v>248</v>
      </c>
      <c r="C140" s="9" t="n">
        <f aca="false">C136+C137+C138+C139</f>
        <v>28368</v>
      </c>
      <c r="D140" s="9" t="n">
        <f aca="false">D136+D137+D138+D139</f>
        <v>34287</v>
      </c>
      <c r="E140" s="9" t="n">
        <f aca="false">E136+E137+E138+E139</f>
        <v>41699.1532186369</v>
      </c>
      <c r="F140" s="9" t="n">
        <f aca="false">F136+F137+F138+F139</f>
        <v>47370.6719990595</v>
      </c>
      <c r="G140" s="9" t="n">
        <f aca="false">G136+G137+G138+G139</f>
        <v>51175.6172943724</v>
      </c>
    </row>
    <row r="141" customFormat="false" ht="17.15" hidden="false" customHeight="false" outlineLevel="0" collapsed="false">
      <c r="A141" s="0" t="s">
        <v>456</v>
      </c>
      <c r="B141" s="0" t="s">
        <v>195</v>
      </c>
      <c r="C141" s="11" t="n">
        <f aca="false">a25_gp/a25_rev</f>
        <v>0.487833192329385</v>
      </c>
      <c r="D141" s="11" t="n">
        <f aca="false">an_gp/an_rev</f>
        <v>0.500418584303089</v>
      </c>
      <c r="E141" s="11" t="n">
        <f aca="false">1-(cF+cv*E140)/E140</f>
        <v>0.511140299747567</v>
      </c>
      <c r="F141" s="11" t="n">
        <f aca="false">1-(cF+cv*F140)/F140</f>
        <v>0.51707828623477</v>
      </c>
      <c r="G141" s="11" t="n">
        <f aca="false">1-(cF+cv*G140)/G140</f>
        <v>0.520324315220292</v>
      </c>
      <c r="H141" s="5" t="s">
        <v>562</v>
      </c>
    </row>
    <row r="142" customFormat="false" ht="17.15" hidden="false" customHeight="false" outlineLevel="0" collapsed="false">
      <c r="A142" s="0" t="s">
        <v>459</v>
      </c>
      <c r="B142" s="0" t="s">
        <v>248</v>
      </c>
      <c r="C142" s="9" t="n">
        <f aca="false">C140*C141</f>
        <v>13838.852</v>
      </c>
      <c r="D142" s="9" t="n">
        <f aca="false">D140*D141</f>
        <v>17157.852</v>
      </c>
      <c r="E142" s="9" t="n">
        <f aca="false">E140*E141</f>
        <v>21314.1176753938</v>
      </c>
      <c r="F142" s="9" t="n">
        <f aca="false">F140*F141</f>
        <v>24494.3458950631</v>
      </c>
      <c r="G142" s="9" t="n">
        <f aca="false">G140*G141</f>
        <v>26627.9180246701</v>
      </c>
    </row>
    <row r="143" customFormat="false" ht="17.15" hidden="false" customHeight="false" outlineLevel="0" collapsed="false">
      <c r="A143" s="0" t="s">
        <v>563</v>
      </c>
      <c r="B143" s="0" t="s">
        <v>248</v>
      </c>
      <c r="C143" s="9" t="n">
        <f aca="false">opex25</f>
        <v>5276.852</v>
      </c>
      <c r="D143" s="9" t="n">
        <f aca="false">opex26</f>
        <v>5832.852</v>
      </c>
      <c r="E143" s="9" t="n">
        <f aca="false">oF+ov*E140</f>
        <v>6529.11102847815</v>
      </c>
      <c r="F143" s="9" t="n">
        <f aca="false">oF+ov*F140</f>
        <v>7061.86393300846</v>
      </c>
      <c r="G143" s="9" t="n">
        <f aca="false">oF+ov*G140</f>
        <v>7419.28065613636</v>
      </c>
      <c r="H143" s="5" t="s">
        <v>564</v>
      </c>
    </row>
    <row r="144" customFormat="false" ht="17.15" hidden="false" customHeight="false" outlineLevel="0" collapsed="false">
      <c r="A144" s="0" t="s">
        <v>461</v>
      </c>
      <c r="B144" s="0" t="s">
        <v>248</v>
      </c>
      <c r="C144" s="9" t="n">
        <f aca="false">C142-C143</f>
        <v>8562</v>
      </c>
      <c r="D144" s="9" t="n">
        <f aca="false">D142-D143</f>
        <v>11325</v>
      </c>
      <c r="E144" s="9" t="n">
        <f aca="false">E142-E143</f>
        <v>14785.0066469157</v>
      </c>
      <c r="F144" s="9" t="n">
        <f aca="false">F142-F143</f>
        <v>17432.4819620546</v>
      </c>
      <c r="G144" s="9" t="n">
        <f aca="false">G142-G143</f>
        <v>19208.6373685337</v>
      </c>
    </row>
    <row r="145" customFormat="false" ht="17.15" hidden="false" customHeight="false" outlineLevel="0" collapsed="false">
      <c r="A145" s="0" t="s">
        <v>540</v>
      </c>
      <c r="B145" s="0" t="s">
        <v>195</v>
      </c>
      <c r="C145" s="11" t="n">
        <f aca="false">C144/C140</f>
        <v>0.301818950930626</v>
      </c>
      <c r="D145" s="11" t="n">
        <f aca="false">D144/D140</f>
        <v>0.330300113745735</v>
      </c>
      <c r="E145" s="11" t="n">
        <f aca="false">E144/E140</f>
        <v>0.35456371426525</v>
      </c>
      <c r="F145" s="11" t="n">
        <f aca="false">F144/F140</f>
        <v>0.36800157621578</v>
      </c>
      <c r="G145" s="11" t="n">
        <f aca="false">G144/G140</f>
        <v>0.375347448337394</v>
      </c>
    </row>
    <row r="146" customFormat="false" ht="17.15" hidden="false" customHeight="false" outlineLevel="0" collapsed="false">
      <c r="A146" s="0" t="s">
        <v>466</v>
      </c>
      <c r="B146" s="0" t="s">
        <v>248</v>
      </c>
      <c r="C146" s="9" t="n">
        <f aca="false">a25_ni</f>
        <v>7607</v>
      </c>
      <c r="D146" s="9" t="n">
        <f aca="false">an_ni</f>
        <v>10179.92</v>
      </c>
      <c r="E146" s="9" t="n">
        <f aca="false">E144*nioi</f>
        <v>13135.8964684755</v>
      </c>
      <c r="F146" s="9" t="n">
        <f aca="false">F144*nioi</f>
        <v>15488.074081447</v>
      </c>
      <c r="G146" s="9" t="n">
        <f aca="false">G144*nioi</f>
        <v>17066.1182506933</v>
      </c>
    </row>
    <row r="147" customFormat="false" ht="15" hidden="false" customHeight="false" outlineLevel="0" collapsed="false">
      <c r="A147" s="5" t="s">
        <v>565</v>
      </c>
      <c r="B147" s="5" t="s">
        <v>324</v>
      </c>
      <c r="C147" s="23" t="n">
        <f aca="false">a25_sh</f>
        <v>808</v>
      </c>
      <c r="D147" s="23" t="n">
        <f aca="false">an_sh</f>
        <v>797.799373040752</v>
      </c>
      <c r="E147" s="23" t="n">
        <f aca="false">$D147*(1-bb)^1</f>
        <v>789.821379310345</v>
      </c>
      <c r="F147" s="23" t="n">
        <f aca="false">$D147*(1-bb)^2</f>
        <v>781.923165517241</v>
      </c>
      <c r="G147" s="23" t="n">
        <f aca="false">$D147*(1-bb)^3</f>
        <v>774.103933862069</v>
      </c>
    </row>
    <row r="148" customFormat="false" ht="17.15" hidden="false" customHeight="false" outlineLevel="0" collapsed="false">
      <c r="A148" s="0" t="s">
        <v>566</v>
      </c>
      <c r="B148" s="0" t="s">
        <v>337</v>
      </c>
      <c r="C148" s="14" t="n">
        <f aca="false">a25_eps</f>
        <v>9.42</v>
      </c>
      <c r="D148" s="14" t="n">
        <f aca="false">an_eps</f>
        <v>12.76</v>
      </c>
      <c r="E148" s="14" t="n">
        <f aca="false">E146/E147</f>
        <v>16.6314774613287</v>
      </c>
      <c r="F148" s="14" t="n">
        <f aca="false">F146/F147</f>
        <v>19.8076675106584</v>
      </c>
      <c r="G148" s="14" t="n">
        <f aca="false">G146/G147</f>
        <v>22.0462879778288</v>
      </c>
      <c r="H148" s="8" t="s">
        <v>567</v>
      </c>
    </row>
    <row r="149" customFormat="false" ht="17.15" hidden="false" customHeight="false" outlineLevel="0" collapsed="false">
      <c r="A149" s="5" t="s">
        <v>568</v>
      </c>
      <c r="B149" s="0" t="s">
        <v>195</v>
      </c>
      <c r="D149" s="11" t="n">
        <f aca="false">D136/1000/(D131+D132+D133)</f>
        <v>0.174088357854613</v>
      </c>
      <c r="E149" s="11" t="n">
        <f aca="false">E136/1000/(E131+E132+E133)</f>
        <v>0.173718814236423</v>
      </c>
      <c r="F149" s="11" t="n">
        <f aca="false">F136/1000/(F131+F132+F133)</f>
        <v>0.173623524544375</v>
      </c>
      <c r="G149" s="11" t="n">
        <f aca="false">G136/1000/(G131+G132+G133)</f>
        <v>0.173541401384215</v>
      </c>
      <c r="H149" s="5" t="s">
        <v>569</v>
      </c>
    </row>
    <row r="156" customFormat="false" ht="17.15" hidden="false" customHeight="false" outlineLevel="0" collapsed="false">
      <c r="A156" s="3" t="s">
        <v>864</v>
      </c>
    </row>
    <row r="157" customFormat="false" ht="15" hidden="false" customHeight="false" outlineLevel="0" collapsed="false">
      <c r="A157" s="6" t="s">
        <v>15</v>
      </c>
      <c r="B157" s="6" t="s">
        <v>16</v>
      </c>
      <c r="C157" s="15" t="s">
        <v>509</v>
      </c>
      <c r="D157" s="15" t="s">
        <v>510</v>
      </c>
      <c r="E157" s="15" t="s">
        <v>511</v>
      </c>
      <c r="F157" s="15" t="s">
        <v>512</v>
      </c>
      <c r="G157" s="15" t="s">
        <v>513</v>
      </c>
      <c r="H157" s="6" t="s">
        <v>514</v>
      </c>
    </row>
    <row r="158" customFormat="false" ht="17.15" hidden="false" customHeight="false" outlineLevel="0" collapsed="false">
      <c r="A158" s="1" t="s">
        <v>545</v>
      </c>
    </row>
    <row r="159" customFormat="false" ht="17.15" hidden="false" customHeight="false" outlineLevel="0" collapsed="false">
      <c r="A159" s="5" t="s">
        <v>546</v>
      </c>
      <c r="B159" s="0" t="s">
        <v>26</v>
      </c>
      <c r="C159" s="22" t="n">
        <f aca="false">laA_25+loA_25+ofA_25</f>
        <v>78.3481206981793</v>
      </c>
      <c r="D159" s="22" t="n">
        <f aca="false">laA_26+loA_26+ofA_26</f>
        <v>99.2871982981748</v>
      </c>
      <c r="E159" s="22" t="n">
        <f aca="false">laA_27+loA_27+ofA_27</f>
        <v>116.288709321091</v>
      </c>
      <c r="F159" s="22" t="n">
        <f aca="false">laA_28+loA_28+ofA_28</f>
        <v>130.886404842261</v>
      </c>
      <c r="G159" s="22" t="n">
        <f aca="false">laA_29+loA_29+ofA_29</f>
        <v>139.398079992203</v>
      </c>
    </row>
    <row r="160" customFormat="false" ht="17.15" hidden="false" customHeight="false" outlineLevel="0" collapsed="false">
      <c r="A160" s="0" t="s">
        <v>547</v>
      </c>
      <c r="B160" s="0" t="s">
        <v>26</v>
      </c>
      <c r="C160" s="22" t="n">
        <f aca="false">drA_25</f>
        <v>26.3761091658243</v>
      </c>
      <c r="D160" s="22" t="n">
        <f aca="false">drA_26</f>
        <v>39.3659468014757</v>
      </c>
      <c r="E160" s="22" t="n">
        <f aca="false">drA_27</f>
        <v>53.2587328153375</v>
      </c>
      <c r="F160" s="22" t="n">
        <f aca="false">drA_28</f>
        <v>59.5608998372386</v>
      </c>
      <c r="G160" s="22" t="n">
        <f aca="false">drA_29</f>
        <v>61.8312930912183</v>
      </c>
    </row>
    <row r="161" customFormat="false" ht="15" hidden="false" customHeight="false" outlineLevel="0" collapsed="false">
      <c r="A161" s="0" t="s">
        <v>548</v>
      </c>
      <c r="B161" s="0" t="s">
        <v>26</v>
      </c>
      <c r="C161" s="22" t="n">
        <f aca="false">ndA_25</f>
        <v>12.1726019800256</v>
      </c>
      <c r="D161" s="22" t="n">
        <f aca="false">ndA_26</f>
        <v>17.5039054704765</v>
      </c>
      <c r="E161" s="22" t="n">
        <f aca="false">ndA_27</f>
        <v>23.2480272411321</v>
      </c>
      <c r="F161" s="22" t="n">
        <f aca="false">ndA_28</f>
        <v>26.181321629459</v>
      </c>
      <c r="G161" s="22" t="n">
        <f aca="false">ndA_29</f>
        <v>27.674312771805</v>
      </c>
    </row>
    <row r="162" customFormat="false" ht="17.15" hidden="false" customHeight="false" outlineLevel="0" collapsed="false">
      <c r="A162" s="1" t="s">
        <v>549</v>
      </c>
    </row>
    <row r="163" customFormat="false" ht="17.15" hidden="false" customHeight="false" outlineLevel="0" collapsed="false">
      <c r="A163" s="5" t="s">
        <v>550</v>
      </c>
      <c r="B163" s="0" t="s">
        <v>26</v>
      </c>
      <c r="D163" s="22" t="n">
        <f aca="false">fyw*C159+(1-fyw)*D159</f>
        <v>95.7973520315089</v>
      </c>
      <c r="E163" s="22" t="n">
        <f aca="false">fyw*D159+(1-fyw)*E159</f>
        <v>113.455124150605</v>
      </c>
      <c r="F163" s="22" t="n">
        <f aca="false">fyw*E159+(1-fyw)*F159</f>
        <v>128.453455588732</v>
      </c>
      <c r="G163" s="22" t="n">
        <f aca="false">fyw*F159+(1-fyw)*G159</f>
        <v>137.979467467212</v>
      </c>
    </row>
    <row r="164" customFormat="false" ht="17.15" hidden="false" customHeight="false" outlineLevel="0" collapsed="false">
      <c r="A164" s="0" t="s">
        <v>551</v>
      </c>
      <c r="B164" s="0" t="s">
        <v>26</v>
      </c>
      <c r="D164" s="22" t="n">
        <f aca="false">fyw*C160+(1-fyw)*D160</f>
        <v>37.2009738622005</v>
      </c>
      <c r="E164" s="22" t="n">
        <f aca="false">fyw*D160+(1-fyw)*E160</f>
        <v>50.9432684796939</v>
      </c>
      <c r="F164" s="22" t="n">
        <f aca="false">fyw*E160+(1-fyw)*F160</f>
        <v>58.5105386669218</v>
      </c>
      <c r="G164" s="22" t="n">
        <f aca="false">fyw*F160+(1-fyw)*G160</f>
        <v>61.452894215555</v>
      </c>
    </row>
    <row r="165" customFormat="false" ht="15" hidden="false" customHeight="false" outlineLevel="0" collapsed="false">
      <c r="A165" s="0" t="s">
        <v>552</v>
      </c>
      <c r="B165" s="0" t="s">
        <v>26</v>
      </c>
      <c r="D165" s="22" t="n">
        <f aca="false">fyw*C161+(1-fyw)*D161</f>
        <v>16.6153548887347</v>
      </c>
      <c r="E165" s="22" t="n">
        <f aca="false">fyw*D161+(1-fyw)*E161</f>
        <v>22.2906736126895</v>
      </c>
      <c r="F165" s="22" t="n">
        <f aca="false">fyw*E161+(1-fyw)*F161</f>
        <v>25.6924392314045</v>
      </c>
      <c r="G165" s="22" t="n">
        <f aca="false">fyw*F161+(1-fyw)*G161</f>
        <v>27.4254809147473</v>
      </c>
    </row>
    <row r="166" customFormat="false" ht="17.15" hidden="false" customHeight="false" outlineLevel="0" collapsed="false">
      <c r="A166" s="5" t="s">
        <v>553</v>
      </c>
      <c r="B166" s="0" t="s">
        <v>242</v>
      </c>
      <c r="D166" s="21" t="n">
        <f aca="false">m_fl_hi*D163/$D163+m_dr_hi*D164/$D164+m_nd*D165/$D165</f>
        <v>1</v>
      </c>
      <c r="E166" s="21" t="n">
        <f aca="false">m_fl_hi*E163/$D163+m_dr_hi*E164/$D164+m_nd*E165/$D165</f>
        <v>1.24964967526901</v>
      </c>
      <c r="F166" s="21" t="n">
        <f aca="false">m_fl_hi*F163/$D163+m_dr_hi*F164/$D164+m_nd*F165/$D165</f>
        <v>1.42320289854876</v>
      </c>
      <c r="G166" s="21" t="n">
        <f aca="false">m_fl_hi*G163/$D163+m_dr_hi*G164/$D164+m_nd*G165/$D165</f>
        <v>1.51666100898839</v>
      </c>
      <c r="H166" s="8" t="s">
        <v>554</v>
      </c>
    </row>
    <row r="167" customFormat="false" ht="17.15" hidden="false" customHeight="false" outlineLevel="0" collapsed="false">
      <c r="A167" s="1" t="s">
        <v>555</v>
      </c>
    </row>
    <row r="168" customFormat="false" ht="17.15" hidden="false" customHeight="false" outlineLevel="0" collapsed="false">
      <c r="A168" s="5" t="s">
        <v>556</v>
      </c>
      <c r="B168" s="0" t="s">
        <v>248</v>
      </c>
      <c r="C168" s="9" t="n">
        <f aca="false">a25_ss</f>
        <v>21438.5432098765</v>
      </c>
      <c r="D168" s="9" t="n">
        <f aca="false">an_ss</f>
        <v>26046</v>
      </c>
      <c r="E168" s="9" t="n">
        <f aca="false">$D168*E166*sf</f>
        <v>32548.3754420567</v>
      </c>
      <c r="F168" s="9" t="n">
        <f aca="false">$D168*F166*sf</f>
        <v>37068.7426956011</v>
      </c>
      <c r="G168" s="9" t="n">
        <f aca="false">$D168*G166*sf</f>
        <v>39502.9526401116</v>
      </c>
      <c r="H168" s="8" t="s">
        <v>557</v>
      </c>
    </row>
    <row r="169" customFormat="false" ht="17.15" hidden="false" customHeight="false" outlineLevel="0" collapsed="false">
      <c r="A169" s="0" t="s">
        <v>558</v>
      </c>
      <c r="B169" s="0" t="s">
        <v>248</v>
      </c>
      <c r="C169" s="9" t="n">
        <f aca="false">a25_ags</f>
        <v>5744.19672131148</v>
      </c>
      <c r="D169" s="9" t="n">
        <f aca="false">an_ags</f>
        <v>6845</v>
      </c>
      <c r="E169" s="9" t="n">
        <f aca="false">D169*(1+g_ags_A)</f>
        <v>7871.75</v>
      </c>
      <c r="F169" s="9" t="n">
        <f aca="false">E169*(1+g_ags_A)</f>
        <v>9052.5125</v>
      </c>
      <c r="G169" s="9" t="n">
        <f aca="false">F169*(1+g_ags_A)</f>
        <v>10410.389375</v>
      </c>
    </row>
    <row r="170" customFormat="false" ht="15" hidden="false" customHeight="false" outlineLevel="0" collapsed="false">
      <c r="A170" s="5" t="s">
        <v>559</v>
      </c>
      <c r="B170" s="0" t="s">
        <v>248</v>
      </c>
      <c r="C170" s="9" t="n">
        <f aca="false">a25_oth</f>
        <v>1185.26006881198</v>
      </c>
      <c r="D170" s="9" t="n">
        <f aca="false">an_oth</f>
        <v>1396</v>
      </c>
      <c r="E170" s="9" t="n">
        <f aca="false">D170*(1+g_oth_A)</f>
        <v>1396</v>
      </c>
      <c r="F170" s="9" t="n">
        <f aca="false">E170*(1+g_oth_A)</f>
        <v>1396</v>
      </c>
      <c r="G170" s="9" t="n">
        <f aca="false">F170*(1+g_oth_A)</f>
        <v>1396</v>
      </c>
    </row>
    <row r="171" customFormat="false" ht="17.15" hidden="false" customHeight="false" outlineLevel="0" collapsed="false">
      <c r="A171" s="5" t="s">
        <v>560</v>
      </c>
      <c r="B171" s="0" t="s">
        <v>248</v>
      </c>
      <c r="C171" s="9" t="n">
        <v>0</v>
      </c>
      <c r="D171" s="9" t="n">
        <v>0</v>
      </c>
      <c r="E171" s="9" t="n">
        <f aca="false">-aff_hit*aff_A-0*cn_sh*(E168+E169)</f>
        <v>-0</v>
      </c>
      <c r="F171" s="9" t="n">
        <f aca="false">-aff_hit*aff_A-0*cn_sh*(F168+F169)</f>
        <v>-0</v>
      </c>
      <c r="G171" s="9" t="n">
        <f aca="false">-aff_hit*aff_A-0*cn_sh*(G168+G169)</f>
        <v>-0</v>
      </c>
      <c r="H171" s="5" t="s">
        <v>561</v>
      </c>
    </row>
    <row r="172" customFormat="false" ht="15" hidden="false" customHeight="false" outlineLevel="0" collapsed="false">
      <c r="A172" s="5" t="s">
        <v>450</v>
      </c>
      <c r="B172" s="0" t="s">
        <v>248</v>
      </c>
      <c r="C172" s="9" t="n">
        <f aca="false">C168+C169+C170+C171</f>
        <v>28368</v>
      </c>
      <c r="D172" s="9" t="n">
        <f aca="false">D168+D169+D170+D171</f>
        <v>34287</v>
      </c>
      <c r="E172" s="9" t="n">
        <f aca="false">E168+E169+E170+E171</f>
        <v>41816.1254420567</v>
      </c>
      <c r="F172" s="9" t="n">
        <f aca="false">F168+F169+F170+F171</f>
        <v>47517.2551956011</v>
      </c>
      <c r="G172" s="9" t="n">
        <f aca="false">G168+G169+G170+G171</f>
        <v>51309.3420151116</v>
      </c>
    </row>
    <row r="173" customFormat="false" ht="17.15" hidden="false" customHeight="false" outlineLevel="0" collapsed="false">
      <c r="A173" s="0" t="s">
        <v>456</v>
      </c>
      <c r="B173" s="0" t="s">
        <v>195</v>
      </c>
      <c r="C173" s="11" t="n">
        <f aca="false">a25_gp/a25_rev</f>
        <v>0.487833192329385</v>
      </c>
      <c r="D173" s="11" t="n">
        <f aca="false">an_gp/an_rev</f>
        <v>0.500418584303089</v>
      </c>
      <c r="E173" s="11" t="n">
        <f aca="false">1-(cF+cv*E172)/E172</f>
        <v>0.511279035479997</v>
      </c>
      <c r="F173" s="11" t="n">
        <f aca="false">1-(cF+cv*F172)/F172</f>
        <v>0.517212965242655</v>
      </c>
      <c r="G173" s="11" t="n">
        <f aca="false">1-(cF+cv*G172)/G172</f>
        <v>0.520429639567552</v>
      </c>
      <c r="H173" s="5" t="s">
        <v>562</v>
      </c>
    </row>
    <row r="174" customFormat="false" ht="17.15" hidden="false" customHeight="false" outlineLevel="0" collapsed="false">
      <c r="A174" s="0" t="s">
        <v>459</v>
      </c>
      <c r="B174" s="0" t="s">
        <v>248</v>
      </c>
      <c r="C174" s="9" t="n">
        <f aca="false">C172*C173</f>
        <v>13838.852</v>
      </c>
      <c r="D174" s="9" t="n">
        <f aca="false">D172*D173</f>
        <v>17157.852</v>
      </c>
      <c r="E174" s="9" t="n">
        <f aca="false">E172*E173</f>
        <v>21379.7082835253</v>
      </c>
      <c r="F174" s="9" t="n">
        <f aca="false">F172*F173</f>
        <v>24576.5404599088</v>
      </c>
      <c r="G174" s="9" t="n">
        <f aca="false">G172*G173</f>
        <v>26702.9023713728</v>
      </c>
    </row>
    <row r="175" customFormat="false" ht="17.15" hidden="false" customHeight="false" outlineLevel="0" collapsed="false">
      <c r="A175" s="0" t="s">
        <v>563</v>
      </c>
      <c r="B175" s="0" t="s">
        <v>248</v>
      </c>
      <c r="C175" s="9" t="n">
        <f aca="false">opex25</f>
        <v>5276.852</v>
      </c>
      <c r="D175" s="9" t="n">
        <f aca="false">opex26</f>
        <v>5832.852</v>
      </c>
      <c r="E175" s="9" t="n">
        <f aca="false">oF+ov*E172</f>
        <v>6540.09878928595</v>
      </c>
      <c r="F175" s="9" t="n">
        <f aca="false">oF+ov*F172</f>
        <v>7075.63319424805</v>
      </c>
      <c r="G175" s="9" t="n">
        <f aca="false">oF+ov*G172</f>
        <v>7431.84205919954</v>
      </c>
      <c r="H175" s="5" t="s">
        <v>564</v>
      </c>
    </row>
    <row r="176" customFormat="false" ht="17.15" hidden="false" customHeight="false" outlineLevel="0" collapsed="false">
      <c r="A176" s="0" t="s">
        <v>461</v>
      </c>
      <c r="B176" s="0" t="s">
        <v>248</v>
      </c>
      <c r="C176" s="9" t="n">
        <f aca="false">C174-C175</f>
        <v>8562</v>
      </c>
      <c r="D176" s="9" t="n">
        <f aca="false">D174-D175</f>
        <v>11325</v>
      </c>
      <c r="E176" s="9" t="n">
        <f aca="false">E174-E175</f>
        <v>14839.6094942394</v>
      </c>
      <c r="F176" s="9" t="n">
        <f aca="false">F174-F175</f>
        <v>17500.9072656607</v>
      </c>
      <c r="G176" s="9" t="n">
        <f aca="false">G174-G175</f>
        <v>19271.0603121732</v>
      </c>
    </row>
    <row r="177" customFormat="false" ht="17.15" hidden="false" customHeight="false" outlineLevel="0" collapsed="false">
      <c r="A177" s="0" t="s">
        <v>540</v>
      </c>
      <c r="B177" s="0" t="s">
        <v>195</v>
      </c>
      <c r="C177" s="11" t="n">
        <f aca="false">C176/C172</f>
        <v>0.301818950930626</v>
      </c>
      <c r="D177" s="11" t="n">
        <f aca="false">D176/D172</f>
        <v>0.330300113745735</v>
      </c>
      <c r="E177" s="11" t="n">
        <f aca="false">E176/E172</f>
        <v>0.354877677866213</v>
      </c>
      <c r="F177" s="11" t="n">
        <f aca="false">F176/F172</f>
        <v>0.368306359313466</v>
      </c>
      <c r="G177" s="11" t="n">
        <f aca="false">G176/G172</f>
        <v>0.375585800856646</v>
      </c>
    </row>
    <row r="178" customFormat="false" ht="17.15" hidden="false" customHeight="false" outlineLevel="0" collapsed="false">
      <c r="A178" s="0" t="s">
        <v>466</v>
      </c>
      <c r="B178" s="0" t="s">
        <v>248</v>
      </c>
      <c r="C178" s="9" t="n">
        <f aca="false">a25_ni</f>
        <v>7607</v>
      </c>
      <c r="D178" s="9" t="n">
        <f aca="false">an_ni</f>
        <v>10179.92</v>
      </c>
      <c r="E178" s="9" t="n">
        <f aca="false">E176*nioi</f>
        <v>13184.4089491566</v>
      </c>
      <c r="F178" s="9" t="n">
        <f aca="false">F176*nioi</f>
        <v>15548.8672704837</v>
      </c>
      <c r="G178" s="9" t="n">
        <f aca="false">G176*nioi</f>
        <v>17121.5785791523</v>
      </c>
    </row>
    <row r="179" customFormat="false" ht="15" hidden="false" customHeight="false" outlineLevel="0" collapsed="false">
      <c r="A179" s="5" t="s">
        <v>565</v>
      </c>
      <c r="B179" s="5" t="s">
        <v>324</v>
      </c>
      <c r="C179" s="23" t="n">
        <f aca="false">a25_sh</f>
        <v>808</v>
      </c>
      <c r="D179" s="23" t="n">
        <f aca="false">an_sh</f>
        <v>797.799373040752</v>
      </c>
      <c r="E179" s="23" t="n">
        <f aca="false">$D179*(1-bb)^1</f>
        <v>789.821379310345</v>
      </c>
      <c r="F179" s="23" t="n">
        <f aca="false">$D179*(1-bb)^2</f>
        <v>781.923165517241</v>
      </c>
      <c r="G179" s="23" t="n">
        <f aca="false">$D179*(1-bb)^3</f>
        <v>774.103933862069</v>
      </c>
    </row>
    <row r="180" customFormat="false" ht="17.15" hidden="false" customHeight="false" outlineLevel="0" collapsed="false">
      <c r="A180" s="0" t="s">
        <v>566</v>
      </c>
      <c r="B180" s="0" t="s">
        <v>337</v>
      </c>
      <c r="C180" s="14" t="n">
        <f aca="false">a25_eps</f>
        <v>9.42</v>
      </c>
      <c r="D180" s="14" t="n">
        <f aca="false">an_eps</f>
        <v>12.76</v>
      </c>
      <c r="E180" s="14" t="n">
        <f aca="false">E178/E179</f>
        <v>16.6928995523886</v>
      </c>
      <c r="F180" s="14" t="n">
        <f aca="false">F178/F179</f>
        <v>19.8854158006664</v>
      </c>
      <c r="G180" s="14" t="n">
        <f aca="false">G178/G179</f>
        <v>22.1179325284284</v>
      </c>
      <c r="H180" s="8" t="s">
        <v>567</v>
      </c>
    </row>
    <row r="181" customFormat="false" ht="17.15" hidden="false" customHeight="false" outlineLevel="0" collapsed="false">
      <c r="A181" s="5" t="s">
        <v>568</v>
      </c>
      <c r="B181" s="0" t="s">
        <v>195</v>
      </c>
      <c r="D181" s="11" t="n">
        <f aca="false">D168/1000/(D163+D164+D165)</f>
        <v>0.174088357854613</v>
      </c>
      <c r="E181" s="11" t="n">
        <f aca="false">E168/1000/(E163+E164+E165)</f>
        <v>0.174345375961615</v>
      </c>
      <c r="F181" s="11" t="n">
        <f aca="false">F168/1000/(F163+F164+F165)</f>
        <v>0.17431282039185</v>
      </c>
      <c r="G181" s="11" t="n">
        <f aca="false">G168/1000/(G163+G164+G165)</f>
        <v>0.174130866219145</v>
      </c>
      <c r="H181" s="5" t="s">
        <v>569</v>
      </c>
    </row>
    <row r="188" customFormat="false" ht="17.15" hidden="false" customHeight="false" outlineLevel="0" collapsed="false">
      <c r="A188" s="3" t="s">
        <v>865</v>
      </c>
    </row>
    <row r="189" customFormat="false" ht="15" hidden="false" customHeight="false" outlineLevel="0" collapsed="false">
      <c r="A189" s="6" t="s">
        <v>15</v>
      </c>
      <c r="B189" s="6" t="s">
        <v>16</v>
      </c>
      <c r="C189" s="15" t="s">
        <v>509</v>
      </c>
      <c r="D189" s="15" t="s">
        <v>510</v>
      </c>
      <c r="E189" s="15" t="s">
        <v>511</v>
      </c>
      <c r="F189" s="15" t="s">
        <v>512</v>
      </c>
      <c r="G189" s="15" t="s">
        <v>513</v>
      </c>
      <c r="H189" s="6" t="s">
        <v>514</v>
      </c>
    </row>
    <row r="190" customFormat="false" ht="17.15" hidden="false" customHeight="false" outlineLevel="0" collapsed="false">
      <c r="A190" s="1" t="s">
        <v>545</v>
      </c>
    </row>
    <row r="191" customFormat="false" ht="17.15" hidden="false" customHeight="false" outlineLevel="0" collapsed="false">
      <c r="A191" s="5" t="s">
        <v>546</v>
      </c>
      <c r="B191" s="0" t="s">
        <v>26</v>
      </c>
      <c r="C191" s="22" t="n">
        <f aca="false">laA_25+loA_25+ofA_25</f>
        <v>78.3481206981793</v>
      </c>
      <c r="D191" s="22" t="n">
        <f aca="false">laA_26+loA_26+ofA_26</f>
        <v>99.2871982981748</v>
      </c>
      <c r="E191" s="22" t="n">
        <f aca="false">laA_27+loA_27+ofA_27</f>
        <v>116.288709321091</v>
      </c>
      <c r="F191" s="22" t="n">
        <f aca="false">laA_28+loA_28+ofA_28</f>
        <v>130.886404842261</v>
      </c>
      <c r="G191" s="22" t="n">
        <f aca="false">laA_29+loA_29+ofA_29</f>
        <v>139.398079992203</v>
      </c>
    </row>
    <row r="192" customFormat="false" ht="17.15" hidden="false" customHeight="false" outlineLevel="0" collapsed="false">
      <c r="A192" s="0" t="s">
        <v>547</v>
      </c>
      <c r="B192" s="0" t="s">
        <v>26</v>
      </c>
      <c r="C192" s="22" t="n">
        <f aca="false">drA_25</f>
        <v>26.3761091658243</v>
      </c>
      <c r="D192" s="22" t="n">
        <f aca="false">drA_26</f>
        <v>39.3659468014757</v>
      </c>
      <c r="E192" s="22" t="n">
        <f aca="false">drA_27</f>
        <v>53.2587328153375</v>
      </c>
      <c r="F192" s="22" t="n">
        <f aca="false">drA_28</f>
        <v>59.5608998372386</v>
      </c>
      <c r="G192" s="22" t="n">
        <f aca="false">drA_29</f>
        <v>61.8312930912183</v>
      </c>
    </row>
    <row r="193" customFormat="false" ht="15" hidden="false" customHeight="false" outlineLevel="0" collapsed="false">
      <c r="A193" s="0" t="s">
        <v>548</v>
      </c>
      <c r="B193" s="0" t="s">
        <v>26</v>
      </c>
      <c r="C193" s="22" t="n">
        <f aca="false">ndA_25</f>
        <v>12.1726019800256</v>
      </c>
      <c r="D193" s="22" t="n">
        <f aca="false">ndA_26</f>
        <v>17.5039054704765</v>
      </c>
      <c r="E193" s="22" t="n">
        <f aca="false">ndA_27</f>
        <v>23.2480272411321</v>
      </c>
      <c r="F193" s="22" t="n">
        <f aca="false">ndA_28</f>
        <v>26.181321629459</v>
      </c>
      <c r="G193" s="22" t="n">
        <f aca="false">ndA_29</f>
        <v>27.674312771805</v>
      </c>
    </row>
    <row r="194" customFormat="false" ht="17.15" hidden="false" customHeight="false" outlineLevel="0" collapsed="false">
      <c r="A194" s="1" t="s">
        <v>549</v>
      </c>
    </row>
    <row r="195" customFormat="false" ht="17.15" hidden="false" customHeight="false" outlineLevel="0" collapsed="false">
      <c r="A195" s="5" t="s">
        <v>550</v>
      </c>
      <c r="B195" s="0" t="s">
        <v>26</v>
      </c>
      <c r="D195" s="22" t="n">
        <f aca="false">fyw_lo*C191+(1-fyw_lo)*D191</f>
        <v>97.5422751648418</v>
      </c>
      <c r="E195" s="22" t="n">
        <f aca="false">fyw_lo*D191+(1-fyw_lo)*E191</f>
        <v>114.871916735848</v>
      </c>
      <c r="F195" s="22" t="n">
        <f aca="false">fyw_lo*E191+(1-fyw_lo)*F191</f>
        <v>129.669930215496</v>
      </c>
      <c r="G195" s="22" t="n">
        <f aca="false">fyw_lo*F191+(1-fyw_lo)*G191</f>
        <v>138.688773729707</v>
      </c>
    </row>
    <row r="196" customFormat="false" ht="17.15" hidden="false" customHeight="false" outlineLevel="0" collapsed="false">
      <c r="A196" s="0" t="s">
        <v>551</v>
      </c>
      <c r="B196" s="0" t="s">
        <v>26</v>
      </c>
      <c r="D196" s="22" t="n">
        <f aca="false">fyw_lo*C192+(1-fyw_lo)*D192</f>
        <v>38.2834603318381</v>
      </c>
      <c r="E196" s="22" t="n">
        <f aca="false">fyw_lo*D192+(1-fyw_lo)*E192</f>
        <v>52.1010006475157</v>
      </c>
      <c r="F196" s="22" t="n">
        <f aca="false">fyw_lo*E192+(1-fyw_lo)*F192</f>
        <v>59.0357192520802</v>
      </c>
      <c r="G196" s="22" t="n">
        <f aca="false">fyw_lo*F192+(1-fyw_lo)*G192</f>
        <v>61.6420936533867</v>
      </c>
    </row>
    <row r="197" customFormat="false" ht="15" hidden="false" customHeight="false" outlineLevel="0" collapsed="false">
      <c r="A197" s="0" t="s">
        <v>552</v>
      </c>
      <c r="B197" s="0" t="s">
        <v>26</v>
      </c>
      <c r="D197" s="22" t="n">
        <f aca="false">fyw_lo*C193+(1-fyw_lo)*D193</f>
        <v>17.0596301796056</v>
      </c>
      <c r="E197" s="22" t="n">
        <f aca="false">fyw_lo*D193+(1-fyw_lo)*E193</f>
        <v>22.7693504269108</v>
      </c>
      <c r="F197" s="22" t="n">
        <f aca="false">fyw_lo*E193+(1-fyw_lo)*F193</f>
        <v>25.9368804304318</v>
      </c>
      <c r="G197" s="22" t="n">
        <f aca="false">fyw_lo*F193+(1-fyw_lo)*G193</f>
        <v>27.5498968432762</v>
      </c>
    </row>
    <row r="198" customFormat="false" ht="17.15" hidden="false" customHeight="false" outlineLevel="0" collapsed="false">
      <c r="A198" s="5" t="s">
        <v>553</v>
      </c>
      <c r="B198" s="0" t="s">
        <v>242</v>
      </c>
      <c r="D198" s="21" t="n">
        <f aca="false">m_fl*D195/$D195+m_dr*D196/$D196+m_nd*D197/$D197</f>
        <v>1</v>
      </c>
      <c r="E198" s="21" t="n">
        <f aca="false">m_fl*E195/$D195+m_dr*E196/$D196+m_nd*E197/$D197</f>
        <v>1.24019502143261</v>
      </c>
      <c r="F198" s="21" t="n">
        <f aca="false">m_fl*F195/$D195+m_dr*F196/$D196+m_nd*F197/$D197</f>
        <v>1.40242036036704</v>
      </c>
      <c r="G198" s="21" t="n">
        <f aca="false">m_fl*G195/$D195+m_dr*G196/$D196+m_nd*G197/$D197</f>
        <v>1.4878074580766</v>
      </c>
      <c r="H198" s="8" t="s">
        <v>554</v>
      </c>
    </row>
    <row r="199" customFormat="false" ht="17.15" hidden="false" customHeight="false" outlineLevel="0" collapsed="false">
      <c r="A199" s="1" t="s">
        <v>555</v>
      </c>
    </row>
    <row r="200" customFormat="false" ht="17.15" hidden="false" customHeight="false" outlineLevel="0" collapsed="false">
      <c r="A200" s="5" t="s">
        <v>556</v>
      </c>
      <c r="B200" s="0" t="s">
        <v>248</v>
      </c>
      <c r="C200" s="9" t="n">
        <f aca="false">a25_ss</f>
        <v>21438.5432098765</v>
      </c>
      <c r="D200" s="9" t="n">
        <f aca="false">an_ss</f>
        <v>26046</v>
      </c>
      <c r="E200" s="9" t="n">
        <f aca="false">$D200*E198*sf</f>
        <v>32302.1195282338</v>
      </c>
      <c r="F200" s="9" t="n">
        <f aca="false">$D200*F198*sf</f>
        <v>36527.4407061198</v>
      </c>
      <c r="G200" s="9" t="n">
        <f aca="false">$D200*G198*sf</f>
        <v>38751.4330530631</v>
      </c>
      <c r="H200" s="8" t="s">
        <v>557</v>
      </c>
    </row>
    <row r="201" customFormat="false" ht="17.15" hidden="false" customHeight="false" outlineLevel="0" collapsed="false">
      <c r="A201" s="0" t="s">
        <v>558</v>
      </c>
      <c r="B201" s="0" t="s">
        <v>248</v>
      </c>
      <c r="C201" s="9" t="n">
        <f aca="false">a25_ags</f>
        <v>5744.19672131148</v>
      </c>
      <c r="D201" s="9" t="n">
        <f aca="false">an_ags</f>
        <v>6845</v>
      </c>
      <c r="E201" s="9" t="n">
        <f aca="false">D201*(1+g_ags_A)</f>
        <v>7871.75</v>
      </c>
      <c r="F201" s="9" t="n">
        <f aca="false">E201*(1+g_ags_A)</f>
        <v>9052.5125</v>
      </c>
      <c r="G201" s="9" t="n">
        <f aca="false">F201*(1+g_ags_A)</f>
        <v>10410.389375</v>
      </c>
    </row>
    <row r="202" customFormat="false" ht="15" hidden="false" customHeight="false" outlineLevel="0" collapsed="false">
      <c r="A202" s="5" t="s">
        <v>559</v>
      </c>
      <c r="B202" s="0" t="s">
        <v>248</v>
      </c>
      <c r="C202" s="9" t="n">
        <f aca="false">a25_oth</f>
        <v>1185.26006881198</v>
      </c>
      <c r="D202" s="9" t="n">
        <f aca="false">an_oth</f>
        <v>1396</v>
      </c>
      <c r="E202" s="9" t="n">
        <f aca="false">D202*(1+g_oth_A)</f>
        <v>1396</v>
      </c>
      <c r="F202" s="9" t="n">
        <f aca="false">E202*(1+g_oth_A)</f>
        <v>1396</v>
      </c>
      <c r="G202" s="9" t="n">
        <f aca="false">F202*(1+g_oth_A)</f>
        <v>1396</v>
      </c>
    </row>
    <row r="203" customFormat="false" ht="17.15" hidden="false" customHeight="false" outlineLevel="0" collapsed="false">
      <c r="A203" s="5" t="s">
        <v>560</v>
      </c>
      <c r="B203" s="0" t="s">
        <v>248</v>
      </c>
      <c r="C203" s="9" t="n">
        <v>0</v>
      </c>
      <c r="D203" s="9" t="n">
        <v>0</v>
      </c>
      <c r="E203" s="9" t="n">
        <f aca="false">-aff_hit*aff_A-0*cn_sh*(E200+E201)</f>
        <v>-0</v>
      </c>
      <c r="F203" s="9" t="n">
        <f aca="false">-aff_hit*aff_A-0*cn_sh*(F200+F201)</f>
        <v>-0</v>
      </c>
      <c r="G203" s="9" t="n">
        <f aca="false">-aff_hit*aff_A-0*cn_sh*(G200+G201)</f>
        <v>-0</v>
      </c>
      <c r="H203" s="5" t="s">
        <v>561</v>
      </c>
    </row>
    <row r="204" customFormat="false" ht="15" hidden="false" customHeight="false" outlineLevel="0" collapsed="false">
      <c r="A204" s="5" t="s">
        <v>450</v>
      </c>
      <c r="B204" s="0" t="s">
        <v>248</v>
      </c>
      <c r="C204" s="9" t="n">
        <f aca="false">C200+C201+C202+C203</f>
        <v>28368</v>
      </c>
      <c r="D204" s="9" t="n">
        <f aca="false">D200+D201+D202+D203</f>
        <v>34287</v>
      </c>
      <c r="E204" s="9" t="n">
        <f aca="false">E200+E201+E202+E203</f>
        <v>41569.8695282338</v>
      </c>
      <c r="F204" s="9" t="n">
        <f aca="false">F200+F201+F202+F203</f>
        <v>46975.9532061198</v>
      </c>
      <c r="G204" s="9" t="n">
        <f aca="false">G200+G201+G202+G203</f>
        <v>50557.8224280631</v>
      </c>
    </row>
    <row r="205" customFormat="false" ht="17.15" hidden="false" customHeight="false" outlineLevel="0" collapsed="false">
      <c r="A205" s="0" t="s">
        <v>456</v>
      </c>
      <c r="B205" s="0" t="s">
        <v>195</v>
      </c>
      <c r="C205" s="11" t="n">
        <f aca="false">a25_gp/a25_rev</f>
        <v>0.487833192329385</v>
      </c>
      <c r="D205" s="11" t="n">
        <f aca="false">an_gp/an_rev</f>
        <v>0.500418584303089</v>
      </c>
      <c r="E205" s="11" t="n">
        <f aca="false">1-(cF+cv*E204)/E204</f>
        <v>0.510986053554092</v>
      </c>
      <c r="F205" s="11" t="n">
        <f aca="false">1-(cF+cv*F204)/F204</f>
        <v>0.516711444051844</v>
      </c>
      <c r="G205" s="11" t="n">
        <f aca="false">1-(cF+cv*G204)/G204</f>
        <v>0.519830494331331</v>
      </c>
      <c r="H205" s="5" t="s">
        <v>562</v>
      </c>
    </row>
    <row r="206" customFormat="false" ht="17.15" hidden="false" customHeight="false" outlineLevel="0" collapsed="false">
      <c r="A206" s="0" t="s">
        <v>459</v>
      </c>
      <c r="B206" s="0" t="s">
        <v>248</v>
      </c>
      <c r="C206" s="9" t="n">
        <f aca="false">C204*C205</f>
        <v>13838.852</v>
      </c>
      <c r="D206" s="9" t="n">
        <f aca="false">D204*D205</f>
        <v>17157.852</v>
      </c>
      <c r="E206" s="9" t="n">
        <f aca="false">E204*E205</f>
        <v>21241.6235769907</v>
      </c>
      <c r="F206" s="9" t="n">
        <f aca="false">F204*F205</f>
        <v>24273.012616846</v>
      </c>
      <c r="G206" s="9" t="n">
        <f aca="false">G204*G205</f>
        <v>26281.4978250957</v>
      </c>
    </row>
    <row r="207" customFormat="false" ht="17.15" hidden="false" customHeight="false" outlineLevel="0" collapsed="false">
      <c r="A207" s="0" t="s">
        <v>563</v>
      </c>
      <c r="B207" s="0" t="s">
        <v>248</v>
      </c>
      <c r="C207" s="9" t="n">
        <f aca="false">opex25</f>
        <v>5276.852</v>
      </c>
      <c r="D207" s="9" t="n">
        <f aca="false">opex26</f>
        <v>5832.852</v>
      </c>
      <c r="E207" s="9" t="n">
        <f aca="false">oF+ov*E204</f>
        <v>6516.96679265044</v>
      </c>
      <c r="F207" s="9" t="n">
        <f aca="false">oF+ov*F204</f>
        <v>7024.78610755239</v>
      </c>
      <c r="G207" s="9" t="n">
        <f aca="false">oF+ov*G204</f>
        <v>7361.24822740381</v>
      </c>
      <c r="H207" s="5" t="s">
        <v>564</v>
      </c>
    </row>
    <row r="208" customFormat="false" ht="17.15" hidden="false" customHeight="false" outlineLevel="0" collapsed="false">
      <c r="A208" s="0" t="s">
        <v>461</v>
      </c>
      <c r="B208" s="0" t="s">
        <v>248</v>
      </c>
      <c r="C208" s="9" t="n">
        <f aca="false">C206-C207</f>
        <v>8562</v>
      </c>
      <c r="D208" s="9" t="n">
        <f aca="false">D206-D207</f>
        <v>11325</v>
      </c>
      <c r="E208" s="9" t="n">
        <f aca="false">E206-E207</f>
        <v>14724.6567843402</v>
      </c>
      <c r="F208" s="9" t="n">
        <f aca="false">F206-F207</f>
        <v>17248.2265092936</v>
      </c>
      <c r="G208" s="9" t="n">
        <f aca="false">G206-G207</f>
        <v>18920.2495976919</v>
      </c>
    </row>
    <row r="209" customFormat="false" ht="17.15" hidden="false" customHeight="false" outlineLevel="0" collapsed="false">
      <c r="A209" s="0" t="s">
        <v>540</v>
      </c>
      <c r="B209" s="0" t="s">
        <v>195</v>
      </c>
      <c r="C209" s="11" t="n">
        <f aca="false">C208/C204</f>
        <v>0.301818950930626</v>
      </c>
      <c r="D209" s="11" t="n">
        <f aca="false">D208/D204</f>
        <v>0.330300113745735</v>
      </c>
      <c r="E209" s="11" t="n">
        <f aca="false">E208/E204</f>
        <v>0.354214649972366</v>
      </c>
      <c r="F209" s="11" t="n">
        <f aca="false">F208/F204</f>
        <v>0.367171400090858</v>
      </c>
      <c r="G209" s="11" t="n">
        <f aca="false">G208/G204</f>
        <v>0.374229915155322</v>
      </c>
    </row>
    <row r="210" customFormat="false" ht="17.15" hidden="false" customHeight="false" outlineLevel="0" collapsed="false">
      <c r="A210" s="0" t="s">
        <v>466</v>
      </c>
      <c r="B210" s="0" t="s">
        <v>248</v>
      </c>
      <c r="C210" s="9" t="n">
        <f aca="false">a25_ni</f>
        <v>7607</v>
      </c>
      <c r="D210" s="9" t="n">
        <f aca="false">an_ni</f>
        <v>10179.92</v>
      </c>
      <c r="E210" s="9" t="n">
        <f aca="false">E208*nioi</f>
        <v>13082.2779909456</v>
      </c>
      <c r="F210" s="9" t="n">
        <f aca="false">F208*nioi</f>
        <v>15324.3703639566</v>
      </c>
      <c r="G210" s="9" t="n">
        <f aca="false">G208*nioi</f>
        <v>16809.8970672322</v>
      </c>
    </row>
    <row r="211" customFormat="false" ht="15" hidden="false" customHeight="false" outlineLevel="0" collapsed="false">
      <c r="A211" s="5" t="s">
        <v>565</v>
      </c>
      <c r="B211" s="5" t="s">
        <v>324</v>
      </c>
      <c r="C211" s="23" t="n">
        <f aca="false">a25_sh</f>
        <v>808</v>
      </c>
      <c r="D211" s="23" t="n">
        <f aca="false">an_sh</f>
        <v>797.799373040752</v>
      </c>
      <c r="E211" s="23" t="n">
        <f aca="false">$D211*(1-bb)^1</f>
        <v>789.821379310345</v>
      </c>
      <c r="F211" s="23" t="n">
        <f aca="false">$D211*(1-bb)^2</f>
        <v>781.923165517241</v>
      </c>
      <c r="G211" s="23" t="n">
        <f aca="false">$D211*(1-bb)^3</f>
        <v>774.103933862069</v>
      </c>
    </row>
    <row r="212" customFormat="false" ht="17.15" hidden="false" customHeight="false" outlineLevel="0" collapsed="false">
      <c r="A212" s="0" t="s">
        <v>566</v>
      </c>
      <c r="B212" s="0" t="s">
        <v>337</v>
      </c>
      <c r="C212" s="14" t="n">
        <f aca="false">a25_eps</f>
        <v>9.42</v>
      </c>
      <c r="D212" s="14" t="n">
        <f aca="false">an_eps</f>
        <v>12.76</v>
      </c>
      <c r="E212" s="14" t="n">
        <f aca="false">E210/E211</f>
        <v>16.5635906214248</v>
      </c>
      <c r="F212" s="14" t="n">
        <f aca="false">F210/F211</f>
        <v>19.598307148017</v>
      </c>
      <c r="G212" s="14" t="n">
        <f aca="false">G210/G211</f>
        <v>21.7152973029943</v>
      </c>
      <c r="H212" s="8" t="s">
        <v>567</v>
      </c>
    </row>
    <row r="213" customFormat="false" ht="17.15" hidden="false" customHeight="false" outlineLevel="0" collapsed="false">
      <c r="A213" s="5" t="s">
        <v>568</v>
      </c>
      <c r="B213" s="0" t="s">
        <v>195</v>
      </c>
      <c r="D213" s="11" t="n">
        <f aca="false">D200/1000/(D195+D196+D197)</f>
        <v>0.170362937517178</v>
      </c>
      <c r="E213" s="11" t="n">
        <f aca="false">E200/1000/(E195+E196+E197)</f>
        <v>0.170242086283764</v>
      </c>
      <c r="F213" s="11" t="n">
        <f aca="false">F200/1000/(F195+F196+F197)</f>
        <v>0.170178019814976</v>
      </c>
      <c r="G213" s="11" t="n">
        <f aca="false">G200/1000/(G195+G196+G197)</f>
        <v>0.170051356395174</v>
      </c>
      <c r="H213" s="5" t="s">
        <v>569</v>
      </c>
    </row>
    <row r="220" customFormat="false" ht="17.15" hidden="false" customHeight="false" outlineLevel="0" collapsed="false">
      <c r="A220" s="3" t="s">
        <v>866</v>
      </c>
    </row>
    <row r="221" customFormat="false" ht="15" hidden="false" customHeight="false" outlineLevel="0" collapsed="false">
      <c r="A221" s="6" t="s">
        <v>15</v>
      </c>
      <c r="B221" s="6" t="s">
        <v>16</v>
      </c>
      <c r="C221" s="15" t="s">
        <v>509</v>
      </c>
      <c r="D221" s="15" t="s">
        <v>510</v>
      </c>
      <c r="E221" s="15" t="s">
        <v>511</v>
      </c>
      <c r="F221" s="15" t="s">
        <v>512</v>
      </c>
      <c r="G221" s="15" t="s">
        <v>513</v>
      </c>
      <c r="H221" s="6" t="s">
        <v>514</v>
      </c>
    </row>
    <row r="222" customFormat="false" ht="17.15" hidden="false" customHeight="false" outlineLevel="0" collapsed="false">
      <c r="A222" s="1" t="s">
        <v>545</v>
      </c>
    </row>
    <row r="223" customFormat="false" ht="17.15" hidden="false" customHeight="false" outlineLevel="0" collapsed="false">
      <c r="A223" s="5" t="s">
        <v>546</v>
      </c>
      <c r="B223" s="0" t="s">
        <v>26</v>
      </c>
      <c r="C223" s="22" t="n">
        <f aca="false">laA_25+loA_25+ofA_25</f>
        <v>78.3481206981793</v>
      </c>
      <c r="D223" s="22" t="n">
        <f aca="false">laA_26+loA_26+ofA_26</f>
        <v>99.2871982981748</v>
      </c>
      <c r="E223" s="22" t="n">
        <f aca="false">laA_27+loA_27+ofA_27</f>
        <v>116.288709321091</v>
      </c>
      <c r="F223" s="22" t="n">
        <f aca="false">laA_28+loA_28+ofA_28</f>
        <v>130.886404842261</v>
      </c>
      <c r="G223" s="22" t="n">
        <f aca="false">laA_29+loA_29+ofA_29</f>
        <v>139.398079992203</v>
      </c>
    </row>
    <row r="224" customFormat="false" ht="17.15" hidden="false" customHeight="false" outlineLevel="0" collapsed="false">
      <c r="A224" s="0" t="s">
        <v>547</v>
      </c>
      <c r="B224" s="0" t="s">
        <v>26</v>
      </c>
      <c r="C224" s="22" t="n">
        <f aca="false">drA_25</f>
        <v>26.3761091658243</v>
      </c>
      <c r="D224" s="22" t="n">
        <f aca="false">drA_26</f>
        <v>39.3659468014757</v>
      </c>
      <c r="E224" s="22" t="n">
        <f aca="false">drA_27</f>
        <v>53.2587328153375</v>
      </c>
      <c r="F224" s="22" t="n">
        <f aca="false">drA_28</f>
        <v>59.5608998372386</v>
      </c>
      <c r="G224" s="22" t="n">
        <f aca="false">drA_29</f>
        <v>61.8312930912183</v>
      </c>
    </row>
    <row r="225" customFormat="false" ht="15" hidden="false" customHeight="false" outlineLevel="0" collapsed="false">
      <c r="A225" s="0" t="s">
        <v>548</v>
      </c>
      <c r="B225" s="0" t="s">
        <v>26</v>
      </c>
      <c r="C225" s="22" t="n">
        <f aca="false">ndA_25</f>
        <v>12.1726019800256</v>
      </c>
      <c r="D225" s="22" t="n">
        <f aca="false">ndA_26</f>
        <v>17.5039054704765</v>
      </c>
      <c r="E225" s="22" t="n">
        <f aca="false">ndA_27</f>
        <v>23.2480272411321</v>
      </c>
      <c r="F225" s="22" t="n">
        <f aca="false">ndA_28</f>
        <v>26.181321629459</v>
      </c>
      <c r="G225" s="22" t="n">
        <f aca="false">ndA_29</f>
        <v>27.674312771805</v>
      </c>
    </row>
    <row r="226" customFormat="false" ht="17.15" hidden="false" customHeight="false" outlineLevel="0" collapsed="false">
      <c r="A226" s="1" t="s">
        <v>549</v>
      </c>
    </row>
    <row r="227" customFormat="false" ht="17.15" hidden="false" customHeight="false" outlineLevel="0" collapsed="false">
      <c r="A227" s="5" t="s">
        <v>550</v>
      </c>
      <c r="B227" s="0" t="s">
        <v>26</v>
      </c>
      <c r="D227" s="22" t="n">
        <f aca="false">fyw_hi*C223+(1-fyw_hi)*D223</f>
        <v>94.0524288981759</v>
      </c>
      <c r="E227" s="22" t="n">
        <f aca="false">fyw_hi*D223+(1-fyw_hi)*E223</f>
        <v>112.038331565362</v>
      </c>
      <c r="F227" s="22" t="n">
        <f aca="false">fyw_hi*E223+(1-fyw_hi)*F223</f>
        <v>127.236980961968</v>
      </c>
      <c r="G227" s="22" t="n">
        <f aca="false">fyw_hi*F223+(1-fyw_hi)*G223</f>
        <v>137.270161204717</v>
      </c>
    </row>
    <row r="228" customFormat="false" ht="17.15" hidden="false" customHeight="false" outlineLevel="0" collapsed="false">
      <c r="A228" s="0" t="s">
        <v>551</v>
      </c>
      <c r="B228" s="0" t="s">
        <v>26</v>
      </c>
      <c r="D228" s="22" t="n">
        <f aca="false">fyw_hi*C224+(1-fyw_hi)*D224</f>
        <v>36.1184873925629</v>
      </c>
      <c r="E228" s="22" t="n">
        <f aca="false">fyw_hi*D224+(1-fyw_hi)*E224</f>
        <v>49.7855363118721</v>
      </c>
      <c r="F228" s="22" t="n">
        <f aca="false">fyw_hi*E224+(1-fyw_hi)*F224</f>
        <v>57.9853580817633</v>
      </c>
      <c r="G228" s="22" t="n">
        <f aca="false">fyw_hi*F224+(1-fyw_hi)*G224</f>
        <v>61.2636947777234</v>
      </c>
    </row>
    <row r="229" customFormat="false" ht="15" hidden="false" customHeight="false" outlineLevel="0" collapsed="false">
      <c r="A229" s="0" t="s">
        <v>552</v>
      </c>
      <c r="B229" s="0" t="s">
        <v>26</v>
      </c>
      <c r="D229" s="22" t="n">
        <f aca="false">fyw_hi*C225+(1-fyw_hi)*D225</f>
        <v>16.1710795978638</v>
      </c>
      <c r="E229" s="22" t="n">
        <f aca="false">fyw_hi*D225+(1-fyw_hi)*E225</f>
        <v>21.8119967984682</v>
      </c>
      <c r="F229" s="22" t="n">
        <f aca="false">fyw_hi*E225+(1-fyw_hi)*F225</f>
        <v>25.4479980323773</v>
      </c>
      <c r="G229" s="22" t="n">
        <f aca="false">fyw_hi*F225+(1-fyw_hi)*G225</f>
        <v>27.3010649862185</v>
      </c>
    </row>
    <row r="230" customFormat="false" ht="17.15" hidden="false" customHeight="false" outlineLevel="0" collapsed="false">
      <c r="A230" s="5" t="s">
        <v>553</v>
      </c>
      <c r="B230" s="0" t="s">
        <v>242</v>
      </c>
      <c r="D230" s="21" t="n">
        <f aca="false">m_fl*D227/$D227+m_dr*D228/$D228+m_nd*D229/$D229</f>
        <v>1</v>
      </c>
      <c r="E230" s="21" t="n">
        <f aca="false">m_fl*E227/$D227+m_dr*E228/$D228+m_nd*E229/$D229</f>
        <v>1.25494457344495</v>
      </c>
      <c r="F230" s="21" t="n">
        <f aca="false">m_fl*F227/$D227+m_dr*F228/$D228+m_nd*F229/$D229</f>
        <v>1.43925641358322</v>
      </c>
      <c r="G230" s="21" t="n">
        <f aca="false">m_fl*G227/$D227+m_dr*G228/$D228+m_nd*G229/$D229</f>
        <v>1.54167141662271</v>
      </c>
      <c r="H230" s="8" t="s">
        <v>554</v>
      </c>
    </row>
    <row r="231" customFormat="false" ht="17.15" hidden="false" customHeight="false" outlineLevel="0" collapsed="false">
      <c r="A231" s="1" t="s">
        <v>555</v>
      </c>
    </row>
    <row r="232" customFormat="false" ht="17.15" hidden="false" customHeight="false" outlineLevel="0" collapsed="false">
      <c r="A232" s="5" t="s">
        <v>556</v>
      </c>
      <c r="B232" s="0" t="s">
        <v>248</v>
      </c>
      <c r="C232" s="9" t="n">
        <f aca="false">a25_ss</f>
        <v>21438.5432098765</v>
      </c>
      <c r="D232" s="9" t="n">
        <f aca="false">an_ss</f>
        <v>26046</v>
      </c>
      <c r="E232" s="9" t="n">
        <f aca="false">$D232*E230*sf</f>
        <v>32686.2863599471</v>
      </c>
      <c r="F232" s="9" t="n">
        <f aca="false">$D232*F230*sf</f>
        <v>37486.8725481886</v>
      </c>
      <c r="G232" s="9" t="n">
        <f aca="false">$D232*G230*sf</f>
        <v>40154.373717355</v>
      </c>
      <c r="H232" s="8" t="s">
        <v>557</v>
      </c>
    </row>
    <row r="233" customFormat="false" ht="17.15" hidden="false" customHeight="false" outlineLevel="0" collapsed="false">
      <c r="A233" s="0" t="s">
        <v>558</v>
      </c>
      <c r="B233" s="0" t="s">
        <v>248</v>
      </c>
      <c r="C233" s="9" t="n">
        <f aca="false">a25_ags</f>
        <v>5744.19672131148</v>
      </c>
      <c r="D233" s="9" t="n">
        <f aca="false">an_ags</f>
        <v>6845</v>
      </c>
      <c r="E233" s="9" t="n">
        <f aca="false">D233*(1+g_ags_A)</f>
        <v>7871.75</v>
      </c>
      <c r="F233" s="9" t="n">
        <f aca="false">E233*(1+g_ags_A)</f>
        <v>9052.5125</v>
      </c>
      <c r="G233" s="9" t="n">
        <f aca="false">F233*(1+g_ags_A)</f>
        <v>10410.389375</v>
      </c>
    </row>
    <row r="234" customFormat="false" ht="15" hidden="false" customHeight="false" outlineLevel="0" collapsed="false">
      <c r="A234" s="5" t="s">
        <v>559</v>
      </c>
      <c r="B234" s="0" t="s">
        <v>248</v>
      </c>
      <c r="C234" s="9" t="n">
        <f aca="false">a25_oth</f>
        <v>1185.26006881198</v>
      </c>
      <c r="D234" s="9" t="n">
        <f aca="false">an_oth</f>
        <v>1396</v>
      </c>
      <c r="E234" s="9" t="n">
        <f aca="false">D234*(1+g_oth_A)</f>
        <v>1396</v>
      </c>
      <c r="F234" s="9" t="n">
        <f aca="false">E234*(1+g_oth_A)</f>
        <v>1396</v>
      </c>
      <c r="G234" s="9" t="n">
        <f aca="false">F234*(1+g_oth_A)</f>
        <v>1396</v>
      </c>
    </row>
    <row r="235" customFormat="false" ht="17.15" hidden="false" customHeight="false" outlineLevel="0" collapsed="false">
      <c r="A235" s="5" t="s">
        <v>560</v>
      </c>
      <c r="B235" s="0" t="s">
        <v>248</v>
      </c>
      <c r="C235" s="9" t="n">
        <v>0</v>
      </c>
      <c r="D235" s="9" t="n">
        <v>0</v>
      </c>
      <c r="E235" s="9" t="n">
        <f aca="false">-aff_hit*aff_A-0*cn_sh*(E232+E233)</f>
        <v>-0</v>
      </c>
      <c r="F235" s="9" t="n">
        <f aca="false">-aff_hit*aff_A-0*cn_sh*(F232+F233)</f>
        <v>-0</v>
      </c>
      <c r="G235" s="9" t="n">
        <f aca="false">-aff_hit*aff_A-0*cn_sh*(G232+G233)</f>
        <v>-0</v>
      </c>
      <c r="H235" s="5" t="s">
        <v>561</v>
      </c>
    </row>
    <row r="236" customFormat="false" ht="15" hidden="false" customHeight="false" outlineLevel="0" collapsed="false">
      <c r="A236" s="5" t="s">
        <v>450</v>
      </c>
      <c r="B236" s="0" t="s">
        <v>248</v>
      </c>
      <c r="C236" s="9" t="n">
        <f aca="false">C232+C233+C234+C235</f>
        <v>28368</v>
      </c>
      <c r="D236" s="9" t="n">
        <f aca="false">D232+D233+D234+D235</f>
        <v>34287</v>
      </c>
      <c r="E236" s="9" t="n">
        <f aca="false">E232+E233+E234+E235</f>
        <v>41954.0363599471</v>
      </c>
      <c r="F236" s="9" t="n">
        <f aca="false">F232+F233+F234+F235</f>
        <v>47935.3850481886</v>
      </c>
      <c r="G236" s="9" t="n">
        <f aca="false">G232+G233+G234+G235</f>
        <v>51960.763092355</v>
      </c>
    </row>
    <row r="237" customFormat="false" ht="17.15" hidden="false" customHeight="false" outlineLevel="0" collapsed="false">
      <c r="A237" s="0" t="s">
        <v>456</v>
      </c>
      <c r="B237" s="0" t="s">
        <v>195</v>
      </c>
      <c r="C237" s="11" t="n">
        <f aca="false">a25_gp/a25_rev</f>
        <v>0.487833192329385</v>
      </c>
      <c r="D237" s="11" t="n">
        <f aca="false">an_gp/an_rev</f>
        <v>0.500418584303089</v>
      </c>
      <c r="E237" s="11" t="n">
        <f aca="false">1-(cF+cv*E236)/E236</f>
        <v>0.511441611961702</v>
      </c>
      <c r="F237" s="11" t="n">
        <f aca="false">1-(cF+cv*F236)/F236</f>
        <v>0.517592612460056</v>
      </c>
      <c r="G237" s="11" t="n">
        <f aca="false">1-(cF+cv*G236)/G236</f>
        <v>0.520934959526927</v>
      </c>
      <c r="H237" s="5" t="s">
        <v>562</v>
      </c>
    </row>
    <row r="238" customFormat="false" ht="17.15" hidden="false" customHeight="false" outlineLevel="0" collapsed="false">
      <c r="A238" s="0" t="s">
        <v>459</v>
      </c>
      <c r="B238" s="0" t="s">
        <v>248</v>
      </c>
      <c r="C238" s="9" t="n">
        <f aca="false">C236*C237</f>
        <v>13838.852</v>
      </c>
      <c r="D238" s="9" t="n">
        <f aca="false">D236*D237</f>
        <v>17157.852</v>
      </c>
      <c r="E238" s="9" t="n">
        <f aca="false">E236*E237</f>
        <v>21457.0399842312</v>
      </c>
      <c r="F238" s="9" t="n">
        <f aca="false">F236*F237</f>
        <v>24811.0011763707</v>
      </c>
      <c r="G238" s="9" t="n">
        <f aca="false">G236*G237</f>
        <v>27068.1780185042</v>
      </c>
    </row>
    <row r="239" customFormat="false" ht="17.15" hidden="false" customHeight="false" outlineLevel="0" collapsed="false">
      <c r="A239" s="0" t="s">
        <v>563</v>
      </c>
      <c r="B239" s="0" t="s">
        <v>248</v>
      </c>
      <c r="C239" s="9" t="n">
        <f aca="false">opex25</f>
        <v>5276.852</v>
      </c>
      <c r="D239" s="9" t="n">
        <f aca="false">opex26</f>
        <v>5832.852</v>
      </c>
      <c r="E239" s="9" t="n">
        <f aca="false">oF+ov*E236</f>
        <v>6553.05342188387</v>
      </c>
      <c r="F239" s="9" t="n">
        <f aca="false">oF+ov*F236</f>
        <v>7114.91013258876</v>
      </c>
      <c r="G239" s="9" t="n">
        <f aca="false">oF+ov*G236</f>
        <v>7493.03315886964</v>
      </c>
      <c r="H239" s="5" t="s">
        <v>564</v>
      </c>
    </row>
    <row r="240" customFormat="false" ht="17.15" hidden="false" customHeight="false" outlineLevel="0" collapsed="false">
      <c r="A240" s="0" t="s">
        <v>461</v>
      </c>
      <c r="B240" s="0" t="s">
        <v>248</v>
      </c>
      <c r="C240" s="9" t="n">
        <f aca="false">C238-C239</f>
        <v>8562</v>
      </c>
      <c r="D240" s="9" t="n">
        <f aca="false">D238-D239</f>
        <v>11325</v>
      </c>
      <c r="E240" s="9" t="n">
        <f aca="false">E238-E239</f>
        <v>14903.9865623473</v>
      </c>
      <c r="F240" s="9" t="n">
        <f aca="false">F238-F239</f>
        <v>17696.0910437819</v>
      </c>
      <c r="G240" s="9" t="n">
        <f aca="false">G238-G239</f>
        <v>19575.1448596345</v>
      </c>
    </row>
    <row r="241" customFormat="false" ht="17.15" hidden="false" customHeight="false" outlineLevel="0" collapsed="false">
      <c r="A241" s="0" t="s">
        <v>540</v>
      </c>
      <c r="B241" s="0" t="s">
        <v>195</v>
      </c>
      <c r="C241" s="11" t="n">
        <f aca="false">C240/C236</f>
        <v>0.301818950930626</v>
      </c>
      <c r="D241" s="11" t="n">
        <f aca="false">D240/D236</f>
        <v>0.330300113745735</v>
      </c>
      <c r="E241" s="11" t="n">
        <f aca="false">E240/E236</f>
        <v>0.355245593879876</v>
      </c>
      <c r="F241" s="11" t="n">
        <f aca="false">F240/F236</f>
        <v>0.36916551365953</v>
      </c>
      <c r="G241" s="11" t="n">
        <f aca="false">G240/G236</f>
        <v>0.376729356819524</v>
      </c>
    </row>
    <row r="242" customFormat="false" ht="17.15" hidden="false" customHeight="false" outlineLevel="0" collapsed="false">
      <c r="A242" s="0" t="s">
        <v>466</v>
      </c>
      <c r="B242" s="0" t="s">
        <v>248</v>
      </c>
      <c r="C242" s="9" t="n">
        <f aca="false">a25_ni</f>
        <v>7607</v>
      </c>
      <c r="D242" s="9" t="n">
        <f aca="false">an_ni</f>
        <v>10179.92</v>
      </c>
      <c r="E242" s="9" t="n">
        <f aca="false">E240*nioi</f>
        <v>13241.6054402915</v>
      </c>
      <c r="F242" s="9" t="n">
        <f aca="false">F240*nioi</f>
        <v>15722.2803749181</v>
      </c>
      <c r="G242" s="9" t="n">
        <f aca="false">G240*nioi</f>
        <v>17391.7457308152</v>
      </c>
    </row>
    <row r="243" customFormat="false" ht="15" hidden="false" customHeight="false" outlineLevel="0" collapsed="false">
      <c r="A243" s="5" t="s">
        <v>565</v>
      </c>
      <c r="B243" s="5" t="s">
        <v>324</v>
      </c>
      <c r="C243" s="23" t="n">
        <f aca="false">a25_sh</f>
        <v>808</v>
      </c>
      <c r="D243" s="23" t="n">
        <f aca="false">an_sh</f>
        <v>797.799373040752</v>
      </c>
      <c r="E243" s="23" t="n">
        <f aca="false">$D243*(1-bb)^1</f>
        <v>789.821379310345</v>
      </c>
      <c r="F243" s="23" t="n">
        <f aca="false">$D243*(1-bb)^2</f>
        <v>781.923165517241</v>
      </c>
      <c r="G243" s="23" t="n">
        <f aca="false">$D243*(1-bb)^3</f>
        <v>774.103933862069</v>
      </c>
    </row>
    <row r="244" customFormat="false" ht="17.15" hidden="false" customHeight="false" outlineLevel="0" collapsed="false">
      <c r="A244" s="0" t="s">
        <v>566</v>
      </c>
      <c r="B244" s="0" t="s">
        <v>337</v>
      </c>
      <c r="C244" s="14" t="n">
        <f aca="false">a25_eps</f>
        <v>9.42</v>
      </c>
      <c r="D244" s="14" t="n">
        <f aca="false">an_eps</f>
        <v>12.76</v>
      </c>
      <c r="E244" s="14" t="n">
        <f aca="false">E242/E243</f>
        <v>16.7653165477159</v>
      </c>
      <c r="F244" s="14" t="n">
        <f aca="false">F242/F243</f>
        <v>20.1071934791929</v>
      </c>
      <c r="G244" s="14" t="n">
        <f aca="false">G242/G243</f>
        <v>22.4669388308704</v>
      </c>
      <c r="H244" s="8" t="s">
        <v>567</v>
      </c>
    </row>
    <row r="245" customFormat="false" ht="17.15" hidden="false" customHeight="false" outlineLevel="0" collapsed="false">
      <c r="A245" s="5" t="s">
        <v>568</v>
      </c>
      <c r="B245" s="0" t="s">
        <v>195</v>
      </c>
      <c r="D245" s="11" t="n">
        <f aca="false">D232/1000/(D227+D228+D229)</f>
        <v>0.177980352405652</v>
      </c>
      <c r="E245" s="11" t="n">
        <f aca="false">E232/1000/(E227+E228+E229)</f>
        <v>0.177995112325528</v>
      </c>
      <c r="F245" s="11" t="n">
        <f aca="false">F232/1000/(F227+F228+F229)</f>
        <v>0.177940915026142</v>
      </c>
      <c r="G245" s="11" t="n">
        <f aca="false">G232/1000/(G227+G228+G229)</f>
        <v>0.177804094889858</v>
      </c>
      <c r="H245" s="5" t="s">
        <v>569</v>
      </c>
    </row>
    <row r="252" customFormat="false" ht="17.15" hidden="false" customHeight="false" outlineLevel="0" collapsed="false">
      <c r="A252" s="3" t="s">
        <v>867</v>
      </c>
    </row>
    <row r="253" customFormat="false" ht="15" hidden="false" customHeight="false" outlineLevel="0" collapsed="false">
      <c r="A253" s="6" t="s">
        <v>15</v>
      </c>
      <c r="B253" s="6" t="s">
        <v>16</v>
      </c>
      <c r="C253" s="15" t="s">
        <v>509</v>
      </c>
      <c r="D253" s="15" t="s">
        <v>510</v>
      </c>
      <c r="E253" s="15" t="s">
        <v>511</v>
      </c>
      <c r="F253" s="15" t="s">
        <v>512</v>
      </c>
      <c r="G253" s="15" t="s">
        <v>513</v>
      </c>
      <c r="H253" s="6" t="s">
        <v>514</v>
      </c>
    </row>
    <row r="254" customFormat="false" ht="17.15" hidden="false" customHeight="false" outlineLevel="0" collapsed="false">
      <c r="A254" s="1" t="s">
        <v>545</v>
      </c>
    </row>
    <row r="255" customFormat="false" ht="17.15" hidden="false" customHeight="false" outlineLevel="0" collapsed="false">
      <c r="A255" s="5" t="s">
        <v>546</v>
      </c>
      <c r="B255" s="0" t="s">
        <v>26</v>
      </c>
      <c r="C255" s="22" t="n">
        <f aca="false">laA_25+loA_25+ofA_25</f>
        <v>78.3481206981793</v>
      </c>
      <c r="D255" s="22" t="n">
        <f aca="false">laA_26+loA_26+ofA_26</f>
        <v>99.2871982981748</v>
      </c>
      <c r="E255" s="22" t="n">
        <f aca="false">laA_27+loA_27+ofA_27</f>
        <v>116.288709321091</v>
      </c>
      <c r="F255" s="22" t="n">
        <f aca="false">laA_28+loA_28+ofA_28</f>
        <v>130.886404842261</v>
      </c>
      <c r="G255" s="22" t="n">
        <f aca="false">laA_29+loA_29+ofA_29</f>
        <v>139.398079992203</v>
      </c>
    </row>
    <row r="256" customFormat="false" ht="17.15" hidden="false" customHeight="false" outlineLevel="0" collapsed="false">
      <c r="A256" s="0" t="s">
        <v>547</v>
      </c>
      <c r="B256" s="0" t="s">
        <v>26</v>
      </c>
      <c r="C256" s="22" t="n">
        <f aca="false">drA_25</f>
        <v>26.3761091658243</v>
      </c>
      <c r="D256" s="22" t="n">
        <f aca="false">drA_26</f>
        <v>39.3659468014757</v>
      </c>
      <c r="E256" s="22" t="n">
        <f aca="false">drA_27</f>
        <v>53.2587328153375</v>
      </c>
      <c r="F256" s="22" t="n">
        <f aca="false">drA_28</f>
        <v>59.5608998372386</v>
      </c>
      <c r="G256" s="22" t="n">
        <f aca="false">drA_29</f>
        <v>61.8312930912183</v>
      </c>
    </row>
    <row r="257" customFormat="false" ht="15" hidden="false" customHeight="false" outlineLevel="0" collapsed="false">
      <c r="A257" s="0" t="s">
        <v>548</v>
      </c>
      <c r="B257" s="0" t="s">
        <v>26</v>
      </c>
      <c r="C257" s="22" t="n">
        <f aca="false">ndA_25</f>
        <v>12.1726019800256</v>
      </c>
      <c r="D257" s="22" t="n">
        <f aca="false">ndA_26</f>
        <v>17.5039054704765</v>
      </c>
      <c r="E257" s="22" t="n">
        <f aca="false">ndA_27</f>
        <v>23.2480272411321</v>
      </c>
      <c r="F257" s="22" t="n">
        <f aca="false">ndA_28</f>
        <v>26.181321629459</v>
      </c>
      <c r="G257" s="22" t="n">
        <f aca="false">ndA_29</f>
        <v>27.674312771805</v>
      </c>
    </row>
    <row r="258" customFormat="false" ht="17.15" hidden="false" customHeight="false" outlineLevel="0" collapsed="false">
      <c r="A258" s="1" t="s">
        <v>549</v>
      </c>
    </row>
    <row r="259" customFormat="false" ht="17.15" hidden="false" customHeight="false" outlineLevel="0" collapsed="false">
      <c r="A259" s="5" t="s">
        <v>550</v>
      </c>
      <c r="B259" s="0" t="s">
        <v>26</v>
      </c>
      <c r="D259" s="22" t="n">
        <f aca="false">fyw*C255+(1-fyw)*D255</f>
        <v>95.7973520315089</v>
      </c>
      <c r="E259" s="22" t="n">
        <f aca="false">fyw*D255+(1-fyw)*E255</f>
        <v>113.455124150605</v>
      </c>
      <c r="F259" s="22" t="n">
        <f aca="false">fyw*E255+(1-fyw)*F255</f>
        <v>128.453455588732</v>
      </c>
      <c r="G259" s="22" t="n">
        <f aca="false">fyw*F255+(1-fyw)*G255</f>
        <v>137.979467467212</v>
      </c>
    </row>
    <row r="260" customFormat="false" ht="17.15" hidden="false" customHeight="false" outlineLevel="0" collapsed="false">
      <c r="A260" s="0" t="s">
        <v>551</v>
      </c>
      <c r="B260" s="0" t="s">
        <v>26</v>
      </c>
      <c r="D260" s="22" t="n">
        <f aca="false">fyw*C256+(1-fyw)*D256</f>
        <v>37.2009738622005</v>
      </c>
      <c r="E260" s="22" t="n">
        <f aca="false">fyw*D256+(1-fyw)*E256</f>
        <v>50.9432684796939</v>
      </c>
      <c r="F260" s="22" t="n">
        <f aca="false">fyw*E256+(1-fyw)*F256</f>
        <v>58.5105386669218</v>
      </c>
      <c r="G260" s="22" t="n">
        <f aca="false">fyw*F256+(1-fyw)*G256</f>
        <v>61.452894215555</v>
      </c>
    </row>
    <row r="261" customFormat="false" ht="15" hidden="false" customHeight="false" outlineLevel="0" collapsed="false">
      <c r="A261" s="0" t="s">
        <v>552</v>
      </c>
      <c r="B261" s="0" t="s">
        <v>26</v>
      </c>
      <c r="D261" s="22" t="n">
        <f aca="false">fyw*C257+(1-fyw)*D257</f>
        <v>16.6153548887347</v>
      </c>
      <c r="E261" s="22" t="n">
        <f aca="false">fyw*D257+(1-fyw)*E257</f>
        <v>22.2906736126895</v>
      </c>
      <c r="F261" s="22" t="n">
        <f aca="false">fyw*E257+(1-fyw)*F257</f>
        <v>25.6924392314045</v>
      </c>
      <c r="G261" s="22" t="n">
        <f aca="false">fyw*F257+(1-fyw)*G257</f>
        <v>27.4254809147473</v>
      </c>
    </row>
    <row r="262" customFormat="false" ht="17.15" hidden="false" customHeight="false" outlineLevel="0" collapsed="false">
      <c r="A262" s="5" t="s">
        <v>553</v>
      </c>
      <c r="B262" s="0" t="s">
        <v>242</v>
      </c>
      <c r="D262" s="21" t="n">
        <f aca="false">m_fl*D259/$D259+m_dr*D260/$D260+m_nd*D261/$D261</f>
        <v>1</v>
      </c>
      <c r="E262" s="21" t="n">
        <f aca="false">m_fl*E259/$D259+m_dr*E260/$D260+m_nd*E261/$D261</f>
        <v>1.2474041822294</v>
      </c>
      <c r="F262" s="21" t="n">
        <f aca="false">m_fl*F259/$D259+m_dr*F260/$D260+m_nd*F261/$D261</f>
        <v>1.42038896941297</v>
      </c>
      <c r="G262" s="21" t="n">
        <f aca="false">m_fl*G259/$D259+m_dr*G260/$D260+m_nd*G261/$D261</f>
        <v>1.51409392151355</v>
      </c>
      <c r="H262" s="8" t="s">
        <v>554</v>
      </c>
    </row>
    <row r="263" customFormat="false" ht="17.15" hidden="false" customHeight="false" outlineLevel="0" collapsed="false">
      <c r="A263" s="1" t="s">
        <v>555</v>
      </c>
    </row>
    <row r="264" customFormat="false" ht="17.15" hidden="false" customHeight="false" outlineLevel="0" collapsed="false">
      <c r="A264" s="5" t="s">
        <v>556</v>
      </c>
      <c r="B264" s="0" t="s">
        <v>248</v>
      </c>
      <c r="C264" s="9" t="n">
        <f aca="false">a25_ss</f>
        <v>21438.5432098765</v>
      </c>
      <c r="D264" s="9" t="n">
        <f aca="false">an_ss</f>
        <v>26046</v>
      </c>
      <c r="E264" s="9" t="n">
        <f aca="false">$D264*E262*sf</f>
        <v>32489.8893303468</v>
      </c>
      <c r="F264" s="9" t="n">
        <f aca="false">$D264*F262*sf</f>
        <v>36995.4510973303</v>
      </c>
      <c r="G264" s="9" t="n">
        <f aca="false">$D264*G262*sf</f>
        <v>39436.090279742</v>
      </c>
      <c r="H264" s="8" t="s">
        <v>557</v>
      </c>
    </row>
    <row r="265" customFormat="false" ht="17.15" hidden="false" customHeight="false" outlineLevel="0" collapsed="false">
      <c r="A265" s="0" t="s">
        <v>558</v>
      </c>
      <c r="B265" s="0" t="s">
        <v>248</v>
      </c>
      <c r="C265" s="9" t="n">
        <f aca="false">a25_ags</f>
        <v>5744.19672131148</v>
      </c>
      <c r="D265" s="9" t="n">
        <f aca="false">an_ags</f>
        <v>6845</v>
      </c>
      <c r="E265" s="9" t="n">
        <f aca="false">D265*(1+g_ags_A)</f>
        <v>7871.75</v>
      </c>
      <c r="F265" s="9" t="n">
        <f aca="false">E265*(1+g_ags_A)</f>
        <v>9052.5125</v>
      </c>
      <c r="G265" s="9" t="n">
        <f aca="false">F265*(1+g_ags_A)</f>
        <v>10410.389375</v>
      </c>
    </row>
    <row r="266" customFormat="false" ht="15" hidden="false" customHeight="false" outlineLevel="0" collapsed="false">
      <c r="A266" s="5" t="s">
        <v>559</v>
      </c>
      <c r="B266" s="0" t="s">
        <v>248</v>
      </c>
      <c r="C266" s="9" t="n">
        <f aca="false">a25_oth</f>
        <v>1185.26006881198</v>
      </c>
      <c r="D266" s="9" t="n">
        <f aca="false">an_oth</f>
        <v>1396</v>
      </c>
      <c r="E266" s="9" t="n">
        <f aca="false">D266*(1+g_oth_A)</f>
        <v>1396</v>
      </c>
      <c r="F266" s="9" t="n">
        <f aca="false">E266*(1+g_oth_A)</f>
        <v>1396</v>
      </c>
      <c r="G266" s="9" t="n">
        <f aca="false">F266*(1+g_oth_A)</f>
        <v>1396</v>
      </c>
    </row>
    <row r="267" customFormat="false" ht="17.15" hidden="false" customHeight="false" outlineLevel="0" collapsed="false">
      <c r="A267" s="5" t="s">
        <v>560</v>
      </c>
      <c r="B267" s="0" t="s">
        <v>248</v>
      </c>
      <c r="C267" s="9" t="n">
        <v>0</v>
      </c>
      <c r="D267" s="9" t="n">
        <v>0</v>
      </c>
      <c r="E267" s="9" t="n">
        <f aca="false">-aff_hit*aff_A-0*cn_sh*(E264+E265)</f>
        <v>-0</v>
      </c>
      <c r="F267" s="9" t="n">
        <f aca="false">-aff_hit*aff_A-0*cn_sh*(F264+F265)</f>
        <v>-0</v>
      </c>
      <c r="G267" s="9" t="n">
        <f aca="false">-aff_hit*aff_A-0*cn_sh*(G264+G265)</f>
        <v>-0</v>
      </c>
      <c r="H267" s="5" t="s">
        <v>561</v>
      </c>
    </row>
    <row r="268" customFormat="false" ht="15" hidden="false" customHeight="false" outlineLevel="0" collapsed="false">
      <c r="A268" s="5" t="s">
        <v>450</v>
      </c>
      <c r="B268" s="0" t="s">
        <v>248</v>
      </c>
      <c r="C268" s="9" t="n">
        <f aca="false">C264+C265+C266+C267</f>
        <v>28368</v>
      </c>
      <c r="D268" s="9" t="n">
        <f aca="false">D264+D265+D266+D267</f>
        <v>34287</v>
      </c>
      <c r="E268" s="9" t="n">
        <f aca="false">E264+E265+E266+E267</f>
        <v>41757.6393303468</v>
      </c>
      <c r="F268" s="9" t="n">
        <f aca="false">F264+F265+F266+F267</f>
        <v>47443.9635973303</v>
      </c>
      <c r="G268" s="9" t="n">
        <f aca="false">G264+G265+G266+G267</f>
        <v>51242.479654742</v>
      </c>
    </row>
    <row r="269" customFormat="false" ht="17.15" hidden="false" customHeight="false" outlineLevel="0" collapsed="false">
      <c r="A269" s="0" t="s">
        <v>456</v>
      </c>
      <c r="B269" s="0" t="s">
        <v>195</v>
      </c>
      <c r="C269" s="11" t="n">
        <f aca="false">a25_gp/a25_rev</f>
        <v>0.487833192329385</v>
      </c>
      <c r="D269" s="11" t="n">
        <f aca="false">an_gp/an_rev</f>
        <v>0.500418584303089</v>
      </c>
      <c r="E269" s="11" t="n">
        <f aca="false">1-((1-phic_lo)*cogs25+phic_lo*cogs25/a25_rev*E268)/E268</f>
        <v>0.528889924352913</v>
      </c>
      <c r="F269" s="11" t="n">
        <f aca="false">1-((1-phic_lo)*cogs25+phic_lo*cogs25/a25_rev*F268)/F268</f>
        <v>0.539315375931322</v>
      </c>
      <c r="G269" s="11" t="n">
        <f aca="false">1-((1-phic_lo)*cogs25+phic_lo*cogs25/a25_rev*G268)/G268</f>
        <v>0.544990600113083</v>
      </c>
      <c r="H269" s="5" t="s">
        <v>562</v>
      </c>
    </row>
    <row r="270" customFormat="false" ht="17.15" hidden="false" customHeight="false" outlineLevel="0" collapsed="false">
      <c r="A270" s="0" t="s">
        <v>459</v>
      </c>
      <c r="B270" s="0" t="s">
        <v>248</v>
      </c>
      <c r="C270" s="9" t="n">
        <f aca="false">C268*C269</f>
        <v>13838.852</v>
      </c>
      <c r="D270" s="9" t="n">
        <f aca="false">D268*D269</f>
        <v>17157.852</v>
      </c>
      <c r="E270" s="9" t="n">
        <f aca="false">E268*E269</f>
        <v>22085.1947065834</v>
      </c>
      <c r="F270" s="9" t="n">
        <f aca="false">F268*F269</f>
        <v>25587.2590631662</v>
      </c>
      <c r="G270" s="9" t="n">
        <f aca="false">G268*G269</f>
        <v>27926.6697383203</v>
      </c>
    </row>
    <row r="271" customFormat="false" ht="17.15" hidden="false" customHeight="false" outlineLevel="0" collapsed="false">
      <c r="A271" s="0" t="s">
        <v>563</v>
      </c>
      <c r="B271" s="0" t="s">
        <v>248</v>
      </c>
      <c r="C271" s="9" t="n">
        <f aca="false">opex25</f>
        <v>5276.852</v>
      </c>
      <c r="D271" s="9" t="n">
        <f aca="false">opex26</f>
        <v>5832.852</v>
      </c>
      <c r="E271" s="9" t="n">
        <f aca="false">oF+ov*E268</f>
        <v>6534.60490888205</v>
      </c>
      <c r="F271" s="9" t="n">
        <f aca="false">oF+ov*F268</f>
        <v>7068.74856362826</v>
      </c>
      <c r="G271" s="9" t="n">
        <f aca="false">oF+ov*G268</f>
        <v>7425.56135766795</v>
      </c>
      <c r="H271" s="5" t="s">
        <v>564</v>
      </c>
    </row>
    <row r="272" customFormat="false" ht="17.15" hidden="false" customHeight="false" outlineLevel="0" collapsed="false">
      <c r="A272" s="0" t="s">
        <v>461</v>
      </c>
      <c r="B272" s="0" t="s">
        <v>248</v>
      </c>
      <c r="C272" s="9" t="n">
        <f aca="false">C270-C271</f>
        <v>8562</v>
      </c>
      <c r="D272" s="9" t="n">
        <f aca="false">D270-D271</f>
        <v>11325</v>
      </c>
      <c r="E272" s="9" t="n">
        <f aca="false">E270-E271</f>
        <v>15550.5897977013</v>
      </c>
      <c r="F272" s="9" t="n">
        <f aca="false">F270-F271</f>
        <v>18518.5104995379</v>
      </c>
      <c r="G272" s="9" t="n">
        <f aca="false">G270-G271</f>
        <v>20501.1083806523</v>
      </c>
    </row>
    <row r="273" customFormat="false" ht="17.15" hidden="false" customHeight="false" outlineLevel="0" collapsed="false">
      <c r="A273" s="0" t="s">
        <v>540</v>
      </c>
      <c r="B273" s="0" t="s">
        <v>195</v>
      </c>
      <c r="C273" s="11" t="n">
        <f aca="false">C272/C268</f>
        <v>0.301818950930626</v>
      </c>
      <c r="D273" s="11" t="n">
        <f aca="false">D272/D268</f>
        <v>0.330300113745735</v>
      </c>
      <c r="E273" s="11" t="n">
        <f aca="false">E272/E268</f>
        <v>0.372401075517698</v>
      </c>
      <c r="F273" s="11" t="n">
        <f aca="false">F272/F268</f>
        <v>0.390323849345925</v>
      </c>
      <c r="G273" s="11" t="n">
        <f aca="false">G272/G268</f>
        <v>0.400080334105283</v>
      </c>
    </row>
    <row r="274" customFormat="false" ht="17.15" hidden="false" customHeight="false" outlineLevel="0" collapsed="false">
      <c r="A274" s="0" t="s">
        <v>466</v>
      </c>
      <c r="B274" s="0" t="s">
        <v>248</v>
      </c>
      <c r="C274" s="9" t="n">
        <f aca="false">a25_ni</f>
        <v>7607</v>
      </c>
      <c r="D274" s="9" t="n">
        <f aca="false">an_ni</f>
        <v>10179.92</v>
      </c>
      <c r="E274" s="9" t="n">
        <f aca="false">E272*nioi</f>
        <v>13816.0869646244</v>
      </c>
      <c r="F274" s="9" t="n">
        <f aca="false">F272*nioi</f>
        <v>16452.9676909583</v>
      </c>
      <c r="G274" s="9" t="n">
        <f aca="false">G272*nioi</f>
        <v>18214.42787335</v>
      </c>
    </row>
    <row r="275" customFormat="false" ht="15" hidden="false" customHeight="false" outlineLevel="0" collapsed="false">
      <c r="A275" s="5" t="s">
        <v>565</v>
      </c>
      <c r="B275" s="5" t="s">
        <v>324</v>
      </c>
      <c r="C275" s="23" t="n">
        <f aca="false">a25_sh</f>
        <v>808</v>
      </c>
      <c r="D275" s="23" t="n">
        <f aca="false">an_sh</f>
        <v>797.799373040752</v>
      </c>
      <c r="E275" s="23" t="n">
        <f aca="false">$D275*(1-bb)^1</f>
        <v>789.821379310345</v>
      </c>
      <c r="F275" s="23" t="n">
        <f aca="false">$D275*(1-bb)^2</f>
        <v>781.923165517241</v>
      </c>
      <c r="G275" s="23" t="n">
        <f aca="false">$D275*(1-bb)^3</f>
        <v>774.103933862069</v>
      </c>
    </row>
    <row r="276" customFormat="false" ht="17.15" hidden="false" customHeight="false" outlineLevel="0" collapsed="false">
      <c r="A276" s="0" t="s">
        <v>566</v>
      </c>
      <c r="B276" s="0" t="s">
        <v>337</v>
      </c>
      <c r="C276" s="14" t="n">
        <f aca="false">a25_eps</f>
        <v>9.42</v>
      </c>
      <c r="D276" s="14" t="n">
        <f aca="false">an_eps</f>
        <v>12.76</v>
      </c>
      <c r="E276" s="14" t="n">
        <f aca="false">E274/E275</f>
        <v>17.4926728074749</v>
      </c>
      <c r="F276" s="14" t="n">
        <f aca="false">F274/F275</f>
        <v>21.0416680519686</v>
      </c>
      <c r="G276" s="14" t="n">
        <f aca="false">G274/G275</f>
        <v>23.5296929476597</v>
      </c>
      <c r="H276" s="8" t="s">
        <v>567</v>
      </c>
    </row>
    <row r="277" customFormat="false" ht="17.15" hidden="false" customHeight="false" outlineLevel="0" collapsed="false">
      <c r="A277" s="5" t="s">
        <v>568</v>
      </c>
      <c r="B277" s="0" t="s">
        <v>195</v>
      </c>
      <c r="D277" s="11" t="n">
        <f aca="false">D264/1000/(D259+D260+D261)</f>
        <v>0.174088357854613</v>
      </c>
      <c r="E277" s="11" t="n">
        <f aca="false">E264/1000/(E259+E260+E261)</f>
        <v>0.174032095099019</v>
      </c>
      <c r="F277" s="11" t="n">
        <f aca="false">F264/1000/(F259+F260+F261)</f>
        <v>0.173968172468113</v>
      </c>
      <c r="G277" s="11" t="n">
        <f aca="false">G264/1000/(G259+G260+G261)</f>
        <v>0.17383613380168</v>
      </c>
      <c r="H277" s="5" t="s">
        <v>569</v>
      </c>
    </row>
    <row r="284" customFormat="false" ht="17.15" hidden="false" customHeight="false" outlineLevel="0" collapsed="false">
      <c r="A284" s="3" t="s">
        <v>868</v>
      </c>
    </row>
    <row r="285" customFormat="false" ht="15" hidden="false" customHeight="false" outlineLevel="0" collapsed="false">
      <c r="A285" s="6" t="s">
        <v>15</v>
      </c>
      <c r="B285" s="6" t="s">
        <v>16</v>
      </c>
      <c r="C285" s="15" t="s">
        <v>509</v>
      </c>
      <c r="D285" s="15" t="s">
        <v>510</v>
      </c>
      <c r="E285" s="15" t="s">
        <v>511</v>
      </c>
      <c r="F285" s="15" t="s">
        <v>512</v>
      </c>
      <c r="G285" s="15" t="s">
        <v>513</v>
      </c>
      <c r="H285" s="6" t="s">
        <v>514</v>
      </c>
    </row>
    <row r="286" customFormat="false" ht="17.15" hidden="false" customHeight="false" outlineLevel="0" collapsed="false">
      <c r="A286" s="1" t="s">
        <v>545</v>
      </c>
    </row>
    <row r="287" customFormat="false" ht="17.15" hidden="false" customHeight="false" outlineLevel="0" collapsed="false">
      <c r="A287" s="5" t="s">
        <v>546</v>
      </c>
      <c r="B287" s="0" t="s">
        <v>26</v>
      </c>
      <c r="C287" s="22" t="n">
        <f aca="false">laA_25+loA_25+ofA_25</f>
        <v>78.3481206981793</v>
      </c>
      <c r="D287" s="22" t="n">
        <f aca="false">laA_26+loA_26+ofA_26</f>
        <v>99.2871982981748</v>
      </c>
      <c r="E287" s="22" t="n">
        <f aca="false">laA_27+loA_27+ofA_27</f>
        <v>116.288709321091</v>
      </c>
      <c r="F287" s="22" t="n">
        <f aca="false">laA_28+loA_28+ofA_28</f>
        <v>130.886404842261</v>
      </c>
      <c r="G287" s="22" t="n">
        <f aca="false">laA_29+loA_29+ofA_29</f>
        <v>139.398079992203</v>
      </c>
    </row>
    <row r="288" customFormat="false" ht="17.15" hidden="false" customHeight="false" outlineLevel="0" collapsed="false">
      <c r="A288" s="0" t="s">
        <v>547</v>
      </c>
      <c r="B288" s="0" t="s">
        <v>26</v>
      </c>
      <c r="C288" s="22" t="n">
        <f aca="false">drA_25</f>
        <v>26.3761091658243</v>
      </c>
      <c r="D288" s="22" t="n">
        <f aca="false">drA_26</f>
        <v>39.3659468014757</v>
      </c>
      <c r="E288" s="22" t="n">
        <f aca="false">drA_27</f>
        <v>53.2587328153375</v>
      </c>
      <c r="F288" s="22" t="n">
        <f aca="false">drA_28</f>
        <v>59.5608998372386</v>
      </c>
      <c r="G288" s="22" t="n">
        <f aca="false">drA_29</f>
        <v>61.8312930912183</v>
      </c>
    </row>
    <row r="289" customFormat="false" ht="15" hidden="false" customHeight="false" outlineLevel="0" collapsed="false">
      <c r="A289" s="0" t="s">
        <v>548</v>
      </c>
      <c r="B289" s="0" t="s">
        <v>26</v>
      </c>
      <c r="C289" s="22" t="n">
        <f aca="false">ndA_25</f>
        <v>12.1726019800256</v>
      </c>
      <c r="D289" s="22" t="n">
        <f aca="false">ndA_26</f>
        <v>17.5039054704765</v>
      </c>
      <c r="E289" s="22" t="n">
        <f aca="false">ndA_27</f>
        <v>23.2480272411321</v>
      </c>
      <c r="F289" s="22" t="n">
        <f aca="false">ndA_28</f>
        <v>26.181321629459</v>
      </c>
      <c r="G289" s="22" t="n">
        <f aca="false">ndA_29</f>
        <v>27.674312771805</v>
      </c>
    </row>
    <row r="290" customFormat="false" ht="17.15" hidden="false" customHeight="false" outlineLevel="0" collapsed="false">
      <c r="A290" s="1" t="s">
        <v>549</v>
      </c>
    </row>
    <row r="291" customFormat="false" ht="17.15" hidden="false" customHeight="false" outlineLevel="0" collapsed="false">
      <c r="A291" s="5" t="s">
        <v>550</v>
      </c>
      <c r="B291" s="0" t="s">
        <v>26</v>
      </c>
      <c r="D291" s="22" t="n">
        <f aca="false">fyw*C287+(1-fyw)*D287</f>
        <v>95.7973520315089</v>
      </c>
      <c r="E291" s="22" t="n">
        <f aca="false">fyw*D287+(1-fyw)*E287</f>
        <v>113.455124150605</v>
      </c>
      <c r="F291" s="22" t="n">
        <f aca="false">fyw*E287+(1-fyw)*F287</f>
        <v>128.453455588732</v>
      </c>
      <c r="G291" s="22" t="n">
        <f aca="false">fyw*F287+(1-fyw)*G287</f>
        <v>137.979467467212</v>
      </c>
    </row>
    <row r="292" customFormat="false" ht="17.15" hidden="false" customHeight="false" outlineLevel="0" collapsed="false">
      <c r="A292" s="0" t="s">
        <v>551</v>
      </c>
      <c r="B292" s="0" t="s">
        <v>26</v>
      </c>
      <c r="D292" s="22" t="n">
        <f aca="false">fyw*C288+(1-fyw)*D288</f>
        <v>37.2009738622005</v>
      </c>
      <c r="E292" s="22" t="n">
        <f aca="false">fyw*D288+(1-fyw)*E288</f>
        <v>50.9432684796939</v>
      </c>
      <c r="F292" s="22" t="n">
        <f aca="false">fyw*E288+(1-fyw)*F288</f>
        <v>58.5105386669218</v>
      </c>
      <c r="G292" s="22" t="n">
        <f aca="false">fyw*F288+(1-fyw)*G288</f>
        <v>61.452894215555</v>
      </c>
    </row>
    <row r="293" customFormat="false" ht="15" hidden="false" customHeight="false" outlineLevel="0" collapsed="false">
      <c r="A293" s="0" t="s">
        <v>552</v>
      </c>
      <c r="B293" s="0" t="s">
        <v>26</v>
      </c>
      <c r="D293" s="22" t="n">
        <f aca="false">fyw*C289+(1-fyw)*D289</f>
        <v>16.6153548887347</v>
      </c>
      <c r="E293" s="22" t="n">
        <f aca="false">fyw*D289+(1-fyw)*E289</f>
        <v>22.2906736126895</v>
      </c>
      <c r="F293" s="22" t="n">
        <f aca="false">fyw*E289+(1-fyw)*F289</f>
        <v>25.6924392314045</v>
      </c>
      <c r="G293" s="22" t="n">
        <f aca="false">fyw*F289+(1-fyw)*G289</f>
        <v>27.4254809147473</v>
      </c>
    </row>
    <row r="294" customFormat="false" ht="17.15" hidden="false" customHeight="false" outlineLevel="0" collapsed="false">
      <c r="A294" s="5" t="s">
        <v>553</v>
      </c>
      <c r="B294" s="0" t="s">
        <v>242</v>
      </c>
      <c r="D294" s="21" t="n">
        <f aca="false">m_fl*D291/$D291+m_dr*D292/$D292+m_nd*D293/$D293</f>
        <v>1</v>
      </c>
      <c r="E294" s="21" t="n">
        <f aca="false">m_fl*E291/$D291+m_dr*E292/$D292+m_nd*E293/$D293</f>
        <v>1.2474041822294</v>
      </c>
      <c r="F294" s="21" t="n">
        <f aca="false">m_fl*F291/$D291+m_dr*F292/$D292+m_nd*F293/$D293</f>
        <v>1.42038896941297</v>
      </c>
      <c r="G294" s="21" t="n">
        <f aca="false">m_fl*G291/$D291+m_dr*G292/$D292+m_nd*G293/$D293</f>
        <v>1.51409392151355</v>
      </c>
      <c r="H294" s="8" t="s">
        <v>554</v>
      </c>
    </row>
    <row r="295" customFormat="false" ht="17.15" hidden="false" customHeight="false" outlineLevel="0" collapsed="false">
      <c r="A295" s="1" t="s">
        <v>555</v>
      </c>
    </row>
    <row r="296" customFormat="false" ht="17.15" hidden="false" customHeight="false" outlineLevel="0" collapsed="false">
      <c r="A296" s="5" t="s">
        <v>556</v>
      </c>
      <c r="B296" s="0" t="s">
        <v>248</v>
      </c>
      <c r="C296" s="9" t="n">
        <f aca="false">a25_ss</f>
        <v>21438.5432098765</v>
      </c>
      <c r="D296" s="9" t="n">
        <f aca="false">an_ss</f>
        <v>26046</v>
      </c>
      <c r="E296" s="9" t="n">
        <f aca="false">$D296*E294*sf</f>
        <v>32489.8893303468</v>
      </c>
      <c r="F296" s="9" t="n">
        <f aca="false">$D296*F294*sf</f>
        <v>36995.4510973303</v>
      </c>
      <c r="G296" s="9" t="n">
        <f aca="false">$D296*G294*sf</f>
        <v>39436.090279742</v>
      </c>
      <c r="H296" s="8" t="s">
        <v>557</v>
      </c>
    </row>
    <row r="297" customFormat="false" ht="17.15" hidden="false" customHeight="false" outlineLevel="0" collapsed="false">
      <c r="A297" s="0" t="s">
        <v>558</v>
      </c>
      <c r="B297" s="0" t="s">
        <v>248</v>
      </c>
      <c r="C297" s="9" t="n">
        <f aca="false">a25_ags</f>
        <v>5744.19672131148</v>
      </c>
      <c r="D297" s="9" t="n">
        <f aca="false">an_ags</f>
        <v>6845</v>
      </c>
      <c r="E297" s="9" t="n">
        <f aca="false">D297*(1+g_ags_A)</f>
        <v>7871.75</v>
      </c>
      <c r="F297" s="9" t="n">
        <f aca="false">E297*(1+g_ags_A)</f>
        <v>9052.5125</v>
      </c>
      <c r="G297" s="9" t="n">
        <f aca="false">F297*(1+g_ags_A)</f>
        <v>10410.389375</v>
      </c>
    </row>
    <row r="298" customFormat="false" ht="15" hidden="false" customHeight="false" outlineLevel="0" collapsed="false">
      <c r="A298" s="5" t="s">
        <v>559</v>
      </c>
      <c r="B298" s="0" t="s">
        <v>248</v>
      </c>
      <c r="C298" s="9" t="n">
        <f aca="false">a25_oth</f>
        <v>1185.26006881198</v>
      </c>
      <c r="D298" s="9" t="n">
        <f aca="false">an_oth</f>
        <v>1396</v>
      </c>
      <c r="E298" s="9" t="n">
        <f aca="false">D298*(1+g_oth_A)</f>
        <v>1396</v>
      </c>
      <c r="F298" s="9" t="n">
        <f aca="false">E298*(1+g_oth_A)</f>
        <v>1396</v>
      </c>
      <c r="G298" s="9" t="n">
        <f aca="false">F298*(1+g_oth_A)</f>
        <v>1396</v>
      </c>
    </row>
    <row r="299" customFormat="false" ht="17.15" hidden="false" customHeight="false" outlineLevel="0" collapsed="false">
      <c r="A299" s="5" t="s">
        <v>560</v>
      </c>
      <c r="B299" s="0" t="s">
        <v>248</v>
      </c>
      <c r="C299" s="9" t="n">
        <v>0</v>
      </c>
      <c r="D299" s="9" t="n">
        <v>0</v>
      </c>
      <c r="E299" s="9" t="n">
        <f aca="false">-aff_hit*aff_A-0*cn_sh*(E296+E297)</f>
        <v>-0</v>
      </c>
      <c r="F299" s="9" t="n">
        <f aca="false">-aff_hit*aff_A-0*cn_sh*(F296+F297)</f>
        <v>-0</v>
      </c>
      <c r="G299" s="9" t="n">
        <f aca="false">-aff_hit*aff_A-0*cn_sh*(G296+G297)</f>
        <v>-0</v>
      </c>
      <c r="H299" s="5" t="s">
        <v>561</v>
      </c>
    </row>
    <row r="300" customFormat="false" ht="15" hidden="false" customHeight="false" outlineLevel="0" collapsed="false">
      <c r="A300" s="5" t="s">
        <v>450</v>
      </c>
      <c r="B300" s="0" t="s">
        <v>248</v>
      </c>
      <c r="C300" s="9" t="n">
        <f aca="false">C296+C297+C298+C299</f>
        <v>28368</v>
      </c>
      <c r="D300" s="9" t="n">
        <f aca="false">D296+D297+D298+D299</f>
        <v>34287</v>
      </c>
      <c r="E300" s="9" t="n">
        <f aca="false">E296+E297+E298+E299</f>
        <v>41757.6393303468</v>
      </c>
      <c r="F300" s="9" t="n">
        <f aca="false">F296+F297+F298+F299</f>
        <v>47443.9635973303</v>
      </c>
      <c r="G300" s="9" t="n">
        <f aca="false">G296+G297+G298+G299</f>
        <v>51242.479654742</v>
      </c>
    </row>
    <row r="301" customFormat="false" ht="17.15" hidden="false" customHeight="false" outlineLevel="0" collapsed="false">
      <c r="A301" s="0" t="s">
        <v>456</v>
      </c>
      <c r="B301" s="0" t="s">
        <v>195</v>
      </c>
      <c r="C301" s="11" t="n">
        <f aca="false">a25_gp/a25_rev</f>
        <v>0.487833192329385</v>
      </c>
      <c r="D301" s="11" t="n">
        <f aca="false">an_gp/an_rev</f>
        <v>0.500418584303089</v>
      </c>
      <c r="E301" s="11" t="n">
        <f aca="false">1-((1-phic_hi)*cogs25+phic_hi*cogs25/a25_rev*E300)/E300</f>
        <v>0.496044538734091</v>
      </c>
      <c r="F301" s="11" t="n">
        <f aca="false">1-((1-phic_hi)*cogs25+phic_hi*cogs25/a25_rev*F300)/F300</f>
        <v>0.498129629049773</v>
      </c>
      <c r="G301" s="11" t="n">
        <f aca="false">1-((1-phic_hi)*cogs25+phic_hi*cogs25/a25_rev*G300)/G300</f>
        <v>0.499264673886125</v>
      </c>
      <c r="H301" s="5" t="s">
        <v>562</v>
      </c>
    </row>
    <row r="302" customFormat="false" ht="17.15" hidden="false" customHeight="false" outlineLevel="0" collapsed="false">
      <c r="A302" s="0" t="s">
        <v>459</v>
      </c>
      <c r="B302" s="0" t="s">
        <v>248</v>
      </c>
      <c r="C302" s="9" t="n">
        <f aca="false">C300*C301</f>
        <v>13838.852</v>
      </c>
      <c r="D302" s="9" t="n">
        <f aca="false">D300*D301</f>
        <v>17157.852</v>
      </c>
      <c r="E302" s="9" t="n">
        <f aca="false">E300*E301</f>
        <v>20713.6489402464</v>
      </c>
      <c r="F302" s="9" t="n">
        <f aca="false">F300*F301</f>
        <v>23633.2439873891</v>
      </c>
      <c r="G302" s="9" t="n">
        <f aca="false">G300*G301</f>
        <v>25583.5598939412</v>
      </c>
    </row>
    <row r="303" customFormat="false" ht="17.15" hidden="false" customHeight="false" outlineLevel="0" collapsed="false">
      <c r="A303" s="0" t="s">
        <v>563</v>
      </c>
      <c r="B303" s="0" t="s">
        <v>248</v>
      </c>
      <c r="C303" s="9" t="n">
        <f aca="false">opex25</f>
        <v>5276.852</v>
      </c>
      <c r="D303" s="9" t="n">
        <f aca="false">opex26</f>
        <v>5832.852</v>
      </c>
      <c r="E303" s="9" t="n">
        <f aca="false">oF+ov*E300</f>
        <v>6534.60490888205</v>
      </c>
      <c r="F303" s="9" t="n">
        <f aca="false">oF+ov*F300</f>
        <v>7068.74856362826</v>
      </c>
      <c r="G303" s="9" t="n">
        <f aca="false">oF+ov*G300</f>
        <v>7425.56135766795</v>
      </c>
      <c r="H303" s="5" t="s">
        <v>564</v>
      </c>
    </row>
    <row r="304" customFormat="false" ht="17.15" hidden="false" customHeight="false" outlineLevel="0" collapsed="false">
      <c r="A304" s="0" t="s">
        <v>461</v>
      </c>
      <c r="B304" s="0" t="s">
        <v>248</v>
      </c>
      <c r="C304" s="9" t="n">
        <f aca="false">C302-C303</f>
        <v>8562</v>
      </c>
      <c r="D304" s="9" t="n">
        <f aca="false">D302-D303</f>
        <v>11325</v>
      </c>
      <c r="E304" s="9" t="n">
        <f aca="false">E302-E303</f>
        <v>14179.0440313644</v>
      </c>
      <c r="F304" s="9" t="n">
        <f aca="false">F302-F303</f>
        <v>16564.4954237608</v>
      </c>
      <c r="G304" s="9" t="n">
        <f aca="false">G302-G303</f>
        <v>18157.9985362732</v>
      </c>
    </row>
    <row r="305" customFormat="false" ht="17.15" hidden="false" customHeight="false" outlineLevel="0" collapsed="false">
      <c r="A305" s="0" t="s">
        <v>540</v>
      </c>
      <c r="B305" s="0" t="s">
        <v>195</v>
      </c>
      <c r="C305" s="11" t="n">
        <f aca="false">C304/C300</f>
        <v>0.301818950930626</v>
      </c>
      <c r="D305" s="11" t="n">
        <f aca="false">D304/D300</f>
        <v>0.330300113745735</v>
      </c>
      <c r="E305" s="11" t="n">
        <f aca="false">E304/E300</f>
        <v>0.339555689898876</v>
      </c>
      <c r="F305" s="11" t="n">
        <f aca="false">F304/F300</f>
        <v>0.349138102464375</v>
      </c>
      <c r="G305" s="11" t="n">
        <f aca="false">G304/G300</f>
        <v>0.354354407878325</v>
      </c>
    </row>
    <row r="306" customFormat="false" ht="17.15" hidden="false" customHeight="false" outlineLevel="0" collapsed="false">
      <c r="A306" s="0" t="s">
        <v>466</v>
      </c>
      <c r="B306" s="0" t="s">
        <v>248</v>
      </c>
      <c r="C306" s="9" t="n">
        <f aca="false">a25_ni</f>
        <v>7607</v>
      </c>
      <c r="D306" s="9" t="n">
        <f aca="false">an_ni</f>
        <v>10179.92</v>
      </c>
      <c r="E306" s="9" t="n">
        <f aca="false">E304*nioi</f>
        <v>12597.5225352241</v>
      </c>
      <c r="F306" s="9" t="n">
        <f aca="false">F304*nioi</f>
        <v>14716.9022060907</v>
      </c>
      <c r="G306" s="9" t="n">
        <f aca="false">G304*nioi</f>
        <v>16132.667001335</v>
      </c>
    </row>
    <row r="307" customFormat="false" ht="15" hidden="false" customHeight="false" outlineLevel="0" collapsed="false">
      <c r="A307" s="5" t="s">
        <v>565</v>
      </c>
      <c r="B307" s="5" t="s">
        <v>324</v>
      </c>
      <c r="C307" s="23" t="n">
        <f aca="false">a25_sh</f>
        <v>808</v>
      </c>
      <c r="D307" s="23" t="n">
        <f aca="false">an_sh</f>
        <v>797.799373040752</v>
      </c>
      <c r="E307" s="23" t="n">
        <f aca="false">$D307*(1-bb)^1</f>
        <v>789.821379310345</v>
      </c>
      <c r="F307" s="23" t="n">
        <f aca="false">$D307*(1-bb)^2</f>
        <v>781.923165517241</v>
      </c>
      <c r="G307" s="23" t="n">
        <f aca="false">$D307*(1-bb)^3</f>
        <v>774.103933862069</v>
      </c>
    </row>
    <row r="308" customFormat="false" ht="17.15" hidden="false" customHeight="false" outlineLevel="0" collapsed="false">
      <c r="A308" s="0" t="s">
        <v>566</v>
      </c>
      <c r="B308" s="0" t="s">
        <v>337</v>
      </c>
      <c r="C308" s="14" t="n">
        <f aca="false">a25_eps</f>
        <v>9.42</v>
      </c>
      <c r="D308" s="14" t="n">
        <f aca="false">an_eps</f>
        <v>12.76</v>
      </c>
      <c r="E308" s="14" t="n">
        <f aca="false">E306/E307</f>
        <v>15.949837349584</v>
      </c>
      <c r="F308" s="14" t="n">
        <f aca="false">F306/F307</f>
        <v>18.8214173145202</v>
      </c>
      <c r="G308" s="14" t="n">
        <f aca="false">G306/G307</f>
        <v>20.8404405347067</v>
      </c>
      <c r="H308" s="8" t="s">
        <v>567</v>
      </c>
    </row>
    <row r="309" customFormat="false" ht="17.15" hidden="false" customHeight="false" outlineLevel="0" collapsed="false">
      <c r="A309" s="5" t="s">
        <v>568</v>
      </c>
      <c r="B309" s="0" t="s">
        <v>195</v>
      </c>
      <c r="D309" s="11" t="n">
        <f aca="false">D296/1000/(D291+D292+D293)</f>
        <v>0.174088357854613</v>
      </c>
      <c r="E309" s="11" t="n">
        <f aca="false">E296/1000/(E291+E292+E293)</f>
        <v>0.174032095099019</v>
      </c>
      <c r="F309" s="11" t="n">
        <f aca="false">F296/1000/(F291+F292+F293)</f>
        <v>0.173968172468113</v>
      </c>
      <c r="G309" s="11" t="n">
        <f aca="false">G296/1000/(G291+G292+G293)</f>
        <v>0.17383613380168</v>
      </c>
      <c r="H309" s="5" t="s">
        <v>569</v>
      </c>
    </row>
    <row r="316" customFormat="false" ht="17.15" hidden="false" customHeight="false" outlineLevel="0" collapsed="false">
      <c r="A316" s="3" t="s">
        <v>869</v>
      </c>
    </row>
    <row r="317" customFormat="false" ht="15" hidden="false" customHeight="false" outlineLevel="0" collapsed="false">
      <c r="A317" s="6" t="s">
        <v>15</v>
      </c>
      <c r="B317" s="6" t="s">
        <v>16</v>
      </c>
      <c r="C317" s="15" t="s">
        <v>509</v>
      </c>
      <c r="D317" s="15" t="s">
        <v>510</v>
      </c>
      <c r="E317" s="15" t="s">
        <v>511</v>
      </c>
      <c r="F317" s="15" t="s">
        <v>512</v>
      </c>
      <c r="G317" s="15" t="s">
        <v>513</v>
      </c>
      <c r="H317" s="6" t="s">
        <v>514</v>
      </c>
    </row>
    <row r="318" customFormat="false" ht="17.15" hidden="false" customHeight="false" outlineLevel="0" collapsed="false">
      <c r="A318" s="1" t="s">
        <v>545</v>
      </c>
    </row>
    <row r="319" customFormat="false" ht="17.15" hidden="false" customHeight="false" outlineLevel="0" collapsed="false">
      <c r="A319" s="5" t="s">
        <v>546</v>
      </c>
      <c r="B319" s="0" t="s">
        <v>26</v>
      </c>
      <c r="C319" s="22" t="n">
        <f aca="false">laA_25+loA_25+ofA_25</f>
        <v>78.3481206981793</v>
      </c>
      <c r="D319" s="22" t="n">
        <f aca="false">laA_26+loA_26+ofA_26</f>
        <v>99.2871982981748</v>
      </c>
      <c r="E319" s="22" t="n">
        <f aca="false">laA_27+loA_27+ofA_27</f>
        <v>116.288709321091</v>
      </c>
      <c r="F319" s="22" t="n">
        <f aca="false">laA_28+loA_28+ofA_28</f>
        <v>130.886404842261</v>
      </c>
      <c r="G319" s="22" t="n">
        <f aca="false">laA_29+loA_29+ofA_29</f>
        <v>139.398079992203</v>
      </c>
    </row>
    <row r="320" customFormat="false" ht="17.15" hidden="false" customHeight="false" outlineLevel="0" collapsed="false">
      <c r="A320" s="0" t="s">
        <v>547</v>
      </c>
      <c r="B320" s="0" t="s">
        <v>26</v>
      </c>
      <c r="C320" s="22" t="n">
        <f aca="false">drA_25</f>
        <v>26.3761091658243</v>
      </c>
      <c r="D320" s="22" t="n">
        <f aca="false">drA_26</f>
        <v>39.3659468014757</v>
      </c>
      <c r="E320" s="22" t="n">
        <f aca="false">drA_27</f>
        <v>53.2587328153375</v>
      </c>
      <c r="F320" s="22" t="n">
        <f aca="false">drA_28</f>
        <v>59.5608998372386</v>
      </c>
      <c r="G320" s="22" t="n">
        <f aca="false">drA_29</f>
        <v>61.8312930912183</v>
      </c>
    </row>
    <row r="321" customFormat="false" ht="15" hidden="false" customHeight="false" outlineLevel="0" collapsed="false">
      <c r="A321" s="0" t="s">
        <v>548</v>
      </c>
      <c r="B321" s="0" t="s">
        <v>26</v>
      </c>
      <c r="C321" s="22" t="n">
        <f aca="false">ndA_25</f>
        <v>12.1726019800256</v>
      </c>
      <c r="D321" s="22" t="n">
        <f aca="false">ndA_26</f>
        <v>17.5039054704765</v>
      </c>
      <c r="E321" s="22" t="n">
        <f aca="false">ndA_27</f>
        <v>23.2480272411321</v>
      </c>
      <c r="F321" s="22" t="n">
        <f aca="false">ndA_28</f>
        <v>26.181321629459</v>
      </c>
      <c r="G321" s="22" t="n">
        <f aca="false">ndA_29</f>
        <v>27.674312771805</v>
      </c>
    </row>
    <row r="322" customFormat="false" ht="17.15" hidden="false" customHeight="false" outlineLevel="0" collapsed="false">
      <c r="A322" s="1" t="s">
        <v>549</v>
      </c>
    </row>
    <row r="323" customFormat="false" ht="17.15" hidden="false" customHeight="false" outlineLevel="0" collapsed="false">
      <c r="A323" s="5" t="s">
        <v>550</v>
      </c>
      <c r="B323" s="0" t="s">
        <v>26</v>
      </c>
      <c r="D323" s="22" t="n">
        <f aca="false">fyw*C319+(1-fyw)*D319</f>
        <v>95.7973520315089</v>
      </c>
      <c r="E323" s="22" t="n">
        <f aca="false">fyw*D319+(1-fyw)*E319</f>
        <v>113.455124150605</v>
      </c>
      <c r="F323" s="22" t="n">
        <f aca="false">fyw*E319+(1-fyw)*F319</f>
        <v>128.453455588732</v>
      </c>
      <c r="G323" s="22" t="n">
        <f aca="false">fyw*F319+(1-fyw)*G319</f>
        <v>137.979467467212</v>
      </c>
    </row>
    <row r="324" customFormat="false" ht="17.15" hidden="false" customHeight="false" outlineLevel="0" collapsed="false">
      <c r="A324" s="0" t="s">
        <v>551</v>
      </c>
      <c r="B324" s="0" t="s">
        <v>26</v>
      </c>
      <c r="D324" s="22" t="n">
        <f aca="false">fyw*C320+(1-fyw)*D320</f>
        <v>37.2009738622005</v>
      </c>
      <c r="E324" s="22" t="n">
        <f aca="false">fyw*D320+(1-fyw)*E320</f>
        <v>50.9432684796939</v>
      </c>
      <c r="F324" s="22" t="n">
        <f aca="false">fyw*E320+(1-fyw)*F320</f>
        <v>58.5105386669218</v>
      </c>
      <c r="G324" s="22" t="n">
        <f aca="false">fyw*F320+(1-fyw)*G320</f>
        <v>61.452894215555</v>
      </c>
    </row>
    <row r="325" customFormat="false" ht="15" hidden="false" customHeight="false" outlineLevel="0" collapsed="false">
      <c r="A325" s="0" t="s">
        <v>552</v>
      </c>
      <c r="B325" s="0" t="s">
        <v>26</v>
      </c>
      <c r="D325" s="22" t="n">
        <f aca="false">fyw*C321+(1-fyw)*D321</f>
        <v>16.6153548887347</v>
      </c>
      <c r="E325" s="22" t="n">
        <f aca="false">fyw*D321+(1-fyw)*E321</f>
        <v>22.2906736126895</v>
      </c>
      <c r="F325" s="22" t="n">
        <f aca="false">fyw*E321+(1-fyw)*F321</f>
        <v>25.6924392314045</v>
      </c>
      <c r="G325" s="22" t="n">
        <f aca="false">fyw*F321+(1-fyw)*G321</f>
        <v>27.4254809147473</v>
      </c>
    </row>
    <row r="326" customFormat="false" ht="17.15" hidden="false" customHeight="false" outlineLevel="0" collapsed="false">
      <c r="A326" s="5" t="s">
        <v>553</v>
      </c>
      <c r="B326" s="0" t="s">
        <v>242</v>
      </c>
      <c r="D326" s="21" t="n">
        <f aca="false">m_fl*D323/$D323+m_dr*D324/$D324+m_nd*D325/$D325</f>
        <v>1</v>
      </c>
      <c r="E326" s="21" t="n">
        <f aca="false">m_fl*E323/$D323+m_dr*E324/$D324+m_nd*E325/$D325</f>
        <v>1.2474041822294</v>
      </c>
      <c r="F326" s="21" t="n">
        <f aca="false">m_fl*F323/$D323+m_dr*F324/$D324+m_nd*F325/$D325</f>
        <v>1.42038896941297</v>
      </c>
      <c r="G326" s="21" t="n">
        <f aca="false">m_fl*G323/$D323+m_dr*G324/$D324+m_nd*G325/$D325</f>
        <v>1.51409392151355</v>
      </c>
      <c r="H326" s="8" t="s">
        <v>554</v>
      </c>
    </row>
    <row r="327" customFormat="false" ht="17.15" hidden="false" customHeight="false" outlineLevel="0" collapsed="false">
      <c r="A327" s="1" t="s">
        <v>555</v>
      </c>
    </row>
    <row r="328" customFormat="false" ht="17.15" hidden="false" customHeight="false" outlineLevel="0" collapsed="false">
      <c r="A328" s="5" t="s">
        <v>556</v>
      </c>
      <c r="B328" s="0" t="s">
        <v>248</v>
      </c>
      <c r="C328" s="9" t="n">
        <f aca="false">a25_ss</f>
        <v>21438.5432098765</v>
      </c>
      <c r="D328" s="9" t="n">
        <f aca="false">an_ss</f>
        <v>26046</v>
      </c>
      <c r="E328" s="9" t="n">
        <f aca="false">$D328*E326*sf</f>
        <v>32489.8893303468</v>
      </c>
      <c r="F328" s="9" t="n">
        <f aca="false">$D328*F326*sf</f>
        <v>36995.4510973303</v>
      </c>
      <c r="G328" s="9" t="n">
        <f aca="false">$D328*G326*sf</f>
        <v>39436.090279742</v>
      </c>
      <c r="H328" s="8" t="s">
        <v>557</v>
      </c>
    </row>
    <row r="329" customFormat="false" ht="17.15" hidden="false" customHeight="false" outlineLevel="0" collapsed="false">
      <c r="A329" s="0" t="s">
        <v>558</v>
      </c>
      <c r="B329" s="0" t="s">
        <v>248</v>
      </c>
      <c r="C329" s="9" t="n">
        <f aca="false">a25_ags</f>
        <v>5744.19672131148</v>
      </c>
      <c r="D329" s="9" t="n">
        <f aca="false">an_ags</f>
        <v>6845</v>
      </c>
      <c r="E329" s="9" t="n">
        <f aca="false">D329*(1+g_ags_A)</f>
        <v>7871.75</v>
      </c>
      <c r="F329" s="9" t="n">
        <f aca="false">E329*(1+g_ags_A)</f>
        <v>9052.5125</v>
      </c>
      <c r="G329" s="9" t="n">
        <f aca="false">F329*(1+g_ags_A)</f>
        <v>10410.389375</v>
      </c>
    </row>
    <row r="330" customFormat="false" ht="15" hidden="false" customHeight="false" outlineLevel="0" collapsed="false">
      <c r="A330" s="5" t="s">
        <v>559</v>
      </c>
      <c r="B330" s="0" t="s">
        <v>248</v>
      </c>
      <c r="C330" s="9" t="n">
        <f aca="false">a25_oth</f>
        <v>1185.26006881198</v>
      </c>
      <c r="D330" s="9" t="n">
        <f aca="false">an_oth</f>
        <v>1396</v>
      </c>
      <c r="E330" s="9" t="n">
        <f aca="false">D330*(1+g_oth_A)</f>
        <v>1396</v>
      </c>
      <c r="F330" s="9" t="n">
        <f aca="false">E330*(1+g_oth_A)</f>
        <v>1396</v>
      </c>
      <c r="G330" s="9" t="n">
        <f aca="false">F330*(1+g_oth_A)</f>
        <v>1396</v>
      </c>
    </row>
    <row r="331" customFormat="false" ht="17.15" hidden="false" customHeight="false" outlineLevel="0" collapsed="false">
      <c r="A331" s="5" t="s">
        <v>560</v>
      </c>
      <c r="B331" s="0" t="s">
        <v>248</v>
      </c>
      <c r="C331" s="9" t="n">
        <v>0</v>
      </c>
      <c r="D331" s="9" t="n">
        <v>0</v>
      </c>
      <c r="E331" s="9" t="n">
        <f aca="false">-aff_hit*aff_A-0*cn_sh*(E328+E329)</f>
        <v>-0</v>
      </c>
      <c r="F331" s="9" t="n">
        <f aca="false">-aff_hit*aff_A-0*cn_sh*(F328+F329)</f>
        <v>-0</v>
      </c>
      <c r="G331" s="9" t="n">
        <f aca="false">-aff_hit*aff_A-0*cn_sh*(G328+G329)</f>
        <v>-0</v>
      </c>
      <c r="H331" s="5" t="s">
        <v>561</v>
      </c>
    </row>
    <row r="332" customFormat="false" ht="15" hidden="false" customHeight="false" outlineLevel="0" collapsed="false">
      <c r="A332" s="5" t="s">
        <v>450</v>
      </c>
      <c r="B332" s="0" t="s">
        <v>248</v>
      </c>
      <c r="C332" s="9" t="n">
        <f aca="false">C328+C329+C330+C331</f>
        <v>28368</v>
      </c>
      <c r="D332" s="9" t="n">
        <f aca="false">D328+D329+D330+D331</f>
        <v>34287</v>
      </c>
      <c r="E332" s="9" t="n">
        <f aca="false">E328+E329+E330+E331</f>
        <v>41757.6393303468</v>
      </c>
      <c r="F332" s="9" t="n">
        <f aca="false">F328+F329+F330+F331</f>
        <v>47443.9635973303</v>
      </c>
      <c r="G332" s="9" t="n">
        <f aca="false">G328+G329+G330+G331</f>
        <v>51242.479654742</v>
      </c>
    </row>
    <row r="333" customFormat="false" ht="17.15" hidden="false" customHeight="false" outlineLevel="0" collapsed="false">
      <c r="A333" s="0" t="s">
        <v>456</v>
      </c>
      <c r="B333" s="0" t="s">
        <v>195</v>
      </c>
      <c r="C333" s="11" t="n">
        <f aca="false">a25_gp/a25_rev</f>
        <v>0.487833192329385</v>
      </c>
      <c r="D333" s="11" t="n">
        <f aca="false">an_gp/an_rev</f>
        <v>0.500418584303089</v>
      </c>
      <c r="E333" s="11" t="n">
        <f aca="false">1-(cF+cv*E332)/E332</f>
        <v>0.511209764771017</v>
      </c>
      <c r="F333" s="11" t="n">
        <f aca="false">1-(cF+cv*F332)/F332</f>
        <v>0.51714572976501</v>
      </c>
      <c r="G333" s="11" t="n">
        <f aca="false">1-(cF+cv*G332)/G332</f>
        <v>0.520377046108731</v>
      </c>
      <c r="H333" s="5" t="s">
        <v>562</v>
      </c>
    </row>
    <row r="334" customFormat="false" ht="17.15" hidden="false" customHeight="false" outlineLevel="0" collapsed="false">
      <c r="A334" s="0" t="s">
        <v>459</v>
      </c>
      <c r="B334" s="0" t="s">
        <v>248</v>
      </c>
      <c r="C334" s="9" t="n">
        <f aca="false">C332*C333</f>
        <v>13838.852</v>
      </c>
      <c r="D334" s="9" t="n">
        <f aca="false">D332*D333</f>
        <v>17157.852</v>
      </c>
      <c r="E334" s="9" t="n">
        <f aca="false">E332*E333</f>
        <v>21346.9129794596</v>
      </c>
      <c r="F334" s="9" t="n">
        <f aca="false">F332*F333</f>
        <v>24535.4431774859</v>
      </c>
      <c r="G334" s="9" t="n">
        <f aca="false">G332*G333</f>
        <v>26665.4101980214</v>
      </c>
    </row>
    <row r="335" customFormat="false" ht="17.15" hidden="false" customHeight="false" outlineLevel="0" collapsed="false">
      <c r="A335" s="0" t="s">
        <v>563</v>
      </c>
      <c r="B335" s="0" t="s">
        <v>248</v>
      </c>
      <c r="C335" s="9" t="n">
        <f aca="false">opex25</f>
        <v>5276.852</v>
      </c>
      <c r="D335" s="9" t="n">
        <f aca="false">opex26</f>
        <v>5832.852</v>
      </c>
      <c r="E335" s="9" t="n">
        <f aca="false">(1-phi_lo)*opex25+phi_lo*opex25/a25_rev*E332</f>
        <v>6148.58426092311</v>
      </c>
      <c r="F335" s="9" t="n">
        <f aca="false">(1-phi_lo)*opex25+phi_lo*opex25/a25_rev*F332</f>
        <v>6518.79231412771</v>
      </c>
      <c r="G335" s="9" t="n">
        <f aca="false">(1-phi_lo)*opex25+phi_lo*opex25/a25_rev*G332</f>
        <v>6766.09464312886</v>
      </c>
      <c r="H335" s="5" t="s">
        <v>564</v>
      </c>
    </row>
    <row r="336" customFormat="false" ht="17.15" hidden="false" customHeight="false" outlineLevel="0" collapsed="false">
      <c r="A336" s="0" t="s">
        <v>461</v>
      </c>
      <c r="B336" s="0" t="s">
        <v>248</v>
      </c>
      <c r="C336" s="9" t="n">
        <f aca="false">C334-C335</f>
        <v>8562</v>
      </c>
      <c r="D336" s="9" t="n">
        <f aca="false">D334-D335</f>
        <v>11325</v>
      </c>
      <c r="E336" s="9" t="n">
        <f aca="false">E334-E335</f>
        <v>15198.3287185365</v>
      </c>
      <c r="F336" s="9" t="n">
        <f aca="false">F334-F335</f>
        <v>18016.6508633582</v>
      </c>
      <c r="G336" s="9" t="n">
        <f aca="false">G334-G335</f>
        <v>19899.3155548926</v>
      </c>
    </row>
    <row r="337" customFormat="false" ht="17.15" hidden="false" customHeight="false" outlineLevel="0" collapsed="false">
      <c r="A337" s="0" t="s">
        <v>540</v>
      </c>
      <c r="B337" s="0" t="s">
        <v>195</v>
      </c>
      <c r="C337" s="11" t="n">
        <f aca="false">C336/C332</f>
        <v>0.301818950930626</v>
      </c>
      <c r="D337" s="11" t="n">
        <f aca="false">D336/D332</f>
        <v>0.330300113745735</v>
      </c>
      <c r="E337" s="11" t="n">
        <f aca="false">E336/E332</f>
        <v>0.363965227974256</v>
      </c>
      <c r="F337" s="11" t="n">
        <f aca="false">F336/F332</f>
        <v>0.379745904374061</v>
      </c>
      <c r="G337" s="11" t="n">
        <f aca="false">G336/G332</f>
        <v>0.388336311766502</v>
      </c>
    </row>
    <row r="338" customFormat="false" ht="17.15" hidden="false" customHeight="false" outlineLevel="0" collapsed="false">
      <c r="A338" s="0" t="s">
        <v>466</v>
      </c>
      <c r="B338" s="0" t="s">
        <v>248</v>
      </c>
      <c r="C338" s="9" t="n">
        <f aca="false">a25_ni</f>
        <v>7607</v>
      </c>
      <c r="D338" s="9" t="n">
        <f aca="false">an_ni</f>
        <v>10179.92</v>
      </c>
      <c r="E338" s="9" t="n">
        <f aca="false">E336*nioi</f>
        <v>13503.1168607693</v>
      </c>
      <c r="F338" s="9" t="n">
        <f aca="false">F336*nioi</f>
        <v>16007.0851573892</v>
      </c>
      <c r="G338" s="9" t="n">
        <f aca="false">G336*nioi</f>
        <v>17679.7586342055</v>
      </c>
    </row>
    <row r="339" customFormat="false" ht="15" hidden="false" customHeight="false" outlineLevel="0" collapsed="false">
      <c r="A339" s="5" t="s">
        <v>565</v>
      </c>
      <c r="B339" s="5" t="s">
        <v>324</v>
      </c>
      <c r="C339" s="23" t="n">
        <f aca="false">a25_sh</f>
        <v>808</v>
      </c>
      <c r="D339" s="23" t="n">
        <f aca="false">an_sh</f>
        <v>797.799373040752</v>
      </c>
      <c r="E339" s="23" t="n">
        <f aca="false">$D339*(1-bb)^1</f>
        <v>789.821379310345</v>
      </c>
      <c r="F339" s="23" t="n">
        <f aca="false">$D339*(1-bb)^2</f>
        <v>781.923165517241</v>
      </c>
      <c r="G339" s="23" t="n">
        <f aca="false">$D339*(1-bb)^3</f>
        <v>774.103933862069</v>
      </c>
    </row>
    <row r="340" customFormat="false" ht="17.15" hidden="false" customHeight="false" outlineLevel="0" collapsed="false">
      <c r="A340" s="0" t="s">
        <v>566</v>
      </c>
      <c r="B340" s="0" t="s">
        <v>337</v>
      </c>
      <c r="C340" s="14" t="n">
        <f aca="false">a25_eps</f>
        <v>9.42</v>
      </c>
      <c r="D340" s="14" t="n">
        <f aca="false">an_eps</f>
        <v>12.76</v>
      </c>
      <c r="E340" s="14" t="n">
        <f aca="false">E338/E339</f>
        <v>17.09641852511</v>
      </c>
      <c r="F340" s="14" t="n">
        <f aca="false">F338/F339</f>
        <v>20.4714297558898</v>
      </c>
      <c r="G340" s="14" t="n">
        <f aca="false">G338/G339</f>
        <v>22.8389985644431</v>
      </c>
      <c r="H340" s="8" t="s">
        <v>567</v>
      </c>
    </row>
    <row r="341" customFormat="false" ht="17.15" hidden="false" customHeight="false" outlineLevel="0" collapsed="false">
      <c r="A341" s="5" t="s">
        <v>568</v>
      </c>
      <c r="B341" s="0" t="s">
        <v>195</v>
      </c>
      <c r="D341" s="11" t="n">
        <f aca="false">D328/1000/(D323+D324+D325)</f>
        <v>0.174088357854613</v>
      </c>
      <c r="E341" s="11" t="n">
        <f aca="false">E328/1000/(E323+E324+E325)</f>
        <v>0.174032095099019</v>
      </c>
      <c r="F341" s="11" t="n">
        <f aca="false">F328/1000/(F323+F324+F325)</f>
        <v>0.173968172468113</v>
      </c>
      <c r="G341" s="11" t="n">
        <f aca="false">G328/1000/(G323+G324+G325)</f>
        <v>0.17383613380168</v>
      </c>
      <c r="H341" s="5" t="s">
        <v>569</v>
      </c>
    </row>
    <row r="348" customFormat="false" ht="17.15" hidden="false" customHeight="false" outlineLevel="0" collapsed="false">
      <c r="A348" s="3" t="s">
        <v>870</v>
      </c>
    </row>
    <row r="349" customFormat="false" ht="15" hidden="false" customHeight="false" outlineLevel="0" collapsed="false">
      <c r="A349" s="6" t="s">
        <v>15</v>
      </c>
      <c r="B349" s="6" t="s">
        <v>16</v>
      </c>
      <c r="C349" s="15" t="s">
        <v>509</v>
      </c>
      <c r="D349" s="15" t="s">
        <v>510</v>
      </c>
      <c r="E349" s="15" t="s">
        <v>511</v>
      </c>
      <c r="F349" s="15" t="s">
        <v>512</v>
      </c>
      <c r="G349" s="15" t="s">
        <v>513</v>
      </c>
      <c r="H349" s="6" t="s">
        <v>514</v>
      </c>
    </row>
    <row r="350" customFormat="false" ht="17.15" hidden="false" customHeight="false" outlineLevel="0" collapsed="false">
      <c r="A350" s="1" t="s">
        <v>545</v>
      </c>
    </row>
    <row r="351" customFormat="false" ht="17.15" hidden="false" customHeight="false" outlineLevel="0" collapsed="false">
      <c r="A351" s="5" t="s">
        <v>546</v>
      </c>
      <c r="B351" s="0" t="s">
        <v>26</v>
      </c>
      <c r="C351" s="22" t="n">
        <f aca="false">laA_25+loA_25+ofA_25</f>
        <v>78.3481206981793</v>
      </c>
      <c r="D351" s="22" t="n">
        <f aca="false">laA_26+loA_26+ofA_26</f>
        <v>99.2871982981748</v>
      </c>
      <c r="E351" s="22" t="n">
        <f aca="false">laA_27+loA_27+ofA_27</f>
        <v>116.288709321091</v>
      </c>
      <c r="F351" s="22" t="n">
        <f aca="false">laA_28+loA_28+ofA_28</f>
        <v>130.886404842261</v>
      </c>
      <c r="G351" s="22" t="n">
        <f aca="false">laA_29+loA_29+ofA_29</f>
        <v>139.398079992203</v>
      </c>
    </row>
    <row r="352" customFormat="false" ht="17.15" hidden="false" customHeight="false" outlineLevel="0" collapsed="false">
      <c r="A352" s="0" t="s">
        <v>547</v>
      </c>
      <c r="B352" s="0" t="s">
        <v>26</v>
      </c>
      <c r="C352" s="22" t="n">
        <f aca="false">drA_25</f>
        <v>26.3761091658243</v>
      </c>
      <c r="D352" s="22" t="n">
        <f aca="false">drA_26</f>
        <v>39.3659468014757</v>
      </c>
      <c r="E352" s="22" t="n">
        <f aca="false">drA_27</f>
        <v>53.2587328153375</v>
      </c>
      <c r="F352" s="22" t="n">
        <f aca="false">drA_28</f>
        <v>59.5608998372386</v>
      </c>
      <c r="G352" s="22" t="n">
        <f aca="false">drA_29</f>
        <v>61.8312930912183</v>
      </c>
    </row>
    <row r="353" customFormat="false" ht="15" hidden="false" customHeight="false" outlineLevel="0" collapsed="false">
      <c r="A353" s="0" t="s">
        <v>548</v>
      </c>
      <c r="B353" s="0" t="s">
        <v>26</v>
      </c>
      <c r="C353" s="22" t="n">
        <f aca="false">ndA_25</f>
        <v>12.1726019800256</v>
      </c>
      <c r="D353" s="22" t="n">
        <f aca="false">ndA_26</f>
        <v>17.5039054704765</v>
      </c>
      <c r="E353" s="22" t="n">
        <f aca="false">ndA_27</f>
        <v>23.2480272411321</v>
      </c>
      <c r="F353" s="22" t="n">
        <f aca="false">ndA_28</f>
        <v>26.181321629459</v>
      </c>
      <c r="G353" s="22" t="n">
        <f aca="false">ndA_29</f>
        <v>27.674312771805</v>
      </c>
    </row>
    <row r="354" customFormat="false" ht="17.15" hidden="false" customHeight="false" outlineLevel="0" collapsed="false">
      <c r="A354" s="1" t="s">
        <v>549</v>
      </c>
    </row>
    <row r="355" customFormat="false" ht="17.15" hidden="false" customHeight="false" outlineLevel="0" collapsed="false">
      <c r="A355" s="5" t="s">
        <v>550</v>
      </c>
      <c r="B355" s="0" t="s">
        <v>26</v>
      </c>
      <c r="D355" s="22" t="n">
        <f aca="false">fyw*C351+(1-fyw)*D351</f>
        <v>95.7973520315089</v>
      </c>
      <c r="E355" s="22" t="n">
        <f aca="false">fyw*D351+(1-fyw)*E351</f>
        <v>113.455124150605</v>
      </c>
      <c r="F355" s="22" t="n">
        <f aca="false">fyw*E351+(1-fyw)*F351</f>
        <v>128.453455588732</v>
      </c>
      <c r="G355" s="22" t="n">
        <f aca="false">fyw*F351+(1-fyw)*G351</f>
        <v>137.979467467212</v>
      </c>
    </row>
    <row r="356" customFormat="false" ht="17.15" hidden="false" customHeight="false" outlineLevel="0" collapsed="false">
      <c r="A356" s="0" t="s">
        <v>551</v>
      </c>
      <c r="B356" s="0" t="s">
        <v>26</v>
      </c>
      <c r="D356" s="22" t="n">
        <f aca="false">fyw*C352+(1-fyw)*D352</f>
        <v>37.2009738622005</v>
      </c>
      <c r="E356" s="22" t="n">
        <f aca="false">fyw*D352+(1-fyw)*E352</f>
        <v>50.9432684796939</v>
      </c>
      <c r="F356" s="22" t="n">
        <f aca="false">fyw*E352+(1-fyw)*F352</f>
        <v>58.5105386669218</v>
      </c>
      <c r="G356" s="22" t="n">
        <f aca="false">fyw*F352+(1-fyw)*G352</f>
        <v>61.452894215555</v>
      </c>
    </row>
    <row r="357" customFormat="false" ht="15" hidden="false" customHeight="false" outlineLevel="0" collapsed="false">
      <c r="A357" s="0" t="s">
        <v>552</v>
      </c>
      <c r="B357" s="0" t="s">
        <v>26</v>
      </c>
      <c r="D357" s="22" t="n">
        <f aca="false">fyw*C353+(1-fyw)*D353</f>
        <v>16.6153548887347</v>
      </c>
      <c r="E357" s="22" t="n">
        <f aca="false">fyw*D353+(1-fyw)*E353</f>
        <v>22.2906736126895</v>
      </c>
      <c r="F357" s="22" t="n">
        <f aca="false">fyw*E353+(1-fyw)*F353</f>
        <v>25.6924392314045</v>
      </c>
      <c r="G357" s="22" t="n">
        <f aca="false">fyw*F353+(1-fyw)*G353</f>
        <v>27.4254809147473</v>
      </c>
    </row>
    <row r="358" customFormat="false" ht="17.15" hidden="false" customHeight="false" outlineLevel="0" collapsed="false">
      <c r="A358" s="5" t="s">
        <v>553</v>
      </c>
      <c r="B358" s="0" t="s">
        <v>242</v>
      </c>
      <c r="D358" s="21" t="n">
        <f aca="false">m_fl*D355/$D355+m_dr*D356/$D356+m_nd*D357/$D357</f>
        <v>1</v>
      </c>
      <c r="E358" s="21" t="n">
        <f aca="false">m_fl*E355/$D355+m_dr*E356/$D356+m_nd*E357/$D357</f>
        <v>1.2474041822294</v>
      </c>
      <c r="F358" s="21" t="n">
        <f aca="false">m_fl*F355/$D355+m_dr*F356/$D356+m_nd*F357/$D357</f>
        <v>1.42038896941297</v>
      </c>
      <c r="G358" s="21" t="n">
        <f aca="false">m_fl*G355/$D355+m_dr*G356/$D356+m_nd*G357/$D357</f>
        <v>1.51409392151355</v>
      </c>
      <c r="H358" s="8" t="s">
        <v>554</v>
      </c>
    </row>
    <row r="359" customFormat="false" ht="17.15" hidden="false" customHeight="false" outlineLevel="0" collapsed="false">
      <c r="A359" s="1" t="s">
        <v>555</v>
      </c>
    </row>
    <row r="360" customFormat="false" ht="17.15" hidden="false" customHeight="false" outlineLevel="0" collapsed="false">
      <c r="A360" s="5" t="s">
        <v>556</v>
      </c>
      <c r="B360" s="0" t="s">
        <v>248</v>
      </c>
      <c r="C360" s="9" t="n">
        <f aca="false">a25_ss</f>
        <v>21438.5432098765</v>
      </c>
      <c r="D360" s="9" t="n">
        <f aca="false">an_ss</f>
        <v>26046</v>
      </c>
      <c r="E360" s="9" t="n">
        <f aca="false">$D360*E358*sf</f>
        <v>32489.8893303468</v>
      </c>
      <c r="F360" s="9" t="n">
        <f aca="false">$D360*F358*sf</f>
        <v>36995.4510973303</v>
      </c>
      <c r="G360" s="9" t="n">
        <f aca="false">$D360*G358*sf</f>
        <v>39436.090279742</v>
      </c>
      <c r="H360" s="8" t="s">
        <v>557</v>
      </c>
    </row>
    <row r="361" customFormat="false" ht="17.15" hidden="false" customHeight="false" outlineLevel="0" collapsed="false">
      <c r="A361" s="0" t="s">
        <v>558</v>
      </c>
      <c r="B361" s="0" t="s">
        <v>248</v>
      </c>
      <c r="C361" s="9" t="n">
        <f aca="false">a25_ags</f>
        <v>5744.19672131148</v>
      </c>
      <c r="D361" s="9" t="n">
        <f aca="false">an_ags</f>
        <v>6845</v>
      </c>
      <c r="E361" s="9" t="n">
        <f aca="false">D361*(1+g_ags_A)</f>
        <v>7871.75</v>
      </c>
      <c r="F361" s="9" t="n">
        <f aca="false">E361*(1+g_ags_A)</f>
        <v>9052.5125</v>
      </c>
      <c r="G361" s="9" t="n">
        <f aca="false">F361*(1+g_ags_A)</f>
        <v>10410.389375</v>
      </c>
    </row>
    <row r="362" customFormat="false" ht="15" hidden="false" customHeight="false" outlineLevel="0" collapsed="false">
      <c r="A362" s="5" t="s">
        <v>559</v>
      </c>
      <c r="B362" s="0" t="s">
        <v>248</v>
      </c>
      <c r="C362" s="9" t="n">
        <f aca="false">a25_oth</f>
        <v>1185.26006881198</v>
      </c>
      <c r="D362" s="9" t="n">
        <f aca="false">an_oth</f>
        <v>1396</v>
      </c>
      <c r="E362" s="9" t="n">
        <f aca="false">D362*(1+g_oth_A)</f>
        <v>1396</v>
      </c>
      <c r="F362" s="9" t="n">
        <f aca="false">E362*(1+g_oth_A)</f>
        <v>1396</v>
      </c>
      <c r="G362" s="9" t="n">
        <f aca="false">F362*(1+g_oth_A)</f>
        <v>1396</v>
      </c>
    </row>
    <row r="363" customFormat="false" ht="17.15" hidden="false" customHeight="false" outlineLevel="0" collapsed="false">
      <c r="A363" s="5" t="s">
        <v>560</v>
      </c>
      <c r="B363" s="0" t="s">
        <v>248</v>
      </c>
      <c r="C363" s="9" t="n">
        <v>0</v>
      </c>
      <c r="D363" s="9" t="n">
        <v>0</v>
      </c>
      <c r="E363" s="9" t="n">
        <f aca="false">-aff_hit*aff_A-0*cn_sh*(E360+E361)</f>
        <v>-0</v>
      </c>
      <c r="F363" s="9" t="n">
        <f aca="false">-aff_hit*aff_A-0*cn_sh*(F360+F361)</f>
        <v>-0</v>
      </c>
      <c r="G363" s="9" t="n">
        <f aca="false">-aff_hit*aff_A-0*cn_sh*(G360+G361)</f>
        <v>-0</v>
      </c>
      <c r="H363" s="5" t="s">
        <v>561</v>
      </c>
    </row>
    <row r="364" customFormat="false" ht="15" hidden="false" customHeight="false" outlineLevel="0" collapsed="false">
      <c r="A364" s="5" t="s">
        <v>450</v>
      </c>
      <c r="B364" s="0" t="s">
        <v>248</v>
      </c>
      <c r="C364" s="9" t="n">
        <f aca="false">C360+C361+C362+C363</f>
        <v>28368</v>
      </c>
      <c r="D364" s="9" t="n">
        <f aca="false">D360+D361+D362+D363</f>
        <v>34287</v>
      </c>
      <c r="E364" s="9" t="n">
        <f aca="false">E360+E361+E362+E363</f>
        <v>41757.6393303468</v>
      </c>
      <c r="F364" s="9" t="n">
        <f aca="false">F360+F361+F362+F363</f>
        <v>47443.9635973303</v>
      </c>
      <c r="G364" s="9" t="n">
        <f aca="false">G360+G361+G362+G363</f>
        <v>51242.479654742</v>
      </c>
    </row>
    <row r="365" customFormat="false" ht="17.15" hidden="false" customHeight="false" outlineLevel="0" collapsed="false">
      <c r="A365" s="0" t="s">
        <v>456</v>
      </c>
      <c r="B365" s="0" t="s">
        <v>195</v>
      </c>
      <c r="C365" s="11" t="n">
        <f aca="false">a25_gp/a25_rev</f>
        <v>0.487833192329385</v>
      </c>
      <c r="D365" s="11" t="n">
        <f aca="false">an_gp/an_rev</f>
        <v>0.500418584303089</v>
      </c>
      <c r="E365" s="11" t="n">
        <f aca="false">1-(cF+cv*E364)/E364</f>
        <v>0.511209764771017</v>
      </c>
      <c r="F365" s="11" t="n">
        <f aca="false">1-(cF+cv*F364)/F364</f>
        <v>0.51714572976501</v>
      </c>
      <c r="G365" s="11" t="n">
        <f aca="false">1-(cF+cv*G364)/G364</f>
        <v>0.520377046108731</v>
      </c>
      <c r="H365" s="5" t="s">
        <v>562</v>
      </c>
    </row>
    <row r="366" customFormat="false" ht="17.15" hidden="false" customHeight="false" outlineLevel="0" collapsed="false">
      <c r="A366" s="0" t="s">
        <v>459</v>
      </c>
      <c r="B366" s="0" t="s">
        <v>248</v>
      </c>
      <c r="C366" s="9" t="n">
        <f aca="false">C364*C365</f>
        <v>13838.852</v>
      </c>
      <c r="D366" s="9" t="n">
        <f aca="false">D364*D365</f>
        <v>17157.852</v>
      </c>
      <c r="E366" s="9" t="n">
        <f aca="false">E364*E365</f>
        <v>21346.9129794596</v>
      </c>
      <c r="F366" s="9" t="n">
        <f aca="false">F364*F365</f>
        <v>24535.4431774859</v>
      </c>
      <c r="G366" s="9" t="n">
        <f aca="false">G364*G365</f>
        <v>26665.4101980214</v>
      </c>
    </row>
    <row r="367" customFormat="false" ht="17.15" hidden="false" customHeight="false" outlineLevel="0" collapsed="false">
      <c r="A367" s="0" t="s">
        <v>563</v>
      </c>
      <c r="B367" s="0" t="s">
        <v>248</v>
      </c>
      <c r="C367" s="9" t="n">
        <f aca="false">opex25</f>
        <v>5276.852</v>
      </c>
      <c r="D367" s="9" t="n">
        <f aca="false">opex26</f>
        <v>5832.852</v>
      </c>
      <c r="E367" s="9" t="n">
        <f aca="false">(1-phi_hi)*opex25+phi_hi*opex25/a25_rev*E364</f>
        <v>7144.84970197809</v>
      </c>
      <c r="F367" s="9" t="n">
        <f aca="false">(1-phi_hi)*opex25+phi_hi*opex25/a25_rev*F364</f>
        <v>7938.1526731308</v>
      </c>
      <c r="G367" s="9" t="n">
        <f aca="false">(1-phi_hi)*opex25+phi_hi*opex25/a25_rev*G364</f>
        <v>8468.08623527614</v>
      </c>
      <c r="H367" s="5" t="s">
        <v>564</v>
      </c>
    </row>
    <row r="368" customFormat="false" ht="17.15" hidden="false" customHeight="false" outlineLevel="0" collapsed="false">
      <c r="A368" s="0" t="s">
        <v>461</v>
      </c>
      <c r="B368" s="0" t="s">
        <v>248</v>
      </c>
      <c r="C368" s="9" t="n">
        <f aca="false">C366-C367</f>
        <v>8562</v>
      </c>
      <c r="D368" s="9" t="n">
        <f aca="false">D366-D367</f>
        <v>11325</v>
      </c>
      <c r="E368" s="9" t="n">
        <f aca="false">E366-E367</f>
        <v>14202.0632774815</v>
      </c>
      <c r="F368" s="9" t="n">
        <f aca="false">F366-F367</f>
        <v>16597.2905043551</v>
      </c>
      <c r="G368" s="9" t="n">
        <f aca="false">G366-G367</f>
        <v>18197.3239627453</v>
      </c>
    </row>
    <row r="369" customFormat="false" ht="17.15" hidden="false" customHeight="false" outlineLevel="0" collapsed="false">
      <c r="A369" s="0" t="s">
        <v>540</v>
      </c>
      <c r="B369" s="0" t="s">
        <v>195</v>
      </c>
      <c r="C369" s="11" t="n">
        <f aca="false">C368/C364</f>
        <v>0.301818950930626</v>
      </c>
      <c r="D369" s="11" t="n">
        <f aca="false">D368/D364</f>
        <v>0.330300113745735</v>
      </c>
      <c r="E369" s="11" t="n">
        <f aca="false">E368/E364</f>
        <v>0.34010694821918</v>
      </c>
      <c r="F369" s="11" t="n">
        <f aca="false">F368/F364</f>
        <v>0.349829340676947</v>
      </c>
      <c r="G369" s="11" t="n">
        <f aca="false">G368/G364</f>
        <v>0.355121845885561</v>
      </c>
    </row>
    <row r="370" customFormat="false" ht="17.15" hidden="false" customHeight="false" outlineLevel="0" collapsed="false">
      <c r="A370" s="0" t="s">
        <v>466</v>
      </c>
      <c r="B370" s="0" t="s">
        <v>248</v>
      </c>
      <c r="C370" s="9" t="n">
        <f aca="false">a25_ni</f>
        <v>7607</v>
      </c>
      <c r="D370" s="9" t="n">
        <f aca="false">an_ni</f>
        <v>10179.92</v>
      </c>
      <c r="E370" s="9" t="n">
        <f aca="false">E368*nioi</f>
        <v>12617.9742293625</v>
      </c>
      <c r="F370" s="9" t="n">
        <f aca="false">F368*nioi</f>
        <v>14746.0393443856</v>
      </c>
      <c r="G370" s="9" t="n">
        <f aca="false">G368*nioi</f>
        <v>16167.6060949081</v>
      </c>
    </row>
    <row r="371" customFormat="false" ht="15" hidden="false" customHeight="false" outlineLevel="0" collapsed="false">
      <c r="A371" s="5" t="s">
        <v>565</v>
      </c>
      <c r="B371" s="5" t="s">
        <v>324</v>
      </c>
      <c r="C371" s="23" t="n">
        <f aca="false">a25_sh</f>
        <v>808</v>
      </c>
      <c r="D371" s="23" t="n">
        <f aca="false">an_sh</f>
        <v>797.799373040752</v>
      </c>
      <c r="E371" s="23" t="n">
        <f aca="false">$D371*(1-bb)^1</f>
        <v>789.821379310345</v>
      </c>
      <c r="F371" s="23" t="n">
        <f aca="false">$D371*(1-bb)^2</f>
        <v>781.923165517241</v>
      </c>
      <c r="G371" s="23" t="n">
        <f aca="false">$D371*(1-bb)^3</f>
        <v>774.103933862069</v>
      </c>
    </row>
    <row r="372" customFormat="false" ht="17.15" hidden="false" customHeight="false" outlineLevel="0" collapsed="false">
      <c r="A372" s="0" t="s">
        <v>566</v>
      </c>
      <c r="B372" s="0" t="s">
        <v>337</v>
      </c>
      <c r="C372" s="14" t="n">
        <f aca="false">a25_eps</f>
        <v>9.42</v>
      </c>
      <c r="D372" s="14" t="n">
        <f aca="false">an_eps</f>
        <v>12.76</v>
      </c>
      <c r="E372" s="14" t="n">
        <f aca="false">E370/E371</f>
        <v>15.9757314247181</v>
      </c>
      <c r="F372" s="14" t="n">
        <f aca="false">F370/F371</f>
        <v>18.8586807434348</v>
      </c>
      <c r="G372" s="14" t="n">
        <f aca="false">G370/G371</f>
        <v>20.8855754216964</v>
      </c>
      <c r="H372" s="8" t="s">
        <v>567</v>
      </c>
    </row>
    <row r="373" customFormat="false" ht="17.15" hidden="false" customHeight="false" outlineLevel="0" collapsed="false">
      <c r="A373" s="5" t="s">
        <v>568</v>
      </c>
      <c r="B373" s="0" t="s">
        <v>195</v>
      </c>
      <c r="D373" s="11" t="n">
        <f aca="false">D360/1000/(D355+D356+D357)</f>
        <v>0.174088357854613</v>
      </c>
      <c r="E373" s="11" t="n">
        <f aca="false">E360/1000/(E355+E356+E357)</f>
        <v>0.174032095099019</v>
      </c>
      <c r="F373" s="11" t="n">
        <f aca="false">F360/1000/(F355+F356+F357)</f>
        <v>0.173968172468113</v>
      </c>
      <c r="G373" s="11" t="n">
        <f aca="false">G360/1000/(G355+G356+G357)</f>
        <v>0.17383613380168</v>
      </c>
      <c r="H373" s="5" t="s">
        <v>569</v>
      </c>
    </row>
    <row r="380" customFormat="false" ht="17.15" hidden="false" customHeight="false" outlineLevel="0" collapsed="false">
      <c r="A380" s="3" t="s">
        <v>871</v>
      </c>
    </row>
    <row r="381" customFormat="false" ht="15" hidden="false" customHeight="false" outlineLevel="0" collapsed="false">
      <c r="A381" s="6" t="s">
        <v>15</v>
      </c>
      <c r="B381" s="6" t="s">
        <v>16</v>
      </c>
      <c r="C381" s="15" t="s">
        <v>509</v>
      </c>
      <c r="D381" s="15" t="s">
        <v>510</v>
      </c>
      <c r="E381" s="15" t="s">
        <v>511</v>
      </c>
      <c r="F381" s="15" t="s">
        <v>512</v>
      </c>
      <c r="G381" s="15" t="s">
        <v>513</v>
      </c>
      <c r="H381" s="6" t="s">
        <v>514</v>
      </c>
    </row>
    <row r="382" customFormat="false" ht="17.15" hidden="false" customHeight="false" outlineLevel="0" collapsed="false">
      <c r="A382" s="1" t="s">
        <v>545</v>
      </c>
    </row>
    <row r="383" customFormat="false" ht="17.15" hidden="false" customHeight="false" outlineLevel="0" collapsed="false">
      <c r="A383" s="5" t="s">
        <v>546</v>
      </c>
      <c r="B383" s="0" t="s">
        <v>26</v>
      </c>
      <c r="C383" s="22" t="n">
        <f aca="false">laA_25+loA_25+ofA_25</f>
        <v>78.3481206981793</v>
      </c>
      <c r="D383" s="22" t="n">
        <f aca="false">laA_26+loA_26+ofA_26</f>
        <v>99.2871982981748</v>
      </c>
      <c r="E383" s="22" t="n">
        <f aca="false">laA_27+loA_27+ofA_27</f>
        <v>116.288709321091</v>
      </c>
      <c r="F383" s="22" t="n">
        <f aca="false">laA_28+loA_28+ofA_28</f>
        <v>130.886404842261</v>
      </c>
      <c r="G383" s="22" t="n">
        <f aca="false">laA_29+loA_29+ofA_29</f>
        <v>139.398079992203</v>
      </c>
    </row>
    <row r="384" customFormat="false" ht="17.15" hidden="false" customHeight="false" outlineLevel="0" collapsed="false">
      <c r="A384" s="0" t="s">
        <v>547</v>
      </c>
      <c r="B384" s="0" t="s">
        <v>26</v>
      </c>
      <c r="C384" s="22" t="n">
        <f aca="false">drA_25</f>
        <v>26.3761091658243</v>
      </c>
      <c r="D384" s="22" t="n">
        <f aca="false">drA_26</f>
        <v>39.3659468014757</v>
      </c>
      <c r="E384" s="22" t="n">
        <f aca="false">drA_27</f>
        <v>53.2587328153375</v>
      </c>
      <c r="F384" s="22" t="n">
        <f aca="false">drA_28</f>
        <v>59.5608998372386</v>
      </c>
      <c r="G384" s="22" t="n">
        <f aca="false">drA_29</f>
        <v>61.8312930912183</v>
      </c>
    </row>
    <row r="385" customFormat="false" ht="15" hidden="false" customHeight="false" outlineLevel="0" collapsed="false">
      <c r="A385" s="0" t="s">
        <v>548</v>
      </c>
      <c r="B385" s="0" t="s">
        <v>26</v>
      </c>
      <c r="C385" s="22" t="n">
        <f aca="false">ndA_25</f>
        <v>12.1726019800256</v>
      </c>
      <c r="D385" s="22" t="n">
        <f aca="false">ndA_26</f>
        <v>17.5039054704765</v>
      </c>
      <c r="E385" s="22" t="n">
        <f aca="false">ndA_27</f>
        <v>23.2480272411321</v>
      </c>
      <c r="F385" s="22" t="n">
        <f aca="false">ndA_28</f>
        <v>26.181321629459</v>
      </c>
      <c r="G385" s="22" t="n">
        <f aca="false">ndA_29</f>
        <v>27.674312771805</v>
      </c>
    </row>
    <row r="386" customFormat="false" ht="17.15" hidden="false" customHeight="false" outlineLevel="0" collapsed="false">
      <c r="A386" s="1" t="s">
        <v>549</v>
      </c>
    </row>
    <row r="387" customFormat="false" ht="17.15" hidden="false" customHeight="false" outlineLevel="0" collapsed="false">
      <c r="A387" s="5" t="s">
        <v>550</v>
      </c>
      <c r="B387" s="0" t="s">
        <v>26</v>
      </c>
      <c r="D387" s="22" t="n">
        <f aca="false">fyw*C383+(1-fyw)*D383</f>
        <v>95.7973520315089</v>
      </c>
      <c r="E387" s="22" t="n">
        <f aca="false">fyw*D383+(1-fyw)*E383</f>
        <v>113.455124150605</v>
      </c>
      <c r="F387" s="22" t="n">
        <f aca="false">fyw*E383+(1-fyw)*F383</f>
        <v>128.453455588732</v>
      </c>
      <c r="G387" s="22" t="n">
        <f aca="false">fyw*F383+(1-fyw)*G383</f>
        <v>137.979467467212</v>
      </c>
    </row>
    <row r="388" customFormat="false" ht="17.15" hidden="false" customHeight="false" outlineLevel="0" collapsed="false">
      <c r="A388" s="0" t="s">
        <v>551</v>
      </c>
      <c r="B388" s="0" t="s">
        <v>26</v>
      </c>
      <c r="D388" s="22" t="n">
        <f aca="false">fyw*C384+(1-fyw)*D384</f>
        <v>37.2009738622005</v>
      </c>
      <c r="E388" s="22" t="n">
        <f aca="false">fyw*D384+(1-fyw)*E384</f>
        <v>50.9432684796939</v>
      </c>
      <c r="F388" s="22" t="n">
        <f aca="false">fyw*E384+(1-fyw)*F384</f>
        <v>58.5105386669218</v>
      </c>
      <c r="G388" s="22" t="n">
        <f aca="false">fyw*F384+(1-fyw)*G384</f>
        <v>61.452894215555</v>
      </c>
    </row>
    <row r="389" customFormat="false" ht="15" hidden="false" customHeight="false" outlineLevel="0" collapsed="false">
      <c r="A389" s="0" t="s">
        <v>552</v>
      </c>
      <c r="B389" s="0" t="s">
        <v>26</v>
      </c>
      <c r="D389" s="22" t="n">
        <f aca="false">fyw*C385+(1-fyw)*D385</f>
        <v>16.6153548887347</v>
      </c>
      <c r="E389" s="22" t="n">
        <f aca="false">fyw*D385+(1-fyw)*E385</f>
        <v>22.2906736126895</v>
      </c>
      <c r="F389" s="22" t="n">
        <f aca="false">fyw*E385+(1-fyw)*F385</f>
        <v>25.6924392314045</v>
      </c>
      <c r="G389" s="22" t="n">
        <f aca="false">fyw*F385+(1-fyw)*G385</f>
        <v>27.4254809147473</v>
      </c>
    </row>
    <row r="390" customFormat="false" ht="17.15" hidden="false" customHeight="false" outlineLevel="0" collapsed="false">
      <c r="A390" s="5" t="s">
        <v>553</v>
      </c>
      <c r="B390" s="0" t="s">
        <v>242</v>
      </c>
      <c r="D390" s="21" t="n">
        <f aca="false">m_fl*D387/$D387+m_dr*D388/$D388+m_nd*D389/$D389</f>
        <v>1</v>
      </c>
      <c r="E390" s="21" t="n">
        <f aca="false">m_fl*E387/$D387+m_dr*E388/$D388+m_nd*E389/$D389</f>
        <v>1.2474041822294</v>
      </c>
      <c r="F390" s="21" t="n">
        <f aca="false">m_fl*F387/$D387+m_dr*F388/$D388+m_nd*F389/$D389</f>
        <v>1.42038896941297</v>
      </c>
      <c r="G390" s="21" t="n">
        <f aca="false">m_fl*G387/$D387+m_dr*G388/$D388+m_nd*G389/$D389</f>
        <v>1.51409392151355</v>
      </c>
      <c r="H390" s="8" t="s">
        <v>554</v>
      </c>
    </row>
    <row r="391" customFormat="false" ht="17.15" hidden="false" customHeight="false" outlineLevel="0" collapsed="false">
      <c r="A391" s="1" t="s">
        <v>555</v>
      </c>
    </row>
    <row r="392" customFormat="false" ht="17.15" hidden="false" customHeight="false" outlineLevel="0" collapsed="false">
      <c r="A392" s="5" t="s">
        <v>556</v>
      </c>
      <c r="B392" s="0" t="s">
        <v>248</v>
      </c>
      <c r="C392" s="9" t="n">
        <f aca="false">a25_ss</f>
        <v>21438.5432098765</v>
      </c>
      <c r="D392" s="9" t="n">
        <f aca="false">an_ss</f>
        <v>26046</v>
      </c>
      <c r="E392" s="9" t="n">
        <f aca="false">$D392*E390*sf</f>
        <v>32489.8893303468</v>
      </c>
      <c r="F392" s="9" t="n">
        <f aca="false">$D392*F390*sf</f>
        <v>36995.4510973303</v>
      </c>
      <c r="G392" s="9" t="n">
        <f aca="false">$D392*G390*sf</f>
        <v>39436.090279742</v>
      </c>
      <c r="H392" s="8" t="s">
        <v>557</v>
      </c>
    </row>
    <row r="393" customFormat="false" ht="17.15" hidden="false" customHeight="false" outlineLevel="0" collapsed="false">
      <c r="A393" s="0" t="s">
        <v>558</v>
      </c>
      <c r="B393" s="0" t="s">
        <v>248</v>
      </c>
      <c r="C393" s="9" t="n">
        <f aca="false">a25_ags</f>
        <v>5744.19672131148</v>
      </c>
      <c r="D393" s="9" t="n">
        <f aca="false">an_ags</f>
        <v>6845</v>
      </c>
      <c r="E393" s="9" t="n">
        <f aca="false">D393*(1+g_ags_A_lo)</f>
        <v>7597.95</v>
      </c>
      <c r="F393" s="9" t="n">
        <f aca="false">E393*(1+g_ags_A_lo)</f>
        <v>8433.7245</v>
      </c>
      <c r="G393" s="9" t="n">
        <f aca="false">F393*(1+g_ags_A_lo)</f>
        <v>9361.434195</v>
      </c>
    </row>
    <row r="394" customFormat="false" ht="15" hidden="false" customHeight="false" outlineLevel="0" collapsed="false">
      <c r="A394" s="5" t="s">
        <v>559</v>
      </c>
      <c r="B394" s="0" t="s">
        <v>248</v>
      </c>
      <c r="C394" s="9" t="n">
        <f aca="false">a25_oth</f>
        <v>1185.26006881198</v>
      </c>
      <c r="D394" s="9" t="n">
        <f aca="false">an_oth</f>
        <v>1396</v>
      </c>
      <c r="E394" s="9" t="n">
        <f aca="false">D394*(1+g_oth_A)</f>
        <v>1396</v>
      </c>
      <c r="F394" s="9" t="n">
        <f aca="false">E394*(1+g_oth_A)</f>
        <v>1396</v>
      </c>
      <c r="G394" s="9" t="n">
        <f aca="false">F394*(1+g_oth_A)</f>
        <v>1396</v>
      </c>
    </row>
    <row r="395" customFormat="false" ht="17.15" hidden="false" customHeight="false" outlineLevel="0" collapsed="false">
      <c r="A395" s="5" t="s">
        <v>560</v>
      </c>
      <c r="B395" s="0" t="s">
        <v>248</v>
      </c>
      <c r="C395" s="9" t="n">
        <v>0</v>
      </c>
      <c r="D395" s="9" t="n">
        <v>0</v>
      </c>
      <c r="E395" s="9" t="n">
        <f aca="false">-aff_hit*aff_A-0*cn_sh*(E392+E393)</f>
        <v>-0</v>
      </c>
      <c r="F395" s="9" t="n">
        <f aca="false">-aff_hit*aff_A-0*cn_sh*(F392+F393)</f>
        <v>-0</v>
      </c>
      <c r="G395" s="9" t="n">
        <f aca="false">-aff_hit*aff_A-0*cn_sh*(G392+G393)</f>
        <v>-0</v>
      </c>
      <c r="H395" s="5" t="s">
        <v>561</v>
      </c>
    </row>
    <row r="396" customFormat="false" ht="15" hidden="false" customHeight="false" outlineLevel="0" collapsed="false">
      <c r="A396" s="5" t="s">
        <v>450</v>
      </c>
      <c r="B396" s="0" t="s">
        <v>248</v>
      </c>
      <c r="C396" s="9" t="n">
        <f aca="false">C392+C393+C394+C395</f>
        <v>28368</v>
      </c>
      <c r="D396" s="9" t="n">
        <f aca="false">D392+D393+D394+D395</f>
        <v>34287</v>
      </c>
      <c r="E396" s="9" t="n">
        <f aca="false">E392+E393+E394+E395</f>
        <v>41483.8393303469</v>
      </c>
      <c r="F396" s="9" t="n">
        <f aca="false">F392+F393+F394+F395</f>
        <v>46825.1755973303</v>
      </c>
      <c r="G396" s="9" t="n">
        <f aca="false">G392+G393+G394+G395</f>
        <v>50193.524474742</v>
      </c>
    </row>
    <row r="397" customFormat="false" ht="17.15" hidden="false" customHeight="false" outlineLevel="0" collapsed="false">
      <c r="A397" s="0" t="s">
        <v>456</v>
      </c>
      <c r="B397" s="0" t="s">
        <v>195</v>
      </c>
      <c r="C397" s="11" t="n">
        <f aca="false">a25_gp/a25_rev</f>
        <v>0.487833192329385</v>
      </c>
      <c r="D397" s="11" t="n">
        <f aca="false">an_gp/an_rev</f>
        <v>0.500418584303089</v>
      </c>
      <c r="E397" s="11" t="n">
        <f aca="false">1-(cF+cv*E396)/E396</f>
        <v>0.510882879634712</v>
      </c>
      <c r="F397" s="11" t="n">
        <f aca="false">1-(cF+cv*F396)/F396</f>
        <v>0.516569682503674</v>
      </c>
      <c r="G397" s="11" t="n">
        <f aca="false">1-(cF+cv*G396)/G396</f>
        <v>0.519533603154524</v>
      </c>
      <c r="H397" s="5" t="s">
        <v>562</v>
      </c>
    </row>
    <row r="398" customFormat="false" ht="17.15" hidden="false" customHeight="false" outlineLevel="0" collapsed="false">
      <c r="A398" s="0" t="s">
        <v>459</v>
      </c>
      <c r="B398" s="0" t="s">
        <v>248</v>
      </c>
      <c r="C398" s="9" t="n">
        <f aca="false">C396*C397</f>
        <v>13838.852</v>
      </c>
      <c r="D398" s="9" t="n">
        <f aca="false">D396*D397</f>
        <v>17157.852</v>
      </c>
      <c r="E398" s="9" t="n">
        <f aca="false">E396*E397</f>
        <v>21193.3832953913</v>
      </c>
      <c r="F398" s="9" t="n">
        <f aca="false">F396*F397</f>
        <v>24188.4660914917</v>
      </c>
      <c r="G398" s="9" t="n">
        <f aca="false">G396*G397</f>
        <v>26077.2226253875</v>
      </c>
    </row>
    <row r="399" customFormat="false" ht="17.15" hidden="false" customHeight="false" outlineLevel="0" collapsed="false">
      <c r="A399" s="0" t="s">
        <v>563</v>
      </c>
      <c r="B399" s="0" t="s">
        <v>248</v>
      </c>
      <c r="C399" s="9" t="n">
        <f aca="false">opex25</f>
        <v>5276.852</v>
      </c>
      <c r="D399" s="9" t="n">
        <f aca="false">opex26</f>
        <v>5832.852</v>
      </c>
      <c r="E399" s="9" t="n">
        <f aca="false">oF+ov*E396</f>
        <v>6508.88556439818</v>
      </c>
      <c r="F399" s="9" t="n">
        <f aca="false">oF+ov*F396</f>
        <v>7010.62284509472</v>
      </c>
      <c r="G399" s="9" t="n">
        <f aca="false">oF+ov*G396</f>
        <v>7327.02797701581</v>
      </c>
      <c r="H399" s="5" t="s">
        <v>564</v>
      </c>
    </row>
    <row r="400" customFormat="false" ht="17.15" hidden="false" customHeight="false" outlineLevel="0" collapsed="false">
      <c r="A400" s="0" t="s">
        <v>461</v>
      </c>
      <c r="B400" s="0" t="s">
        <v>248</v>
      </c>
      <c r="C400" s="9" t="n">
        <f aca="false">C398-C399</f>
        <v>8562</v>
      </c>
      <c r="D400" s="9" t="n">
        <f aca="false">D398-D399</f>
        <v>11325</v>
      </c>
      <c r="E400" s="9" t="n">
        <f aca="false">E398-E399</f>
        <v>14684.4977309931</v>
      </c>
      <c r="F400" s="9" t="n">
        <f aca="false">F398-F399</f>
        <v>17177.843246397</v>
      </c>
      <c r="G400" s="9" t="n">
        <f aca="false">G398-G399</f>
        <v>18750.1946483717</v>
      </c>
    </row>
    <row r="401" customFormat="false" ht="17.15" hidden="false" customHeight="false" outlineLevel="0" collapsed="false">
      <c r="A401" s="0" t="s">
        <v>540</v>
      </c>
      <c r="B401" s="0" t="s">
        <v>195</v>
      </c>
      <c r="C401" s="11" t="n">
        <f aca="false">C400/C396</f>
        <v>0.301818950930626</v>
      </c>
      <c r="D401" s="11" t="n">
        <f aca="false">D400/D396</f>
        <v>0.330300113745735</v>
      </c>
      <c r="E401" s="11" t="n">
        <f aca="false">E400/E396</f>
        <v>0.353981163943303</v>
      </c>
      <c r="F401" s="11" t="n">
        <f aca="false">F400/F396</f>
        <v>0.366850588967708</v>
      </c>
      <c r="G401" s="11" t="n">
        <f aca="false">G400/G396</f>
        <v>0.373558040495982</v>
      </c>
    </row>
    <row r="402" customFormat="false" ht="17.15" hidden="false" customHeight="false" outlineLevel="0" collapsed="false">
      <c r="A402" s="0" t="s">
        <v>466</v>
      </c>
      <c r="B402" s="0" t="s">
        <v>248</v>
      </c>
      <c r="C402" s="9" t="n">
        <f aca="false">a25_ni</f>
        <v>7607</v>
      </c>
      <c r="D402" s="9" t="n">
        <f aca="false">an_ni</f>
        <v>10179.92</v>
      </c>
      <c r="E402" s="9" t="n">
        <f aca="false">E400*nioi</f>
        <v>13046.5982527055</v>
      </c>
      <c r="F402" s="9" t="n">
        <f aca="false">F400*nioi</f>
        <v>15261.8376051555</v>
      </c>
      <c r="G402" s="9" t="n">
        <f aca="false">G400*nioi</f>
        <v>16658.8099381177</v>
      </c>
    </row>
    <row r="403" customFormat="false" ht="15" hidden="false" customHeight="false" outlineLevel="0" collapsed="false">
      <c r="A403" s="5" t="s">
        <v>565</v>
      </c>
      <c r="B403" s="5" t="s">
        <v>324</v>
      </c>
      <c r="C403" s="23" t="n">
        <f aca="false">a25_sh</f>
        <v>808</v>
      </c>
      <c r="D403" s="23" t="n">
        <f aca="false">an_sh</f>
        <v>797.799373040752</v>
      </c>
      <c r="E403" s="23" t="n">
        <f aca="false">$D403*(1-bb)^1</f>
        <v>789.821379310345</v>
      </c>
      <c r="F403" s="23" t="n">
        <f aca="false">$D403*(1-bb)^2</f>
        <v>781.923165517241</v>
      </c>
      <c r="G403" s="23" t="n">
        <f aca="false">$D403*(1-bb)^3</f>
        <v>774.103933862069</v>
      </c>
    </row>
    <row r="404" customFormat="false" ht="17.15" hidden="false" customHeight="false" outlineLevel="0" collapsed="false">
      <c r="A404" s="0" t="s">
        <v>566</v>
      </c>
      <c r="B404" s="0" t="s">
        <v>337</v>
      </c>
      <c r="C404" s="14" t="n">
        <f aca="false">a25_eps</f>
        <v>9.42</v>
      </c>
      <c r="D404" s="14" t="n">
        <f aca="false">an_eps</f>
        <v>12.76</v>
      </c>
      <c r="E404" s="14" t="n">
        <f aca="false">E402/E403</f>
        <v>16.518416181767</v>
      </c>
      <c r="F404" s="14" t="n">
        <f aca="false">F402/F403</f>
        <v>19.5183341256552</v>
      </c>
      <c r="G404" s="14" t="n">
        <f aca="false">G402/G403</f>
        <v>21.5201205024311</v>
      </c>
      <c r="H404" s="8" t="s">
        <v>567</v>
      </c>
    </row>
    <row r="405" customFormat="false" ht="17.15" hidden="false" customHeight="false" outlineLevel="0" collapsed="false">
      <c r="A405" s="5" t="s">
        <v>568</v>
      </c>
      <c r="B405" s="0" t="s">
        <v>195</v>
      </c>
      <c r="D405" s="11" t="n">
        <f aca="false">D392/1000/(D387+D388+D389)</f>
        <v>0.174088357854613</v>
      </c>
      <c r="E405" s="11" t="n">
        <f aca="false">E392/1000/(E387+E388+E389)</f>
        <v>0.174032095099019</v>
      </c>
      <c r="F405" s="11" t="n">
        <f aca="false">F392/1000/(F387+F388+F389)</f>
        <v>0.173968172468113</v>
      </c>
      <c r="G405" s="11" t="n">
        <f aca="false">G392/1000/(G387+G388+G389)</f>
        <v>0.17383613380168</v>
      </c>
      <c r="H405" s="5" t="s">
        <v>569</v>
      </c>
    </row>
    <row r="412" customFormat="false" ht="17.15" hidden="false" customHeight="false" outlineLevel="0" collapsed="false">
      <c r="A412" s="3" t="s">
        <v>872</v>
      </c>
    </row>
    <row r="413" customFormat="false" ht="15" hidden="false" customHeight="false" outlineLevel="0" collapsed="false">
      <c r="A413" s="6" t="s">
        <v>15</v>
      </c>
      <c r="B413" s="6" t="s">
        <v>16</v>
      </c>
      <c r="C413" s="15" t="s">
        <v>509</v>
      </c>
      <c r="D413" s="15" t="s">
        <v>510</v>
      </c>
      <c r="E413" s="15" t="s">
        <v>511</v>
      </c>
      <c r="F413" s="15" t="s">
        <v>512</v>
      </c>
      <c r="G413" s="15" t="s">
        <v>513</v>
      </c>
      <c r="H413" s="6" t="s">
        <v>514</v>
      </c>
    </row>
    <row r="414" customFormat="false" ht="17.15" hidden="false" customHeight="false" outlineLevel="0" collapsed="false">
      <c r="A414" s="1" t="s">
        <v>545</v>
      </c>
    </row>
    <row r="415" customFormat="false" ht="17.15" hidden="false" customHeight="false" outlineLevel="0" collapsed="false">
      <c r="A415" s="5" t="s">
        <v>546</v>
      </c>
      <c r="B415" s="0" t="s">
        <v>26</v>
      </c>
      <c r="C415" s="22" t="n">
        <f aca="false">laA_25+loA_25+ofA_25</f>
        <v>78.3481206981793</v>
      </c>
      <c r="D415" s="22" t="n">
        <f aca="false">laA_26+loA_26+ofA_26</f>
        <v>99.2871982981748</v>
      </c>
      <c r="E415" s="22" t="n">
        <f aca="false">laA_27+loA_27+ofA_27</f>
        <v>116.288709321091</v>
      </c>
      <c r="F415" s="22" t="n">
        <f aca="false">laA_28+loA_28+ofA_28</f>
        <v>130.886404842261</v>
      </c>
      <c r="G415" s="22" t="n">
        <f aca="false">laA_29+loA_29+ofA_29</f>
        <v>139.398079992203</v>
      </c>
    </row>
    <row r="416" customFormat="false" ht="17.15" hidden="false" customHeight="false" outlineLevel="0" collapsed="false">
      <c r="A416" s="0" t="s">
        <v>547</v>
      </c>
      <c r="B416" s="0" t="s">
        <v>26</v>
      </c>
      <c r="C416" s="22" t="n">
        <f aca="false">drA_25</f>
        <v>26.3761091658243</v>
      </c>
      <c r="D416" s="22" t="n">
        <f aca="false">drA_26</f>
        <v>39.3659468014757</v>
      </c>
      <c r="E416" s="22" t="n">
        <f aca="false">drA_27</f>
        <v>53.2587328153375</v>
      </c>
      <c r="F416" s="22" t="n">
        <f aca="false">drA_28</f>
        <v>59.5608998372386</v>
      </c>
      <c r="G416" s="22" t="n">
        <f aca="false">drA_29</f>
        <v>61.8312930912183</v>
      </c>
    </row>
    <row r="417" customFormat="false" ht="15" hidden="false" customHeight="false" outlineLevel="0" collapsed="false">
      <c r="A417" s="0" t="s">
        <v>548</v>
      </c>
      <c r="B417" s="0" t="s">
        <v>26</v>
      </c>
      <c r="C417" s="22" t="n">
        <f aca="false">ndA_25</f>
        <v>12.1726019800256</v>
      </c>
      <c r="D417" s="22" t="n">
        <f aca="false">ndA_26</f>
        <v>17.5039054704765</v>
      </c>
      <c r="E417" s="22" t="n">
        <f aca="false">ndA_27</f>
        <v>23.2480272411321</v>
      </c>
      <c r="F417" s="22" t="n">
        <f aca="false">ndA_28</f>
        <v>26.181321629459</v>
      </c>
      <c r="G417" s="22" t="n">
        <f aca="false">ndA_29</f>
        <v>27.674312771805</v>
      </c>
    </row>
    <row r="418" customFormat="false" ht="17.15" hidden="false" customHeight="false" outlineLevel="0" collapsed="false">
      <c r="A418" s="1" t="s">
        <v>549</v>
      </c>
    </row>
    <row r="419" customFormat="false" ht="17.15" hidden="false" customHeight="false" outlineLevel="0" collapsed="false">
      <c r="A419" s="5" t="s">
        <v>550</v>
      </c>
      <c r="B419" s="0" t="s">
        <v>26</v>
      </c>
      <c r="D419" s="22" t="n">
        <f aca="false">fyw*C415+(1-fyw)*D415</f>
        <v>95.7973520315089</v>
      </c>
      <c r="E419" s="22" t="n">
        <f aca="false">fyw*D415+(1-fyw)*E415</f>
        <v>113.455124150605</v>
      </c>
      <c r="F419" s="22" t="n">
        <f aca="false">fyw*E415+(1-fyw)*F415</f>
        <v>128.453455588732</v>
      </c>
      <c r="G419" s="22" t="n">
        <f aca="false">fyw*F415+(1-fyw)*G415</f>
        <v>137.979467467212</v>
      </c>
    </row>
    <row r="420" customFormat="false" ht="17.15" hidden="false" customHeight="false" outlineLevel="0" collapsed="false">
      <c r="A420" s="0" t="s">
        <v>551</v>
      </c>
      <c r="B420" s="0" t="s">
        <v>26</v>
      </c>
      <c r="D420" s="22" t="n">
        <f aca="false">fyw*C416+(1-fyw)*D416</f>
        <v>37.2009738622005</v>
      </c>
      <c r="E420" s="22" t="n">
        <f aca="false">fyw*D416+(1-fyw)*E416</f>
        <v>50.9432684796939</v>
      </c>
      <c r="F420" s="22" t="n">
        <f aca="false">fyw*E416+(1-fyw)*F416</f>
        <v>58.5105386669218</v>
      </c>
      <c r="G420" s="22" t="n">
        <f aca="false">fyw*F416+(1-fyw)*G416</f>
        <v>61.452894215555</v>
      </c>
    </row>
    <row r="421" customFormat="false" ht="15" hidden="false" customHeight="false" outlineLevel="0" collapsed="false">
      <c r="A421" s="0" t="s">
        <v>552</v>
      </c>
      <c r="B421" s="0" t="s">
        <v>26</v>
      </c>
      <c r="D421" s="22" t="n">
        <f aca="false">fyw*C417+(1-fyw)*D417</f>
        <v>16.6153548887347</v>
      </c>
      <c r="E421" s="22" t="n">
        <f aca="false">fyw*D417+(1-fyw)*E417</f>
        <v>22.2906736126895</v>
      </c>
      <c r="F421" s="22" t="n">
        <f aca="false">fyw*E417+(1-fyw)*F417</f>
        <v>25.6924392314045</v>
      </c>
      <c r="G421" s="22" t="n">
        <f aca="false">fyw*F417+(1-fyw)*G417</f>
        <v>27.4254809147473</v>
      </c>
    </row>
    <row r="422" customFormat="false" ht="17.15" hidden="false" customHeight="false" outlineLevel="0" collapsed="false">
      <c r="A422" s="5" t="s">
        <v>553</v>
      </c>
      <c r="B422" s="0" t="s">
        <v>242</v>
      </c>
      <c r="D422" s="21" t="n">
        <f aca="false">m_fl*D419/$D419+m_dr*D420/$D420+m_nd*D421/$D421</f>
        <v>1</v>
      </c>
      <c r="E422" s="21" t="n">
        <f aca="false">m_fl*E419/$D419+m_dr*E420/$D420+m_nd*E421/$D421</f>
        <v>1.2474041822294</v>
      </c>
      <c r="F422" s="21" t="n">
        <f aca="false">m_fl*F419/$D419+m_dr*F420/$D420+m_nd*F421/$D421</f>
        <v>1.42038896941297</v>
      </c>
      <c r="G422" s="21" t="n">
        <f aca="false">m_fl*G419/$D419+m_dr*G420/$D420+m_nd*G421/$D421</f>
        <v>1.51409392151355</v>
      </c>
      <c r="H422" s="8" t="s">
        <v>554</v>
      </c>
    </row>
    <row r="423" customFormat="false" ht="17.15" hidden="false" customHeight="false" outlineLevel="0" collapsed="false">
      <c r="A423" s="1" t="s">
        <v>555</v>
      </c>
    </row>
    <row r="424" customFormat="false" ht="17.15" hidden="false" customHeight="false" outlineLevel="0" collapsed="false">
      <c r="A424" s="5" t="s">
        <v>556</v>
      </c>
      <c r="B424" s="0" t="s">
        <v>248</v>
      </c>
      <c r="C424" s="9" t="n">
        <f aca="false">a25_ss</f>
        <v>21438.5432098765</v>
      </c>
      <c r="D424" s="9" t="n">
        <f aca="false">an_ss</f>
        <v>26046</v>
      </c>
      <c r="E424" s="9" t="n">
        <f aca="false">$D424*E422*sf</f>
        <v>32489.8893303468</v>
      </c>
      <c r="F424" s="9" t="n">
        <f aca="false">$D424*F422*sf</f>
        <v>36995.4510973303</v>
      </c>
      <c r="G424" s="9" t="n">
        <f aca="false">$D424*G422*sf</f>
        <v>39436.090279742</v>
      </c>
      <c r="H424" s="8" t="s">
        <v>557</v>
      </c>
    </row>
    <row r="425" customFormat="false" ht="17.15" hidden="false" customHeight="false" outlineLevel="0" collapsed="false">
      <c r="A425" s="0" t="s">
        <v>558</v>
      </c>
      <c r="B425" s="0" t="s">
        <v>248</v>
      </c>
      <c r="C425" s="9" t="n">
        <f aca="false">a25_ags</f>
        <v>5744.19672131148</v>
      </c>
      <c r="D425" s="9" t="n">
        <f aca="false">an_ags</f>
        <v>6845</v>
      </c>
      <c r="E425" s="9" t="n">
        <f aca="false">D425*(1+g_ags_A_hi)</f>
        <v>8145.55</v>
      </c>
      <c r="F425" s="9" t="n">
        <f aca="false">E425*(1+g_ags_A_hi)</f>
        <v>9693.2045</v>
      </c>
      <c r="G425" s="9" t="n">
        <f aca="false">F425*(1+g_ags_A_hi)</f>
        <v>11534.913355</v>
      </c>
    </row>
    <row r="426" customFormat="false" ht="15" hidden="false" customHeight="false" outlineLevel="0" collapsed="false">
      <c r="A426" s="5" t="s">
        <v>559</v>
      </c>
      <c r="B426" s="0" t="s">
        <v>248</v>
      </c>
      <c r="C426" s="9" t="n">
        <f aca="false">a25_oth</f>
        <v>1185.26006881198</v>
      </c>
      <c r="D426" s="9" t="n">
        <f aca="false">an_oth</f>
        <v>1396</v>
      </c>
      <c r="E426" s="9" t="n">
        <f aca="false">D426*(1+g_oth_A)</f>
        <v>1396</v>
      </c>
      <c r="F426" s="9" t="n">
        <f aca="false">E426*(1+g_oth_A)</f>
        <v>1396</v>
      </c>
      <c r="G426" s="9" t="n">
        <f aca="false">F426*(1+g_oth_A)</f>
        <v>1396</v>
      </c>
    </row>
    <row r="427" customFormat="false" ht="17.15" hidden="false" customHeight="false" outlineLevel="0" collapsed="false">
      <c r="A427" s="5" t="s">
        <v>560</v>
      </c>
      <c r="B427" s="0" t="s">
        <v>248</v>
      </c>
      <c r="C427" s="9" t="n">
        <v>0</v>
      </c>
      <c r="D427" s="9" t="n">
        <v>0</v>
      </c>
      <c r="E427" s="9" t="n">
        <f aca="false">-aff_hit*aff_A-0*cn_sh*(E424+E425)</f>
        <v>-0</v>
      </c>
      <c r="F427" s="9" t="n">
        <f aca="false">-aff_hit*aff_A-0*cn_sh*(F424+F425)</f>
        <v>-0</v>
      </c>
      <c r="G427" s="9" t="n">
        <f aca="false">-aff_hit*aff_A-0*cn_sh*(G424+G425)</f>
        <v>-0</v>
      </c>
      <c r="H427" s="5" t="s">
        <v>561</v>
      </c>
    </row>
    <row r="428" customFormat="false" ht="15" hidden="false" customHeight="false" outlineLevel="0" collapsed="false">
      <c r="A428" s="5" t="s">
        <v>450</v>
      </c>
      <c r="B428" s="0" t="s">
        <v>248</v>
      </c>
      <c r="C428" s="9" t="n">
        <f aca="false">C424+C425+C426+C427</f>
        <v>28368</v>
      </c>
      <c r="D428" s="9" t="n">
        <f aca="false">D424+D425+D426+D427</f>
        <v>34287</v>
      </c>
      <c r="E428" s="9" t="n">
        <f aca="false">E424+E425+E426+E427</f>
        <v>42031.4393303468</v>
      </c>
      <c r="F428" s="9" t="n">
        <f aca="false">F424+F425+F426+F427</f>
        <v>48084.6555973303</v>
      </c>
      <c r="G428" s="9" t="n">
        <f aca="false">G424+G425+G426+G427</f>
        <v>52367.003634742</v>
      </c>
    </row>
    <row r="429" customFormat="false" ht="17.15" hidden="false" customHeight="false" outlineLevel="0" collapsed="false">
      <c r="A429" s="0" t="s">
        <v>456</v>
      </c>
      <c r="B429" s="0" t="s">
        <v>195</v>
      </c>
      <c r="C429" s="11" t="n">
        <f aca="false">a25_gp/a25_rev</f>
        <v>0.487833192329385</v>
      </c>
      <c r="D429" s="11" t="n">
        <f aca="false">an_gp/an_rev</f>
        <v>0.500418584303089</v>
      </c>
      <c r="E429" s="11" t="n">
        <f aca="false">1-(cF+cv*E428)/E428</f>
        <v>0.511532391135709</v>
      </c>
      <c r="F429" s="11" t="n">
        <f aca="false">1-(cF+cv*F428)/F428</f>
        <v>0.517726545588232</v>
      </c>
      <c r="G429" s="11" t="n">
        <f aca="false">1-(cF+cv*G428)/G428</f>
        <v>0.52124372350663</v>
      </c>
      <c r="H429" s="5" t="s">
        <v>562</v>
      </c>
    </row>
    <row r="430" customFormat="false" ht="17.15" hidden="false" customHeight="false" outlineLevel="0" collapsed="false">
      <c r="A430" s="0" t="s">
        <v>459</v>
      </c>
      <c r="B430" s="0" t="s">
        <v>248</v>
      </c>
      <c r="C430" s="9" t="n">
        <f aca="false">C428*C429</f>
        <v>13838.852</v>
      </c>
      <c r="D430" s="9" t="n">
        <f aca="false">D428*D429</f>
        <v>17157.852</v>
      </c>
      <c r="E430" s="9" t="n">
        <f aca="false">E428*E429</f>
        <v>21500.4426635278</v>
      </c>
      <c r="F430" s="9" t="n">
        <f aca="false">F428*F429</f>
        <v>24894.7026382057</v>
      </c>
      <c r="G430" s="9" t="n">
        <f aca="false">G428*G429</f>
        <v>27295.9719634581</v>
      </c>
    </row>
    <row r="431" customFormat="false" ht="17.15" hidden="false" customHeight="false" outlineLevel="0" collapsed="false">
      <c r="A431" s="0" t="s">
        <v>563</v>
      </c>
      <c r="B431" s="0" t="s">
        <v>248</v>
      </c>
      <c r="C431" s="9" t="n">
        <f aca="false">opex25</f>
        <v>5276.852</v>
      </c>
      <c r="D431" s="9" t="n">
        <f aca="false">opex26</f>
        <v>5832.852</v>
      </c>
      <c r="E431" s="9" t="n">
        <f aca="false">oF+ov*E428</f>
        <v>6560.32425336591</v>
      </c>
      <c r="F431" s="9" t="n">
        <f aca="false">oF+ov*F428</f>
        <v>7128.9318297205</v>
      </c>
      <c r="G431" s="9" t="n">
        <f aca="false">oF+ov*G428</f>
        <v>7531.19327739763</v>
      </c>
      <c r="H431" s="5" t="s">
        <v>564</v>
      </c>
    </row>
    <row r="432" customFormat="false" ht="17.15" hidden="false" customHeight="false" outlineLevel="0" collapsed="false">
      <c r="A432" s="0" t="s">
        <v>461</v>
      </c>
      <c r="B432" s="0" t="s">
        <v>248</v>
      </c>
      <c r="C432" s="9" t="n">
        <f aca="false">C430-C431</f>
        <v>8562</v>
      </c>
      <c r="D432" s="9" t="n">
        <f aca="false">D430-D431</f>
        <v>11325</v>
      </c>
      <c r="E432" s="9" t="n">
        <f aca="false">E430-E431</f>
        <v>14940.1184101619</v>
      </c>
      <c r="F432" s="9" t="n">
        <f aca="false">F430-F431</f>
        <v>17765.7708084851</v>
      </c>
      <c r="G432" s="9" t="n">
        <f aca="false">G430-G431</f>
        <v>19764.7786860605</v>
      </c>
    </row>
    <row r="433" customFormat="false" ht="17.15" hidden="false" customHeight="false" outlineLevel="0" collapsed="false">
      <c r="A433" s="0" t="s">
        <v>540</v>
      </c>
      <c r="B433" s="0" t="s">
        <v>195</v>
      </c>
      <c r="C433" s="11" t="n">
        <f aca="false">C432/C428</f>
        <v>0.301818950930626</v>
      </c>
      <c r="D433" s="11" t="n">
        <f aca="false">D432/D428</f>
        <v>0.330300113745735</v>
      </c>
      <c r="E433" s="11" t="n">
        <f aca="false">E432/E428</f>
        <v>0.355451030185756</v>
      </c>
      <c r="F433" s="11" t="n">
        <f aca="false">F432/F428</f>
        <v>0.369468608806497</v>
      </c>
      <c r="G433" s="11" t="n">
        <f aca="false">G432/G428</f>
        <v>0.377428100028773</v>
      </c>
    </row>
    <row r="434" customFormat="false" ht="17.15" hidden="false" customHeight="false" outlineLevel="0" collapsed="false">
      <c r="A434" s="0" t="s">
        <v>466</v>
      </c>
      <c r="B434" s="0" t="s">
        <v>248</v>
      </c>
      <c r="C434" s="9" t="n">
        <f aca="false">a25_ni</f>
        <v>7607</v>
      </c>
      <c r="D434" s="9" t="n">
        <f aca="false">an_ni</f>
        <v>10179.92</v>
      </c>
      <c r="E434" s="9" t="n">
        <f aca="false">E432*nioi</f>
        <v>13273.7071649266</v>
      </c>
      <c r="F434" s="9" t="n">
        <f aca="false">F432*nioi</f>
        <v>15784.188103264</v>
      </c>
      <c r="G434" s="9" t="n">
        <f aca="false">G432*nioi</f>
        <v>17560.2279216144</v>
      </c>
    </row>
    <row r="435" customFormat="false" ht="15" hidden="false" customHeight="false" outlineLevel="0" collapsed="false">
      <c r="A435" s="5" t="s">
        <v>565</v>
      </c>
      <c r="B435" s="5" t="s">
        <v>324</v>
      </c>
      <c r="C435" s="23" t="n">
        <f aca="false">a25_sh</f>
        <v>808</v>
      </c>
      <c r="D435" s="23" t="n">
        <f aca="false">an_sh</f>
        <v>797.799373040752</v>
      </c>
      <c r="E435" s="23" t="n">
        <f aca="false">$D435*(1-bb)^1</f>
        <v>789.821379310345</v>
      </c>
      <c r="F435" s="23" t="n">
        <f aca="false">$D435*(1-bb)^2</f>
        <v>781.923165517241</v>
      </c>
      <c r="G435" s="23" t="n">
        <f aca="false">$D435*(1-bb)^3</f>
        <v>774.103933862069</v>
      </c>
    </row>
    <row r="436" customFormat="false" ht="17.15" hidden="false" customHeight="false" outlineLevel="0" collapsed="false">
      <c r="A436" s="0" t="s">
        <v>566</v>
      </c>
      <c r="B436" s="0" t="s">
        <v>337</v>
      </c>
      <c r="C436" s="14" t="n">
        <f aca="false">a25_eps</f>
        <v>9.42</v>
      </c>
      <c r="D436" s="14" t="n">
        <f aca="false">an_eps</f>
        <v>12.76</v>
      </c>
      <c r="E436" s="14" t="n">
        <f aca="false">E434/E435</f>
        <v>16.8059608319503</v>
      </c>
      <c r="F436" s="14" t="n">
        <f aca="false">F434/F435</f>
        <v>20.1863671513336</v>
      </c>
      <c r="G436" s="14" t="n">
        <f aca="false">G434/G435</f>
        <v>22.6845868538672</v>
      </c>
      <c r="H436" s="8" t="s">
        <v>567</v>
      </c>
    </row>
    <row r="437" customFormat="false" ht="17.15" hidden="false" customHeight="false" outlineLevel="0" collapsed="false">
      <c r="A437" s="5" t="s">
        <v>568</v>
      </c>
      <c r="B437" s="0" t="s">
        <v>195</v>
      </c>
      <c r="D437" s="11" t="n">
        <f aca="false">D424/1000/(D419+D420+D421)</f>
        <v>0.174088357854613</v>
      </c>
      <c r="E437" s="11" t="n">
        <f aca="false">E424/1000/(E419+E420+E421)</f>
        <v>0.174032095099019</v>
      </c>
      <c r="F437" s="11" t="n">
        <f aca="false">F424/1000/(F419+F420+F421)</f>
        <v>0.173968172468113</v>
      </c>
      <c r="G437" s="11" t="n">
        <f aca="false">G424/1000/(G419+G420+G421)</f>
        <v>0.17383613380168</v>
      </c>
      <c r="H437" s="5" t="s">
        <v>569</v>
      </c>
    </row>
    <row r="444" customFormat="false" ht="17.15" hidden="false" customHeight="false" outlineLevel="0" collapsed="false">
      <c r="A444" s="3" t="s">
        <v>873</v>
      </c>
    </row>
    <row r="445" customFormat="false" ht="15" hidden="false" customHeight="false" outlineLevel="0" collapsed="false">
      <c r="A445" s="6" t="s">
        <v>15</v>
      </c>
      <c r="B445" s="6" t="s">
        <v>16</v>
      </c>
      <c r="C445" s="15" t="s">
        <v>509</v>
      </c>
      <c r="D445" s="15" t="s">
        <v>510</v>
      </c>
      <c r="E445" s="15" t="s">
        <v>511</v>
      </c>
      <c r="F445" s="15" t="s">
        <v>512</v>
      </c>
      <c r="G445" s="15" t="s">
        <v>513</v>
      </c>
      <c r="H445" s="6" t="s">
        <v>514</v>
      </c>
    </row>
    <row r="446" customFormat="false" ht="17.15" hidden="false" customHeight="false" outlineLevel="0" collapsed="false">
      <c r="A446" s="1" t="s">
        <v>545</v>
      </c>
    </row>
    <row r="447" customFormat="false" ht="17.15" hidden="false" customHeight="false" outlineLevel="0" collapsed="false">
      <c r="A447" s="5" t="s">
        <v>546</v>
      </c>
      <c r="B447" s="0" t="s">
        <v>26</v>
      </c>
      <c r="C447" s="22" t="n">
        <f aca="false">laA_25+loA_25+ofA_25</f>
        <v>78.3481206981793</v>
      </c>
      <c r="D447" s="22" t="n">
        <f aca="false">laA_26+loA_26+ofA_26</f>
        <v>99.2871982981748</v>
      </c>
      <c r="E447" s="22" t="n">
        <f aca="false">laA_27+loA_27+ofA_27</f>
        <v>116.288709321091</v>
      </c>
      <c r="F447" s="22" t="n">
        <f aca="false">laA_28+loA_28+ofA_28</f>
        <v>130.886404842261</v>
      </c>
      <c r="G447" s="22" t="n">
        <f aca="false">laA_29+loA_29+ofA_29</f>
        <v>139.398079992203</v>
      </c>
    </row>
    <row r="448" customFormat="false" ht="17.15" hidden="false" customHeight="false" outlineLevel="0" collapsed="false">
      <c r="A448" s="0" t="s">
        <v>547</v>
      </c>
      <c r="B448" s="0" t="s">
        <v>26</v>
      </c>
      <c r="C448" s="22" t="n">
        <f aca="false">drA_25</f>
        <v>26.3761091658243</v>
      </c>
      <c r="D448" s="22" t="n">
        <f aca="false">drA_26</f>
        <v>39.3659468014757</v>
      </c>
      <c r="E448" s="22" t="n">
        <f aca="false">drA_27</f>
        <v>53.2587328153375</v>
      </c>
      <c r="F448" s="22" t="n">
        <f aca="false">drA_28</f>
        <v>59.5608998372386</v>
      </c>
      <c r="G448" s="22" t="n">
        <f aca="false">drA_29</f>
        <v>61.8312930912183</v>
      </c>
    </row>
    <row r="449" customFormat="false" ht="15" hidden="false" customHeight="false" outlineLevel="0" collapsed="false">
      <c r="A449" s="0" t="s">
        <v>548</v>
      </c>
      <c r="B449" s="0" t="s">
        <v>26</v>
      </c>
      <c r="C449" s="22" t="n">
        <f aca="false">ndA_25</f>
        <v>12.1726019800256</v>
      </c>
      <c r="D449" s="22" t="n">
        <f aca="false">ndA_26</f>
        <v>17.5039054704765</v>
      </c>
      <c r="E449" s="22" t="n">
        <f aca="false">ndA_27</f>
        <v>23.2480272411321</v>
      </c>
      <c r="F449" s="22" t="n">
        <f aca="false">ndA_28</f>
        <v>26.181321629459</v>
      </c>
      <c r="G449" s="22" t="n">
        <f aca="false">ndA_29</f>
        <v>27.674312771805</v>
      </c>
    </row>
    <row r="450" customFormat="false" ht="17.15" hidden="false" customHeight="false" outlineLevel="0" collapsed="false">
      <c r="A450" s="1" t="s">
        <v>549</v>
      </c>
    </row>
    <row r="451" customFormat="false" ht="17.15" hidden="false" customHeight="false" outlineLevel="0" collapsed="false">
      <c r="A451" s="5" t="s">
        <v>550</v>
      </c>
      <c r="B451" s="0" t="s">
        <v>26</v>
      </c>
      <c r="D451" s="22" t="n">
        <f aca="false">fyw*C447+(1-fyw)*D447</f>
        <v>95.7973520315089</v>
      </c>
      <c r="E451" s="22" t="n">
        <f aca="false">fyw*D447+(1-fyw)*E447</f>
        <v>113.455124150605</v>
      </c>
      <c r="F451" s="22" t="n">
        <f aca="false">fyw*E447+(1-fyw)*F447</f>
        <v>128.453455588732</v>
      </c>
      <c r="G451" s="22" t="n">
        <f aca="false">fyw*F447+(1-fyw)*G447</f>
        <v>137.979467467212</v>
      </c>
    </row>
    <row r="452" customFormat="false" ht="17.15" hidden="false" customHeight="false" outlineLevel="0" collapsed="false">
      <c r="A452" s="0" t="s">
        <v>551</v>
      </c>
      <c r="B452" s="0" t="s">
        <v>26</v>
      </c>
      <c r="D452" s="22" t="n">
        <f aca="false">fyw*C448+(1-fyw)*D448</f>
        <v>37.2009738622005</v>
      </c>
      <c r="E452" s="22" t="n">
        <f aca="false">fyw*D448+(1-fyw)*E448</f>
        <v>50.9432684796939</v>
      </c>
      <c r="F452" s="22" t="n">
        <f aca="false">fyw*E448+(1-fyw)*F448</f>
        <v>58.5105386669218</v>
      </c>
      <c r="G452" s="22" t="n">
        <f aca="false">fyw*F448+(1-fyw)*G448</f>
        <v>61.452894215555</v>
      </c>
    </row>
    <row r="453" customFormat="false" ht="15" hidden="false" customHeight="false" outlineLevel="0" collapsed="false">
      <c r="A453" s="0" t="s">
        <v>552</v>
      </c>
      <c r="B453" s="0" t="s">
        <v>26</v>
      </c>
      <c r="D453" s="22" t="n">
        <f aca="false">fyw*C449+(1-fyw)*D449</f>
        <v>16.6153548887347</v>
      </c>
      <c r="E453" s="22" t="n">
        <f aca="false">fyw*D449+(1-fyw)*E449</f>
        <v>22.2906736126895</v>
      </c>
      <c r="F453" s="22" t="n">
        <f aca="false">fyw*E449+(1-fyw)*F449</f>
        <v>25.6924392314045</v>
      </c>
      <c r="G453" s="22" t="n">
        <f aca="false">fyw*F449+(1-fyw)*G449</f>
        <v>27.4254809147473</v>
      </c>
    </row>
    <row r="454" customFormat="false" ht="17.15" hidden="false" customHeight="false" outlineLevel="0" collapsed="false">
      <c r="A454" s="5" t="s">
        <v>553</v>
      </c>
      <c r="B454" s="0" t="s">
        <v>242</v>
      </c>
      <c r="D454" s="21" t="n">
        <f aca="false">m_fl*D451/$D451+m_dr*D452/$D452+m_nd*D453/$D453</f>
        <v>1</v>
      </c>
      <c r="E454" s="21" t="n">
        <f aca="false">m_fl*E451/$D451+m_dr*E452/$D452+m_nd*E453/$D453</f>
        <v>1.2474041822294</v>
      </c>
      <c r="F454" s="21" t="n">
        <f aca="false">m_fl*F451/$D451+m_dr*F452/$D452+m_nd*F453/$D453</f>
        <v>1.42038896941297</v>
      </c>
      <c r="G454" s="21" t="n">
        <f aca="false">m_fl*G451/$D451+m_dr*G452/$D452+m_nd*G453/$D453</f>
        <v>1.51409392151355</v>
      </c>
      <c r="H454" s="8" t="s">
        <v>554</v>
      </c>
    </row>
    <row r="455" customFormat="false" ht="17.15" hidden="false" customHeight="false" outlineLevel="0" collapsed="false">
      <c r="A455" s="1" t="s">
        <v>555</v>
      </c>
    </row>
    <row r="456" customFormat="false" ht="17.15" hidden="false" customHeight="false" outlineLevel="0" collapsed="false">
      <c r="A456" s="5" t="s">
        <v>556</v>
      </c>
      <c r="B456" s="0" t="s">
        <v>248</v>
      </c>
      <c r="C456" s="9" t="n">
        <f aca="false">a25_ss</f>
        <v>21438.5432098765</v>
      </c>
      <c r="D456" s="9" t="n">
        <f aca="false">an_ss</f>
        <v>26046</v>
      </c>
      <c r="E456" s="9" t="n">
        <f aca="false">$D456*E454*sf</f>
        <v>32489.8893303468</v>
      </c>
      <c r="F456" s="9" t="n">
        <f aca="false">$D456*F454*sf</f>
        <v>36995.4510973303</v>
      </c>
      <c r="G456" s="9" t="n">
        <f aca="false">$D456*G454*sf</f>
        <v>39436.090279742</v>
      </c>
      <c r="H456" s="8" t="s">
        <v>557</v>
      </c>
    </row>
    <row r="457" customFormat="false" ht="17.15" hidden="false" customHeight="false" outlineLevel="0" collapsed="false">
      <c r="A457" s="0" t="s">
        <v>558</v>
      </c>
      <c r="B457" s="0" t="s">
        <v>248</v>
      </c>
      <c r="C457" s="9" t="n">
        <f aca="false">a25_ags</f>
        <v>5744.19672131148</v>
      </c>
      <c r="D457" s="9" t="n">
        <f aca="false">an_ags</f>
        <v>6845</v>
      </c>
      <c r="E457" s="9" t="n">
        <f aca="false">D457*(1+g_ags_A)</f>
        <v>7871.75</v>
      </c>
      <c r="F457" s="9" t="n">
        <f aca="false">E457*(1+g_ags_A)</f>
        <v>9052.5125</v>
      </c>
      <c r="G457" s="9" t="n">
        <f aca="false">F457*(1+g_ags_A)</f>
        <v>10410.389375</v>
      </c>
    </row>
    <row r="458" customFormat="false" ht="15" hidden="false" customHeight="false" outlineLevel="0" collapsed="false">
      <c r="A458" s="5" t="s">
        <v>559</v>
      </c>
      <c r="B458" s="0" t="s">
        <v>248</v>
      </c>
      <c r="C458" s="9" t="n">
        <f aca="false">a25_oth</f>
        <v>1185.26006881198</v>
      </c>
      <c r="D458" s="9" t="n">
        <f aca="false">an_oth</f>
        <v>1396</v>
      </c>
      <c r="E458" s="9" t="n">
        <f aca="false">D458*(1+g_oth_A_lo)</f>
        <v>1256.4</v>
      </c>
      <c r="F458" s="9" t="n">
        <f aca="false">E458*(1+g_oth_A_lo)</f>
        <v>1130.76</v>
      </c>
      <c r="G458" s="9" t="n">
        <f aca="false">F458*(1+g_oth_A_lo)</f>
        <v>1017.684</v>
      </c>
    </row>
    <row r="459" customFormat="false" ht="17.15" hidden="false" customHeight="false" outlineLevel="0" collapsed="false">
      <c r="A459" s="5" t="s">
        <v>560</v>
      </c>
      <c r="B459" s="0" t="s">
        <v>248</v>
      </c>
      <c r="C459" s="9" t="n">
        <v>0</v>
      </c>
      <c r="D459" s="9" t="n">
        <v>0</v>
      </c>
      <c r="E459" s="9" t="n">
        <f aca="false">-aff_hit*aff_A-0*cn_sh*(E456+E457)</f>
        <v>-0</v>
      </c>
      <c r="F459" s="9" t="n">
        <f aca="false">-aff_hit*aff_A-0*cn_sh*(F456+F457)</f>
        <v>-0</v>
      </c>
      <c r="G459" s="9" t="n">
        <f aca="false">-aff_hit*aff_A-0*cn_sh*(G456+G457)</f>
        <v>-0</v>
      </c>
      <c r="H459" s="5" t="s">
        <v>561</v>
      </c>
    </row>
    <row r="460" customFormat="false" ht="15" hidden="false" customHeight="false" outlineLevel="0" collapsed="false">
      <c r="A460" s="5" t="s">
        <v>450</v>
      </c>
      <c r="B460" s="0" t="s">
        <v>248</v>
      </c>
      <c r="C460" s="9" t="n">
        <f aca="false">C456+C457+C458+C459</f>
        <v>28368</v>
      </c>
      <c r="D460" s="9" t="n">
        <f aca="false">D456+D457+D458+D459</f>
        <v>34287</v>
      </c>
      <c r="E460" s="9" t="n">
        <f aca="false">E456+E457+E458+E459</f>
        <v>41618.0393303468</v>
      </c>
      <c r="F460" s="9" t="n">
        <f aca="false">F456+F457+F458+F459</f>
        <v>47178.7235973303</v>
      </c>
      <c r="G460" s="9" t="n">
        <f aca="false">G456+G457+G458+G459</f>
        <v>50864.163654742</v>
      </c>
    </row>
    <row r="461" customFormat="false" ht="17.15" hidden="false" customHeight="false" outlineLevel="0" collapsed="false">
      <c r="A461" s="0" t="s">
        <v>456</v>
      </c>
      <c r="B461" s="0" t="s">
        <v>195</v>
      </c>
      <c r="C461" s="11" t="n">
        <f aca="false">a25_gp/a25_rev</f>
        <v>0.487833192329385</v>
      </c>
      <c r="D461" s="11" t="n">
        <f aca="false">an_gp/an_rev</f>
        <v>0.500418584303089</v>
      </c>
      <c r="E461" s="11" t="n">
        <f aca="false">1-(cF+cv*E460)/E460</f>
        <v>0.511043636144277</v>
      </c>
      <c r="F461" s="11" t="n">
        <f aca="false">1-(cF+cv*F460)/F460</f>
        <v>0.516900660707724</v>
      </c>
      <c r="G461" s="11" t="n">
        <f aca="false">1-(cF+cv*G460)/G460</f>
        <v>0.520076860909138</v>
      </c>
      <c r="H461" s="5" t="s">
        <v>562</v>
      </c>
    </row>
    <row r="462" customFormat="false" ht="17.15" hidden="false" customHeight="false" outlineLevel="0" collapsed="false">
      <c r="A462" s="0" t="s">
        <v>459</v>
      </c>
      <c r="B462" s="0" t="s">
        <v>248</v>
      </c>
      <c r="C462" s="9" t="n">
        <f aca="false">C460*C461</f>
        <v>13838.852</v>
      </c>
      <c r="D462" s="9" t="n">
        <f aca="false">D460*D461</f>
        <v>17157.852</v>
      </c>
      <c r="E462" s="9" t="n">
        <f aca="false">E460*E461</f>
        <v>21268.634148576</v>
      </c>
      <c r="F462" s="9" t="n">
        <f aca="false">F460*F461</f>
        <v>24386.7133988071</v>
      </c>
      <c r="G462" s="9" t="n">
        <f aca="false">G460*G461</f>
        <v>26453.2745663269</v>
      </c>
    </row>
    <row r="463" customFormat="false" ht="17.15" hidden="false" customHeight="false" outlineLevel="0" collapsed="false">
      <c r="A463" s="0" t="s">
        <v>563</v>
      </c>
      <c r="B463" s="0" t="s">
        <v>248</v>
      </c>
      <c r="C463" s="9" t="n">
        <f aca="false">opex25</f>
        <v>5276.852</v>
      </c>
      <c r="D463" s="9" t="n">
        <f aca="false">opex26</f>
        <v>5832.852</v>
      </c>
      <c r="E463" s="9" t="n">
        <f aca="false">oF+ov*E460</f>
        <v>6521.49161271716</v>
      </c>
      <c r="F463" s="9" t="n">
        <f aca="false">oF+ov*F460</f>
        <v>7043.83330091496</v>
      </c>
      <c r="G463" s="9" t="n">
        <f aca="false">oF+ov*G460</f>
        <v>7390.02432506109</v>
      </c>
      <c r="H463" s="5" t="s">
        <v>564</v>
      </c>
    </row>
    <row r="464" customFormat="false" ht="17.15" hidden="false" customHeight="false" outlineLevel="0" collapsed="false">
      <c r="A464" s="0" t="s">
        <v>461</v>
      </c>
      <c r="B464" s="0" t="s">
        <v>248</v>
      </c>
      <c r="C464" s="9" t="n">
        <f aca="false">C462-C463</f>
        <v>8562</v>
      </c>
      <c r="D464" s="9" t="n">
        <f aca="false">D462-D463</f>
        <v>11325</v>
      </c>
      <c r="E464" s="9" t="n">
        <f aca="false">E462-E463</f>
        <v>14747.1425358588</v>
      </c>
      <c r="F464" s="9" t="n">
        <f aca="false">F462-F463</f>
        <v>17342.8800978921</v>
      </c>
      <c r="G464" s="9" t="n">
        <f aca="false">G462-G463</f>
        <v>19063.2502412658</v>
      </c>
    </row>
    <row r="465" customFormat="false" ht="17.15" hidden="false" customHeight="false" outlineLevel="0" collapsed="false">
      <c r="A465" s="0" t="s">
        <v>540</v>
      </c>
      <c r="B465" s="0" t="s">
        <v>195</v>
      </c>
      <c r="C465" s="11" t="n">
        <f aca="false">C464/C460</f>
        <v>0.301818950930626</v>
      </c>
      <c r="D465" s="11" t="n">
        <f aca="false">D464/D460</f>
        <v>0.330300113745735</v>
      </c>
      <c r="E465" s="11" t="n">
        <f aca="false">E464/E460</f>
        <v>0.354344961299163</v>
      </c>
      <c r="F465" s="11" t="n">
        <f aca="false">F464/F460</f>
        <v>0.367599603709362</v>
      </c>
      <c r="G465" s="11" t="n">
        <f aca="false">G464/G460</f>
        <v>0.374787450957891</v>
      </c>
    </row>
    <row r="466" customFormat="false" ht="17.15" hidden="false" customHeight="false" outlineLevel="0" collapsed="false">
      <c r="A466" s="0" t="s">
        <v>466</v>
      </c>
      <c r="B466" s="0" t="s">
        <v>248</v>
      </c>
      <c r="C466" s="9" t="n">
        <f aca="false">a25_ni</f>
        <v>7607</v>
      </c>
      <c r="D466" s="9" t="n">
        <f aca="false">an_ni</f>
        <v>10179.92</v>
      </c>
      <c r="E466" s="9" t="n">
        <f aca="false">E464*nioi</f>
        <v>13102.2556961315</v>
      </c>
      <c r="F466" s="9" t="n">
        <f aca="false">F464*nioi</f>
        <v>15408.4663518647</v>
      </c>
      <c r="G466" s="9" t="n">
        <f aca="false">G464*nioi</f>
        <v>16936.9475105476</v>
      </c>
    </row>
    <row r="467" customFormat="false" ht="15" hidden="false" customHeight="false" outlineLevel="0" collapsed="false">
      <c r="A467" s="5" t="s">
        <v>565</v>
      </c>
      <c r="B467" s="5" t="s">
        <v>324</v>
      </c>
      <c r="C467" s="23" t="n">
        <f aca="false">a25_sh</f>
        <v>808</v>
      </c>
      <c r="D467" s="23" t="n">
        <f aca="false">an_sh</f>
        <v>797.799373040752</v>
      </c>
      <c r="E467" s="23" t="n">
        <f aca="false">$D467*(1-bb)^1</f>
        <v>789.821379310345</v>
      </c>
      <c r="F467" s="23" t="n">
        <f aca="false">$D467*(1-bb)^2</f>
        <v>781.923165517241</v>
      </c>
      <c r="G467" s="23" t="n">
        <f aca="false">$D467*(1-bb)^3</f>
        <v>774.103933862069</v>
      </c>
    </row>
    <row r="468" customFormat="false" ht="17.15" hidden="false" customHeight="false" outlineLevel="0" collapsed="false">
      <c r="A468" s="0" t="s">
        <v>566</v>
      </c>
      <c r="B468" s="0" t="s">
        <v>337</v>
      </c>
      <c r="C468" s="14" t="n">
        <f aca="false">a25_eps</f>
        <v>9.42</v>
      </c>
      <c r="D468" s="14" t="n">
        <f aca="false">an_eps</f>
        <v>12.76</v>
      </c>
      <c r="E468" s="14" t="n">
        <f aca="false">E466/E467</f>
        <v>16.5888845748543</v>
      </c>
      <c r="F468" s="14" t="n">
        <f aca="false">F466/F467</f>
        <v>19.7058573417147</v>
      </c>
      <c r="G468" s="14" t="n">
        <f aca="false">G466/G467</f>
        <v>21.8794231235175</v>
      </c>
      <c r="H468" s="8" t="s">
        <v>567</v>
      </c>
    </row>
    <row r="469" customFormat="false" ht="17.15" hidden="false" customHeight="false" outlineLevel="0" collapsed="false">
      <c r="A469" s="5" t="s">
        <v>568</v>
      </c>
      <c r="B469" s="0" t="s">
        <v>195</v>
      </c>
      <c r="D469" s="11" t="n">
        <f aca="false">D456/1000/(D451+D452+D453)</f>
        <v>0.174088357854613</v>
      </c>
      <c r="E469" s="11" t="n">
        <f aca="false">E456/1000/(E451+E452+E453)</f>
        <v>0.174032095099019</v>
      </c>
      <c r="F469" s="11" t="n">
        <f aca="false">F456/1000/(F451+F452+F453)</f>
        <v>0.173968172468113</v>
      </c>
      <c r="G469" s="11" t="n">
        <f aca="false">G456/1000/(G451+G452+G453)</f>
        <v>0.17383613380168</v>
      </c>
      <c r="H469" s="5" t="s">
        <v>569</v>
      </c>
    </row>
    <row r="476" customFormat="false" ht="17.15" hidden="false" customHeight="false" outlineLevel="0" collapsed="false">
      <c r="A476" s="3" t="s">
        <v>874</v>
      </c>
    </row>
    <row r="477" customFormat="false" ht="15" hidden="false" customHeight="false" outlineLevel="0" collapsed="false">
      <c r="A477" s="6" t="s">
        <v>15</v>
      </c>
      <c r="B477" s="6" t="s">
        <v>16</v>
      </c>
      <c r="C477" s="15" t="s">
        <v>509</v>
      </c>
      <c r="D477" s="15" t="s">
        <v>510</v>
      </c>
      <c r="E477" s="15" t="s">
        <v>511</v>
      </c>
      <c r="F477" s="15" t="s">
        <v>512</v>
      </c>
      <c r="G477" s="15" t="s">
        <v>513</v>
      </c>
      <c r="H477" s="6" t="s">
        <v>514</v>
      </c>
    </row>
    <row r="478" customFormat="false" ht="17.15" hidden="false" customHeight="false" outlineLevel="0" collapsed="false">
      <c r="A478" s="1" t="s">
        <v>545</v>
      </c>
    </row>
    <row r="479" customFormat="false" ht="17.15" hidden="false" customHeight="false" outlineLevel="0" collapsed="false">
      <c r="A479" s="5" t="s">
        <v>546</v>
      </c>
      <c r="B479" s="0" t="s">
        <v>26</v>
      </c>
      <c r="C479" s="22" t="n">
        <f aca="false">laA_25+loA_25+ofA_25</f>
        <v>78.3481206981793</v>
      </c>
      <c r="D479" s="22" t="n">
        <f aca="false">laA_26+loA_26+ofA_26</f>
        <v>99.2871982981748</v>
      </c>
      <c r="E479" s="22" t="n">
        <f aca="false">laA_27+loA_27+ofA_27</f>
        <v>116.288709321091</v>
      </c>
      <c r="F479" s="22" t="n">
        <f aca="false">laA_28+loA_28+ofA_28</f>
        <v>130.886404842261</v>
      </c>
      <c r="G479" s="22" t="n">
        <f aca="false">laA_29+loA_29+ofA_29</f>
        <v>139.398079992203</v>
      </c>
    </row>
    <row r="480" customFormat="false" ht="17.15" hidden="false" customHeight="false" outlineLevel="0" collapsed="false">
      <c r="A480" s="0" t="s">
        <v>547</v>
      </c>
      <c r="B480" s="0" t="s">
        <v>26</v>
      </c>
      <c r="C480" s="22" t="n">
        <f aca="false">drA_25</f>
        <v>26.3761091658243</v>
      </c>
      <c r="D480" s="22" t="n">
        <f aca="false">drA_26</f>
        <v>39.3659468014757</v>
      </c>
      <c r="E480" s="22" t="n">
        <f aca="false">drA_27</f>
        <v>53.2587328153375</v>
      </c>
      <c r="F480" s="22" t="n">
        <f aca="false">drA_28</f>
        <v>59.5608998372386</v>
      </c>
      <c r="G480" s="22" t="n">
        <f aca="false">drA_29</f>
        <v>61.8312930912183</v>
      </c>
    </row>
    <row r="481" customFormat="false" ht="15" hidden="false" customHeight="false" outlineLevel="0" collapsed="false">
      <c r="A481" s="0" t="s">
        <v>548</v>
      </c>
      <c r="B481" s="0" t="s">
        <v>26</v>
      </c>
      <c r="C481" s="22" t="n">
        <f aca="false">ndA_25</f>
        <v>12.1726019800256</v>
      </c>
      <c r="D481" s="22" t="n">
        <f aca="false">ndA_26</f>
        <v>17.5039054704765</v>
      </c>
      <c r="E481" s="22" t="n">
        <f aca="false">ndA_27</f>
        <v>23.2480272411321</v>
      </c>
      <c r="F481" s="22" t="n">
        <f aca="false">ndA_28</f>
        <v>26.181321629459</v>
      </c>
      <c r="G481" s="22" t="n">
        <f aca="false">ndA_29</f>
        <v>27.674312771805</v>
      </c>
    </row>
    <row r="482" customFormat="false" ht="17.15" hidden="false" customHeight="false" outlineLevel="0" collapsed="false">
      <c r="A482" s="1" t="s">
        <v>549</v>
      </c>
    </row>
    <row r="483" customFormat="false" ht="17.15" hidden="false" customHeight="false" outlineLevel="0" collapsed="false">
      <c r="A483" s="5" t="s">
        <v>550</v>
      </c>
      <c r="B483" s="0" t="s">
        <v>26</v>
      </c>
      <c r="D483" s="22" t="n">
        <f aca="false">fyw*C479+(1-fyw)*D479</f>
        <v>95.7973520315089</v>
      </c>
      <c r="E483" s="22" t="n">
        <f aca="false">fyw*D479+(1-fyw)*E479</f>
        <v>113.455124150605</v>
      </c>
      <c r="F483" s="22" t="n">
        <f aca="false">fyw*E479+(1-fyw)*F479</f>
        <v>128.453455588732</v>
      </c>
      <c r="G483" s="22" t="n">
        <f aca="false">fyw*F479+(1-fyw)*G479</f>
        <v>137.979467467212</v>
      </c>
    </row>
    <row r="484" customFormat="false" ht="17.15" hidden="false" customHeight="false" outlineLevel="0" collapsed="false">
      <c r="A484" s="0" t="s">
        <v>551</v>
      </c>
      <c r="B484" s="0" t="s">
        <v>26</v>
      </c>
      <c r="D484" s="22" t="n">
        <f aca="false">fyw*C480+(1-fyw)*D480</f>
        <v>37.2009738622005</v>
      </c>
      <c r="E484" s="22" t="n">
        <f aca="false">fyw*D480+(1-fyw)*E480</f>
        <v>50.9432684796939</v>
      </c>
      <c r="F484" s="22" t="n">
        <f aca="false">fyw*E480+(1-fyw)*F480</f>
        <v>58.5105386669218</v>
      </c>
      <c r="G484" s="22" t="n">
        <f aca="false">fyw*F480+(1-fyw)*G480</f>
        <v>61.452894215555</v>
      </c>
    </row>
    <row r="485" customFormat="false" ht="15" hidden="false" customHeight="false" outlineLevel="0" collapsed="false">
      <c r="A485" s="0" t="s">
        <v>552</v>
      </c>
      <c r="B485" s="0" t="s">
        <v>26</v>
      </c>
      <c r="D485" s="22" t="n">
        <f aca="false">fyw*C481+(1-fyw)*D481</f>
        <v>16.6153548887347</v>
      </c>
      <c r="E485" s="22" t="n">
        <f aca="false">fyw*D481+(1-fyw)*E481</f>
        <v>22.2906736126895</v>
      </c>
      <c r="F485" s="22" t="n">
        <f aca="false">fyw*E481+(1-fyw)*F481</f>
        <v>25.6924392314045</v>
      </c>
      <c r="G485" s="22" t="n">
        <f aca="false">fyw*F481+(1-fyw)*G481</f>
        <v>27.4254809147473</v>
      </c>
    </row>
    <row r="486" customFormat="false" ht="17.15" hidden="false" customHeight="false" outlineLevel="0" collapsed="false">
      <c r="A486" s="5" t="s">
        <v>553</v>
      </c>
      <c r="B486" s="0" t="s">
        <v>242</v>
      </c>
      <c r="D486" s="21" t="n">
        <f aca="false">m_fl*D483/$D483+m_dr*D484/$D484+m_nd*D485/$D485</f>
        <v>1</v>
      </c>
      <c r="E486" s="21" t="n">
        <f aca="false">m_fl*E483/$D483+m_dr*E484/$D484+m_nd*E485/$D485</f>
        <v>1.2474041822294</v>
      </c>
      <c r="F486" s="21" t="n">
        <f aca="false">m_fl*F483/$D483+m_dr*F484/$D484+m_nd*F485/$D485</f>
        <v>1.42038896941297</v>
      </c>
      <c r="G486" s="21" t="n">
        <f aca="false">m_fl*G483/$D483+m_dr*G484/$D484+m_nd*G485/$D485</f>
        <v>1.51409392151355</v>
      </c>
      <c r="H486" s="8" t="s">
        <v>554</v>
      </c>
    </row>
    <row r="487" customFormat="false" ht="17.15" hidden="false" customHeight="false" outlineLevel="0" collapsed="false">
      <c r="A487" s="1" t="s">
        <v>555</v>
      </c>
    </row>
    <row r="488" customFormat="false" ht="17.15" hidden="false" customHeight="false" outlineLevel="0" collapsed="false">
      <c r="A488" s="5" t="s">
        <v>556</v>
      </c>
      <c r="B488" s="0" t="s">
        <v>248</v>
      </c>
      <c r="C488" s="9" t="n">
        <f aca="false">a25_ss</f>
        <v>21438.5432098765</v>
      </c>
      <c r="D488" s="9" t="n">
        <f aca="false">an_ss</f>
        <v>26046</v>
      </c>
      <c r="E488" s="9" t="n">
        <f aca="false">$D488*E486*sf</f>
        <v>32489.8893303468</v>
      </c>
      <c r="F488" s="9" t="n">
        <f aca="false">$D488*F486*sf</f>
        <v>36995.4510973303</v>
      </c>
      <c r="G488" s="9" t="n">
        <f aca="false">$D488*G486*sf</f>
        <v>39436.090279742</v>
      </c>
      <c r="H488" s="8" t="s">
        <v>557</v>
      </c>
    </row>
    <row r="489" customFormat="false" ht="17.15" hidden="false" customHeight="false" outlineLevel="0" collapsed="false">
      <c r="A489" s="0" t="s">
        <v>558</v>
      </c>
      <c r="B489" s="0" t="s">
        <v>248</v>
      </c>
      <c r="C489" s="9" t="n">
        <f aca="false">a25_ags</f>
        <v>5744.19672131148</v>
      </c>
      <c r="D489" s="9" t="n">
        <f aca="false">an_ags</f>
        <v>6845</v>
      </c>
      <c r="E489" s="9" t="n">
        <f aca="false">D489*(1+g_ags_A)</f>
        <v>7871.75</v>
      </c>
      <c r="F489" s="9" t="n">
        <f aca="false">E489*(1+g_ags_A)</f>
        <v>9052.5125</v>
      </c>
      <c r="G489" s="9" t="n">
        <f aca="false">F489*(1+g_ags_A)</f>
        <v>10410.389375</v>
      </c>
    </row>
    <row r="490" customFormat="false" ht="15" hidden="false" customHeight="false" outlineLevel="0" collapsed="false">
      <c r="A490" s="5" t="s">
        <v>559</v>
      </c>
      <c r="B490" s="0" t="s">
        <v>248</v>
      </c>
      <c r="C490" s="9" t="n">
        <f aca="false">a25_oth</f>
        <v>1185.26006881198</v>
      </c>
      <c r="D490" s="9" t="n">
        <f aca="false">an_oth</f>
        <v>1396</v>
      </c>
      <c r="E490" s="9" t="n">
        <f aca="false">D490*(1+g_oth_A_hi)</f>
        <v>1535.6</v>
      </c>
      <c r="F490" s="9" t="n">
        <f aca="false">E490*(1+g_oth_A_hi)</f>
        <v>1689.16</v>
      </c>
      <c r="G490" s="9" t="n">
        <f aca="false">F490*(1+g_oth_A_hi)</f>
        <v>1858.076</v>
      </c>
    </row>
    <row r="491" customFormat="false" ht="17.15" hidden="false" customHeight="false" outlineLevel="0" collapsed="false">
      <c r="A491" s="5" t="s">
        <v>560</v>
      </c>
      <c r="B491" s="0" t="s">
        <v>248</v>
      </c>
      <c r="C491" s="9" t="n">
        <v>0</v>
      </c>
      <c r="D491" s="9" t="n">
        <v>0</v>
      </c>
      <c r="E491" s="9" t="n">
        <f aca="false">-aff_hit*aff_A-0*cn_sh*(E488+E489)</f>
        <v>-0</v>
      </c>
      <c r="F491" s="9" t="n">
        <f aca="false">-aff_hit*aff_A-0*cn_sh*(F488+F489)</f>
        <v>-0</v>
      </c>
      <c r="G491" s="9" t="n">
        <f aca="false">-aff_hit*aff_A-0*cn_sh*(G488+G489)</f>
        <v>-0</v>
      </c>
      <c r="H491" s="5" t="s">
        <v>561</v>
      </c>
    </row>
    <row r="492" customFormat="false" ht="15" hidden="false" customHeight="false" outlineLevel="0" collapsed="false">
      <c r="A492" s="5" t="s">
        <v>450</v>
      </c>
      <c r="B492" s="0" t="s">
        <v>248</v>
      </c>
      <c r="C492" s="9" t="n">
        <f aca="false">C488+C489+C490+C491</f>
        <v>28368</v>
      </c>
      <c r="D492" s="9" t="n">
        <f aca="false">D488+D489+D490+D491</f>
        <v>34287</v>
      </c>
      <c r="E492" s="9" t="n">
        <f aca="false">E488+E489+E490+E491</f>
        <v>41897.2393303468</v>
      </c>
      <c r="F492" s="9" t="n">
        <f aca="false">F488+F489+F490+F491</f>
        <v>47737.1235973303</v>
      </c>
      <c r="G492" s="9" t="n">
        <f aca="false">G488+G489+G490+G491</f>
        <v>51704.555654742</v>
      </c>
    </row>
    <row r="493" customFormat="false" ht="17.15" hidden="false" customHeight="false" outlineLevel="0" collapsed="false">
      <c r="A493" s="0" t="s">
        <v>456</v>
      </c>
      <c r="B493" s="0" t="s">
        <v>195</v>
      </c>
      <c r="C493" s="11" t="n">
        <f aca="false">a25_gp/a25_rev</f>
        <v>0.487833192329385</v>
      </c>
      <c r="D493" s="11" t="n">
        <f aca="false">an_gp/an_rev</f>
        <v>0.500418584303089</v>
      </c>
      <c r="E493" s="11" t="n">
        <f aca="false">1-(cF+cv*E492)/E492</f>
        <v>0.511374786329288</v>
      </c>
      <c r="F493" s="11" t="n">
        <f aca="false">1-(cF+cv*F492)/F492</f>
        <v>0.51741342714086</v>
      </c>
      <c r="G493" s="11" t="n">
        <f aca="false">1-(cF+cv*G492)/G492</f>
        <v>0.520737733596145</v>
      </c>
      <c r="H493" s="5" t="s">
        <v>562</v>
      </c>
    </row>
    <row r="494" customFormat="false" ht="17.15" hidden="false" customHeight="false" outlineLevel="0" collapsed="false">
      <c r="A494" s="0" t="s">
        <v>459</v>
      </c>
      <c r="B494" s="0" t="s">
        <v>248</v>
      </c>
      <c r="C494" s="9" t="n">
        <f aca="false">C492*C493</f>
        <v>13838.852</v>
      </c>
      <c r="D494" s="9" t="n">
        <f aca="false">D492*D493</f>
        <v>17157.852</v>
      </c>
      <c r="E494" s="9" t="n">
        <f aca="false">E492*E493</f>
        <v>21425.1918103432</v>
      </c>
      <c r="F494" s="9" t="n">
        <f aca="false">F492*F493</f>
        <v>24699.8287223415</v>
      </c>
      <c r="G494" s="9" t="n">
        <f aca="false">G492*G493</f>
        <v>26924.5131282461</v>
      </c>
    </row>
    <row r="495" customFormat="false" ht="17.15" hidden="false" customHeight="false" outlineLevel="0" collapsed="false">
      <c r="A495" s="0" t="s">
        <v>563</v>
      </c>
      <c r="B495" s="0" t="s">
        <v>248</v>
      </c>
      <c r="C495" s="9" t="n">
        <f aca="false">opex25</f>
        <v>5276.852</v>
      </c>
      <c r="D495" s="9" t="n">
        <f aca="false">opex26</f>
        <v>5832.852</v>
      </c>
      <c r="E495" s="9" t="n">
        <f aca="false">oF+ov*E492</f>
        <v>6547.71820504694</v>
      </c>
      <c r="F495" s="9" t="n">
        <f aca="false">oF+ov*F492</f>
        <v>7096.28648557453</v>
      </c>
      <c r="G495" s="9" t="n">
        <f aca="false">oF+ov*G492</f>
        <v>7468.96636797374</v>
      </c>
      <c r="H495" s="5" t="s">
        <v>564</v>
      </c>
    </row>
    <row r="496" customFormat="false" ht="17.15" hidden="false" customHeight="false" outlineLevel="0" collapsed="false">
      <c r="A496" s="0" t="s">
        <v>461</v>
      </c>
      <c r="B496" s="0" t="s">
        <v>248</v>
      </c>
      <c r="C496" s="9" t="n">
        <f aca="false">C494-C495</f>
        <v>8562</v>
      </c>
      <c r="D496" s="9" t="n">
        <f aca="false">D494-D495</f>
        <v>11325</v>
      </c>
      <c r="E496" s="9" t="n">
        <f aca="false">E494-E495</f>
        <v>14877.4736052962</v>
      </c>
      <c r="F496" s="9" t="n">
        <f aca="false">F494-F495</f>
        <v>17603.542236767</v>
      </c>
      <c r="G496" s="9" t="n">
        <f aca="false">G494-G495</f>
        <v>19455.5467602724</v>
      </c>
    </row>
    <row r="497" customFormat="false" ht="17.15" hidden="false" customHeight="false" outlineLevel="0" collapsed="false">
      <c r="A497" s="0" t="s">
        <v>540</v>
      </c>
      <c r="B497" s="0" t="s">
        <v>195</v>
      </c>
      <c r="C497" s="11" t="n">
        <f aca="false">C496/C492</f>
        <v>0.301818950930626</v>
      </c>
      <c r="D497" s="11" t="n">
        <f aca="false">D496/D492</f>
        <v>0.330300113745735</v>
      </c>
      <c r="E497" s="11" t="n">
        <f aca="false">E496/E492</f>
        <v>0.355094365239483</v>
      </c>
      <c r="F497" s="11" t="n">
        <f aca="false">F496/F492</f>
        <v>0.368760011291326</v>
      </c>
      <c r="G497" s="11" t="n">
        <f aca="false">G496/G492</f>
        <v>0.376283027944135</v>
      </c>
    </row>
    <row r="498" customFormat="false" ht="17.15" hidden="false" customHeight="false" outlineLevel="0" collapsed="false">
      <c r="A498" s="0" t="s">
        <v>466</v>
      </c>
      <c r="B498" s="0" t="s">
        <v>248</v>
      </c>
      <c r="C498" s="9" t="n">
        <f aca="false">a25_ni</f>
        <v>7607</v>
      </c>
      <c r="D498" s="9" t="n">
        <f aca="false">an_ni</f>
        <v>10179.92</v>
      </c>
      <c r="E498" s="9" t="n">
        <f aca="false">E496*nioi</f>
        <v>13218.0497215006</v>
      </c>
      <c r="F498" s="9" t="n">
        <f aca="false">F496*nioi</f>
        <v>15640.0544026029</v>
      </c>
      <c r="G498" s="9" t="n">
        <f aca="false">G496*nioi</f>
        <v>17285.4875269087</v>
      </c>
    </row>
    <row r="499" customFormat="false" ht="15" hidden="false" customHeight="false" outlineLevel="0" collapsed="false">
      <c r="A499" s="5" t="s">
        <v>565</v>
      </c>
      <c r="B499" s="5" t="s">
        <v>324</v>
      </c>
      <c r="C499" s="23" t="n">
        <f aca="false">a25_sh</f>
        <v>808</v>
      </c>
      <c r="D499" s="23" t="n">
        <f aca="false">an_sh</f>
        <v>797.799373040752</v>
      </c>
      <c r="E499" s="23" t="n">
        <f aca="false">$D499*(1-bb)^1</f>
        <v>789.821379310345</v>
      </c>
      <c r="F499" s="23" t="n">
        <f aca="false">$D499*(1-bb)^2</f>
        <v>781.923165517241</v>
      </c>
      <c r="G499" s="23" t="n">
        <f aca="false">$D499*(1-bb)^3</f>
        <v>774.103933862069</v>
      </c>
    </row>
    <row r="500" customFormat="false" ht="17.15" hidden="false" customHeight="false" outlineLevel="0" collapsed="false">
      <c r="A500" s="0" t="s">
        <v>566</v>
      </c>
      <c r="B500" s="0" t="s">
        <v>337</v>
      </c>
      <c r="C500" s="14" t="n">
        <f aca="false">a25_eps</f>
        <v>9.42</v>
      </c>
      <c r="D500" s="14" t="n">
        <f aca="false">an_eps</f>
        <v>12.76</v>
      </c>
      <c r="E500" s="14" t="n">
        <f aca="false">E498/E499</f>
        <v>16.735492438863</v>
      </c>
      <c r="F500" s="14" t="n">
        <f aca="false">F498/F499</f>
        <v>20.0020348447626</v>
      </c>
      <c r="G500" s="14" t="n">
        <f aca="false">G498/G499</f>
        <v>22.3296727619894</v>
      </c>
      <c r="H500" s="8" t="s">
        <v>567</v>
      </c>
    </row>
    <row r="501" customFormat="false" ht="17.15" hidden="false" customHeight="false" outlineLevel="0" collapsed="false">
      <c r="A501" s="5" t="s">
        <v>568</v>
      </c>
      <c r="B501" s="0" t="s">
        <v>195</v>
      </c>
      <c r="D501" s="11" t="n">
        <f aca="false">D488/1000/(D483+D484+D485)</f>
        <v>0.174088357854613</v>
      </c>
      <c r="E501" s="11" t="n">
        <f aca="false">E488/1000/(E483+E484+E485)</f>
        <v>0.174032095099019</v>
      </c>
      <c r="F501" s="11" t="n">
        <f aca="false">F488/1000/(F483+F484+F485)</f>
        <v>0.173968172468113</v>
      </c>
      <c r="G501" s="11" t="n">
        <f aca="false">G488/1000/(G483+G484+G485)</f>
        <v>0.17383613380168</v>
      </c>
      <c r="H501" s="5" t="s">
        <v>569</v>
      </c>
    </row>
    <row r="508" customFormat="false" ht="17.15" hidden="false" customHeight="false" outlineLevel="0" collapsed="false">
      <c r="A508" s="3" t="s">
        <v>875</v>
      </c>
    </row>
    <row r="509" customFormat="false" ht="15" hidden="false" customHeight="false" outlineLevel="0" collapsed="false">
      <c r="A509" s="6" t="s">
        <v>15</v>
      </c>
      <c r="B509" s="6" t="s">
        <v>16</v>
      </c>
      <c r="C509" s="15" t="s">
        <v>509</v>
      </c>
      <c r="D509" s="15" t="s">
        <v>510</v>
      </c>
      <c r="E509" s="15" t="s">
        <v>511</v>
      </c>
      <c r="F509" s="15" t="s">
        <v>512</v>
      </c>
      <c r="G509" s="15" t="s">
        <v>513</v>
      </c>
      <c r="H509" s="6" t="s">
        <v>514</v>
      </c>
    </row>
    <row r="510" customFormat="false" ht="17.15" hidden="false" customHeight="false" outlineLevel="0" collapsed="false">
      <c r="A510" s="1" t="s">
        <v>545</v>
      </c>
    </row>
    <row r="511" customFormat="false" ht="17.15" hidden="false" customHeight="false" outlineLevel="0" collapsed="false">
      <c r="A511" s="5" t="s">
        <v>546</v>
      </c>
      <c r="B511" s="0" t="s">
        <v>26</v>
      </c>
      <c r="C511" s="22" t="n">
        <f aca="false">laA_25+loA_25+ofA_25</f>
        <v>78.3481206981793</v>
      </c>
      <c r="D511" s="22" t="n">
        <f aca="false">laA_26+loA_26+ofA_26</f>
        <v>99.2871982981748</v>
      </c>
      <c r="E511" s="22" t="n">
        <f aca="false">laA_27+loA_27+ofA_27</f>
        <v>116.288709321091</v>
      </c>
      <c r="F511" s="22" t="n">
        <f aca="false">laA_28+loA_28+ofA_28</f>
        <v>130.886404842261</v>
      </c>
      <c r="G511" s="22" t="n">
        <f aca="false">laA_29+loA_29+ofA_29</f>
        <v>139.398079992203</v>
      </c>
    </row>
    <row r="512" customFormat="false" ht="17.15" hidden="false" customHeight="false" outlineLevel="0" collapsed="false">
      <c r="A512" s="0" t="s">
        <v>547</v>
      </c>
      <c r="B512" s="0" t="s">
        <v>26</v>
      </c>
      <c r="C512" s="22" t="n">
        <f aca="false">drA_25</f>
        <v>26.3761091658243</v>
      </c>
      <c r="D512" s="22" t="n">
        <f aca="false">drA_26</f>
        <v>39.3659468014757</v>
      </c>
      <c r="E512" s="22" t="n">
        <f aca="false">drA_27</f>
        <v>53.2587328153375</v>
      </c>
      <c r="F512" s="22" t="n">
        <f aca="false">drA_28</f>
        <v>59.5608998372386</v>
      </c>
      <c r="G512" s="22" t="n">
        <f aca="false">drA_29</f>
        <v>61.8312930912183</v>
      </c>
    </row>
    <row r="513" customFormat="false" ht="15" hidden="false" customHeight="false" outlineLevel="0" collapsed="false">
      <c r="A513" s="0" t="s">
        <v>548</v>
      </c>
      <c r="B513" s="0" t="s">
        <v>26</v>
      </c>
      <c r="C513" s="22" t="n">
        <f aca="false">ndA_25</f>
        <v>12.1726019800256</v>
      </c>
      <c r="D513" s="22" t="n">
        <f aca="false">ndA_26</f>
        <v>17.5039054704765</v>
      </c>
      <c r="E513" s="22" t="n">
        <f aca="false">ndA_27</f>
        <v>23.2480272411321</v>
      </c>
      <c r="F513" s="22" t="n">
        <f aca="false">ndA_28</f>
        <v>26.181321629459</v>
      </c>
      <c r="G513" s="22" t="n">
        <f aca="false">ndA_29</f>
        <v>27.674312771805</v>
      </c>
    </row>
    <row r="514" customFormat="false" ht="17.15" hidden="false" customHeight="false" outlineLevel="0" collapsed="false">
      <c r="A514" s="1" t="s">
        <v>549</v>
      </c>
    </row>
    <row r="515" customFormat="false" ht="17.15" hidden="false" customHeight="false" outlineLevel="0" collapsed="false">
      <c r="A515" s="5" t="s">
        <v>550</v>
      </c>
      <c r="B515" s="0" t="s">
        <v>26</v>
      </c>
      <c r="D515" s="22" t="n">
        <f aca="false">fyw*C511+(1-fyw)*D511</f>
        <v>95.7973520315089</v>
      </c>
      <c r="E515" s="22" t="n">
        <f aca="false">fyw*D511+(1-fyw)*E511</f>
        <v>113.455124150605</v>
      </c>
      <c r="F515" s="22" t="n">
        <f aca="false">fyw*E511+(1-fyw)*F511</f>
        <v>128.453455588732</v>
      </c>
      <c r="G515" s="22" t="n">
        <f aca="false">fyw*F511+(1-fyw)*G511</f>
        <v>137.979467467212</v>
      </c>
    </row>
    <row r="516" customFormat="false" ht="17.15" hidden="false" customHeight="false" outlineLevel="0" collapsed="false">
      <c r="A516" s="0" t="s">
        <v>551</v>
      </c>
      <c r="B516" s="0" t="s">
        <v>26</v>
      </c>
      <c r="D516" s="22" t="n">
        <f aca="false">fyw*C512+(1-fyw)*D512</f>
        <v>37.2009738622005</v>
      </c>
      <c r="E516" s="22" t="n">
        <f aca="false">fyw*D512+(1-fyw)*E512</f>
        <v>50.9432684796939</v>
      </c>
      <c r="F516" s="22" t="n">
        <f aca="false">fyw*E512+(1-fyw)*F512</f>
        <v>58.5105386669218</v>
      </c>
      <c r="G516" s="22" t="n">
        <f aca="false">fyw*F512+(1-fyw)*G512</f>
        <v>61.452894215555</v>
      </c>
    </row>
    <row r="517" customFormat="false" ht="15" hidden="false" customHeight="false" outlineLevel="0" collapsed="false">
      <c r="A517" s="0" t="s">
        <v>552</v>
      </c>
      <c r="B517" s="0" t="s">
        <v>26</v>
      </c>
      <c r="D517" s="22" t="n">
        <f aca="false">fyw*C513+(1-fyw)*D513</f>
        <v>16.6153548887347</v>
      </c>
      <c r="E517" s="22" t="n">
        <f aca="false">fyw*D513+(1-fyw)*E513</f>
        <v>22.2906736126895</v>
      </c>
      <c r="F517" s="22" t="n">
        <f aca="false">fyw*E513+(1-fyw)*F513</f>
        <v>25.6924392314045</v>
      </c>
      <c r="G517" s="22" t="n">
        <f aca="false">fyw*F513+(1-fyw)*G513</f>
        <v>27.4254809147473</v>
      </c>
    </row>
    <row r="518" customFormat="false" ht="17.15" hidden="false" customHeight="false" outlineLevel="0" collapsed="false">
      <c r="A518" s="5" t="s">
        <v>553</v>
      </c>
      <c r="B518" s="0" t="s">
        <v>242</v>
      </c>
      <c r="D518" s="21" t="n">
        <f aca="false">m_fl*D515/$D515+m_dr*D516/$D516+m_nd*D517/$D517</f>
        <v>1</v>
      </c>
      <c r="E518" s="21" t="n">
        <f aca="false">m_fl*E515/$D515+m_dr*E516/$D516+m_nd*E517/$D517</f>
        <v>1.2474041822294</v>
      </c>
      <c r="F518" s="21" t="n">
        <f aca="false">m_fl*F515/$D515+m_dr*F516/$D516+m_nd*F517/$D517</f>
        <v>1.42038896941297</v>
      </c>
      <c r="G518" s="21" t="n">
        <f aca="false">m_fl*G515/$D515+m_dr*G516/$D516+m_nd*G517/$D517</f>
        <v>1.51409392151355</v>
      </c>
      <c r="H518" s="8" t="s">
        <v>554</v>
      </c>
    </row>
    <row r="519" customFormat="false" ht="17.15" hidden="false" customHeight="false" outlineLevel="0" collapsed="false">
      <c r="A519" s="1" t="s">
        <v>555</v>
      </c>
    </row>
    <row r="520" customFormat="false" ht="17.15" hidden="false" customHeight="false" outlineLevel="0" collapsed="false">
      <c r="A520" s="5" t="s">
        <v>556</v>
      </c>
      <c r="B520" s="0" t="s">
        <v>248</v>
      </c>
      <c r="C520" s="9" t="n">
        <f aca="false">a25_ss</f>
        <v>21438.5432098765</v>
      </c>
      <c r="D520" s="9" t="n">
        <f aca="false">an_ss</f>
        <v>26046</v>
      </c>
      <c r="E520" s="9" t="n">
        <f aca="false">$D520*E518*sf</f>
        <v>32489.8893303468</v>
      </c>
      <c r="F520" s="9" t="n">
        <f aca="false">$D520*F518*sf</f>
        <v>36995.4510973303</v>
      </c>
      <c r="G520" s="9" t="n">
        <f aca="false">$D520*G518*sf</f>
        <v>39436.090279742</v>
      </c>
      <c r="H520" s="8" t="s">
        <v>557</v>
      </c>
    </row>
    <row r="521" customFormat="false" ht="17.15" hidden="false" customHeight="false" outlineLevel="0" collapsed="false">
      <c r="A521" s="0" t="s">
        <v>558</v>
      </c>
      <c r="B521" s="0" t="s">
        <v>248</v>
      </c>
      <c r="C521" s="9" t="n">
        <f aca="false">a25_ags</f>
        <v>5744.19672131148</v>
      </c>
      <c r="D521" s="9" t="n">
        <f aca="false">an_ags</f>
        <v>6845</v>
      </c>
      <c r="E521" s="9" t="n">
        <f aca="false">D521*(1+g_ags_A)</f>
        <v>7871.75</v>
      </c>
      <c r="F521" s="9" t="n">
        <f aca="false">E521*(1+g_ags_A)</f>
        <v>9052.5125</v>
      </c>
      <c r="G521" s="9" t="n">
        <f aca="false">F521*(1+g_ags_A)</f>
        <v>10410.389375</v>
      </c>
    </row>
    <row r="522" customFormat="false" ht="15" hidden="false" customHeight="false" outlineLevel="0" collapsed="false">
      <c r="A522" s="5" t="s">
        <v>559</v>
      </c>
      <c r="B522" s="0" t="s">
        <v>248</v>
      </c>
      <c r="C522" s="9" t="n">
        <f aca="false">a25_oth</f>
        <v>1185.26006881198</v>
      </c>
      <c r="D522" s="9" t="n">
        <f aca="false">an_oth</f>
        <v>1396</v>
      </c>
      <c r="E522" s="9" t="n">
        <f aca="false">D522*(1+g_oth_A)</f>
        <v>1396</v>
      </c>
      <c r="F522" s="9" t="n">
        <f aca="false">E522*(1+g_oth_A)</f>
        <v>1396</v>
      </c>
      <c r="G522" s="9" t="n">
        <f aca="false">F522*(1+g_oth_A)</f>
        <v>1396</v>
      </c>
    </row>
    <row r="523" customFormat="false" ht="17.15" hidden="false" customHeight="false" outlineLevel="0" collapsed="false">
      <c r="A523" s="5" t="s">
        <v>560</v>
      </c>
      <c r="B523" s="0" t="s">
        <v>248</v>
      </c>
      <c r="C523" s="9" t="n">
        <v>0</v>
      </c>
      <c r="D523" s="9" t="n">
        <v>0</v>
      </c>
      <c r="E523" s="9" t="n">
        <f aca="false">-aff_hit*aff_A-0*cn_sh*(E520+E521)</f>
        <v>-0</v>
      </c>
      <c r="F523" s="9" t="n">
        <f aca="false">-aff_hit*aff_A-0*cn_sh*(F520+F521)</f>
        <v>-0</v>
      </c>
      <c r="G523" s="9" t="n">
        <f aca="false">-aff_hit*aff_A-0*cn_sh*(G520+G521)</f>
        <v>-0</v>
      </c>
      <c r="H523" s="5" t="s">
        <v>561</v>
      </c>
    </row>
    <row r="524" customFormat="false" ht="15" hidden="false" customHeight="false" outlineLevel="0" collapsed="false">
      <c r="A524" s="5" t="s">
        <v>450</v>
      </c>
      <c r="B524" s="0" t="s">
        <v>248</v>
      </c>
      <c r="C524" s="9" t="n">
        <f aca="false">C520+C521+C522+C523</f>
        <v>28368</v>
      </c>
      <c r="D524" s="9" t="n">
        <f aca="false">D520+D521+D522+D523</f>
        <v>34287</v>
      </c>
      <c r="E524" s="9" t="n">
        <f aca="false">E520+E521+E522+E523</f>
        <v>41757.6393303468</v>
      </c>
      <c r="F524" s="9" t="n">
        <f aca="false">F520+F521+F522+F523</f>
        <v>47443.9635973303</v>
      </c>
      <c r="G524" s="9" t="n">
        <f aca="false">G520+G521+G522+G523</f>
        <v>51242.479654742</v>
      </c>
    </row>
    <row r="525" customFormat="false" ht="17.15" hidden="false" customHeight="false" outlineLevel="0" collapsed="false">
      <c r="A525" s="0" t="s">
        <v>456</v>
      </c>
      <c r="B525" s="0" t="s">
        <v>195</v>
      </c>
      <c r="C525" s="11" t="n">
        <f aca="false">a25_gp/a25_rev</f>
        <v>0.487833192329385</v>
      </c>
      <c r="D525" s="11" t="n">
        <f aca="false">an_gp/an_rev</f>
        <v>0.500418584303089</v>
      </c>
      <c r="E525" s="11" t="n">
        <f aca="false">1-(cF+cv*E524)/E524</f>
        <v>0.511209764771017</v>
      </c>
      <c r="F525" s="11" t="n">
        <f aca="false">1-(cF+cv*F524)/F524</f>
        <v>0.51714572976501</v>
      </c>
      <c r="G525" s="11" t="n">
        <f aca="false">1-(cF+cv*G524)/G524</f>
        <v>0.520377046108731</v>
      </c>
      <c r="H525" s="5" t="s">
        <v>562</v>
      </c>
    </row>
    <row r="526" customFormat="false" ht="17.15" hidden="false" customHeight="false" outlineLevel="0" collapsed="false">
      <c r="A526" s="0" t="s">
        <v>459</v>
      </c>
      <c r="B526" s="0" t="s">
        <v>248</v>
      </c>
      <c r="C526" s="9" t="n">
        <f aca="false">C524*C525</f>
        <v>13838.852</v>
      </c>
      <c r="D526" s="9" t="n">
        <f aca="false">D524*D525</f>
        <v>17157.852</v>
      </c>
      <c r="E526" s="9" t="n">
        <f aca="false">E524*E525</f>
        <v>21346.9129794596</v>
      </c>
      <c r="F526" s="9" t="n">
        <f aca="false">F524*F525</f>
        <v>24535.4431774859</v>
      </c>
      <c r="G526" s="9" t="n">
        <f aca="false">G524*G525</f>
        <v>26665.4101980214</v>
      </c>
    </row>
    <row r="527" customFormat="false" ht="17.15" hidden="false" customHeight="false" outlineLevel="0" collapsed="false">
      <c r="A527" s="0" t="s">
        <v>563</v>
      </c>
      <c r="B527" s="0" t="s">
        <v>248</v>
      </c>
      <c r="C527" s="9" t="n">
        <f aca="false">opex25</f>
        <v>5276.852</v>
      </c>
      <c r="D527" s="9" t="n">
        <f aca="false">opex26</f>
        <v>5832.852</v>
      </c>
      <c r="E527" s="9" t="n">
        <f aca="false">oF+ov*E524</f>
        <v>6534.60490888205</v>
      </c>
      <c r="F527" s="9" t="n">
        <f aca="false">oF+ov*F524</f>
        <v>7068.74856362826</v>
      </c>
      <c r="G527" s="9" t="n">
        <f aca="false">oF+ov*G524</f>
        <v>7425.56135766795</v>
      </c>
      <c r="H527" s="5" t="s">
        <v>564</v>
      </c>
    </row>
    <row r="528" customFormat="false" ht="17.15" hidden="false" customHeight="false" outlineLevel="0" collapsed="false">
      <c r="A528" s="0" t="s">
        <v>461</v>
      </c>
      <c r="B528" s="0" t="s">
        <v>248</v>
      </c>
      <c r="C528" s="9" t="n">
        <f aca="false">C526-C527</f>
        <v>8562</v>
      </c>
      <c r="D528" s="9" t="n">
        <f aca="false">D526-D527</f>
        <v>11325</v>
      </c>
      <c r="E528" s="9" t="n">
        <f aca="false">E526-E527</f>
        <v>14812.3080705775</v>
      </c>
      <c r="F528" s="9" t="n">
        <f aca="false">F526-F527</f>
        <v>17466.6946138577</v>
      </c>
      <c r="G528" s="9" t="n">
        <f aca="false">G526-G527</f>
        <v>19239.8488403535</v>
      </c>
    </row>
    <row r="529" customFormat="false" ht="17.15" hidden="false" customHeight="false" outlineLevel="0" collapsed="false">
      <c r="A529" s="0" t="s">
        <v>540</v>
      </c>
      <c r="B529" s="0" t="s">
        <v>195</v>
      </c>
      <c r="C529" s="11" t="n">
        <f aca="false">C528/C524</f>
        <v>0.301818950930626</v>
      </c>
      <c r="D529" s="11" t="n">
        <f aca="false">D528/D524</f>
        <v>0.330300113745735</v>
      </c>
      <c r="E529" s="11" t="n">
        <f aca="false">E528/E524</f>
        <v>0.354720915935802</v>
      </c>
      <c r="F529" s="11" t="n">
        <f aca="false">F528/F524</f>
        <v>0.368154203179612</v>
      </c>
      <c r="G529" s="11" t="n">
        <f aca="false">G528/G524</f>
        <v>0.375466780100931</v>
      </c>
    </row>
    <row r="530" customFormat="false" ht="17.15" hidden="false" customHeight="false" outlineLevel="0" collapsed="false">
      <c r="A530" s="0" t="s">
        <v>466</v>
      </c>
      <c r="B530" s="0" t="s">
        <v>248</v>
      </c>
      <c r="C530" s="9" t="n">
        <f aca="false">a25_ni</f>
        <v>7607</v>
      </c>
      <c r="D530" s="9" t="n">
        <f aca="false">an_ni</f>
        <v>10179.92</v>
      </c>
      <c r="E530" s="9" t="n">
        <f aca="false">E528*nioi_lo</f>
        <v>12590.4618599909</v>
      </c>
      <c r="F530" s="9" t="n">
        <f aca="false">F528*nioi_lo</f>
        <v>14846.690421779</v>
      </c>
      <c r="G530" s="9" t="n">
        <f aca="false">G528*nioi_lo</f>
        <v>16353.8715143004</v>
      </c>
    </row>
    <row r="531" customFormat="false" ht="15" hidden="false" customHeight="false" outlineLevel="0" collapsed="false">
      <c r="A531" s="5" t="s">
        <v>565</v>
      </c>
      <c r="B531" s="5" t="s">
        <v>324</v>
      </c>
      <c r="C531" s="23" t="n">
        <f aca="false">a25_sh</f>
        <v>808</v>
      </c>
      <c r="D531" s="23" t="n">
        <f aca="false">an_sh</f>
        <v>797.799373040752</v>
      </c>
      <c r="E531" s="23" t="n">
        <f aca="false">$D531*(1-bb)^1</f>
        <v>789.821379310345</v>
      </c>
      <c r="F531" s="23" t="n">
        <f aca="false">$D531*(1-bb)^2</f>
        <v>781.923165517241</v>
      </c>
      <c r="G531" s="23" t="n">
        <f aca="false">$D531*(1-bb)^3</f>
        <v>774.103933862069</v>
      </c>
    </row>
    <row r="532" customFormat="false" ht="17.15" hidden="false" customHeight="false" outlineLevel="0" collapsed="false">
      <c r="A532" s="0" t="s">
        <v>566</v>
      </c>
      <c r="B532" s="0" t="s">
        <v>337</v>
      </c>
      <c r="C532" s="14" t="n">
        <f aca="false">a25_eps</f>
        <v>9.42</v>
      </c>
      <c r="D532" s="14" t="n">
        <f aca="false">an_eps</f>
        <v>12.76</v>
      </c>
      <c r="E532" s="14" t="n">
        <f aca="false">E530/E531</f>
        <v>15.9408977647384</v>
      </c>
      <c r="F532" s="14" t="n">
        <f aca="false">F530/F531</f>
        <v>18.9874032085466</v>
      </c>
      <c r="G532" s="14" t="n">
        <f aca="false">G530/G531</f>
        <v>21.1261961074266</v>
      </c>
      <c r="H532" s="8" t="s">
        <v>567</v>
      </c>
    </row>
    <row r="533" customFormat="false" ht="17.15" hidden="false" customHeight="false" outlineLevel="0" collapsed="false">
      <c r="A533" s="5" t="s">
        <v>568</v>
      </c>
      <c r="B533" s="0" t="s">
        <v>195</v>
      </c>
      <c r="D533" s="11" t="n">
        <f aca="false">D520/1000/(D515+D516+D517)</f>
        <v>0.174088357854613</v>
      </c>
      <c r="E533" s="11" t="n">
        <f aca="false">E520/1000/(E515+E516+E517)</f>
        <v>0.174032095099019</v>
      </c>
      <c r="F533" s="11" t="n">
        <f aca="false">F520/1000/(F515+F516+F517)</f>
        <v>0.173968172468113</v>
      </c>
      <c r="G533" s="11" t="n">
        <f aca="false">G520/1000/(G515+G516+G517)</f>
        <v>0.17383613380168</v>
      </c>
      <c r="H533" s="5" t="s">
        <v>569</v>
      </c>
    </row>
    <row r="540" customFormat="false" ht="17.15" hidden="false" customHeight="false" outlineLevel="0" collapsed="false">
      <c r="A540" s="3" t="s">
        <v>876</v>
      </c>
    </row>
    <row r="541" customFormat="false" ht="15" hidden="false" customHeight="false" outlineLevel="0" collapsed="false">
      <c r="A541" s="6" t="s">
        <v>15</v>
      </c>
      <c r="B541" s="6" t="s">
        <v>16</v>
      </c>
      <c r="C541" s="15" t="s">
        <v>509</v>
      </c>
      <c r="D541" s="15" t="s">
        <v>510</v>
      </c>
      <c r="E541" s="15" t="s">
        <v>511</v>
      </c>
      <c r="F541" s="15" t="s">
        <v>512</v>
      </c>
      <c r="G541" s="15" t="s">
        <v>513</v>
      </c>
      <c r="H541" s="6" t="s">
        <v>514</v>
      </c>
    </row>
    <row r="542" customFormat="false" ht="17.15" hidden="false" customHeight="false" outlineLevel="0" collapsed="false">
      <c r="A542" s="1" t="s">
        <v>545</v>
      </c>
    </row>
    <row r="543" customFormat="false" ht="17.15" hidden="false" customHeight="false" outlineLevel="0" collapsed="false">
      <c r="A543" s="5" t="s">
        <v>546</v>
      </c>
      <c r="B543" s="0" t="s">
        <v>26</v>
      </c>
      <c r="C543" s="22" t="n">
        <f aca="false">laA_25+loA_25+ofA_25</f>
        <v>78.3481206981793</v>
      </c>
      <c r="D543" s="22" t="n">
        <f aca="false">laA_26+loA_26+ofA_26</f>
        <v>99.2871982981748</v>
      </c>
      <c r="E543" s="22" t="n">
        <f aca="false">laA_27+loA_27+ofA_27</f>
        <v>116.288709321091</v>
      </c>
      <c r="F543" s="22" t="n">
        <f aca="false">laA_28+loA_28+ofA_28</f>
        <v>130.886404842261</v>
      </c>
      <c r="G543" s="22" t="n">
        <f aca="false">laA_29+loA_29+ofA_29</f>
        <v>139.398079992203</v>
      </c>
    </row>
    <row r="544" customFormat="false" ht="17.15" hidden="false" customHeight="false" outlineLevel="0" collapsed="false">
      <c r="A544" s="0" t="s">
        <v>547</v>
      </c>
      <c r="B544" s="0" t="s">
        <v>26</v>
      </c>
      <c r="C544" s="22" t="n">
        <f aca="false">drA_25</f>
        <v>26.3761091658243</v>
      </c>
      <c r="D544" s="22" t="n">
        <f aca="false">drA_26</f>
        <v>39.3659468014757</v>
      </c>
      <c r="E544" s="22" t="n">
        <f aca="false">drA_27</f>
        <v>53.2587328153375</v>
      </c>
      <c r="F544" s="22" t="n">
        <f aca="false">drA_28</f>
        <v>59.5608998372386</v>
      </c>
      <c r="G544" s="22" t="n">
        <f aca="false">drA_29</f>
        <v>61.8312930912183</v>
      </c>
    </row>
    <row r="545" customFormat="false" ht="15" hidden="false" customHeight="false" outlineLevel="0" collapsed="false">
      <c r="A545" s="0" t="s">
        <v>548</v>
      </c>
      <c r="B545" s="0" t="s">
        <v>26</v>
      </c>
      <c r="C545" s="22" t="n">
        <f aca="false">ndA_25</f>
        <v>12.1726019800256</v>
      </c>
      <c r="D545" s="22" t="n">
        <f aca="false">ndA_26</f>
        <v>17.5039054704765</v>
      </c>
      <c r="E545" s="22" t="n">
        <f aca="false">ndA_27</f>
        <v>23.2480272411321</v>
      </c>
      <c r="F545" s="22" t="n">
        <f aca="false">ndA_28</f>
        <v>26.181321629459</v>
      </c>
      <c r="G545" s="22" t="n">
        <f aca="false">ndA_29</f>
        <v>27.674312771805</v>
      </c>
    </row>
    <row r="546" customFormat="false" ht="17.15" hidden="false" customHeight="false" outlineLevel="0" collapsed="false">
      <c r="A546" s="1" t="s">
        <v>549</v>
      </c>
    </row>
    <row r="547" customFormat="false" ht="17.15" hidden="false" customHeight="false" outlineLevel="0" collapsed="false">
      <c r="A547" s="5" t="s">
        <v>550</v>
      </c>
      <c r="B547" s="0" t="s">
        <v>26</v>
      </c>
      <c r="D547" s="22" t="n">
        <f aca="false">fyw*C543+(1-fyw)*D543</f>
        <v>95.7973520315089</v>
      </c>
      <c r="E547" s="22" t="n">
        <f aca="false">fyw*D543+(1-fyw)*E543</f>
        <v>113.455124150605</v>
      </c>
      <c r="F547" s="22" t="n">
        <f aca="false">fyw*E543+(1-fyw)*F543</f>
        <v>128.453455588732</v>
      </c>
      <c r="G547" s="22" t="n">
        <f aca="false">fyw*F543+(1-fyw)*G543</f>
        <v>137.979467467212</v>
      </c>
    </row>
    <row r="548" customFormat="false" ht="17.15" hidden="false" customHeight="false" outlineLevel="0" collapsed="false">
      <c r="A548" s="0" t="s">
        <v>551</v>
      </c>
      <c r="B548" s="0" t="s">
        <v>26</v>
      </c>
      <c r="D548" s="22" t="n">
        <f aca="false">fyw*C544+(1-fyw)*D544</f>
        <v>37.2009738622005</v>
      </c>
      <c r="E548" s="22" t="n">
        <f aca="false">fyw*D544+(1-fyw)*E544</f>
        <v>50.9432684796939</v>
      </c>
      <c r="F548" s="22" t="n">
        <f aca="false">fyw*E544+(1-fyw)*F544</f>
        <v>58.5105386669218</v>
      </c>
      <c r="G548" s="22" t="n">
        <f aca="false">fyw*F544+(1-fyw)*G544</f>
        <v>61.452894215555</v>
      </c>
    </row>
    <row r="549" customFormat="false" ht="15" hidden="false" customHeight="false" outlineLevel="0" collapsed="false">
      <c r="A549" s="0" t="s">
        <v>552</v>
      </c>
      <c r="B549" s="0" t="s">
        <v>26</v>
      </c>
      <c r="D549" s="22" t="n">
        <f aca="false">fyw*C545+(1-fyw)*D545</f>
        <v>16.6153548887347</v>
      </c>
      <c r="E549" s="22" t="n">
        <f aca="false">fyw*D545+(1-fyw)*E545</f>
        <v>22.2906736126895</v>
      </c>
      <c r="F549" s="22" t="n">
        <f aca="false">fyw*E545+(1-fyw)*F545</f>
        <v>25.6924392314045</v>
      </c>
      <c r="G549" s="22" t="n">
        <f aca="false">fyw*F545+(1-fyw)*G545</f>
        <v>27.4254809147473</v>
      </c>
    </row>
    <row r="550" customFormat="false" ht="17.15" hidden="false" customHeight="false" outlineLevel="0" collapsed="false">
      <c r="A550" s="5" t="s">
        <v>553</v>
      </c>
      <c r="B550" s="0" t="s">
        <v>242</v>
      </c>
      <c r="D550" s="21" t="n">
        <f aca="false">m_fl*D547/$D547+m_dr*D548/$D548+m_nd*D549/$D549</f>
        <v>1</v>
      </c>
      <c r="E550" s="21" t="n">
        <f aca="false">m_fl*E547/$D547+m_dr*E548/$D548+m_nd*E549/$D549</f>
        <v>1.2474041822294</v>
      </c>
      <c r="F550" s="21" t="n">
        <f aca="false">m_fl*F547/$D547+m_dr*F548/$D548+m_nd*F549/$D549</f>
        <v>1.42038896941297</v>
      </c>
      <c r="G550" s="21" t="n">
        <f aca="false">m_fl*G547/$D547+m_dr*G548/$D548+m_nd*G549/$D549</f>
        <v>1.51409392151355</v>
      </c>
      <c r="H550" s="8" t="s">
        <v>554</v>
      </c>
    </row>
    <row r="551" customFormat="false" ht="17.15" hidden="false" customHeight="false" outlineLevel="0" collapsed="false">
      <c r="A551" s="1" t="s">
        <v>555</v>
      </c>
    </row>
    <row r="552" customFormat="false" ht="17.15" hidden="false" customHeight="false" outlineLevel="0" collapsed="false">
      <c r="A552" s="5" t="s">
        <v>556</v>
      </c>
      <c r="B552" s="0" t="s">
        <v>248</v>
      </c>
      <c r="C552" s="9" t="n">
        <f aca="false">a25_ss</f>
        <v>21438.5432098765</v>
      </c>
      <c r="D552" s="9" t="n">
        <f aca="false">an_ss</f>
        <v>26046</v>
      </c>
      <c r="E552" s="9" t="n">
        <f aca="false">$D552*E550*sf</f>
        <v>32489.8893303468</v>
      </c>
      <c r="F552" s="9" t="n">
        <f aca="false">$D552*F550*sf</f>
        <v>36995.4510973303</v>
      </c>
      <c r="G552" s="9" t="n">
        <f aca="false">$D552*G550*sf</f>
        <v>39436.090279742</v>
      </c>
      <c r="H552" s="8" t="s">
        <v>557</v>
      </c>
    </row>
    <row r="553" customFormat="false" ht="17.15" hidden="false" customHeight="false" outlineLevel="0" collapsed="false">
      <c r="A553" s="0" t="s">
        <v>558</v>
      </c>
      <c r="B553" s="0" t="s">
        <v>248</v>
      </c>
      <c r="C553" s="9" t="n">
        <f aca="false">a25_ags</f>
        <v>5744.19672131148</v>
      </c>
      <c r="D553" s="9" t="n">
        <f aca="false">an_ags</f>
        <v>6845</v>
      </c>
      <c r="E553" s="9" t="n">
        <f aca="false">D553*(1+g_ags_A)</f>
        <v>7871.75</v>
      </c>
      <c r="F553" s="9" t="n">
        <f aca="false">E553*(1+g_ags_A)</f>
        <v>9052.5125</v>
      </c>
      <c r="G553" s="9" t="n">
        <f aca="false">F553*(1+g_ags_A)</f>
        <v>10410.389375</v>
      </c>
    </row>
    <row r="554" customFormat="false" ht="15" hidden="false" customHeight="false" outlineLevel="0" collapsed="false">
      <c r="A554" s="5" t="s">
        <v>559</v>
      </c>
      <c r="B554" s="0" t="s">
        <v>248</v>
      </c>
      <c r="C554" s="9" t="n">
        <f aca="false">a25_oth</f>
        <v>1185.26006881198</v>
      </c>
      <c r="D554" s="9" t="n">
        <f aca="false">an_oth</f>
        <v>1396</v>
      </c>
      <c r="E554" s="9" t="n">
        <f aca="false">D554*(1+g_oth_A)</f>
        <v>1396</v>
      </c>
      <c r="F554" s="9" t="n">
        <f aca="false">E554*(1+g_oth_A)</f>
        <v>1396</v>
      </c>
      <c r="G554" s="9" t="n">
        <f aca="false">F554*(1+g_oth_A)</f>
        <v>1396</v>
      </c>
    </row>
    <row r="555" customFormat="false" ht="17.15" hidden="false" customHeight="false" outlineLevel="0" collapsed="false">
      <c r="A555" s="5" t="s">
        <v>560</v>
      </c>
      <c r="B555" s="0" t="s">
        <v>248</v>
      </c>
      <c r="C555" s="9" t="n">
        <v>0</v>
      </c>
      <c r="D555" s="9" t="n">
        <v>0</v>
      </c>
      <c r="E555" s="9" t="n">
        <f aca="false">-aff_hit*aff_A-0*cn_sh*(E552+E553)</f>
        <v>-0</v>
      </c>
      <c r="F555" s="9" t="n">
        <f aca="false">-aff_hit*aff_A-0*cn_sh*(F552+F553)</f>
        <v>-0</v>
      </c>
      <c r="G555" s="9" t="n">
        <f aca="false">-aff_hit*aff_A-0*cn_sh*(G552+G553)</f>
        <v>-0</v>
      </c>
      <c r="H555" s="5" t="s">
        <v>561</v>
      </c>
    </row>
    <row r="556" customFormat="false" ht="15" hidden="false" customHeight="false" outlineLevel="0" collapsed="false">
      <c r="A556" s="5" t="s">
        <v>450</v>
      </c>
      <c r="B556" s="0" t="s">
        <v>248</v>
      </c>
      <c r="C556" s="9" t="n">
        <f aca="false">C552+C553+C554+C555</f>
        <v>28368</v>
      </c>
      <c r="D556" s="9" t="n">
        <f aca="false">D552+D553+D554+D555</f>
        <v>34287</v>
      </c>
      <c r="E556" s="9" t="n">
        <f aca="false">E552+E553+E554+E555</f>
        <v>41757.6393303468</v>
      </c>
      <c r="F556" s="9" t="n">
        <f aca="false">F552+F553+F554+F555</f>
        <v>47443.9635973303</v>
      </c>
      <c r="G556" s="9" t="n">
        <f aca="false">G552+G553+G554+G555</f>
        <v>51242.479654742</v>
      </c>
    </row>
    <row r="557" customFormat="false" ht="17.15" hidden="false" customHeight="false" outlineLevel="0" collapsed="false">
      <c r="A557" s="0" t="s">
        <v>456</v>
      </c>
      <c r="B557" s="0" t="s">
        <v>195</v>
      </c>
      <c r="C557" s="11" t="n">
        <f aca="false">a25_gp/a25_rev</f>
        <v>0.487833192329385</v>
      </c>
      <c r="D557" s="11" t="n">
        <f aca="false">an_gp/an_rev</f>
        <v>0.500418584303089</v>
      </c>
      <c r="E557" s="11" t="n">
        <f aca="false">1-(cF+cv*E556)/E556</f>
        <v>0.511209764771017</v>
      </c>
      <c r="F557" s="11" t="n">
        <f aca="false">1-(cF+cv*F556)/F556</f>
        <v>0.51714572976501</v>
      </c>
      <c r="G557" s="11" t="n">
        <f aca="false">1-(cF+cv*G556)/G556</f>
        <v>0.520377046108731</v>
      </c>
      <c r="H557" s="5" t="s">
        <v>562</v>
      </c>
    </row>
    <row r="558" customFormat="false" ht="17.15" hidden="false" customHeight="false" outlineLevel="0" collapsed="false">
      <c r="A558" s="0" t="s">
        <v>459</v>
      </c>
      <c r="B558" s="0" t="s">
        <v>248</v>
      </c>
      <c r="C558" s="9" t="n">
        <f aca="false">C556*C557</f>
        <v>13838.852</v>
      </c>
      <c r="D558" s="9" t="n">
        <f aca="false">D556*D557</f>
        <v>17157.852</v>
      </c>
      <c r="E558" s="9" t="n">
        <f aca="false">E556*E557</f>
        <v>21346.9129794596</v>
      </c>
      <c r="F558" s="9" t="n">
        <f aca="false">F556*F557</f>
        <v>24535.4431774859</v>
      </c>
      <c r="G558" s="9" t="n">
        <f aca="false">G556*G557</f>
        <v>26665.4101980214</v>
      </c>
    </row>
    <row r="559" customFormat="false" ht="17.15" hidden="false" customHeight="false" outlineLevel="0" collapsed="false">
      <c r="A559" s="0" t="s">
        <v>563</v>
      </c>
      <c r="B559" s="0" t="s">
        <v>248</v>
      </c>
      <c r="C559" s="9" t="n">
        <f aca="false">opex25</f>
        <v>5276.852</v>
      </c>
      <c r="D559" s="9" t="n">
        <f aca="false">opex26</f>
        <v>5832.852</v>
      </c>
      <c r="E559" s="9" t="n">
        <f aca="false">oF+ov*E556</f>
        <v>6534.60490888205</v>
      </c>
      <c r="F559" s="9" t="n">
        <f aca="false">oF+ov*F556</f>
        <v>7068.74856362826</v>
      </c>
      <c r="G559" s="9" t="n">
        <f aca="false">oF+ov*G556</f>
        <v>7425.56135766795</v>
      </c>
      <c r="H559" s="5" t="s">
        <v>564</v>
      </c>
    </row>
    <row r="560" customFormat="false" ht="17.15" hidden="false" customHeight="false" outlineLevel="0" collapsed="false">
      <c r="A560" s="0" t="s">
        <v>461</v>
      </c>
      <c r="B560" s="0" t="s">
        <v>248</v>
      </c>
      <c r="C560" s="9" t="n">
        <f aca="false">C558-C559</f>
        <v>8562</v>
      </c>
      <c r="D560" s="9" t="n">
        <f aca="false">D558-D559</f>
        <v>11325</v>
      </c>
      <c r="E560" s="9" t="n">
        <f aca="false">E558-E559</f>
        <v>14812.3080705775</v>
      </c>
      <c r="F560" s="9" t="n">
        <f aca="false">F558-F559</f>
        <v>17466.6946138577</v>
      </c>
      <c r="G560" s="9" t="n">
        <f aca="false">G558-G559</f>
        <v>19239.8488403535</v>
      </c>
    </row>
    <row r="561" customFormat="false" ht="17.15" hidden="false" customHeight="false" outlineLevel="0" collapsed="false">
      <c r="A561" s="0" t="s">
        <v>540</v>
      </c>
      <c r="B561" s="0" t="s">
        <v>195</v>
      </c>
      <c r="C561" s="11" t="n">
        <f aca="false">C560/C556</f>
        <v>0.301818950930626</v>
      </c>
      <c r="D561" s="11" t="n">
        <f aca="false">D560/D556</f>
        <v>0.330300113745735</v>
      </c>
      <c r="E561" s="11" t="n">
        <f aca="false">E560/E556</f>
        <v>0.354720915935802</v>
      </c>
      <c r="F561" s="11" t="n">
        <f aca="false">F560/F556</f>
        <v>0.368154203179612</v>
      </c>
      <c r="G561" s="11" t="n">
        <f aca="false">G560/G556</f>
        <v>0.375466780100931</v>
      </c>
    </row>
    <row r="562" customFormat="false" ht="17.15" hidden="false" customHeight="false" outlineLevel="0" collapsed="false">
      <c r="A562" s="0" t="s">
        <v>466</v>
      </c>
      <c r="B562" s="0" t="s">
        <v>248</v>
      </c>
      <c r="C562" s="9" t="n">
        <f aca="false">a25_ni</f>
        <v>7607</v>
      </c>
      <c r="D562" s="9" t="n">
        <f aca="false">an_ni</f>
        <v>10179.92</v>
      </c>
      <c r="E562" s="9" t="n">
        <f aca="false">E560*nioi_hi</f>
        <v>13314.6235032083</v>
      </c>
      <c r="F562" s="9" t="n">
        <f aca="false">F560*nioi_hi</f>
        <v>15700.6228550554</v>
      </c>
      <c r="G562" s="9" t="n">
        <f aca="false">G560*nioi_hi</f>
        <v>17294.4920094385</v>
      </c>
    </row>
    <row r="563" customFormat="false" ht="15" hidden="false" customHeight="false" outlineLevel="0" collapsed="false">
      <c r="A563" s="5" t="s">
        <v>565</v>
      </c>
      <c r="B563" s="5" t="s">
        <v>324</v>
      </c>
      <c r="C563" s="23" t="n">
        <f aca="false">a25_sh</f>
        <v>808</v>
      </c>
      <c r="D563" s="23" t="n">
        <f aca="false">an_sh</f>
        <v>797.799373040752</v>
      </c>
      <c r="E563" s="23" t="n">
        <f aca="false">$D563*(1-bb)^1</f>
        <v>789.821379310345</v>
      </c>
      <c r="F563" s="23" t="n">
        <f aca="false">$D563*(1-bb)^2</f>
        <v>781.923165517241</v>
      </c>
      <c r="G563" s="23" t="n">
        <f aca="false">$D563*(1-bb)^3</f>
        <v>774.103933862069</v>
      </c>
    </row>
    <row r="564" customFormat="false" ht="17.15" hidden="false" customHeight="false" outlineLevel="0" collapsed="false">
      <c r="A564" s="0" t="s">
        <v>566</v>
      </c>
      <c r="B564" s="0" t="s">
        <v>337</v>
      </c>
      <c r="C564" s="14" t="n">
        <f aca="false">a25_eps</f>
        <v>9.42</v>
      </c>
      <c r="D564" s="14" t="n">
        <f aca="false">an_eps</f>
        <v>12.76</v>
      </c>
      <c r="E564" s="14" t="n">
        <f aca="false">E562/E563</f>
        <v>16.8577653783369</v>
      </c>
      <c r="F564" s="14" t="n">
        <f aca="false">F562/F563</f>
        <v>20.0794957195947</v>
      </c>
      <c r="G564" s="14" t="n">
        <f aca="false">G562/G563</f>
        <v>22.3413048983679</v>
      </c>
      <c r="H564" s="8" t="s">
        <v>567</v>
      </c>
    </row>
    <row r="565" customFormat="false" ht="17.15" hidden="false" customHeight="false" outlineLevel="0" collapsed="false">
      <c r="A565" s="5" t="s">
        <v>568</v>
      </c>
      <c r="B565" s="0" t="s">
        <v>195</v>
      </c>
      <c r="D565" s="11" t="n">
        <f aca="false">D552/1000/(D547+D548+D549)</f>
        <v>0.174088357854613</v>
      </c>
      <c r="E565" s="11" t="n">
        <f aca="false">E552/1000/(E547+E548+E549)</f>
        <v>0.174032095099019</v>
      </c>
      <c r="F565" s="11" t="n">
        <f aca="false">F552/1000/(F547+F548+F549)</f>
        <v>0.173968172468113</v>
      </c>
      <c r="G565" s="11" t="n">
        <f aca="false">G552/1000/(G547+G548+G549)</f>
        <v>0.17383613380168</v>
      </c>
      <c r="H565" s="5" t="s">
        <v>569</v>
      </c>
    </row>
    <row r="572" customFormat="false" ht="17.15" hidden="false" customHeight="false" outlineLevel="0" collapsed="false">
      <c r="A572" s="3" t="s">
        <v>877</v>
      </c>
    </row>
    <row r="573" customFormat="false" ht="15" hidden="false" customHeight="false" outlineLevel="0" collapsed="false">
      <c r="A573" s="6" t="s">
        <v>15</v>
      </c>
      <c r="B573" s="6" t="s">
        <v>16</v>
      </c>
      <c r="C573" s="15" t="s">
        <v>509</v>
      </c>
      <c r="D573" s="15" t="s">
        <v>510</v>
      </c>
      <c r="E573" s="15" t="s">
        <v>511</v>
      </c>
      <c r="F573" s="15" t="s">
        <v>512</v>
      </c>
      <c r="G573" s="15" t="s">
        <v>513</v>
      </c>
      <c r="H573" s="6" t="s">
        <v>514</v>
      </c>
    </row>
    <row r="574" customFormat="false" ht="17.15" hidden="false" customHeight="false" outlineLevel="0" collapsed="false">
      <c r="A574" s="1" t="s">
        <v>545</v>
      </c>
    </row>
    <row r="575" customFormat="false" ht="17.15" hidden="false" customHeight="false" outlineLevel="0" collapsed="false">
      <c r="A575" s="5" t="s">
        <v>546</v>
      </c>
      <c r="B575" s="0" t="s">
        <v>26</v>
      </c>
      <c r="C575" s="22" t="n">
        <f aca="false">laA_25+loA_25+ofA_25</f>
        <v>78.3481206981793</v>
      </c>
      <c r="D575" s="22" t="n">
        <f aca="false">laA_26+loA_26+ofA_26</f>
        <v>99.2871982981748</v>
      </c>
      <c r="E575" s="22" t="n">
        <f aca="false">laA_27+loA_27+ofA_27</f>
        <v>116.288709321091</v>
      </c>
      <c r="F575" s="22" t="n">
        <f aca="false">laA_28+loA_28+ofA_28</f>
        <v>130.886404842261</v>
      </c>
      <c r="G575" s="22" t="n">
        <f aca="false">laA_29+loA_29+ofA_29</f>
        <v>139.398079992203</v>
      </c>
    </row>
    <row r="576" customFormat="false" ht="17.15" hidden="false" customHeight="false" outlineLevel="0" collapsed="false">
      <c r="A576" s="0" t="s">
        <v>547</v>
      </c>
      <c r="B576" s="0" t="s">
        <v>26</v>
      </c>
      <c r="C576" s="22" t="n">
        <f aca="false">drA_25</f>
        <v>26.3761091658243</v>
      </c>
      <c r="D576" s="22" t="n">
        <f aca="false">drA_26</f>
        <v>39.3659468014757</v>
      </c>
      <c r="E576" s="22" t="n">
        <f aca="false">drA_27</f>
        <v>53.2587328153375</v>
      </c>
      <c r="F576" s="22" t="n">
        <f aca="false">drA_28</f>
        <v>59.5608998372386</v>
      </c>
      <c r="G576" s="22" t="n">
        <f aca="false">drA_29</f>
        <v>61.8312930912183</v>
      </c>
    </row>
    <row r="577" customFormat="false" ht="15" hidden="false" customHeight="false" outlineLevel="0" collapsed="false">
      <c r="A577" s="0" t="s">
        <v>548</v>
      </c>
      <c r="B577" s="0" t="s">
        <v>26</v>
      </c>
      <c r="C577" s="22" t="n">
        <f aca="false">ndA_25</f>
        <v>12.1726019800256</v>
      </c>
      <c r="D577" s="22" t="n">
        <f aca="false">ndA_26</f>
        <v>17.5039054704765</v>
      </c>
      <c r="E577" s="22" t="n">
        <f aca="false">ndA_27</f>
        <v>23.2480272411321</v>
      </c>
      <c r="F577" s="22" t="n">
        <f aca="false">ndA_28</f>
        <v>26.181321629459</v>
      </c>
      <c r="G577" s="22" t="n">
        <f aca="false">ndA_29</f>
        <v>27.674312771805</v>
      </c>
    </row>
    <row r="578" customFormat="false" ht="17.15" hidden="false" customHeight="false" outlineLevel="0" collapsed="false">
      <c r="A578" s="1" t="s">
        <v>549</v>
      </c>
    </row>
    <row r="579" customFormat="false" ht="17.15" hidden="false" customHeight="false" outlineLevel="0" collapsed="false">
      <c r="A579" s="5" t="s">
        <v>550</v>
      </c>
      <c r="B579" s="0" t="s">
        <v>26</v>
      </c>
      <c r="D579" s="22" t="n">
        <f aca="false">fyw*C575+(1-fyw)*D575</f>
        <v>95.7973520315089</v>
      </c>
      <c r="E579" s="22" t="n">
        <f aca="false">fyw*D575+(1-fyw)*E575</f>
        <v>113.455124150605</v>
      </c>
      <c r="F579" s="22" t="n">
        <f aca="false">fyw*E575+(1-fyw)*F575</f>
        <v>128.453455588732</v>
      </c>
      <c r="G579" s="22" t="n">
        <f aca="false">fyw*F575+(1-fyw)*G575</f>
        <v>137.979467467212</v>
      </c>
    </row>
    <row r="580" customFormat="false" ht="17.15" hidden="false" customHeight="false" outlineLevel="0" collapsed="false">
      <c r="A580" s="0" t="s">
        <v>551</v>
      </c>
      <c r="B580" s="0" t="s">
        <v>26</v>
      </c>
      <c r="D580" s="22" t="n">
        <f aca="false">fyw*C576+(1-fyw)*D576</f>
        <v>37.2009738622005</v>
      </c>
      <c r="E580" s="22" t="n">
        <f aca="false">fyw*D576+(1-fyw)*E576</f>
        <v>50.9432684796939</v>
      </c>
      <c r="F580" s="22" t="n">
        <f aca="false">fyw*E576+(1-fyw)*F576</f>
        <v>58.5105386669218</v>
      </c>
      <c r="G580" s="22" t="n">
        <f aca="false">fyw*F576+(1-fyw)*G576</f>
        <v>61.452894215555</v>
      </c>
    </row>
    <row r="581" customFormat="false" ht="15" hidden="false" customHeight="false" outlineLevel="0" collapsed="false">
      <c r="A581" s="0" t="s">
        <v>552</v>
      </c>
      <c r="B581" s="0" t="s">
        <v>26</v>
      </c>
      <c r="D581" s="22" t="n">
        <f aca="false">fyw*C577+(1-fyw)*D577</f>
        <v>16.6153548887347</v>
      </c>
      <c r="E581" s="22" t="n">
        <f aca="false">fyw*D577+(1-fyw)*E577</f>
        <v>22.2906736126895</v>
      </c>
      <c r="F581" s="22" t="n">
        <f aca="false">fyw*E577+(1-fyw)*F577</f>
        <v>25.6924392314045</v>
      </c>
      <c r="G581" s="22" t="n">
        <f aca="false">fyw*F577+(1-fyw)*G577</f>
        <v>27.4254809147473</v>
      </c>
    </row>
    <row r="582" customFormat="false" ht="17.15" hidden="false" customHeight="false" outlineLevel="0" collapsed="false">
      <c r="A582" s="5" t="s">
        <v>553</v>
      </c>
      <c r="B582" s="0" t="s">
        <v>242</v>
      </c>
      <c r="D582" s="21" t="n">
        <f aca="false">m_fl*D579/$D579+m_dr*D580/$D580+m_nd*D581/$D581</f>
        <v>1</v>
      </c>
      <c r="E582" s="21" t="n">
        <f aca="false">m_fl*E579/$D579+m_dr*E580/$D580+m_nd*E581/$D581</f>
        <v>1.2474041822294</v>
      </c>
      <c r="F582" s="21" t="n">
        <f aca="false">m_fl*F579/$D579+m_dr*F580/$D580+m_nd*F581/$D581</f>
        <v>1.42038896941297</v>
      </c>
      <c r="G582" s="21" t="n">
        <f aca="false">m_fl*G579/$D579+m_dr*G580/$D580+m_nd*G581/$D581</f>
        <v>1.51409392151355</v>
      </c>
      <c r="H582" s="8" t="s">
        <v>554</v>
      </c>
    </row>
    <row r="583" customFormat="false" ht="17.15" hidden="false" customHeight="false" outlineLevel="0" collapsed="false">
      <c r="A583" s="1" t="s">
        <v>555</v>
      </c>
    </row>
    <row r="584" customFormat="false" ht="17.15" hidden="false" customHeight="false" outlineLevel="0" collapsed="false">
      <c r="A584" s="5" t="s">
        <v>556</v>
      </c>
      <c r="B584" s="0" t="s">
        <v>248</v>
      </c>
      <c r="C584" s="9" t="n">
        <f aca="false">a25_ss</f>
        <v>21438.5432098765</v>
      </c>
      <c r="D584" s="9" t="n">
        <f aca="false">an_ss</f>
        <v>26046</v>
      </c>
      <c r="E584" s="9" t="n">
        <f aca="false">$D584*E582*sf</f>
        <v>32489.8893303468</v>
      </c>
      <c r="F584" s="9" t="n">
        <f aca="false">$D584*F582*sf</f>
        <v>36995.4510973303</v>
      </c>
      <c r="G584" s="9" t="n">
        <f aca="false">$D584*G582*sf</f>
        <v>39436.090279742</v>
      </c>
      <c r="H584" s="8" t="s">
        <v>557</v>
      </c>
    </row>
    <row r="585" customFormat="false" ht="17.15" hidden="false" customHeight="false" outlineLevel="0" collapsed="false">
      <c r="A585" s="0" t="s">
        <v>558</v>
      </c>
      <c r="B585" s="0" t="s">
        <v>248</v>
      </c>
      <c r="C585" s="9" t="n">
        <f aca="false">a25_ags</f>
        <v>5744.19672131148</v>
      </c>
      <c r="D585" s="9" t="n">
        <f aca="false">an_ags</f>
        <v>6845</v>
      </c>
      <c r="E585" s="9" t="n">
        <f aca="false">D585*(1+g_ags_A)</f>
        <v>7871.75</v>
      </c>
      <c r="F585" s="9" t="n">
        <f aca="false">E585*(1+g_ags_A)</f>
        <v>9052.5125</v>
      </c>
      <c r="G585" s="9" t="n">
        <f aca="false">F585*(1+g_ags_A)</f>
        <v>10410.389375</v>
      </c>
    </row>
    <row r="586" customFormat="false" ht="15" hidden="false" customHeight="false" outlineLevel="0" collapsed="false">
      <c r="A586" s="5" t="s">
        <v>559</v>
      </c>
      <c r="B586" s="0" t="s">
        <v>248</v>
      </c>
      <c r="C586" s="9" t="n">
        <f aca="false">a25_oth</f>
        <v>1185.26006881198</v>
      </c>
      <c r="D586" s="9" t="n">
        <f aca="false">an_oth</f>
        <v>1396</v>
      </c>
      <c r="E586" s="9" t="n">
        <f aca="false">D586*(1+g_oth_A)</f>
        <v>1396</v>
      </c>
      <c r="F586" s="9" t="n">
        <f aca="false">E586*(1+g_oth_A)</f>
        <v>1396</v>
      </c>
      <c r="G586" s="9" t="n">
        <f aca="false">F586*(1+g_oth_A)</f>
        <v>1396</v>
      </c>
    </row>
    <row r="587" customFormat="false" ht="17.15" hidden="false" customHeight="false" outlineLevel="0" collapsed="false">
      <c r="A587" s="5" t="s">
        <v>560</v>
      </c>
      <c r="B587" s="0" t="s">
        <v>248</v>
      </c>
      <c r="C587" s="9" t="n">
        <v>0</v>
      </c>
      <c r="D587" s="9" t="n">
        <v>0</v>
      </c>
      <c r="E587" s="9" t="n">
        <f aca="false">-aff_hit*aff_A-0*cn_sh*(E584+E585)</f>
        <v>-0</v>
      </c>
      <c r="F587" s="9" t="n">
        <f aca="false">-aff_hit*aff_A-0*cn_sh*(F584+F585)</f>
        <v>-0</v>
      </c>
      <c r="G587" s="9" t="n">
        <f aca="false">-aff_hit*aff_A-0*cn_sh*(G584+G585)</f>
        <v>-0</v>
      </c>
      <c r="H587" s="5" t="s">
        <v>561</v>
      </c>
    </row>
    <row r="588" customFormat="false" ht="15" hidden="false" customHeight="false" outlineLevel="0" collapsed="false">
      <c r="A588" s="5" t="s">
        <v>450</v>
      </c>
      <c r="B588" s="0" t="s">
        <v>248</v>
      </c>
      <c r="C588" s="9" t="n">
        <f aca="false">C584+C585+C586+C587</f>
        <v>28368</v>
      </c>
      <c r="D588" s="9" t="n">
        <f aca="false">D584+D585+D586+D587</f>
        <v>34287</v>
      </c>
      <c r="E588" s="9" t="n">
        <f aca="false">E584+E585+E586+E587</f>
        <v>41757.6393303468</v>
      </c>
      <c r="F588" s="9" t="n">
        <f aca="false">F584+F585+F586+F587</f>
        <v>47443.9635973303</v>
      </c>
      <c r="G588" s="9" t="n">
        <f aca="false">G584+G585+G586+G587</f>
        <v>51242.479654742</v>
      </c>
    </row>
    <row r="589" customFormat="false" ht="17.15" hidden="false" customHeight="false" outlineLevel="0" collapsed="false">
      <c r="A589" s="0" t="s">
        <v>456</v>
      </c>
      <c r="B589" s="0" t="s">
        <v>195</v>
      </c>
      <c r="C589" s="11" t="n">
        <f aca="false">a25_gp/a25_rev</f>
        <v>0.487833192329385</v>
      </c>
      <c r="D589" s="11" t="n">
        <f aca="false">an_gp/an_rev</f>
        <v>0.500418584303089</v>
      </c>
      <c r="E589" s="11" t="n">
        <f aca="false">1-(cF+cv*E588)/E588</f>
        <v>0.511209764771017</v>
      </c>
      <c r="F589" s="11" t="n">
        <f aca="false">1-(cF+cv*F588)/F588</f>
        <v>0.51714572976501</v>
      </c>
      <c r="G589" s="11" t="n">
        <f aca="false">1-(cF+cv*G588)/G588</f>
        <v>0.520377046108731</v>
      </c>
      <c r="H589" s="5" t="s">
        <v>562</v>
      </c>
    </row>
    <row r="590" customFormat="false" ht="17.15" hidden="false" customHeight="false" outlineLevel="0" collapsed="false">
      <c r="A590" s="0" t="s">
        <v>459</v>
      </c>
      <c r="B590" s="0" t="s">
        <v>248</v>
      </c>
      <c r="C590" s="9" t="n">
        <f aca="false">C588*C589</f>
        <v>13838.852</v>
      </c>
      <c r="D590" s="9" t="n">
        <f aca="false">D588*D589</f>
        <v>17157.852</v>
      </c>
      <c r="E590" s="9" t="n">
        <f aca="false">E588*E589</f>
        <v>21346.9129794596</v>
      </c>
      <c r="F590" s="9" t="n">
        <f aca="false">F588*F589</f>
        <v>24535.4431774859</v>
      </c>
      <c r="G590" s="9" t="n">
        <f aca="false">G588*G589</f>
        <v>26665.4101980214</v>
      </c>
    </row>
    <row r="591" customFormat="false" ht="17.15" hidden="false" customHeight="false" outlineLevel="0" collapsed="false">
      <c r="A591" s="0" t="s">
        <v>563</v>
      </c>
      <c r="B591" s="0" t="s">
        <v>248</v>
      </c>
      <c r="C591" s="9" t="n">
        <f aca="false">opex25</f>
        <v>5276.852</v>
      </c>
      <c r="D591" s="9" t="n">
        <f aca="false">opex26</f>
        <v>5832.852</v>
      </c>
      <c r="E591" s="9" t="n">
        <f aca="false">oF+ov*E588</f>
        <v>6534.60490888205</v>
      </c>
      <c r="F591" s="9" t="n">
        <f aca="false">oF+ov*F588</f>
        <v>7068.74856362826</v>
      </c>
      <c r="G591" s="9" t="n">
        <f aca="false">oF+ov*G588</f>
        <v>7425.56135766795</v>
      </c>
      <c r="H591" s="5" t="s">
        <v>564</v>
      </c>
    </row>
    <row r="592" customFormat="false" ht="17.15" hidden="false" customHeight="false" outlineLevel="0" collapsed="false">
      <c r="A592" s="0" t="s">
        <v>461</v>
      </c>
      <c r="B592" s="0" t="s">
        <v>248</v>
      </c>
      <c r="C592" s="9" t="n">
        <f aca="false">C590-C591</f>
        <v>8562</v>
      </c>
      <c r="D592" s="9" t="n">
        <f aca="false">D590-D591</f>
        <v>11325</v>
      </c>
      <c r="E592" s="9" t="n">
        <f aca="false">E590-E591</f>
        <v>14812.3080705775</v>
      </c>
      <c r="F592" s="9" t="n">
        <f aca="false">F590-F591</f>
        <v>17466.6946138577</v>
      </c>
      <c r="G592" s="9" t="n">
        <f aca="false">G590-G591</f>
        <v>19239.8488403535</v>
      </c>
    </row>
    <row r="593" customFormat="false" ht="17.15" hidden="false" customHeight="false" outlineLevel="0" collapsed="false">
      <c r="A593" s="0" t="s">
        <v>540</v>
      </c>
      <c r="B593" s="0" t="s">
        <v>195</v>
      </c>
      <c r="C593" s="11" t="n">
        <f aca="false">C592/C588</f>
        <v>0.301818950930626</v>
      </c>
      <c r="D593" s="11" t="n">
        <f aca="false">D592/D588</f>
        <v>0.330300113745735</v>
      </c>
      <c r="E593" s="11" t="n">
        <f aca="false">E592/E588</f>
        <v>0.354720915935802</v>
      </c>
      <c r="F593" s="11" t="n">
        <f aca="false">F592/F588</f>
        <v>0.368154203179612</v>
      </c>
      <c r="G593" s="11" t="n">
        <f aca="false">G592/G588</f>
        <v>0.375466780100931</v>
      </c>
    </row>
    <row r="594" customFormat="false" ht="17.15" hidden="false" customHeight="false" outlineLevel="0" collapsed="false">
      <c r="A594" s="0" t="s">
        <v>466</v>
      </c>
      <c r="B594" s="0" t="s">
        <v>248</v>
      </c>
      <c r="C594" s="9" t="n">
        <f aca="false">a25_ni</f>
        <v>7607</v>
      </c>
      <c r="D594" s="9" t="n">
        <f aca="false">an_ni</f>
        <v>10179.92</v>
      </c>
      <c r="E594" s="9" t="n">
        <f aca="false">E592*nioi</f>
        <v>13160.1527088161</v>
      </c>
      <c r="F594" s="9" t="n">
        <f aca="false">F592*nioi</f>
        <v>15518.4706759653</v>
      </c>
      <c r="G594" s="9" t="n">
        <f aca="false">G592*nioi</f>
        <v>17093.8484149228</v>
      </c>
    </row>
    <row r="595" customFormat="false" ht="15" hidden="false" customHeight="false" outlineLevel="0" collapsed="false">
      <c r="A595" s="5" t="s">
        <v>565</v>
      </c>
      <c r="B595" s="5" t="s">
        <v>324</v>
      </c>
      <c r="C595" s="23" t="n">
        <f aca="false">a25_sh</f>
        <v>808</v>
      </c>
      <c r="D595" s="23" t="n">
        <f aca="false">an_sh</f>
        <v>797.799373040752</v>
      </c>
      <c r="E595" s="23" t="n">
        <f aca="false">$D595*(1-bb_lo)^1</f>
        <v>797.799373040752</v>
      </c>
      <c r="F595" s="23" t="n">
        <f aca="false">$D595*(1-bb_lo)^2</f>
        <v>797.799373040752</v>
      </c>
      <c r="G595" s="23" t="n">
        <f aca="false">$D595*(1-bb_lo)^3</f>
        <v>797.799373040752</v>
      </c>
    </row>
    <row r="596" customFormat="false" ht="17.15" hidden="false" customHeight="false" outlineLevel="0" collapsed="false">
      <c r="A596" s="0" t="s">
        <v>566</v>
      </c>
      <c r="B596" s="0" t="s">
        <v>337</v>
      </c>
      <c r="C596" s="14" t="n">
        <f aca="false">a25_eps</f>
        <v>9.42</v>
      </c>
      <c r="D596" s="14" t="n">
        <f aca="false">an_eps</f>
        <v>12.76</v>
      </c>
      <c r="E596" s="14" t="n">
        <f aca="false">E594/E595</f>
        <v>16.4955666217901</v>
      </c>
      <c r="F596" s="14" t="n">
        <f aca="false">F594/F595</f>
        <v>19.4515954767147</v>
      </c>
      <c r="G596" s="14" t="n">
        <f aca="false">G594/G595</f>
        <v>21.4262494965004</v>
      </c>
      <c r="H596" s="8" t="s">
        <v>567</v>
      </c>
    </row>
    <row r="597" customFormat="false" ht="17.15" hidden="false" customHeight="false" outlineLevel="0" collapsed="false">
      <c r="A597" s="5" t="s">
        <v>568</v>
      </c>
      <c r="B597" s="0" t="s">
        <v>195</v>
      </c>
      <c r="D597" s="11" t="n">
        <f aca="false">D584/1000/(D579+D580+D581)</f>
        <v>0.174088357854613</v>
      </c>
      <c r="E597" s="11" t="n">
        <f aca="false">E584/1000/(E579+E580+E581)</f>
        <v>0.174032095099019</v>
      </c>
      <c r="F597" s="11" t="n">
        <f aca="false">F584/1000/(F579+F580+F581)</f>
        <v>0.173968172468113</v>
      </c>
      <c r="G597" s="11" t="n">
        <f aca="false">G584/1000/(G579+G580+G581)</f>
        <v>0.17383613380168</v>
      </c>
      <c r="H597" s="5" t="s">
        <v>569</v>
      </c>
    </row>
    <row r="604" customFormat="false" ht="17.15" hidden="false" customHeight="false" outlineLevel="0" collapsed="false">
      <c r="A604" s="3" t="s">
        <v>878</v>
      </c>
    </row>
    <row r="605" customFormat="false" ht="15" hidden="false" customHeight="false" outlineLevel="0" collapsed="false">
      <c r="A605" s="6" t="s">
        <v>15</v>
      </c>
      <c r="B605" s="6" t="s">
        <v>16</v>
      </c>
      <c r="C605" s="15" t="s">
        <v>509</v>
      </c>
      <c r="D605" s="15" t="s">
        <v>510</v>
      </c>
      <c r="E605" s="15" t="s">
        <v>511</v>
      </c>
      <c r="F605" s="15" t="s">
        <v>512</v>
      </c>
      <c r="G605" s="15" t="s">
        <v>513</v>
      </c>
      <c r="H605" s="6" t="s">
        <v>514</v>
      </c>
    </row>
    <row r="606" customFormat="false" ht="17.15" hidden="false" customHeight="false" outlineLevel="0" collapsed="false">
      <c r="A606" s="1" t="s">
        <v>545</v>
      </c>
    </row>
    <row r="607" customFormat="false" ht="17.15" hidden="false" customHeight="false" outlineLevel="0" collapsed="false">
      <c r="A607" s="5" t="s">
        <v>546</v>
      </c>
      <c r="B607" s="0" t="s">
        <v>26</v>
      </c>
      <c r="C607" s="22" t="n">
        <f aca="false">laA_25+loA_25+ofA_25</f>
        <v>78.3481206981793</v>
      </c>
      <c r="D607" s="22" t="n">
        <f aca="false">laA_26+loA_26+ofA_26</f>
        <v>99.2871982981748</v>
      </c>
      <c r="E607" s="22" t="n">
        <f aca="false">laA_27+loA_27+ofA_27</f>
        <v>116.288709321091</v>
      </c>
      <c r="F607" s="22" t="n">
        <f aca="false">laA_28+loA_28+ofA_28</f>
        <v>130.886404842261</v>
      </c>
      <c r="G607" s="22" t="n">
        <f aca="false">laA_29+loA_29+ofA_29</f>
        <v>139.398079992203</v>
      </c>
    </row>
    <row r="608" customFormat="false" ht="17.15" hidden="false" customHeight="false" outlineLevel="0" collapsed="false">
      <c r="A608" s="0" t="s">
        <v>547</v>
      </c>
      <c r="B608" s="0" t="s">
        <v>26</v>
      </c>
      <c r="C608" s="22" t="n">
        <f aca="false">drA_25</f>
        <v>26.3761091658243</v>
      </c>
      <c r="D608" s="22" t="n">
        <f aca="false">drA_26</f>
        <v>39.3659468014757</v>
      </c>
      <c r="E608" s="22" t="n">
        <f aca="false">drA_27</f>
        <v>53.2587328153375</v>
      </c>
      <c r="F608" s="22" t="n">
        <f aca="false">drA_28</f>
        <v>59.5608998372386</v>
      </c>
      <c r="G608" s="22" t="n">
        <f aca="false">drA_29</f>
        <v>61.8312930912183</v>
      </c>
    </row>
    <row r="609" customFormat="false" ht="15" hidden="false" customHeight="false" outlineLevel="0" collapsed="false">
      <c r="A609" s="0" t="s">
        <v>548</v>
      </c>
      <c r="B609" s="0" t="s">
        <v>26</v>
      </c>
      <c r="C609" s="22" t="n">
        <f aca="false">ndA_25</f>
        <v>12.1726019800256</v>
      </c>
      <c r="D609" s="22" t="n">
        <f aca="false">ndA_26</f>
        <v>17.5039054704765</v>
      </c>
      <c r="E609" s="22" t="n">
        <f aca="false">ndA_27</f>
        <v>23.2480272411321</v>
      </c>
      <c r="F609" s="22" t="n">
        <f aca="false">ndA_28</f>
        <v>26.181321629459</v>
      </c>
      <c r="G609" s="22" t="n">
        <f aca="false">ndA_29</f>
        <v>27.674312771805</v>
      </c>
    </row>
    <row r="610" customFormat="false" ht="17.15" hidden="false" customHeight="false" outlineLevel="0" collapsed="false">
      <c r="A610" s="1" t="s">
        <v>549</v>
      </c>
    </row>
    <row r="611" customFormat="false" ht="17.15" hidden="false" customHeight="false" outlineLevel="0" collapsed="false">
      <c r="A611" s="5" t="s">
        <v>550</v>
      </c>
      <c r="B611" s="0" t="s">
        <v>26</v>
      </c>
      <c r="D611" s="22" t="n">
        <f aca="false">fyw*C607+(1-fyw)*D607</f>
        <v>95.7973520315089</v>
      </c>
      <c r="E611" s="22" t="n">
        <f aca="false">fyw*D607+(1-fyw)*E607</f>
        <v>113.455124150605</v>
      </c>
      <c r="F611" s="22" t="n">
        <f aca="false">fyw*E607+(1-fyw)*F607</f>
        <v>128.453455588732</v>
      </c>
      <c r="G611" s="22" t="n">
        <f aca="false">fyw*F607+(1-fyw)*G607</f>
        <v>137.979467467212</v>
      </c>
    </row>
    <row r="612" customFormat="false" ht="17.15" hidden="false" customHeight="false" outlineLevel="0" collapsed="false">
      <c r="A612" s="0" t="s">
        <v>551</v>
      </c>
      <c r="B612" s="0" t="s">
        <v>26</v>
      </c>
      <c r="D612" s="22" t="n">
        <f aca="false">fyw*C608+(1-fyw)*D608</f>
        <v>37.2009738622005</v>
      </c>
      <c r="E612" s="22" t="n">
        <f aca="false">fyw*D608+(1-fyw)*E608</f>
        <v>50.9432684796939</v>
      </c>
      <c r="F612" s="22" t="n">
        <f aca="false">fyw*E608+(1-fyw)*F608</f>
        <v>58.5105386669218</v>
      </c>
      <c r="G612" s="22" t="n">
        <f aca="false">fyw*F608+(1-fyw)*G608</f>
        <v>61.452894215555</v>
      </c>
    </row>
    <row r="613" customFormat="false" ht="15" hidden="false" customHeight="false" outlineLevel="0" collapsed="false">
      <c r="A613" s="0" t="s">
        <v>552</v>
      </c>
      <c r="B613" s="0" t="s">
        <v>26</v>
      </c>
      <c r="D613" s="22" t="n">
        <f aca="false">fyw*C609+(1-fyw)*D609</f>
        <v>16.6153548887347</v>
      </c>
      <c r="E613" s="22" t="n">
        <f aca="false">fyw*D609+(1-fyw)*E609</f>
        <v>22.2906736126895</v>
      </c>
      <c r="F613" s="22" t="n">
        <f aca="false">fyw*E609+(1-fyw)*F609</f>
        <v>25.6924392314045</v>
      </c>
      <c r="G613" s="22" t="n">
        <f aca="false">fyw*F609+(1-fyw)*G609</f>
        <v>27.4254809147473</v>
      </c>
    </row>
    <row r="614" customFormat="false" ht="17.15" hidden="false" customHeight="false" outlineLevel="0" collapsed="false">
      <c r="A614" s="5" t="s">
        <v>553</v>
      </c>
      <c r="B614" s="0" t="s">
        <v>242</v>
      </c>
      <c r="D614" s="21" t="n">
        <f aca="false">m_fl*D611/$D611+m_dr*D612/$D612+m_nd*D613/$D613</f>
        <v>1</v>
      </c>
      <c r="E614" s="21" t="n">
        <f aca="false">m_fl*E611/$D611+m_dr*E612/$D612+m_nd*E613/$D613</f>
        <v>1.2474041822294</v>
      </c>
      <c r="F614" s="21" t="n">
        <f aca="false">m_fl*F611/$D611+m_dr*F612/$D612+m_nd*F613/$D613</f>
        <v>1.42038896941297</v>
      </c>
      <c r="G614" s="21" t="n">
        <f aca="false">m_fl*G611/$D611+m_dr*G612/$D612+m_nd*G613/$D613</f>
        <v>1.51409392151355</v>
      </c>
      <c r="H614" s="8" t="s">
        <v>554</v>
      </c>
    </row>
    <row r="615" customFormat="false" ht="17.15" hidden="false" customHeight="false" outlineLevel="0" collapsed="false">
      <c r="A615" s="1" t="s">
        <v>555</v>
      </c>
    </row>
    <row r="616" customFormat="false" ht="17.15" hidden="false" customHeight="false" outlineLevel="0" collapsed="false">
      <c r="A616" s="5" t="s">
        <v>556</v>
      </c>
      <c r="B616" s="0" t="s">
        <v>248</v>
      </c>
      <c r="C616" s="9" t="n">
        <f aca="false">a25_ss</f>
        <v>21438.5432098765</v>
      </c>
      <c r="D616" s="9" t="n">
        <f aca="false">an_ss</f>
        <v>26046</v>
      </c>
      <c r="E616" s="9" t="n">
        <f aca="false">$D616*E614*sf</f>
        <v>32489.8893303468</v>
      </c>
      <c r="F616" s="9" t="n">
        <f aca="false">$D616*F614*sf</f>
        <v>36995.4510973303</v>
      </c>
      <c r="G616" s="9" t="n">
        <f aca="false">$D616*G614*sf</f>
        <v>39436.090279742</v>
      </c>
      <c r="H616" s="8" t="s">
        <v>557</v>
      </c>
    </row>
    <row r="617" customFormat="false" ht="17.15" hidden="false" customHeight="false" outlineLevel="0" collapsed="false">
      <c r="A617" s="0" t="s">
        <v>558</v>
      </c>
      <c r="B617" s="0" t="s">
        <v>248</v>
      </c>
      <c r="C617" s="9" t="n">
        <f aca="false">a25_ags</f>
        <v>5744.19672131148</v>
      </c>
      <c r="D617" s="9" t="n">
        <f aca="false">an_ags</f>
        <v>6845</v>
      </c>
      <c r="E617" s="9" t="n">
        <f aca="false">D617*(1+g_ags_A)</f>
        <v>7871.75</v>
      </c>
      <c r="F617" s="9" t="n">
        <f aca="false">E617*(1+g_ags_A)</f>
        <v>9052.5125</v>
      </c>
      <c r="G617" s="9" t="n">
        <f aca="false">F617*(1+g_ags_A)</f>
        <v>10410.389375</v>
      </c>
    </row>
    <row r="618" customFormat="false" ht="15" hidden="false" customHeight="false" outlineLevel="0" collapsed="false">
      <c r="A618" s="5" t="s">
        <v>559</v>
      </c>
      <c r="B618" s="0" t="s">
        <v>248</v>
      </c>
      <c r="C618" s="9" t="n">
        <f aca="false">a25_oth</f>
        <v>1185.26006881198</v>
      </c>
      <c r="D618" s="9" t="n">
        <f aca="false">an_oth</f>
        <v>1396</v>
      </c>
      <c r="E618" s="9" t="n">
        <f aca="false">D618*(1+g_oth_A)</f>
        <v>1396</v>
      </c>
      <c r="F618" s="9" t="n">
        <f aca="false">E618*(1+g_oth_A)</f>
        <v>1396</v>
      </c>
      <c r="G618" s="9" t="n">
        <f aca="false">F618*(1+g_oth_A)</f>
        <v>1396</v>
      </c>
    </row>
    <row r="619" customFormat="false" ht="17.15" hidden="false" customHeight="false" outlineLevel="0" collapsed="false">
      <c r="A619" s="5" t="s">
        <v>560</v>
      </c>
      <c r="B619" s="0" t="s">
        <v>248</v>
      </c>
      <c r="C619" s="9" t="n">
        <v>0</v>
      </c>
      <c r="D619" s="9" t="n">
        <v>0</v>
      </c>
      <c r="E619" s="9" t="n">
        <f aca="false">-aff_hit*aff_A-0*cn_sh*(E616+E617)</f>
        <v>-0</v>
      </c>
      <c r="F619" s="9" t="n">
        <f aca="false">-aff_hit*aff_A-0*cn_sh*(F616+F617)</f>
        <v>-0</v>
      </c>
      <c r="G619" s="9" t="n">
        <f aca="false">-aff_hit*aff_A-0*cn_sh*(G616+G617)</f>
        <v>-0</v>
      </c>
      <c r="H619" s="5" t="s">
        <v>561</v>
      </c>
    </row>
    <row r="620" customFormat="false" ht="15" hidden="false" customHeight="false" outlineLevel="0" collapsed="false">
      <c r="A620" s="5" t="s">
        <v>450</v>
      </c>
      <c r="B620" s="0" t="s">
        <v>248</v>
      </c>
      <c r="C620" s="9" t="n">
        <f aca="false">C616+C617+C618+C619</f>
        <v>28368</v>
      </c>
      <c r="D620" s="9" t="n">
        <f aca="false">D616+D617+D618+D619</f>
        <v>34287</v>
      </c>
      <c r="E620" s="9" t="n">
        <f aca="false">E616+E617+E618+E619</f>
        <v>41757.6393303468</v>
      </c>
      <c r="F620" s="9" t="n">
        <f aca="false">F616+F617+F618+F619</f>
        <v>47443.9635973303</v>
      </c>
      <c r="G620" s="9" t="n">
        <f aca="false">G616+G617+G618+G619</f>
        <v>51242.479654742</v>
      </c>
    </row>
    <row r="621" customFormat="false" ht="17.15" hidden="false" customHeight="false" outlineLevel="0" collapsed="false">
      <c r="A621" s="0" t="s">
        <v>456</v>
      </c>
      <c r="B621" s="0" t="s">
        <v>195</v>
      </c>
      <c r="C621" s="11" t="n">
        <f aca="false">a25_gp/a25_rev</f>
        <v>0.487833192329385</v>
      </c>
      <c r="D621" s="11" t="n">
        <f aca="false">an_gp/an_rev</f>
        <v>0.500418584303089</v>
      </c>
      <c r="E621" s="11" t="n">
        <f aca="false">1-(cF+cv*E620)/E620</f>
        <v>0.511209764771017</v>
      </c>
      <c r="F621" s="11" t="n">
        <f aca="false">1-(cF+cv*F620)/F620</f>
        <v>0.51714572976501</v>
      </c>
      <c r="G621" s="11" t="n">
        <f aca="false">1-(cF+cv*G620)/G620</f>
        <v>0.520377046108731</v>
      </c>
      <c r="H621" s="5" t="s">
        <v>562</v>
      </c>
    </row>
    <row r="622" customFormat="false" ht="17.15" hidden="false" customHeight="false" outlineLevel="0" collapsed="false">
      <c r="A622" s="0" t="s">
        <v>459</v>
      </c>
      <c r="B622" s="0" t="s">
        <v>248</v>
      </c>
      <c r="C622" s="9" t="n">
        <f aca="false">C620*C621</f>
        <v>13838.852</v>
      </c>
      <c r="D622" s="9" t="n">
        <f aca="false">D620*D621</f>
        <v>17157.852</v>
      </c>
      <c r="E622" s="9" t="n">
        <f aca="false">E620*E621</f>
        <v>21346.9129794596</v>
      </c>
      <c r="F622" s="9" t="n">
        <f aca="false">F620*F621</f>
        <v>24535.4431774859</v>
      </c>
      <c r="G622" s="9" t="n">
        <f aca="false">G620*G621</f>
        <v>26665.4101980214</v>
      </c>
    </row>
    <row r="623" customFormat="false" ht="17.15" hidden="false" customHeight="false" outlineLevel="0" collapsed="false">
      <c r="A623" s="0" t="s">
        <v>563</v>
      </c>
      <c r="B623" s="0" t="s">
        <v>248</v>
      </c>
      <c r="C623" s="9" t="n">
        <f aca="false">opex25</f>
        <v>5276.852</v>
      </c>
      <c r="D623" s="9" t="n">
        <f aca="false">opex26</f>
        <v>5832.852</v>
      </c>
      <c r="E623" s="9" t="n">
        <f aca="false">oF+ov*E620</f>
        <v>6534.60490888205</v>
      </c>
      <c r="F623" s="9" t="n">
        <f aca="false">oF+ov*F620</f>
        <v>7068.74856362826</v>
      </c>
      <c r="G623" s="9" t="n">
        <f aca="false">oF+ov*G620</f>
        <v>7425.56135766795</v>
      </c>
      <c r="H623" s="5" t="s">
        <v>564</v>
      </c>
    </row>
    <row r="624" customFormat="false" ht="17.15" hidden="false" customHeight="false" outlineLevel="0" collapsed="false">
      <c r="A624" s="0" t="s">
        <v>461</v>
      </c>
      <c r="B624" s="0" t="s">
        <v>248</v>
      </c>
      <c r="C624" s="9" t="n">
        <f aca="false">C622-C623</f>
        <v>8562</v>
      </c>
      <c r="D624" s="9" t="n">
        <f aca="false">D622-D623</f>
        <v>11325</v>
      </c>
      <c r="E624" s="9" t="n">
        <f aca="false">E622-E623</f>
        <v>14812.3080705775</v>
      </c>
      <c r="F624" s="9" t="n">
        <f aca="false">F622-F623</f>
        <v>17466.6946138577</v>
      </c>
      <c r="G624" s="9" t="n">
        <f aca="false">G622-G623</f>
        <v>19239.8488403535</v>
      </c>
    </row>
    <row r="625" customFormat="false" ht="17.15" hidden="false" customHeight="false" outlineLevel="0" collapsed="false">
      <c r="A625" s="0" t="s">
        <v>540</v>
      </c>
      <c r="B625" s="0" t="s">
        <v>195</v>
      </c>
      <c r="C625" s="11" t="n">
        <f aca="false">C624/C620</f>
        <v>0.301818950930626</v>
      </c>
      <c r="D625" s="11" t="n">
        <f aca="false">D624/D620</f>
        <v>0.330300113745735</v>
      </c>
      <c r="E625" s="11" t="n">
        <f aca="false">E624/E620</f>
        <v>0.354720915935802</v>
      </c>
      <c r="F625" s="11" t="n">
        <f aca="false">F624/F620</f>
        <v>0.368154203179612</v>
      </c>
      <c r="G625" s="11" t="n">
        <f aca="false">G624/G620</f>
        <v>0.375466780100931</v>
      </c>
    </row>
    <row r="626" customFormat="false" ht="17.15" hidden="false" customHeight="false" outlineLevel="0" collapsed="false">
      <c r="A626" s="0" t="s">
        <v>466</v>
      </c>
      <c r="B626" s="0" t="s">
        <v>248</v>
      </c>
      <c r="C626" s="9" t="n">
        <f aca="false">a25_ni</f>
        <v>7607</v>
      </c>
      <c r="D626" s="9" t="n">
        <f aca="false">an_ni</f>
        <v>10179.92</v>
      </c>
      <c r="E626" s="9" t="n">
        <f aca="false">E624*nioi</f>
        <v>13160.1527088161</v>
      </c>
      <c r="F626" s="9" t="n">
        <f aca="false">F624*nioi</f>
        <v>15518.4706759653</v>
      </c>
      <c r="G626" s="9" t="n">
        <f aca="false">G624*nioi</f>
        <v>17093.8484149228</v>
      </c>
    </row>
    <row r="627" customFormat="false" ht="15" hidden="false" customHeight="false" outlineLevel="0" collapsed="false">
      <c r="A627" s="5" t="s">
        <v>565</v>
      </c>
      <c r="B627" s="5" t="s">
        <v>324</v>
      </c>
      <c r="C627" s="23" t="n">
        <f aca="false">a25_sh</f>
        <v>808</v>
      </c>
      <c r="D627" s="23" t="n">
        <f aca="false">an_sh</f>
        <v>797.799373040752</v>
      </c>
      <c r="E627" s="23" t="n">
        <f aca="false">$D627*(1-bb_hi)^1</f>
        <v>777.854388714734</v>
      </c>
      <c r="F627" s="23" t="n">
        <f aca="false">$D627*(1-bb_hi)^2</f>
        <v>758.408028996865</v>
      </c>
      <c r="G627" s="23" t="n">
        <f aca="false">$D627*(1-bb_hi)^3</f>
        <v>739.447828271944</v>
      </c>
    </row>
    <row r="628" customFormat="false" ht="17.15" hidden="false" customHeight="false" outlineLevel="0" collapsed="false">
      <c r="A628" s="0" t="s">
        <v>566</v>
      </c>
      <c r="B628" s="0" t="s">
        <v>337</v>
      </c>
      <c r="C628" s="14" t="n">
        <f aca="false">a25_eps</f>
        <v>9.42</v>
      </c>
      <c r="D628" s="14" t="n">
        <f aca="false">an_eps</f>
        <v>12.76</v>
      </c>
      <c r="E628" s="14" t="n">
        <f aca="false">E626/E627</f>
        <v>16.9185298685026</v>
      </c>
      <c r="F628" s="14" t="n">
        <f aca="false">F626/F627</f>
        <v>20.4619018821457</v>
      </c>
      <c r="G628" s="14" t="n">
        <f aca="false">G626/G627</f>
        <v>23.1170445856476</v>
      </c>
      <c r="H628" s="8" t="s">
        <v>567</v>
      </c>
    </row>
    <row r="629" customFormat="false" ht="17.15" hidden="false" customHeight="false" outlineLevel="0" collapsed="false">
      <c r="A629" s="5" t="s">
        <v>568</v>
      </c>
      <c r="B629" s="0" t="s">
        <v>195</v>
      </c>
      <c r="D629" s="11" t="n">
        <f aca="false">D616/1000/(D611+D612+D613)</f>
        <v>0.174088357854613</v>
      </c>
      <c r="E629" s="11" t="n">
        <f aca="false">E616/1000/(E611+E612+E613)</f>
        <v>0.174032095099019</v>
      </c>
      <c r="F629" s="11" t="n">
        <f aca="false">F616/1000/(F611+F612+F613)</f>
        <v>0.173968172468113</v>
      </c>
      <c r="G629" s="11" t="n">
        <f aca="false">G616/1000/(G611+G612+G613)</f>
        <v>0.17383613380168</v>
      </c>
      <c r="H629" s="5" t="s">
        <v>569</v>
      </c>
    </row>
    <row r="636" customFormat="false" ht="17.15" hidden="false" customHeight="false" outlineLevel="0" collapsed="false">
      <c r="A636" s="3" t="s">
        <v>879</v>
      </c>
    </row>
    <row r="637" customFormat="false" ht="15" hidden="false" customHeight="false" outlineLevel="0" collapsed="false">
      <c r="A637" s="6" t="s">
        <v>15</v>
      </c>
      <c r="B637" s="6" t="s">
        <v>16</v>
      </c>
      <c r="C637" s="15" t="s">
        <v>509</v>
      </c>
      <c r="D637" s="15" t="s">
        <v>510</v>
      </c>
      <c r="E637" s="15" t="s">
        <v>511</v>
      </c>
      <c r="F637" s="15" t="s">
        <v>512</v>
      </c>
      <c r="G637" s="15" t="s">
        <v>513</v>
      </c>
      <c r="H637" s="6" t="s">
        <v>514</v>
      </c>
    </row>
    <row r="638" customFormat="false" ht="17.15" hidden="false" customHeight="false" outlineLevel="0" collapsed="false">
      <c r="A638" s="1" t="s">
        <v>545</v>
      </c>
    </row>
    <row r="639" customFormat="false" ht="17.15" hidden="false" customHeight="false" outlineLevel="0" collapsed="false">
      <c r="A639" s="5" t="s">
        <v>546</v>
      </c>
      <c r="B639" s="0" t="s">
        <v>26</v>
      </c>
      <c r="C639" s="22" t="n">
        <f aca="false">laA_25+loA_25+ofA_25</f>
        <v>78.3481206981793</v>
      </c>
      <c r="D639" s="22" t="n">
        <f aca="false">laA_26+loA_26+ofA_26</f>
        <v>99.2871982981748</v>
      </c>
      <c r="E639" s="22" t="n">
        <f aca="false">laA_27+loA_27+ofA_27</f>
        <v>116.288709321091</v>
      </c>
      <c r="F639" s="22" t="n">
        <f aca="false">laA_28+loA_28+ofA_28</f>
        <v>130.886404842261</v>
      </c>
      <c r="G639" s="22" t="n">
        <f aca="false">laA_29+loA_29+ofA_29</f>
        <v>139.398079992203</v>
      </c>
    </row>
    <row r="640" customFormat="false" ht="17.15" hidden="false" customHeight="false" outlineLevel="0" collapsed="false">
      <c r="A640" s="0" t="s">
        <v>547</v>
      </c>
      <c r="B640" s="0" t="s">
        <v>26</v>
      </c>
      <c r="C640" s="22" t="n">
        <f aca="false">drA_25</f>
        <v>26.3761091658243</v>
      </c>
      <c r="D640" s="22" t="n">
        <f aca="false">drA_26</f>
        <v>39.3659468014757</v>
      </c>
      <c r="E640" s="22" t="n">
        <f aca="false">drA_27</f>
        <v>53.2587328153375</v>
      </c>
      <c r="F640" s="22" t="n">
        <f aca="false">drA_28</f>
        <v>59.5608998372386</v>
      </c>
      <c r="G640" s="22" t="n">
        <f aca="false">drA_29</f>
        <v>61.8312930912183</v>
      </c>
    </row>
    <row r="641" customFormat="false" ht="15" hidden="false" customHeight="false" outlineLevel="0" collapsed="false">
      <c r="A641" s="0" t="s">
        <v>548</v>
      </c>
      <c r="B641" s="0" t="s">
        <v>26</v>
      </c>
      <c r="C641" s="22" t="n">
        <f aca="false">ndA_25</f>
        <v>12.1726019800256</v>
      </c>
      <c r="D641" s="22" t="n">
        <f aca="false">ndA_26</f>
        <v>17.5039054704765</v>
      </c>
      <c r="E641" s="22" t="n">
        <f aca="false">ndA_27</f>
        <v>23.2480272411321</v>
      </c>
      <c r="F641" s="22" t="n">
        <f aca="false">ndA_28</f>
        <v>26.181321629459</v>
      </c>
      <c r="G641" s="22" t="n">
        <f aca="false">ndA_29</f>
        <v>27.674312771805</v>
      </c>
    </row>
    <row r="642" customFormat="false" ht="17.15" hidden="false" customHeight="false" outlineLevel="0" collapsed="false">
      <c r="A642" s="1" t="s">
        <v>549</v>
      </c>
    </row>
    <row r="643" customFormat="false" ht="17.15" hidden="false" customHeight="false" outlineLevel="0" collapsed="false">
      <c r="A643" s="5" t="s">
        <v>550</v>
      </c>
      <c r="B643" s="0" t="s">
        <v>26</v>
      </c>
      <c r="D643" s="22" t="n">
        <f aca="false">fyw*C639+(1-fyw)*D639</f>
        <v>95.7973520315089</v>
      </c>
      <c r="E643" s="22" t="n">
        <f aca="false">fyw*D639+(1-fyw)*E639</f>
        <v>113.455124150605</v>
      </c>
      <c r="F643" s="22" t="n">
        <f aca="false">fyw*E639+(1-fyw)*F639</f>
        <v>128.453455588732</v>
      </c>
      <c r="G643" s="22" t="n">
        <f aca="false">fyw*F639+(1-fyw)*G639</f>
        <v>137.979467467212</v>
      </c>
    </row>
    <row r="644" customFormat="false" ht="17.15" hidden="false" customHeight="false" outlineLevel="0" collapsed="false">
      <c r="A644" s="0" t="s">
        <v>551</v>
      </c>
      <c r="B644" s="0" t="s">
        <v>26</v>
      </c>
      <c r="D644" s="22" t="n">
        <f aca="false">fyw*C640+(1-fyw)*D640</f>
        <v>37.2009738622005</v>
      </c>
      <c r="E644" s="22" t="n">
        <f aca="false">fyw*D640+(1-fyw)*E640</f>
        <v>50.9432684796939</v>
      </c>
      <c r="F644" s="22" t="n">
        <f aca="false">fyw*E640+(1-fyw)*F640</f>
        <v>58.5105386669218</v>
      </c>
      <c r="G644" s="22" t="n">
        <f aca="false">fyw*F640+(1-fyw)*G640</f>
        <v>61.452894215555</v>
      </c>
    </row>
    <row r="645" customFormat="false" ht="15" hidden="false" customHeight="false" outlineLevel="0" collapsed="false">
      <c r="A645" s="0" t="s">
        <v>552</v>
      </c>
      <c r="B645" s="0" t="s">
        <v>26</v>
      </c>
      <c r="D645" s="22" t="n">
        <f aca="false">fyw*C641+(1-fyw)*D641</f>
        <v>16.6153548887347</v>
      </c>
      <c r="E645" s="22" t="n">
        <f aca="false">fyw*D641+(1-fyw)*E641</f>
        <v>22.2906736126895</v>
      </c>
      <c r="F645" s="22" t="n">
        <f aca="false">fyw*E641+(1-fyw)*F641</f>
        <v>25.6924392314045</v>
      </c>
      <c r="G645" s="22" t="n">
        <f aca="false">fyw*F641+(1-fyw)*G641</f>
        <v>27.4254809147473</v>
      </c>
    </row>
    <row r="646" customFormat="false" ht="17.15" hidden="false" customHeight="false" outlineLevel="0" collapsed="false">
      <c r="A646" s="5" t="s">
        <v>553</v>
      </c>
      <c r="B646" s="0" t="s">
        <v>242</v>
      </c>
      <c r="D646" s="21" t="n">
        <f aca="false">m_fl*D643/$D643+m_dr*D644/$D644+m_nd*D645/$D645</f>
        <v>1</v>
      </c>
      <c r="E646" s="21" t="n">
        <f aca="false">m_fl*E643/$D643+m_dr*E644/$D644+m_nd*E645/$D645</f>
        <v>1.2474041822294</v>
      </c>
      <c r="F646" s="21" t="n">
        <f aca="false">m_fl*F643/$D643+m_dr*F644/$D644+m_nd*F645/$D645</f>
        <v>1.42038896941297</v>
      </c>
      <c r="G646" s="21" t="n">
        <f aca="false">m_fl*G643/$D643+m_dr*G644/$D644+m_nd*G645/$D645</f>
        <v>1.51409392151355</v>
      </c>
      <c r="H646" s="8" t="s">
        <v>554</v>
      </c>
    </row>
    <row r="647" customFormat="false" ht="17.15" hidden="false" customHeight="false" outlineLevel="0" collapsed="false">
      <c r="A647" s="1" t="s">
        <v>555</v>
      </c>
    </row>
    <row r="648" customFormat="false" ht="17.15" hidden="false" customHeight="false" outlineLevel="0" collapsed="false">
      <c r="A648" s="5" t="s">
        <v>556</v>
      </c>
      <c r="B648" s="0" t="s">
        <v>248</v>
      </c>
      <c r="C648" s="9" t="n">
        <f aca="false">a25_ss</f>
        <v>21438.5432098765</v>
      </c>
      <c r="D648" s="9" t="n">
        <f aca="false">an_ss</f>
        <v>26046</v>
      </c>
      <c r="E648" s="9" t="n">
        <f aca="false">$D648*E646*sf</f>
        <v>32489.8893303468</v>
      </c>
      <c r="F648" s="9" t="n">
        <f aca="false">$D648*F646*sf</f>
        <v>36995.4510973303</v>
      </c>
      <c r="G648" s="9" t="n">
        <f aca="false">$D648*G646*sf</f>
        <v>39436.090279742</v>
      </c>
      <c r="H648" s="8" t="s">
        <v>557</v>
      </c>
    </row>
    <row r="649" customFormat="false" ht="17.15" hidden="false" customHeight="false" outlineLevel="0" collapsed="false">
      <c r="A649" s="0" t="s">
        <v>558</v>
      </c>
      <c r="B649" s="0" t="s">
        <v>248</v>
      </c>
      <c r="C649" s="9" t="n">
        <f aca="false">a25_ags</f>
        <v>5744.19672131148</v>
      </c>
      <c r="D649" s="9" t="n">
        <f aca="false">an_ags</f>
        <v>6845</v>
      </c>
      <c r="E649" s="9" t="n">
        <f aca="false">D649*(1+g_ags_A)</f>
        <v>7871.75</v>
      </c>
      <c r="F649" s="9" t="n">
        <f aca="false">E649*(1+g_ags_A)</f>
        <v>9052.5125</v>
      </c>
      <c r="G649" s="9" t="n">
        <f aca="false">F649*(1+g_ags_A)</f>
        <v>10410.389375</v>
      </c>
    </row>
    <row r="650" customFormat="false" ht="15" hidden="false" customHeight="false" outlineLevel="0" collapsed="false">
      <c r="A650" s="5" t="s">
        <v>559</v>
      </c>
      <c r="B650" s="0" t="s">
        <v>248</v>
      </c>
      <c r="C650" s="9" t="n">
        <f aca="false">a25_oth</f>
        <v>1185.26006881198</v>
      </c>
      <c r="D650" s="9" t="n">
        <f aca="false">an_oth</f>
        <v>1396</v>
      </c>
      <c r="E650" s="9" t="n">
        <f aca="false">D650*(1+g_oth_A)</f>
        <v>1396</v>
      </c>
      <c r="F650" s="9" t="n">
        <f aca="false">E650*(1+g_oth_A)</f>
        <v>1396</v>
      </c>
      <c r="G650" s="9" t="n">
        <f aca="false">F650*(1+g_oth_A)</f>
        <v>1396</v>
      </c>
    </row>
    <row r="651" customFormat="false" ht="17.15" hidden="false" customHeight="false" outlineLevel="0" collapsed="false">
      <c r="A651" s="5" t="s">
        <v>560</v>
      </c>
      <c r="B651" s="0" t="s">
        <v>248</v>
      </c>
      <c r="C651" s="9" t="n">
        <v>0</v>
      </c>
      <c r="D651" s="9" t="n">
        <v>0</v>
      </c>
      <c r="E651" s="9" t="n">
        <f aca="false">-aff_hit*1-0*cn_sh*(E648+E649)</f>
        <v>-600</v>
      </c>
      <c r="F651" s="9" t="n">
        <f aca="false">-aff_hit*1-0*cn_sh*(F648+F649)</f>
        <v>-600</v>
      </c>
      <c r="G651" s="9" t="n">
        <f aca="false">-aff_hit*1-0*cn_sh*(G648+G649)</f>
        <v>-600</v>
      </c>
      <c r="H651" s="5" t="s">
        <v>561</v>
      </c>
    </row>
    <row r="652" customFormat="false" ht="15" hidden="false" customHeight="false" outlineLevel="0" collapsed="false">
      <c r="A652" s="5" t="s">
        <v>450</v>
      </c>
      <c r="B652" s="0" t="s">
        <v>248</v>
      </c>
      <c r="C652" s="9" t="n">
        <f aca="false">C648+C649+C650+C651</f>
        <v>28368</v>
      </c>
      <c r="D652" s="9" t="n">
        <f aca="false">D648+D649+D650+D651</f>
        <v>34287</v>
      </c>
      <c r="E652" s="9" t="n">
        <f aca="false">E648+E649+E650+E651</f>
        <v>41157.6393303468</v>
      </c>
      <c r="F652" s="9" t="n">
        <f aca="false">F648+F649+F650+F651</f>
        <v>46843.9635973303</v>
      </c>
      <c r="G652" s="9" t="n">
        <f aca="false">G648+G649+G650+G651</f>
        <v>50642.479654742</v>
      </c>
    </row>
    <row r="653" customFormat="false" ht="17.15" hidden="false" customHeight="false" outlineLevel="0" collapsed="false">
      <c r="A653" s="0" t="s">
        <v>456</v>
      </c>
      <c r="B653" s="0" t="s">
        <v>195</v>
      </c>
      <c r="C653" s="11" t="n">
        <f aca="false">a25_gp/a25_rev</f>
        <v>0.487833192329385</v>
      </c>
      <c r="D653" s="11" t="n">
        <f aca="false">an_gp/an_rev</f>
        <v>0.500418584303089</v>
      </c>
      <c r="E653" s="11" t="n">
        <f aca="false">1-(cF+cv*E652)/E652</f>
        <v>0.510487757674174</v>
      </c>
      <c r="F653" s="11" t="n">
        <f aca="false">1-(cF+cv*F652)/F652</f>
        <v>0.516587396808512</v>
      </c>
      <c r="G653" s="11" t="n">
        <f aca="false">1-(cF+cv*G652)/G652</f>
        <v>0.519898875627186</v>
      </c>
      <c r="H653" s="5" t="s">
        <v>562</v>
      </c>
    </row>
    <row r="654" customFormat="false" ht="17.15" hidden="false" customHeight="false" outlineLevel="0" collapsed="false">
      <c r="A654" s="0" t="s">
        <v>459</v>
      </c>
      <c r="B654" s="0" t="s">
        <v>248</v>
      </c>
      <c r="C654" s="9" t="n">
        <f aca="false">C652*C653</f>
        <v>13838.852</v>
      </c>
      <c r="D654" s="9" t="n">
        <f aca="false">D652*D653</f>
        <v>17157.852</v>
      </c>
      <c r="E654" s="9" t="n">
        <f aca="false">E652*E653</f>
        <v>21010.4710129112</v>
      </c>
      <c r="F654" s="9" t="n">
        <f aca="false">F652*F653</f>
        <v>24199.0012109375</v>
      </c>
      <c r="G654" s="9" t="n">
        <f aca="false">G652*G653</f>
        <v>26328.968231473</v>
      </c>
    </row>
    <row r="655" customFormat="false" ht="17.15" hidden="false" customHeight="false" outlineLevel="0" collapsed="false">
      <c r="A655" s="0" t="s">
        <v>563</v>
      </c>
      <c r="B655" s="0" t="s">
        <v>248</v>
      </c>
      <c r="C655" s="9" t="n">
        <f aca="false">opex25</f>
        <v>5276.852</v>
      </c>
      <c r="D655" s="9" t="n">
        <f aca="false">opex26</f>
        <v>5832.852</v>
      </c>
      <c r="E655" s="9" t="n">
        <f aca="false">oF+ov*E652</f>
        <v>6478.24403711317</v>
      </c>
      <c r="F655" s="9" t="n">
        <f aca="false">oF+ov*F652</f>
        <v>7012.38769185938</v>
      </c>
      <c r="G655" s="9" t="n">
        <f aca="false">oF+ov*G652</f>
        <v>7369.20048589907</v>
      </c>
      <c r="H655" s="5" t="s">
        <v>564</v>
      </c>
    </row>
    <row r="656" customFormat="false" ht="17.15" hidden="false" customHeight="false" outlineLevel="0" collapsed="false">
      <c r="A656" s="0" t="s">
        <v>461</v>
      </c>
      <c r="B656" s="0" t="s">
        <v>248</v>
      </c>
      <c r="C656" s="9" t="n">
        <f aca="false">C654-C655</f>
        <v>8562</v>
      </c>
      <c r="D656" s="9" t="n">
        <f aca="false">D654-D655</f>
        <v>11325</v>
      </c>
      <c r="E656" s="9" t="n">
        <f aca="false">E654-E655</f>
        <v>14532.226975798</v>
      </c>
      <c r="F656" s="9" t="n">
        <f aca="false">F654-F655</f>
        <v>17186.6135190782</v>
      </c>
      <c r="G656" s="9" t="n">
        <f aca="false">G654-G655</f>
        <v>18959.7677455739</v>
      </c>
    </row>
    <row r="657" customFormat="false" ht="17.15" hidden="false" customHeight="false" outlineLevel="0" collapsed="false">
      <c r="A657" s="0" t="s">
        <v>540</v>
      </c>
      <c r="B657" s="0" t="s">
        <v>195</v>
      </c>
      <c r="C657" s="11" t="n">
        <f aca="false">C656/C652</f>
        <v>0.301818950930626</v>
      </c>
      <c r="D657" s="11" t="n">
        <f aca="false">D656/D652</f>
        <v>0.330300113745735</v>
      </c>
      <c r="E657" s="11" t="n">
        <f aca="false">E656/E652</f>
        <v>0.353086989736142</v>
      </c>
      <c r="F657" s="11" t="n">
        <f aca="false">F656/F652</f>
        <v>0.366890677031814</v>
      </c>
      <c r="G657" s="11" t="n">
        <f aca="false">G656/G652</f>
        <v>0.374384664314094</v>
      </c>
    </row>
    <row r="658" customFormat="false" ht="17.15" hidden="false" customHeight="false" outlineLevel="0" collapsed="false">
      <c r="A658" s="0" t="s">
        <v>466</v>
      </c>
      <c r="B658" s="0" t="s">
        <v>248</v>
      </c>
      <c r="C658" s="9" t="n">
        <f aca="false">a25_ni</f>
        <v>7607</v>
      </c>
      <c r="D658" s="9" t="n">
        <f aca="false">an_ni</f>
        <v>10179.92</v>
      </c>
      <c r="E658" s="9" t="n">
        <f aca="false">E656*nioi</f>
        <v>12911.3116800859</v>
      </c>
      <c r="F658" s="9" t="n">
        <f aca="false">F656*nioi</f>
        <v>15269.6296472352</v>
      </c>
      <c r="G658" s="9" t="n">
        <f aca="false">G656*nioi</f>
        <v>16845.0073861926</v>
      </c>
    </row>
    <row r="659" customFormat="false" ht="15" hidden="false" customHeight="false" outlineLevel="0" collapsed="false">
      <c r="A659" s="5" t="s">
        <v>565</v>
      </c>
      <c r="B659" s="5" t="s">
        <v>324</v>
      </c>
      <c r="C659" s="23" t="n">
        <f aca="false">a25_sh</f>
        <v>808</v>
      </c>
      <c r="D659" s="23" t="n">
        <f aca="false">an_sh</f>
        <v>797.799373040752</v>
      </c>
      <c r="E659" s="23" t="n">
        <f aca="false">$D659*(1-bb)^1</f>
        <v>789.821379310345</v>
      </c>
      <c r="F659" s="23" t="n">
        <f aca="false">$D659*(1-bb)^2</f>
        <v>781.923165517241</v>
      </c>
      <c r="G659" s="23" t="n">
        <f aca="false">$D659*(1-bb)^3</f>
        <v>774.103933862069</v>
      </c>
    </row>
    <row r="660" customFormat="false" ht="17.15" hidden="false" customHeight="false" outlineLevel="0" collapsed="false">
      <c r="A660" s="0" t="s">
        <v>566</v>
      </c>
      <c r="B660" s="0" t="s">
        <v>337</v>
      </c>
      <c r="C660" s="14" t="n">
        <f aca="false">a25_eps</f>
        <v>9.42</v>
      </c>
      <c r="D660" s="14" t="n">
        <f aca="false">an_eps</f>
        <v>12.76</v>
      </c>
      <c r="E660" s="14" t="n">
        <f aca="false">E658/E659</f>
        <v>16.3471286271837</v>
      </c>
      <c r="F660" s="14" t="n">
        <f aca="false">F658/F659</f>
        <v>19.5282993529605</v>
      </c>
      <c r="G660" s="14" t="n">
        <f aca="false">G658/G659</f>
        <v>21.7606533817125</v>
      </c>
      <c r="H660" s="8" t="s">
        <v>567</v>
      </c>
    </row>
    <row r="661" customFormat="false" ht="17.15" hidden="false" customHeight="false" outlineLevel="0" collapsed="false">
      <c r="A661" s="5" t="s">
        <v>568</v>
      </c>
      <c r="B661" s="0" t="s">
        <v>195</v>
      </c>
      <c r="D661" s="11" t="n">
        <f aca="false">D648/1000/(D643+D644+D645)</f>
        <v>0.174088357854613</v>
      </c>
      <c r="E661" s="11" t="n">
        <f aca="false">E648/1000/(E643+E644+E645)</f>
        <v>0.174032095099019</v>
      </c>
      <c r="F661" s="11" t="n">
        <f aca="false">F648/1000/(F643+F644+F645)</f>
        <v>0.173968172468113</v>
      </c>
      <c r="G661" s="11" t="n">
        <f aca="false">G648/1000/(G643+G644+G645)</f>
        <v>0.17383613380168</v>
      </c>
      <c r="H661" s="5" t="s">
        <v>569</v>
      </c>
    </row>
    <row r="668" customFormat="false" ht="17.15" hidden="false" customHeight="false" outlineLevel="0" collapsed="false">
      <c r="A668" s="3" t="s">
        <v>880</v>
      </c>
    </row>
    <row r="669" customFormat="false" ht="15" hidden="false" customHeight="false" outlineLevel="0" collapsed="false">
      <c r="A669" s="6" t="s">
        <v>15</v>
      </c>
      <c r="B669" s="6" t="s">
        <v>16</v>
      </c>
      <c r="C669" s="15" t="s">
        <v>509</v>
      </c>
      <c r="D669" s="15" t="s">
        <v>510</v>
      </c>
      <c r="E669" s="15" t="s">
        <v>511</v>
      </c>
      <c r="F669" s="15" t="s">
        <v>512</v>
      </c>
      <c r="G669" s="15" t="s">
        <v>513</v>
      </c>
      <c r="H669" s="6" t="s">
        <v>514</v>
      </c>
    </row>
    <row r="670" customFormat="false" ht="17.15" hidden="false" customHeight="false" outlineLevel="0" collapsed="false">
      <c r="A670" s="1" t="s">
        <v>545</v>
      </c>
    </row>
    <row r="671" customFormat="false" ht="17.15" hidden="false" customHeight="false" outlineLevel="0" collapsed="false">
      <c r="A671" s="5" t="s">
        <v>546</v>
      </c>
      <c r="B671" s="0" t="s">
        <v>26</v>
      </c>
      <c r="C671" s="22" t="n">
        <f aca="false">laA_25+loA_25+ofA_25</f>
        <v>78.3481206981793</v>
      </c>
      <c r="D671" s="22" t="n">
        <f aca="false">laA_26+loA_26+ofA_26</f>
        <v>99.2871982981748</v>
      </c>
      <c r="E671" s="22" t="n">
        <f aca="false">laA_27+loA_27+ofA_27</f>
        <v>116.288709321091</v>
      </c>
      <c r="F671" s="22" t="n">
        <f aca="false">laA_28+loA_28+ofA_28</f>
        <v>130.886404842261</v>
      </c>
      <c r="G671" s="22" t="n">
        <f aca="false">laA_29+loA_29+ofA_29</f>
        <v>139.398079992203</v>
      </c>
    </row>
    <row r="672" customFormat="false" ht="17.15" hidden="false" customHeight="false" outlineLevel="0" collapsed="false">
      <c r="A672" s="0" t="s">
        <v>547</v>
      </c>
      <c r="B672" s="0" t="s">
        <v>26</v>
      </c>
      <c r="C672" s="22" t="n">
        <f aca="false">drA_25</f>
        <v>26.3761091658243</v>
      </c>
      <c r="D672" s="22" t="n">
        <f aca="false">drA_26</f>
        <v>39.3659468014757</v>
      </c>
      <c r="E672" s="22" t="n">
        <f aca="false">drA_27</f>
        <v>53.2587328153375</v>
      </c>
      <c r="F672" s="22" t="n">
        <f aca="false">drA_28</f>
        <v>59.5608998372386</v>
      </c>
      <c r="G672" s="22" t="n">
        <f aca="false">drA_29</f>
        <v>61.8312930912183</v>
      </c>
    </row>
    <row r="673" customFormat="false" ht="15" hidden="false" customHeight="false" outlineLevel="0" collapsed="false">
      <c r="A673" s="0" t="s">
        <v>548</v>
      </c>
      <c r="B673" s="0" t="s">
        <v>26</v>
      </c>
      <c r="C673" s="22" t="n">
        <f aca="false">ndA_25</f>
        <v>12.1726019800256</v>
      </c>
      <c r="D673" s="22" t="n">
        <f aca="false">ndA_26</f>
        <v>17.5039054704765</v>
      </c>
      <c r="E673" s="22" t="n">
        <f aca="false">ndA_27</f>
        <v>23.2480272411321</v>
      </c>
      <c r="F673" s="22" t="n">
        <f aca="false">ndA_28</f>
        <v>26.181321629459</v>
      </c>
      <c r="G673" s="22" t="n">
        <f aca="false">ndA_29</f>
        <v>27.674312771805</v>
      </c>
    </row>
    <row r="674" customFormat="false" ht="17.15" hidden="false" customHeight="false" outlineLevel="0" collapsed="false">
      <c r="A674" s="1" t="s">
        <v>549</v>
      </c>
    </row>
    <row r="675" customFormat="false" ht="17.15" hidden="false" customHeight="false" outlineLevel="0" collapsed="false">
      <c r="A675" s="5" t="s">
        <v>550</v>
      </c>
      <c r="B675" s="0" t="s">
        <v>26</v>
      </c>
      <c r="D675" s="22" t="n">
        <f aca="false">fyw*C671+(1-fyw)*D671</f>
        <v>95.7973520315089</v>
      </c>
      <c r="E675" s="22" t="n">
        <f aca="false">fyw*D671+(1-fyw)*E671</f>
        <v>113.455124150605</v>
      </c>
      <c r="F675" s="22" t="n">
        <f aca="false">fyw*E671+(1-fyw)*F671</f>
        <v>128.453455588732</v>
      </c>
      <c r="G675" s="22" t="n">
        <f aca="false">fyw*F671+(1-fyw)*G671</f>
        <v>137.979467467212</v>
      </c>
    </row>
    <row r="676" customFormat="false" ht="17.15" hidden="false" customHeight="false" outlineLevel="0" collapsed="false">
      <c r="A676" s="0" t="s">
        <v>551</v>
      </c>
      <c r="B676" s="0" t="s">
        <v>26</v>
      </c>
      <c r="D676" s="22" t="n">
        <f aca="false">fyw*C672+(1-fyw)*D672</f>
        <v>37.2009738622005</v>
      </c>
      <c r="E676" s="22" t="n">
        <f aca="false">fyw*D672+(1-fyw)*E672</f>
        <v>50.9432684796939</v>
      </c>
      <c r="F676" s="22" t="n">
        <f aca="false">fyw*E672+(1-fyw)*F672</f>
        <v>58.5105386669218</v>
      </c>
      <c r="G676" s="22" t="n">
        <f aca="false">fyw*F672+(1-fyw)*G672</f>
        <v>61.452894215555</v>
      </c>
    </row>
    <row r="677" customFormat="false" ht="15" hidden="false" customHeight="false" outlineLevel="0" collapsed="false">
      <c r="A677" s="0" t="s">
        <v>552</v>
      </c>
      <c r="B677" s="0" t="s">
        <v>26</v>
      </c>
      <c r="D677" s="22" t="n">
        <f aca="false">fyw*C673+(1-fyw)*D673</f>
        <v>16.6153548887347</v>
      </c>
      <c r="E677" s="22" t="n">
        <f aca="false">fyw*D673+(1-fyw)*E673</f>
        <v>22.2906736126895</v>
      </c>
      <c r="F677" s="22" t="n">
        <f aca="false">fyw*E673+(1-fyw)*F673</f>
        <v>25.6924392314045</v>
      </c>
      <c r="G677" s="22" t="n">
        <f aca="false">fyw*F673+(1-fyw)*G673</f>
        <v>27.4254809147473</v>
      </c>
    </row>
    <row r="678" customFormat="false" ht="17.15" hidden="false" customHeight="false" outlineLevel="0" collapsed="false">
      <c r="A678" s="5" t="s">
        <v>553</v>
      </c>
      <c r="B678" s="0" t="s">
        <v>242</v>
      </c>
      <c r="D678" s="21" t="n">
        <f aca="false">m_fl*D675/$D675+m_dr*D676/$D676+m_nd*D677/$D677</f>
        <v>1</v>
      </c>
      <c r="E678" s="21" t="n">
        <f aca="false">m_fl*E675/$D675+m_dr*E676/$D676+m_nd*E677/$D677</f>
        <v>1.2474041822294</v>
      </c>
      <c r="F678" s="21" t="n">
        <f aca="false">m_fl*F675/$D675+m_dr*F676/$D676+m_nd*F677/$D677</f>
        <v>1.42038896941297</v>
      </c>
      <c r="G678" s="21" t="n">
        <f aca="false">m_fl*G675/$D675+m_dr*G676/$D676+m_nd*G677/$D677</f>
        <v>1.51409392151355</v>
      </c>
      <c r="H678" s="8" t="s">
        <v>554</v>
      </c>
    </row>
    <row r="679" customFormat="false" ht="17.15" hidden="false" customHeight="false" outlineLevel="0" collapsed="false">
      <c r="A679" s="1" t="s">
        <v>555</v>
      </c>
    </row>
    <row r="680" customFormat="false" ht="17.15" hidden="false" customHeight="false" outlineLevel="0" collapsed="false">
      <c r="A680" s="5" t="s">
        <v>556</v>
      </c>
      <c r="B680" s="0" t="s">
        <v>248</v>
      </c>
      <c r="C680" s="9" t="n">
        <f aca="false">a25_ss</f>
        <v>21438.5432098765</v>
      </c>
      <c r="D680" s="9" t="n">
        <f aca="false">an_ss</f>
        <v>26046</v>
      </c>
      <c r="E680" s="9" t="n">
        <f aca="false">$D680*E678*sf</f>
        <v>32489.8893303468</v>
      </c>
      <c r="F680" s="9" t="n">
        <f aca="false">$D680*F678*sf</f>
        <v>36995.4510973303</v>
      </c>
      <c r="G680" s="9" t="n">
        <f aca="false">$D680*G678*sf</f>
        <v>39436.090279742</v>
      </c>
      <c r="H680" s="8" t="s">
        <v>557</v>
      </c>
    </row>
    <row r="681" customFormat="false" ht="17.15" hidden="false" customHeight="false" outlineLevel="0" collapsed="false">
      <c r="A681" s="0" t="s">
        <v>558</v>
      </c>
      <c r="B681" s="0" t="s">
        <v>248</v>
      </c>
      <c r="C681" s="9" t="n">
        <f aca="false">a25_ags</f>
        <v>5744.19672131148</v>
      </c>
      <c r="D681" s="9" t="n">
        <f aca="false">an_ags</f>
        <v>6845</v>
      </c>
      <c r="E681" s="9" t="n">
        <f aca="false">D681*(1+g_ags_A)</f>
        <v>7871.75</v>
      </c>
      <c r="F681" s="9" t="n">
        <f aca="false">E681*(1+g_ags_A)</f>
        <v>9052.5125</v>
      </c>
      <c r="G681" s="9" t="n">
        <f aca="false">F681*(1+g_ags_A)</f>
        <v>10410.389375</v>
      </c>
    </row>
    <row r="682" customFormat="false" ht="15" hidden="false" customHeight="false" outlineLevel="0" collapsed="false">
      <c r="A682" s="5" t="s">
        <v>559</v>
      </c>
      <c r="B682" s="0" t="s">
        <v>248</v>
      </c>
      <c r="C682" s="9" t="n">
        <f aca="false">a25_oth</f>
        <v>1185.26006881198</v>
      </c>
      <c r="D682" s="9" t="n">
        <f aca="false">an_oth</f>
        <v>1396</v>
      </c>
      <c r="E682" s="9" t="n">
        <f aca="false">D682*(1+g_oth_A)</f>
        <v>1396</v>
      </c>
      <c r="F682" s="9" t="n">
        <f aca="false">E682*(1+g_oth_A)</f>
        <v>1396</v>
      </c>
      <c r="G682" s="9" t="n">
        <f aca="false">F682*(1+g_oth_A)</f>
        <v>1396</v>
      </c>
    </row>
    <row r="683" customFormat="false" ht="17.15" hidden="false" customHeight="false" outlineLevel="0" collapsed="false">
      <c r="A683" s="5" t="s">
        <v>560</v>
      </c>
      <c r="B683" s="0" t="s">
        <v>248</v>
      </c>
      <c r="C683" s="9" t="n">
        <v>0</v>
      </c>
      <c r="D683" s="9" t="n">
        <v>0</v>
      </c>
      <c r="E683" s="9" t="n">
        <f aca="false">-aff_hit_hi*1-0*cn_sh*(E680+E681)</f>
        <v>-900</v>
      </c>
      <c r="F683" s="9" t="n">
        <f aca="false">-aff_hit_hi*1-0*cn_sh*(F680+F681)</f>
        <v>-900</v>
      </c>
      <c r="G683" s="9" t="n">
        <f aca="false">-aff_hit_hi*1-0*cn_sh*(G680+G681)</f>
        <v>-900</v>
      </c>
      <c r="H683" s="5" t="s">
        <v>561</v>
      </c>
    </row>
    <row r="684" customFormat="false" ht="15" hidden="false" customHeight="false" outlineLevel="0" collapsed="false">
      <c r="A684" s="5" t="s">
        <v>450</v>
      </c>
      <c r="B684" s="0" t="s">
        <v>248</v>
      </c>
      <c r="C684" s="9" t="n">
        <f aca="false">C680+C681+C682+C683</f>
        <v>28368</v>
      </c>
      <c r="D684" s="9" t="n">
        <f aca="false">D680+D681+D682+D683</f>
        <v>34287</v>
      </c>
      <c r="E684" s="9" t="n">
        <f aca="false">E680+E681+E682+E683</f>
        <v>40857.6393303468</v>
      </c>
      <c r="F684" s="9" t="n">
        <f aca="false">F680+F681+F682+F683</f>
        <v>46543.9635973303</v>
      </c>
      <c r="G684" s="9" t="n">
        <f aca="false">G680+G681+G682+G683</f>
        <v>50342.479654742</v>
      </c>
    </row>
    <row r="685" customFormat="false" ht="17.15" hidden="false" customHeight="false" outlineLevel="0" collapsed="false">
      <c r="A685" s="0" t="s">
        <v>456</v>
      </c>
      <c r="B685" s="0" t="s">
        <v>195</v>
      </c>
      <c r="C685" s="11" t="n">
        <f aca="false">a25_gp/a25_rev</f>
        <v>0.487833192329385</v>
      </c>
      <c r="D685" s="11" t="n">
        <f aca="false">an_gp/an_rev</f>
        <v>0.500418584303089</v>
      </c>
      <c r="E685" s="11" t="n">
        <f aca="false">1-(cF+cv*E684)/E684</f>
        <v>0.510118802046316</v>
      </c>
      <c r="F685" s="11" t="n">
        <f aca="false">1-(cF+cv*F684)/F684</f>
        <v>0.516302832211774</v>
      </c>
      <c r="G685" s="11" t="n">
        <f aca="false">1-(cF+cv*G684)/G684</f>
        <v>0.519655516129003</v>
      </c>
      <c r="H685" s="5" t="s">
        <v>562</v>
      </c>
    </row>
    <row r="686" customFormat="false" ht="17.15" hidden="false" customHeight="false" outlineLevel="0" collapsed="false">
      <c r="A686" s="0" t="s">
        <v>459</v>
      </c>
      <c r="B686" s="0" t="s">
        <v>248</v>
      </c>
      <c r="C686" s="9" t="n">
        <f aca="false">C684*C685</f>
        <v>13838.852</v>
      </c>
      <c r="D686" s="9" t="n">
        <f aca="false">D684*D685</f>
        <v>17157.852</v>
      </c>
      <c r="E686" s="9" t="n">
        <f aca="false">E684*E685</f>
        <v>20842.250029637</v>
      </c>
      <c r="F686" s="9" t="n">
        <f aca="false">F684*F685</f>
        <v>24030.7802276633</v>
      </c>
      <c r="G686" s="9" t="n">
        <f aca="false">G684*G685</f>
        <v>26160.7472481988</v>
      </c>
    </row>
    <row r="687" customFormat="false" ht="17.15" hidden="false" customHeight="false" outlineLevel="0" collapsed="false">
      <c r="A687" s="0" t="s">
        <v>563</v>
      </c>
      <c r="B687" s="0" t="s">
        <v>248</v>
      </c>
      <c r="C687" s="9" t="n">
        <f aca="false">opex25</f>
        <v>5276.852</v>
      </c>
      <c r="D687" s="9" t="n">
        <f aca="false">opex26</f>
        <v>5832.852</v>
      </c>
      <c r="E687" s="9" t="n">
        <f aca="false">oF+ov*E684</f>
        <v>6450.06360122873</v>
      </c>
      <c r="F687" s="9" t="n">
        <f aca="false">oF+ov*F684</f>
        <v>6984.20725597494</v>
      </c>
      <c r="G687" s="9" t="n">
        <f aca="false">oF+ov*G684</f>
        <v>7341.02005001463</v>
      </c>
      <c r="H687" s="5" t="s">
        <v>564</v>
      </c>
    </row>
    <row r="688" customFormat="false" ht="17.15" hidden="false" customHeight="false" outlineLevel="0" collapsed="false">
      <c r="A688" s="0" t="s">
        <v>461</v>
      </c>
      <c r="B688" s="0" t="s">
        <v>248</v>
      </c>
      <c r="C688" s="9" t="n">
        <f aca="false">C686-C687</f>
        <v>8562</v>
      </c>
      <c r="D688" s="9" t="n">
        <f aca="false">D686-D687</f>
        <v>11325</v>
      </c>
      <c r="E688" s="9" t="n">
        <f aca="false">E686-E687</f>
        <v>14392.1864284082</v>
      </c>
      <c r="F688" s="9" t="n">
        <f aca="false">F686-F687</f>
        <v>17046.5729716884</v>
      </c>
      <c r="G688" s="9" t="n">
        <f aca="false">G686-G687</f>
        <v>18819.7271981842</v>
      </c>
    </row>
    <row r="689" customFormat="false" ht="17.15" hidden="false" customHeight="false" outlineLevel="0" collapsed="false">
      <c r="A689" s="0" t="s">
        <v>540</v>
      </c>
      <c r="B689" s="0" t="s">
        <v>195</v>
      </c>
      <c r="C689" s="11" t="n">
        <f aca="false">C688/C684</f>
        <v>0.301818950930626</v>
      </c>
      <c r="D689" s="11" t="n">
        <f aca="false">D688/D684</f>
        <v>0.330300113745735</v>
      </c>
      <c r="E689" s="11" t="n">
        <f aca="false">E688/E684</f>
        <v>0.352252030814676</v>
      </c>
      <c r="F689" s="11" t="n">
        <f aca="false">F688/F684</f>
        <v>0.366246697835295</v>
      </c>
      <c r="G689" s="11" t="n">
        <f aca="false">G688/G684</f>
        <v>0.373833933633252</v>
      </c>
    </row>
    <row r="690" customFormat="false" ht="17.15" hidden="false" customHeight="false" outlineLevel="0" collapsed="false">
      <c r="A690" s="0" t="s">
        <v>466</v>
      </c>
      <c r="B690" s="0" t="s">
        <v>248</v>
      </c>
      <c r="C690" s="9" t="n">
        <f aca="false">a25_ni</f>
        <v>7607</v>
      </c>
      <c r="D690" s="9" t="n">
        <f aca="false">an_ni</f>
        <v>10179.92</v>
      </c>
      <c r="E690" s="9" t="n">
        <f aca="false">E688*nioi</f>
        <v>12786.8911657208</v>
      </c>
      <c r="F690" s="9" t="n">
        <f aca="false">F688*nioi</f>
        <v>15145.2091328701</v>
      </c>
      <c r="G690" s="9" t="n">
        <f aca="false">G688*nioi</f>
        <v>16720.5868718275</v>
      </c>
    </row>
    <row r="691" customFormat="false" ht="15" hidden="false" customHeight="false" outlineLevel="0" collapsed="false">
      <c r="A691" s="5" t="s">
        <v>565</v>
      </c>
      <c r="B691" s="5" t="s">
        <v>324</v>
      </c>
      <c r="C691" s="23" t="n">
        <f aca="false">a25_sh</f>
        <v>808</v>
      </c>
      <c r="D691" s="23" t="n">
        <f aca="false">an_sh</f>
        <v>797.799373040752</v>
      </c>
      <c r="E691" s="23" t="n">
        <f aca="false">$D691*(1-bb)^1</f>
        <v>789.821379310345</v>
      </c>
      <c r="F691" s="23" t="n">
        <f aca="false">$D691*(1-bb)^2</f>
        <v>781.923165517241</v>
      </c>
      <c r="G691" s="23" t="n">
        <f aca="false">$D691*(1-bb)^3</f>
        <v>774.103933862069</v>
      </c>
    </row>
    <row r="692" customFormat="false" ht="17.15" hidden="false" customHeight="false" outlineLevel="0" collapsed="false">
      <c r="A692" s="0" t="s">
        <v>566</v>
      </c>
      <c r="B692" s="0" t="s">
        <v>337</v>
      </c>
      <c r="C692" s="14" t="n">
        <f aca="false">a25_eps</f>
        <v>9.42</v>
      </c>
      <c r="D692" s="14" t="n">
        <f aca="false">an_eps</f>
        <v>12.76</v>
      </c>
      <c r="E692" s="14" t="n">
        <f aca="false">E690/E691</f>
        <v>16.1895986873463</v>
      </c>
      <c r="F692" s="14" t="n">
        <f aca="false">F690/F691</f>
        <v>19.3691782016095</v>
      </c>
      <c r="G692" s="14" t="n">
        <f aca="false">G690/G691</f>
        <v>21.5999249460045</v>
      </c>
      <c r="H692" s="8" t="s">
        <v>567</v>
      </c>
    </row>
    <row r="693" customFormat="false" ht="17.15" hidden="false" customHeight="false" outlineLevel="0" collapsed="false">
      <c r="A693" s="5" t="s">
        <v>568</v>
      </c>
      <c r="B693" s="0" t="s">
        <v>195</v>
      </c>
      <c r="D693" s="11" t="n">
        <f aca="false">D680/1000/(D675+D676+D677)</f>
        <v>0.174088357854613</v>
      </c>
      <c r="E693" s="11" t="n">
        <f aca="false">E680/1000/(E675+E676+E677)</f>
        <v>0.174032095099019</v>
      </c>
      <c r="F693" s="11" t="n">
        <f aca="false">F680/1000/(F675+F676+F677)</f>
        <v>0.173968172468113</v>
      </c>
      <c r="G693" s="11" t="n">
        <f aca="false">G680/1000/(G675+G676+G677)</f>
        <v>0.17383613380168</v>
      </c>
      <c r="H693" s="5" t="s">
        <v>569</v>
      </c>
    </row>
    <row r="700" customFormat="false" ht="17.15" hidden="false" customHeight="false" outlineLevel="0" collapsed="false">
      <c r="A700" s="3" t="s">
        <v>881</v>
      </c>
    </row>
    <row r="701" customFormat="false" ht="15" hidden="false" customHeight="false" outlineLevel="0" collapsed="false">
      <c r="A701" s="6" t="s">
        <v>15</v>
      </c>
      <c r="B701" s="6" t="s">
        <v>16</v>
      </c>
      <c r="C701" s="15" t="s">
        <v>509</v>
      </c>
      <c r="D701" s="15" t="s">
        <v>510</v>
      </c>
      <c r="E701" s="15" t="s">
        <v>511</v>
      </c>
      <c r="F701" s="15" t="s">
        <v>512</v>
      </c>
      <c r="G701" s="15" t="s">
        <v>513</v>
      </c>
      <c r="H701" s="6" t="s">
        <v>514</v>
      </c>
    </row>
    <row r="702" customFormat="false" ht="17.15" hidden="false" customHeight="false" outlineLevel="0" collapsed="false">
      <c r="A702" s="1" t="s">
        <v>545</v>
      </c>
    </row>
    <row r="703" customFormat="false" ht="17.15" hidden="false" customHeight="false" outlineLevel="0" collapsed="false">
      <c r="A703" s="5" t="s">
        <v>546</v>
      </c>
      <c r="B703" s="0" t="s">
        <v>26</v>
      </c>
      <c r="C703" s="22" t="n">
        <f aca="false">laA_25+loA_25+ofA_25</f>
        <v>78.3481206981793</v>
      </c>
      <c r="D703" s="22" t="n">
        <f aca="false">laA_26+loA_26+ofA_26</f>
        <v>99.2871982981748</v>
      </c>
      <c r="E703" s="22" t="n">
        <f aca="false">laA_27+loA_27+ofA_27</f>
        <v>116.288709321091</v>
      </c>
      <c r="F703" s="22" t="n">
        <f aca="false">laA_28+loA_28+ofA_28</f>
        <v>130.886404842261</v>
      </c>
      <c r="G703" s="22" t="n">
        <f aca="false">laA_29+loA_29+ofA_29</f>
        <v>139.398079992203</v>
      </c>
    </row>
    <row r="704" customFormat="false" ht="17.15" hidden="false" customHeight="false" outlineLevel="0" collapsed="false">
      <c r="A704" s="0" t="s">
        <v>547</v>
      </c>
      <c r="B704" s="0" t="s">
        <v>26</v>
      </c>
      <c r="C704" s="22" t="n">
        <f aca="false">drA_25</f>
        <v>26.3761091658243</v>
      </c>
      <c r="D704" s="22" t="n">
        <f aca="false">drA_26</f>
        <v>39.3659468014757</v>
      </c>
      <c r="E704" s="22" t="n">
        <f aca="false">drA_27</f>
        <v>53.2587328153375</v>
      </c>
      <c r="F704" s="22" t="n">
        <f aca="false">drA_28</f>
        <v>59.5608998372386</v>
      </c>
      <c r="G704" s="22" t="n">
        <f aca="false">drA_29</f>
        <v>61.8312930912183</v>
      </c>
    </row>
    <row r="705" customFormat="false" ht="15" hidden="false" customHeight="false" outlineLevel="0" collapsed="false">
      <c r="A705" s="0" t="s">
        <v>548</v>
      </c>
      <c r="B705" s="0" t="s">
        <v>26</v>
      </c>
      <c r="C705" s="22" t="n">
        <f aca="false">ndA_25</f>
        <v>12.1726019800256</v>
      </c>
      <c r="D705" s="22" t="n">
        <f aca="false">ndA_26</f>
        <v>17.5039054704765</v>
      </c>
      <c r="E705" s="22" t="n">
        <f aca="false">ndA_27</f>
        <v>23.2480272411321</v>
      </c>
      <c r="F705" s="22" t="n">
        <f aca="false">ndA_28</f>
        <v>26.181321629459</v>
      </c>
      <c r="G705" s="22" t="n">
        <f aca="false">ndA_29</f>
        <v>27.674312771805</v>
      </c>
    </row>
    <row r="706" customFormat="false" ht="17.15" hidden="false" customHeight="false" outlineLevel="0" collapsed="false">
      <c r="A706" s="1" t="s">
        <v>549</v>
      </c>
    </row>
    <row r="707" customFormat="false" ht="17.15" hidden="false" customHeight="false" outlineLevel="0" collapsed="false">
      <c r="A707" s="5" t="s">
        <v>550</v>
      </c>
      <c r="B707" s="0" t="s">
        <v>26</v>
      </c>
      <c r="D707" s="22" t="n">
        <f aca="false">fyw*C703+(1-fyw)*D703</f>
        <v>95.7973520315089</v>
      </c>
      <c r="E707" s="22" t="n">
        <f aca="false">fyw*D703+(1-fyw)*E703</f>
        <v>113.455124150605</v>
      </c>
      <c r="F707" s="22" t="n">
        <f aca="false">fyw*E703+(1-fyw)*F703</f>
        <v>128.453455588732</v>
      </c>
      <c r="G707" s="22" t="n">
        <f aca="false">fyw*F703+(1-fyw)*G703</f>
        <v>137.979467467212</v>
      </c>
    </row>
    <row r="708" customFormat="false" ht="17.15" hidden="false" customHeight="false" outlineLevel="0" collapsed="false">
      <c r="A708" s="0" t="s">
        <v>551</v>
      </c>
      <c r="B708" s="0" t="s">
        <v>26</v>
      </c>
      <c r="D708" s="22" t="n">
        <f aca="false">fyw*C704+(1-fyw)*D704</f>
        <v>37.2009738622005</v>
      </c>
      <c r="E708" s="22" t="n">
        <f aca="false">fyw*D704+(1-fyw)*E704</f>
        <v>50.9432684796939</v>
      </c>
      <c r="F708" s="22" t="n">
        <f aca="false">fyw*E704+(1-fyw)*F704</f>
        <v>58.5105386669218</v>
      </c>
      <c r="G708" s="22" t="n">
        <f aca="false">fyw*F704+(1-fyw)*G704</f>
        <v>61.452894215555</v>
      </c>
    </row>
    <row r="709" customFormat="false" ht="15" hidden="false" customHeight="false" outlineLevel="0" collapsed="false">
      <c r="A709" s="0" t="s">
        <v>552</v>
      </c>
      <c r="B709" s="0" t="s">
        <v>26</v>
      </c>
      <c r="D709" s="22" t="n">
        <f aca="false">fyw*C705+(1-fyw)*D705</f>
        <v>16.6153548887347</v>
      </c>
      <c r="E709" s="22" t="n">
        <f aca="false">fyw*D705+(1-fyw)*E705</f>
        <v>22.2906736126895</v>
      </c>
      <c r="F709" s="22" t="n">
        <f aca="false">fyw*E705+(1-fyw)*F705</f>
        <v>25.6924392314045</v>
      </c>
      <c r="G709" s="22" t="n">
        <f aca="false">fyw*F705+(1-fyw)*G705</f>
        <v>27.4254809147473</v>
      </c>
    </row>
    <row r="710" customFormat="false" ht="17.15" hidden="false" customHeight="false" outlineLevel="0" collapsed="false">
      <c r="A710" s="5" t="s">
        <v>553</v>
      </c>
      <c r="B710" s="0" t="s">
        <v>242</v>
      </c>
      <c r="D710" s="21" t="n">
        <f aca="false">m_fl*D707/$D707+m_dr*D708/$D708+m_nd*D709/$D709</f>
        <v>1</v>
      </c>
      <c r="E710" s="21" t="n">
        <f aca="false">m_fl*E707/$D707+m_dr*E708/$D708+m_nd*E709/$D709</f>
        <v>1.2474041822294</v>
      </c>
      <c r="F710" s="21" t="n">
        <f aca="false">m_fl*F707/$D707+m_dr*F708/$D708+m_nd*F709/$D709</f>
        <v>1.42038896941297</v>
      </c>
      <c r="G710" s="21" t="n">
        <f aca="false">m_fl*G707/$D707+m_dr*G708/$D708+m_nd*G709/$D709</f>
        <v>1.51409392151355</v>
      </c>
      <c r="H710" s="8" t="s">
        <v>554</v>
      </c>
    </row>
    <row r="711" customFormat="false" ht="17.15" hidden="false" customHeight="false" outlineLevel="0" collapsed="false">
      <c r="A711" s="1" t="s">
        <v>555</v>
      </c>
    </row>
    <row r="712" customFormat="false" ht="17.15" hidden="false" customHeight="false" outlineLevel="0" collapsed="false">
      <c r="A712" s="5" t="s">
        <v>556</v>
      </c>
      <c r="B712" s="0" t="s">
        <v>248</v>
      </c>
      <c r="C712" s="9" t="n">
        <f aca="false">a25_ss</f>
        <v>21438.5432098765</v>
      </c>
      <c r="D712" s="9" t="n">
        <f aca="false">an_ss</f>
        <v>26046</v>
      </c>
      <c r="E712" s="9" t="n">
        <f aca="false">$D712*E710*sf</f>
        <v>32489.8893303468</v>
      </c>
      <c r="F712" s="9" t="n">
        <f aca="false">$D712*F710*sf</f>
        <v>36995.4510973303</v>
      </c>
      <c r="G712" s="9" t="n">
        <f aca="false">$D712*G710*sf</f>
        <v>39436.090279742</v>
      </c>
      <c r="H712" s="8" t="s">
        <v>557</v>
      </c>
    </row>
    <row r="713" customFormat="false" ht="17.15" hidden="false" customHeight="false" outlineLevel="0" collapsed="false">
      <c r="A713" s="0" t="s">
        <v>558</v>
      </c>
      <c r="B713" s="0" t="s">
        <v>248</v>
      </c>
      <c r="C713" s="9" t="n">
        <f aca="false">a25_ags</f>
        <v>5744.19672131148</v>
      </c>
      <c r="D713" s="9" t="n">
        <f aca="false">an_ags</f>
        <v>6845</v>
      </c>
      <c r="E713" s="9" t="n">
        <f aca="false">D713*(1+g_ags_A)</f>
        <v>7871.75</v>
      </c>
      <c r="F713" s="9" t="n">
        <f aca="false">E713*(1+g_ags_A)</f>
        <v>9052.5125</v>
      </c>
      <c r="G713" s="9" t="n">
        <f aca="false">F713*(1+g_ags_A)</f>
        <v>10410.389375</v>
      </c>
    </row>
    <row r="714" customFormat="false" ht="15" hidden="false" customHeight="false" outlineLevel="0" collapsed="false">
      <c r="A714" s="5" t="s">
        <v>559</v>
      </c>
      <c r="B714" s="0" t="s">
        <v>248</v>
      </c>
      <c r="C714" s="9" t="n">
        <f aca="false">a25_oth</f>
        <v>1185.26006881198</v>
      </c>
      <c r="D714" s="9" t="n">
        <f aca="false">an_oth</f>
        <v>1396</v>
      </c>
      <c r="E714" s="9" t="n">
        <f aca="false">D714*(1+g_oth_A)</f>
        <v>1396</v>
      </c>
      <c r="F714" s="9" t="n">
        <f aca="false">E714*(1+g_oth_A)</f>
        <v>1396</v>
      </c>
      <c r="G714" s="9" t="n">
        <f aca="false">F714*(1+g_oth_A)</f>
        <v>1396</v>
      </c>
    </row>
    <row r="715" customFormat="false" ht="17.15" hidden="false" customHeight="false" outlineLevel="0" collapsed="false">
      <c r="A715" s="5" t="s">
        <v>560</v>
      </c>
      <c r="B715" s="0" t="s">
        <v>248</v>
      </c>
      <c r="C715" s="9" t="n">
        <v>0</v>
      </c>
      <c r="D715" s="9" t="n">
        <v>0</v>
      </c>
      <c r="E715" s="9" t="n">
        <f aca="false">-aff_hit*aff_A-0.2*cn_sh*(E712+E713)</f>
        <v>-2246.02607514548</v>
      </c>
      <c r="F715" s="9" t="n">
        <f aca="false">-aff_hit*aff_A-0.2*cn_sh*(F712+F713)</f>
        <v>-2562.45605141195</v>
      </c>
      <c r="G715" s="9" t="n">
        <f aca="false">-aff_hit*aff_A-0.2*cn_sh*(G712+G713)</f>
        <v>-2773.83413846083</v>
      </c>
      <c r="H715" s="5" t="s">
        <v>561</v>
      </c>
    </row>
    <row r="716" customFormat="false" ht="15" hidden="false" customHeight="false" outlineLevel="0" collapsed="false">
      <c r="A716" s="5" t="s">
        <v>450</v>
      </c>
      <c r="B716" s="0" t="s">
        <v>248</v>
      </c>
      <c r="C716" s="9" t="n">
        <f aca="false">C712+C713+C714+C715</f>
        <v>28368</v>
      </c>
      <c r="D716" s="9" t="n">
        <f aca="false">D712+D713+D714+D715</f>
        <v>34287</v>
      </c>
      <c r="E716" s="9" t="n">
        <f aca="false">E712+E713+E714+E715</f>
        <v>39511.6132552014</v>
      </c>
      <c r="F716" s="9" t="n">
        <f aca="false">F712+F713+F714+F715</f>
        <v>44881.5075459183</v>
      </c>
      <c r="G716" s="9" t="n">
        <f aca="false">G712+G713+G714+G715</f>
        <v>48468.6455162812</v>
      </c>
    </row>
    <row r="717" customFormat="false" ht="17.15" hidden="false" customHeight="false" outlineLevel="0" collapsed="false">
      <c r="A717" s="0" t="s">
        <v>456</v>
      </c>
      <c r="B717" s="0" t="s">
        <v>195</v>
      </c>
      <c r="C717" s="11" t="n">
        <f aca="false">a25_gp/a25_rev</f>
        <v>0.487833192329385</v>
      </c>
      <c r="D717" s="11" t="n">
        <f aca="false">an_gp/an_rev</f>
        <v>0.500418584303089</v>
      </c>
      <c r="E717" s="11" t="n">
        <f aca="false">1-(cF+cv*E716)/E716</f>
        <v>0.508394425717701</v>
      </c>
      <c r="F717" s="11" t="n">
        <f aca="false">1-(cF+cv*F716)/F716</f>
        <v>0.514656960485762</v>
      </c>
      <c r="G717" s="11" t="n">
        <f aca="false">1-(cF+cv*G716)/G716</f>
        <v>0.518067290235057</v>
      </c>
      <c r="H717" s="5" t="s">
        <v>562</v>
      </c>
    </row>
    <row r="718" customFormat="false" ht="17.15" hidden="false" customHeight="false" outlineLevel="0" collapsed="false">
      <c r="A718" s="0" t="s">
        <v>459</v>
      </c>
      <c r="B718" s="0" t="s">
        <v>248</v>
      </c>
      <c r="C718" s="9" t="n">
        <f aca="false">C716*C717</f>
        <v>13838.852</v>
      </c>
      <c r="D718" s="9" t="n">
        <f aca="false">D716*D717</f>
        <v>17157.852</v>
      </c>
      <c r="E718" s="9" t="n">
        <f aca="false">E716*E717</f>
        <v>20087.483930058</v>
      </c>
      <c r="F718" s="9" t="n">
        <f aca="false">F716*F717</f>
        <v>23098.5802556011</v>
      </c>
      <c r="G718" s="9" t="n">
        <f aca="false">G716*G717</f>
        <v>25110.0198439833</v>
      </c>
    </row>
    <row r="719" customFormat="false" ht="17.15" hidden="false" customHeight="false" outlineLevel="0" collapsed="false">
      <c r="A719" s="0" t="s">
        <v>563</v>
      </c>
      <c r="B719" s="0" t="s">
        <v>248</v>
      </c>
      <c r="C719" s="9" t="n">
        <f aca="false">opex25</f>
        <v>5276.852</v>
      </c>
      <c r="D719" s="9" t="n">
        <f aca="false">opex26</f>
        <v>5832.852</v>
      </c>
      <c r="E719" s="9" t="n">
        <f aca="false">oF+ov*E716</f>
        <v>6323.62492953066</v>
      </c>
      <c r="F719" s="9" t="n">
        <f aca="false">oF+ov*F716</f>
        <v>6828.04480208323</v>
      </c>
      <c r="G719" s="9" t="n">
        <f aca="false">oF+ov*G716</f>
        <v>7165.00184069139</v>
      </c>
      <c r="H719" s="5" t="s">
        <v>564</v>
      </c>
    </row>
    <row r="720" customFormat="false" ht="17.15" hidden="false" customHeight="false" outlineLevel="0" collapsed="false">
      <c r="A720" s="0" t="s">
        <v>461</v>
      </c>
      <c r="B720" s="0" t="s">
        <v>248</v>
      </c>
      <c r="C720" s="9" t="n">
        <f aca="false">C718-C719</f>
        <v>8562</v>
      </c>
      <c r="D720" s="9" t="n">
        <f aca="false">D718-D719</f>
        <v>11325</v>
      </c>
      <c r="E720" s="9" t="n">
        <f aca="false">E718-E719</f>
        <v>13763.8590005273</v>
      </c>
      <c r="F720" s="9" t="n">
        <f aca="false">F718-F719</f>
        <v>16270.5354535179</v>
      </c>
      <c r="G720" s="9" t="n">
        <f aca="false">G718-G719</f>
        <v>17945.0180032919</v>
      </c>
    </row>
    <row r="721" customFormat="false" ht="17.15" hidden="false" customHeight="false" outlineLevel="0" collapsed="false">
      <c r="A721" s="0" t="s">
        <v>540</v>
      </c>
      <c r="B721" s="0" t="s">
        <v>195</v>
      </c>
      <c r="C721" s="11" t="n">
        <f aca="false">C720/C716</f>
        <v>0.301818950930626</v>
      </c>
      <c r="D721" s="11" t="n">
        <f aca="false">D720/D716</f>
        <v>0.330300113745735</v>
      </c>
      <c r="E721" s="11" t="n">
        <f aca="false">E720/E716</f>
        <v>0.348349709530411</v>
      </c>
      <c r="F721" s="11" t="n">
        <f aca="false">F720/F716</f>
        <v>0.362522035091434</v>
      </c>
      <c r="G721" s="11" t="n">
        <f aca="false">G720/G716</f>
        <v>0.37023972533468</v>
      </c>
    </row>
    <row r="722" customFormat="false" ht="17.15" hidden="false" customHeight="false" outlineLevel="0" collapsed="false">
      <c r="A722" s="0" t="s">
        <v>466</v>
      </c>
      <c r="B722" s="0" t="s">
        <v>248</v>
      </c>
      <c r="C722" s="9" t="n">
        <f aca="false">a25_ni</f>
        <v>7607</v>
      </c>
      <c r="D722" s="9" t="n">
        <f aca="false">an_ni</f>
        <v>10179.92</v>
      </c>
      <c r="E722" s="9" t="n">
        <f aca="false">E720*nioi</f>
        <v>12228.6469769927</v>
      </c>
      <c r="F722" s="9" t="n">
        <f aca="false">F720*nioi</f>
        <v>14455.7303427833</v>
      </c>
      <c r="G722" s="9" t="n">
        <f aca="false">G720*nioi</f>
        <v>15943.442180687</v>
      </c>
    </row>
    <row r="723" customFormat="false" ht="15" hidden="false" customHeight="false" outlineLevel="0" collapsed="false">
      <c r="A723" s="5" t="s">
        <v>565</v>
      </c>
      <c r="B723" s="5" t="s">
        <v>324</v>
      </c>
      <c r="C723" s="23" t="n">
        <f aca="false">a25_sh</f>
        <v>808</v>
      </c>
      <c r="D723" s="23" t="n">
        <f aca="false">an_sh</f>
        <v>797.799373040752</v>
      </c>
      <c r="E723" s="23" t="n">
        <f aca="false">$D723*(1-bb)^1</f>
        <v>789.821379310345</v>
      </c>
      <c r="F723" s="23" t="n">
        <f aca="false">$D723*(1-bb)^2</f>
        <v>781.923165517241</v>
      </c>
      <c r="G723" s="23" t="n">
        <f aca="false">$D723*(1-bb)^3</f>
        <v>774.103933862069</v>
      </c>
    </row>
    <row r="724" customFormat="false" ht="17.15" hidden="false" customHeight="false" outlineLevel="0" collapsed="false">
      <c r="A724" s="0" t="s">
        <v>566</v>
      </c>
      <c r="B724" s="0" t="s">
        <v>337</v>
      </c>
      <c r="C724" s="14" t="n">
        <f aca="false">a25_eps</f>
        <v>9.42</v>
      </c>
      <c r="D724" s="14" t="n">
        <f aca="false">an_eps</f>
        <v>12.76</v>
      </c>
      <c r="E724" s="14" t="n">
        <f aca="false">E722/E723</f>
        <v>15.4828006652219</v>
      </c>
      <c r="F724" s="14" t="n">
        <f aca="false">F722/F723</f>
        <v>18.4874051317061</v>
      </c>
      <c r="G724" s="14" t="n">
        <f aca="false">G722/G723</f>
        <v>20.5959968465007</v>
      </c>
      <c r="H724" s="8" t="s">
        <v>567</v>
      </c>
    </row>
    <row r="725" customFormat="false" ht="17.15" hidden="false" customHeight="false" outlineLevel="0" collapsed="false">
      <c r="A725" s="5" t="s">
        <v>568</v>
      </c>
      <c r="B725" s="0" t="s">
        <v>195</v>
      </c>
      <c r="D725" s="11" t="n">
        <f aca="false">D712/1000/(D707+D708+D709)</f>
        <v>0.174088357854613</v>
      </c>
      <c r="E725" s="11" t="n">
        <f aca="false">E712/1000/(E707+E708+E709)</f>
        <v>0.174032095099019</v>
      </c>
      <c r="F725" s="11" t="n">
        <f aca="false">F712/1000/(F707+F708+F709)</f>
        <v>0.173968172468113</v>
      </c>
      <c r="G725" s="11" t="n">
        <f aca="false">G712/1000/(G707+G708+G709)</f>
        <v>0.17383613380168</v>
      </c>
      <c r="H725" s="5" t="s">
        <v>569</v>
      </c>
    </row>
    <row r="732" customFormat="false" ht="17.15" hidden="false" customHeight="false" outlineLevel="0" collapsed="false">
      <c r="A732" s="3" t="s">
        <v>882</v>
      </c>
    </row>
    <row r="733" customFormat="false" ht="15" hidden="false" customHeight="false" outlineLevel="0" collapsed="false">
      <c r="A733" s="6" t="s">
        <v>15</v>
      </c>
      <c r="B733" s="6" t="s">
        <v>16</v>
      </c>
      <c r="C733" s="15" t="s">
        <v>509</v>
      </c>
      <c r="D733" s="15" t="s">
        <v>510</v>
      </c>
      <c r="E733" s="15" t="s">
        <v>511</v>
      </c>
      <c r="F733" s="15" t="s">
        <v>512</v>
      </c>
      <c r="G733" s="15" t="s">
        <v>513</v>
      </c>
      <c r="H733" s="6" t="s">
        <v>514</v>
      </c>
    </row>
    <row r="734" customFormat="false" ht="17.15" hidden="false" customHeight="false" outlineLevel="0" collapsed="false">
      <c r="A734" s="1" t="s">
        <v>545</v>
      </c>
    </row>
    <row r="735" customFormat="false" ht="17.15" hidden="false" customHeight="false" outlineLevel="0" collapsed="false">
      <c r="A735" s="5" t="s">
        <v>546</v>
      </c>
      <c r="B735" s="0" t="s">
        <v>26</v>
      </c>
      <c r="C735" s="22" t="n">
        <f aca="false">laA_25+loA_25+ofA_25</f>
        <v>78.3481206981793</v>
      </c>
      <c r="D735" s="22" t="n">
        <f aca="false">laA_26+loA_26+ofA_26</f>
        <v>99.2871982981748</v>
      </c>
      <c r="E735" s="22" t="n">
        <f aca="false">laA_27+loA_27+ofA_27</f>
        <v>116.288709321091</v>
      </c>
      <c r="F735" s="22" t="n">
        <f aca="false">laA_28+loA_28+ofA_28</f>
        <v>130.886404842261</v>
      </c>
      <c r="G735" s="22" t="n">
        <f aca="false">laA_29+loA_29+ofA_29</f>
        <v>139.398079992203</v>
      </c>
    </row>
    <row r="736" customFormat="false" ht="17.15" hidden="false" customHeight="false" outlineLevel="0" collapsed="false">
      <c r="A736" s="0" t="s">
        <v>547</v>
      </c>
      <c r="B736" s="0" t="s">
        <v>26</v>
      </c>
      <c r="C736" s="22" t="n">
        <f aca="false">drA_25</f>
        <v>26.3761091658243</v>
      </c>
      <c r="D736" s="22" t="n">
        <f aca="false">drA_26</f>
        <v>39.3659468014757</v>
      </c>
      <c r="E736" s="22" t="n">
        <f aca="false">drA_27</f>
        <v>53.2587328153375</v>
      </c>
      <c r="F736" s="22" t="n">
        <f aca="false">drA_28</f>
        <v>59.5608998372386</v>
      </c>
      <c r="G736" s="22" t="n">
        <f aca="false">drA_29</f>
        <v>61.8312930912183</v>
      </c>
    </row>
    <row r="737" customFormat="false" ht="15" hidden="false" customHeight="false" outlineLevel="0" collapsed="false">
      <c r="A737" s="0" t="s">
        <v>548</v>
      </c>
      <c r="B737" s="0" t="s">
        <v>26</v>
      </c>
      <c r="C737" s="22" t="n">
        <f aca="false">ndA_25</f>
        <v>12.1726019800256</v>
      </c>
      <c r="D737" s="22" t="n">
        <f aca="false">ndA_26</f>
        <v>17.5039054704765</v>
      </c>
      <c r="E737" s="22" t="n">
        <f aca="false">ndA_27</f>
        <v>23.2480272411321</v>
      </c>
      <c r="F737" s="22" t="n">
        <f aca="false">ndA_28</f>
        <v>26.181321629459</v>
      </c>
      <c r="G737" s="22" t="n">
        <f aca="false">ndA_29</f>
        <v>27.674312771805</v>
      </c>
    </row>
    <row r="738" customFormat="false" ht="17.15" hidden="false" customHeight="false" outlineLevel="0" collapsed="false">
      <c r="A738" s="1" t="s">
        <v>549</v>
      </c>
    </row>
    <row r="739" customFormat="false" ht="17.15" hidden="false" customHeight="false" outlineLevel="0" collapsed="false">
      <c r="A739" s="5" t="s">
        <v>550</v>
      </c>
      <c r="B739" s="0" t="s">
        <v>26</v>
      </c>
      <c r="D739" s="22" t="n">
        <f aca="false">fyw*C735+(1-fyw)*D735</f>
        <v>95.7973520315089</v>
      </c>
      <c r="E739" s="22" t="n">
        <f aca="false">fyw*D735+(1-fyw)*E735</f>
        <v>113.455124150605</v>
      </c>
      <c r="F739" s="22" t="n">
        <f aca="false">fyw*E735+(1-fyw)*F735</f>
        <v>128.453455588732</v>
      </c>
      <c r="G739" s="22" t="n">
        <f aca="false">fyw*F735+(1-fyw)*G735</f>
        <v>137.979467467212</v>
      </c>
    </row>
    <row r="740" customFormat="false" ht="17.15" hidden="false" customHeight="false" outlineLevel="0" collapsed="false">
      <c r="A740" s="0" t="s">
        <v>551</v>
      </c>
      <c r="B740" s="0" t="s">
        <v>26</v>
      </c>
      <c r="D740" s="22" t="n">
        <f aca="false">fyw*C736+(1-fyw)*D736</f>
        <v>37.2009738622005</v>
      </c>
      <c r="E740" s="22" t="n">
        <f aca="false">fyw*D736+(1-fyw)*E736</f>
        <v>50.9432684796939</v>
      </c>
      <c r="F740" s="22" t="n">
        <f aca="false">fyw*E736+(1-fyw)*F736</f>
        <v>58.5105386669218</v>
      </c>
      <c r="G740" s="22" t="n">
        <f aca="false">fyw*F736+(1-fyw)*G736</f>
        <v>61.452894215555</v>
      </c>
    </row>
    <row r="741" customFormat="false" ht="15" hidden="false" customHeight="false" outlineLevel="0" collapsed="false">
      <c r="A741" s="0" t="s">
        <v>552</v>
      </c>
      <c r="B741" s="0" t="s">
        <v>26</v>
      </c>
      <c r="D741" s="22" t="n">
        <f aca="false">fyw*C737+(1-fyw)*D737</f>
        <v>16.6153548887347</v>
      </c>
      <c r="E741" s="22" t="n">
        <f aca="false">fyw*D737+(1-fyw)*E737</f>
        <v>22.2906736126895</v>
      </c>
      <c r="F741" s="22" t="n">
        <f aca="false">fyw*E737+(1-fyw)*F737</f>
        <v>25.6924392314045</v>
      </c>
      <c r="G741" s="22" t="n">
        <f aca="false">fyw*F737+(1-fyw)*G737</f>
        <v>27.4254809147473</v>
      </c>
    </row>
    <row r="742" customFormat="false" ht="17.15" hidden="false" customHeight="false" outlineLevel="0" collapsed="false">
      <c r="A742" s="5" t="s">
        <v>553</v>
      </c>
      <c r="B742" s="0" t="s">
        <v>242</v>
      </c>
      <c r="D742" s="21" t="n">
        <f aca="false">m_fl*D739/$D739+m_dr*D740/$D740+m_nd*D741/$D741</f>
        <v>1</v>
      </c>
      <c r="E742" s="21" t="n">
        <f aca="false">m_fl*E739/$D739+m_dr*E740/$D740+m_nd*E741/$D741</f>
        <v>1.2474041822294</v>
      </c>
      <c r="F742" s="21" t="n">
        <f aca="false">m_fl*F739/$D739+m_dr*F740/$D740+m_nd*F741/$D741</f>
        <v>1.42038896941297</v>
      </c>
      <c r="G742" s="21" t="n">
        <f aca="false">m_fl*G739/$D739+m_dr*G740/$D740+m_nd*G741/$D741</f>
        <v>1.51409392151355</v>
      </c>
      <c r="H742" s="8" t="s">
        <v>554</v>
      </c>
    </row>
    <row r="743" customFormat="false" ht="17.15" hidden="false" customHeight="false" outlineLevel="0" collapsed="false">
      <c r="A743" s="1" t="s">
        <v>555</v>
      </c>
    </row>
    <row r="744" customFormat="false" ht="17.15" hidden="false" customHeight="false" outlineLevel="0" collapsed="false">
      <c r="A744" s="5" t="s">
        <v>556</v>
      </c>
      <c r="B744" s="0" t="s">
        <v>248</v>
      </c>
      <c r="C744" s="9" t="n">
        <f aca="false">a25_ss</f>
        <v>21438.5432098765</v>
      </c>
      <c r="D744" s="9" t="n">
        <f aca="false">an_ss</f>
        <v>26046</v>
      </c>
      <c r="E744" s="9" t="n">
        <f aca="false">$D744*E742*sf</f>
        <v>32489.8893303468</v>
      </c>
      <c r="F744" s="9" t="n">
        <f aca="false">$D744*F742*sf</f>
        <v>36995.4510973303</v>
      </c>
      <c r="G744" s="9" t="n">
        <f aca="false">$D744*G742*sf</f>
        <v>39436.090279742</v>
      </c>
      <c r="H744" s="8" t="s">
        <v>557</v>
      </c>
    </row>
    <row r="745" customFormat="false" ht="17.15" hidden="false" customHeight="false" outlineLevel="0" collapsed="false">
      <c r="A745" s="0" t="s">
        <v>558</v>
      </c>
      <c r="B745" s="0" t="s">
        <v>248</v>
      </c>
      <c r="C745" s="9" t="n">
        <f aca="false">a25_ags</f>
        <v>5744.19672131148</v>
      </c>
      <c r="D745" s="9" t="n">
        <f aca="false">an_ags</f>
        <v>6845</v>
      </c>
      <c r="E745" s="9" t="n">
        <f aca="false">D745*(1+g_ags_A)</f>
        <v>7871.75</v>
      </c>
      <c r="F745" s="9" t="n">
        <f aca="false">E745*(1+g_ags_A)</f>
        <v>9052.5125</v>
      </c>
      <c r="G745" s="9" t="n">
        <f aca="false">F745*(1+g_ags_A)</f>
        <v>10410.389375</v>
      </c>
    </row>
    <row r="746" customFormat="false" ht="15" hidden="false" customHeight="false" outlineLevel="0" collapsed="false">
      <c r="A746" s="5" t="s">
        <v>559</v>
      </c>
      <c r="B746" s="0" t="s">
        <v>248</v>
      </c>
      <c r="C746" s="9" t="n">
        <f aca="false">a25_oth</f>
        <v>1185.26006881198</v>
      </c>
      <c r="D746" s="9" t="n">
        <f aca="false">an_oth</f>
        <v>1396</v>
      </c>
      <c r="E746" s="9" t="n">
        <f aca="false">D746*(1+g_oth_A)</f>
        <v>1396</v>
      </c>
      <c r="F746" s="9" t="n">
        <f aca="false">E746*(1+g_oth_A)</f>
        <v>1396</v>
      </c>
      <c r="G746" s="9" t="n">
        <f aca="false">F746*(1+g_oth_A)</f>
        <v>1396</v>
      </c>
    </row>
    <row r="747" customFormat="false" ht="17.15" hidden="false" customHeight="false" outlineLevel="0" collapsed="false">
      <c r="A747" s="5" t="s">
        <v>560</v>
      </c>
      <c r="B747" s="0" t="s">
        <v>248</v>
      </c>
      <c r="C747" s="9" t="n">
        <v>0</v>
      </c>
      <c r="D747" s="9" t="n">
        <v>0</v>
      </c>
      <c r="E747" s="9" t="n">
        <f aca="false">-aff_hit*aff_A-cn_cut_hi*cn_sh*(E744+E745)</f>
        <v>-4492.05215029096</v>
      </c>
      <c r="F747" s="9" t="n">
        <f aca="false">-aff_hit*aff_A-cn_cut_hi*cn_sh*(F744+F745)</f>
        <v>-5124.9121028239</v>
      </c>
      <c r="G747" s="9" t="n">
        <f aca="false">-aff_hit*aff_A-cn_cut_hi*cn_sh*(G744+G745)</f>
        <v>-5547.66827692166</v>
      </c>
      <c r="H747" s="5" t="s">
        <v>561</v>
      </c>
    </row>
    <row r="748" customFormat="false" ht="15" hidden="false" customHeight="false" outlineLevel="0" collapsed="false">
      <c r="A748" s="5" t="s">
        <v>450</v>
      </c>
      <c r="B748" s="0" t="s">
        <v>248</v>
      </c>
      <c r="C748" s="9" t="n">
        <f aca="false">C744+C745+C746+C747</f>
        <v>28368</v>
      </c>
      <c r="D748" s="9" t="n">
        <f aca="false">D744+D745+D746+D747</f>
        <v>34287</v>
      </c>
      <c r="E748" s="9" t="n">
        <f aca="false">E744+E745+E746+E747</f>
        <v>37265.5871800559</v>
      </c>
      <c r="F748" s="9" t="n">
        <f aca="false">F744+F745+F746+F747</f>
        <v>42319.0514945064</v>
      </c>
      <c r="G748" s="9" t="n">
        <f aca="false">G744+G745+G746+G747</f>
        <v>45694.8113778204</v>
      </c>
    </row>
    <row r="749" customFormat="false" ht="17.15" hidden="false" customHeight="false" outlineLevel="0" collapsed="false">
      <c r="A749" s="0" t="s">
        <v>456</v>
      </c>
      <c r="B749" s="0" t="s">
        <v>195</v>
      </c>
      <c r="C749" s="11" t="n">
        <f aca="false">a25_gp/a25_rev</f>
        <v>0.487833192329385</v>
      </c>
      <c r="D749" s="11" t="n">
        <f aca="false">an_gp/an_rev</f>
        <v>0.500418584303089</v>
      </c>
      <c r="E749" s="11" t="n">
        <f aca="false">1-(cF+cv*E748)/E748</f>
        <v>0.505239721292598</v>
      </c>
      <c r="F749" s="11" t="n">
        <f aca="false">1-(cF+cv*F748)/F748</f>
        <v>0.511866796838022</v>
      </c>
      <c r="G749" s="11" t="n">
        <f aca="false">1-(cF+cv*G748)/G748</f>
        <v>0.515477113915352</v>
      </c>
      <c r="H749" s="5" t="s">
        <v>562</v>
      </c>
    </row>
    <row r="750" customFormat="false" ht="17.15" hidden="false" customHeight="false" outlineLevel="0" collapsed="false">
      <c r="A750" s="0" t="s">
        <v>459</v>
      </c>
      <c r="B750" s="0" t="s">
        <v>248</v>
      </c>
      <c r="C750" s="9" t="n">
        <f aca="false">C748*C749</f>
        <v>13838.852</v>
      </c>
      <c r="D750" s="9" t="n">
        <f aca="false">D748*D749</f>
        <v>17157.852</v>
      </c>
      <c r="E750" s="9" t="n">
        <f aca="false">E748*E749</f>
        <v>18828.0548806564</v>
      </c>
      <c r="F750" s="9" t="n">
        <f aca="false">F748*F749</f>
        <v>21661.7173337163</v>
      </c>
      <c r="G750" s="9" t="n">
        <f aca="false">G748*G749</f>
        <v>23554.6294899452</v>
      </c>
    </row>
    <row r="751" customFormat="false" ht="17.15" hidden="false" customHeight="false" outlineLevel="0" collapsed="false">
      <c r="A751" s="0" t="s">
        <v>563</v>
      </c>
      <c r="B751" s="0" t="s">
        <v>248</v>
      </c>
      <c r="C751" s="9" t="n">
        <f aca="false">opex25</f>
        <v>5276.852</v>
      </c>
      <c r="D751" s="9" t="n">
        <f aca="false">opex26</f>
        <v>5832.852</v>
      </c>
      <c r="E751" s="9" t="n">
        <f aca="false">oF+ov*E748</f>
        <v>6112.64495017927</v>
      </c>
      <c r="F751" s="9" t="n">
        <f aca="false">oF+ov*F748</f>
        <v>6587.34104053819</v>
      </c>
      <c r="G751" s="9" t="n">
        <f aca="false">oF+ov*G748</f>
        <v>6904.44232371484</v>
      </c>
      <c r="H751" s="5" t="s">
        <v>564</v>
      </c>
    </row>
    <row r="752" customFormat="false" ht="17.15" hidden="false" customHeight="false" outlineLevel="0" collapsed="false">
      <c r="A752" s="0" t="s">
        <v>461</v>
      </c>
      <c r="B752" s="0" t="s">
        <v>248</v>
      </c>
      <c r="C752" s="9" t="n">
        <f aca="false">C750-C751</f>
        <v>8562</v>
      </c>
      <c r="D752" s="9" t="n">
        <f aca="false">D750-D751</f>
        <v>11325</v>
      </c>
      <c r="E752" s="9" t="n">
        <f aca="false">E750-E751</f>
        <v>12715.4099304772</v>
      </c>
      <c r="F752" s="9" t="n">
        <f aca="false">F750-F751</f>
        <v>15074.3762931781</v>
      </c>
      <c r="G752" s="9" t="n">
        <f aca="false">G750-G751</f>
        <v>16650.1871662304</v>
      </c>
    </row>
    <row r="753" customFormat="false" ht="17.15" hidden="false" customHeight="false" outlineLevel="0" collapsed="false">
      <c r="A753" s="0" t="s">
        <v>540</v>
      </c>
      <c r="B753" s="0" t="s">
        <v>195</v>
      </c>
      <c r="C753" s="11" t="n">
        <f aca="false">C752/C748</f>
        <v>0.301818950930626</v>
      </c>
      <c r="D753" s="11" t="n">
        <f aca="false">D752/D748</f>
        <v>0.330300113745735</v>
      </c>
      <c r="E753" s="11" t="n">
        <f aca="false">E752/E748</f>
        <v>0.34121050794236</v>
      </c>
      <c r="F753" s="11" t="n">
        <f aca="false">F752/F748</f>
        <v>0.356207801470573</v>
      </c>
      <c r="G753" s="11" t="n">
        <f aca="false">G752/G748</f>
        <v>0.364378069723517</v>
      </c>
    </row>
    <row r="754" customFormat="false" ht="17.15" hidden="false" customHeight="false" outlineLevel="0" collapsed="false">
      <c r="A754" s="0" t="s">
        <v>466</v>
      </c>
      <c r="B754" s="0" t="s">
        <v>248</v>
      </c>
      <c r="C754" s="9" t="n">
        <f aca="false">a25_ni</f>
        <v>7607</v>
      </c>
      <c r="D754" s="9" t="n">
        <f aca="false">an_ni</f>
        <v>10179.92</v>
      </c>
      <c r="E754" s="9" t="n">
        <f aca="false">E752*nioi</f>
        <v>11297.1412451693</v>
      </c>
      <c r="F754" s="9" t="n">
        <f aca="false">F752*nioi</f>
        <v>13392.9900096012</v>
      </c>
      <c r="G754" s="9" t="n">
        <f aca="false">G752*nioi</f>
        <v>14793.0359464511</v>
      </c>
    </row>
    <row r="755" customFormat="false" ht="15" hidden="false" customHeight="false" outlineLevel="0" collapsed="false">
      <c r="A755" s="5" t="s">
        <v>565</v>
      </c>
      <c r="B755" s="5" t="s">
        <v>324</v>
      </c>
      <c r="C755" s="23" t="n">
        <f aca="false">a25_sh</f>
        <v>808</v>
      </c>
      <c r="D755" s="23" t="n">
        <f aca="false">an_sh</f>
        <v>797.799373040752</v>
      </c>
      <c r="E755" s="23" t="n">
        <f aca="false">$D755*(1-bb)^1</f>
        <v>789.821379310345</v>
      </c>
      <c r="F755" s="23" t="n">
        <f aca="false">$D755*(1-bb)^2</f>
        <v>781.923165517241</v>
      </c>
      <c r="G755" s="23" t="n">
        <f aca="false">$D755*(1-bb)^3</f>
        <v>774.103933862069</v>
      </c>
    </row>
    <row r="756" customFormat="false" ht="17.15" hidden="false" customHeight="false" outlineLevel="0" collapsed="false">
      <c r="A756" s="0" t="s">
        <v>566</v>
      </c>
      <c r="B756" s="0" t="s">
        <v>337</v>
      </c>
      <c r="C756" s="14" t="n">
        <f aca="false">a25_eps</f>
        <v>9.42</v>
      </c>
      <c r="D756" s="14" t="n">
        <f aca="false">an_eps</f>
        <v>12.76</v>
      </c>
      <c r="E756" s="14" t="n">
        <f aca="false">E754/E755</f>
        <v>14.3034128235852</v>
      </c>
      <c r="F756" s="14" t="n">
        <f aca="false">F754/F755</f>
        <v>17.1282686077497</v>
      </c>
      <c r="G756" s="14" t="n">
        <f aca="false">G754/G755</f>
        <v>19.1098834398728</v>
      </c>
      <c r="H756" s="8" t="s">
        <v>567</v>
      </c>
    </row>
    <row r="757" customFormat="false" ht="17.15" hidden="false" customHeight="false" outlineLevel="0" collapsed="false">
      <c r="A757" s="5" t="s">
        <v>568</v>
      </c>
      <c r="B757" s="0" t="s">
        <v>195</v>
      </c>
      <c r="D757" s="11" t="n">
        <f aca="false">D744/1000/(D739+D740+D741)</f>
        <v>0.174088357854613</v>
      </c>
      <c r="E757" s="11" t="n">
        <f aca="false">E744/1000/(E739+E740+E741)</f>
        <v>0.174032095099019</v>
      </c>
      <c r="F757" s="11" t="n">
        <f aca="false">F744/1000/(F739+F740+F741)</f>
        <v>0.173968172468113</v>
      </c>
      <c r="G757" s="11" t="n">
        <f aca="false">G744/1000/(G739+G740+G741)</f>
        <v>0.17383613380168</v>
      </c>
      <c r="H757" s="5" t="s">
        <v>569</v>
      </c>
    </row>
    <row r="760" customFormat="false" ht="17.15" hidden="false" customHeight="false" outlineLevel="0" collapsed="false">
      <c r="A760" s="3" t="s">
        <v>883</v>
      </c>
    </row>
    <row r="761" customFormat="false" ht="17.15" hidden="false" customHeight="false" outlineLevel="0" collapsed="false">
      <c r="A761" s="6" t="s">
        <v>807</v>
      </c>
      <c r="B761" s="6" t="s">
        <v>808</v>
      </c>
      <c r="C761" s="15" t="s">
        <v>884</v>
      </c>
      <c r="D761" s="15" t="s">
        <v>885</v>
      </c>
      <c r="E761" s="6" t="s">
        <v>886</v>
      </c>
      <c r="F761" s="6" t="s">
        <v>811</v>
      </c>
    </row>
    <row r="762" customFormat="false" ht="17.15" hidden="false" customHeight="false" outlineLevel="0" collapsed="false">
      <c r="A762" s="5" t="s">
        <v>18</v>
      </c>
      <c r="B762" s="0" t="s">
        <v>887</v>
      </c>
      <c r="C762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252.909737668179</v>
      </c>
      <c r="D762" s="14" t="n">
        <f aca="false">Val!B132</f>
        <v>451.035272387886</v>
      </c>
      <c r="E762" s="14" t="n">
        <f aca="false">tp_w_dcf*C762+(1-tp_w_dcf)*D762</f>
        <v>351.972505028033</v>
      </c>
      <c r="F762" s="11" t="n">
        <f aca="false">E762/E$762-1</f>
        <v>0</v>
      </c>
    </row>
    <row r="763" customFormat="false" ht="17.15" hidden="false" customHeight="false" outlineLevel="0" collapsed="false">
      <c r="A763" s="5" t="s">
        <v>888</v>
      </c>
      <c r="B763" s="0" t="s">
        <v>889</v>
      </c>
      <c r="C763" s="14" t="n">
        <f aca="false">(tp_wA*(Val!B106*(1-MIN(tp_g/tp_roe,0.8))/(1+(tp_r+0.01))^1+Val!B107*(1-MIN(tp_g/tp_roe,0.8))/(1+(tp_r+0.01))^2+Val!B108*(1-MIN(tp_g/tp_roe,0.8))/(1+(tp_r+0.01))^3+Val!B109*(1-MIN(tp_g/tp_roe,0.8))/(1+(tp_r+0.01))^4+Val!B110*(1-MIN(tp_g/tp_roe,0.8))/(1+(tp_r+0.01))^5+Val!B111*(1-MIN(tp_g/tp_roe,0.8))/(1+(tp_r+0.01))^6+Val!B111*(1-MIN(tp_g/tp_roe,0.8))*(1+tp_g)/((tp_r+0.01)-tp_g)/(1+(tp_r+0.01))^6)+tp_wB*(Val!C106*(1-MIN(tp_g/tp_roe,0.8))/(1+(tp_r+0.01))^1+Val!C107*(1-MIN(tp_g/tp_roe,0.8))/(1+(tp_r+0.01))^2+Val!C108*(1-MIN(tp_g/tp_roe,0.8))/(1+(tp_r+0.01))^3+Val!C109*(1-MIN(tp_g/tp_roe,0.8))/(1+(tp_r+0.01))^4+Val!C110*(1-MIN(tp_g/tp_roe,0.8))/(1+(tp_r+0.01))^5+Val!C111*(1-MIN(tp_g/tp_roe,0.8))/(1+(tp_r+0.01))^6+Val!C111*(1-MIN(tp_g/tp_roe,0.8))*(1+tp_g)/((tp_r+0.01)-tp_g)/(1+(tp_r+0.01))^6)+tp_wC*(Val!D106*(1-MIN(tp_g/tp_roe,0.8))/(1+(tp_r+0.01))^1+Val!D107*(1-MIN(tp_g/tp_roe,0.8))/(1+(tp_r+0.01))^2+Val!D108*(1-MIN(tp_g/tp_roe,0.8))/(1+(tp_r+0.01))^3+Val!D109*(1-MIN(tp_g/tp_roe,0.8))/(1+(tp_r+0.01))^4+Val!D110*(1-MIN(tp_g/tp_roe,0.8))/(1+(tp_r+0.01))^5+Val!D111*(1-MIN(tp_g/tp_roe,0.8))/(1+(tp_r+0.01))^6+Val!D111*(1-MIN(tp_g/tp_roe,0.8))*(1+tp_g)/((tp_r+0.01)-tp_g)/(1+(tp_r+0.01))^6))*(1+(tp_r+0.01))</f>
        <v>219.439232620238</v>
      </c>
      <c r="D763" s="14" t="n">
        <f aca="false">Val!B132</f>
        <v>451.035272387886</v>
      </c>
      <c r="E763" s="14" t="n">
        <f aca="false">tp_w_dcf*C763+(1-tp_w_dcf)*D763</f>
        <v>335.237252504062</v>
      </c>
      <c r="F763" s="11" t="n">
        <f aca="false">E763/E$762-1</f>
        <v>-0.0475470449677248</v>
      </c>
    </row>
    <row r="764" customFormat="false" ht="17.15" hidden="false" customHeight="false" outlineLevel="0" collapsed="false">
      <c r="A764" s="5" t="s">
        <v>890</v>
      </c>
      <c r="B764" s="0" t="s">
        <v>891</v>
      </c>
      <c r="C764" s="14" t="n">
        <f aca="false">(tp_wA*(Val!B106*(1-MIN(tp_g/tp_roe,0.8))/(1+(tp_r-0.01))^1+Val!B107*(1-MIN(tp_g/tp_roe,0.8))/(1+(tp_r-0.01))^2+Val!B108*(1-MIN(tp_g/tp_roe,0.8))/(1+(tp_r-0.01))^3+Val!B109*(1-MIN(tp_g/tp_roe,0.8))/(1+(tp_r-0.01))^4+Val!B110*(1-MIN(tp_g/tp_roe,0.8))/(1+(tp_r-0.01))^5+Val!B111*(1-MIN(tp_g/tp_roe,0.8))/(1+(tp_r-0.01))^6+Val!B111*(1-MIN(tp_g/tp_roe,0.8))*(1+tp_g)/((tp_r-0.01)-tp_g)/(1+(tp_r-0.01))^6)+tp_wB*(Val!C106*(1-MIN(tp_g/tp_roe,0.8))/(1+(tp_r-0.01))^1+Val!C107*(1-MIN(tp_g/tp_roe,0.8))/(1+(tp_r-0.01))^2+Val!C108*(1-MIN(tp_g/tp_roe,0.8))/(1+(tp_r-0.01))^3+Val!C109*(1-MIN(tp_g/tp_roe,0.8))/(1+(tp_r-0.01))^4+Val!C110*(1-MIN(tp_g/tp_roe,0.8))/(1+(tp_r-0.01))^5+Val!C111*(1-MIN(tp_g/tp_roe,0.8))/(1+(tp_r-0.01))^6+Val!C111*(1-MIN(tp_g/tp_roe,0.8))*(1+tp_g)/((tp_r-0.01)-tp_g)/(1+(tp_r-0.01))^6)+tp_wC*(Val!D106*(1-MIN(tp_g/tp_roe,0.8))/(1+(tp_r-0.01))^1+Val!D107*(1-MIN(tp_g/tp_roe,0.8))/(1+(tp_r-0.01))^2+Val!D108*(1-MIN(tp_g/tp_roe,0.8))/(1+(tp_r-0.01))^3+Val!D109*(1-MIN(tp_g/tp_roe,0.8))/(1+(tp_r-0.01))^4+Val!D110*(1-MIN(tp_g/tp_roe,0.8))/(1+(tp_r-0.01))^5+Val!D111*(1-MIN(tp_g/tp_roe,0.8))/(1+(tp_r-0.01))^6+Val!D111*(1-MIN(tp_g/tp_roe,0.8))*(1+tp_g)/((tp_r-0.01)-tp_g)/(1+(tp_r-0.01))^6))*(1+(tp_r-0.01))</f>
        <v>299.740665199263</v>
      </c>
      <c r="D764" s="14" t="n">
        <f aca="false">Val!B132</f>
        <v>451.035272387886</v>
      </c>
      <c r="E764" s="14" t="n">
        <f aca="false">tp_w_dcf*C764+(1-tp_w_dcf)*D764</f>
        <v>375.387968793574</v>
      </c>
      <c r="F764" s="11" t="n">
        <f aca="false">E764/E$762-1</f>
        <v>0.0665264003041288</v>
      </c>
    </row>
    <row r="765" customFormat="false" ht="17.15" hidden="false" customHeight="false" outlineLevel="0" collapsed="false">
      <c r="A765" s="5" t="s">
        <v>892</v>
      </c>
      <c r="B765" s="0" t="s">
        <v>893</v>
      </c>
      <c r="C765" s="14" t="n">
        <f aca="false">(tp_wA*(Val!B106*(1-MIN((tp_g+0.01)/tp_roe,0.8))/(1+tp_r)^1+Val!B107*(1-MIN((tp_g+0.01)/tp_roe,0.8))/(1+tp_r)^2+Val!B108*(1-MIN((tp_g+0.01)/tp_roe,0.8))/(1+tp_r)^3+Val!B109*(1-MIN((tp_g+0.01)/tp_roe,0.8))/(1+tp_r)^4+Val!B110*(1-MIN((tp_g+0.01)/tp_roe,0.8))/(1+tp_r)^5+Val!B111*(1-MIN((tp_g+0.01)/tp_roe,0.8))/(1+tp_r)^6+Val!B111*(1-MIN((tp_g+0.01)/tp_roe,0.8))*(1+(tp_g+0.01))/(tp_r-(tp_g+0.01))/(1+tp_r)^6)+tp_wB*(Val!C106*(1-MIN((tp_g+0.01)/tp_roe,0.8))/(1+tp_r)^1+Val!C107*(1-MIN((tp_g+0.01)/tp_roe,0.8))/(1+tp_r)^2+Val!C108*(1-MIN((tp_g+0.01)/tp_roe,0.8))/(1+tp_r)^3+Val!C109*(1-MIN((tp_g+0.01)/tp_roe,0.8))/(1+tp_r)^4+Val!C110*(1-MIN((tp_g+0.01)/tp_roe,0.8))/(1+tp_r)^5+Val!C111*(1-MIN((tp_g+0.01)/tp_roe,0.8))/(1+tp_r)^6+Val!C111*(1-MIN((tp_g+0.01)/tp_roe,0.8))*(1+(tp_g+0.01))/(tp_r-(tp_g+0.01))/(1+tp_r)^6)+tp_wC*(Val!D106*(1-MIN((tp_g+0.01)/tp_roe,0.8))/(1+tp_r)^1+Val!D107*(1-MIN((tp_g+0.01)/tp_roe,0.8))/(1+tp_r)^2+Val!D108*(1-MIN((tp_g+0.01)/tp_roe,0.8))/(1+tp_r)^3+Val!D109*(1-MIN((tp_g+0.01)/tp_roe,0.8))/(1+tp_r)^4+Val!D110*(1-MIN((tp_g+0.01)/tp_roe,0.8))/(1+tp_r)^5+Val!D111*(1-MIN((tp_g+0.01)/tp_roe,0.8))/(1+tp_r)^6+Val!D111*(1-MIN((tp_g+0.01)/tp_roe,0.8))*(1+(tp_g+0.01))/(tp_r-(tp_g+0.01))/(1+tp_r)^6))*(1+tp_r)</f>
        <v>282.502957078055</v>
      </c>
      <c r="D765" s="14" t="n">
        <f aca="false">Val!B132</f>
        <v>451.035272387886</v>
      </c>
      <c r="E765" s="14" t="n">
        <f aca="false">tp_w_dcf*C765+(1-tp_w_dcf)*D765</f>
        <v>366.769114732971</v>
      </c>
      <c r="F765" s="11" t="n">
        <f aca="false">E765/E$762-1</f>
        <v>0.0420391067301118</v>
      </c>
    </row>
    <row r="766" customFormat="false" ht="17.15" hidden="false" customHeight="false" outlineLevel="0" collapsed="false">
      <c r="A766" s="5" t="s">
        <v>894</v>
      </c>
      <c r="B766" s="0" t="s">
        <v>895</v>
      </c>
      <c r="C766" s="14" t="n">
        <f aca="false">(tp_wA*(Val!B106*(1-MIN((tp_g-0.01)/tp_roe,0.8))/(1+tp_r)^1+Val!B107*(1-MIN((tp_g-0.01)/tp_roe,0.8))/(1+tp_r)^2+Val!B108*(1-MIN((tp_g-0.01)/tp_roe,0.8))/(1+tp_r)^3+Val!B109*(1-MIN((tp_g-0.01)/tp_roe,0.8))/(1+tp_r)^4+Val!B110*(1-MIN((tp_g-0.01)/tp_roe,0.8))/(1+tp_r)^5+Val!B111*(1-MIN((tp_g-0.01)/tp_roe,0.8))/(1+tp_r)^6+Val!B111*(1-MIN((tp_g-0.01)/tp_roe,0.8))*(1+(tp_g-0.01))/(tp_r-(tp_g-0.01))/(1+tp_r)^6)+tp_wB*(Val!C106*(1-MIN((tp_g-0.01)/tp_roe,0.8))/(1+tp_r)^1+Val!C107*(1-MIN((tp_g-0.01)/tp_roe,0.8))/(1+tp_r)^2+Val!C108*(1-MIN((tp_g-0.01)/tp_roe,0.8))/(1+tp_r)^3+Val!C109*(1-MIN((tp_g-0.01)/tp_roe,0.8))/(1+tp_r)^4+Val!C110*(1-MIN((tp_g-0.01)/tp_roe,0.8))/(1+tp_r)^5+Val!C111*(1-MIN((tp_g-0.01)/tp_roe,0.8))/(1+tp_r)^6+Val!C111*(1-MIN((tp_g-0.01)/tp_roe,0.8))*(1+(tp_g-0.01))/(tp_r-(tp_g-0.01))/(1+tp_r)^6)+tp_wC*(Val!D106*(1-MIN((tp_g-0.01)/tp_roe,0.8))/(1+tp_r)^1+Val!D107*(1-MIN((tp_g-0.01)/tp_roe,0.8))/(1+tp_r)^2+Val!D108*(1-MIN((tp_g-0.01)/tp_roe,0.8))/(1+tp_r)^3+Val!D109*(1-MIN((tp_g-0.01)/tp_roe,0.8))/(1+tp_r)^4+Val!D110*(1-MIN((tp_g-0.01)/tp_roe,0.8))/(1+tp_r)^5+Val!D111*(1-MIN((tp_g-0.01)/tp_roe,0.8))/(1+tp_r)^6+Val!D111*(1-MIN((tp_g-0.01)/tp_roe,0.8))*(1+(tp_g-0.01))/(tp_r-(tp_g-0.01))/(1+tp_r)^6))*(1+tp_r)</f>
        <v>232.277053458674</v>
      </c>
      <c r="D766" s="14" t="n">
        <f aca="false">Val!B132</f>
        <v>451.035272387886</v>
      </c>
      <c r="E766" s="14" t="n">
        <f aca="false">tp_w_dcf*C766+(1-tp_w_dcf)*D766</f>
        <v>341.65616292328</v>
      </c>
      <c r="F766" s="11" t="n">
        <f aca="false">E766/E$762-1</f>
        <v>-0.0293100795016092</v>
      </c>
    </row>
    <row r="767" customFormat="false" ht="17.15" hidden="false" customHeight="false" outlineLevel="0" collapsed="false">
      <c r="A767" s="0" t="s">
        <v>896</v>
      </c>
      <c r="B767" s="0" t="s">
        <v>897</v>
      </c>
      <c r="C767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252.909737668179</v>
      </c>
      <c r="D767" s="14" t="n">
        <f aca="false">Val!B132</f>
        <v>451.035272387886</v>
      </c>
      <c r="E767" s="14" t="n">
        <f aca="false">0.4*C767+(1-0.4)*D767</f>
        <v>371.785058500003</v>
      </c>
      <c r="F767" s="11" t="n">
        <f aca="false">E767/E$762-1</f>
        <v>0.0562900601295342</v>
      </c>
    </row>
    <row r="768" customFormat="false" ht="17.15" hidden="false" customHeight="false" outlineLevel="0" collapsed="false">
      <c r="A768" s="0" t="s">
        <v>898</v>
      </c>
      <c r="B768" s="0" t="s">
        <v>899</v>
      </c>
      <c r="C768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252.909737668179</v>
      </c>
      <c r="D768" s="14" t="n">
        <f aca="false">Val!B132</f>
        <v>451.035272387886</v>
      </c>
      <c r="E768" s="14" t="n">
        <f aca="false">0.8*C768+(1-0.8)*D768</f>
        <v>292.53484461212</v>
      </c>
      <c r="F768" s="11" t="n">
        <f aca="false">E768/E$762-1</f>
        <v>-0.168870180388603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900</v>
      </c>
    </row>
    <row r="2" customFormat="false" ht="17.15" hidden="false" customHeight="false" outlineLevel="0" collapsed="false">
      <c r="A2" s="5" t="s">
        <v>901</v>
      </c>
      <c r="B2" s="0" t="s">
        <v>902</v>
      </c>
    </row>
    <row r="3" customFormat="false" ht="17.15" hidden="false" customHeight="false" outlineLevel="0" collapsed="false">
      <c r="A3" s="5" t="s">
        <v>903</v>
      </c>
      <c r="B3" s="0" t="s">
        <v>904</v>
      </c>
    </row>
    <row r="4" customFormat="false" ht="17.15" hidden="false" customHeight="false" outlineLevel="0" collapsed="false">
      <c r="A4" s="5" t="s">
        <v>905</v>
      </c>
      <c r="B4" s="0" t="s">
        <v>906</v>
      </c>
    </row>
    <row r="5" customFormat="false" ht="17.15" hidden="false" customHeight="false" outlineLevel="0" collapsed="false">
      <c r="A5" s="5" t="s">
        <v>907</v>
      </c>
      <c r="B5" s="0" t="s">
        <v>908</v>
      </c>
    </row>
    <row r="6" customFormat="false" ht="17.15" hidden="false" customHeight="false" outlineLevel="0" collapsed="false">
      <c r="A6" s="5" t="s">
        <v>909</v>
      </c>
      <c r="B6" s="0" t="s">
        <v>910</v>
      </c>
    </row>
    <row r="7" customFormat="false" ht="17.15" hidden="false" customHeight="false" outlineLevel="0" collapsed="false">
      <c r="A7" s="5" t="s">
        <v>911</v>
      </c>
      <c r="B7" s="0" t="s">
        <v>912</v>
      </c>
    </row>
    <row r="8" customFormat="false" ht="17.15" hidden="false" customHeight="false" outlineLevel="0" collapsed="false">
      <c r="A8" s="5" t="s">
        <v>913</v>
      </c>
      <c r="B8" s="0" t="s">
        <v>914</v>
      </c>
    </row>
    <row r="9" customFormat="false" ht="17.15" hidden="false" customHeight="false" outlineLevel="0" collapsed="false">
      <c r="A9" s="5" t="s">
        <v>915</v>
      </c>
      <c r="B9" s="0" t="s">
        <v>916</v>
      </c>
    </row>
    <row r="10" customFormat="false" ht="17.15" hidden="false" customHeight="false" outlineLevel="0" collapsed="false">
      <c r="A10" s="5" t="s">
        <v>917</v>
      </c>
      <c r="B10" s="0" t="s">
        <v>918</v>
      </c>
    </row>
    <row r="11" customFormat="false" ht="17.15" hidden="false" customHeight="false" outlineLevel="0" collapsed="false">
      <c r="A11" s="5" t="s">
        <v>919</v>
      </c>
      <c r="B11" s="0" t="s">
        <v>920</v>
      </c>
    </row>
    <row r="12" customFormat="false" ht="17.15" hidden="false" customHeight="false" outlineLevel="0" collapsed="false">
      <c r="A12" s="5" t="s">
        <v>921</v>
      </c>
      <c r="B12" s="0" t="s">
        <v>922</v>
      </c>
    </row>
    <row r="13" customFormat="false" ht="17.15" hidden="false" customHeight="false" outlineLevel="0" collapsed="false">
      <c r="A13" s="5" t="s">
        <v>923</v>
      </c>
      <c r="B13" s="0" t="s">
        <v>924</v>
      </c>
    </row>
    <row r="14" customFormat="false" ht="17.15" hidden="false" customHeight="false" outlineLevel="0" collapsed="false">
      <c r="A14" s="0" t="s">
        <v>925</v>
      </c>
      <c r="B14" s="0" t="s">
        <v>926</v>
      </c>
    </row>
    <row r="15" customFormat="false" ht="17.15" hidden="false" customHeight="false" outlineLevel="0" collapsed="false">
      <c r="A15" s="0" t="s">
        <v>927</v>
      </c>
      <c r="B15" s="0" t="s">
        <v>928</v>
      </c>
    </row>
    <row r="16" customFormat="false" ht="17.15" hidden="false" customHeight="false" outlineLevel="0" collapsed="false">
      <c r="A16" s="0" t="s">
        <v>929</v>
      </c>
      <c r="B16" s="0" t="s">
        <v>930</v>
      </c>
    </row>
    <row r="17" customFormat="false" ht="17.15" hidden="false" customHeight="false" outlineLevel="0" collapsed="false">
      <c r="A17" s="0" t="s">
        <v>931</v>
      </c>
      <c r="B17" s="0" t="s">
        <v>932</v>
      </c>
    </row>
    <row r="18" customFormat="false" ht="17.15" hidden="false" customHeight="false" outlineLevel="0" collapsed="false">
      <c r="A18" s="0" t="s">
        <v>933</v>
      </c>
      <c r="B18" s="0" t="s">
        <v>934</v>
      </c>
    </row>
    <row r="19" customFormat="false" ht="17.15" hidden="false" customHeight="false" outlineLevel="0" collapsed="false">
      <c r="A19" s="0" t="s">
        <v>935</v>
      </c>
      <c r="B19" s="0" t="s">
        <v>936</v>
      </c>
    </row>
    <row r="20" customFormat="false" ht="17.15" hidden="false" customHeight="false" outlineLevel="0" collapsed="false">
      <c r="A20" s="0" t="s">
        <v>937</v>
      </c>
      <c r="B20" s="0" t="s">
        <v>938</v>
      </c>
    </row>
    <row r="21" customFormat="false" ht="17.15" hidden="false" customHeight="false" outlineLevel="0" collapsed="false">
      <c r="A21" s="0" t="s">
        <v>939</v>
      </c>
      <c r="B21" s="0" t="s">
        <v>940</v>
      </c>
    </row>
    <row r="22" customFormat="false" ht="17.15" hidden="false" customHeight="false" outlineLevel="0" collapsed="false">
      <c r="A22" s="0" t="s">
        <v>941</v>
      </c>
      <c r="B22" s="0" t="s">
        <v>942</v>
      </c>
    </row>
    <row r="23" customFormat="false" ht="17.15" hidden="false" customHeight="false" outlineLevel="0" collapsed="false">
      <c r="A23" s="0" t="s">
        <v>943</v>
      </c>
      <c r="B23" s="0" t="s">
        <v>944</v>
      </c>
    </row>
    <row r="24" customFormat="false" ht="17.15" hidden="false" customHeight="false" outlineLevel="0" collapsed="false">
      <c r="A24" s="0" t="s">
        <v>945</v>
      </c>
      <c r="B24" s="0" t="s">
        <v>946</v>
      </c>
    </row>
    <row r="25" customFormat="false" ht="17.15" hidden="false" customHeight="false" outlineLevel="0" collapsed="false">
      <c r="A25" s="0" t="s">
        <v>947</v>
      </c>
      <c r="B25" s="0" t="s">
        <v>948</v>
      </c>
    </row>
    <row r="26" customFormat="false" ht="17.15" hidden="false" customHeight="false" outlineLevel="0" collapsed="false">
      <c r="A26" s="5" t="s">
        <v>949</v>
      </c>
    </row>
    <row r="27" customFormat="false" ht="15" hidden="false" customHeight="false" outlineLevel="0" collapsed="false">
      <c r="A27" s="0" t="s">
        <v>950</v>
      </c>
      <c r="B27" s="5" t="s">
        <v>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2026-10-25T04:11:42Z</dcterms:created>
  <dc:creator>openpyxl</dc:creator>
  <dc:description/>
  <dc:language>en-US</dc:language>
  <cp:lastModifiedBy/>
  <dcterms:modified xsi:type="dcterms:W3CDTF">2026-10-25T04:11:43Z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