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gs" vbProcedure="false">Q!$F$5</definedName>
    <definedName function="false" hidden="false" name="a25_eps" vbProcedure="false">Q!$F$15</definedName>
    <definedName function="false" hidden="false" name="a25_gp" vbProcedure="false">Q!$F$10</definedName>
    <definedName function="false" hidden="false" name="a25_ni" vbProcedure="false">Q!$F$13</definedName>
    <definedName function="false" hidden="false" name="a25_oi" vbProcedure="false">Q!$F$11</definedName>
    <definedName function="false" hidden="false" name="a25_oth" vbProcedure="false">Q!$F$6</definedName>
    <definedName function="false" hidden="false" name="a25_rev" vbProcedure="false">Q!$F$7</definedName>
    <definedName function="false" hidden="false" name="a25_sh" vbProcedure="false">Q!$F$14</definedName>
    <definedName function="false" hidden="false" name="a25_ss" vbProcedure="false">Q!$F$4</definedName>
    <definedName function="false" hidden="false" name="aff_A" vbProcedure="false">In!$E$96</definedName>
    <definedName function="false" hidden="false" name="aff_B" vbProcedure="false">In!$E$97</definedName>
    <definedName function="false" hidden="false" name="aff_C" vbProcedure="false">In!$E$98</definedName>
    <definedName function="false" hidden="false" name="aff_hit" vbProcedure="false">In!$E$95</definedName>
    <definedName function="false" hidden="false" name="aff_hit_hi" vbProcedure="false">In!$F$95</definedName>
    <definedName function="false" hidden="false" name="aff_hit_lo" vbProcedure="false">In!$D$95</definedName>
    <definedName function="false" hidden="false" name="ai_inc27" vbProcedure="false">In!$E$85</definedName>
    <definedName function="false" hidden="false" name="an_ags" vbProcedure="false">Q!$K$5</definedName>
    <definedName function="false" hidden="false" name="an_eps" vbProcedure="false">Q!$K$15</definedName>
    <definedName function="false" hidden="false" name="an_gp" vbProcedure="false">Q!$K$10</definedName>
    <definedName function="false" hidden="false" name="an_ni" vbProcedure="false">Q!$K$13</definedName>
    <definedName function="false" hidden="false" name="an_oi" vbProcedure="false">Q!$K$11</definedName>
    <definedName function="false" hidden="false" name="an_opx" vbProcedure="false">Q!$K$12</definedName>
    <definedName function="false" hidden="false" name="an_oth" vbProcedure="false">Q!$K$6</definedName>
    <definedName function="false" hidden="false" name="an_rev" vbProcedure="false">Q!$K$7</definedName>
    <definedName function="false" hidden="false" name="an_sh" vbProcedure="false">Q!$K$14</definedName>
    <definedName function="false" hidden="false" name="an_ss" vbProcedure="false">Q!$K$4</definedName>
    <definedName function="false" hidden="false" name="bb" vbProcedure="false">In!$E$121</definedName>
    <definedName function="false" hidden="false" name="bb_hi" vbProcedure="false">In!$F$121</definedName>
    <definedName function="false" hidden="false" name="bb_lo" vbProcedure="false">In!$D$121</definedName>
    <definedName function="false" hidden="false" name="cF" vbProcedure="false">In!$E$112</definedName>
    <definedName function="false" hidden="false" name="cn_cut" vbProcedure="false">In!$E$100</definedName>
    <definedName function="false" hidden="false" name="cn_cut_hi" vbProcedure="false">In!$F$100</definedName>
    <definedName function="false" hidden="false" name="cn_cut_lo" vbProcedure="false">In!$D$100</definedName>
    <definedName function="false" hidden="false" name="cn_sh" vbProcedure="false">In!$E$99</definedName>
    <definedName function="false" hidden="false" name="cogs25" vbProcedure="false">In!$E$109</definedName>
    <definedName function="false" hidden="false" name="cogs26" vbProcedure="false">In!$E$110</definedName>
    <definedName function="false" hidden="false" name="cons_eps26" vbProcedure="false">In!$E$133</definedName>
    <definedName function="false" hidden="false" name="cons_eps27" vbProcedure="false">In!$E$135</definedName>
    <definedName function="false" hidden="false" name="cons_feps" vbProcedure="false">In!$E$153</definedName>
    <definedName function="false" hidden="false" name="cons_rev26" vbProcedure="false">In!$E$132</definedName>
    <definedName function="false" hidden="false" name="cons_rev27" vbProcedure="false">In!$E$134</definedName>
    <definedName function="false" hidden="false" name="cons_tp" vbProcedure="false">In!$E$152</definedName>
    <definedName function="false" hidden="false" name="co_ai27" vbProcedure="false">In!$E$86</definedName>
    <definedName function="false" hidden="false" name="cv" vbProcedure="false">In!$E$111</definedName>
    <definedName function="false" hidden="false" name="drA_25" vbProcedure="false">In!$E$20</definedName>
    <definedName function="false" hidden="false" name="drA_26" vbProcedure="false">In!$E$21</definedName>
    <definedName function="false" hidden="false" name="drA_27" vbProcedure="false">In!$E$22</definedName>
    <definedName function="false" hidden="false" name="drA_28" vbProcedure="false">In!$E$23</definedName>
    <definedName function="false" hidden="false" name="drA_29" vbProcedure="false">In!$E$24</definedName>
    <definedName function="false" hidden="false" name="drB_25" vbProcedure="false">In!$E$45</definedName>
    <definedName function="false" hidden="false" name="drB_26" vbProcedure="false">In!$E$46</definedName>
    <definedName function="false" hidden="false" name="drB_27" vbProcedure="false">In!$E$47</definedName>
    <definedName function="false" hidden="false" name="drB_28" vbProcedure="false">In!$E$48</definedName>
    <definedName function="false" hidden="false" name="drB_29" vbProcedure="false">In!$E$49</definedName>
    <definedName function="false" hidden="false" name="drC_25" vbProcedure="false">In!$E$70</definedName>
    <definedName function="false" hidden="false" name="drC_26" vbProcedure="false">In!$E$71</definedName>
    <definedName function="false" hidden="false" name="drC_27" vbProcedure="false">In!$E$72</definedName>
    <definedName function="false" hidden="false" name="drC_28" vbProcedure="false">In!$E$73</definedName>
    <definedName function="false" hidden="false" name="drC_29" vbProcedure="false">In!$E$74</definedName>
    <definedName function="false" hidden="false" name="fyw" vbProcedure="false">In!$E$80</definedName>
    <definedName function="false" hidden="false" name="fyw_hi" vbProcedure="false">In!$F$80</definedName>
    <definedName function="false" hidden="false" name="fyw_lo" vbProcedure="false">In!$D$80</definedName>
    <definedName function="false" hidden="false" name="g_ags_A" vbProcedure="false">In!$E$102</definedName>
    <definedName function="false" hidden="false" name="g_ags_A_hi" vbProcedure="false">In!$F$102</definedName>
    <definedName function="false" hidden="false" name="g_ags_A_lo" vbProcedure="false">In!$D$102</definedName>
    <definedName function="false" hidden="false" name="g_ags_B" vbProcedure="false">In!$E$103</definedName>
    <definedName function="false" hidden="false" name="g_ags_B_hi" vbProcedure="false">In!$F$103</definedName>
    <definedName function="false" hidden="false" name="g_ags_B_lo" vbProcedure="false">In!$D$103</definedName>
    <definedName function="false" hidden="false" name="g_ags_C" vbProcedure="false">In!$E$104</definedName>
    <definedName function="false" hidden="false" name="g_ags_C_hi" vbProcedure="false">In!$F$104</definedName>
    <definedName function="false" hidden="false" name="g_ags_C_lo" vbProcedure="false">In!$D$104</definedName>
    <definedName function="false" hidden="false" name="g_ags_q4" vbProcedure="false">In!$E$126</definedName>
    <definedName function="false" hidden="false" name="g_eps_q4" vbProcedure="false">In!$E$124</definedName>
    <definedName function="false" hidden="false" name="g_eps_q4_hi" vbProcedure="false">In!$F$124</definedName>
    <definedName function="false" hidden="false" name="g_eps_q4_lo" vbProcedure="false">In!$D$124</definedName>
    <definedName function="false" hidden="false" name="g_gm_q4" vbProcedure="false">In!$E$128</definedName>
    <definedName function="false" hidden="false" name="g_opx_q4" vbProcedure="false">In!$E$129</definedName>
    <definedName function="false" hidden="false" name="g_oth_A" vbProcedure="false">In!$E$105</definedName>
    <definedName function="false" hidden="false" name="g_oth_A_hi" vbProcedure="false">In!$F$105</definedName>
    <definedName function="false" hidden="false" name="g_oth_A_lo" vbProcedure="false">In!$D$105</definedName>
    <definedName function="false" hidden="false" name="g_oth_B" vbProcedure="false">In!$E$106</definedName>
    <definedName function="false" hidden="false" name="g_oth_B_hi" vbProcedure="false">In!$F$106</definedName>
    <definedName function="false" hidden="false" name="g_oth_B_lo" vbProcedure="false">In!$D$106</definedName>
    <definedName function="false" hidden="false" name="g_oth_C" vbProcedure="false">In!$E$107</definedName>
    <definedName function="false" hidden="false" name="g_oth_C_hi" vbProcedure="false">In!$F$107</definedName>
    <definedName function="false" hidden="false" name="g_oth_C_lo" vbProcedure="false">In!$D$107</definedName>
    <definedName function="false" hidden="false" name="g_oth_q4" vbProcedure="false">In!$E$127</definedName>
    <definedName function="false" hidden="false" name="g_rev_q4" vbProcedure="false">In!$E$123</definedName>
    <definedName function="false" hidden="false" name="g_rev_q4_hi" vbProcedure="false">In!$F$123</definedName>
    <definedName function="false" hidden="false" name="g_rev_q4_lo" vbProcedure="false">In!$D$123</definedName>
    <definedName function="false" hidden="false" name="g_ss_q4" vbProcedure="false">In!$E$125</definedName>
    <definedName function="false" hidden="false" name="laA_25" vbProcedure="false">In!$E$5</definedName>
    <definedName function="false" hidden="false" name="laA_26" vbProcedure="false">In!$E$6</definedName>
    <definedName function="false" hidden="false" name="laA_27" vbProcedure="false">In!$E$7</definedName>
    <definedName function="false" hidden="false" name="laA_28" vbProcedure="false">In!$E$8</definedName>
    <definedName function="false" hidden="false" name="laA_29" vbProcedure="false">In!$E$9</definedName>
    <definedName function="false" hidden="false" name="laB_25" vbProcedure="false">In!$E$30</definedName>
    <definedName function="false" hidden="false" name="laB_26" vbProcedure="false">In!$E$31</definedName>
    <definedName function="false" hidden="false" name="laB_27" vbProcedure="false">In!$E$32</definedName>
    <definedName function="false" hidden="false" name="laB_28" vbProcedure="false">In!$E$33</definedName>
    <definedName function="false" hidden="false" name="laB_29" vbProcedure="false">In!$E$34</definedName>
    <definedName function="false" hidden="false" name="laC_25" vbProcedure="false">In!$E$55</definedName>
    <definedName function="false" hidden="false" name="laC_26" vbProcedure="false">In!$E$56</definedName>
    <definedName function="false" hidden="false" name="laC_27" vbProcedure="false">In!$E$57</definedName>
    <definedName function="false" hidden="false" name="laC_28" vbProcedure="false">In!$E$58</definedName>
    <definedName function="false" hidden="false" name="laC_29" vbProcedure="false">In!$E$59</definedName>
    <definedName function="false" hidden="false" name="loA_25" vbProcedure="false">In!$E$10</definedName>
    <definedName function="false" hidden="false" name="loA_26" vbProcedure="false">In!$E$11</definedName>
    <definedName function="false" hidden="false" name="loA_27" vbProcedure="false">In!$E$12</definedName>
    <definedName function="false" hidden="false" name="loA_28" vbProcedure="false">In!$E$13</definedName>
    <definedName function="false" hidden="false" name="loA_29" vbProcedure="false">In!$E$14</definedName>
    <definedName function="false" hidden="false" name="loB_25" vbProcedure="false">In!$E$35</definedName>
    <definedName function="false" hidden="false" name="loB_26" vbProcedure="false">In!$E$36</definedName>
    <definedName function="false" hidden="false" name="loB_27" vbProcedure="false">In!$E$37</definedName>
    <definedName function="false" hidden="false" name="loB_28" vbProcedure="false">In!$E$38</definedName>
    <definedName function="false" hidden="false" name="loB_29" vbProcedure="false">In!$E$39</definedName>
    <definedName function="false" hidden="false" name="loC_25" vbProcedure="false">In!$E$60</definedName>
    <definedName function="false" hidden="false" name="loC_26" vbProcedure="false">In!$E$61</definedName>
    <definedName function="false" hidden="false" name="loC_27" vbProcedure="false">In!$E$62</definedName>
    <definedName function="false" hidden="false" name="loC_28" vbProcedure="false">In!$E$63</definedName>
    <definedName function="false" hidden="false" name="loC_29" vbProcedure="false">In!$E$64</definedName>
    <definedName function="false" hidden="false" name="m_dr" vbProcedure="false">In!$E$90</definedName>
    <definedName function="false" hidden="false" name="m_dr_hi" vbProcedure="false">In!$F$90</definedName>
    <definedName function="false" hidden="false" name="m_dr_lo" vbProcedure="false">In!$D$90</definedName>
    <definedName function="false" hidden="false" name="m_fl" vbProcedure="false">In!$E$92</definedName>
    <definedName function="false" hidden="false" name="m_fl_hi" vbProcedure="false">In!$F$92</definedName>
    <definedName function="false" hidden="false" name="m_fl_lo" vbProcedure="false">In!$D$92</definedName>
    <definedName function="false" hidden="false" name="m_nd" vbProcedure="false">In!$E$91</definedName>
    <definedName function="false" hidden="false" name="ndA_25" vbProcedure="false">In!$E$25</definedName>
    <definedName function="false" hidden="false" name="ndA_26" vbProcedure="false">In!$E$26</definedName>
    <definedName function="false" hidden="false" name="ndA_27" vbProcedure="false">In!$E$27</definedName>
    <definedName function="false" hidden="false" name="ndA_28" vbProcedure="false">In!$E$28</definedName>
    <definedName function="false" hidden="false" name="ndA_29" vbProcedure="false">In!$E$29</definedName>
    <definedName function="false" hidden="false" name="ndB_25" vbProcedure="false">In!$E$50</definedName>
    <definedName function="false" hidden="false" name="ndB_26" vbProcedure="false">In!$E$51</definedName>
    <definedName function="false" hidden="false" name="ndB_27" vbProcedure="false">In!$E$52</definedName>
    <definedName function="false" hidden="false" name="ndB_28" vbProcedure="false">In!$E$53</definedName>
    <definedName function="false" hidden="false" name="ndB_29" vbProcedure="false">In!$E$54</definedName>
    <definedName function="false" hidden="false" name="ndC_25" vbProcedure="false">In!$E$75</definedName>
    <definedName function="false" hidden="false" name="ndC_26" vbProcedure="false">In!$E$76</definedName>
    <definedName function="false" hidden="false" name="ndC_27" vbProcedure="false">In!$E$77</definedName>
    <definedName function="false" hidden="false" name="ndC_28" vbProcedure="false">In!$E$78</definedName>
    <definedName function="false" hidden="false" name="ndC_29" vbProcedure="false">In!$E$79</definedName>
    <definedName function="false" hidden="false" name="nim10" vbProcedure="false">In!$E$151</definedName>
    <definedName function="false" hidden="false" name="nioi" vbProcedure="false">In!$E$119</definedName>
    <definedName function="false" hidden="false" name="nioi_hi" vbProcedure="false">In!$F$119</definedName>
    <definedName function="false" hidden="false" name="nioi_lo" vbProcedure="false">In!$D$119</definedName>
    <definedName function="false" hidden="false" name="oF" vbProcedure="false">In!$E$117</definedName>
    <definedName function="false" hidden="false" name="ofA_25" vbProcedure="false">In!$E$15</definedName>
    <definedName function="false" hidden="false" name="ofA_26" vbProcedure="false">In!$E$16</definedName>
    <definedName function="false" hidden="false" name="ofA_27" vbProcedure="false">In!$E$17</definedName>
    <definedName function="false" hidden="false" name="ofA_28" vbProcedure="false">In!$E$18</definedName>
    <definedName function="false" hidden="false" name="ofA_29" vbProcedure="false">In!$E$19</definedName>
    <definedName function="false" hidden="false" name="ofB_25" vbProcedure="false">In!$E$40</definedName>
    <definedName function="false" hidden="false" name="ofB_26" vbProcedure="false">In!$E$41</definedName>
    <definedName function="false" hidden="false" name="ofB_27" vbProcedure="false">In!$E$42</definedName>
    <definedName function="false" hidden="false" name="ofB_28" vbProcedure="false">In!$E$43</definedName>
    <definedName function="false" hidden="false" name="ofB_29" vbProcedure="false">In!$E$44</definedName>
    <definedName function="false" hidden="false" name="ofC_25" vbProcedure="false">In!$E$65</definedName>
    <definedName function="false" hidden="false" name="ofC_26" vbProcedure="false">In!$E$66</definedName>
    <definedName function="false" hidden="false" name="ofC_27" vbProcedure="false">In!$E$67</definedName>
    <definedName function="false" hidden="false" name="ofC_28" vbProcedure="false">In!$E$68</definedName>
    <definedName function="false" hidden="false" name="ofC_29" vbProcedure="false">In!$E$69</definedName>
    <definedName function="false" hidden="false" name="opex25" vbProcedure="false">In!$E$114</definedName>
    <definedName function="false" hidden="false" name="opex26" vbProcedure="false">In!$E$115</definedName>
    <definedName function="false" hidden="false" name="ov" vbProcedure="false">In!$E$116</definedName>
    <definedName function="false" hidden="false" name="pe_mid" vbProcedure="false">Val!$B$36</definedName>
    <definedName function="false" hidden="false" name="pe_peak" vbProcedure="false">Val!$B$35</definedName>
    <definedName function="false" hidden="false" name="pe_trough" vbProcedure="false">Val!$B$37</definedName>
    <definedName function="false" hidden="false" name="phi" vbProcedure="false">In!$E$118</definedName>
    <definedName function="false" hidden="false" name="phic" vbProcedure="false">In!$E$113</definedName>
    <definedName function="false" hidden="false" name="phic_hi" vbProcedure="false">In!$F$113</definedName>
    <definedName function="false" hidden="false" name="phic_lo" vbProcedure="false">In!$D$113</definedName>
    <definedName function="false" hidden="false" name="phi_hi" vbProcedure="false">In!$F$118</definedName>
    <definedName function="false" hidden="false" name="phi_lo" vbProcedure="false">In!$D$118</definedName>
    <definedName function="false" hidden="false" name="pk_A" vbProcedure="false">In!$E$136</definedName>
    <definedName function="false" hidden="false" name="pk_B" vbProcedure="false">In!$E$137</definedName>
    <definedName function="false" hidden="false" name="pk_C" vbProcedure="false">In!$E$138</definedName>
    <definedName function="false" hidden="false" name="px" vbProcedure="false">In!$E$139</definedName>
    <definedName function="false" hidden="false" name="q4g_ags" vbProcedure="false">In!$E$131</definedName>
    <definedName function="false" hidden="false" name="q4g_ss" vbProcedure="false">In!$E$130</definedName>
    <definedName function="false" hidden="false" name="q4_dr" vbProcedure="false">In!$E$88</definedName>
    <definedName function="false" hidden="false" name="q4_dr_hi" vbProcedure="false">In!$F$88</definedName>
    <definedName function="false" hidden="false" name="q4_dr_lo" vbProcedure="false">In!$D$88</definedName>
    <definedName function="false" hidden="false" name="q4_nd" vbProcedure="false">In!$E$89</definedName>
    <definedName function="false" hidden="false" name="q4_nd_hi" vbProcedure="false">In!$F$89</definedName>
    <definedName function="false" hidden="false" name="q4_nd_lo" vbProcedure="false">In!$D$89</definedName>
    <definedName function="false" hidden="false" name="rm_factor" vbProcedure="false">Val!$B$165</definedName>
    <definedName function="false" hidden="false" name="sa_fpe" vbProcedure="false">In!$E$140</definedName>
    <definedName function="false" hidden="false" name="semi_dr26" vbProcedure="false">In!$E$83</definedName>
    <definedName function="false" hidden="false" name="semi_fl26" vbProcedure="false">In!$E$82</definedName>
    <definedName function="false" hidden="false" name="semi_nd26" vbProcedure="false">In!$E$84</definedName>
    <definedName function="false" hidden="false" name="semi_wfe26" vbProcedure="false">In!$E$81</definedName>
    <definedName function="false" hidden="false" name="sf" vbProcedure="false">In!$E$93</definedName>
    <definedName function="false" hidden="false" name="sf_hi" vbProcedure="false">In!$F$93</definedName>
    <definedName function="false" hidden="false" name="sf_lo" vbProcedure="false">In!$D$93</definedName>
    <definedName function="false" hidden="false" name="sh_q4" vbProcedure="false">In!$E$120</definedName>
    <definedName function="false" hidden="false" name="sh_q4_hi" vbProcedure="false">In!$F$120</definedName>
    <definedName function="false" hidden="false" name="sh_q4_lo" vbProcedure="false">In!$D$120</definedName>
    <definedName function="false" hidden="false" name="tp_comp_adj" vbProcedure="false">Val!$B$166</definedName>
    <definedName function="false" hidden="false" name="tp_g" vbProcedure="false">In!$E$148</definedName>
    <definedName function="false" hidden="false" name="tp_price" vbProcedure="false">Val!$B$47</definedName>
    <definedName function="false" hidden="false" name="tp_r" vbProcedure="false">In!$E$147</definedName>
    <definedName function="false" hidden="false" name="tp_roe" vbProcedure="false">In!$E$149</definedName>
    <definedName function="false" hidden="false" name="tp_upside" vbProcedure="false">Val!$B$48</definedName>
    <definedName function="false" hidden="false" name="tp_wA" vbProcedure="false">In!$E$142</definedName>
    <definedName function="false" hidden="false" name="tp_wB" vbProcedure="false">In!$E$143</definedName>
    <definedName function="false" hidden="false" name="tp_wC" vbProcedure="false">In!$E$144</definedName>
    <definedName function="false" hidden="false" name="tp_w_dcf" vbProcedure="false">In!$E$150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<sst xmlns="http://schemas.openxmlformats.org/spreadsheetml/2006/main" count="3384" uniqueCount="1005">
  <si>
    <r>
      <rPr>
        <b val="true"/>
        <sz val="11"/>
        <rFont val="Cambria"/>
        <family val="0"/>
        <charset val="1"/>
      </rPr>
      <t xml:space="preserve">Applied Materials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AMAT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</si>
  <si>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AMAT </t>
    </r>
    <r>
      <rPr>
        <sz val="11"/>
        <rFont val="Noto Sans CJK SC"/>
        <family val="2"/>
      </rPr>
      <t xml:space="preserve">的營收約四分之三來自半導體系統，跟著晶圓廠設備支出走；成長集中在先進代工邏輯、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與先進封裝，中國約占三成。股價取決於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年設備支出會不會見頂，以及出口管制會不會再收緊。</t>
    </r>
  </si>
  <si>
    <r>
      <rPr>
        <sz val="11"/>
        <rFont val="Noto Sans CJK SC"/>
        <family val="2"/>
      </rPr>
      <t xml:space="preserve">會計年度：約 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月到隔年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月底（</t>
    </r>
    <r>
      <rPr>
        <sz val="11"/>
        <rFont val="Cambria"/>
        <family val="0"/>
        <charset val="1"/>
      </rPr>
      <t xml:space="preserve">52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53 </t>
    </r>
    <r>
      <rPr>
        <sz val="11"/>
        <rFont val="Noto Sans CJK SC"/>
        <family val="2"/>
      </rPr>
      <t xml:space="preserve">週；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2025-10-27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有 </t>
    </r>
    <r>
      <rPr>
        <sz val="11"/>
        <rFont val="Cambria"/>
        <family val="0"/>
        <charset val="1"/>
      </rPr>
      <t xml:space="preserve">10/12 </t>
    </r>
    <r>
      <rPr>
        <sz val="11"/>
        <rFont val="Noto Sans CJK SC"/>
        <family val="2"/>
      </rPr>
      <t xml:space="preserve">落在日曆年 </t>
    </r>
    <r>
      <rPr>
        <sz val="11"/>
        <rFont val="Cambria"/>
        <family val="0"/>
        <charset val="1"/>
      </rPr>
      <t xml:space="preserve">t</t>
    </r>
    <r>
      <rPr>
        <sz val="11"/>
        <rFont val="Noto Sans CJK SC"/>
        <family val="2"/>
      </rPr>
      <t xml:space="preserve">：日曆年轉會計年度用 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2/12×CY(t−1)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10/12×CY(t)</t>
    </r>
    <r>
      <rPr>
        <sz val="11"/>
        <rFont val="Noto Sans CJK SC"/>
        <family val="2"/>
      </rPr>
      <t xml:space="preserve">；循環位置把 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直接對照日曆年 </t>
    </r>
    <r>
      <rPr>
        <sz val="11"/>
        <rFont val="Cambria"/>
        <family val="0"/>
        <charset val="1"/>
      </rPr>
      <t xml:space="preserve">t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已結束但第四季尚未公布（預定 </t>
    </r>
    <r>
      <rPr>
        <sz val="11"/>
        <rFont val="Cambria"/>
        <family val="0"/>
        <charset val="1"/>
      </rPr>
      <t xml:space="preserve">2026-11-12</t>
    </r>
    <r>
      <rPr>
        <sz val="11"/>
        <rFont val="Noto Sans CJK SC"/>
        <family val="2"/>
      </rPr>
      <t xml:space="preserve">），本版 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＝前三季實績＋第四季公司指引（錨點）。金額為百萬美元；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non-GAAP </t>
    </r>
    <r>
      <rPr>
        <sz val="11"/>
        <rFont val="Noto Sans CJK SC"/>
        <family val="2"/>
      </rPr>
      <t xml:space="preserve">稀釋（與指引、共識同口徑）。</t>
    </r>
  </si>
  <si>
    <t xml:space="preserve">驅動因子 → 推導量</t>
  </si>
  <si>
    <r>
      <rPr>
        <sz val="11"/>
        <rFont val="Noto Sans CJK SC"/>
        <family val="2"/>
      </rPr>
      <t xml:space="preserve">半導體系統＝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× Σ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終端市場權重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各終端市場設備支出的會計年度指數）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份額係數。設備支出讀 </t>
    </r>
    <r>
      <rPr>
        <sz val="11"/>
        <rFont val="Cambria"/>
        <family val="0"/>
        <charset val="1"/>
      </rPr>
      <t xml:space="preserve">markets/equipment </t>
    </r>
    <r>
      <rPr>
        <sz val="11"/>
        <rFont val="Noto Sans CJK SC"/>
        <family val="2"/>
      </rPr>
      <t xml:space="preserve">的三情境（晶圓代工邏輯＝先進邏輯＋其他代工邏輯＋其他前段；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含 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NAND</t>
    </r>
    <r>
      <rPr>
        <sz val="11"/>
        <rFont val="Noto Sans CJK SC"/>
        <family val="2"/>
      </rPr>
      <t xml:space="preserve">）。</t>
    </r>
  </si>
  <si>
    <r>
      <rPr>
        <sz val="11"/>
        <rFont val="Cambria"/>
        <family val="0"/>
        <charset val="1"/>
      </rPr>
      <t xml:space="preserve">AGS </t>
    </r>
    <r>
      <rPr>
        <sz val="11"/>
        <rFont val="Noto Sans CJK SC"/>
        <family val="2"/>
      </rPr>
      <t xml:space="preserve">服務、其他（含顯示器）：前一年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取公司長期 </t>
    </r>
    <r>
      <rPr>
        <sz val="11"/>
        <rFont val="Cambria"/>
        <family val="0"/>
        <charset val="1"/>
      </rPr>
      <t xml:space="preserve">mid-teens</t>
    </r>
    <r>
      <rPr>
        <sz val="11"/>
        <rFont val="Noto Sans CJK SC"/>
        <family val="2"/>
      </rPr>
      <t xml:space="preserve">）。出口管制：情境 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假設 </t>
    </r>
    <r>
      <rPr>
        <sz val="11"/>
        <rFont val="Cambria"/>
        <family val="0"/>
        <charset val="1"/>
      </rPr>
      <t xml:space="preserve">BIS </t>
    </r>
    <r>
      <rPr>
        <sz val="11"/>
        <rFont val="Noto Sans CJK SC"/>
        <family val="2"/>
      </rPr>
      <t xml:space="preserve">關係企業規則在暫停期（至 </t>
    </r>
    <r>
      <rPr>
        <sz val="11"/>
        <rFont val="Cambria"/>
        <family val="0"/>
        <charset val="1"/>
      </rPr>
      <t xml:space="preserve">2026-11-09</t>
    </r>
    <r>
      <rPr>
        <sz val="11"/>
        <rFont val="Noto Sans CJK SC"/>
        <family val="2"/>
      </rPr>
      <t xml:space="preserve">）後恢復，每年少 </t>
    </r>
    <r>
      <rPr>
        <sz val="11"/>
        <rFont val="Cambria"/>
        <family val="0"/>
        <charset val="1"/>
      </rPr>
      <t xml:space="preserve">US$600M</t>
    </r>
    <r>
      <rPr>
        <sz val="11"/>
        <rFont val="Noto Sans CJK SC"/>
        <family val="2"/>
      </rPr>
      <t xml:space="preserve">（公司 </t>
    </r>
    <r>
      <rPr>
        <sz val="11"/>
        <rFont val="Cambria"/>
        <family val="0"/>
        <charset val="1"/>
      </rPr>
      <t xml:space="preserve">2025-09 </t>
    </r>
    <r>
      <rPr>
        <sz val="11"/>
        <rFont val="Noto Sans CJK SC"/>
        <family val="2"/>
      </rPr>
      <t xml:space="preserve">估計）。</t>
    </r>
  </si>
  <si>
    <r>
      <rPr>
        <sz val="11"/>
        <rFont val="Noto Sans CJK SC"/>
        <family val="2"/>
      </rPr>
      <t xml:space="preserve">毛利率：營業成本＝固定＋變動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營收；營業費用＝固定＋變動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營收（兩者都用 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實績與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錨點兩點推導）；淨利＝營業利益 </t>
    </r>
    <r>
      <rPr>
        <sz val="11"/>
        <rFont val="Cambria"/>
        <family val="0"/>
        <charset val="1"/>
      </rPr>
      <t xml:space="preserve">× FY2025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non-GAAP </t>
    </r>
    <r>
      <rPr>
        <sz val="11"/>
        <rFont val="Noto Sans CJK SC"/>
        <family val="2"/>
      </rPr>
      <t xml:space="preserve">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營業利益。不寫死利益率。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</si>
  <si>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規則——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年（</t>
    </r>
    <r>
      <rPr>
        <sz val="11"/>
        <rFont val="Cambria"/>
        <family val="0"/>
        <charset val="1"/>
      </rPr>
      <t xml:space="preserve">2016–2025 </t>
    </r>
    <r>
      <rPr>
        <sz val="11"/>
        <rFont val="Noto Sans CJK SC"/>
        <family val="2"/>
      </rPr>
      <t xml:space="preserve">年底）</t>
    </r>
    <r>
      <rPr>
        <sz val="11"/>
        <rFont val="Cambria"/>
        <family val="0"/>
        <charset val="1"/>
      </rPr>
      <t xml:space="preserve">non-GAAP P/E </t>
    </r>
    <r>
      <rPr>
        <sz val="11"/>
        <rFont val="Noto Sans CJK SC"/>
        <family val="2"/>
      </rPr>
      <t xml:space="preserve">分位，見頂年 </t>
    </r>
    <r>
      <rPr>
        <sz val="11"/>
        <rFont val="Cambria"/>
        <family val="0"/>
        <charset val="1"/>
      </rPr>
      <t xml:space="preserve">25 </t>
    </r>
    <r>
      <rPr>
        <sz val="11"/>
        <rFont val="Noto Sans CJK SC"/>
        <family val="2"/>
      </rPr>
      <t xml:space="preserve">分位、中段中位數、谷底 </t>
    </r>
    <r>
      <rPr>
        <sz val="11"/>
        <rFont val="Cambria"/>
        <family val="0"/>
        <charset val="1"/>
      </rPr>
      <t xml:space="preserve">75 </t>
    </r>
    <r>
      <rPr>
        <sz val="11"/>
        <rFont val="Noto Sans CJK SC"/>
        <family val="2"/>
      </rPr>
      <t xml:space="preserve">分位；循環位置依設備股共用規則（各情境見頂年度讀設備市場模型：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FY2027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：共識、第四季年化、</t>
    </r>
    <r>
      <rPr>
        <sz val="11"/>
        <rFont val="Cambria"/>
        <family val="0"/>
        <charset val="1"/>
      </rPr>
      <t xml:space="preserve">SEMI</t>
    </r>
    <r>
      <rPr>
        <sz val="11"/>
        <rFont val="Noto Sans CJK SC"/>
        <family val="2"/>
      </rPr>
      <t xml:space="preserve">、公司說法。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：份額、終端權重、會計年度權重、成本與費用的固定／變動拆分、</t>
    </r>
    <r>
      <rPr>
        <sz val="11"/>
        <rFont val="Cambria"/>
        <family val="0"/>
        <charset val="1"/>
      </rPr>
      <t xml:space="preserve">AGS</t>
    </r>
    <r>
      <rPr>
        <sz val="11"/>
        <rFont val="Noto Sans CJK SC"/>
        <family val="2"/>
      </rPr>
      <t xml:space="preserve">、出口管制、中國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</si>
  <si>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</si>
  <si>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半導體系統只用終端市場設備指數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份額係數，份額變化（環繞式閘極、背面供電、先進封裝、中國國產替代）只在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(2) FY2025 Q4 </t>
    </r>
    <r>
      <rPr>
        <sz val="11"/>
        <rFont val="Noto Sans CJK SC"/>
        <family val="2"/>
      </rPr>
      <t xml:space="preserve">的重編分部由 </t>
    </r>
    <r>
      <rPr>
        <sz val="11"/>
        <rFont val="Cambria"/>
        <family val="0"/>
        <charset val="1"/>
      </rPr>
      <t xml:space="preserve">FY2026 Q4 </t>
    </r>
    <r>
      <rPr>
        <sz val="11"/>
        <rFont val="Noto Sans CJK SC"/>
        <family val="2"/>
      </rPr>
      <t xml:space="preserve">指引年增率（整數百分比）反推；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毛利率與營業費用只有兩點；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第四季終端市場組合、股數為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中國約三成營收，出口管制只以單一金額（公司 </t>
    </r>
    <r>
      <rPr>
        <sz val="11"/>
        <rFont val="Cambria"/>
        <family val="0"/>
        <charset val="1"/>
      </rPr>
      <t xml:space="preserve">2025-09 </t>
    </r>
    <r>
      <rPr>
        <sz val="11"/>
        <rFont val="Noto Sans CJK SC"/>
        <family val="2"/>
      </rPr>
      <t xml:space="preserve">估計）建模；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設備市場模型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年以後高於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7–10%</t>
    </r>
    <r>
      <rPr>
        <sz val="11"/>
        <rFont val="Noto Sans CJK SC"/>
        <family val="2"/>
      </rPr>
      <t xml:space="preserve">，本模型只用成長指數；</t>
    </r>
    <r>
      <rPr>
        <sz val="11"/>
        <rFont val="Cambria"/>
        <family val="0"/>
        <charset val="1"/>
      </rPr>
      <t xml:space="preserve">(7) FY2028 </t>
    </r>
    <r>
      <rPr>
        <sz val="11"/>
        <rFont val="Noto Sans CJK SC"/>
        <family val="2"/>
      </rPr>
      <t xml:space="preserve">共識未找到。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</si>
  <si>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）估值 </t>
    </r>
    <r>
      <rPr>
        <sz val="11"/>
        <color theme="1"/>
        <rFont val="Calibri"/>
        <family val="2"/>
        <charset val="1"/>
      </rPr>
      <t xml:space="preserve">v2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頁新增「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目標價」（放在既有內容之後，不位移既有列）＝</t>
    </r>
    <r>
      <rPr>
        <sz val="11"/>
        <color theme="1"/>
        <rFont val="Calibri"/>
        <family val="2"/>
        <charset val="1"/>
      </rPr>
      <t xml:space="preserve">0.5 × DCF </t>
    </r>
    <r>
      <rPr>
        <sz val="11"/>
        <color theme="1"/>
        <rFont val="Noto Sans CJK SC"/>
        <family val="2"/>
      </rPr>
      <t xml:space="preserve">目標價（股東現金流＝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，情境權重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0.5 × Comparable </t>
    </r>
    <r>
      <rPr>
        <sz val="11"/>
        <color theme="1"/>
        <rFont val="Noto Sans CJK SC"/>
        <family val="2"/>
      </rPr>
      <t xml:space="preserve">目標價（同業前瞻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）；另列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單獨目標價、市場共識目標價與差距拆解、歷史分位檢查。原「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目標價與上檔空間」改名「舊法：規則值情境加權（參考）」，不再叫目標價。</t>
    </r>
  </si>
  <si>
    <r>
      <rPr>
        <sz val="11"/>
        <color theme="1"/>
        <rFont val="Noto Sans CJK SC"/>
        <family val="2"/>
      </rPr>
      <t xml:space="preserve">預估期間延伸到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頁底部延伸區塊，灰底）。情境對應：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＝不如預期（原為顆數情境）。本版未做先驗，無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</si>
  <si>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頁最後新增「上檔空間級距」「投資建議」兩列（第 </t>
    </r>
    <r>
      <rPr>
        <sz val="11"/>
        <color theme="1"/>
        <rFont val="Calibri"/>
        <family val="2"/>
        <charset val="1"/>
      </rPr>
      <t xml:space="preserve">146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147 </t>
    </r>
    <r>
      <rPr>
        <sz val="11"/>
        <color theme="1"/>
        <rFont val="Noto Sans CJK SC"/>
        <family val="2"/>
      </rPr>
      <t xml:space="preserve">列，依「上檔空間：加權目標價」的固定規則）；重點觀察見下方三列。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</si>
  <si>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：中國是最敏感的單一輸入：中國營收 −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使 </t>
    </r>
    <r>
      <rPr>
        <sz val="11"/>
        <color theme="1"/>
        <rFont val="Calibri"/>
        <family val="2"/>
        <charset val="1"/>
      </rPr>
      <t xml:space="preserve">FY2028 EPS −6.9%</t>
    </r>
    <r>
      <rPr>
        <sz val="11"/>
        <color theme="1"/>
        <rFont val="Noto Sans CJK SC"/>
        <family val="2"/>
      </rPr>
      <t xml:space="preserve">、−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使 −</t>
    </r>
    <r>
      <rPr>
        <sz val="11"/>
        <color theme="1"/>
        <rFont val="Calibri"/>
        <family val="2"/>
        <charset val="1"/>
      </rPr>
      <t xml:space="preserve">13.7%</t>
    </r>
    <r>
      <rPr>
        <sz val="11"/>
        <color theme="1"/>
        <rFont val="Noto Sans CJK SC"/>
        <family val="2"/>
      </rPr>
      <t xml:space="preserve">；設備市場情境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−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）使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19.85 </t>
    </r>
    <r>
      <rPr>
        <sz val="11"/>
        <color theme="1"/>
        <rFont val="Noto Sans CJK SC"/>
        <family val="2"/>
      </rPr>
      <t xml:space="preserve">降到 </t>
    </r>
    <r>
      <rPr>
        <sz val="11"/>
        <color theme="1"/>
        <rFont val="Calibri"/>
        <family val="2"/>
        <charset val="1"/>
      </rPr>
      <t xml:space="preserve">13.95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29.7%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US$161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355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</si>
  <si>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：下一個檢驗點是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第四季財報（預定 </t>
    </r>
    <r>
      <rPr>
        <sz val="11"/>
        <color theme="1"/>
        <rFont val="Calibri"/>
        <family val="2"/>
        <charset val="1"/>
      </rPr>
      <t xml:space="preserve">2026-11-12</t>
    </r>
    <r>
      <rPr>
        <sz val="11"/>
        <color theme="1"/>
        <rFont val="Noto Sans CJK SC"/>
        <family val="2"/>
      </rPr>
      <t xml:space="preserve">）的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第一季指引與中國占比；與共識目標價 </t>
    </r>
    <r>
      <rPr>
        <sz val="11"/>
        <color theme="1"/>
        <rFont val="Calibri"/>
        <family val="2"/>
        <charset val="1"/>
      </rPr>
      <t xml:space="preserve">627.83 </t>
    </r>
    <r>
      <rPr>
        <sz val="11"/>
        <color theme="1"/>
        <rFont val="Noto Sans CJK SC"/>
        <family val="2"/>
      </rPr>
      <t xml:space="preserve">的差距主要是倍數：共識隱含 </t>
    </r>
    <r>
      <rPr>
        <sz val="11"/>
        <color theme="1"/>
        <rFont val="Calibri"/>
        <family val="2"/>
        <charset val="1"/>
      </rPr>
      <t xml:space="preserve">34.0 </t>
    </r>
    <r>
      <rPr>
        <sz val="11"/>
        <color theme="1"/>
        <rFont val="Noto Sans CJK SC"/>
        <family val="2"/>
      </rPr>
      <t xml:space="preserve">倍，比同業前瞻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25.7 </t>
    </r>
    <r>
      <rPr>
        <sz val="11"/>
        <color theme="1"/>
        <rFont val="Noto Sans CJK SC"/>
        <family val="2"/>
      </rPr>
      <t xml:space="preserve">倍高 </t>
    </r>
    <r>
      <rPr>
        <sz val="11"/>
        <color theme="1"/>
        <rFont val="Calibri"/>
        <family val="2"/>
        <charset val="1"/>
      </rPr>
      <t xml:space="preserve">32.1%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</si>
  <si>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：加權目標價中的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改用相對倍數調整後的值（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節：同業前瞻倍數中位數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年相對同業的倍數比，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前瞻倍數；</t>
    </r>
    <r>
      <rPr>
        <sz val="11"/>
        <color theme="1"/>
        <rFont val="Calibri"/>
        <family val="2"/>
        <charset val="1"/>
      </rPr>
      <t xml:space="preserve">Andy 2026-10-27</t>
    </r>
    <r>
      <rPr>
        <sz val="11"/>
        <color theme="1"/>
        <rFont val="Noto Sans CJK SC"/>
        <family val="2"/>
      </rPr>
      <t xml:space="preserve">「照建議做」、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資料取回）。「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目標價（市場主流同業法）」維持不調整。重點觀察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的第一句已改為公式；重點觀察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與其他說明中的目標價與上檔空間數字為調整前撰寫，以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頁為準。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</si>
  <si>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）。金額：百萬美元（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），市場為十億美元（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）。每個輸入附兩個來源（來源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</si>
  <si>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未使用。公司新聞稿與 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附件以網頁擷取工具讀取（同一份文件的兩個轉載不算兩個獨立來源）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</si>
  <si>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</si>
  <si>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</si>
  <si>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</si>
  <si>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</si>
  <si>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</si>
  <si>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</si>
  <si>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</si>
  <si>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</si>
  <si>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</si>
  <si>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晶圓廠設備市場（日曆年，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；讀 </t>
    </r>
    <r>
      <rPr>
        <b val="true"/>
        <sz val="11"/>
        <rFont val="Cambria"/>
        <family val="0"/>
        <charset val="1"/>
      </rPr>
      <t xml:space="preserve">markets/equipment </t>
    </r>
    <r>
      <rPr>
        <b val="true"/>
        <sz val="11"/>
        <rFont val="Noto Sans CJK SC"/>
        <family val="2"/>
      </rPr>
      <t xml:space="preserve">成品，三情境；唯讀，不自行重估）</t>
    </r>
  </si>
  <si>
    <t xml:space="preserve">laA_25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</si>
  <si>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</si>
  <si>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</si>
  <si>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</si>
  <si>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Mkt!C120:G120</t>
    </r>
  </si>
  <si>
    <r>
      <rPr>
        <sz val="11"/>
        <color theme="1"/>
        <rFont val="Calibri"/>
        <family val="2"/>
        <charset val="1"/>
      </rPr>
      <t xml:space="preserve">markets/equipment Mkt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節（公司資本支出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設備占比，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實績校準）；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隨情境係數</t>
    </r>
  </si>
  <si>
    <t xml:space="preserve">laA_26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</si>
  <si>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</si>
  <si>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</si>
  <si>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laA_27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</si>
  <si>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</si>
  <si>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laA_28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</si>
  <si>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</si>
  <si>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laA_29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</si>
  <si>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</si>
  <si>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loA_25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</si>
  <si>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</si>
  <si>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Mkt!C121:G121</t>
    </r>
  </si>
  <si>
    <t xml:space="preserve">loA_26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</si>
  <si>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</si>
  <si>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loA_27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</si>
  <si>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</si>
  <si>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loA_28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</si>
  <si>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</si>
  <si>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loA_29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</si>
  <si>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</si>
  <si>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ofA_25</t>
  </si>
  <si>
    <r>
      <rPr>
        <sz val="11"/>
        <color theme="1"/>
        <rFont val="Noto Sans CJK SC"/>
        <family val="2"/>
      </rPr>
      <t xml:space="preserve">其他前段設備（類比、功率、光罩、廠務等）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</si>
  <si>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Mkt!C124:G124</t>
    </r>
  </si>
  <si>
    <t xml:space="preserve">ofA_26</t>
  </si>
  <si>
    <r>
      <rPr>
        <sz val="11"/>
        <color theme="1"/>
        <rFont val="Noto Sans CJK SC"/>
        <family val="2"/>
      </rPr>
      <t xml:space="preserve">其他前段設備（類比、功率、光罩、廠務等）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</si>
  <si>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ofA_27</t>
  </si>
  <si>
    <r>
      <rPr>
        <sz val="11"/>
        <color theme="1"/>
        <rFont val="Noto Sans CJK SC"/>
        <family val="2"/>
      </rPr>
      <t xml:space="preserve">其他前段設備（類比、功率、光罩、廠務等）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</si>
  <si>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ofA_28</t>
  </si>
  <si>
    <r>
      <rPr>
        <sz val="11"/>
        <color theme="1"/>
        <rFont val="Noto Sans CJK SC"/>
        <family val="2"/>
      </rPr>
      <t xml:space="preserve">其他前段設備（類比、功率、光罩、廠務等）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</si>
  <si>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ofA_29</t>
  </si>
  <si>
    <r>
      <rPr>
        <sz val="11"/>
        <color theme="1"/>
        <rFont val="Noto Sans CJK SC"/>
        <family val="2"/>
      </rPr>
      <t xml:space="preserve">其他前段設備（類比、功率、光罩、廠務等）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</si>
  <si>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drA_25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</si>
  <si>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</si>
  <si>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Mkt!C122:G122</t>
    </r>
  </si>
  <si>
    <t xml:space="preserve">drA_26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</si>
  <si>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</si>
  <si>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drA_27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</si>
  <si>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</si>
  <si>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drA_28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</si>
  <si>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</si>
  <si>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drA_29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</si>
  <si>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</si>
  <si>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ndA_25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</si>
  <si>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</si>
  <si>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Mkt!C123:G123</t>
    </r>
  </si>
  <si>
    <t xml:space="preserve">ndA_26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</si>
  <si>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</si>
  <si>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ndA_27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</si>
  <si>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</si>
  <si>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ndA_28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</si>
  <si>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</si>
  <si>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ndA_29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</si>
  <si>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</si>
  <si>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laB_25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</si>
  <si>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</si>
  <si>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Mkt!C139:G139</t>
    </r>
  </si>
  <si>
    <t xml:space="preserve">laB_26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</si>
  <si>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</si>
  <si>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laB_27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</si>
  <si>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</si>
  <si>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laB_28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</si>
  <si>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</si>
  <si>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laB_29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</si>
  <si>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</si>
  <si>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loB_25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</si>
  <si>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</si>
  <si>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Mkt!C140:G140</t>
    </r>
  </si>
  <si>
    <t xml:space="preserve">loB_26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</si>
  <si>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</si>
  <si>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loB_27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</si>
  <si>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</si>
  <si>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loB_28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</si>
  <si>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</si>
  <si>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loB_29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</si>
  <si>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</si>
  <si>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ofB_25</t>
  </si>
  <si>
    <r>
      <rPr>
        <sz val="11"/>
        <color theme="1"/>
        <rFont val="Noto Sans CJK SC"/>
        <family val="2"/>
      </rPr>
      <t xml:space="preserve">其他前段設備（類比、功率、光罩、廠務等）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</si>
  <si>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Mkt!C143:G143</t>
    </r>
  </si>
  <si>
    <t xml:space="preserve">ofB_26</t>
  </si>
  <si>
    <r>
      <rPr>
        <sz val="11"/>
        <color theme="1"/>
        <rFont val="Noto Sans CJK SC"/>
        <family val="2"/>
      </rPr>
      <t xml:space="preserve">其他前段設備（類比、功率、光罩、廠務等）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</si>
  <si>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ofB_27</t>
  </si>
  <si>
    <r>
      <rPr>
        <sz val="11"/>
        <color theme="1"/>
        <rFont val="Noto Sans CJK SC"/>
        <family val="2"/>
      </rPr>
      <t xml:space="preserve">其他前段設備（類比、功率、光罩、廠務等）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</si>
  <si>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ofB_28</t>
  </si>
  <si>
    <r>
      <rPr>
        <sz val="11"/>
        <color theme="1"/>
        <rFont val="Noto Sans CJK SC"/>
        <family val="2"/>
      </rPr>
      <t xml:space="preserve">其他前段設備（類比、功率、光罩、廠務等）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</si>
  <si>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ofB_29</t>
  </si>
  <si>
    <r>
      <rPr>
        <sz val="11"/>
        <color theme="1"/>
        <rFont val="Noto Sans CJK SC"/>
        <family val="2"/>
      </rPr>
      <t xml:space="preserve">其他前段設備（類比、功率、光罩、廠務等）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</si>
  <si>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drB_25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</si>
  <si>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</si>
  <si>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Mkt!C141:G141</t>
    </r>
  </si>
  <si>
    <t xml:space="preserve">drB_26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</si>
  <si>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</si>
  <si>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drB_27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</si>
  <si>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</si>
  <si>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drB_28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</si>
  <si>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</si>
  <si>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drB_29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</si>
  <si>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</si>
  <si>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ndB_25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</si>
  <si>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</si>
  <si>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Mkt!C142:G142</t>
    </r>
  </si>
  <si>
    <t xml:space="preserve">ndB_26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</si>
  <si>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</si>
  <si>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ndB_27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</si>
  <si>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</si>
  <si>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ndB_28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</si>
  <si>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</si>
  <si>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ndB_29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</si>
  <si>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</si>
  <si>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laC_25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</si>
  <si>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</si>
  <si>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Mkt!C158:G158</t>
    </r>
  </si>
  <si>
    <t xml:space="preserve">laC_26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</si>
  <si>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</si>
  <si>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laC_27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</si>
  <si>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</si>
  <si>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laC_28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</si>
  <si>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</si>
  <si>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laC_29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</si>
  <si>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</si>
  <si>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loC_25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</si>
  <si>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</si>
  <si>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Mkt!C159:G159</t>
    </r>
  </si>
  <si>
    <t xml:space="preserve">loC_26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</si>
  <si>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</si>
  <si>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loC_27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</si>
  <si>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</si>
  <si>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loC_28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</si>
  <si>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</si>
  <si>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loC_29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</si>
  <si>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</si>
  <si>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ofC_25</t>
  </si>
  <si>
    <r>
      <rPr>
        <sz val="11"/>
        <color theme="1"/>
        <rFont val="Noto Sans CJK SC"/>
        <family val="2"/>
      </rPr>
      <t xml:space="preserve">其他前段設備（類比、功率、光罩、廠務等）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</si>
  <si>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Mkt!C162:G162</t>
    </r>
  </si>
  <si>
    <t xml:space="preserve">ofC_26</t>
  </si>
  <si>
    <r>
      <rPr>
        <sz val="11"/>
        <color theme="1"/>
        <rFont val="Noto Sans CJK SC"/>
        <family val="2"/>
      </rPr>
      <t xml:space="preserve">其他前段設備（類比、功率、光罩、廠務等）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</si>
  <si>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ofC_27</t>
  </si>
  <si>
    <r>
      <rPr>
        <sz val="11"/>
        <color theme="1"/>
        <rFont val="Noto Sans CJK SC"/>
        <family val="2"/>
      </rPr>
      <t xml:space="preserve">其他前段設備（類比、功率、光罩、廠務等）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</si>
  <si>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ofC_28</t>
  </si>
  <si>
    <r>
      <rPr>
        <sz val="11"/>
        <color theme="1"/>
        <rFont val="Noto Sans CJK SC"/>
        <family val="2"/>
      </rPr>
      <t xml:space="preserve">其他前段設備（類比、功率、光罩、廠務等）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</si>
  <si>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ofC_29</t>
  </si>
  <si>
    <r>
      <rPr>
        <sz val="11"/>
        <color theme="1"/>
        <rFont val="Noto Sans CJK SC"/>
        <family val="2"/>
      </rPr>
      <t xml:space="preserve">其他前段設備（類比、功率、光罩、廠務等）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</si>
  <si>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drC_25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</si>
  <si>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</si>
  <si>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Mkt!C160:G160</t>
    </r>
  </si>
  <si>
    <t xml:space="preserve">drC_26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</si>
  <si>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</si>
  <si>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drC_27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</si>
  <si>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</si>
  <si>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drC_28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</si>
  <si>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</si>
  <si>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drC_29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</si>
  <si>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</si>
  <si>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ndC_25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</si>
  <si>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</si>
  <si>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Mkt!C161:G161</t>
    </r>
  </si>
  <si>
    <t xml:space="preserve">ndC_26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</si>
  <si>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</si>
  <si>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ndC_27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</si>
  <si>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</si>
  <si>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ndC_28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</si>
  <si>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</si>
  <si>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ndC_29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</si>
  <si>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</si>
  <si>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fyw</t>
  </si>
  <si>
    <r>
      <rPr>
        <sz val="11"/>
        <color theme="1"/>
        <rFont val="Noto Sans CJK SC"/>
        <family val="2"/>
      </rPr>
      <t xml:space="preserve">會計年度落在前一個日曆年的比例（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fyw×CY(t−1)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(1−fyw)×CY(t)</t>
    </r>
    <r>
      <rPr>
        <sz val="11"/>
        <color theme="1"/>
        <rFont val="Noto Sans CJK SC"/>
        <family val="2"/>
      </rPr>
      <t xml:space="preserve">）</t>
    </r>
  </si>
  <si>
    <t xml:space="preserve">%</t>
  </si>
  <si>
    <r>
      <rPr>
        <sz val="11"/>
        <color theme="1"/>
        <rFont val="Noto Sans CJK SC"/>
        <family val="2"/>
      </rPr>
      <t xml:space="preserve">公司會計年度結束於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月最後一個星期日（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2025-10-27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），約 </t>
    </r>
    <r>
      <rPr>
        <sz val="11"/>
        <color theme="1"/>
        <rFont val="Calibri"/>
        <family val="2"/>
        <charset val="1"/>
      </rPr>
      <t xml:space="preserve">11–12 </t>
    </r>
    <r>
      <rPr>
        <sz val="11"/>
        <color theme="1"/>
        <rFont val="Noto Sans CJK SC"/>
        <family val="2"/>
      </rPr>
      <t xml:space="preserve">月兩個月落在前一年 → </t>
    </r>
    <r>
      <rPr>
        <sz val="11"/>
        <color theme="1"/>
        <rFont val="Calibri"/>
        <family val="2"/>
        <charset val="1"/>
      </rPr>
      <t xml:space="preserve">2/12</t>
    </r>
  </si>
  <si>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1/12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3/12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）：設備出貨與客戶資本支出約差一季，高值等於把市場往前移一季</t>
    </r>
  </si>
  <si>
    <t xml:space="preserve">semi_wfe26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</si>
  <si>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（對帳用）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</si>
  <si>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</si>
  <si>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Mkt!C44:G44</t>
    </r>
  </si>
  <si>
    <r>
      <rPr>
        <sz val="11"/>
        <color theme="1"/>
        <rFont val="Calibri"/>
        <family val="2"/>
        <charset val="1"/>
      </rPr>
      <t xml:space="preserve">SEMI 2026-07 </t>
    </r>
    <r>
      <rPr>
        <sz val="11"/>
        <color theme="1"/>
        <rFont val="Noto Sans CJK SC"/>
        <family val="2"/>
      </rPr>
      <t xml:space="preserve">年中預測（設備商協會，傾向樂觀）；只用於 </t>
    </r>
    <r>
      <rPr>
        <sz val="11"/>
        <color theme="1"/>
        <rFont val="Calibri"/>
        <family val="2"/>
        <charset val="1"/>
      </rPr>
      <t xml:space="preserve">Recon</t>
    </r>
  </si>
  <si>
    <t xml:space="preserve">semi_fl26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</si>
  <si>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（對帳用）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</si>
  <si>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Mkt!C43:G43</t>
    </r>
  </si>
  <si>
    <t xml:space="preserve">semi_dr26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</si>
  <si>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（對帳用）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</si>
  <si>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Mkt!C41:G41</t>
    </r>
  </si>
  <si>
    <t xml:space="preserve">semi_nd26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</si>
  <si>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（對帳用）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</si>
  <si>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Mkt!C42:G42</t>
    </r>
  </si>
  <si>
    <t xml:space="preserve">ai_inc27</t>
  </si>
  <si>
    <r>
      <rPr>
        <sz val="11"/>
        <color theme="1"/>
        <rFont val="Noto Sans CJK SC"/>
        <family val="2"/>
      </rPr>
      <t xml:space="preserve">設備市場模型：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相關設備占 </t>
    </r>
    <r>
      <rPr>
        <sz val="11"/>
        <color theme="1"/>
        <rFont val="Calibri"/>
        <family val="2"/>
        <charset val="1"/>
      </rPr>
      <t xml:space="preserve">2025→2027 </t>
    </r>
    <r>
      <rPr>
        <sz val="11"/>
        <color theme="1"/>
        <rFont val="Noto Sans CJK SC"/>
        <family val="2"/>
      </rPr>
      <t xml:space="preserve">增量（情境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</si>
  <si>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Mkt!C10:G10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</si>
  <si>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先進邏輯＋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＋先進封裝；只用於 </t>
    </r>
    <r>
      <rPr>
        <sz val="11"/>
        <color theme="1"/>
        <rFont val="Calibri"/>
        <family val="2"/>
        <charset val="1"/>
      </rPr>
      <t xml:space="preserve">Recon</t>
    </r>
  </si>
  <si>
    <t xml:space="preserve">co_ai27</t>
  </si>
  <si>
    <r>
      <rPr>
        <sz val="11"/>
        <color theme="1"/>
        <rFont val="Noto Sans CJK SC"/>
        <family val="2"/>
      </rPr>
      <t xml:space="preserve">公司說法：先進代工邏輯、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、先進封裝占 </t>
    </r>
    <r>
      <rPr>
        <sz val="11"/>
        <color theme="1"/>
        <rFont val="Calibri"/>
        <family val="2"/>
        <charset val="1"/>
      </rPr>
      <t xml:space="preserve">CY2026–27 </t>
    </r>
    <r>
      <rPr>
        <sz val="11"/>
        <color theme="1"/>
        <rFont val="Noto Sans CJK SC"/>
        <family val="2"/>
      </rPr>
      <t xml:space="preserve">晶圓廠設備成長約 </t>
    </r>
    <r>
      <rPr>
        <sz val="11"/>
        <color theme="1"/>
        <rFont val="Calibri"/>
        <family val="2"/>
        <charset val="1"/>
      </rPr>
      <t xml:space="preserve">80%</t>
    </r>
  </si>
  <si>
    <r>
      <rPr>
        <sz val="11"/>
        <color theme="1"/>
        <rFont val="Calibri"/>
        <family val="2"/>
        <charset val="1"/>
      </rPr>
      <t xml:space="preserve">AMAT Q3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法說重點）</t>
    </r>
  </si>
  <si>
    <r>
      <rPr>
        <sz val="11"/>
        <color theme="1"/>
        <rFont val="Calibri"/>
        <family val="2"/>
        <charset val="1"/>
      </rPr>
      <t xml:space="preserve">Nasdaq </t>
    </r>
    <r>
      <rPr>
        <sz val="11"/>
        <color theme="1"/>
        <rFont val="Noto Sans CJK SC"/>
        <family val="2"/>
      </rPr>
      <t xml:space="preserve">法說重點（可能同一來源轉載）；只用於 </t>
    </r>
    <r>
      <rPr>
        <sz val="11"/>
        <color theme="1"/>
        <rFont val="Calibri"/>
        <family val="2"/>
        <charset val="1"/>
      </rPr>
      <t xml:space="preserve">Recon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</si>
  <si>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半導體系統（</t>
    </r>
    <r>
      <rPr>
        <b val="true"/>
        <sz val="11"/>
        <rFont val="Cambria"/>
        <family val="0"/>
        <charset val="1"/>
      </rPr>
      <t xml:space="preserve">Semiconductor Systems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各終端市場設備指數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份額係數</t>
    </r>
  </si>
  <si>
    <t xml:space="preserve">q4_dr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</si>
  <si>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第四季半導體系統中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占比（公司未給）</t>
    </r>
  </si>
  <si>
    <t xml:space="preserve">Assumed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</si>
  <si>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2H CY2026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very significant increase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法說，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Q3 26%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34%</t>
    </r>
  </si>
  <si>
    <r>
      <rPr>
        <sz val="11"/>
        <color theme="1"/>
        <rFont val="Noto Sans CJK SC"/>
        <family val="2"/>
      </rPr>
      <t xml:space="preserve">低＝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、高＝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34%</t>
    </r>
  </si>
  <si>
    <t xml:space="preserve">q4_nd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</si>
  <si>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第四季半導體系統中 </t>
    </r>
    <r>
      <rPr>
        <sz val="11"/>
        <color theme="1"/>
        <rFont val="Calibri"/>
        <family val="2"/>
        <charset val="1"/>
      </rPr>
      <t xml:space="preserve">NAND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Flash</t>
    </r>
    <r>
      <rPr>
        <sz val="11"/>
        <color theme="1"/>
        <rFont val="Noto Sans CJK SC"/>
        <family val="2"/>
      </rPr>
      <t xml:space="preserve">）占比</t>
    </r>
  </si>
  <si>
    <r>
      <rPr>
        <sz val="11"/>
        <color theme="1"/>
        <rFont val="Calibri"/>
        <family val="2"/>
        <charset val="1"/>
      </rPr>
      <t xml:space="preserve">Q1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7%</t>
    </r>
    <r>
      <rPr>
        <sz val="11"/>
        <color theme="1"/>
        <rFont val="Noto Sans CJK SC"/>
        <family val="2"/>
      </rPr>
      <t xml:space="preserve">（公司新聞稿）</t>
    </r>
  </si>
  <si>
    <t xml:space="preserve">—</t>
  </si>
  <si>
    <t xml:space="preserve">m_dr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</si>
  <si>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半導體系統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權重（前三季實績＋第四季假設，金額加權）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</si>
  <si>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頁：各季營收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終端市場占比</t>
    </r>
  </si>
  <si>
    <r>
      <rPr>
        <sz val="11"/>
        <color theme="1"/>
        <rFont val="Noto Sans CJK SC"/>
        <family val="2"/>
      </rPr>
      <t xml:space="preserve">低／高對應 </t>
    </r>
    <r>
      <rPr>
        <sz val="11"/>
        <color theme="1"/>
        <rFont val="Calibri"/>
        <family val="2"/>
        <charset val="1"/>
      </rPr>
      <t xml:space="preserve">q4_dr </t>
    </r>
    <r>
      <rPr>
        <sz val="11"/>
        <color theme="1"/>
        <rFont val="Noto Sans CJK SC"/>
        <family val="2"/>
      </rPr>
      <t xml:space="preserve">低／高</t>
    </r>
  </si>
  <si>
    <t xml:space="preserve">m_nd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</si>
  <si>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半導體系統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權重</t>
    </r>
  </si>
  <si>
    <t xml:space="preserve">m_fl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</si>
  <si>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半導體系統 晶圓代工、邏輯與其他 權重（＝</t>
    </r>
    <r>
      <rPr>
        <sz val="11"/>
        <color theme="1"/>
        <rFont val="Calibri"/>
        <family val="2"/>
        <charset val="1"/>
      </rPr>
      <t xml:space="preserve">1 − DRAM − NAND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</si>
  <si>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同上；公司「</t>
    </r>
    <r>
      <rPr>
        <sz val="11"/>
        <color theme="1"/>
        <rFont val="Calibri"/>
        <family val="2"/>
        <charset val="1"/>
      </rPr>
      <t xml:space="preserve">Foundry, logic and other</t>
    </r>
    <r>
      <rPr>
        <sz val="11"/>
        <color theme="1"/>
        <rFont val="Noto Sans CJK SC"/>
        <family val="2"/>
      </rPr>
      <t xml:space="preserve">」含 </t>
    </r>
    <r>
      <rPr>
        <sz val="11"/>
        <color theme="1"/>
        <rFont val="Calibri"/>
        <family val="2"/>
        <charset val="1"/>
      </rPr>
      <t xml:space="preserve">ICAPS</t>
    </r>
    <r>
      <rPr>
        <sz val="11"/>
        <color theme="1"/>
        <rFont val="Noto Sans CJK SC"/>
        <family val="2"/>
      </rPr>
      <t xml:space="preserve">（成熟製程、功率、類比等），故對應設備市場的先進邏輯＋其他代工邏輯＋其他前段</t>
    </r>
  </si>
  <si>
    <r>
      <rPr>
        <sz val="11"/>
        <color theme="1"/>
        <rFont val="Noto Sans CJK SC"/>
        <family val="2"/>
      </rPr>
      <t xml:space="preserve">低／高與 </t>
    </r>
    <r>
      <rPr>
        <sz val="11"/>
        <color theme="1"/>
        <rFont val="Calibri"/>
        <family val="2"/>
        <charset val="1"/>
      </rPr>
      <t xml:space="preserve">m_dr </t>
    </r>
    <r>
      <rPr>
        <sz val="11"/>
        <color theme="1"/>
        <rFont val="Noto Sans CJK SC"/>
        <family val="2"/>
      </rPr>
      <t xml:space="preserve">對沖</t>
    </r>
  </si>
  <si>
    <t xml:space="preserve">sf</t>
  </si>
  <si>
    <r>
      <rPr>
        <sz val="11"/>
        <color theme="1"/>
        <rFont val="Noto Sans CJK SC"/>
        <family val="2"/>
      </rPr>
      <t xml:space="preserve">份額係數（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半導體系統營收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依市場指數推得的營收）</t>
    </r>
  </si>
  <si>
    <t xml:space="preserve">x</t>
  </si>
  <si>
    <r>
      <rPr>
        <sz val="11"/>
        <color theme="1"/>
        <rFont val="Noto Sans CJK SC"/>
        <family val="2"/>
      </rPr>
      <t xml:space="preserve">無：基準假設 </t>
    </r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在三個終端市場的份額維持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水準</t>
    </r>
  </si>
  <si>
    <r>
      <rPr>
        <sz val="11"/>
        <color theme="1"/>
        <rFont val="Noto Sans CJK SC"/>
        <family val="2"/>
      </rPr>
      <t xml:space="preserve">上方＝環繞式閘極、背面供電、先進封裝的份額提升；下方＝中國國產替代、競爭（</t>
    </r>
    <r>
      <rPr>
        <sz val="11"/>
        <color theme="1"/>
        <rFont val="Calibri"/>
        <family val="2"/>
        <charset val="1"/>
      </rPr>
      <t xml:space="preserve">Lam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</si>
  <si>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出口管制與中國</t>
    </r>
  </si>
  <si>
    <t xml:space="preserve">aff_hit</t>
  </si>
  <si>
    <r>
      <rPr>
        <sz val="11"/>
        <color theme="1"/>
        <rFont val="Calibri"/>
        <family val="2"/>
        <charset val="1"/>
      </rPr>
      <t xml:space="preserve">BIS</t>
    </r>
    <r>
      <rPr>
        <sz val="11"/>
        <color theme="1"/>
        <rFont val="Noto Sans CJK SC"/>
        <family val="2"/>
      </rPr>
      <t xml:space="preserve">「關係企業規則」恢復時的年營收影響</t>
    </r>
  </si>
  <si>
    <t xml:space="preserve">US$M</t>
  </si>
  <si>
    <r>
      <rPr>
        <sz val="11"/>
        <color theme="1"/>
        <rFont val="Calibri"/>
        <family val="2"/>
        <charset val="1"/>
      </rPr>
      <t xml:space="preserve">AMAT 8-K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2025-09-29</t>
    </r>
    <r>
      <rPr>
        <sz val="11"/>
        <color theme="1"/>
        <rFont val="Noto Sans CJK SC"/>
        <family val="2"/>
      </rPr>
      <t xml:space="preserve">）：該規則將使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營收減少約 </t>
    </r>
    <r>
      <rPr>
        <sz val="11"/>
        <color theme="1"/>
        <rFont val="Calibri"/>
        <family val="2"/>
        <charset val="1"/>
      </rPr>
      <t xml:space="preserve">US$600M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FY25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US$110M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</si>
  <si>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Finance 2025-11-14</t>
    </r>
    <r>
      <rPr>
        <sz val="11"/>
        <color theme="1"/>
        <rFont val="Noto Sans CJK SC"/>
        <family val="2"/>
      </rPr>
      <t xml:space="preserve">）：規則暫停後約 </t>
    </r>
    <r>
      <rPr>
        <sz val="11"/>
        <color theme="1"/>
        <rFont val="Calibri"/>
        <family val="2"/>
        <charset val="1"/>
      </rPr>
      <t xml:space="preserve">US$600M </t>
    </r>
    <r>
      <rPr>
        <sz val="11"/>
        <color theme="1"/>
        <rFont val="Noto Sans CJK SC"/>
        <family val="2"/>
      </rPr>
      <t xml:space="preserve">營收可恢復；</t>
    </r>
    <r>
      <rPr>
        <sz val="11"/>
        <color theme="1"/>
        <rFont val="Calibri"/>
        <family val="2"/>
        <charset val="1"/>
      </rPr>
      <t xml:space="preserve">Skadden</t>
    </r>
    <r>
      <rPr>
        <sz val="11"/>
        <color theme="1"/>
        <rFont val="Noto Sans CJK SC"/>
        <family val="2"/>
      </rPr>
      <t xml:space="preserve">：暫停至 </t>
    </r>
    <r>
      <rPr>
        <sz val="11"/>
        <color theme="1"/>
        <rFont val="Calibri"/>
        <family val="2"/>
        <charset val="1"/>
      </rPr>
      <t xml:space="preserve">2026-11-09</t>
    </r>
    <r>
      <rPr>
        <sz val="11"/>
        <color theme="1"/>
        <rFont val="Noto Sans CJK SC"/>
        <family val="2"/>
      </rPr>
      <t xml:space="preserve">，除非 </t>
    </r>
    <r>
      <rPr>
        <sz val="11"/>
        <color theme="1"/>
        <rFont val="Calibri"/>
        <family val="2"/>
        <charset val="1"/>
      </rPr>
      <t xml:space="preserve">BIS </t>
    </r>
    <r>
      <rPr>
        <sz val="11"/>
        <color theme="1"/>
        <rFont val="Noto Sans CJK SC"/>
        <family val="2"/>
      </rPr>
      <t xml:space="preserve">延長。低／高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±50%</t>
    </r>
    <r>
      <rPr>
        <sz val="11"/>
        <color theme="1"/>
        <rFont val="Noto Sans CJK SC"/>
        <family val="2"/>
      </rPr>
      <t xml:space="preserve">）</t>
    </r>
  </si>
  <si>
    <t xml:space="preserve">aff_A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</si>
  <si>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：關係企業規則於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起恢復（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＝是）</t>
    </r>
  </si>
  <si>
    <t xml:space="preserve">0/1</t>
  </si>
  <si>
    <r>
      <rPr>
        <sz val="11"/>
        <color theme="1"/>
        <rFont val="Noto Sans CJK SC"/>
        <family val="2"/>
      </rPr>
      <t xml:space="preserve">暫停期至 </t>
    </r>
    <r>
      <rPr>
        <sz val="11"/>
        <color theme="1"/>
        <rFont val="Calibri"/>
        <family val="2"/>
        <charset val="1"/>
      </rPr>
      <t xml:space="preserve">2026-11-09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Skadden 2025-11</t>
    </r>
    <r>
      <rPr>
        <sz val="11"/>
        <color theme="1"/>
        <rFont val="Noto Sans CJK SC"/>
        <family val="2"/>
      </rPr>
      <t xml:space="preserve">）；是否延長未知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</si>
  <si>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假設延長；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假設恢復（與設備市場下修同向的保守組合）</t>
    </r>
  </si>
  <si>
    <t xml:space="preserve">aff_B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</si>
  <si>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：關係企業規則於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起恢復（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＝是）</t>
    </r>
  </si>
  <si>
    <t xml:space="preserve">aff_C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</si>
  <si>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：關係企業規則於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起恢復（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＝是）</t>
    </r>
  </si>
  <si>
    <t xml:space="preserve">cn_sh</t>
  </si>
  <si>
    <r>
      <rPr>
        <sz val="11"/>
        <color theme="1"/>
        <rFont val="Noto Sans CJK SC"/>
        <family val="2"/>
      </rPr>
      <t xml:space="preserve">中國占營收（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前三季，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</si>
  <si>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頁：前三季中國營收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營收（公司新聞稿；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</si>
  <si>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中國占半導體系統＋</t>
    </r>
    <r>
      <rPr>
        <sz val="11"/>
        <color theme="1"/>
        <rFont val="Calibri"/>
        <family val="2"/>
        <charset val="1"/>
      </rPr>
      <t xml:space="preserve">AGS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；預期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中國營收增加（</t>
    </r>
    <r>
      <rPr>
        <sz val="11"/>
        <color theme="1"/>
        <rFont val="Calibri"/>
        <family val="2"/>
        <charset val="1"/>
      </rPr>
      <t xml:space="preserve">28nm </t>
    </r>
    <r>
      <rPr>
        <sz val="11"/>
        <color theme="1"/>
        <rFont val="Noto Sans CJK SC"/>
        <family val="2"/>
      </rPr>
      <t xml:space="preserve">代工邏輯帶動）</t>
    </r>
  </si>
  <si>
    <t xml:space="preserve">cn_cut</t>
  </si>
  <si>
    <t xml:space="preserve">敏感度：中國營收下修比例（國產替代或新管制）</t>
  </si>
  <si>
    <r>
      <rPr>
        <sz val="11"/>
        <color theme="1"/>
        <rFont val="Noto Sans CJK SC"/>
        <family val="2"/>
      </rPr>
      <t xml:space="preserve">無；基準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（市場層的「其他代工邏輯」已含中國擴產的成長假設）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</si>
  <si>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用高值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（只對半導體系統＋</t>
    </r>
    <r>
      <rPr>
        <sz val="11"/>
        <color theme="1"/>
        <rFont val="Calibri"/>
        <family val="2"/>
        <charset val="1"/>
      </rPr>
      <t xml:space="preserve">AGS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</si>
  <si>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AGS </t>
    </r>
    <r>
      <rPr>
        <b val="true"/>
        <sz val="11"/>
        <rFont val="Noto Sans CJK SC"/>
        <family val="2"/>
      </rPr>
      <t xml:space="preserve">服務與其他（含顯示器）：前一年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成長率</t>
    </r>
  </si>
  <si>
    <t xml:space="preserve">g_ags_A</t>
  </si>
  <si>
    <r>
      <rPr>
        <sz val="11"/>
        <color theme="1"/>
        <rFont val="Calibri"/>
        <family val="2"/>
        <charset val="1"/>
      </rPr>
      <t xml:space="preserve">AGS 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</si>
  <si>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AMAT Q3 FY26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AGS </t>
    </r>
    <r>
      <rPr>
        <sz val="11"/>
        <color theme="1"/>
        <rFont val="Noto Sans CJK SC"/>
        <family val="2"/>
      </rPr>
      <t xml:space="preserve">長期年成長 </t>
    </r>
    <r>
      <rPr>
        <sz val="11"/>
        <color theme="1"/>
        <rFont val="Calibri"/>
        <family val="2"/>
        <charset val="1"/>
      </rPr>
      <t xml:space="preserve">mid-teens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CY2026 &gt;20%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Nasdaq </t>
    </r>
    <r>
      <rPr>
        <sz val="11"/>
        <color theme="1"/>
        <rFont val="Noto Sans CJK SC"/>
        <family val="2"/>
      </rPr>
      <t xml:space="preserve">法說重點）</t>
    </r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</si>
  <si>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±4 </t>
    </r>
    <r>
      <rPr>
        <sz val="11"/>
        <color theme="1"/>
        <rFont val="Noto Sans CJK SC"/>
        <family val="2"/>
      </rPr>
      <t xml:space="preserve">個百分點（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</si>
  <si>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g_ags_B</t>
  </si>
  <si>
    <r>
      <rPr>
        <sz val="11"/>
        <color theme="1"/>
        <rFont val="Calibri"/>
        <family val="2"/>
        <charset val="1"/>
      </rPr>
      <t xml:space="preserve">AGS 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</si>
  <si>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無：裝機量與稼動隨設備市場放緩（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</si>
  <si>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g_ags_C</t>
  </si>
  <si>
    <r>
      <rPr>
        <sz val="11"/>
        <color theme="1"/>
        <rFont val="Calibri"/>
        <family val="2"/>
        <charset val="1"/>
      </rPr>
      <t xml:space="preserve">AGS 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</si>
  <si>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g_oth_A</t>
  </si>
  <si>
    <r>
      <rPr>
        <sz val="11"/>
        <color theme="1"/>
        <rFont val="Noto Sans CJK SC"/>
        <family val="2"/>
      </rPr>
      <t xml:space="preserve">其他（主要為顯示器）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</si>
  <si>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無：顯示器設備隨面板廠投資起伏；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US$510M </t>
    </r>
    <r>
      <rPr>
        <sz val="11"/>
        <color theme="1"/>
        <rFont val="Noto Sans CJK SC"/>
        <family val="2"/>
      </rPr>
      <t xml:space="preserve">高於前三季（</t>
    </r>
    <r>
      <rPr>
        <sz val="11"/>
        <color theme="1"/>
        <rFont val="Calibri"/>
        <family val="2"/>
        <charset val="1"/>
      </rPr>
      <t xml:space="preserve">280–312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</si>
  <si>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1.4% </t>
    </r>
    <r>
      <rPr>
        <sz val="11"/>
        <color theme="1"/>
        <rFont val="Noto Sans CJK SC"/>
        <family val="2"/>
      </rPr>
      <t xml:space="preserve">營收以下的小項；區間 </t>
    </r>
    <r>
      <rPr>
        <sz val="11"/>
        <color theme="1"/>
        <rFont val="Calibri"/>
        <family val="2"/>
        <charset val="1"/>
      </rPr>
      <t xml:space="preserve">±10 </t>
    </r>
    <r>
      <rPr>
        <sz val="11"/>
        <color theme="1"/>
        <rFont val="Noto Sans CJK SC"/>
        <family val="2"/>
      </rPr>
      <t xml:space="preserve">個百分點</t>
    </r>
  </si>
  <si>
    <t xml:space="preserve">g_oth_B</t>
  </si>
  <si>
    <r>
      <rPr>
        <sz val="11"/>
        <color theme="1"/>
        <rFont val="Noto Sans CJK SC"/>
        <family val="2"/>
      </rPr>
      <t xml:space="preserve">其他（主要為顯示器）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</si>
  <si>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g_oth_C</t>
  </si>
  <si>
    <r>
      <rPr>
        <sz val="11"/>
        <color theme="1"/>
        <rFont val="Noto Sans CJK SC"/>
        <family val="2"/>
      </rPr>
      <t xml:space="preserve">其他（主要為顯示器）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</si>
  <si>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毛利、營業費用、淨利、股數（兩點推導：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實績與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錨點；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；不寫死利益率）</t>
    </r>
  </si>
  <si>
    <t xml:space="preserve">cogs25</t>
  </si>
  <si>
    <r>
      <rPr>
        <sz val="11"/>
        <color theme="1"/>
        <rFont val="Noto Sans CJK SC"/>
        <family val="2"/>
      </rPr>
      <t xml:space="preserve">營業成本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（營收 −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</si>
  <si>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</si>
  <si>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t xml:space="preserve">cogs26</t>
  </si>
  <si>
    <r>
      <rPr>
        <sz val="11"/>
        <color theme="1"/>
        <rFont val="Noto Sans CJK SC"/>
        <family val="2"/>
      </rPr>
      <t xml:space="preserve">營業成本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</si>
  <si>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頁（前三季實績＋第四季指引毛利率 </t>
    </r>
    <r>
      <rPr>
        <sz val="11"/>
        <color theme="1"/>
        <rFont val="Calibri"/>
        <family val="2"/>
        <charset val="1"/>
      </rPr>
      <t xml:space="preserve">50.4%</t>
    </r>
    <r>
      <rPr>
        <sz val="11"/>
        <color theme="1"/>
        <rFont val="Noto Sans CJK SC"/>
        <family val="2"/>
      </rPr>
      <t xml:space="preserve">）</t>
    </r>
  </si>
  <si>
    <t xml:space="preserve">cv</t>
  </si>
  <si>
    <t xml:space="preserve">營業成本變動部分占營收（兩點斜率）</t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</si>
  <si>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FY2026 − FY2025 </t>
    </r>
    <r>
      <rPr>
        <sz val="11"/>
        <color theme="1"/>
        <rFont val="Noto Sans CJK SC"/>
        <family val="2"/>
      </rPr>
      <t xml:space="preserve">營業成本）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營收差</t>
    </r>
  </si>
  <si>
    <t xml:space="preserve">隱含毛利率隨營收上升而遞增、但趨緩</t>
  </si>
  <si>
    <t xml:space="preserve">cF</t>
  </si>
  <si>
    <t xml:space="preserve">營業成本固定部分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</si>
  <si>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營業成本 − 變動部分</t>
    </r>
  </si>
  <si>
    <t xml:space="preserve">phic</t>
  </si>
  <si>
    <r>
      <rPr>
        <sz val="11"/>
        <color theme="1"/>
        <rFont val="Noto Sans CJK SC"/>
        <family val="2"/>
      </rPr>
      <t xml:space="preserve">營業成本中變動部分占比（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</si>
  <si>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基準＝兩點推導值；低／高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</si>
  <si>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低＝固定成本較多（營收增加時毛利率升得更快）</t>
  </si>
  <si>
    <t xml:space="preserve">opex25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</si>
  <si>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 −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營業利益）</t>
    </r>
  </si>
  <si>
    <t xml:space="preserve">opex26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</si>
  <si>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錨點（前三季＋第四季指引 </t>
    </r>
    <r>
      <rPr>
        <sz val="11"/>
        <color theme="1"/>
        <rFont val="Calibri"/>
        <family val="2"/>
        <charset val="1"/>
      </rPr>
      <t xml:space="preserve">US$1,580M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</si>
  <si>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週，營業費用增幅大於往常（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法說）</t>
    </r>
  </si>
  <si>
    <t xml:space="preserve">ov</t>
  </si>
  <si>
    <t xml:space="preserve">營業費用變動部分占營收（兩點斜率）</t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</si>
  <si>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FY2026 − FY2025 </t>
    </r>
    <r>
      <rPr>
        <sz val="11"/>
        <color theme="1"/>
        <rFont val="Noto Sans CJK SC"/>
        <family val="2"/>
      </rPr>
      <t xml:space="preserve">營業費用）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營收差</t>
    </r>
  </si>
  <si>
    <t xml:space="preserve">oF</t>
  </si>
  <si>
    <t xml:space="preserve">營業費用固定部分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</si>
  <si>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 − 變動部分</t>
    </r>
  </si>
  <si>
    <t xml:space="preserve">phi</t>
  </si>
  <si>
    <r>
      <rPr>
        <sz val="11"/>
        <color theme="1"/>
        <rFont val="Noto Sans CJK SC"/>
        <family val="2"/>
      </rPr>
      <t xml:space="preserve">營業費用中變動部分占比（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</si>
  <si>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公司：產能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年前倍增、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增聘逾 </t>
    </r>
    <r>
      <rPr>
        <sz val="11"/>
        <color theme="1"/>
        <rFont val="Calibri"/>
        <family val="2"/>
        <charset val="1"/>
      </rPr>
      <t xml:space="preserve">1,500 </t>
    </r>
    <r>
      <rPr>
        <sz val="11"/>
        <color theme="1"/>
        <rFont val="Noto Sans CJK SC"/>
        <family val="2"/>
      </rPr>
      <t xml:space="preserve">人（費用前置的風險）</t>
    </r>
  </si>
  <si>
    <t xml:space="preserve">nioi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</si>
  <si>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non-GAAP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</si>
  <si>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0.888</t>
    </r>
    <r>
      <rPr>
        <sz val="11"/>
        <color theme="1"/>
        <rFont val="Noto Sans CJK SC"/>
        <family val="2"/>
      </rPr>
      <t xml:space="preserve">；高＝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錨點隱含（含公司內部無形資產移轉的稅務利益，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指引各 </t>
    </r>
    <r>
      <rPr>
        <sz val="11"/>
        <color theme="1"/>
        <rFont val="Calibri"/>
        <family val="2"/>
        <charset val="1"/>
      </rPr>
      <t xml:space="preserve">US$0.04</t>
    </r>
    <r>
      <rPr>
        <sz val="11"/>
        <color theme="1"/>
        <rFont val="Noto Sans CJK SC"/>
        <family val="2"/>
      </rPr>
      <t xml:space="preserve">／股）</t>
    </r>
  </si>
  <si>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：全球最低稅負等稅率上升）</t>
    </r>
  </si>
  <si>
    <t xml:space="preserve">sh_q4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</si>
  <si>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第四季稀釋股數（公司未給）</t>
    </r>
  </si>
  <si>
    <t xml:space="preserve">百萬股</t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</si>
  <si>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800M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封面流通股 </t>
    </r>
    <r>
      <rPr>
        <sz val="11"/>
        <color theme="1"/>
        <rFont val="Calibri"/>
        <family val="2"/>
        <charset val="1"/>
      </rPr>
      <t xml:space="preserve">793.6M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回購 </t>
    </r>
    <r>
      <rPr>
        <sz val="11"/>
        <color theme="1"/>
        <rFont val="Calibri"/>
        <family val="2"/>
        <charset val="1"/>
      </rPr>
      <t xml:space="preserve">US$440M</t>
    </r>
  </si>
  <si>
    <r>
      <rPr>
        <sz val="11"/>
        <color theme="1"/>
        <rFont val="Noto Sans CJK SC"/>
        <family val="2"/>
      </rPr>
      <t xml:space="preserve">只影響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錨點淨利（＝第四季指引 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股數）</t>
    </r>
  </si>
  <si>
    <t xml:space="preserve">bb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</si>
  <si>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起稀釋股數年減幅（淨回購）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</si>
  <si>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稀釋股數 </t>
    </r>
    <r>
      <rPr>
        <sz val="11"/>
        <color theme="1"/>
        <rFont val="Calibri"/>
        <family val="2"/>
        <charset val="1"/>
      </rPr>
      <t xml:space="preserve">808M → FY2026 </t>
    </r>
    <r>
      <rPr>
        <sz val="11"/>
        <color theme="1"/>
        <rFont val="Noto Sans CJK SC"/>
        <family val="2"/>
      </rPr>
      <t xml:space="preserve">前三季 </t>
    </r>
    <r>
      <rPr>
        <sz val="11"/>
        <color theme="1"/>
        <rFont val="Calibri"/>
        <family val="2"/>
        <charset val="1"/>
      </rPr>
      <t xml:space="preserve">799M</t>
    </r>
    <r>
      <rPr>
        <sz val="11"/>
        <color theme="1"/>
        <rFont val="Noto Sans CJK SC"/>
        <family val="2"/>
      </rPr>
      <t xml:space="preserve">（約 −</t>
    </r>
    <r>
      <rPr>
        <sz val="11"/>
        <color theme="1"/>
        <rFont val="Calibri"/>
        <family val="2"/>
        <charset val="1"/>
      </rPr>
      <t xml:space="preserve">1.1%</t>
    </r>
    <r>
      <rPr>
        <sz val="11"/>
        <color theme="1"/>
        <rFont val="Noto Sans CJK SC"/>
        <family val="2"/>
      </rPr>
      <t xml:space="preserve">）；回購授權餘額 </t>
    </r>
    <r>
      <rPr>
        <sz val="11"/>
        <color theme="1"/>
        <rFont val="Calibri"/>
        <family val="2"/>
        <charset val="1"/>
      </rPr>
      <t xml:space="preserve">US$12.8B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法說）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</si>
  <si>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公司指引、共識、股價、循環位置</t>
    </r>
  </si>
  <si>
    <t xml:space="preserve">g_rev_q4</t>
  </si>
  <si>
    <r>
      <rPr>
        <sz val="11"/>
        <color theme="1"/>
        <rFont val="Noto Sans CJK SC"/>
        <family val="2"/>
      </rPr>
      <t xml:space="preserve">指引營收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第四季（中點，</t>
    </r>
    <r>
      <rPr>
        <sz val="11"/>
        <color theme="1"/>
        <rFont val="Calibri"/>
        <family val="2"/>
        <charset val="1"/>
      </rPr>
      <t xml:space="preserve">±US$500M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</si>
  <si>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AMAT Q3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</si>
  <si>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法說重點；低／高＝公司指引區間（未進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：錨點只影響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水準）</t>
    </r>
  </si>
  <si>
    <t xml:space="preserve">g_eps_q4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</si>
  <si>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 FY2026 </t>
    </r>
    <r>
      <rPr>
        <sz val="11"/>
        <color theme="1"/>
        <rFont val="Noto Sans CJK SC"/>
        <family val="2"/>
      </rPr>
      <t xml:space="preserve">第四季（中點，</t>
    </r>
    <r>
      <rPr>
        <sz val="11"/>
        <color theme="1"/>
        <rFont val="Calibri"/>
        <family val="2"/>
        <charset val="1"/>
      </rPr>
      <t xml:space="preserve">±US$0.20</t>
    </r>
    <r>
      <rPr>
        <sz val="11"/>
        <color theme="1"/>
        <rFont val="Noto Sans CJK SC"/>
        <family val="2"/>
      </rPr>
      <t xml:space="preserve">）</t>
    </r>
  </si>
  <si>
    <t xml:space="preserve">US$</t>
  </si>
  <si>
    <r>
      <rPr>
        <sz val="11"/>
        <color theme="1"/>
        <rFont val="Noto Sans CJK SC"/>
        <family val="2"/>
      </rPr>
      <t xml:space="preserve">同上（低／高＝指引區間，未進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</t>
    </r>
  </si>
  <si>
    <t xml:space="preserve">g_ss_q4</t>
  </si>
  <si>
    <r>
      <rPr>
        <sz val="11"/>
        <color theme="1"/>
        <rFont val="Noto Sans CJK SC"/>
        <family val="2"/>
      </rPr>
      <t xml:space="preserve">指引 半導體系統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第四季（約，年增 </t>
    </r>
    <r>
      <rPr>
        <sz val="11"/>
        <color theme="1"/>
        <rFont val="Calibri"/>
        <family val="2"/>
        <charset val="1"/>
      </rPr>
      <t xml:space="preserve">62%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</si>
  <si>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AMAT Q3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</si>
  <si>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Nasdaq </t>
    </r>
    <r>
      <rPr>
        <sz val="11"/>
        <color theme="1"/>
        <rFont val="Noto Sans CJK SC"/>
        <family val="2"/>
      </rPr>
      <t xml:space="preserve">法說重點（可能同源）</t>
    </r>
  </si>
  <si>
    <t xml:space="preserve">g_ags_q4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</si>
  <si>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AGS FY2026 </t>
    </r>
    <r>
      <rPr>
        <sz val="11"/>
        <color theme="1"/>
        <rFont val="Noto Sans CJK SC"/>
        <family val="2"/>
      </rPr>
      <t xml:space="preserve">第四季（約，年增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）</t>
    </r>
  </si>
  <si>
    <t xml:space="preserve">g_oth_q4</t>
  </si>
  <si>
    <r>
      <rPr>
        <sz val="11"/>
        <color theme="1"/>
        <rFont val="Noto Sans CJK SC"/>
        <family val="2"/>
      </rPr>
      <t xml:space="preserve">指引 其他（主要為顯示器）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第四季（約）</t>
    </r>
  </si>
  <si>
    <t xml:space="preserve">g_gm_q4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</si>
  <si>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</t>
    </r>
  </si>
  <si>
    <t xml:space="preserve">g_opx_q4</t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</si>
  <si>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</t>
    </r>
  </si>
  <si>
    <t xml:space="preserve">q4g_ss</t>
  </si>
  <si>
    <r>
      <rPr>
        <sz val="11"/>
        <color theme="1"/>
        <rFont val="Noto Sans CJK SC"/>
        <family val="2"/>
      </rPr>
      <t xml:space="preserve">第四季半導體系統指引年增（用於反推 </t>
    </r>
    <r>
      <rPr>
        <sz val="11"/>
        <color theme="1"/>
        <rFont val="Calibri"/>
        <family val="2"/>
        <charset val="1"/>
      </rPr>
      <t xml:space="preserve">FY2025 Q4 </t>
    </r>
    <r>
      <rPr>
        <sz val="11"/>
        <color theme="1"/>
        <rFont val="Noto Sans CJK SC"/>
        <family val="2"/>
      </rPr>
      <t xml:space="preserve">重編後數字）</t>
    </r>
  </si>
  <si>
    <r>
      <rPr>
        <sz val="11"/>
        <color theme="1"/>
        <rFont val="Noto Sans CJK SC"/>
        <family val="2"/>
      </rPr>
      <t xml:space="preserve">同上（約 </t>
    </r>
    <r>
      <rPr>
        <sz val="11"/>
        <color theme="1"/>
        <rFont val="Calibri"/>
        <family val="2"/>
        <charset val="1"/>
      </rPr>
      <t xml:space="preserve">62%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</si>
  <si>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四捨五入到整數百分比：反推值誤差約 </t>
    </r>
    <r>
      <rPr>
        <sz val="11"/>
        <color theme="1"/>
        <rFont val="Calibri"/>
        <family val="2"/>
        <charset val="1"/>
      </rPr>
      <t xml:space="preserve">±0.3%</t>
    </r>
  </si>
  <si>
    <t xml:space="preserve">q4g_ags</t>
  </si>
  <si>
    <r>
      <rPr>
        <sz val="11"/>
        <color theme="1"/>
        <rFont val="Noto Sans CJK SC"/>
        <family val="2"/>
      </rPr>
      <t xml:space="preserve">第四季 </t>
    </r>
    <r>
      <rPr>
        <sz val="11"/>
        <color theme="1"/>
        <rFont val="Calibri"/>
        <family val="2"/>
        <charset val="1"/>
      </rPr>
      <t xml:space="preserve">AGS </t>
    </r>
    <r>
      <rPr>
        <sz val="11"/>
        <color theme="1"/>
        <rFont val="Noto Sans CJK SC"/>
        <family val="2"/>
      </rPr>
      <t xml:space="preserve">指引年增</t>
    </r>
  </si>
  <si>
    <r>
      <rPr>
        <sz val="11"/>
        <color theme="1"/>
        <rFont val="Noto Sans CJK SC"/>
        <family val="2"/>
      </rPr>
      <t xml:space="preserve">同上（約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）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</si>
  <si>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</si>
  <si>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</si>
  <si>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（資料更新 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34 </t>
    </r>
    <r>
      <rPr>
        <sz val="11"/>
        <color theme="1"/>
        <rFont val="Noto Sans CJK SC"/>
        <family val="2"/>
      </rPr>
      <t xml:space="preserve">位分析師）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</si>
  <si>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tickflow 31,430</t>
    </r>
    <r>
      <rPr>
        <sz val="11"/>
        <color theme="1"/>
        <rFont val="Noto Sans CJK SC"/>
        <family val="2"/>
      </rPr>
      <t xml:space="preserve">（明顯過時，低於前三季實績＋指引，未採）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</si>
  <si>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</si>
  <si>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non-GAAP EPS FY2026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</si>
  <si>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tickflow 11.05</t>
    </r>
    <r>
      <rPr>
        <sz val="11"/>
        <color theme="1"/>
        <rFont val="Noto Sans CJK SC"/>
        <family val="2"/>
      </rPr>
      <t xml:space="preserve">（過時，未採）</t>
    </r>
  </si>
  <si>
    <t xml:space="preserve">cons_rev27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</si>
  <si>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</si>
  <si>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Next Year </t>
    </r>
    <r>
      <rPr>
        <sz val="11"/>
        <color theme="1"/>
        <rFont val="Noto Sans CJK SC"/>
        <family val="2"/>
      </rPr>
      <t xml:space="preserve">摘要框）</t>
    </r>
  </si>
  <si>
    <r>
      <rPr>
        <sz val="11"/>
        <color theme="1"/>
        <rFont val="Noto Sans CJK SC"/>
        <family val="2"/>
      </rPr>
      <t xml:space="preserve">第二來源：未找到（</t>
    </r>
    <r>
      <rPr>
        <sz val="11"/>
        <color theme="1"/>
        <rFont val="Calibri"/>
        <family val="2"/>
        <charset val="1"/>
      </rPr>
      <t xml:space="preserve">tickflow 37,670 </t>
    </r>
    <r>
      <rPr>
        <sz val="11"/>
        <color theme="1"/>
        <rFont val="Noto Sans CJK SC"/>
        <family val="2"/>
      </rPr>
      <t xml:space="preserve">過時，未採）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</si>
  <si>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</si>
  <si>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non-GAAP EPS FY2027</t>
    </r>
  </si>
  <si>
    <r>
      <rPr>
        <sz val="11"/>
        <color theme="1"/>
        <rFont val="Noto Sans CJK SC"/>
        <family val="2"/>
      </rPr>
      <t xml:space="preserve">第二來源：未找到。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共識：未找到（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需付費）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</si>
  <si>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</si>
  <si>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</si>
  <si>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</si>
  <si>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</si>
  <si>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設備股共用規則（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早於見頂年＝中段、等於＝見頂、晚於＝谷底；</t>
    </r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10/12 </t>
    </r>
    <r>
      <rPr>
        <sz val="11"/>
        <color theme="1"/>
        <rFont val="Noto Sans CJK SC"/>
        <family val="2"/>
      </rPr>
      <t xml:space="preserve">落在日曆年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，直接對照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（不平移）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</si>
  <si>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</si>
  <si>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</si>
  <si>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</si>
  <si>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</si>
  <si>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</si>
  <si>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</si>
  <si>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</si>
  <si>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stockanalysis 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</si>
  <si>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377.24</t>
    </r>
    <r>
      <rPr>
        <sz val="11"/>
        <color theme="1"/>
        <rFont val="Noto Sans CJK SC"/>
        <family val="2"/>
      </rPr>
      <t xml:space="preserve">、市值 </t>
    </r>
    <r>
      <rPr>
        <sz val="11"/>
        <color theme="1"/>
        <rFont val="Calibri"/>
        <family val="2"/>
        <charset val="1"/>
      </rPr>
      <t xml:space="preserve">299.38B</t>
    </r>
    <r>
      <rPr>
        <sz val="11"/>
        <color theme="1"/>
        <rFont val="Noto Sans CJK SC"/>
        <family val="2"/>
      </rPr>
      <t xml:space="preserve">、流通股 </t>
    </r>
    <r>
      <rPr>
        <sz val="11"/>
        <color theme="1"/>
        <rFont val="Calibri"/>
        <family val="2"/>
        <charset val="1"/>
      </rPr>
      <t xml:space="preserve">793.60M</t>
    </r>
  </si>
  <si>
    <r>
      <rPr>
        <sz val="11"/>
        <color theme="1"/>
        <rFont val="Calibri"/>
        <family val="2"/>
        <charset val="1"/>
      </rPr>
      <t xml:space="preserve">statmuse </t>
    </r>
    <r>
      <rPr>
        <sz val="11"/>
        <color theme="1"/>
        <rFont val="Noto Sans CJK SC"/>
        <family val="2"/>
      </rPr>
      <t xml:space="preserve">最新價 </t>
    </r>
    <r>
      <rPr>
        <sz val="11"/>
        <color theme="1"/>
        <rFont val="Calibri"/>
        <family val="2"/>
        <charset val="1"/>
      </rPr>
      <t xml:space="preserve">377.24</t>
    </r>
    <r>
      <rPr>
        <sz val="11"/>
        <color theme="1"/>
        <rFont val="Noto Sans CJK SC"/>
        <family val="2"/>
      </rPr>
      <t xml:space="preserve">（未標日期）</t>
    </r>
  </si>
  <si>
    <t xml:space="preserve">sa_fpe</t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</si>
  <si>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</si>
  <si>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</si>
  <si>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自算：現價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，見 </t>
    </r>
    <r>
      <rPr>
        <sz val="11"/>
        <color theme="1"/>
        <rFont val="Calibri"/>
        <family val="2"/>
        <charset val="1"/>
      </rPr>
      <t xml:space="preserve">Val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</si>
  <si>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</si>
  <si>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</si>
  <si>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（樂觀）</t>
    </r>
  </si>
  <si>
    <t xml:space="preserve">權重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</si>
  <si>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目標價規格預設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</si>
  <si>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三個權重合計應為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；目標價＝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情境隱含價（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</si>
  <si>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</si>
  <si>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（基準）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</si>
  <si>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</si>
  <si>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（下檔）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</si>
  <si>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 </t>
    </r>
    <r>
      <rPr>
        <b val="true"/>
        <sz val="11"/>
        <rFont val="Cambria"/>
        <family val="0"/>
        <charset val="1"/>
      </rPr>
      <t xml:space="preserve">FY2030–32 </t>
    </r>
    <r>
      <rPr>
        <b val="true"/>
        <sz val="11"/>
        <rFont val="Noto Sans CJK SC"/>
        <family val="2"/>
      </rPr>
      <t xml:space="preserve">收斂法參數（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</si>
  <si>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</si>
  <si>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</si>
  <si>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</si>
  <si>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tp_g</t>
  </si>
  <si>
    <r>
      <rPr>
        <sz val="11"/>
        <color theme="1"/>
        <rFont val="Noto Sans CJK SC"/>
        <family val="2"/>
      </rPr>
      <t xml:space="preserve">長期成長率（永續成長；收斂法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營收年增的基準）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</si>
  <si>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</si>
  <si>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</si>
  <si>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</si>
  <si>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</si>
  <si>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讀取）：</t>
    </r>
    <r>
      <rPr>
        <sz val="11"/>
        <color theme="1"/>
        <rFont val="Calibri"/>
        <family val="2"/>
        <charset val="1"/>
      </rPr>
      <t xml:space="preserve">FY2023 48.04%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40.61%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35.51%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</si>
  <si>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41.07%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</si>
  <si>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</si>
  <si>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</si>
  <si>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</si>
  <si>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</si>
  <si>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FY2016–FY2025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，各年淨利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營收的平均）</t>
    </r>
  </si>
  <si>
    <r>
      <rPr>
        <sz val="11"/>
        <color theme="1"/>
        <rFont val="Calibri"/>
        <family val="2"/>
        <charset val="1"/>
      </rPr>
      <t xml:space="preserve">vcpscanner.com </t>
    </r>
    <r>
      <rPr>
        <sz val="11"/>
        <color theme="1"/>
        <rFont val="Noto Sans CJK SC"/>
        <family val="2"/>
      </rPr>
      <t xml:space="preserve">年度損益（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</si>
  <si>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財報頁 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營收與淨利相同；模型淨利為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，十年平均為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（略低）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</si>
  <si>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</si>
  <si>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</si>
  <si>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US$627.83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607.50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358–900</t>
    </r>
    <r>
      <rPr>
        <sz val="11"/>
        <color theme="1"/>
        <rFont val="Noto Sans CJK SC"/>
        <family val="2"/>
      </rPr>
      <t xml:space="preserve">），資料更新 </t>
    </r>
    <r>
      <rPr>
        <sz val="11"/>
        <color theme="1"/>
        <rFont val="Calibri"/>
        <family val="2"/>
        <charset val="1"/>
      </rPr>
      <t xml:space="preserve">2026-10-16</t>
    </r>
  </si>
  <si>
    <t xml:space="preserve">第二來源：未找到</t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</si>
  <si>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</si>
  <si>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（差距拆解用）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</si>
  <si>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＝共識 </t>
    </r>
    <r>
      <rPr>
        <sz val="11"/>
        <color theme="1"/>
        <rFont val="Calibri"/>
        <family val="2"/>
        <charset val="1"/>
      </rPr>
      <t xml:space="preserve">FY2027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stockanalysis 18.49</t>
    </r>
    <r>
      <rPr>
        <sz val="11"/>
        <color theme="1"/>
        <rFont val="Noto Sans CJK SC"/>
        <family val="2"/>
      </rPr>
      <t xml:space="preserve">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，晚一年，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因素偏大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</si>
  <si>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實績（百萬美元；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為美元）。會計年度約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月～隔年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月：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2025-10-27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。藍字＝輸入；黑字＝公式。損益為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（公司揭露），</t>
    </r>
    <r>
      <rPr>
        <sz val="11"/>
        <color theme="1"/>
        <rFont val="Calibri"/>
        <family val="2"/>
        <charset val="1"/>
      </rPr>
      <t xml:space="preserve">GAAP EPS </t>
    </r>
    <r>
      <rPr>
        <sz val="11"/>
        <color theme="1"/>
        <rFont val="Noto Sans CJK SC"/>
        <family val="2"/>
      </rPr>
      <t xml:space="preserve">另列。分部自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起重編（</t>
    </r>
    <r>
      <rPr>
        <sz val="11"/>
        <color theme="1"/>
        <rFont val="Calibri"/>
        <family val="2"/>
        <charset val="1"/>
      </rPr>
      <t xml:space="preserve">200mm </t>
    </r>
    <r>
      <rPr>
        <sz val="11"/>
        <color theme="1"/>
        <rFont val="Noto Sans CJK SC"/>
        <family val="2"/>
      </rPr>
      <t xml:space="preserve">設備移入半導體系統、公司費用全數分攤），</t>
    </r>
    <r>
      <rPr>
        <sz val="11"/>
        <color theme="1"/>
        <rFont val="Calibri"/>
        <family val="2"/>
        <charset val="1"/>
      </rPr>
      <t xml:space="preserve">FY2025 Q1–Q3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新聞稿的重編比較數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</si>
  <si>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第四季（</t>
    </r>
    <r>
      <rPr>
        <sz val="11"/>
        <color theme="1"/>
        <rFont val="Calibri"/>
        <family val="2"/>
        <charset val="1"/>
      </rPr>
      <t xml:space="preserve">2026-07-27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）已結束、尚未公布：預定 </t>
    </r>
    <r>
      <rPr>
        <sz val="11"/>
        <color theme="1"/>
        <rFont val="Calibri"/>
        <family val="2"/>
        <charset val="1"/>
      </rPr>
      <t xml:space="preserve">2026-11-12 </t>
    </r>
    <r>
      <rPr>
        <sz val="11"/>
        <color theme="1"/>
        <rFont val="Noto Sans CJK SC"/>
        <family val="2"/>
      </rPr>
      <t xml:space="preserve">公布（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）。本版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＝前三季實績＋第四季公司指引（錨點）。公布後更新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</t>
    </r>
  </si>
  <si>
    <r>
      <rPr>
        <b val="true"/>
        <sz val="11"/>
        <rFont val="Cambria"/>
        <family val="0"/>
        <charset val="1"/>
      </rPr>
      <t xml:space="preserve">FY25 Q1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11–1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</si>
  <si>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FY25 Q2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2–4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</si>
  <si>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FY25 Q3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5–7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</si>
  <si>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FY25 Q4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8–10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</si>
  <si>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全年</t>
    </r>
  </si>
  <si>
    <t xml:space="preserve">FY26 Q1</t>
  </si>
  <si>
    <t xml:space="preserve">FY26 Q2</t>
  </si>
  <si>
    <t xml:space="preserve">FY26 Q3</t>
  </si>
  <si>
    <r>
      <rPr>
        <b val="true"/>
        <sz val="11"/>
        <rFont val="Cambria"/>
        <family val="0"/>
        <charset val="1"/>
      </rPr>
      <t xml:space="preserve">FY26 Q4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</si>
  <si>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</si>
  <si>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</si>
  <si>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半導體系統（重編後）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</si>
  <si>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</si>
  <si>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各季新聞稿（</t>
    </r>
    <r>
      <rPr>
        <sz val="11"/>
        <color theme="1"/>
        <rFont val="Calibri"/>
        <family val="2"/>
        <charset val="1"/>
      </rPr>
      <t xml:space="preserve">ir.appliedmaterials.com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FY25 Q1–Q3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各季新聞稿的重編比較數；</t>
    </r>
    <r>
      <rPr>
        <sz val="11"/>
        <color theme="1"/>
        <rFont val="Calibri"/>
        <family val="2"/>
        <charset val="1"/>
      </rPr>
      <t xml:space="preserve">FY25 Q4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FY26 Q4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62%) </t>
    </r>
    <r>
      <rPr>
        <sz val="11"/>
        <color theme="1"/>
        <rFont val="Noto Sans CJK SC"/>
        <family val="2"/>
      </rPr>
      <t xml:space="preserve">反推（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</si>
  <si>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舊口徑 </t>
    </r>
    <r>
      <rPr>
        <sz val="11"/>
        <color theme="1"/>
        <rFont val="Calibri"/>
        <family val="2"/>
        <charset val="1"/>
      </rPr>
      <t xml:space="preserve">20,798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FY25 Q4 </t>
    </r>
    <r>
      <rPr>
        <sz val="11"/>
        <color theme="1"/>
        <rFont val="Noto Sans CJK SC"/>
        <family val="2"/>
      </rPr>
      <t xml:space="preserve">新聞稿）；重編差額主要為 </t>
    </r>
    <r>
      <rPr>
        <sz val="11"/>
        <color theme="1"/>
        <rFont val="Calibri"/>
        <family val="2"/>
        <charset val="1"/>
      </rPr>
      <t xml:space="preserve">200mm </t>
    </r>
    <r>
      <rPr>
        <sz val="11"/>
        <color theme="1"/>
        <rFont val="Noto Sans CJK SC"/>
        <family val="2"/>
      </rPr>
      <t xml:space="preserve">設備由 </t>
    </r>
    <r>
      <rPr>
        <sz val="11"/>
        <color theme="1"/>
        <rFont val="Calibri"/>
        <family val="2"/>
        <charset val="1"/>
      </rPr>
      <t xml:space="preserve">AGS </t>
    </r>
    <r>
      <rPr>
        <sz val="11"/>
        <color theme="1"/>
        <rFont val="Noto Sans CJK SC"/>
        <family val="2"/>
      </rPr>
      <t xml:space="preserve">移入</t>
    </r>
  </si>
  <si>
    <r>
      <rPr>
        <sz val="11"/>
        <color theme="1"/>
        <rFont val="Calibri"/>
        <family val="2"/>
        <charset val="1"/>
      </rPr>
      <t xml:space="preserve">AGS </t>
    </r>
    <r>
      <rPr>
        <sz val="11"/>
        <color theme="1"/>
        <rFont val="Noto Sans CJK SC"/>
        <family val="2"/>
      </rPr>
      <t xml:space="preserve">服務（重編後）</t>
    </r>
  </si>
  <si>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各季新聞稿（</t>
    </r>
    <r>
      <rPr>
        <sz val="11"/>
        <color theme="1"/>
        <rFont val="Calibri"/>
        <family val="2"/>
        <charset val="1"/>
      </rPr>
      <t xml:space="preserve">ir.appliedmaterials.com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）：同上；</t>
    </r>
    <r>
      <rPr>
        <sz val="11"/>
        <color theme="1"/>
        <rFont val="Calibri"/>
        <family val="2"/>
        <charset val="1"/>
      </rPr>
      <t xml:space="preserve">FY25 Q4 </t>
    </r>
    <r>
      <rPr>
        <sz val="11"/>
        <color theme="1"/>
        <rFont val="Noto Sans CJK SC"/>
        <family val="2"/>
      </rPr>
      <t xml:space="preserve">由指引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22%) </t>
    </r>
    <r>
      <rPr>
        <sz val="11"/>
        <color theme="1"/>
        <rFont val="Noto Sans CJK SC"/>
        <family val="2"/>
      </rPr>
      <t xml:space="preserve">反推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</si>
  <si>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舊口徑 </t>
    </r>
    <r>
      <rPr>
        <sz val="11"/>
        <color theme="1"/>
        <rFont val="Calibri"/>
        <family val="2"/>
        <charset val="1"/>
      </rPr>
      <t xml:space="preserve">6,385</t>
    </r>
  </si>
  <si>
    <t xml:space="preserve">其他（含顯示器）</t>
  </si>
  <si>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各季新聞稿（</t>
    </r>
    <r>
      <rPr>
        <sz val="11"/>
        <color theme="1"/>
        <rFont val="Calibri"/>
        <family val="2"/>
        <charset val="1"/>
      </rPr>
      <t xml:space="preserve">ir.appliedmaterials.com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FY25 Q4</t>
    </r>
    <r>
      <rPr>
        <sz val="11"/>
        <color theme="1"/>
        <rFont val="Noto Sans CJK SC"/>
        <family val="2"/>
      </rPr>
      <t xml:space="preserve">＝營收 − 半導體系統 − </t>
    </r>
    <r>
      <rPr>
        <sz val="11"/>
        <color theme="1"/>
        <rFont val="Calibri"/>
        <family val="2"/>
        <charset val="1"/>
      </rPr>
      <t xml:space="preserve">AGS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</si>
  <si>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舊口徑顯示器 </t>
    </r>
    <r>
      <rPr>
        <sz val="11"/>
        <color theme="1"/>
        <rFont val="Calibri"/>
        <family val="2"/>
        <charset val="1"/>
      </rPr>
      <t xml:space="preserve">1,060</t>
    </r>
    <r>
      <rPr>
        <sz val="11"/>
        <color theme="1"/>
        <rFont val="Noto Sans CJK SC"/>
        <family val="2"/>
      </rPr>
      <t xml:space="preserve">（另含於公司與其他）</t>
    </r>
  </si>
  <si>
    <t xml:space="preserve">營收</t>
  </si>
  <si>
    <t xml:space="preserve">Verified</t>
  </si>
  <si>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各季新聞稿（</t>
    </r>
    <r>
      <rPr>
        <sz val="11"/>
        <color theme="1"/>
        <rFont val="Calibri"/>
        <family val="2"/>
        <charset val="1"/>
      </rPr>
      <t xml:space="preserve">ir.appliedmaterials.com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FY2025 28,368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前三季 </t>
    </r>
    <r>
      <rPr>
        <sz val="11"/>
        <color theme="1"/>
        <rFont val="Calibri"/>
        <family val="2"/>
        <charset val="1"/>
      </rPr>
      <t xml:space="preserve">24,037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</si>
  <si>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季報表（逐季相同）</t>
    </r>
  </si>
  <si>
    <r>
      <rPr>
        <sz val="11"/>
        <color theme="1"/>
        <rFont val="Noto Sans CJK SC"/>
        <family val="2"/>
      </rPr>
      <t xml:space="preserve">檢查：分部合計 − 營收（應為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</si>
  <si>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FY25 Q1–Q3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各季：公司分部表加總＝營收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</si>
  <si>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</si>
  <si>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各季新聞稿（</t>
    </r>
    <r>
      <rPr>
        <sz val="11"/>
        <color theme="1"/>
        <rFont val="Calibri"/>
        <family val="2"/>
        <charset val="1"/>
      </rPr>
      <t xml:space="preserve">ir.appliedmaterials.com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48.8%</t>
    </r>
    <r>
      <rPr>
        <sz val="11"/>
        <color theme="1"/>
        <rFont val="Noto Sans CJK SC"/>
        <family val="2"/>
      </rPr>
      <t xml:space="preserve">（四季加權 </t>
    </r>
    <r>
      <rPr>
        <sz val="11"/>
        <color theme="1"/>
        <rFont val="Calibri"/>
        <family val="2"/>
        <charset val="1"/>
      </rPr>
      <t xml:space="preserve">48.8%</t>
    </r>
    <r>
      <rPr>
        <sz val="11"/>
        <color theme="1"/>
        <rFont val="Noto Sans CJK SC"/>
        <family val="2"/>
      </rPr>
      <t xml:space="preserve">，見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欄）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</si>
  <si>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毛利率：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季報表毛利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營收（差 </t>
    </r>
    <r>
      <rPr>
        <sz val="11"/>
        <color theme="1"/>
        <rFont val="Calibri"/>
        <family val="2"/>
        <charset val="1"/>
      </rPr>
      <t xml:space="preserve">0.1 </t>
    </r>
    <r>
      <rPr>
        <sz val="11"/>
        <color theme="1"/>
        <rFont val="Noto Sans CJK SC"/>
        <family val="2"/>
      </rPr>
      <t xml:space="preserve">個百分點內）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</si>
  <si>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</si>
  <si>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毛利率（毛利率為公司公布的一位小數）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</si>
  <si>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</si>
  <si>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各季新聞稿（</t>
    </r>
    <r>
      <rPr>
        <sz val="11"/>
        <color theme="1"/>
        <rFont val="Calibri"/>
        <family val="2"/>
        <charset val="1"/>
      </rPr>
      <t xml:space="preserve">ir.appliedmaterials.com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FY2025 8,562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Q4</t>
    </r>
    <r>
      <rPr>
        <sz val="11"/>
        <color theme="1"/>
        <rFont val="Noto Sans CJK SC"/>
        <family val="2"/>
      </rPr>
      <t xml:space="preserve">＝指引毛利 − 指引營業費用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</si>
  <si>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FY26 Q1 2,096 </t>
    </r>
    <r>
      <rPr>
        <sz val="11"/>
        <color theme="1"/>
        <rFont val="Noto Sans CJK SC"/>
        <family val="2"/>
      </rPr>
      <t xml:space="preserve">不含 </t>
    </r>
    <r>
      <rPr>
        <sz val="11"/>
        <color theme="1"/>
        <rFont val="Calibri"/>
        <family val="2"/>
        <charset val="1"/>
      </rPr>
      <t xml:space="preserve">BIS </t>
    </r>
    <r>
      <rPr>
        <sz val="11"/>
        <color theme="1"/>
        <rFont val="Noto Sans CJK SC"/>
        <family val="2"/>
      </rPr>
      <t xml:space="preserve">和解金 </t>
    </r>
    <r>
      <rPr>
        <sz val="11"/>
        <color theme="1"/>
        <rFont val="Calibri"/>
        <family val="2"/>
        <charset val="1"/>
      </rPr>
      <t xml:space="preserve">253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</si>
  <si>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營業費用（毛利 − 營業利益）</t>
    </r>
  </si>
  <si>
    <r>
      <rPr>
        <sz val="11"/>
        <color theme="1"/>
        <rFont val="Calibri"/>
        <family val="2"/>
        <charset val="1"/>
      </rPr>
      <t xml:space="preserve">FY26 Q4 </t>
    </r>
    <r>
      <rPr>
        <sz val="11"/>
        <color theme="1"/>
        <rFont val="Noto Sans CJK SC"/>
        <family val="2"/>
      </rPr>
      <t xml:space="preserve">為公司指引約 </t>
    </r>
    <r>
      <rPr>
        <sz val="11"/>
        <color theme="1"/>
        <rFont val="Calibri"/>
        <family val="2"/>
        <charset val="1"/>
      </rPr>
      <t xml:space="preserve">1,580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</si>
  <si>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</si>
  <si>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各季新聞稿（</t>
    </r>
    <r>
      <rPr>
        <sz val="11"/>
        <color theme="1"/>
        <rFont val="Calibri"/>
        <family val="2"/>
        <charset val="1"/>
      </rPr>
      <t xml:space="preserve">ir.appliedmaterials.com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FY2025 7,607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Q4</t>
    </r>
    <r>
      <rPr>
        <sz val="11"/>
        <color theme="1"/>
        <rFont val="Noto Sans CJK SC"/>
        <family val="2"/>
      </rPr>
      <t xml:space="preserve">＝指引 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假設股數</t>
    </r>
  </si>
  <si>
    <t xml:space="preserve">稀釋加權股數（百萬股）</t>
  </si>
  <si>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各季新聞稿（</t>
    </r>
    <r>
      <rPr>
        <sz val="11"/>
        <color theme="1"/>
        <rFont val="Calibri"/>
        <family val="2"/>
        <charset val="1"/>
      </rPr>
      <t xml:space="preserve">ir.appliedmaterials.com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</si>
  <si>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</si>
  <si>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（美元）</t>
    </r>
  </si>
  <si>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各季新聞稿（</t>
    </r>
    <r>
      <rPr>
        <sz val="11"/>
        <color theme="1"/>
        <rFont val="Calibri"/>
        <family val="2"/>
        <charset val="1"/>
      </rPr>
      <t xml:space="preserve">ir.appliedmaterials.com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FY2025 9.42</t>
    </r>
    <r>
      <rPr>
        <sz val="11"/>
        <color theme="1"/>
        <rFont val="Noto Sans CJK SC"/>
        <family val="2"/>
      </rPr>
      <t xml:space="preserve">（四季合計 </t>
    </r>
    <r>
      <rPr>
        <sz val="11"/>
        <color theme="1"/>
        <rFont val="Calibri"/>
        <family val="2"/>
        <charset val="1"/>
      </rPr>
      <t xml:space="preserve">9.42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</si>
  <si>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12.79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</si>
  <si>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（美元；參考）</t>
    </r>
  </si>
  <si>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各季新聞稿（</t>
    </r>
    <r>
      <rPr>
        <sz val="11"/>
        <color theme="1"/>
        <rFont val="Calibri"/>
        <family val="2"/>
        <charset val="1"/>
      </rPr>
      <t xml:space="preserve">ir.appliedmaterials.com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FY2025 8.66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8.61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</si>
  <si>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季報表（逐季相同）；</t>
    </r>
    <r>
      <rPr>
        <sz val="11"/>
        <color theme="1"/>
        <rFont val="Calibri"/>
        <family val="2"/>
        <charset val="1"/>
      </rPr>
      <t xml:space="preserve">FY26 Q1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BIS </t>
    </r>
    <r>
      <rPr>
        <sz val="11"/>
        <color theme="1"/>
        <rFont val="Noto Sans CJK SC"/>
        <family val="2"/>
      </rPr>
      <t xml:space="preserve">和解金 </t>
    </r>
    <r>
      <rPr>
        <sz val="11"/>
        <color theme="1"/>
        <rFont val="Calibri"/>
        <family val="2"/>
        <charset val="1"/>
      </rPr>
      <t xml:space="preserve">253</t>
    </r>
    <r>
      <rPr>
        <sz val="11"/>
        <color theme="1"/>
        <rFont val="Noto Sans CJK SC"/>
        <family val="2"/>
      </rPr>
      <t xml:space="preserve">（每股 </t>
    </r>
    <r>
      <rPr>
        <sz val="11"/>
        <color theme="1"/>
        <rFont val="Calibri"/>
        <family val="2"/>
        <charset val="1"/>
      </rPr>
      <t xml:space="preserve">0.32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含投資評價益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</si>
  <si>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淨利（參考）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</si>
  <si>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季報表</t>
    </r>
  </si>
  <si>
    <t xml:space="preserve">半導體系統：晶圓代工、邏輯與其他 占比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</si>
  <si>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</si>
  <si>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各季新聞稿（</t>
    </r>
    <r>
      <rPr>
        <sz val="11"/>
        <color theme="1"/>
        <rFont val="Calibri"/>
        <family val="2"/>
        <charset val="1"/>
      </rPr>
      <t xml:space="preserve">ir.appliedmaterials.com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FY25 Q4 </t>
    </r>
    <r>
      <rPr>
        <sz val="11"/>
        <color theme="1"/>
        <rFont val="Noto Sans CJK SC"/>
        <family val="2"/>
      </rPr>
      <t xml:space="preserve">為舊口徑：</t>
    </r>
    <r>
      <rPr>
        <sz val="11"/>
        <color theme="1"/>
        <rFont val="Calibri"/>
        <family val="2"/>
        <charset val="1"/>
      </rPr>
      <t xml:space="preserve">FY25 Q4 </t>
    </r>
    <r>
      <rPr>
        <sz val="11"/>
        <color theme="1"/>
        <rFont val="Noto Sans CJK SC"/>
        <family val="2"/>
      </rPr>
      <t xml:space="preserve">新聞稿；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67%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</si>
  <si>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FY26 Q4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q4_dr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q4_nd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</si>
  <si>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半導體系統：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</si>
  <si>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各季新聞稿（</t>
    </r>
    <r>
      <rPr>
        <sz val="11"/>
        <color theme="1"/>
        <rFont val="Calibri"/>
        <family val="2"/>
        <charset val="1"/>
      </rPr>
      <t xml:space="preserve">ir.appliedmaterials.com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</si>
  <si>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Q3 FY26 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封裝）年增 </t>
    </r>
    <r>
      <rPr>
        <sz val="11"/>
        <color theme="1"/>
        <rFont val="Calibri"/>
        <family val="2"/>
        <charset val="1"/>
      </rPr>
      <t xml:space="preserve">52%</t>
    </r>
    <r>
      <rPr>
        <sz val="11"/>
        <color theme="1"/>
        <rFont val="Noto Sans CJK SC"/>
        <family val="2"/>
      </rPr>
      <t xml:space="preserve">（法說）</t>
    </r>
  </si>
  <si>
    <r>
      <rPr>
        <sz val="11"/>
        <color theme="1"/>
        <rFont val="Noto Sans CJK SC"/>
        <family val="2"/>
      </rPr>
      <t xml:space="preserve">半導體系統：</t>
    </r>
    <r>
      <rPr>
        <sz val="11"/>
        <color theme="1"/>
        <rFont val="Calibri"/>
        <family val="2"/>
        <charset val="1"/>
      </rPr>
      <t xml:space="preserve">Flash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NAND</t>
    </r>
    <r>
      <rPr>
        <sz val="11"/>
        <color theme="1"/>
        <rFont val="Noto Sans CJK SC"/>
        <family val="2"/>
      </rPr>
      <t xml:space="preserve">）占比</t>
    </r>
  </si>
  <si>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各季新聞稿（</t>
    </r>
    <r>
      <rPr>
        <sz val="11"/>
        <color theme="1"/>
        <rFont val="Calibri"/>
        <family val="2"/>
        <charset val="1"/>
      </rPr>
      <t xml:space="preserve">ir.appliedmaterials.com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）</t>
    </r>
  </si>
  <si>
    <t xml:space="preserve">中國營收</t>
  </si>
  <si>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各季新聞稿（</t>
    </r>
    <r>
      <rPr>
        <sz val="11"/>
        <color theme="1"/>
        <rFont val="Calibri"/>
        <family val="2"/>
        <charset val="1"/>
      </rPr>
      <t xml:space="preserve">ir.appliedmaterials.com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FY2025 8,529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FY2024 10,117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</si>
  <si>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：中國占比降至約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Finance 2025-11-14</t>
    </r>
    <r>
      <rPr>
        <sz val="11"/>
        <color theme="1"/>
        <rFont val="Noto Sans CJK SC"/>
        <family val="2"/>
      </rPr>
      <t xml:space="preserve">）</t>
    </r>
  </si>
  <si>
    <t xml:space="preserve">中國占營收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</si>
  <si>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28%</t>
    </r>
  </si>
  <si>
    <r>
      <rPr>
        <sz val="11"/>
        <color theme="1"/>
        <rFont val="Noto Sans CJK SC"/>
        <family val="2"/>
      </rPr>
      <t xml:space="preserve">檢查：四季合計 − 全年公布值（營收、毛利率、營業利益、淨利、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、中國 依序在 </t>
    </r>
    <r>
      <rPr>
        <sz val="11"/>
        <color theme="1"/>
        <rFont val="Calibri"/>
        <family val="2"/>
        <charset val="1"/>
      </rPr>
      <t xml:space="preserve">B–G </t>
    </r>
    <r>
      <rPr>
        <sz val="11"/>
        <color theme="1"/>
        <rFont val="Noto Sans CJK SC"/>
        <family val="2"/>
      </rPr>
      <t xml:space="preserve">欄）</t>
    </r>
  </si>
  <si>
    <r>
      <rPr>
        <sz val="11"/>
        <color theme="1"/>
        <rFont val="Noto Sans CJK SC"/>
        <family val="2"/>
      </rPr>
      <t xml:space="preserve">毛利率差為四捨五入（公司公布 </t>
    </r>
    <r>
      <rPr>
        <sz val="11"/>
        <color theme="1"/>
        <rFont val="Calibri"/>
        <family val="2"/>
        <charset val="1"/>
      </rPr>
      <t xml:space="preserve">48.8%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</si>
  <si>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錨點的組成（前三季實績＋第四季指引）</t>
    </r>
  </si>
  <si>
    <t xml:space="preserve">前三季實績</t>
  </si>
  <si>
    <t xml:space="preserve">第四季指引</t>
  </si>
  <si>
    <t xml:space="preserve">FY2025</t>
  </si>
  <si>
    <t xml:space="preserve">年增</t>
  </si>
  <si>
    <r>
      <rPr>
        <b val="true"/>
        <sz val="11"/>
        <rFont val="Noto Sans CJK SC"/>
        <family val="2"/>
      </rPr>
      <t xml:space="preserve">第四季 </t>
    </r>
    <r>
      <rPr>
        <b val="true"/>
        <sz val="11"/>
        <rFont val="Cambria"/>
        <family val="0"/>
        <charset val="1"/>
      </rPr>
      <t xml:space="preserve">× 4</t>
    </r>
    <r>
      <rPr>
        <b val="true"/>
        <sz val="11"/>
        <rFont val="Noto Sans CJK SC"/>
        <family val="2"/>
      </rPr>
      <t xml:space="preserve">（年化）</t>
    </r>
  </si>
  <si>
    <t xml:space="preserve">半導體系統</t>
  </si>
  <si>
    <t xml:space="preserve">AGS</t>
  </si>
  <si>
    <t xml:space="preserve">其他</t>
  </si>
  <si>
    <t xml:space="preserve">non-GAAP EPS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</si>
  <si>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營業利益率：</t>
    </r>
    <r>
      <rPr>
        <sz val="11"/>
        <color theme="1"/>
        <rFont val="Calibri"/>
        <family val="2"/>
        <charset val="1"/>
      </rPr>
      <t xml:space="preserve">FY2025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</si>
  <si>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營業利益率：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</si>
  <si>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；只作對照）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</si>
  <si>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晶圓廠設備市場（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成品，三情境）：日曆年 → </t>
    </r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會計年度（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fyw×CY(t−1)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(1−fyw)×CY(t)</t>
    </r>
    <r>
      <rPr>
        <sz val="11"/>
        <color theme="1"/>
        <rFont val="Noto Sans CJK SC"/>
        <family val="2"/>
      </rPr>
      <t xml:space="preserve">），以及 </t>
    </r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半導體系統占市場的隱含份額（只作檢驗，不校準）</t>
    </r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</si>
  <si>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</si>
  <si>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</si>
  <si>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</si>
  <si>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</si>
  <si>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</si>
  <si>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</si>
  <si>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：日曆年（</t>
    </r>
    <r>
      <rPr>
        <b val="true"/>
        <sz val="11"/>
        <rFont val="Cambria"/>
        <family val="0"/>
        <charset val="1"/>
      </rPr>
      <t xml:space="preserve">CY</t>
    </r>
    <r>
      <rPr>
        <b val="true"/>
        <sz val="11"/>
        <rFont val="Noto Sans CJK SC"/>
        <family val="2"/>
      </rPr>
      <t xml:space="preserve">）</t>
    </r>
  </si>
  <si>
    <t xml:space="preserve">  晶圓代工、邏輯與其他（先進邏輯＋其他代工邏輯＋其他前段）</t>
  </si>
  <si>
    <r>
      <rPr>
        <sz val="11"/>
        <color theme="1"/>
        <rFont val="Calibri"/>
        <family val="2"/>
        <charset val="1"/>
      </rPr>
      <t xml:space="preserve">  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</si>
  <si>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t xml:space="preserve">  NAND</t>
  </si>
  <si>
    <t xml:space="preserve">  合計（晶圓前段）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</si>
  <si>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：會計年度（</t>
    </r>
    <r>
      <rPr>
        <b val="true"/>
        <sz val="11"/>
        <rFont val="Cambria"/>
        <family val="0"/>
        <charset val="1"/>
      </rPr>
      <t xml:space="preserve">FY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需 </t>
    </r>
    <r>
      <rPr>
        <b val="true"/>
        <sz val="11"/>
        <rFont val="Cambria"/>
        <family val="0"/>
        <charset val="1"/>
      </rPr>
      <t xml:space="preserve">CY2024</t>
    </r>
    <r>
      <rPr>
        <b val="true"/>
        <sz val="11"/>
        <rFont val="Noto Sans CJK SC"/>
        <family val="2"/>
      </rPr>
      <t xml:space="preserve">，市場層沒有，留空）</t>
    </r>
  </si>
  <si>
    <t xml:space="preserve">  晶圓代工、邏輯與其他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</si>
  <si>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：日曆年（</t>
    </r>
    <r>
      <rPr>
        <b val="true"/>
        <sz val="11"/>
        <rFont val="Cambria"/>
        <family val="0"/>
        <charset val="1"/>
      </rPr>
      <t xml:space="preserve">CY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</si>
  <si>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：會計年度（</t>
    </r>
    <r>
      <rPr>
        <b val="true"/>
        <sz val="11"/>
        <rFont val="Cambria"/>
        <family val="0"/>
        <charset val="1"/>
      </rPr>
      <t xml:space="preserve">FY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需 </t>
    </r>
    <r>
      <rPr>
        <b val="true"/>
        <sz val="11"/>
        <rFont val="Cambria"/>
        <family val="0"/>
        <charset val="1"/>
      </rPr>
      <t xml:space="preserve">CY2024</t>
    </r>
    <r>
      <rPr>
        <b val="true"/>
        <sz val="11"/>
        <rFont val="Noto Sans CJK SC"/>
        <family val="2"/>
      </rPr>
      <t xml:space="preserve">，市場層沒有，留空）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</si>
  <si>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：日曆年（</t>
    </r>
    <r>
      <rPr>
        <b val="true"/>
        <sz val="11"/>
        <rFont val="Cambria"/>
        <family val="0"/>
        <charset val="1"/>
      </rPr>
      <t xml:space="preserve">CY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</si>
  <si>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：會計年度（</t>
    </r>
    <r>
      <rPr>
        <b val="true"/>
        <sz val="11"/>
        <rFont val="Cambria"/>
        <family val="0"/>
        <charset val="1"/>
      </rPr>
      <t xml:space="preserve">FY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需 </t>
    </r>
    <r>
      <rPr>
        <b val="true"/>
        <sz val="11"/>
        <rFont val="Cambria"/>
        <family val="0"/>
        <charset val="1"/>
      </rPr>
      <t xml:space="preserve">CY2024</t>
    </r>
    <r>
      <rPr>
        <b val="true"/>
        <sz val="11"/>
        <rFont val="Noto Sans CJK SC"/>
        <family val="2"/>
      </rPr>
      <t xml:space="preserve">，市場層沒有，留空）</t>
    </r>
  </si>
  <si>
    <r>
      <rPr>
        <b val="true"/>
        <sz val="11"/>
        <rFont val="Cambria"/>
        <family val="0"/>
        <charset val="1"/>
      </rPr>
      <t xml:space="preserve">AMAT </t>
    </r>
    <r>
      <rPr>
        <b val="true"/>
        <sz val="11"/>
        <rFont val="Noto Sans CJK SC"/>
        <family val="2"/>
      </rPr>
      <t xml:space="preserve">半導體系統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會計年度晶圓前段市場（隱含份額；情境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起份額係數 </t>
    </r>
    <r>
      <rPr>
        <b val="true"/>
        <sz val="11"/>
        <rFont val="Cambria"/>
        <family val="0"/>
        <charset val="1"/>
      </rPr>
      <t xml:space="preserve">sf </t>
    </r>
    <r>
      <rPr>
        <b val="true"/>
        <sz val="11"/>
        <rFont val="Noto Sans CJK SC"/>
        <family val="2"/>
      </rPr>
      <t xml:space="preserve">決定變化）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</si>
  <si>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</si>
  <si>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半導體系統也含先進封裝等後段設備，故份額略高於純前段口徑</t>
    </r>
  </si>
  <si>
    <r>
      <rPr>
        <sz val="11"/>
        <color theme="1"/>
        <rFont val="Noto Sans CJK SC"/>
        <family val="2"/>
      </rPr>
      <t xml:space="preserve">說明：</t>
    </r>
    <r>
      <rPr>
        <sz val="11"/>
        <color theme="1"/>
        <rFont val="Calibri"/>
        <family val="2"/>
        <charset val="1"/>
      </rPr>
      <t xml:space="preserve">AMAT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Foundry, logic and other</t>
    </r>
    <r>
      <rPr>
        <sz val="11"/>
        <color theme="1"/>
        <rFont val="Noto Sans CJK SC"/>
        <family val="2"/>
      </rPr>
      <t xml:space="preserve">」含 </t>
    </r>
    <r>
      <rPr>
        <sz val="11"/>
        <color theme="1"/>
        <rFont val="Calibri"/>
        <family val="2"/>
        <charset val="1"/>
      </rPr>
      <t xml:space="preserve">ICAPS</t>
    </r>
    <r>
      <rPr>
        <sz val="11"/>
        <color theme="1"/>
        <rFont val="Noto Sans CJK SC"/>
        <family val="2"/>
      </rPr>
      <t xml:space="preserve">（成熟製程、功率、類比、物聯網等），故以設備市場的先進邏輯＋其他代工邏輯＋其他前段為對應；設備市場模型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年以後高於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7–10%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markets/equipment Recon</t>
    </r>
    <r>
      <rPr>
        <sz val="11"/>
        <color theme="1"/>
        <rFont val="Noto Sans CJK SC"/>
        <family val="2"/>
      </rPr>
      <t xml:space="preserve">），本模型只用各終端市場的成長指數，水準由 </t>
    </r>
    <r>
      <rPr>
        <sz val="11"/>
        <color theme="1"/>
        <rFont val="Calibri"/>
        <family val="2"/>
        <charset val="1"/>
      </rPr>
      <t xml:space="preserve">AMAT FY2026 </t>
    </r>
    <r>
      <rPr>
        <sz val="11"/>
        <color theme="1"/>
        <rFont val="Noto Sans CJK SC"/>
        <family val="2"/>
      </rPr>
      <t xml:space="preserve">錨點決定。</t>
    </r>
  </si>
  <si>
    <r>
      <rPr>
        <sz val="11"/>
        <color theme="1"/>
        <rFont val="Calibri"/>
        <family val="2"/>
        <charset val="1"/>
      </rPr>
      <t xml:space="preserve">PL — Applied Materials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為實績，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為錨點（前三季實績＋第四季指引），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為模型）。三情境各一個完整推導區塊（見下方），本頁頂端為摘要</t>
    </r>
  </si>
  <si>
    <t xml:space="preserve">情境／項目</t>
  </si>
  <si>
    <t xml:space="preserve">FY2025A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</si>
  <si>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</si>
  <si>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</si>
  <si>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</si>
  <si>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</si>
  <si>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</si>
  <si>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半導體系統</t>
  </si>
  <si>
    <r>
      <rPr>
        <sz val="11"/>
        <color theme="1"/>
        <rFont val="Calibri"/>
        <family val="2"/>
        <charset val="1"/>
      </rPr>
      <t xml:space="preserve">  AGS </t>
    </r>
    <r>
      <rPr>
        <sz val="11"/>
        <color theme="1"/>
        <rFont val="Noto Sans CJK SC"/>
        <family val="2"/>
      </rPr>
      <t xml:space="preserve">服務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</si>
  <si>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營業利益率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</si>
  <si>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</si>
  <si>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</si>
  <si>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三情境相同（錨點）；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1/6 </t>
    </r>
    <r>
      <rPr>
        <b val="true"/>
        <sz val="11"/>
        <rFont val="Noto Sans CJK SC"/>
        <family val="2"/>
      </rPr>
      <t xml:space="preserve">落在 </t>
    </r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5/6 </t>
    </r>
    <r>
      <rPr>
        <b val="true"/>
        <sz val="11"/>
        <rFont val="Noto Sans CJK SC"/>
        <family val="2"/>
      </rPr>
      <t xml:space="preserve">在 </t>
    </r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，設備市場三情境在 </t>
    </r>
    <r>
      <rPr>
        <b val="true"/>
        <sz val="11"/>
        <rFont val="Cambria"/>
        <family val="0"/>
        <charset val="1"/>
      </rPr>
      <t xml:space="preserve">CY2027 </t>
    </r>
    <r>
      <rPr>
        <b val="true"/>
        <sz val="11"/>
        <rFont val="Noto Sans CJK SC"/>
        <family val="2"/>
      </rPr>
      <t xml:space="preserve">以前相同，所以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只有情境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的出口管制調整造成差異；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起情境差異來自設備市場。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</si>
  <si>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：設備市場續增（</t>
    </r>
    <r>
      <rPr>
        <b val="true"/>
        <sz val="11"/>
        <rFont val="Cambria"/>
        <family val="0"/>
        <charset val="1"/>
      </rPr>
      <t xml:space="preserve">2028 +12.7%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+5.9%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markets/equipment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</si>
  <si>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市場（日曆年 </t>
    </r>
    <r>
      <rPr>
        <b val="true"/>
        <sz val="11"/>
        <rFont val="Cambria"/>
        <family val="0"/>
        <charset val="1"/>
      </rPr>
      <t xml:space="preserve">CY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；讀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頁的設備市場成品）</t>
    </r>
  </si>
  <si>
    <r>
      <rPr>
        <sz val="11"/>
        <color theme="1"/>
        <rFont val="Noto Sans CJK SC"/>
        <family val="2"/>
      </rPr>
      <t xml:space="preserve">晶圓代工、邏輯與其他 </t>
    </r>
    <r>
      <rPr>
        <sz val="11"/>
        <color theme="1"/>
        <rFont val="Calibri"/>
        <family val="2"/>
        <charset val="1"/>
      </rPr>
      <t xml:space="preserve">CY</t>
    </r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</si>
  <si>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</t>
    </r>
  </si>
  <si>
    <t xml:space="preserve">NAND CY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</si>
  <si>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會計年度（</t>
    </r>
    <r>
      <rPr>
        <b val="true"/>
        <sz val="11"/>
        <rFont val="Cambria"/>
        <family val="0"/>
        <charset val="1"/>
      </rPr>
      <t xml:space="preserve">FY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fyw×CY(t−1)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(1−fyw)×CY(t)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</si>
  <si>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晶圓代工、邏輯與其他 </t>
    </r>
    <r>
      <rPr>
        <sz val="11"/>
        <color theme="1"/>
        <rFont val="Calibri"/>
        <family val="2"/>
        <charset val="1"/>
      </rPr>
      <t xml:space="preserve">FY</t>
    </r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</si>
  <si>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</t>
    </r>
  </si>
  <si>
    <t xml:space="preserve">NAND FY</t>
  </si>
  <si>
    <r>
      <rPr>
        <sz val="11"/>
        <color theme="1"/>
        <rFont val="Noto Sans CJK SC"/>
        <family val="2"/>
      </rPr>
      <t xml:space="preserve">半導體系統需求指數（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終端市場權重加權）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</si>
  <si>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FY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市場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</si>
  <si>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損益（</t>
    </r>
    <r>
      <rPr>
        <b val="true"/>
        <sz val="11"/>
        <rFont val="Cambria"/>
        <family val="0"/>
        <charset val="1"/>
      </rPr>
      <t xml:space="preserve">US$M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實績、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錨點＝前三季實績＋第四季指引、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起模型）</t>
    </r>
  </si>
  <si>
    <t xml:space="preserve">半導體系統：需求推導（調整前）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</si>
  <si>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需求指數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份額係數</t>
    </r>
  </si>
  <si>
    <r>
      <rPr>
        <sz val="11"/>
        <color theme="1"/>
        <rFont val="Calibri"/>
        <family val="2"/>
        <charset val="1"/>
      </rPr>
      <t xml:space="preserve">AGS</t>
    </r>
    <r>
      <rPr>
        <sz val="11"/>
        <color theme="1"/>
        <rFont val="Noto Sans CJK SC"/>
        <family val="2"/>
      </rPr>
      <t xml:space="preserve">：成長路徑（調整前）</t>
    </r>
  </si>
  <si>
    <r>
      <rPr>
        <sz val="11"/>
        <color theme="1"/>
        <rFont val="Noto Sans CJK SC"/>
        <family val="2"/>
      </rPr>
      <t xml:space="preserve">出口管制與中國調整（依半導體系統、</t>
    </r>
    <r>
      <rPr>
        <sz val="11"/>
        <color theme="1"/>
        <rFont val="Calibri"/>
        <family val="2"/>
        <charset val="1"/>
      </rPr>
      <t xml:space="preserve">AGS </t>
    </r>
    <r>
      <rPr>
        <sz val="11"/>
        <color theme="1"/>
        <rFont val="Noto Sans CJK SC"/>
        <family val="2"/>
      </rPr>
      <t xml:space="preserve">營收比例分攤到兩分部）</t>
    </r>
  </si>
  <si>
    <r>
      <rPr>
        <sz val="11"/>
        <color theme="1"/>
        <rFont val="Noto Sans CJK SC"/>
        <family val="2"/>
      </rPr>
      <t xml:space="preserve">關係企業規則恢復（情境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）；中國下修只在 </t>
    </r>
    <r>
      <rPr>
        <sz val="11"/>
        <color theme="1"/>
        <rFont val="Calibri"/>
        <family val="2"/>
        <charset val="1"/>
      </rPr>
      <t xml:space="preserve">Sens</t>
    </r>
  </si>
  <si>
    <t xml:space="preserve">半導體系統營收</t>
  </si>
  <si>
    <r>
      <rPr>
        <sz val="11"/>
        <color theme="1"/>
        <rFont val="Noto Sans CJK SC"/>
        <family val="2"/>
      </rPr>
      <t xml:space="preserve">官方分部 </t>
    </r>
    <r>
      <rPr>
        <sz val="11"/>
        <color theme="1"/>
        <rFont val="Calibri"/>
        <family val="2"/>
        <charset val="1"/>
      </rPr>
      <t xml:space="preserve">Semiconductor Systems</t>
    </r>
  </si>
  <si>
    <r>
      <rPr>
        <sz val="11"/>
        <color theme="1"/>
        <rFont val="Calibri"/>
        <family val="2"/>
        <charset val="1"/>
      </rPr>
      <t xml:space="preserve">AGS </t>
    </r>
    <r>
      <rPr>
        <sz val="11"/>
        <color theme="1"/>
        <rFont val="Noto Sans CJK SC"/>
        <family val="2"/>
      </rPr>
      <t xml:space="preserve">服務營收</t>
    </r>
  </si>
  <si>
    <r>
      <rPr>
        <sz val="11"/>
        <color theme="1"/>
        <rFont val="Noto Sans CJK SC"/>
        <family val="2"/>
      </rPr>
      <t xml:space="preserve">官方分部 </t>
    </r>
    <r>
      <rPr>
        <sz val="11"/>
        <color theme="1"/>
        <rFont val="Calibri"/>
        <family val="2"/>
        <charset val="1"/>
      </rPr>
      <t xml:space="preserve">Applied Global Services</t>
    </r>
  </si>
  <si>
    <t xml:space="preserve">其他（含顯示器）營收</t>
  </si>
  <si>
    <r>
      <rPr>
        <sz val="11"/>
        <color theme="1"/>
        <rFont val="Noto Sans CJK SC"/>
        <family val="2"/>
      </rPr>
      <t xml:space="preserve">官方：</t>
    </r>
    <r>
      <rPr>
        <sz val="11"/>
        <color theme="1"/>
        <rFont val="Calibri"/>
        <family val="2"/>
        <charset val="1"/>
      </rPr>
      <t xml:space="preserve">Corporate and Other</t>
    </r>
    <r>
      <rPr>
        <sz val="11"/>
        <color theme="1"/>
        <rFont val="Noto Sans CJK SC"/>
        <family val="2"/>
      </rPr>
      <t xml:space="preserve">（含顯示器）</t>
    </r>
  </si>
  <si>
    <r>
      <rPr>
        <sz val="11"/>
        <color theme="1"/>
        <rFont val="Noto Sans CJK SC"/>
        <family val="2"/>
      </rPr>
      <t xml:space="preserve">檢查：分部合計 − 合併營收（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錨點）</t>
    </r>
  </si>
  <si>
    <r>
      <rPr>
        <sz val="11"/>
        <color theme="1"/>
        <rFont val="Noto Sans CJK SC"/>
        <family val="2"/>
      </rPr>
      <t xml:space="preserve">營業成本＝固定＋變動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營收（兩點推導）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</si>
  <si>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</si>
  <si>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Noto Sans CJK SC"/>
        <family val="2"/>
      </rPr>
      <t xml:space="preserve">固定＋變動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營收（兩點推導）</t>
    </r>
  </si>
  <si>
    <t xml:space="preserve">稀釋股數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</si>
  <si>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</si>
  <si>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＝前三季實績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合計＋第四季指引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</si>
  <si>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半導體系統 </t>
    </r>
    <r>
      <rPr>
        <sz val="11"/>
        <color theme="1"/>
        <rFont val="Calibri"/>
        <family val="2"/>
        <charset val="1"/>
      </rPr>
      <t xml:space="preserve">÷ FY </t>
    </r>
    <r>
      <rPr>
        <sz val="11"/>
        <color theme="1"/>
        <rFont val="Noto Sans CJK SC"/>
        <family val="2"/>
      </rPr>
      <t xml:space="preserve">晶圓前段市場（隱含份額）</t>
    </r>
  </si>
  <si>
    <r>
      <rPr>
        <sz val="11"/>
        <color theme="1"/>
        <rFont val="Noto Sans CJK SC"/>
        <family val="2"/>
      </rPr>
      <t xml:space="preserve">檢驗用；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起等於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份額係數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組合效果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</si>
  <si>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：設備市場 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持平、</t>
    </r>
    <r>
      <rPr>
        <b val="true"/>
        <sz val="11"/>
        <rFont val="Cambria"/>
        <family val="0"/>
        <charset val="1"/>
      </rPr>
      <t xml:space="preserve">2029 −5%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AGS </t>
    </r>
    <r>
      <rPr>
        <b val="true"/>
        <sz val="11"/>
        <rFont val="Noto Sans CJK SC"/>
        <family val="2"/>
      </rPr>
      <t xml:space="preserve">成長放緩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</si>
  <si>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：設備市場 </t>
    </r>
    <r>
      <rPr>
        <b val="true"/>
        <sz val="11"/>
        <rFont val="Cambria"/>
        <family val="0"/>
        <charset val="1"/>
      </rPr>
      <t xml:space="preserve">2028 −20%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Noto Sans CJK SC"/>
        <family val="2"/>
      </rPr>
      <t xml:space="preserve">持平；關係企業規則恢復；</t>
    </r>
    <r>
      <rPr>
        <b val="true"/>
        <sz val="11"/>
        <rFont val="Cambria"/>
        <family val="0"/>
        <charset val="1"/>
      </rPr>
      <t xml:space="preserve">AGS</t>
    </r>
    <r>
      <rPr>
        <b val="true"/>
        <sz val="11"/>
        <rFont val="Noto Sans CJK SC"/>
        <family val="2"/>
      </rPr>
      <t xml:space="preserve">、顯示器放緩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</si>
  <si>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新增）：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</si>
  <si>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＝十年平均）；股數維持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與淨利同比例）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</si>
  <si>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</si>
  <si>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</si>
  <si>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</si>
  <si>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</si>
  <si>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</si>
  <si>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</si>
  <si>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</si>
  <si>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</si>
  <si>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</si>
  <si>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</si>
  <si>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</si>
  <si>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</si>
  <si>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估值（美元；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分位。循環位置依設備股共用規則（見第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</si>
  <si>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定義（自算）：日曆年底收盤價（未調整股利）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月結束的會計年度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10/12 </t>
    </r>
    <r>
      <rPr>
        <sz val="11"/>
        <color theme="1"/>
        <rFont val="Noto Sans CJK SC"/>
        <family val="2"/>
      </rPr>
      <t xml:space="preserve">落在日曆年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，與模型對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套用倍數的口徑一致）；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口徑另列對照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</si>
  <si>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加權）：見本頁第 </t>
    </r>
    <r>
      <rPr>
        <sz val="11"/>
        <color theme="1"/>
        <rFont val="Calibri"/>
        <family val="2"/>
        <charset val="1"/>
      </rPr>
      <t xml:space="preserve">102 </t>
    </r>
    <r>
      <rPr>
        <sz val="11"/>
        <color theme="1"/>
        <rFont val="Noto Sans CJK SC"/>
        <family val="2"/>
      </rPr>
      <t xml:space="preserve">列起「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目標價」（估值 </t>
    </r>
    <r>
      <rPr>
        <sz val="11"/>
        <color theme="1"/>
        <rFont val="Calibri"/>
        <family val="2"/>
        <charset val="1"/>
      </rPr>
      <t xml:space="preserve">v2 </t>
    </r>
    <r>
      <rPr>
        <sz val="11"/>
        <color theme="1"/>
        <rFont val="Noto Sans CJK SC"/>
        <family val="2"/>
      </rPr>
      <t xml:space="preserve">新增，放在既有內容之後以免位移既有列）；原「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目標價與上檔空間」改名為「舊法：規則值情境加權（參考）」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</si>
  <si>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公司公布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（會計年度，美元）— 兩個口徑、兩個來源</t>
    </r>
  </si>
  <si>
    <r>
      <rPr>
        <b val="true"/>
        <sz val="11"/>
        <rFont val="Noto Sans CJK SC"/>
        <family val="2"/>
      </rPr>
      <t xml:space="preserve">會計年度（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月底結束）</t>
    </r>
  </si>
  <si>
    <r>
      <rPr>
        <b val="true"/>
        <sz val="11"/>
        <rFont val="Cambria"/>
        <family val="0"/>
        <charset val="1"/>
      </rPr>
      <t xml:space="preserve">non-GAAP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（公司新聞稿）</t>
    </r>
  </si>
  <si>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（公司新聞稿）</t>
    </r>
  </si>
  <si>
    <r>
      <rPr>
        <b val="true"/>
        <sz val="11"/>
        <rFont val="Cambria"/>
        <family val="0"/>
        <charset val="1"/>
      </rPr>
      <t xml:space="preserve">GAAP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</si>
  <si>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兩來源差距</t>
    </r>
  </si>
  <si>
    <t xml:space="preserve">FY2016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</si>
  <si>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FY2016 Q4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 2016-11</t>
    </r>
    <r>
      <rPr>
        <sz val="11"/>
        <color theme="1"/>
        <rFont val="Noto Sans CJK SC"/>
        <family val="2"/>
      </rPr>
      <t xml:space="preserve">）</t>
    </r>
  </si>
  <si>
    <t xml:space="preserve">FY2017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</si>
  <si>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FY2018 Q4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FY2017 </t>
    </r>
    <r>
      <rPr>
        <sz val="11"/>
        <color theme="1"/>
        <rFont val="Noto Sans CJK SC"/>
        <family val="2"/>
      </rPr>
      <t xml:space="preserve">比較數）；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ASC 606 </t>
    </r>
    <r>
      <rPr>
        <sz val="11"/>
        <color theme="1"/>
        <rFont val="Noto Sans CJK SC"/>
        <family val="2"/>
      </rPr>
      <t xml:space="preserve">追溯重編後</t>
    </r>
  </si>
  <si>
    <t xml:space="preserve">FY2018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</si>
  <si>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FY2018 Q4 </t>
    </r>
    <r>
      <rPr>
        <sz val="11"/>
        <color theme="1"/>
        <rFont val="Noto Sans CJK SC"/>
        <family val="2"/>
      </rPr>
      <t xml:space="preserve">新聞稿；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ASC 606 </t>
    </r>
    <r>
      <rPr>
        <sz val="11"/>
        <color theme="1"/>
        <rFont val="Noto Sans CJK SC"/>
        <family val="2"/>
      </rPr>
      <t xml:space="preserve">追溯重編後（</t>
    </r>
    <r>
      <rPr>
        <sz val="11"/>
        <color theme="1"/>
        <rFont val="Calibri"/>
        <family val="2"/>
        <charset val="1"/>
      </rPr>
      <t xml:space="preserve">FY2019 </t>
    </r>
    <r>
      <rPr>
        <sz val="11"/>
        <color theme="1"/>
        <rFont val="Noto Sans CJK SC"/>
        <family val="2"/>
      </rPr>
      <t xml:space="preserve">採用）</t>
    </r>
  </si>
  <si>
    <t xml:space="preserve">FY2019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</si>
  <si>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FY2020 Q4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FY2019 </t>
    </r>
    <r>
      <rPr>
        <sz val="11"/>
        <color theme="1"/>
        <rFont val="Noto Sans CJK SC"/>
        <family val="2"/>
      </rPr>
      <t xml:space="preserve">比較數）</t>
    </r>
  </si>
  <si>
    <t xml:space="preserve">FY2020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</si>
  <si>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FY2020 Q4 </t>
    </r>
    <r>
      <rPr>
        <sz val="11"/>
        <color theme="1"/>
        <rFont val="Noto Sans CJK SC"/>
        <family val="2"/>
      </rPr>
      <t xml:space="preserve">新聞稿</t>
    </r>
  </si>
  <si>
    <t xml:space="preserve">FY2021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</si>
  <si>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FY2021 Q4 </t>
    </r>
    <r>
      <rPr>
        <sz val="11"/>
        <color theme="1"/>
        <rFont val="Noto Sans CJK SC"/>
        <family val="2"/>
      </rPr>
      <t xml:space="preserve">新聞稿</t>
    </r>
  </si>
  <si>
    <t xml:space="preserve">FY2022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</si>
  <si>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FY2023 Q4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FY2022 </t>
    </r>
    <r>
      <rPr>
        <sz val="11"/>
        <color theme="1"/>
        <rFont val="Noto Sans CJK SC"/>
        <family val="2"/>
      </rPr>
      <t xml:space="preserve">比較數）</t>
    </r>
  </si>
  <si>
    <t xml:space="preserve">FY2023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</si>
  <si>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FY2023 Q4 </t>
    </r>
    <r>
      <rPr>
        <sz val="11"/>
        <color theme="1"/>
        <rFont val="Noto Sans CJK SC"/>
        <family val="2"/>
      </rPr>
      <t xml:space="preserve">新聞稿</t>
    </r>
  </si>
  <si>
    <t xml:space="preserve">FY2024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</si>
  <si>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Q4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比較數）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</si>
  <si>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Q4 </t>
    </r>
    <r>
      <rPr>
        <sz val="11"/>
        <color theme="1"/>
        <rFont val="Noto Sans CJK SC"/>
        <family val="2"/>
      </rPr>
      <t xml:space="preserve">新聞稿；</t>
    </r>
    <r>
      <rPr>
        <sz val="11"/>
        <color theme="1"/>
        <rFont val="Calibri"/>
        <family val="2"/>
        <charset val="1"/>
      </rPr>
      <t xml:space="preserve">stockanalysis 8.66</t>
    </r>
  </si>
  <si>
    <r>
      <rPr>
        <sz val="11"/>
        <color theme="1"/>
        <rFont val="Noto Sans CJK SC"/>
        <family val="2"/>
      </rPr>
      <t xml:space="preserve">規則用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、公司指引、共識同口徑）。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的第二來源：未找到（各資料商多列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兩來源除 </t>
    </r>
    <r>
      <rPr>
        <sz val="11"/>
        <color theme="1"/>
        <rFont val="Calibri"/>
        <family val="2"/>
        <charset val="1"/>
      </rPr>
      <t xml:space="preserve">FY2017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ASC 606 </t>
    </r>
    <r>
      <rPr>
        <sz val="11"/>
        <color theme="1"/>
        <rFont val="Noto Sans CJK SC"/>
        <family val="2"/>
      </rPr>
      <t xml:space="preserve">重編）外相同</t>
    </r>
  </si>
  <si>
    <r>
      <rPr>
        <b val="true"/>
        <sz val="11"/>
        <rFont val="Cambria"/>
        <family val="0"/>
        <charset val="1"/>
      </rPr>
      <t xml:space="preserve">2. 10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（年底）</t>
    </r>
  </si>
  <si>
    <t xml:space="preserve">年底</t>
  </si>
  <si>
    <t xml:space="preserve">收盤價（未調整）</t>
  </si>
  <si>
    <t xml:space="preserve">non-GAAP EPS FY(t)</t>
  </si>
  <si>
    <t xml:space="preserve">GAAP EPS FY(t)</t>
  </si>
  <si>
    <r>
      <rPr>
        <b val="true"/>
        <sz val="11"/>
        <rFont val="Cambria"/>
        <family val="0"/>
        <charset val="1"/>
      </rPr>
      <t xml:space="preserve">P/E non-GAAP</t>
    </r>
    <r>
      <rPr>
        <b val="true"/>
        <sz val="11"/>
        <rFont val="Noto Sans CJK SC"/>
        <family val="2"/>
      </rPr>
      <t xml:space="preserve">（自算）</t>
    </r>
  </si>
  <si>
    <r>
      <rPr>
        <b val="true"/>
        <sz val="11"/>
        <rFont val="Cambria"/>
        <family val="0"/>
        <charset val="1"/>
      </rPr>
      <t xml:space="preserve">P/E GAAP</t>
    </r>
    <r>
      <rPr>
        <b val="true"/>
        <sz val="11"/>
        <rFont val="Noto Sans CJK SC"/>
        <family val="2"/>
      </rPr>
      <t xml:space="preserve">（自算）</t>
    </r>
  </si>
  <si>
    <t xml:space="preserve">companiesmarketcap P/E</t>
  </si>
  <si>
    <r>
      <rPr>
        <b val="true"/>
        <sz val="11"/>
        <rFont val="Noto Sans CJK SC"/>
        <family val="2"/>
      </rPr>
      <t xml:space="preserve">自算 </t>
    </r>
    <r>
      <rPr>
        <b val="true"/>
        <sz val="11"/>
        <rFont val="Cambria"/>
        <family val="0"/>
        <charset val="1"/>
      </rPr>
      <t xml:space="preserve">GAAP − cmc</t>
    </r>
  </si>
  <si>
    <r>
      <rPr>
        <b val="true"/>
        <sz val="11"/>
        <rFont val="Noto Sans CJK SC"/>
        <family val="2"/>
      </rPr>
      <t xml:space="preserve">股利調整後收盤（</t>
    </r>
    <r>
      <rPr>
        <b val="true"/>
        <sz val="11"/>
        <rFont val="Cambria"/>
        <family val="0"/>
        <charset val="1"/>
      </rPr>
      <t xml:space="preserve">statmuse</t>
    </r>
    <r>
      <rPr>
        <b val="true"/>
        <sz val="11"/>
        <rFont val="Noto Sans CJK SC"/>
        <family val="2"/>
      </rPr>
      <t xml:space="preserve">）</t>
    </r>
  </si>
  <si>
    <t xml:space="preserve">來源／說明</t>
  </si>
  <si>
    <r>
      <rPr>
        <sz val="11"/>
        <color theme="1"/>
        <rFont val="Noto Sans CJK SC"/>
        <family val="2"/>
      </rPr>
      <t xml:space="preserve">輔助：不含 </t>
    </r>
    <r>
      <rPr>
        <sz val="11"/>
        <color theme="1"/>
        <rFont val="Calibri"/>
        <family val="2"/>
        <charset val="1"/>
      </rPr>
      <t xml:space="preserve">2018</t>
    </r>
  </si>
  <si>
    <t xml:space="preserve">2016-12</t>
  </si>
  <si>
    <r>
      <rPr>
        <sz val="11"/>
        <color theme="1"/>
        <rFont val="Noto Sans CJK SC"/>
        <family val="2"/>
      </rPr>
      <t xml:space="preserve">收盤價：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Real price</t>
    </r>
    <r>
      <rPr>
        <sz val="11"/>
        <color theme="1"/>
        <rFont val="Noto Sans CJK SC"/>
        <family val="2"/>
      </rPr>
      <t xml:space="preserve">，未調整）</t>
    </r>
  </si>
  <si>
    <t xml:space="preserve">2017-12</t>
  </si>
  <si>
    <t xml:space="preserve">2018-12</t>
  </si>
  <si>
    <r>
      <rPr>
        <sz val="11"/>
        <color theme="1"/>
        <rFont val="Calibri"/>
        <family val="2"/>
        <charset val="1"/>
      </rPr>
      <t xml:space="preserve">FY2018 non-GAAP EPS 4.45 </t>
    </r>
    <r>
      <rPr>
        <sz val="11"/>
        <color theme="1"/>
        <rFont val="Noto Sans CJK SC"/>
        <family val="2"/>
      </rPr>
      <t xml:space="preserve">為當年高峰（稅改後）→ </t>
    </r>
    <r>
      <rPr>
        <sz val="11"/>
        <color theme="1"/>
        <rFont val="Calibri"/>
        <family val="2"/>
        <charset val="1"/>
      </rPr>
      <t xml:space="preserve">P/E 7.4 </t>
    </r>
    <r>
      <rPr>
        <sz val="11"/>
        <color theme="1"/>
        <rFont val="Noto Sans CJK SC"/>
        <family val="2"/>
      </rPr>
      <t xml:space="preserve">為極端低值</t>
    </r>
  </si>
  <si>
    <t xml:space="preserve">2019-12</t>
  </si>
  <si>
    <t xml:space="preserve">2020-12</t>
  </si>
  <si>
    <t xml:space="preserve">2021-12</t>
  </si>
  <si>
    <t xml:space="preserve">2022-12</t>
  </si>
  <si>
    <t xml:space="preserve">2023-12</t>
  </si>
  <si>
    <t xml:space="preserve">2024-12</t>
  </si>
  <si>
    <t xml:space="preserve">2025-12</t>
  </si>
  <si>
    <r>
      <rPr>
        <sz val="11"/>
        <color theme="1"/>
        <rFont val="Calibri"/>
        <family val="2"/>
        <charset val="1"/>
      </rPr>
      <t xml:space="preserve">statmuse 2025-12-31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256.08</t>
    </r>
    <r>
      <rPr>
        <sz val="11"/>
        <color theme="1"/>
        <rFont val="Noto Sans CJK SC"/>
        <family val="2"/>
      </rPr>
      <t xml:space="preserve">（股利調整後）；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未調整 </t>
    </r>
    <r>
      <rPr>
        <sz val="11"/>
        <color theme="1"/>
        <rFont val="Calibri"/>
        <family val="2"/>
        <charset val="1"/>
      </rPr>
      <t xml:space="preserve">256.99</t>
    </r>
  </si>
  <si>
    <r>
      <rPr>
        <sz val="11"/>
        <color theme="1"/>
        <rFont val="Noto Sans CJK SC"/>
        <family val="2"/>
      </rPr>
      <t xml:space="preserve">收盤價來源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AMAT Price History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Real price</t>
    </r>
    <r>
      <rPr>
        <sz val="11"/>
        <color theme="1"/>
        <rFont val="Noto Sans CJK SC"/>
        <family val="2"/>
      </rPr>
      <t xml:space="preserve">，未調整股利）；來源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statmuse </t>
    </r>
    <r>
      <rPr>
        <sz val="11"/>
        <color theme="1"/>
        <rFont val="Noto Sans CJK SC"/>
        <family val="2"/>
      </rPr>
      <t xml:space="preserve">年底收盤（股利調整後，</t>
    </r>
    <r>
      <rPr>
        <sz val="11"/>
        <color theme="1"/>
        <rFont val="Calibri"/>
        <family val="2"/>
        <charset val="1"/>
      </rPr>
      <t xml:space="preserve">2016–2020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）——兩者比值 </t>
    </r>
    <r>
      <rPr>
        <sz val="11"/>
        <color theme="1"/>
        <rFont val="Calibri"/>
        <family val="2"/>
        <charset val="1"/>
      </rPr>
      <t xml:space="preserve">0.90–1.00 </t>
    </r>
    <r>
      <rPr>
        <sz val="11"/>
        <color theme="1"/>
        <rFont val="Noto Sans CJK SC"/>
        <family val="2"/>
      </rPr>
      <t xml:space="preserve">隨年份遞增，符合股利調整，故未調整價可信；</t>
    </r>
    <r>
      <rPr>
        <sz val="11"/>
        <color theme="1"/>
        <rFont val="Calibri"/>
        <family val="2"/>
        <charset val="1"/>
      </rPr>
      <t xml:space="preserve">2021–2024 </t>
    </r>
    <r>
      <rPr>
        <sz val="11"/>
        <color theme="1"/>
        <rFont val="Noto Sans CJK SC"/>
        <family val="2"/>
      </rPr>
      <t xml:space="preserve">第二來源：未找到。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的年底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GAAP TTM </t>
    </r>
    <r>
      <rPr>
        <sz val="11"/>
        <color theme="1"/>
        <rFont val="Noto Sans CJK SC"/>
        <family val="2"/>
      </rPr>
      <t xml:space="preserve">口徑，與自算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差距見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欄（−</t>
    </r>
    <r>
      <rPr>
        <sz val="11"/>
        <color theme="1"/>
        <rFont val="Calibri"/>
        <family val="2"/>
        <charset val="1"/>
      </rPr>
      <t xml:space="preserve">1.0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+2.0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</si>
  <si>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年）</t>
    </r>
  </si>
  <si>
    <t xml:space="preserve">統計</t>
  </si>
  <si>
    <r>
      <rPr>
        <b val="true"/>
        <sz val="11"/>
        <rFont val="Cambria"/>
        <family val="0"/>
        <charset val="1"/>
      </rPr>
      <t xml:space="preserve">P/E non-GAAP</t>
    </r>
    <r>
      <rPr>
        <b val="true"/>
        <sz val="11"/>
        <rFont val="Noto Sans CJK SC"/>
        <family val="2"/>
      </rPr>
      <t xml:space="preserve">（自算；規則用）</t>
    </r>
  </si>
  <si>
    <r>
      <rPr>
        <b val="true"/>
        <sz val="11"/>
        <rFont val="Cambria"/>
        <family val="0"/>
        <charset val="1"/>
      </rPr>
      <t xml:space="preserve">P/E GAAP</t>
    </r>
    <r>
      <rPr>
        <b val="true"/>
        <sz val="11"/>
        <rFont val="Noto Sans CJK SC"/>
        <family val="2"/>
      </rPr>
      <t xml:space="preserve">（自算；參考）</t>
    </r>
  </si>
  <si>
    <r>
      <rPr>
        <b val="true"/>
        <sz val="11"/>
        <rFont val="Cambria"/>
        <family val="0"/>
        <charset val="1"/>
      </rPr>
      <t xml:space="preserve">cmc P/E</t>
    </r>
    <r>
      <rPr>
        <b val="true"/>
        <sz val="11"/>
        <rFont val="Noto Sans CJK SC"/>
        <family val="2"/>
      </rPr>
      <t xml:space="preserve">（參考）</t>
    </r>
  </si>
  <si>
    <t xml:space="preserve">用途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</si>
  <si>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</si>
  <si>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見頂年</t>
  </si>
  <si>
    <t xml:space="preserve">中位數</t>
  </si>
  <si>
    <t xml:space="preserve">中段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</si>
  <si>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</si>
  <si>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谷底</t>
  </si>
  <si>
    <t xml:space="preserve">年數</t>
  </si>
  <si>
    <r>
      <rPr>
        <b val="true"/>
        <sz val="11"/>
        <rFont val="Noto Sans CJK SC"/>
        <family val="2"/>
      </rPr>
      <t xml:space="preserve">敏感度：去掉 </t>
    </r>
    <r>
      <rPr>
        <b val="true"/>
        <sz val="11"/>
        <rFont val="Cambria"/>
        <family val="0"/>
        <charset val="1"/>
      </rPr>
      <t xml:space="preserve">2018 </t>
    </r>
    <r>
      <rPr>
        <b val="true"/>
        <sz val="11"/>
        <rFont val="Noto Sans CJK SC"/>
        <family val="2"/>
      </rPr>
      <t xml:space="preserve">年（</t>
    </r>
    <r>
      <rPr>
        <b val="true"/>
        <sz val="11"/>
        <rFont val="Cambria"/>
        <family val="0"/>
        <charset val="1"/>
      </rPr>
      <t xml:space="preserve">non-GAAP </t>
    </r>
    <r>
      <rPr>
        <b val="true"/>
        <sz val="11"/>
        <rFont val="Noto Sans CJK SC"/>
        <family val="2"/>
      </rPr>
      <t xml:space="preserve">極端低值 </t>
    </r>
    <r>
      <rPr>
        <b val="true"/>
        <sz val="11"/>
        <rFont val="Cambria"/>
        <family val="0"/>
        <charset val="1"/>
      </rPr>
      <t xml:space="preserve">7.4</t>
    </r>
    <r>
      <rPr>
        <b val="true"/>
        <sz val="11"/>
        <rFont val="Noto Sans CJK SC"/>
        <family val="2"/>
      </rPr>
      <t xml:space="preserve">）後的分位（</t>
    </r>
    <r>
      <rPr>
        <b val="true"/>
        <sz val="11"/>
        <rFont val="Cambria"/>
        <family val="0"/>
        <charset val="1"/>
      </rPr>
      <t xml:space="preserve">9 </t>
    </r>
    <r>
      <rPr>
        <b val="true"/>
        <sz val="11"/>
        <rFont val="Noto Sans CJK SC"/>
        <family val="2"/>
      </rPr>
      <t xml:space="preserve">年）</t>
    </r>
  </si>
  <si>
    <r>
      <rPr>
        <b val="true"/>
        <sz val="11"/>
        <rFont val="Cambria"/>
        <family val="0"/>
        <charset val="1"/>
      </rPr>
      <t xml:space="preserve">P/E non-GAAP</t>
    </r>
    <r>
      <rPr>
        <b val="true"/>
        <sz val="11"/>
        <rFont val="Noto Sans CJK SC"/>
        <family val="2"/>
      </rPr>
      <t xml:space="preserve">（不含 </t>
    </r>
    <r>
      <rPr>
        <b val="true"/>
        <sz val="11"/>
        <rFont val="Cambria"/>
        <family val="0"/>
        <charset val="1"/>
      </rPr>
      <t xml:space="preserve">2018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</si>
  <si>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舊法：規則值情境加權（參考）（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個月，情境加權；權重為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tp_wA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tp_wC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</si>
  <si>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r>
      <rPr>
        <b val="true"/>
        <sz val="11"/>
        <rFont val="Noto Sans CJK SC"/>
        <family val="2"/>
      </rPr>
      <t xml:space="preserve">規則值情境加權價（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個月；參考）</t>
    </r>
  </si>
  <si>
    <r>
      <rPr>
        <sz val="11"/>
        <color theme="1"/>
        <rFont val="Noto Sans CJK SC"/>
        <family val="2"/>
      </rPr>
      <t xml:space="preserve">＝權重 </t>
    </r>
    <r>
      <rPr>
        <sz val="11"/>
        <color theme="1"/>
        <rFont val="Calibri"/>
        <family val="2"/>
        <charset val="1"/>
      </rPr>
      <t xml:space="preserve">A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B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C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</si>
  <si>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</si>
  <si>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相對「現價（</t>
    </r>
    <r>
      <rPr>
        <sz val="11"/>
        <color theme="1"/>
        <rFont val="Calibri"/>
        <family val="2"/>
        <charset val="1"/>
      </rPr>
      <t xml:space="preserve">stockanalysis 2026-10-23 </t>
    </r>
    <r>
      <rPr>
        <sz val="11"/>
        <color theme="1"/>
        <rFont val="Noto Sans CJK SC"/>
        <family val="2"/>
      </rPr>
      <t xml:space="preserve">收盤）」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</si>
  <si>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</si>
  <si>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F68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：設備市場續增（</t>
    </r>
    <r>
      <rPr>
        <sz val="11"/>
        <color theme="1"/>
        <rFont val="Calibri"/>
        <family val="2"/>
        <charset val="1"/>
      </rPr>
      <t xml:space="preserve">2028 +12.7%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+5.9%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markets/equipment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</si>
  <si>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</si>
  <si>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F75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持平、</t>
    </r>
    <r>
      <rPr>
        <sz val="11"/>
        <color theme="1"/>
        <rFont val="Calibri"/>
        <family val="2"/>
        <charset val="1"/>
      </rPr>
      <t xml:space="preserve">2029 −5%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AGS </t>
    </r>
    <r>
      <rPr>
        <sz val="11"/>
        <color theme="1"/>
        <rFont val="Noto Sans CJK SC"/>
        <family val="2"/>
      </rPr>
      <t xml:space="preserve">成長放緩）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</si>
  <si>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</si>
  <si>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F82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 </t>
    </r>
    <r>
      <rPr>
        <sz val="11"/>
        <color theme="1"/>
        <rFont val="Calibri"/>
        <family val="2"/>
        <charset val="1"/>
      </rPr>
      <t xml:space="preserve">2028 −20%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持平；關係企業規則恢復；</t>
    </r>
    <r>
      <rPr>
        <sz val="11"/>
        <color theme="1"/>
        <rFont val="Calibri"/>
        <family val="2"/>
        <charset val="1"/>
      </rPr>
      <t xml:space="preserve">AGS</t>
    </r>
    <r>
      <rPr>
        <sz val="11"/>
        <color theme="1"/>
        <rFont val="Noto Sans CJK SC"/>
        <family val="2"/>
      </rPr>
      <t xml:space="preserve">、顯示器放緩）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</si>
  <si>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</si>
  <si>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C</t>
    </r>
  </si>
  <si>
    <t xml:space="preserve">規則值方法</t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</si>
  <si>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規則值：各情境 </t>
    </r>
    <r>
      <rPr>
        <sz val="11"/>
        <color theme="1"/>
        <rFont val="Calibri"/>
        <family val="2"/>
        <charset val="1"/>
      </rPr>
      <t xml:space="preserve">FY2027 non-GAAP EPS × 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non-GAAP P/E</t>
    </r>
    <r>
      <rPr>
        <sz val="11"/>
        <color theme="1"/>
        <rFont val="Noto Sans CJK SC"/>
        <family val="2"/>
      </rPr>
      <t xml:space="preserve">（自算）依設備股共用循環規則取分位（見頂＝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分位、中段＝中位數、谷底＝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分位；見頂年讀 </t>
    </r>
    <r>
      <rPr>
        <sz val="11"/>
        <color theme="1"/>
        <rFont val="Calibri"/>
        <family val="2"/>
        <charset val="1"/>
      </rPr>
      <t xml:space="preserve">markets/equipment</t>
    </r>
    <r>
      <rPr>
        <sz val="11"/>
        <color theme="1"/>
        <rFont val="Noto Sans CJK SC"/>
        <family val="2"/>
      </rPr>
      <t xml:space="preserve">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年底價、未折現，作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個月目標價的近似；情境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即本模型三個設備市場情境（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最低）。偏誤：十年倍數含 </t>
    </r>
    <r>
      <rPr>
        <sz val="11"/>
        <color theme="1"/>
        <rFont val="Calibri"/>
        <family val="2"/>
        <charset val="1"/>
      </rPr>
      <t xml:space="preserve">2018 </t>
    </r>
    <r>
      <rPr>
        <sz val="11"/>
        <color theme="1"/>
        <rFont val="Noto Sans CJK SC"/>
        <family val="2"/>
      </rPr>
      <t xml:space="preserve">年極端低值（</t>
    </r>
    <r>
      <rPr>
        <sz val="11"/>
        <color theme="1"/>
        <rFont val="Calibri"/>
        <family val="2"/>
        <charset val="1"/>
      </rPr>
      <t xml:space="preserve">7.4x</t>
    </r>
    <r>
      <rPr>
        <sz val="11"/>
        <color theme="1"/>
        <rFont val="Noto Sans CJK SC"/>
        <family val="2"/>
      </rPr>
      <t xml:space="preserve">），去掉後分位略高（第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節敏感度），目標價可能略偏低。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</si>
  <si>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循環位置（設備股共用規則；見頂年度讀設備市場模型，不在本模型另訂）</t>
    </r>
  </si>
  <si>
    <r>
      <rPr>
        <sz val="11"/>
        <color theme="1"/>
        <rFont val="Noto Sans CJK SC"/>
        <family val="2"/>
      </rPr>
      <t xml:space="preserve">循環位置（設備股共用規則）：各情境的見頂年度取自設備市場模型（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3/4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年）：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分位）。</t>
    </r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月）有 </t>
    </r>
    <r>
      <rPr>
        <sz val="11"/>
        <color theme="1"/>
        <rFont val="Calibri"/>
        <family val="2"/>
        <charset val="1"/>
      </rPr>
      <t xml:space="preserve">10/12 </t>
    </r>
    <r>
      <rPr>
        <sz val="11"/>
        <color theme="1"/>
        <rFont val="Noto Sans CJK SC"/>
        <family val="2"/>
      </rPr>
      <t xml:space="preserve">落在日曆年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，直接對照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，不平移</t>
    </r>
  </si>
  <si>
    <t xml:space="preserve">情境</t>
  </si>
  <si>
    <t xml:space="preserve">設備市場見頂年度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</si>
  <si>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對照日曆年</t>
    </r>
  </si>
  <si>
    <t xml:space="preserve">判定</t>
  </si>
  <si>
    <t xml:space="preserve">倍數</t>
  </si>
  <si>
    <t xml:space="preserve">規則</t>
  </si>
  <si>
    <t xml:space="preserve">A</t>
  </si>
  <si>
    <t xml:space="preserve">tools/cycle_position.py</t>
  </si>
  <si>
    <t xml:space="preserve">B</t>
  </si>
  <si>
    <t xml:space="preserve">C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</si>
  <si>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隱含股價（美元；約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年底，未折現）：規則值＝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依循環位置的倍數；其餘倍數僅供參考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</si>
  <si>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</si>
  <si>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EPS</t>
  </si>
  <si>
    <t xml:space="preserve">倍數類型</t>
  </si>
  <si>
    <t xml:space="preserve">隱含股價</t>
  </si>
  <si>
    <t xml:space="preserve">相對現價</t>
  </si>
  <si>
    <t xml:space="preserve">備註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</si>
  <si>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</si>
  <si>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</si>
  <si>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</si>
  <si>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目前倍數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</si>
  <si>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stockanalysis 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</si>
  <si>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</si>
  <si>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顯示 </t>
    </r>
    <r>
      <rPr>
        <sz val="11"/>
        <color theme="1"/>
        <rFont val="Calibri"/>
        <family val="2"/>
        <charset val="1"/>
      </rPr>
      <t xml:space="preserve">21.39x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</si>
  <si>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18.49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</si>
  <si>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接近（其遠期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月或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共識）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</si>
  <si>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FY25 Q4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FY26 Q1–Q3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</si>
  <si>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TTM P/E 32.54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口徑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</si>
  <si>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</si>
  <si>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t xml:space="preserve">三情境相同</t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</si>
  <si>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</si>
  <si>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</si>
  <si>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規則倍數（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</si>
  <si>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&gt;1</t>
    </r>
    <r>
      <rPr>
        <sz val="11"/>
        <color theme="1"/>
        <rFont val="Noto Sans CJK SC"/>
        <family val="2"/>
      </rPr>
      <t xml:space="preserve">＝現價高於規則給的倍數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</si>
  <si>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</si>
  <si>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</si>
  <si>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</si>
  <si>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</si>
  <si>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</si>
  <si>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</si>
  <si>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</si>
  <si>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</si>
  <si>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</si>
  <si>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</si>
  <si>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</si>
  <si>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</si>
  <si>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</si>
  <si>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</si>
  <si>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t xml:space="preserve">模型無折舊與資本支出項目，故不用（淨利＋折舊－資本支出）；設備股資本支出低（輕資產），此式偏誤小</t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</si>
  <si>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</si>
  <si>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</si>
  <si>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</si>
  <si>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；會計年度 </t>
    </r>
    <r>
      <rPr>
        <sz val="11"/>
        <color theme="1"/>
        <rFont val="Calibri"/>
        <family val="2"/>
        <charset val="1"/>
      </rPr>
      <t xml:space="preserve">11–10 </t>
    </r>
    <r>
      <rPr>
        <sz val="11"/>
        <color theme="1"/>
        <rFont val="Noto Sans CJK SC"/>
        <family val="2"/>
      </rPr>
      <t xml:space="preserve">月，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大致對齊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</si>
  <si>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</si>
  <si>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</si>
  <si>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</si>
  <si>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</si>
  <si>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</si>
  <si>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</si>
  <si>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</si>
  <si>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</si>
  <si>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</si>
  <si>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科林研發（</t>
    </r>
    <r>
      <rPr>
        <sz val="11"/>
        <color theme="1"/>
        <rFont val="Calibri"/>
        <family val="2"/>
        <charset val="1"/>
      </rPr>
      <t xml:space="preserve">Lam Research</t>
    </r>
    <r>
      <rPr>
        <sz val="11"/>
        <color theme="1"/>
        <rFont val="Noto Sans CJK SC"/>
        <family val="2"/>
      </rPr>
      <t xml:space="preserve">）</t>
    </r>
  </si>
  <si>
    <t xml:space="preserve">LRCX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</si>
  <si>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</si>
  <si>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</si>
  <si>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科磊（</t>
    </r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Noto Sans CJK SC"/>
        <family val="2"/>
      </rPr>
      <t xml:space="preserve">）</t>
    </r>
  </si>
  <si>
    <t xml:space="preserve">KLAC</t>
  </si>
  <si>
    <r>
      <rPr>
        <sz val="11"/>
        <color theme="1"/>
        <rFont val="Calibri"/>
        <family val="2"/>
        <charset val="1"/>
      </rPr>
      <t xml:space="preserve">ASML</t>
    </r>
    <r>
      <rPr>
        <sz val="11"/>
        <color theme="1"/>
        <rFont val="Noto Sans CJK SC"/>
        <family val="2"/>
      </rPr>
      <t xml:space="preserve">（美國 </t>
    </r>
    <r>
      <rPr>
        <sz val="11"/>
        <color theme="1"/>
        <rFont val="Calibri"/>
        <family val="2"/>
        <charset val="1"/>
      </rPr>
      <t xml:space="preserve">ADR</t>
    </r>
    <r>
      <rPr>
        <sz val="11"/>
        <color theme="1"/>
        <rFont val="Noto Sans CJK SC"/>
        <family val="2"/>
      </rPr>
      <t xml:space="preserve">）</t>
    </r>
  </si>
  <si>
    <t xml:space="preserve">ASML</t>
  </si>
  <si>
    <r>
      <rPr>
        <sz val="11"/>
        <color theme="1"/>
        <rFont val="Noto Sans CJK SC"/>
        <family val="2"/>
      </rPr>
      <t xml:space="preserve">東京威力科創（</t>
    </r>
    <r>
      <rPr>
        <sz val="11"/>
        <color theme="1"/>
        <rFont val="Calibri"/>
        <family val="2"/>
        <charset val="1"/>
      </rPr>
      <t xml:space="preserve">Tokyo Electron</t>
    </r>
    <r>
      <rPr>
        <sz val="11"/>
        <color theme="1"/>
        <rFont val="Noto Sans CJK SC"/>
        <family val="2"/>
      </rPr>
      <t xml:space="preserve">）</t>
    </r>
  </si>
  <si>
    <t xml:space="preserve">8035.T</t>
  </si>
  <si>
    <t xml:space="preserve">2026-10-21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</si>
  <si>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</si>
  <si>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前段設備同業：科林研發、科磊、</t>
    </r>
    <r>
      <rPr>
        <sz val="11"/>
        <color theme="1"/>
        <rFont val="Calibri"/>
        <family val="2"/>
        <charset val="1"/>
      </rPr>
      <t xml:space="preserve">ASML</t>
    </r>
    <r>
      <rPr>
        <sz val="11"/>
        <color theme="1"/>
        <rFont val="Noto Sans CJK SC"/>
        <family val="2"/>
      </rPr>
      <t xml:space="preserve">、東京威力科創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</si>
  <si>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</si>
  <si>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11–10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</si>
  <si>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</si>
  <si>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</si>
  <si>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</si>
  <si>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</si>
  <si>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</si>
  <si>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</si>
  <si>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</si>
  <si>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</si>
  <si>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</si>
  <si>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</si>
  <si>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</si>
  <si>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</si>
  <si>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</si>
  <si>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＝共識 </t>
    </r>
    <r>
      <rPr>
        <sz val="11"/>
        <color theme="1"/>
        <rFont val="Calibri"/>
        <family val="2"/>
        <charset val="1"/>
      </rPr>
      <t xml:space="preserve">FY2027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stockanalysis 18.49</t>
    </r>
    <r>
      <rPr>
        <sz val="11"/>
        <color theme="1"/>
        <rFont val="Noto Sans CJK SC"/>
        <family val="2"/>
      </rPr>
      <t xml:space="preserve">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，晚一年，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因素偏大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</si>
  <si>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</si>
  <si>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</si>
  <si>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</si>
  <si>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</si>
  <si>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自算）的分位；只作檢查，不進目標價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</si>
  <si>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</si>
  <si>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non-GAAP 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）（模型無折舊與資本支出項目），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起收斂法）＋永續。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：科林研發、科磊、</t>
    </r>
    <r>
      <rPr>
        <sz val="11"/>
        <color theme="1"/>
        <rFont val="Calibri"/>
        <family val="2"/>
        <charset val="1"/>
      </rPr>
      <t xml:space="preserve">ASML</t>
    </r>
    <r>
      <rPr>
        <sz val="11"/>
        <color theme="1"/>
        <rFont val="Noto Sans CJK SC"/>
        <family val="2"/>
      </rPr>
      <t xml:space="preserve">、東京威力科創前瞻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FY2028 EPS</t>
    </r>
    <r>
      <rPr>
        <sz val="11"/>
        <color theme="1"/>
        <rFont val="Noto Sans CJK SC"/>
        <family val="2"/>
      </rPr>
      <t xml:space="preserve">。偏誤：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略高於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，偏高估；十年平均淨利率為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收斂偏保守。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</si>
  <si>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</si>
  <si>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以「上檔空間：加權目標價」（第 </t>
    </r>
    <r>
      <rPr>
        <sz val="11"/>
        <color theme="1"/>
        <rFont val="Calibri"/>
        <family val="2"/>
        <charset val="1"/>
      </rPr>
      <t xml:space="preserve">139 </t>
    </r>
    <r>
      <rPr>
        <sz val="11"/>
        <color theme="1"/>
        <rFont val="Noto Sans CJK SC"/>
        <family val="2"/>
      </rPr>
      <t xml:space="preserve">列）分六級（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</si>
  <si>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</si>
  <si>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</si>
  <si>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b val="true"/>
        <sz val="11"/>
        <rFont val="Cambria"/>
        <family val="0"/>
        <charset val="1"/>
      </rPr>
      <t xml:space="preserve">0.5 </t>
    </r>
    <r>
      <rPr>
        <b val="true"/>
        <sz val="11"/>
        <rFont val="Noto Sans CJK SC"/>
        <family val="2"/>
      </rPr>
      <t xml:space="preserve">相對倍數調整（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目標倍數＝同業中位數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本公司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年相對同業的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比；</t>
    </r>
    <r>
      <rPr>
        <b val="true"/>
        <sz val="11"/>
        <rFont val="Cambria"/>
        <family val="0"/>
        <charset val="1"/>
      </rPr>
      <t xml:space="preserve">Andy 2026-10-27 </t>
    </r>
    <r>
      <rPr>
        <b val="true"/>
        <sz val="11"/>
        <rFont val="Noto Sans CJK SC"/>
        <family val="2"/>
      </rPr>
      <t xml:space="preserve">新增，放在本頁最後以免位移既有儲存格）</t>
    </r>
  </si>
  <si>
    <r>
      <rPr>
        <sz val="11"/>
        <color theme="1"/>
        <rFont val="Noto Sans CJK SC"/>
        <family val="2"/>
      </rPr>
      <t xml:space="preserve">資料：</t>
    </r>
    <r>
      <rPr>
        <sz val="11"/>
        <color theme="1"/>
        <rFont val="Calibri"/>
        <family val="2"/>
        <charset val="1"/>
      </rPr>
      <t xml:space="preserve">2017–2026 </t>
    </r>
    <r>
      <rPr>
        <sz val="11"/>
        <color theme="1"/>
        <rFont val="Noto Sans CJK SC"/>
        <family val="2"/>
      </rPr>
      <t xml:space="preserve">各年度窗口（前一年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月～當年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月底前瞻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）的中位數（</t>
    </r>
    <r>
      <rPr>
        <sz val="11"/>
        <color theme="1"/>
        <rFont val="Calibri"/>
        <family val="2"/>
        <charset val="1"/>
      </rPr>
      <t xml:space="preserve">tools/data/fwd_mult_hist.csv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來源、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彙總；有效值 </t>
    </r>
    <r>
      <rPr>
        <sz val="11"/>
        <color theme="1"/>
        <rFont val="Calibri"/>
        <family val="2"/>
        <charset val="1"/>
      </rPr>
      <t xml:space="preserve">0 &lt; </t>
    </r>
    <r>
      <rPr>
        <sz val="11"/>
        <color theme="1"/>
        <rFont val="Noto Sans CJK SC"/>
        <family val="2"/>
      </rPr>
      <t xml:space="preserve">值 ≤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，無效值以「剔除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CJK SC"/>
        <family val="2"/>
      </rPr>
      <t xml:space="preserve">」文字列示、不進中位數。本公司或同業有效年數 </t>
    </r>
    <r>
      <rPr>
        <sz val="11"/>
        <color theme="1"/>
        <rFont val="Calibri"/>
        <family val="2"/>
        <charset val="1"/>
      </rPr>
      <t xml:space="preserve">&lt; 7 </t>
    </r>
    <r>
      <rPr>
        <sz val="11"/>
        <color theme="1"/>
        <rFont val="Noto Sans CJK SC"/>
        <family val="2"/>
      </rPr>
      <t xml:space="preserve">不納入；有效同業 </t>
    </r>
    <r>
      <rPr>
        <sz val="11"/>
        <color theme="1"/>
        <rFont val="Calibri"/>
        <family val="2"/>
        <charset val="1"/>
      </rPr>
      <t xml:space="preserve">&lt; 2 </t>
    </r>
    <r>
      <rPr>
        <sz val="11"/>
        <color theme="1"/>
        <rFont val="Noto Sans CJK SC"/>
        <family val="2"/>
      </rPr>
      <t xml:space="preserve">家或本公司不足時係數＝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（不調整）。</t>
    </r>
  </si>
  <si>
    <t xml:space="preserve">公司</t>
  </si>
  <si>
    <t xml:space="preserve">角色</t>
  </si>
  <si>
    <t xml:space="preserve">2016/11–2017/10</t>
  </si>
  <si>
    <t xml:space="preserve">2017/11–2018/10</t>
  </si>
  <si>
    <t xml:space="preserve">2018/11–2019/10</t>
  </si>
  <si>
    <t xml:space="preserve">2019/11–2020/10</t>
  </si>
  <si>
    <t xml:space="preserve">2020/11–2021/10</t>
  </si>
  <si>
    <t xml:space="preserve">2021/11–2022/10</t>
  </si>
  <si>
    <t xml:space="preserve">2022/11–2023/10</t>
  </si>
  <si>
    <t xml:space="preserve">2023/11–2024/10</t>
  </si>
  <si>
    <t xml:space="preserve">2024/11–2025/10</t>
  </si>
  <si>
    <t xml:space="preserve">2025/11–2026/10</t>
  </si>
  <si>
    <t xml:space="preserve">有效年數</t>
  </si>
  <si>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年中位數</t>
    </r>
  </si>
  <si>
    <t xml:space="preserve">納入值</t>
  </si>
  <si>
    <t xml:space="preserve">應用材料</t>
  </si>
  <si>
    <t xml:space="preserve">AMAT</t>
  </si>
  <si>
    <t xml:space="preserve">本公司</t>
  </si>
  <si>
    <r>
      <rPr>
        <sz val="11"/>
        <color theme="1"/>
        <rFont val="Calibri"/>
        <family val="2"/>
        <charset val="1"/>
      </rPr>
      <t xml:space="preserve">Bloomberg AMAT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</si>
  <si>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t xml:space="preserve">同業</t>
  </si>
  <si>
    <r>
      <rPr>
        <sz val="11"/>
        <color theme="1"/>
        <rFont val="Calibri"/>
        <family val="2"/>
        <charset val="1"/>
      </rPr>
      <t xml:space="preserve">Bloomberg LRCX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</si>
  <si>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KLAC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</si>
  <si>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ASML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</si>
  <si>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8035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</si>
  <si>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年中位數（納入值）</t>
    </r>
  </si>
  <si>
    <t xml:space="preserve">空白＝本公司有效年數不足</t>
  </si>
  <si>
    <t xml:space="preserve">納入的同業家數</t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</si>
  <si>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年中位數的中位數</t>
    </r>
  </si>
  <si>
    <r>
      <rPr>
        <sz val="11"/>
        <color theme="1"/>
        <rFont val="Noto Sans CJK SC"/>
        <family val="2"/>
      </rPr>
      <t xml:space="preserve">原始比值（本公司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同業）</t>
    </r>
  </si>
  <si>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＝本公司長期比同業便宜（折價），＞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＝長期溢價</t>
    </r>
  </si>
  <si>
    <t xml:space="preserve">夾值下限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</si>
  <si>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避免單一歷史異常主導；</t>
    </r>
    <r>
      <rPr>
        <sz val="11"/>
        <color theme="1"/>
        <rFont val="Calibri"/>
        <family val="2"/>
        <charset val="1"/>
      </rPr>
      <t xml:space="preserve">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RM_LO</t>
    </r>
  </si>
  <si>
    <t xml:space="preserve">夾值上限</t>
  </si>
  <si>
    <r>
      <rPr>
        <sz val="11"/>
        <color theme="1"/>
        <rFont val="Calibri"/>
        <family val="2"/>
        <charset val="1"/>
      </rPr>
      <t xml:space="preserve">[Assumed] 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RM_HI</t>
    </r>
  </si>
  <si>
    <t xml:space="preserve">相對倍數調整係數</t>
  </si>
  <si>
    <r>
      <rPr>
        <sz val="11"/>
        <color theme="1"/>
        <rFont val="Noto Sans CJK SC"/>
        <family val="2"/>
      </rPr>
      <t xml:space="preserve">資料不足時＝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</si>
  <si>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目標價（相對倍數調整後）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</si>
  <si>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調整係數；加權目標價使用本列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</si>
  <si>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共識、公司說法、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、第四季年化。只作事後對照，不為對上數字而調整參數。差距 </t>
    </r>
    <r>
      <rPr>
        <sz val="11"/>
        <color theme="1"/>
        <rFont val="Calibri"/>
        <family val="2"/>
        <charset val="1"/>
      </rPr>
      <t xml:space="preserve">&gt; 10%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</si>
  <si>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</si>
  <si>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</si>
  <si>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</si>
  <si>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</si>
  <si>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</si>
  <si>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</si>
  <si>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</si>
  <si>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</si>
  <si>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共識（</t>
    </r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，資料更新 </t>
    </r>
    <r>
      <rPr>
        <b val="true"/>
        <sz val="11"/>
        <rFont val="Cambria"/>
        <family val="0"/>
        <charset val="1"/>
      </rPr>
      <t xml:space="preserve">2026-10-16</t>
    </r>
    <r>
      <rPr>
        <b val="true"/>
        <sz val="11"/>
        <rFont val="Noto Sans CJK SC"/>
        <family val="2"/>
      </rPr>
      <t xml:space="preserve">；只作對照）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</si>
  <si>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營收（錨點）</t>
    </r>
  </si>
  <si>
    <t xml:space="preserve">stockanalysis</t>
  </si>
  <si>
    <t xml:space="preserve">錨點＝前三季實績＋第四季指引中點，非模型預測</t>
  </si>
  <si>
    <r>
      <rPr>
        <sz val="11"/>
        <color theme="1"/>
        <rFont val="Calibri"/>
        <family val="2"/>
        <charset val="1"/>
      </rPr>
      <t xml:space="preserve">FY2026 non-GAAP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</si>
  <si>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</si>
  <si>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t xml:space="preserve">FY2027 non-GAAP EPS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</si>
  <si>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第四季年化（</t>
    </r>
    <r>
      <rPr>
        <b val="true"/>
        <sz val="11"/>
        <rFont val="Cambria"/>
        <family val="0"/>
        <charset val="1"/>
      </rPr>
      <t xml:space="preserve">FY2026 Q4 </t>
    </r>
    <r>
      <rPr>
        <b val="true"/>
        <sz val="11"/>
        <rFont val="Noto Sans CJK SC"/>
        <family val="2"/>
      </rPr>
      <t xml:space="preserve">指引 </t>
    </r>
    <r>
      <rPr>
        <b val="true"/>
        <sz val="11"/>
        <rFont val="Cambria"/>
        <family val="0"/>
        <charset val="1"/>
      </rPr>
      <t xml:space="preserve">× 4</t>
    </r>
    <r>
      <rPr>
        <b val="true"/>
        <sz val="11"/>
        <rFont val="Noto Sans CJK SC"/>
        <family val="2"/>
      </rPr>
      <t xml:space="preserve">）</t>
    </r>
    <r>
      <rPr>
        <b val="true"/>
        <sz val="11"/>
        <rFont val="Cambria"/>
        <family val="0"/>
        <charset val="1"/>
      </rPr>
      <t xml:space="preserve">vs FY2027 </t>
    </r>
    <r>
      <rPr>
        <b val="true"/>
        <sz val="11"/>
        <rFont val="Noto Sans CJK SC"/>
        <family val="2"/>
      </rPr>
      <t xml:space="preserve">模型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</si>
  <si>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</si>
  <si>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模型若接近第四季年化，代表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各季大致持平於第四季水準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</si>
  <si>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市場與公司說法</t>
    </r>
  </si>
  <si>
    <r>
      <rPr>
        <sz val="11"/>
        <color theme="1"/>
        <rFont val="Calibri"/>
        <family val="2"/>
        <charset val="1"/>
      </rPr>
      <t xml:space="preserve">AGS FY2026 </t>
    </r>
    <r>
      <rPr>
        <sz val="11"/>
        <color theme="1"/>
        <rFont val="Noto Sans CJK SC"/>
        <family val="2"/>
      </rPr>
      <t xml:space="preserve">年增（重編口徑）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&gt;20%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</si>
  <si>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</si>
  <si>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CY </t>
    </r>
    <r>
      <rPr>
        <sz val="11"/>
        <color theme="1"/>
        <rFont val="Noto Sans CJK SC"/>
        <family val="2"/>
      </rPr>
      <t xml:space="preserve">口徑差一季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</si>
  <si>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 </t>
    </r>
    <r>
      <rPr>
        <sz val="11"/>
        <color theme="1"/>
        <rFont val="Calibri"/>
        <family val="2"/>
        <charset val="1"/>
      </rPr>
      <t xml:space="preserve">2025→2027 </t>
    </r>
    <r>
      <rPr>
        <sz val="11"/>
        <color theme="1"/>
        <rFont val="Noto Sans CJK SC"/>
        <family val="2"/>
      </rPr>
      <t xml:space="preserve">設備增量：設備市場模型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公司「約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</si>
  <si>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法說；</t>
    </r>
    <r>
      <rPr>
        <sz val="11"/>
        <color theme="1"/>
        <rFont val="Calibri"/>
        <family val="2"/>
        <charset val="1"/>
      </rPr>
      <t xml:space="preserve">markets/equipment</t>
    </r>
  </si>
  <si>
    <r>
      <rPr>
        <sz val="11"/>
        <color theme="1"/>
        <rFont val="Noto Sans CJK SC"/>
        <family val="2"/>
      </rPr>
      <t xml:space="preserve">公司口徑含先進封裝與先進代工邏輯、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；模型 </t>
    </r>
    <r>
      <rPr>
        <sz val="11"/>
        <color theme="1"/>
        <rFont val="Calibri"/>
        <family val="2"/>
        <charset val="1"/>
      </rPr>
      <t xml:space="preserve">63% </t>
    </r>
    <r>
      <rPr>
        <sz val="11"/>
        <color theme="1"/>
        <rFont val="Noto Sans CJK SC"/>
        <family val="2"/>
      </rPr>
      <t xml:space="preserve">較低，代表公司看的成長更集中在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相關（只作對照，不改上游）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</si>
  <si>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其他資訊（非對帳）</t>
    </r>
  </si>
  <si>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半導體系統 </t>
    </r>
    <r>
      <rPr>
        <sz val="11"/>
        <color theme="1"/>
        <rFont val="Calibri"/>
        <family val="2"/>
        <charset val="1"/>
      </rPr>
      <t xml:space="preserve">FY2026 ÷ SEMI </t>
    </r>
    <r>
      <rPr>
        <sz val="11"/>
        <color theme="1"/>
        <rFont val="Noto Sans CJK SC"/>
        <family val="2"/>
      </rPr>
      <t xml:space="preserve">晶圓前段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（隱含份額）</t>
    </r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</si>
  <si>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equipment </t>
    </r>
    <r>
      <rPr>
        <sz val="11"/>
        <color theme="1"/>
        <rFont val="Noto Sans CJK SC"/>
        <family val="2"/>
      </rPr>
      <t xml:space="preserve">成品）</t>
    </r>
  </si>
  <si>
    <r>
      <rPr>
        <sz val="11"/>
        <color theme="1"/>
        <rFont val="Noto Sans CJK SC"/>
        <family val="2"/>
      </rPr>
      <t xml:space="preserve">對設備市場模型的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口徑為 </t>
    </r>
    <r>
      <rPr>
        <sz val="11"/>
        <color theme="1"/>
        <rFont val="Calibri"/>
        <family val="2"/>
        <charset val="1"/>
      </rPr>
      <t xml:space="preserve">17.4%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較低，故對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的份額較高；</t>
    </r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半導體系統另含先進封裝等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</si>
  <si>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前三季營收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</si>
  <si>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Noto Sans CJK SC"/>
        <family val="2"/>
      </rPr>
      <t xml:space="preserve">第四季指引占全年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需求逐季上升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</si>
  <si>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</si>
  <si>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共識隱含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年增見下一列</t>
    </r>
  </si>
  <si>
    <r>
      <rPr>
        <sz val="11"/>
        <color theme="1"/>
        <rFont val="Noto Sans CJK SC"/>
        <family val="2"/>
      </rPr>
      <t xml:space="preserve">共識隱含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</si>
  <si>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</si>
  <si>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</si>
  <si>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</si>
  <si>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US$M</t>
    </r>
  </si>
  <si>
    <t xml:space="preserve">FY2027 EPS US$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</si>
  <si>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</si>
  <si>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US$M</t>
    </r>
  </si>
  <si>
    <t xml:space="preserve">FY2028 EPS US$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</si>
  <si>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</si>
  <si>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</si>
  <si>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份額係數 </t>
    </r>
    <r>
      <rPr>
        <sz val="11"/>
        <color theme="1"/>
        <rFont val="Calibri"/>
        <family val="2"/>
        <charset val="1"/>
      </rPr>
      <t xml:space="preserve">0.95</t>
    </r>
  </si>
  <si>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（中國國產替代、競爭）</t>
    </r>
  </si>
  <si>
    <r>
      <rPr>
        <sz val="11"/>
        <color theme="1"/>
        <rFont val="Noto Sans CJK SC"/>
        <family val="2"/>
      </rPr>
      <t xml:space="preserve">份額係數 </t>
    </r>
    <r>
      <rPr>
        <sz val="11"/>
        <color theme="1"/>
        <rFont val="Calibri"/>
        <family val="2"/>
        <charset val="1"/>
      </rPr>
      <t xml:space="preserve">1.05</t>
    </r>
  </si>
  <si>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+5%</t>
    </r>
    <r>
      <rPr>
        <sz val="11"/>
        <color theme="1"/>
        <rFont val="Noto Sans CJK SC"/>
        <family val="2"/>
      </rPr>
      <t xml:space="preserve">（環繞式閘極、背面供電、先進封裝）</t>
    </r>
  </si>
  <si>
    <r>
      <rPr>
        <sz val="11"/>
        <color theme="1"/>
        <rFont val="Noto Sans CJK SC"/>
        <family val="2"/>
      </rPr>
      <t xml:space="preserve">第四季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26%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</si>
  <si>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終端權重偏向代工邏輯</t>
    </r>
  </si>
  <si>
    <r>
      <rPr>
        <sz val="11"/>
        <color theme="1"/>
        <rFont val="Noto Sans CJK SC"/>
        <family val="2"/>
      </rPr>
      <t xml:space="preserve">第四季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34%</t>
    </r>
  </si>
  <si>
    <r>
      <rPr>
        <sz val="11"/>
        <color theme="1"/>
        <rFont val="Noto Sans CJK SC"/>
        <family val="2"/>
      </rPr>
      <t xml:space="preserve">權重偏向 </t>
    </r>
    <r>
      <rPr>
        <sz val="11"/>
        <color theme="1"/>
        <rFont val="Calibri"/>
        <family val="2"/>
        <charset val="1"/>
      </rPr>
      <t xml:space="preserve">DRAM</t>
    </r>
  </si>
  <si>
    <r>
      <rPr>
        <sz val="11"/>
        <color theme="1"/>
        <rFont val="Noto Sans CJK SC"/>
        <family val="2"/>
      </rPr>
      <t xml:space="preserve">會計年度權重 </t>
    </r>
    <r>
      <rPr>
        <sz val="11"/>
        <color theme="1"/>
        <rFont val="Calibri"/>
        <family val="2"/>
        <charset val="1"/>
      </rPr>
      <t xml:space="preserve">1/12</t>
    </r>
  </si>
  <si>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幾乎等於日曆年</t>
    </r>
  </si>
  <si>
    <r>
      <rPr>
        <sz val="11"/>
        <color theme="1"/>
        <rFont val="Noto Sans CJK SC"/>
        <family val="2"/>
      </rPr>
      <t xml:space="preserve">會計年度權重 </t>
    </r>
    <r>
      <rPr>
        <sz val="11"/>
        <color theme="1"/>
        <rFont val="Calibri"/>
        <family val="2"/>
        <charset val="1"/>
      </rPr>
      <t xml:space="preserve">3/12</t>
    </r>
  </si>
  <si>
    <t xml:space="preserve">設備出貨領先一季</t>
  </si>
  <si>
    <r>
      <rPr>
        <sz val="11"/>
        <color theme="1"/>
        <rFont val="Noto Sans CJK SC"/>
        <family val="2"/>
      </rPr>
      <t xml:space="preserve">營業成本變動比例 </t>
    </r>
    <r>
      <rPr>
        <sz val="11"/>
        <color theme="1"/>
        <rFont val="Calibri"/>
        <family val="2"/>
        <charset val="1"/>
      </rPr>
      <t xml:space="preserve">75%</t>
    </r>
  </si>
  <si>
    <t xml:space="preserve">固定成本較多 → 毛利率對營收更敏感</t>
  </si>
  <si>
    <r>
      <rPr>
        <sz val="11"/>
        <color theme="1"/>
        <rFont val="Noto Sans CJK SC"/>
        <family val="2"/>
      </rPr>
      <t xml:space="preserve">營業成本變動比例 </t>
    </r>
    <r>
      <rPr>
        <sz val="11"/>
        <color theme="1"/>
        <rFont val="Calibri"/>
        <family val="2"/>
        <charset val="1"/>
      </rPr>
      <t xml:space="preserve">95%</t>
    </r>
  </si>
  <si>
    <t xml:space="preserve">幾乎全變動 → 毛利率接近持平</t>
  </si>
  <si>
    <r>
      <rPr>
        <sz val="11"/>
        <color theme="1"/>
        <rFont val="Noto Sans CJK SC"/>
        <family val="2"/>
      </rPr>
      <t xml:space="preserve">營業費用變動比例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</si>
  <si>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營業費用中變動部分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</si>
  <si>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Noto Sans CJK SC"/>
        <family val="2"/>
      </rPr>
      <t xml:space="preserve">營業費用變動比例 </t>
    </r>
    <r>
      <rPr>
        <sz val="11"/>
        <color theme="1"/>
        <rFont val="Calibri"/>
        <family val="2"/>
        <charset val="1"/>
      </rPr>
      <t xml:space="preserve">75%</t>
    </r>
  </si>
  <si>
    <r>
      <rPr>
        <sz val="11"/>
        <color theme="1"/>
        <rFont val="Noto Sans CJK SC"/>
        <family val="2"/>
      </rPr>
      <t xml:space="preserve">變動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（費用隨營收擴張）</t>
    </r>
  </si>
  <si>
    <r>
      <rPr>
        <sz val="11"/>
        <color theme="1"/>
        <rFont val="Calibri"/>
        <family val="2"/>
        <charset val="1"/>
      </rPr>
      <t xml:space="preserve">AGS </t>
    </r>
    <r>
      <rPr>
        <sz val="11"/>
        <color theme="1"/>
        <rFont val="Noto Sans CJK SC"/>
        <family val="2"/>
      </rPr>
      <t xml:space="preserve">成長 </t>
    </r>
    <r>
      <rPr>
        <sz val="11"/>
        <color theme="1"/>
        <rFont val="Calibri"/>
        <family val="2"/>
        <charset val="1"/>
      </rPr>
      <t xml:space="preserve">11%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</si>
  <si>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−4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</si>
  <si>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AGS </t>
    </r>
    <r>
      <rPr>
        <sz val="11"/>
        <color theme="1"/>
        <rFont val="Noto Sans CJK SC"/>
        <family val="2"/>
      </rPr>
      <t xml:space="preserve">成長 </t>
    </r>
    <r>
      <rPr>
        <sz val="11"/>
        <color theme="1"/>
        <rFont val="Calibri"/>
        <family val="2"/>
        <charset val="1"/>
      </rPr>
      <t xml:space="preserve">19%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</si>
  <si>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+4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</si>
  <si>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其他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／年</t>
    </r>
  </si>
  <si>
    <t xml:space="preserve">顯示器下滑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</si>
  <si>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+10%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</si>
  <si>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0.85</t>
    </r>
  </si>
  <si>
    <t xml:space="preserve">稅率上升</t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</si>
  <si>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錨點值</t>
    </r>
  </si>
  <si>
    <t xml:space="preserve">含稅務利益</t>
  </si>
  <si>
    <r>
      <rPr>
        <sz val="11"/>
        <color theme="1"/>
        <rFont val="Noto Sans CJK SC"/>
        <family val="2"/>
      </rPr>
      <t xml:space="preserve">淨回購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</si>
  <si>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Noto Sans CJK SC"/>
        <family val="2"/>
      </rPr>
      <t xml:space="preserve">淨回購 </t>
    </r>
    <r>
      <rPr>
        <sz val="11"/>
        <color theme="1"/>
        <rFont val="Calibri"/>
        <family val="2"/>
        <charset val="1"/>
      </rPr>
      <t xml:space="preserve">2.5%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</si>
  <si>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Noto Sans CJK SC"/>
        <family val="2"/>
      </rPr>
      <t xml:space="preserve">關係企業規則恢復（</t>
    </r>
    <r>
      <rPr>
        <sz val="11"/>
        <color theme="1"/>
        <rFont val="Calibri"/>
        <family val="2"/>
        <charset val="1"/>
      </rPr>
      <t xml:space="preserve">US$600M</t>
    </r>
    <r>
      <rPr>
        <sz val="11"/>
        <color theme="1"/>
        <rFont val="Noto Sans CJK SC"/>
        <family val="2"/>
      </rPr>
      <t xml:space="preserve">／年）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</si>
  <si>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加上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的出口管制假設</t>
    </r>
  </si>
  <si>
    <r>
      <rPr>
        <sz val="11"/>
        <color theme="1"/>
        <rFont val="Noto Sans CJK SC"/>
        <family val="2"/>
      </rPr>
      <t xml:space="preserve">關係企業規則恢復（</t>
    </r>
    <r>
      <rPr>
        <sz val="11"/>
        <color theme="1"/>
        <rFont val="Calibri"/>
        <family val="2"/>
        <charset val="1"/>
      </rPr>
      <t xml:space="preserve">US$900M</t>
    </r>
    <r>
      <rPr>
        <sz val="11"/>
        <color theme="1"/>
        <rFont val="Noto Sans CJK SC"/>
        <family val="2"/>
      </rPr>
      <t xml:space="preserve">／年）</t>
    </r>
  </si>
  <si>
    <r>
      <rPr>
        <sz val="11"/>
        <color theme="1"/>
        <rFont val="Noto Sans CJK SC"/>
        <family val="2"/>
      </rPr>
      <t xml:space="preserve">影響 </t>
    </r>
    <r>
      <rPr>
        <sz val="11"/>
        <color theme="1"/>
        <rFont val="Calibri"/>
        <family val="2"/>
        <charset val="1"/>
      </rPr>
      <t xml:space="preserve">+50%</t>
    </r>
  </si>
  <si>
    <r>
      <rPr>
        <sz val="11"/>
        <color theme="1"/>
        <rFont val="Noto Sans CJK SC"/>
        <family val="2"/>
      </rPr>
      <t xml:space="preserve">中國營收 −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</si>
  <si>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Noto Sans CJK SC"/>
        <family val="2"/>
      </rPr>
      <t xml:space="preserve">半導體系統＋</t>
    </r>
    <r>
      <rPr>
        <sz val="11"/>
        <color theme="1"/>
        <rFont val="Calibri"/>
        <family val="2"/>
        <charset val="1"/>
      </rPr>
      <t xml:space="preserve">AGS </t>
    </r>
    <r>
      <rPr>
        <sz val="11"/>
        <color theme="1"/>
        <rFont val="Noto Sans CJK SC"/>
        <family val="2"/>
      </rPr>
      <t xml:space="preserve">中的中國部分 −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</si>
  <si>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Noto Sans CJK SC"/>
        <family val="2"/>
      </rPr>
      <t xml:space="preserve">中國營收 −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</si>
  <si>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Noto Sans CJK SC"/>
        <family val="2"/>
      </rPr>
      <t xml:space="preserve">設備市場情境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</si>
  <si>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持平、</t>
    </r>
    <r>
      <rPr>
        <sz val="11"/>
        <color theme="1"/>
        <rFont val="Calibri"/>
        <family val="2"/>
        <charset val="1"/>
      </rPr>
      <t xml:space="preserve">2029 −5%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AGS 11%</t>
    </r>
    <r>
      <rPr>
        <sz val="11"/>
        <color theme="1"/>
        <rFont val="Noto Sans CJK SC"/>
        <family val="2"/>
      </rPr>
      <t xml:space="preserve">、其他 −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</si>
  <si>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設備市場情境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</si>
  <si>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2028 −20%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持平；關係企業規則恢復；</t>
    </r>
    <r>
      <rPr>
        <sz val="11"/>
        <color theme="1"/>
        <rFont val="Calibri"/>
        <family val="2"/>
        <charset val="1"/>
      </rPr>
      <t xml:space="preserve">AGS 7%</t>
    </r>
    <r>
      <rPr>
        <sz val="11"/>
        <color theme="1"/>
        <rFont val="Noto Sans CJK SC"/>
        <family val="2"/>
      </rPr>
      <t xml:space="preserve">、其他 −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</si>
  <si>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5/6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，而設備市場三情境在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以前相同，所以市場情境對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影響小、對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才明顯；對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最敏感的是份額、營業成本與營業費用的固定／變動拆分、出口管制。</t>
    </r>
  </si>
  <si>
    <r>
      <rPr>
        <b val="true"/>
        <sz val="11"/>
        <rFont val="Noto Sans CJK SC"/>
        <family val="2"/>
      </rPr>
      <t xml:space="preserve">案例區塊：份額係數 </t>
    </r>
    <r>
      <rPr>
        <b val="true"/>
        <sz val="11"/>
        <rFont val="Cambria"/>
        <family val="0"/>
        <charset val="1"/>
      </rPr>
      <t xml:space="preserve">0.95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</si>
  <si>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案例區塊：份額係數 </t>
    </r>
    <r>
      <rPr>
        <b val="true"/>
        <sz val="11"/>
        <rFont val="Cambria"/>
        <family val="0"/>
        <charset val="1"/>
      </rPr>
      <t xml:space="preserve">1.05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</si>
  <si>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案例區塊：第四季 </t>
    </r>
    <r>
      <rPr>
        <b val="true"/>
        <sz val="11"/>
        <rFont val="Cambria"/>
        <family val="0"/>
        <charset val="1"/>
      </rPr>
      <t xml:space="preserve">DRAM </t>
    </r>
    <r>
      <rPr>
        <b val="true"/>
        <sz val="11"/>
        <rFont val="Noto Sans CJK SC"/>
        <family val="2"/>
      </rPr>
      <t xml:space="preserve">占比 </t>
    </r>
    <r>
      <rPr>
        <b val="true"/>
        <sz val="11"/>
        <rFont val="Cambria"/>
        <family val="0"/>
        <charset val="1"/>
      </rPr>
      <t xml:space="preserve">26%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</si>
  <si>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案例區塊：第四季 </t>
    </r>
    <r>
      <rPr>
        <b val="true"/>
        <sz val="11"/>
        <rFont val="Cambria"/>
        <family val="0"/>
        <charset val="1"/>
      </rPr>
      <t xml:space="preserve">DRAM </t>
    </r>
    <r>
      <rPr>
        <b val="true"/>
        <sz val="11"/>
        <rFont val="Noto Sans CJK SC"/>
        <family val="2"/>
      </rPr>
      <t xml:space="preserve">占比 </t>
    </r>
    <r>
      <rPr>
        <b val="true"/>
        <sz val="11"/>
        <rFont val="Cambria"/>
        <family val="0"/>
        <charset val="1"/>
      </rPr>
      <t xml:space="preserve">34%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</si>
  <si>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案例區塊：會計年度權重 </t>
    </r>
    <r>
      <rPr>
        <b val="true"/>
        <sz val="11"/>
        <rFont val="Cambria"/>
        <family val="0"/>
        <charset val="1"/>
      </rPr>
      <t xml:space="preserve">1/12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</si>
  <si>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案例區塊：會計年度權重 </t>
    </r>
    <r>
      <rPr>
        <b val="true"/>
        <sz val="11"/>
        <rFont val="Cambria"/>
        <family val="0"/>
        <charset val="1"/>
      </rPr>
      <t xml:space="preserve">3/12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</si>
  <si>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案例區塊：營業成本變動比例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</si>
  <si>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案例區塊：營業成本變動比例 </t>
    </r>
    <r>
      <rPr>
        <b val="true"/>
        <sz val="11"/>
        <rFont val="Cambria"/>
        <family val="0"/>
        <charset val="1"/>
      </rPr>
      <t xml:space="preserve">95%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</si>
  <si>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</si>
  <si>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</si>
  <si>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AGS </t>
    </r>
    <r>
      <rPr>
        <b val="true"/>
        <sz val="11"/>
        <rFont val="Noto Sans CJK SC"/>
        <family val="2"/>
      </rPr>
      <t xml:space="preserve">成長 </t>
    </r>
    <r>
      <rPr>
        <b val="true"/>
        <sz val="11"/>
        <rFont val="Cambria"/>
        <family val="0"/>
        <charset val="1"/>
      </rPr>
      <t xml:space="preserve">11%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</si>
  <si>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AGS </t>
    </r>
    <r>
      <rPr>
        <b val="true"/>
        <sz val="11"/>
        <rFont val="Noto Sans CJK SC"/>
        <family val="2"/>
      </rPr>
      <t xml:space="preserve">成長 </t>
    </r>
    <r>
      <rPr>
        <b val="true"/>
        <sz val="11"/>
        <rFont val="Cambria"/>
        <family val="0"/>
        <charset val="1"/>
      </rPr>
      <t xml:space="preserve">19%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</si>
  <si>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−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／年（情境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</si>
  <si>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+10%</t>
    </r>
    <r>
      <rPr>
        <b val="true"/>
        <sz val="11"/>
        <rFont val="Noto Sans CJK SC"/>
        <family val="2"/>
      </rPr>
      <t xml:space="preserve">／年（情境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</si>
  <si>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0.85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</si>
  <si>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錨點值（情境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</si>
  <si>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案例區塊：淨回購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／年（情境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</si>
  <si>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案例區塊：淨回購 </t>
    </r>
    <r>
      <rPr>
        <b val="true"/>
        <sz val="11"/>
        <rFont val="Cambria"/>
        <family val="0"/>
        <charset val="1"/>
      </rPr>
      <t xml:space="preserve">2.5%</t>
    </r>
    <r>
      <rPr>
        <b val="true"/>
        <sz val="11"/>
        <rFont val="Noto Sans CJK SC"/>
        <family val="2"/>
      </rPr>
      <t xml:space="preserve">／年（情境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</si>
  <si>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案例區塊：關係企業規則恢復（</t>
    </r>
    <r>
      <rPr>
        <b val="true"/>
        <sz val="11"/>
        <rFont val="Cambria"/>
        <family val="0"/>
        <charset val="1"/>
      </rPr>
      <t xml:space="preserve">US$600M</t>
    </r>
    <r>
      <rPr>
        <b val="true"/>
        <sz val="11"/>
        <rFont val="Noto Sans CJK SC"/>
        <family val="2"/>
      </rPr>
      <t xml:space="preserve">／年）（情境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</si>
  <si>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案例區塊：關係企業規則恢復（</t>
    </r>
    <r>
      <rPr>
        <b val="true"/>
        <sz val="11"/>
        <rFont val="Cambria"/>
        <family val="0"/>
        <charset val="1"/>
      </rPr>
      <t xml:space="preserve">US$900M</t>
    </r>
    <r>
      <rPr>
        <b val="true"/>
        <sz val="11"/>
        <rFont val="Noto Sans CJK SC"/>
        <family val="2"/>
      </rPr>
      <t xml:space="preserve">／年）（情境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</si>
  <si>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案例區塊：中國營收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</si>
  <si>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案例區塊：中國營收 −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</si>
  <si>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參數與權重，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</si>
  <si>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</si>
  <si>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</si>
  <si>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</si>
  <si>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</si>
  <si>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</si>
  <si>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</si>
  <si>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</si>
  <si>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</si>
  <si>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</si>
  <si>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</si>
  <si>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</si>
  <si>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</si>
  <si>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Comparable 0.6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</si>
  <si>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</si>
  <si>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Comparable 0.2</t>
  </si>
  <si>
    <r>
      <rPr>
        <b val="true"/>
        <sz val="11"/>
        <rFont val="Noto Sans CJK SC"/>
        <family val="2"/>
      </rPr>
      <t xml:space="preserve">來源（公司新聞稿與 </t>
    </r>
    <r>
      <rPr>
        <b val="true"/>
        <sz val="11"/>
        <rFont val="Cambria"/>
        <family val="0"/>
        <charset val="1"/>
      </rPr>
      <t xml:space="preserve">SEC </t>
    </r>
    <r>
      <rPr>
        <b val="true"/>
        <sz val="11"/>
        <rFont val="Noto Sans CJK SC"/>
        <family val="2"/>
      </rPr>
      <t xml:space="preserve">文件以網頁擷取工具讀取；</t>
    </r>
    <r>
      <rPr>
        <b val="true"/>
        <sz val="11"/>
        <rFont val="Cambria"/>
        <family val="0"/>
        <charset val="1"/>
      </rPr>
      <t xml:space="preserve">10-Q </t>
    </r>
    <r>
      <rPr>
        <b val="true"/>
        <sz val="11"/>
        <rFont val="Noto Sans CJK SC"/>
        <family val="2"/>
      </rPr>
      <t xml:space="preserve">全文擷取在附註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前截斷，地區別與分部重編說明未能讀到）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</si>
  <si>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 FY2026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</t>
    </r>
  </si>
  <si>
    <t xml:space="preserve">https://ir.appliedmaterials.com/news-releases/news-release-details/applied-materials-announces-third-quarter-2026-results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</si>
  <si>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FY2026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2026-05-14</t>
    </r>
    <r>
      <rPr>
        <sz val="11"/>
        <color theme="1"/>
        <rFont val="Noto Sans CJK SC"/>
        <family val="2"/>
      </rPr>
      <t xml:space="preserve">）</t>
    </r>
  </si>
  <si>
    <t xml:space="preserve">https://ir.appliedmaterials.com/news-releases/news-release-details/applied-materials-announces-second-quarter-2026-results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</si>
  <si>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FY2026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2026-02-12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BIS </t>
    </r>
    <r>
      <rPr>
        <sz val="11"/>
        <color theme="1"/>
        <rFont val="Noto Sans CJK SC"/>
        <family val="2"/>
      </rPr>
      <t xml:space="preserve">和解金 </t>
    </r>
    <r>
      <rPr>
        <sz val="11"/>
        <color theme="1"/>
        <rFont val="Calibri"/>
        <family val="2"/>
        <charset val="1"/>
      </rPr>
      <t xml:space="preserve">US$253M</t>
    </r>
    <r>
      <rPr>
        <sz val="11"/>
        <color theme="1"/>
        <rFont val="Noto Sans CJK SC"/>
        <family val="2"/>
      </rPr>
      <t xml:space="preserve">、分部重編）</t>
    </r>
  </si>
  <si>
    <t xml:space="preserve">https://ir.appliedmaterials.com/news-releases/news-release-details/applied-materials-announces-first-quarter-2026-results/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</si>
  <si>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 FY2025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附件，</t>
    </r>
    <r>
      <rPr>
        <sz val="11"/>
        <color theme="1"/>
        <rFont val="Calibri"/>
        <family val="2"/>
        <charset val="1"/>
      </rPr>
      <t xml:space="preserve">2025-11-13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</si>
  <si>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https://www.sec.gov/Archives/edgar/data/6951/000162828025051998/exhibit991q42025earningsre.htm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</si>
  <si>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2025-09-29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BIS </t>
    </r>
    <r>
      <rPr>
        <sz val="11"/>
        <color theme="1"/>
        <rFont val="Noto Sans CJK SC"/>
        <family val="2"/>
      </rPr>
      <t xml:space="preserve">關係企業規則影響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US$600M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</si>
  <si>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https://www.sec.gov/Archives/edgar/data/6951/000162828025043753/amat-20250929.htm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</si>
  <si>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10-Q Q3 FY2026</t>
    </r>
    <r>
      <rPr>
        <sz val="11"/>
        <color theme="1"/>
        <rFont val="Noto Sans CJK SC"/>
        <family val="2"/>
      </rPr>
      <t xml:space="preserve">（封面流通股 </t>
    </r>
    <r>
      <rPr>
        <sz val="11"/>
        <color theme="1"/>
        <rFont val="Calibri"/>
        <family val="2"/>
        <charset val="1"/>
      </rPr>
      <t xml:space="preserve">793,597,443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</si>
  <si>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https://www.sec.gov/Archives/edgar/data/0000006951/000162828026058235/amat-20260726.htm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</si>
  <si>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FY2026 10-Q </t>
    </r>
    <r>
      <rPr>
        <sz val="11"/>
        <color theme="1"/>
        <rFont val="Noto Sans CJK SC"/>
        <family val="2"/>
      </rPr>
      <t xml:space="preserve">分部附註（</t>
    </r>
    <r>
      <rPr>
        <sz val="11"/>
        <color theme="1"/>
        <rFont val="Calibri"/>
        <family val="2"/>
        <charset val="1"/>
      </rPr>
      <t xml:space="preserve">XBRL R21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</si>
  <si>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https://www.sec.gov/Archives/edgar/data/6951/000162828026009694/R21.htm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</si>
  <si>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FY2023 Q4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FY2023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FY2022 EPS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</si>
  <si>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https://www.sec.gov/Archives/edgar/data/6951/000000695123000035/exhibit991q42023earningsre.htm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</si>
  <si>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FY2021 Q4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FY2021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FY2020 EPS</t>
    </r>
    <r>
      <rPr>
        <sz val="11"/>
        <color theme="1"/>
        <rFont val="Noto Sans CJK SC"/>
        <family val="2"/>
      </rPr>
      <t xml:space="preserve">）</t>
    </r>
  </si>
  <si>
    <t xml:space="preserve">https://investor.appliedmaterials.com/news-releases/news-release-details/applied-materials-announces-fourth-quarter-and-fiscal-year-2021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</si>
  <si>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FY2020 Q4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FY2020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FY2019 EPS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</si>
  <si>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https://www.sec.gov/Archives/edgar/data/6951/000000695120000041/exhibit991q42020earnin.htm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</si>
  <si>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FY2018 Q4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FY2018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FY2017 EPS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</si>
  <si>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https://www.sec.gov/Archives/edgar/data/0000006951/000000695118000032/exhibit991q42018earningsre.htm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</si>
  <si>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FY2016 Q4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FY2016 EPS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</si>
  <si>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https://www.sec.gov/Archives/edgar/data/6951/000000695116000063/exhibit991earningsreleaseq.htm</t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</si>
  <si>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法說重點（第四季分部指引、</t>
    </r>
    <r>
      <rPr>
        <sz val="11"/>
        <color theme="1"/>
        <rFont val="Calibri"/>
        <family val="2"/>
        <charset val="1"/>
      </rPr>
      <t xml:space="preserve">AGS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80% </t>
    </r>
    <r>
      <rPr>
        <sz val="11"/>
        <color theme="1"/>
        <rFont val="Noto Sans CJK SC"/>
        <family val="2"/>
      </rPr>
      <t xml:space="preserve">說法）</t>
    </r>
  </si>
  <si>
    <t xml:space="preserve">https://www.marketbeat.com/instant-alerts/applied-materials-q3-earnings-call-highlights-2026-08-13/</t>
  </si>
  <si>
    <r>
      <rPr>
        <sz val="11"/>
        <color theme="1"/>
        <rFont val="Calibri"/>
        <family val="2"/>
        <charset val="1"/>
      </rPr>
      <t xml:space="preserve">Nasdaq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法說重點（可能與 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同源）</t>
    </r>
  </si>
  <si>
    <t xml:space="preserve">https://www.nasdaq.com/articles/applied-materials-q3-earnings-call-highlights</t>
  </si>
  <si>
    <r>
      <rPr>
        <sz val="11"/>
        <color theme="1"/>
        <rFont val="Calibri"/>
        <family val="2"/>
        <charset val="1"/>
      </rPr>
      <t xml:space="preserve">Skadden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BIS </t>
    </r>
    <r>
      <rPr>
        <sz val="11"/>
        <color theme="1"/>
        <rFont val="Noto Sans CJK SC"/>
        <family val="2"/>
      </rPr>
      <t xml:space="preserve">暫停關係企業規則一年（</t>
    </r>
    <r>
      <rPr>
        <sz val="11"/>
        <color theme="1"/>
        <rFont val="Calibri"/>
        <family val="2"/>
        <charset val="1"/>
      </rPr>
      <t xml:space="preserve">2025-11-10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2026-11-09</t>
    </r>
    <r>
      <rPr>
        <sz val="11"/>
        <color theme="1"/>
        <rFont val="Noto Sans CJK SC"/>
        <family val="2"/>
      </rPr>
      <t xml:space="preserve">）</t>
    </r>
  </si>
  <si>
    <t xml:space="preserve">https://www.skadden.com/insights/publications/2025/11/bis-suspends-affiliates-rule-for-one-year-as-part-of-the-us-china-trade-deal</t>
  </si>
  <si>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Finance 2025-11-14</t>
    </r>
    <r>
      <rPr>
        <sz val="11"/>
        <color theme="1"/>
        <rFont val="Noto Sans CJK SC"/>
        <family val="2"/>
      </rPr>
      <t xml:space="preserve">）：中國占比降至約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、暫停後約 </t>
    </r>
    <r>
      <rPr>
        <sz val="11"/>
        <color theme="1"/>
        <rFont val="Calibri"/>
        <family val="2"/>
        <charset val="1"/>
      </rPr>
      <t xml:space="preserve">US$600M </t>
    </r>
    <r>
      <rPr>
        <sz val="11"/>
        <color theme="1"/>
        <rFont val="Noto Sans CJK SC"/>
        <family val="2"/>
      </rPr>
      <t xml:space="preserve">可恢復</t>
    </r>
  </si>
  <si>
    <t xml:space="preserve">https://finance.yahoo.com/news/applied-materials-shares-drop-stringent-111350305.html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</si>
  <si>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：股價、市值、遠期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</si>
  <si>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https://stockanalysis.com/stocks/amat/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</si>
  <si>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：共識（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</si>
  <si>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https://stockanalysis.com/stocks/amat/forecast/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</si>
  <si>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：年度與季度財報（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對照）</t>
    </r>
  </si>
  <si>
    <t xml:space="preserve">https://stockanalysis.com/stocks/amat/financials/?p=quarterly</t>
  </si>
  <si>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：共識（過時，未採）</t>
    </r>
  </si>
  <si>
    <t xml:space="preserve">https://www.tickflow.io/stock/AMAT/forecast</t>
  </si>
  <si>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GAAP EPS </t>
    </r>
    <r>
      <rPr>
        <sz val="11"/>
        <color theme="1"/>
        <rFont val="Noto Sans CJK SC"/>
        <family val="2"/>
      </rPr>
      <t xml:space="preserve">歷史（第二來源）</t>
    </r>
  </si>
  <si>
    <t xml:space="preserve">https://www.macrotrends.net/stocks/charts/AMAT/applied-materials/eps-earnings-per-share-diluted</t>
  </si>
  <si>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：年底收盤價（未調整與調整後）</t>
    </r>
  </si>
  <si>
    <t xml:space="preserve">https://www.digrin.com/stocks/detail/AMAT/price</t>
  </si>
  <si>
    <r>
      <rPr>
        <sz val="11"/>
        <color theme="1"/>
        <rFont val="Calibri"/>
        <family val="2"/>
        <charset val="1"/>
      </rPr>
      <t xml:space="preserve">statmuse</t>
    </r>
    <r>
      <rPr>
        <sz val="11"/>
        <color theme="1"/>
        <rFont val="Noto Sans CJK SC"/>
        <family val="2"/>
      </rPr>
      <t xml:space="preserve">：年底收盤價（股利調整後）</t>
    </r>
  </si>
  <si>
    <t xml:space="preserve">https://www.statmuse.com/money/ask/applied-materials-closing-price-december-31-2019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</si>
  <si>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：年底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TTM</t>
    </r>
    <r>
      <rPr>
        <sz val="11"/>
        <color theme="1"/>
        <rFont val="Noto Sans CJK SC"/>
        <family val="2"/>
      </rPr>
      <t xml:space="preserve">）</t>
    </r>
  </si>
  <si>
    <t xml:space="preserve">https://companiesmarketcap.com/applied-materials/pe-ratio/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</si>
  <si>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tools/cycle_position.py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</si>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</sst>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0.0%"/>
    <numFmt numFmtId="167" formatCode="0%"/>
    <numFmt numFmtId="168" formatCode="0.00"/>
    <numFmt numFmtId="169" formatCode="0"/>
    <numFmt numFmtId="170" formatCode="0.000"/>
    <numFmt numFmtId="171" formatCode="0.0"/>
    <numFmt numFmtId="172" formatCode="#,##0.0"/>
    <numFmt numFmtId="173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7.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3" t="s">
        <v>3</v>
      </c>
    </row>
    <row r="7" customFormat="false" ht="17.15" hidden="false" customHeight="false" outlineLevel="0" collapsed="false">
      <c r="A7" s="2" t="s">
        <v>4</v>
      </c>
    </row>
    <row r="8" customFormat="false" ht="17.15" hidden="false" customHeight="false" outlineLevel="0" collapsed="false">
      <c r="A8" s="4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4" t="s">
        <v>7</v>
      </c>
    </row>
    <row r="11" customFormat="false" ht="15" hidden="false" customHeight="false" outlineLevel="0" collapsed="false">
      <c r="A11" s="2"/>
    </row>
    <row r="12" customFormat="false" ht="17.15" hidden="false" customHeight="false" outlineLevel="0" collapsed="false">
      <c r="A12" s="2" t="s">
        <v>8</v>
      </c>
    </row>
    <row r="13" customFormat="false" ht="17.15" hidden="false" customHeight="false" outlineLevel="0" collapsed="false">
      <c r="A13" s="2" t="s">
        <v>9</v>
      </c>
    </row>
    <row r="14" customFormat="false" ht="17.15" hidden="false" customHeight="false" outlineLevel="0" collapsed="false">
      <c r="A14" s="0" t="s">
        <v>10</v>
      </c>
    </row>
    <row r="15" customFormat="false" ht="17.15" hidden="false" customHeight="false" outlineLevel="0" collapsed="false">
      <c r="A15" s="5" t="s">
        <v>11</v>
      </c>
    </row>
    <row r="16" customFormat="false" ht="17.15" hidden="false" customHeight="false" outlineLevel="0" collapsed="false">
      <c r="A16" s="0" t="s">
        <v>12</v>
      </c>
    </row>
    <row r="17" customFormat="false" ht="15" hidden="false" customHeight="false" outlineLevel="0" collapsed="false">
      <c r="A17" s="0" t="str">
        <f aca="false">"投資建議："&amp;Val!B147&amp;"（依上檔空間固定規則）"</f>
        <v>投資建議：中立（依上檔空間固定規則）</v>
      </c>
    </row>
    <row r="18" customFormat="false" ht="17.15" hidden="false" customHeight="false" outlineLevel="0" collapsed="false">
      <c r="A18" s="0" t="str">
        <f aca="false">"重點觀察 1：目標價 US$"&amp;TEXT(Val!$B$136,"0.00")&amp;"（DCF "&amp;TEXT(Val!$B$122,"0.00")&amp;"、Comparable（相對倍數調整後）"&amp;TEXT(tp_comp_adj,"0.00")&amp;"；DCF 權重 "&amp;TEXT(tp_w_dcf,"0%")&amp;"），比現價 "&amp;TEXT(px,"0.00")&amp;"（2026-10-23）"&amp;IF(Val!$B$139&gt;=0,"高 "&amp;TEXT(Val!$B$139,"0.0%"),"低 "&amp;TEXT(-Val!$B$139,"0.0%"))&amp;"，級距 "&amp;Val!$B$146&amp;"、投資建議 "&amp;Val!$B$147&amp;"。相對倍數調整係數 "&amp;TEXT(rm_factor,"0.00")&amp;"（本公司 10 年前瞻倍數中位數 ÷ 同業的中位數，夾在 0.5–2.0；Val 第 0.5 節），調整前加權上檔空間 "&amp;TEXT((tp_w_dcf*Val!$B$122+(1-tp_w_dcf)*Val!$B$132)/px-1,"+0.0%;−0.0%")&amp;"；Comparable 單獨（市場主流同業法、未調整）為 "&amp;TEXT(Val!$B$140,"+0.0%;−0.0%")&amp;"。"&amp;"以下為 2026-10-29 相對倍數調整前撰寫的說明，其中數字為調整前：兩法差距大：DCF 比現價低 33.0%，因情境 B、C 的 EPS 在 FY2028 後依收斂法持平或下滑（B 的 FY2032 EPS 16.01 低於 FY2027 的 16.48），不是 ROE（近三年 41.4%）；本模型前瞻 EPS 17.55 比共識 FY2027 EPS 18.49 低 5.1%（期間晚一年）"&amp;"。"</f>
        <v>重點觀察 1：目標價 US$307.90（DCF 247.85、Comparable（相對倍數調整後）367.96；DCF 權重 50%），比現價 377.24（2026-10-23）低 18.4%，級距 0%～−25%、投資建議 中立。相對倍數調整係數 0.83（本公司 10 年前瞻倍數中位數 ÷ 同業的中位數，夾在 0.5–2.0；Val 第 0.5 節），調整前加權上檔空間 −8.7%；Comparable 單獨（市場主流同業法、未調整）為 +16.9%。以下為 2026-10-29 相對倍數調整前撰寫的說明，其中數字為調整前：兩法差距大：DCF 比現價低 33.0%，因情境 B、C 的 EPS 在 FY2028 後依收斂法持平或下滑（B 的 FY2032 EPS 16.01 低於 FY2027 的 16.48），不是 ROE（近三年 41.4%）；本模型前瞻 EPS 17.55 比共識 FY2027 EPS 18.49 低 5.1%（期間晚一年）。</v>
      </c>
    </row>
    <row r="19" customFormat="false" ht="17.15" hidden="false" customHeight="false" outlineLevel="0" collapsed="false">
      <c r="A19" s="5" t="s">
        <v>13</v>
      </c>
    </row>
    <row r="20" customFormat="false" ht="17.15" hidden="false" customHeight="false" outlineLevel="0" collapsed="false">
      <c r="A20" s="5" t="s">
        <v>14</v>
      </c>
    </row>
    <row r="22" customFormat="false" ht="17.15" hidden="false" customHeight="false" outlineLevel="0" collapsed="false">
      <c r="A22" s="0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4"/>
    <col collapsed="false" customWidth="true" hidden="false" outlineLevel="0" max="4" min="3" style="0" width="1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16</v>
      </c>
    </row>
    <row r="2" customFormat="false" ht="17.15" hidden="false" customHeight="false" outlineLevel="0" collapsed="false">
      <c r="A2" s="5" t="s">
        <v>17</v>
      </c>
    </row>
    <row r="3" customFormat="false" ht="17.15" hidden="false" customHeight="false" outlineLevel="0" collapsed="false">
      <c r="A3" s="6" t="s">
        <v>18</v>
      </c>
      <c r="B3" s="6" t="s">
        <v>19</v>
      </c>
      <c r="C3" s="6" t="s">
        <v>20</v>
      </c>
      <c r="D3" s="6" t="s">
        <v>21</v>
      </c>
      <c r="E3" s="6" t="s">
        <v>22</v>
      </c>
      <c r="F3" s="6" t="s">
        <v>23</v>
      </c>
      <c r="G3" s="6" t="s">
        <v>24</v>
      </c>
      <c r="H3" s="6" t="s">
        <v>25</v>
      </c>
      <c r="I3" s="6" t="s">
        <v>26</v>
      </c>
    </row>
    <row r="4" customFormat="false" ht="17.15" hidden="false" customHeight="false" outlineLevel="0" collapsed="false">
      <c r="A4" s="1" t="s">
        <v>27</v>
      </c>
    </row>
    <row r="5" customFormat="false" ht="17.15" hidden="false" customHeight="false" outlineLevel="0" collapsed="false">
      <c r="A5" s="0" t="s">
        <v>28</v>
      </c>
      <c r="B5" s="5" t="s">
        <v>29</v>
      </c>
      <c r="C5" s="0" t="s">
        <v>30</v>
      </c>
      <c r="E5" s="7" t="n">
        <v>36.0323364171573</v>
      </c>
      <c r="G5" s="8" t="s">
        <v>31</v>
      </c>
      <c r="H5" s="8" t="s">
        <v>32</v>
      </c>
      <c r="I5" s="8" t="s">
        <v>33</v>
      </c>
    </row>
    <row r="6" customFormat="false" ht="17.15" hidden="false" customHeight="false" outlineLevel="0" collapsed="false">
      <c r="A6" s="0" t="s">
        <v>34</v>
      </c>
      <c r="B6" s="5" t="s">
        <v>35</v>
      </c>
      <c r="C6" s="0" t="s">
        <v>30</v>
      </c>
      <c r="E6" s="7" t="n">
        <v>50.3248433305299</v>
      </c>
      <c r="G6" s="8" t="s">
        <v>31</v>
      </c>
      <c r="H6" s="5" t="s">
        <v>36</v>
      </c>
    </row>
    <row r="7" customFormat="false" ht="17.15" hidden="false" customHeight="false" outlineLevel="0" collapsed="false">
      <c r="A7" s="0" t="s">
        <v>37</v>
      </c>
      <c r="B7" s="5" t="s">
        <v>38</v>
      </c>
      <c r="C7" s="0" t="s">
        <v>30</v>
      </c>
      <c r="E7" s="7" t="n">
        <v>60.7764307969723</v>
      </c>
      <c r="G7" s="8" t="s">
        <v>31</v>
      </c>
      <c r="H7" s="5" t="s">
        <v>36</v>
      </c>
    </row>
    <row r="8" customFormat="false" ht="17.15" hidden="false" customHeight="false" outlineLevel="0" collapsed="false">
      <c r="A8" s="0" t="s">
        <v>39</v>
      </c>
      <c r="B8" s="5" t="s">
        <v>40</v>
      </c>
      <c r="C8" s="0" t="s">
        <v>30</v>
      </c>
      <c r="E8" s="7" t="n">
        <v>70.01614526073</v>
      </c>
      <c r="G8" s="8" t="s">
        <v>31</v>
      </c>
      <c r="H8" s="5" t="s">
        <v>36</v>
      </c>
    </row>
    <row r="9" customFormat="false" ht="17.15" hidden="false" customHeight="false" outlineLevel="0" collapsed="false">
      <c r="A9" s="0" t="s">
        <v>41</v>
      </c>
      <c r="B9" s="5" t="s">
        <v>42</v>
      </c>
      <c r="C9" s="0" t="s">
        <v>30</v>
      </c>
      <c r="E9" s="7" t="n">
        <v>74.2094368815884</v>
      </c>
      <c r="G9" s="8" t="s">
        <v>31</v>
      </c>
      <c r="H9" s="5" t="s">
        <v>36</v>
      </c>
    </row>
    <row r="10" customFormat="false" ht="17.15" hidden="false" customHeight="false" outlineLevel="0" collapsed="false">
      <c r="A10" s="0" t="s">
        <v>43</v>
      </c>
      <c r="B10" s="5" t="s">
        <v>44</v>
      </c>
      <c r="C10" s="0" t="s">
        <v>30</v>
      </c>
      <c r="E10" s="7" t="n">
        <v>29.5690092514718</v>
      </c>
      <c r="G10" s="8" t="s">
        <v>31</v>
      </c>
      <c r="H10" s="8" t="s">
        <v>45</v>
      </c>
    </row>
    <row r="11" customFormat="false" ht="17.15" hidden="false" customHeight="false" outlineLevel="0" collapsed="false">
      <c r="A11" s="0" t="s">
        <v>46</v>
      </c>
      <c r="B11" s="5" t="s">
        <v>47</v>
      </c>
      <c r="C11" s="0" t="s">
        <v>30</v>
      </c>
      <c r="E11" s="7" t="n">
        <v>31.9345299915896</v>
      </c>
      <c r="G11" s="8" t="s">
        <v>31</v>
      </c>
      <c r="H11" s="5" t="s">
        <v>36</v>
      </c>
    </row>
    <row r="12" customFormat="false" ht="17.15" hidden="false" customHeight="false" outlineLevel="0" collapsed="false">
      <c r="A12" s="0" t="s">
        <v>48</v>
      </c>
      <c r="B12" s="5" t="s">
        <v>49</v>
      </c>
      <c r="C12" s="0" t="s">
        <v>30</v>
      </c>
      <c r="E12" s="7" t="n">
        <v>34.4892923909167</v>
      </c>
      <c r="G12" s="8" t="s">
        <v>31</v>
      </c>
      <c r="H12" s="5" t="s">
        <v>36</v>
      </c>
    </row>
    <row r="13" customFormat="false" ht="17.15" hidden="false" customHeight="false" outlineLevel="0" collapsed="false">
      <c r="A13" s="0" t="s">
        <v>50</v>
      </c>
      <c r="B13" s="5" t="s">
        <v>51</v>
      </c>
      <c r="C13" s="0" t="s">
        <v>30</v>
      </c>
      <c r="E13" s="7" t="n">
        <v>37.2484357821901</v>
      </c>
      <c r="G13" s="8" t="s">
        <v>31</v>
      </c>
      <c r="H13" s="5" t="s">
        <v>36</v>
      </c>
    </row>
    <row r="14" customFormat="false" ht="17.15" hidden="false" customHeight="false" outlineLevel="0" collapsed="false">
      <c r="A14" s="0" t="s">
        <v>52</v>
      </c>
      <c r="B14" s="5" t="s">
        <v>53</v>
      </c>
      <c r="C14" s="0" t="s">
        <v>30</v>
      </c>
      <c r="E14" s="7" t="n">
        <v>40.2283106447653</v>
      </c>
      <c r="G14" s="8" t="s">
        <v>31</v>
      </c>
      <c r="H14" s="5" t="s">
        <v>36</v>
      </c>
    </row>
    <row r="15" customFormat="false" ht="17.15" hidden="false" customHeight="false" outlineLevel="0" collapsed="false">
      <c r="A15" s="0" t="s">
        <v>54</v>
      </c>
      <c r="B15" s="5" t="s">
        <v>55</v>
      </c>
      <c r="C15" s="0" t="s">
        <v>30</v>
      </c>
      <c r="E15" s="7" t="n">
        <v>12.7467750295502</v>
      </c>
      <c r="G15" s="8" t="s">
        <v>31</v>
      </c>
      <c r="H15" s="8" t="s">
        <v>56</v>
      </c>
    </row>
    <row r="16" customFormat="false" ht="17.15" hidden="false" customHeight="false" outlineLevel="0" collapsed="false">
      <c r="A16" s="0" t="s">
        <v>57</v>
      </c>
      <c r="B16" s="5" t="s">
        <v>58</v>
      </c>
      <c r="C16" s="0" t="s">
        <v>30</v>
      </c>
      <c r="E16" s="7" t="n">
        <v>17.4517800051339</v>
      </c>
      <c r="G16" s="8" t="s">
        <v>31</v>
      </c>
      <c r="H16" s="5" t="s">
        <v>36</v>
      </c>
    </row>
    <row r="17" customFormat="false" ht="17.15" hidden="false" customHeight="false" outlineLevel="0" collapsed="false">
      <c r="A17" s="0" t="s">
        <v>59</v>
      </c>
      <c r="B17" s="5" t="s">
        <v>60</v>
      </c>
      <c r="C17" s="0" t="s">
        <v>30</v>
      </c>
      <c r="E17" s="7" t="n">
        <v>21.0229861332022</v>
      </c>
      <c r="G17" s="8" t="s">
        <v>31</v>
      </c>
      <c r="H17" s="5" t="s">
        <v>36</v>
      </c>
    </row>
    <row r="18" customFormat="false" ht="17.15" hidden="false" customHeight="false" outlineLevel="0" collapsed="false">
      <c r="A18" s="0" t="s">
        <v>61</v>
      </c>
      <c r="B18" s="5" t="s">
        <v>62</v>
      </c>
      <c r="C18" s="0" t="s">
        <v>30</v>
      </c>
      <c r="E18" s="7" t="n">
        <v>23.6218237993404</v>
      </c>
      <c r="G18" s="8" t="s">
        <v>31</v>
      </c>
      <c r="H18" s="5" t="s">
        <v>36</v>
      </c>
    </row>
    <row r="19" customFormat="false" ht="17.15" hidden="false" customHeight="false" outlineLevel="0" collapsed="false">
      <c r="A19" s="0" t="s">
        <v>63</v>
      </c>
      <c r="B19" s="5" t="s">
        <v>64</v>
      </c>
      <c r="C19" s="0" t="s">
        <v>30</v>
      </c>
      <c r="E19" s="7" t="n">
        <v>24.9603324658488</v>
      </c>
      <c r="G19" s="8" t="s">
        <v>31</v>
      </c>
      <c r="H19" s="5" t="s">
        <v>36</v>
      </c>
    </row>
    <row r="20" customFormat="false" ht="17.15" hidden="false" customHeight="false" outlineLevel="0" collapsed="false">
      <c r="A20" s="0" t="s">
        <v>65</v>
      </c>
      <c r="B20" s="0" t="s">
        <v>66</v>
      </c>
      <c r="C20" s="0" t="s">
        <v>30</v>
      </c>
      <c r="E20" s="7" t="n">
        <v>26.3761091658243</v>
      </c>
      <c r="G20" s="8" t="s">
        <v>31</v>
      </c>
      <c r="H20" s="8" t="s">
        <v>67</v>
      </c>
    </row>
    <row r="21" customFormat="false" ht="17.15" hidden="false" customHeight="false" outlineLevel="0" collapsed="false">
      <c r="A21" s="0" t="s">
        <v>68</v>
      </c>
      <c r="B21" s="0" t="s">
        <v>69</v>
      </c>
      <c r="C21" s="0" t="s">
        <v>30</v>
      </c>
      <c r="E21" s="7" t="n">
        <v>41.8742847275048</v>
      </c>
      <c r="G21" s="8" t="s">
        <v>31</v>
      </c>
      <c r="H21" s="5" t="s">
        <v>36</v>
      </c>
    </row>
    <row r="22" customFormat="false" ht="17.15" hidden="false" customHeight="false" outlineLevel="0" collapsed="false">
      <c r="A22" s="0" t="s">
        <v>70</v>
      </c>
      <c r="B22" s="0" t="s">
        <v>71</v>
      </c>
      <c r="C22" s="0" t="s">
        <v>30</v>
      </c>
      <c r="E22" s="7" t="n">
        <v>53.2587328153375</v>
      </c>
      <c r="G22" s="8" t="s">
        <v>31</v>
      </c>
      <c r="H22" s="5" t="s">
        <v>36</v>
      </c>
    </row>
    <row r="23" customFormat="false" ht="17.15" hidden="false" customHeight="false" outlineLevel="0" collapsed="false">
      <c r="A23" s="0" t="s">
        <v>72</v>
      </c>
      <c r="B23" s="0" t="s">
        <v>73</v>
      </c>
      <c r="C23" s="0" t="s">
        <v>30</v>
      </c>
      <c r="E23" s="7" t="n">
        <v>59.5608998372386</v>
      </c>
      <c r="G23" s="8" t="s">
        <v>31</v>
      </c>
      <c r="H23" s="5" t="s">
        <v>36</v>
      </c>
    </row>
    <row r="24" customFormat="false" ht="17.15" hidden="false" customHeight="false" outlineLevel="0" collapsed="false">
      <c r="A24" s="0" t="s">
        <v>74</v>
      </c>
      <c r="B24" s="0" t="s">
        <v>75</v>
      </c>
      <c r="C24" s="0" t="s">
        <v>30</v>
      </c>
      <c r="E24" s="7" t="n">
        <v>61.8312930912183</v>
      </c>
      <c r="G24" s="8" t="s">
        <v>31</v>
      </c>
      <c r="H24" s="5" t="s">
        <v>36</v>
      </c>
    </row>
    <row r="25" customFormat="false" ht="17.15" hidden="false" customHeight="false" outlineLevel="0" collapsed="false">
      <c r="A25" s="0" t="s">
        <v>76</v>
      </c>
      <c r="B25" s="0" t="s">
        <v>77</v>
      </c>
      <c r="C25" s="0" t="s">
        <v>30</v>
      </c>
      <c r="E25" s="7" t="n">
        <v>12.1726019800256</v>
      </c>
      <c r="G25" s="8" t="s">
        <v>31</v>
      </c>
      <c r="H25" s="8" t="s">
        <v>78</v>
      </c>
    </row>
    <row r="26" customFormat="false" ht="17.15" hidden="false" customHeight="false" outlineLevel="0" collapsed="false">
      <c r="A26" s="0" t="s">
        <v>79</v>
      </c>
      <c r="B26" s="0" t="s">
        <v>80</v>
      </c>
      <c r="C26" s="0" t="s">
        <v>30</v>
      </c>
      <c r="E26" s="7" t="n">
        <v>18.4595763045422</v>
      </c>
      <c r="G26" s="8" t="s">
        <v>31</v>
      </c>
      <c r="H26" s="5" t="s">
        <v>36</v>
      </c>
    </row>
    <row r="27" customFormat="false" ht="17.15" hidden="false" customHeight="false" outlineLevel="0" collapsed="false">
      <c r="A27" s="0" t="s">
        <v>81</v>
      </c>
      <c r="B27" s="0" t="s">
        <v>82</v>
      </c>
      <c r="C27" s="0" t="s">
        <v>30</v>
      </c>
      <c r="E27" s="7" t="n">
        <v>23.2480272411321</v>
      </c>
      <c r="G27" s="8" t="s">
        <v>31</v>
      </c>
      <c r="H27" s="5" t="s">
        <v>36</v>
      </c>
    </row>
    <row r="28" customFormat="false" ht="17.15" hidden="false" customHeight="false" outlineLevel="0" collapsed="false">
      <c r="A28" s="0" t="s">
        <v>83</v>
      </c>
      <c r="B28" s="0" t="s">
        <v>84</v>
      </c>
      <c r="C28" s="0" t="s">
        <v>30</v>
      </c>
      <c r="E28" s="7" t="n">
        <v>26.181321629459</v>
      </c>
      <c r="G28" s="8" t="s">
        <v>31</v>
      </c>
      <c r="H28" s="5" t="s">
        <v>36</v>
      </c>
    </row>
    <row r="29" customFormat="false" ht="17.15" hidden="false" customHeight="false" outlineLevel="0" collapsed="false">
      <c r="A29" s="0" t="s">
        <v>85</v>
      </c>
      <c r="B29" s="0" t="s">
        <v>86</v>
      </c>
      <c r="C29" s="0" t="s">
        <v>30</v>
      </c>
      <c r="E29" s="7" t="n">
        <v>27.674312771805</v>
      </c>
      <c r="G29" s="8" t="s">
        <v>31</v>
      </c>
      <c r="H29" s="5" t="s">
        <v>36</v>
      </c>
    </row>
    <row r="30" customFormat="false" ht="17.15" hidden="false" customHeight="false" outlineLevel="0" collapsed="false">
      <c r="A30" s="0" t="s">
        <v>87</v>
      </c>
      <c r="B30" s="5" t="s">
        <v>88</v>
      </c>
      <c r="C30" s="0" t="s">
        <v>30</v>
      </c>
      <c r="E30" s="7" t="n">
        <v>36.0323364171573</v>
      </c>
      <c r="G30" s="8" t="s">
        <v>31</v>
      </c>
      <c r="H30" s="8" t="s">
        <v>89</v>
      </c>
    </row>
    <row r="31" customFormat="false" ht="17.15" hidden="false" customHeight="false" outlineLevel="0" collapsed="false">
      <c r="A31" s="0" t="s">
        <v>90</v>
      </c>
      <c r="B31" s="5" t="s">
        <v>91</v>
      </c>
      <c r="C31" s="0" t="s">
        <v>30</v>
      </c>
      <c r="E31" s="7" t="n">
        <v>50.3248433305299</v>
      </c>
      <c r="G31" s="8" t="s">
        <v>31</v>
      </c>
      <c r="H31" s="5" t="s">
        <v>36</v>
      </c>
    </row>
    <row r="32" customFormat="false" ht="17.15" hidden="false" customHeight="false" outlineLevel="0" collapsed="false">
      <c r="A32" s="0" t="s">
        <v>92</v>
      </c>
      <c r="B32" s="5" t="s">
        <v>93</v>
      </c>
      <c r="C32" s="0" t="s">
        <v>30</v>
      </c>
      <c r="E32" s="7" t="n">
        <v>60.7764307969723</v>
      </c>
      <c r="G32" s="8" t="s">
        <v>31</v>
      </c>
      <c r="H32" s="5" t="s">
        <v>36</v>
      </c>
    </row>
    <row r="33" customFormat="false" ht="17.15" hidden="false" customHeight="false" outlineLevel="0" collapsed="false">
      <c r="A33" s="0" t="s">
        <v>94</v>
      </c>
      <c r="B33" s="5" t="s">
        <v>95</v>
      </c>
      <c r="C33" s="0" t="s">
        <v>30</v>
      </c>
      <c r="E33" s="7" t="n">
        <v>60.7764307969723</v>
      </c>
      <c r="G33" s="8" t="s">
        <v>31</v>
      </c>
      <c r="H33" s="5" t="s">
        <v>36</v>
      </c>
    </row>
    <row r="34" customFormat="false" ht="17.15" hidden="false" customHeight="false" outlineLevel="0" collapsed="false">
      <c r="A34" s="0" t="s">
        <v>96</v>
      </c>
      <c r="B34" s="5" t="s">
        <v>97</v>
      </c>
      <c r="C34" s="0" t="s">
        <v>30</v>
      </c>
      <c r="E34" s="7" t="n">
        <v>57.7376092571236</v>
      </c>
      <c r="G34" s="8" t="s">
        <v>31</v>
      </c>
      <c r="H34" s="5" t="s">
        <v>36</v>
      </c>
    </row>
    <row r="35" customFormat="false" ht="17.15" hidden="false" customHeight="false" outlineLevel="0" collapsed="false">
      <c r="A35" s="0" t="s">
        <v>98</v>
      </c>
      <c r="B35" s="5" t="s">
        <v>99</v>
      </c>
      <c r="C35" s="0" t="s">
        <v>30</v>
      </c>
      <c r="E35" s="7" t="n">
        <v>29.5690092514718</v>
      </c>
      <c r="G35" s="8" t="s">
        <v>31</v>
      </c>
      <c r="H35" s="8" t="s">
        <v>100</v>
      </c>
    </row>
    <row r="36" customFormat="false" ht="17.15" hidden="false" customHeight="false" outlineLevel="0" collapsed="false">
      <c r="A36" s="0" t="s">
        <v>101</v>
      </c>
      <c r="B36" s="5" t="s">
        <v>102</v>
      </c>
      <c r="C36" s="0" t="s">
        <v>30</v>
      </c>
      <c r="E36" s="7" t="n">
        <v>31.9345299915896</v>
      </c>
      <c r="G36" s="8" t="s">
        <v>31</v>
      </c>
      <c r="H36" s="5" t="s">
        <v>36</v>
      </c>
    </row>
    <row r="37" customFormat="false" ht="17.15" hidden="false" customHeight="false" outlineLevel="0" collapsed="false">
      <c r="A37" s="0" t="s">
        <v>103</v>
      </c>
      <c r="B37" s="5" t="s">
        <v>104</v>
      </c>
      <c r="C37" s="0" t="s">
        <v>30</v>
      </c>
      <c r="E37" s="7" t="n">
        <v>34.4892923909167</v>
      </c>
      <c r="G37" s="8" t="s">
        <v>31</v>
      </c>
      <c r="H37" s="5" t="s">
        <v>36</v>
      </c>
    </row>
    <row r="38" customFormat="false" ht="17.15" hidden="false" customHeight="false" outlineLevel="0" collapsed="false">
      <c r="A38" s="0" t="s">
        <v>105</v>
      </c>
      <c r="B38" s="5" t="s">
        <v>106</v>
      </c>
      <c r="C38" s="0" t="s">
        <v>30</v>
      </c>
      <c r="E38" s="7" t="n">
        <v>34.4892923909167</v>
      </c>
      <c r="G38" s="8" t="s">
        <v>31</v>
      </c>
      <c r="H38" s="5" t="s">
        <v>36</v>
      </c>
    </row>
    <row r="39" customFormat="false" ht="17.15" hidden="false" customHeight="false" outlineLevel="0" collapsed="false">
      <c r="A39" s="0" t="s">
        <v>107</v>
      </c>
      <c r="B39" s="5" t="s">
        <v>108</v>
      </c>
      <c r="C39" s="0" t="s">
        <v>30</v>
      </c>
      <c r="E39" s="7" t="n">
        <v>32.7648277713709</v>
      </c>
      <c r="G39" s="8" t="s">
        <v>31</v>
      </c>
      <c r="H39" s="5" t="s">
        <v>36</v>
      </c>
    </row>
    <row r="40" customFormat="false" ht="17.15" hidden="false" customHeight="false" outlineLevel="0" collapsed="false">
      <c r="A40" s="0" t="s">
        <v>109</v>
      </c>
      <c r="B40" s="5" t="s">
        <v>110</v>
      </c>
      <c r="C40" s="0" t="s">
        <v>30</v>
      </c>
      <c r="E40" s="7" t="n">
        <v>12.7467750295502</v>
      </c>
      <c r="G40" s="8" t="s">
        <v>31</v>
      </c>
      <c r="H40" s="8" t="s">
        <v>111</v>
      </c>
    </row>
    <row r="41" customFormat="false" ht="17.15" hidden="false" customHeight="false" outlineLevel="0" collapsed="false">
      <c r="A41" s="0" t="s">
        <v>112</v>
      </c>
      <c r="B41" s="5" t="s">
        <v>113</v>
      </c>
      <c r="C41" s="0" t="s">
        <v>30</v>
      </c>
      <c r="E41" s="7" t="n">
        <v>17.4517800051339</v>
      </c>
      <c r="G41" s="8" t="s">
        <v>31</v>
      </c>
      <c r="H41" s="5" t="s">
        <v>36</v>
      </c>
    </row>
    <row r="42" customFormat="false" ht="17.15" hidden="false" customHeight="false" outlineLevel="0" collapsed="false">
      <c r="A42" s="0" t="s">
        <v>114</v>
      </c>
      <c r="B42" s="5" t="s">
        <v>115</v>
      </c>
      <c r="C42" s="0" t="s">
        <v>30</v>
      </c>
      <c r="E42" s="7" t="n">
        <v>21.0229861332022</v>
      </c>
      <c r="G42" s="8" t="s">
        <v>31</v>
      </c>
      <c r="H42" s="5" t="s">
        <v>36</v>
      </c>
    </row>
    <row r="43" customFormat="false" ht="17.15" hidden="false" customHeight="false" outlineLevel="0" collapsed="false">
      <c r="A43" s="0" t="s">
        <v>116</v>
      </c>
      <c r="B43" s="5" t="s">
        <v>117</v>
      </c>
      <c r="C43" s="0" t="s">
        <v>30</v>
      </c>
      <c r="E43" s="7" t="n">
        <v>21.0229861332022</v>
      </c>
      <c r="G43" s="8" t="s">
        <v>31</v>
      </c>
      <c r="H43" s="5" t="s">
        <v>36</v>
      </c>
    </row>
    <row r="44" customFormat="false" ht="17.15" hidden="false" customHeight="false" outlineLevel="0" collapsed="false">
      <c r="A44" s="0" t="s">
        <v>118</v>
      </c>
      <c r="B44" s="5" t="s">
        <v>119</v>
      </c>
      <c r="C44" s="0" t="s">
        <v>30</v>
      </c>
      <c r="E44" s="7" t="n">
        <v>19.9718368265421</v>
      </c>
      <c r="G44" s="8" t="s">
        <v>31</v>
      </c>
      <c r="H44" s="5" t="s">
        <v>36</v>
      </c>
    </row>
    <row r="45" customFormat="false" ht="17.15" hidden="false" customHeight="false" outlineLevel="0" collapsed="false">
      <c r="A45" s="0" t="s">
        <v>120</v>
      </c>
      <c r="B45" s="0" t="s">
        <v>121</v>
      </c>
      <c r="C45" s="0" t="s">
        <v>30</v>
      </c>
      <c r="E45" s="7" t="n">
        <v>26.3761091658243</v>
      </c>
      <c r="G45" s="8" t="s">
        <v>31</v>
      </c>
      <c r="H45" s="8" t="s">
        <v>122</v>
      </c>
    </row>
    <row r="46" customFormat="false" ht="17.15" hidden="false" customHeight="false" outlineLevel="0" collapsed="false">
      <c r="A46" s="0" t="s">
        <v>123</v>
      </c>
      <c r="B46" s="0" t="s">
        <v>124</v>
      </c>
      <c r="C46" s="0" t="s">
        <v>30</v>
      </c>
      <c r="E46" s="7" t="n">
        <v>41.8742847275048</v>
      </c>
      <c r="G46" s="8" t="s">
        <v>31</v>
      </c>
      <c r="H46" s="5" t="s">
        <v>36</v>
      </c>
    </row>
    <row r="47" customFormat="false" ht="17.15" hidden="false" customHeight="false" outlineLevel="0" collapsed="false">
      <c r="A47" s="0" t="s">
        <v>125</v>
      </c>
      <c r="B47" s="0" t="s">
        <v>126</v>
      </c>
      <c r="C47" s="0" t="s">
        <v>30</v>
      </c>
      <c r="E47" s="7" t="n">
        <v>53.2587328153375</v>
      </c>
      <c r="G47" s="8" t="s">
        <v>31</v>
      </c>
      <c r="H47" s="5" t="s">
        <v>36</v>
      </c>
    </row>
    <row r="48" customFormat="false" ht="17.15" hidden="false" customHeight="false" outlineLevel="0" collapsed="false">
      <c r="A48" s="0" t="s">
        <v>127</v>
      </c>
      <c r="B48" s="0" t="s">
        <v>128</v>
      </c>
      <c r="C48" s="0" t="s">
        <v>30</v>
      </c>
      <c r="E48" s="7" t="n">
        <v>53.2587328153375</v>
      </c>
      <c r="G48" s="8" t="s">
        <v>31</v>
      </c>
      <c r="H48" s="5" t="s">
        <v>36</v>
      </c>
    </row>
    <row r="49" customFormat="false" ht="17.15" hidden="false" customHeight="false" outlineLevel="0" collapsed="false">
      <c r="A49" s="0" t="s">
        <v>129</v>
      </c>
      <c r="B49" s="0" t="s">
        <v>130</v>
      </c>
      <c r="C49" s="0" t="s">
        <v>30</v>
      </c>
      <c r="E49" s="7" t="n">
        <v>50.5957961745707</v>
      </c>
      <c r="G49" s="8" t="s">
        <v>31</v>
      </c>
      <c r="H49" s="5" t="s">
        <v>36</v>
      </c>
    </row>
    <row r="50" customFormat="false" ht="17.15" hidden="false" customHeight="false" outlineLevel="0" collapsed="false">
      <c r="A50" s="0" t="s">
        <v>131</v>
      </c>
      <c r="B50" s="0" t="s">
        <v>132</v>
      </c>
      <c r="C50" s="0" t="s">
        <v>30</v>
      </c>
      <c r="E50" s="7" t="n">
        <v>12.1726019800256</v>
      </c>
      <c r="G50" s="8" t="s">
        <v>31</v>
      </c>
      <c r="H50" s="8" t="s">
        <v>133</v>
      </c>
    </row>
    <row r="51" customFormat="false" ht="17.15" hidden="false" customHeight="false" outlineLevel="0" collapsed="false">
      <c r="A51" s="0" t="s">
        <v>134</v>
      </c>
      <c r="B51" s="0" t="s">
        <v>135</v>
      </c>
      <c r="C51" s="0" t="s">
        <v>30</v>
      </c>
      <c r="E51" s="7" t="n">
        <v>18.4595763045422</v>
      </c>
      <c r="G51" s="8" t="s">
        <v>31</v>
      </c>
      <c r="H51" s="5" t="s">
        <v>36</v>
      </c>
    </row>
    <row r="52" customFormat="false" ht="17.15" hidden="false" customHeight="false" outlineLevel="0" collapsed="false">
      <c r="A52" s="0" t="s">
        <v>136</v>
      </c>
      <c r="B52" s="0" t="s">
        <v>137</v>
      </c>
      <c r="C52" s="0" t="s">
        <v>30</v>
      </c>
      <c r="E52" s="7" t="n">
        <v>23.2480272411321</v>
      </c>
      <c r="G52" s="8" t="s">
        <v>31</v>
      </c>
      <c r="H52" s="5" t="s">
        <v>36</v>
      </c>
    </row>
    <row r="53" customFormat="false" ht="17.15" hidden="false" customHeight="false" outlineLevel="0" collapsed="false">
      <c r="A53" s="0" t="s">
        <v>138</v>
      </c>
      <c r="B53" s="0" t="s">
        <v>139</v>
      </c>
      <c r="C53" s="0" t="s">
        <v>30</v>
      </c>
      <c r="E53" s="7" t="n">
        <v>23.2480272411321</v>
      </c>
      <c r="G53" s="8" t="s">
        <v>31</v>
      </c>
      <c r="H53" s="5" t="s">
        <v>36</v>
      </c>
    </row>
    <row r="54" customFormat="false" ht="17.15" hidden="false" customHeight="false" outlineLevel="0" collapsed="false">
      <c r="A54" s="0" t="s">
        <v>140</v>
      </c>
      <c r="B54" s="0" t="s">
        <v>141</v>
      </c>
      <c r="C54" s="0" t="s">
        <v>30</v>
      </c>
      <c r="E54" s="7" t="n">
        <v>22.0856258790755</v>
      </c>
      <c r="G54" s="8" t="s">
        <v>31</v>
      </c>
      <c r="H54" s="5" t="s">
        <v>36</v>
      </c>
    </row>
    <row r="55" customFormat="false" ht="17.15" hidden="false" customHeight="false" outlineLevel="0" collapsed="false">
      <c r="A55" s="0" t="s">
        <v>142</v>
      </c>
      <c r="B55" s="5" t="s">
        <v>143</v>
      </c>
      <c r="C55" s="0" t="s">
        <v>30</v>
      </c>
      <c r="E55" s="7" t="n">
        <v>36.0323364171573</v>
      </c>
      <c r="G55" s="8" t="s">
        <v>31</v>
      </c>
      <c r="H55" s="8" t="s">
        <v>144</v>
      </c>
    </row>
    <row r="56" customFormat="false" ht="17.15" hidden="false" customHeight="false" outlineLevel="0" collapsed="false">
      <c r="A56" s="0" t="s">
        <v>145</v>
      </c>
      <c r="B56" s="5" t="s">
        <v>146</v>
      </c>
      <c r="C56" s="0" t="s">
        <v>30</v>
      </c>
      <c r="E56" s="7" t="n">
        <v>50.3248433305299</v>
      </c>
      <c r="G56" s="8" t="s">
        <v>31</v>
      </c>
      <c r="H56" s="5" t="s">
        <v>36</v>
      </c>
    </row>
    <row r="57" customFormat="false" ht="17.15" hidden="false" customHeight="false" outlineLevel="0" collapsed="false">
      <c r="A57" s="0" t="s">
        <v>147</v>
      </c>
      <c r="B57" s="5" t="s">
        <v>148</v>
      </c>
      <c r="C57" s="0" t="s">
        <v>30</v>
      </c>
      <c r="E57" s="7" t="n">
        <v>60.7764307969723</v>
      </c>
      <c r="G57" s="8" t="s">
        <v>31</v>
      </c>
      <c r="H57" s="5" t="s">
        <v>36</v>
      </c>
    </row>
    <row r="58" customFormat="false" ht="17.15" hidden="false" customHeight="false" outlineLevel="0" collapsed="false">
      <c r="A58" s="0" t="s">
        <v>149</v>
      </c>
      <c r="B58" s="5" t="s">
        <v>150</v>
      </c>
      <c r="C58" s="0" t="s">
        <v>30</v>
      </c>
      <c r="E58" s="7" t="n">
        <v>48.6211446375778</v>
      </c>
      <c r="G58" s="8" t="s">
        <v>31</v>
      </c>
      <c r="H58" s="5" t="s">
        <v>36</v>
      </c>
    </row>
    <row r="59" customFormat="false" ht="17.15" hidden="false" customHeight="false" outlineLevel="0" collapsed="false">
      <c r="A59" s="0" t="s">
        <v>151</v>
      </c>
      <c r="B59" s="5" t="s">
        <v>152</v>
      </c>
      <c r="C59" s="0" t="s">
        <v>30</v>
      </c>
      <c r="E59" s="7" t="n">
        <v>48.6211446375778</v>
      </c>
      <c r="G59" s="8" t="s">
        <v>31</v>
      </c>
      <c r="H59" s="5" t="s">
        <v>36</v>
      </c>
    </row>
    <row r="60" customFormat="false" ht="17.15" hidden="false" customHeight="false" outlineLevel="0" collapsed="false">
      <c r="A60" s="0" t="s">
        <v>153</v>
      </c>
      <c r="B60" s="5" t="s">
        <v>154</v>
      </c>
      <c r="C60" s="0" t="s">
        <v>30</v>
      </c>
      <c r="E60" s="7" t="n">
        <v>29.5690092514718</v>
      </c>
      <c r="G60" s="8" t="s">
        <v>31</v>
      </c>
      <c r="H60" s="8" t="s">
        <v>155</v>
      </c>
    </row>
    <row r="61" customFormat="false" ht="17.15" hidden="false" customHeight="false" outlineLevel="0" collapsed="false">
      <c r="A61" s="0" t="s">
        <v>156</v>
      </c>
      <c r="B61" s="5" t="s">
        <v>157</v>
      </c>
      <c r="C61" s="0" t="s">
        <v>30</v>
      </c>
      <c r="E61" s="7" t="n">
        <v>31.9345299915896</v>
      </c>
      <c r="G61" s="8" t="s">
        <v>31</v>
      </c>
      <c r="H61" s="5" t="s">
        <v>36</v>
      </c>
    </row>
    <row r="62" customFormat="false" ht="17.15" hidden="false" customHeight="false" outlineLevel="0" collapsed="false">
      <c r="A62" s="0" t="s">
        <v>158</v>
      </c>
      <c r="B62" s="5" t="s">
        <v>159</v>
      </c>
      <c r="C62" s="0" t="s">
        <v>30</v>
      </c>
      <c r="E62" s="7" t="n">
        <v>34.4892923909167</v>
      </c>
      <c r="G62" s="8" t="s">
        <v>31</v>
      </c>
      <c r="H62" s="5" t="s">
        <v>36</v>
      </c>
    </row>
    <row r="63" customFormat="false" ht="17.15" hidden="false" customHeight="false" outlineLevel="0" collapsed="false">
      <c r="A63" s="0" t="s">
        <v>160</v>
      </c>
      <c r="B63" s="5" t="s">
        <v>161</v>
      </c>
      <c r="C63" s="0" t="s">
        <v>30</v>
      </c>
      <c r="E63" s="7" t="n">
        <v>27.5914339127334</v>
      </c>
      <c r="G63" s="8" t="s">
        <v>31</v>
      </c>
      <c r="H63" s="5" t="s">
        <v>36</v>
      </c>
    </row>
    <row r="64" customFormat="false" ht="17.15" hidden="false" customHeight="false" outlineLevel="0" collapsed="false">
      <c r="A64" s="0" t="s">
        <v>162</v>
      </c>
      <c r="B64" s="5" t="s">
        <v>163</v>
      </c>
      <c r="C64" s="0" t="s">
        <v>30</v>
      </c>
      <c r="E64" s="7" t="n">
        <v>27.5914339127334</v>
      </c>
      <c r="G64" s="8" t="s">
        <v>31</v>
      </c>
      <c r="H64" s="5" t="s">
        <v>36</v>
      </c>
    </row>
    <row r="65" customFormat="false" ht="17.15" hidden="false" customHeight="false" outlineLevel="0" collapsed="false">
      <c r="A65" s="0" t="s">
        <v>164</v>
      </c>
      <c r="B65" s="5" t="s">
        <v>165</v>
      </c>
      <c r="C65" s="0" t="s">
        <v>30</v>
      </c>
      <c r="E65" s="7" t="n">
        <v>12.7467750295502</v>
      </c>
      <c r="G65" s="8" t="s">
        <v>31</v>
      </c>
      <c r="H65" s="8" t="s">
        <v>166</v>
      </c>
    </row>
    <row r="66" customFormat="false" ht="17.15" hidden="false" customHeight="false" outlineLevel="0" collapsed="false">
      <c r="A66" s="0" t="s">
        <v>167</v>
      </c>
      <c r="B66" s="5" t="s">
        <v>168</v>
      </c>
      <c r="C66" s="0" t="s">
        <v>30</v>
      </c>
      <c r="E66" s="7" t="n">
        <v>17.4517800051339</v>
      </c>
      <c r="G66" s="8" t="s">
        <v>31</v>
      </c>
      <c r="H66" s="5" t="s">
        <v>36</v>
      </c>
    </row>
    <row r="67" customFormat="false" ht="17.15" hidden="false" customHeight="false" outlineLevel="0" collapsed="false">
      <c r="A67" s="0" t="s">
        <v>169</v>
      </c>
      <c r="B67" s="5" t="s">
        <v>170</v>
      </c>
      <c r="C67" s="0" t="s">
        <v>30</v>
      </c>
      <c r="E67" s="7" t="n">
        <v>21.0229861332022</v>
      </c>
      <c r="G67" s="8" t="s">
        <v>31</v>
      </c>
      <c r="H67" s="5" t="s">
        <v>36</v>
      </c>
    </row>
    <row r="68" customFormat="false" ht="17.15" hidden="false" customHeight="false" outlineLevel="0" collapsed="false">
      <c r="A68" s="0" t="s">
        <v>171</v>
      </c>
      <c r="B68" s="5" t="s">
        <v>172</v>
      </c>
      <c r="C68" s="0" t="s">
        <v>30</v>
      </c>
      <c r="E68" s="7" t="n">
        <v>16.8183889065618</v>
      </c>
      <c r="G68" s="8" t="s">
        <v>31</v>
      </c>
      <c r="H68" s="5" t="s">
        <v>36</v>
      </c>
    </row>
    <row r="69" customFormat="false" ht="17.15" hidden="false" customHeight="false" outlineLevel="0" collapsed="false">
      <c r="A69" s="0" t="s">
        <v>173</v>
      </c>
      <c r="B69" s="5" t="s">
        <v>174</v>
      </c>
      <c r="C69" s="0" t="s">
        <v>30</v>
      </c>
      <c r="E69" s="7" t="n">
        <v>16.8183889065618</v>
      </c>
      <c r="G69" s="8" t="s">
        <v>31</v>
      </c>
      <c r="H69" s="5" t="s">
        <v>36</v>
      </c>
    </row>
    <row r="70" customFormat="false" ht="17.15" hidden="false" customHeight="false" outlineLevel="0" collapsed="false">
      <c r="A70" s="0" t="s">
        <v>175</v>
      </c>
      <c r="B70" s="0" t="s">
        <v>176</v>
      </c>
      <c r="C70" s="0" t="s">
        <v>30</v>
      </c>
      <c r="E70" s="7" t="n">
        <v>26.3761091658243</v>
      </c>
      <c r="G70" s="8" t="s">
        <v>31</v>
      </c>
      <c r="H70" s="8" t="s">
        <v>177</v>
      </c>
    </row>
    <row r="71" customFormat="false" ht="17.15" hidden="false" customHeight="false" outlineLevel="0" collapsed="false">
      <c r="A71" s="0" t="s">
        <v>178</v>
      </c>
      <c r="B71" s="0" t="s">
        <v>179</v>
      </c>
      <c r="C71" s="0" t="s">
        <v>30</v>
      </c>
      <c r="E71" s="7" t="n">
        <v>41.8742847275048</v>
      </c>
      <c r="G71" s="8" t="s">
        <v>31</v>
      </c>
      <c r="H71" s="5" t="s">
        <v>36</v>
      </c>
    </row>
    <row r="72" customFormat="false" ht="17.15" hidden="false" customHeight="false" outlineLevel="0" collapsed="false">
      <c r="A72" s="0" t="s">
        <v>180</v>
      </c>
      <c r="B72" s="0" t="s">
        <v>181</v>
      </c>
      <c r="C72" s="0" t="s">
        <v>30</v>
      </c>
      <c r="E72" s="7" t="n">
        <v>53.2587328153375</v>
      </c>
      <c r="G72" s="8" t="s">
        <v>31</v>
      </c>
      <c r="H72" s="5" t="s">
        <v>36</v>
      </c>
    </row>
    <row r="73" customFormat="false" ht="17.15" hidden="false" customHeight="false" outlineLevel="0" collapsed="false">
      <c r="A73" s="0" t="s">
        <v>182</v>
      </c>
      <c r="B73" s="0" t="s">
        <v>183</v>
      </c>
      <c r="C73" s="0" t="s">
        <v>30</v>
      </c>
      <c r="E73" s="7" t="n">
        <v>42.60698625227</v>
      </c>
      <c r="G73" s="8" t="s">
        <v>31</v>
      </c>
      <c r="H73" s="5" t="s">
        <v>36</v>
      </c>
    </row>
    <row r="74" customFormat="false" ht="17.15" hidden="false" customHeight="false" outlineLevel="0" collapsed="false">
      <c r="A74" s="0" t="s">
        <v>184</v>
      </c>
      <c r="B74" s="0" t="s">
        <v>185</v>
      </c>
      <c r="C74" s="0" t="s">
        <v>30</v>
      </c>
      <c r="E74" s="7" t="n">
        <v>42.60698625227</v>
      </c>
      <c r="G74" s="8" t="s">
        <v>31</v>
      </c>
      <c r="H74" s="5" t="s">
        <v>36</v>
      </c>
    </row>
    <row r="75" customFormat="false" ht="17.15" hidden="false" customHeight="false" outlineLevel="0" collapsed="false">
      <c r="A75" s="0" t="s">
        <v>186</v>
      </c>
      <c r="B75" s="0" t="s">
        <v>187</v>
      </c>
      <c r="C75" s="0" t="s">
        <v>30</v>
      </c>
      <c r="E75" s="7" t="n">
        <v>12.1726019800256</v>
      </c>
      <c r="G75" s="8" t="s">
        <v>31</v>
      </c>
      <c r="H75" s="8" t="s">
        <v>188</v>
      </c>
    </row>
    <row r="76" customFormat="false" ht="17.15" hidden="false" customHeight="false" outlineLevel="0" collapsed="false">
      <c r="A76" s="0" t="s">
        <v>189</v>
      </c>
      <c r="B76" s="0" t="s">
        <v>190</v>
      </c>
      <c r="C76" s="0" t="s">
        <v>30</v>
      </c>
      <c r="E76" s="7" t="n">
        <v>18.4595763045422</v>
      </c>
      <c r="G76" s="8" t="s">
        <v>31</v>
      </c>
      <c r="H76" s="5" t="s">
        <v>36</v>
      </c>
    </row>
    <row r="77" customFormat="false" ht="17.15" hidden="false" customHeight="false" outlineLevel="0" collapsed="false">
      <c r="A77" s="0" t="s">
        <v>191</v>
      </c>
      <c r="B77" s="0" t="s">
        <v>192</v>
      </c>
      <c r="C77" s="0" t="s">
        <v>30</v>
      </c>
      <c r="E77" s="7" t="n">
        <v>23.2480272411321</v>
      </c>
      <c r="G77" s="8" t="s">
        <v>31</v>
      </c>
      <c r="H77" s="5" t="s">
        <v>36</v>
      </c>
    </row>
    <row r="78" customFormat="false" ht="17.15" hidden="false" customHeight="false" outlineLevel="0" collapsed="false">
      <c r="A78" s="0" t="s">
        <v>193</v>
      </c>
      <c r="B78" s="0" t="s">
        <v>194</v>
      </c>
      <c r="C78" s="0" t="s">
        <v>30</v>
      </c>
      <c r="E78" s="7" t="n">
        <v>18.5984217929057</v>
      </c>
      <c r="G78" s="8" t="s">
        <v>31</v>
      </c>
      <c r="H78" s="5" t="s">
        <v>36</v>
      </c>
    </row>
    <row r="79" customFormat="false" ht="17.15" hidden="false" customHeight="false" outlineLevel="0" collapsed="false">
      <c r="A79" s="0" t="s">
        <v>195</v>
      </c>
      <c r="B79" s="0" t="s">
        <v>196</v>
      </c>
      <c r="C79" s="0" t="s">
        <v>30</v>
      </c>
      <c r="E79" s="7" t="n">
        <v>18.5984217929057</v>
      </c>
      <c r="G79" s="8" t="s">
        <v>31</v>
      </c>
      <c r="H79" s="5" t="s">
        <v>36</v>
      </c>
    </row>
    <row r="80" customFormat="false" ht="17.15" hidden="false" customHeight="false" outlineLevel="0" collapsed="false">
      <c r="A80" s="0" t="s">
        <v>197</v>
      </c>
      <c r="B80" s="5" t="s">
        <v>198</v>
      </c>
      <c r="C80" s="0" t="s">
        <v>199</v>
      </c>
      <c r="D80" s="7" t="n">
        <v>0.0833333333333333</v>
      </c>
      <c r="E80" s="7" t="n">
        <v>0.166666666666667</v>
      </c>
      <c r="F80" s="7" t="n">
        <v>0.25</v>
      </c>
      <c r="G80" s="8" t="s">
        <v>31</v>
      </c>
      <c r="H80" s="5" t="s">
        <v>200</v>
      </c>
      <c r="I80" s="5" t="s">
        <v>201</v>
      </c>
    </row>
    <row r="81" customFormat="false" ht="17.15" hidden="false" customHeight="false" outlineLevel="0" collapsed="false">
      <c r="A81" s="0" t="s">
        <v>202</v>
      </c>
      <c r="B81" s="0" t="s">
        <v>203</v>
      </c>
      <c r="C81" s="0" t="s">
        <v>30</v>
      </c>
      <c r="E81" s="7" t="n">
        <v>143.9</v>
      </c>
      <c r="G81" s="8" t="s">
        <v>204</v>
      </c>
      <c r="H81" s="8" t="s">
        <v>205</v>
      </c>
      <c r="I81" s="8" t="s">
        <v>206</v>
      </c>
    </row>
    <row r="82" customFormat="false" ht="17.15" hidden="false" customHeight="false" outlineLevel="0" collapsed="false">
      <c r="A82" s="0" t="s">
        <v>207</v>
      </c>
      <c r="B82" s="0" t="s">
        <v>208</v>
      </c>
      <c r="C82" s="0" t="s">
        <v>30</v>
      </c>
      <c r="E82" s="7" t="n">
        <v>78</v>
      </c>
      <c r="G82" s="8" t="s">
        <v>204</v>
      </c>
      <c r="H82" s="8" t="s">
        <v>209</v>
      </c>
      <c r="I82" s="8" t="s">
        <v>206</v>
      </c>
    </row>
    <row r="83" customFormat="false" ht="17.15" hidden="false" customHeight="false" outlineLevel="0" collapsed="false">
      <c r="A83" s="0" t="s">
        <v>210</v>
      </c>
      <c r="B83" s="0" t="s">
        <v>211</v>
      </c>
      <c r="C83" s="0" t="s">
        <v>30</v>
      </c>
      <c r="E83" s="7" t="n">
        <v>38.8</v>
      </c>
      <c r="G83" s="8" t="s">
        <v>204</v>
      </c>
      <c r="H83" s="8" t="s">
        <v>212</v>
      </c>
      <c r="I83" s="8" t="s">
        <v>206</v>
      </c>
    </row>
    <row r="84" customFormat="false" ht="17.15" hidden="false" customHeight="false" outlineLevel="0" collapsed="false">
      <c r="A84" s="0" t="s">
        <v>213</v>
      </c>
      <c r="B84" s="0" t="s">
        <v>214</v>
      </c>
      <c r="C84" s="0" t="s">
        <v>30</v>
      </c>
      <c r="E84" s="7" t="n">
        <v>13.9</v>
      </c>
      <c r="G84" s="8" t="s">
        <v>204</v>
      </c>
      <c r="H84" s="8" t="s">
        <v>215</v>
      </c>
      <c r="I84" s="8" t="s">
        <v>206</v>
      </c>
    </row>
    <row r="85" customFormat="false" ht="17.15" hidden="false" customHeight="false" outlineLevel="0" collapsed="false">
      <c r="A85" s="0" t="s">
        <v>216</v>
      </c>
      <c r="B85" s="5" t="s">
        <v>217</v>
      </c>
      <c r="C85" s="0" t="s">
        <v>199</v>
      </c>
      <c r="E85" s="7" t="n">
        <v>0.626860639170224</v>
      </c>
      <c r="G85" s="8" t="s">
        <v>31</v>
      </c>
      <c r="H85" s="8" t="s">
        <v>218</v>
      </c>
      <c r="I85" s="5" t="s">
        <v>219</v>
      </c>
    </row>
    <row r="86" customFormat="false" ht="17.15" hidden="false" customHeight="false" outlineLevel="0" collapsed="false">
      <c r="A86" s="0" t="s">
        <v>220</v>
      </c>
      <c r="B86" s="5" t="s">
        <v>221</v>
      </c>
      <c r="C86" s="0" t="s">
        <v>199</v>
      </c>
      <c r="E86" s="7" t="n">
        <v>0.8</v>
      </c>
      <c r="G86" s="8" t="s">
        <v>204</v>
      </c>
      <c r="H86" s="8" t="s">
        <v>222</v>
      </c>
      <c r="I86" s="8" t="s">
        <v>223</v>
      </c>
    </row>
    <row r="87" customFormat="false" ht="17.15" hidden="false" customHeight="false" outlineLevel="0" collapsed="false">
      <c r="A87" s="1" t="s">
        <v>224</v>
      </c>
    </row>
    <row r="88" customFormat="false" ht="17.15" hidden="false" customHeight="false" outlineLevel="0" collapsed="false">
      <c r="A88" s="0" t="s">
        <v>225</v>
      </c>
      <c r="B88" s="0" t="s">
        <v>226</v>
      </c>
      <c r="C88" s="0" t="s">
        <v>199</v>
      </c>
      <c r="D88" s="7" t="n">
        <v>0.26</v>
      </c>
      <c r="E88" s="7" t="n">
        <v>0.3</v>
      </c>
      <c r="F88" s="7" t="n">
        <v>0.34</v>
      </c>
      <c r="G88" s="8" t="s">
        <v>227</v>
      </c>
      <c r="H88" s="5" t="s">
        <v>228</v>
      </c>
      <c r="I88" s="5" t="s">
        <v>229</v>
      </c>
    </row>
    <row r="89" customFormat="false" ht="17.15" hidden="false" customHeight="false" outlineLevel="0" collapsed="false">
      <c r="A89" s="0" t="s">
        <v>230</v>
      </c>
      <c r="B89" s="0" t="s">
        <v>231</v>
      </c>
      <c r="C89" s="0" t="s">
        <v>199</v>
      </c>
      <c r="D89" s="7" t="n">
        <v>0.04</v>
      </c>
      <c r="E89" s="7" t="n">
        <v>0.06</v>
      </c>
      <c r="F89" s="7" t="n">
        <v>0.08</v>
      </c>
      <c r="G89" s="8" t="s">
        <v>227</v>
      </c>
      <c r="H89" s="8" t="s">
        <v>232</v>
      </c>
      <c r="I89" s="8" t="s">
        <v>233</v>
      </c>
    </row>
    <row r="90" customFormat="false" ht="17.15" hidden="false" customHeight="false" outlineLevel="0" collapsed="false">
      <c r="A90" s="0" t="s">
        <v>234</v>
      </c>
      <c r="B90" s="0" t="s">
        <v>235</v>
      </c>
      <c r="C90" s="0" t="s">
        <v>199</v>
      </c>
      <c r="D90" s="0" t="n">
        <f aca="false">(SUMPRODUCT(Q!G19:I19,Q!G4:I4)+q4_dr_lo*Q!J4)/an_ss</f>
        <v>0.282661061199416</v>
      </c>
      <c r="E90" s="0" t="n">
        <f aca="false">(SUMPRODUCT(Q!G19:I19,Q!G4:I4)+q4_dr*Q!J4)/an_ss</f>
        <v>0.294793442371189</v>
      </c>
      <c r="F90" s="0" t="n">
        <f aca="false">(SUMPRODUCT(Q!G19:I19,Q!G4:I4)+q4_dr_hi*Q!J4)/an_ss</f>
        <v>0.306925823542963</v>
      </c>
      <c r="G90" s="0" t="s">
        <v>31</v>
      </c>
      <c r="H90" s="0" t="s">
        <v>236</v>
      </c>
      <c r="I90" s="5" t="s">
        <v>237</v>
      </c>
    </row>
    <row r="91" customFormat="false" ht="17.15" hidden="false" customHeight="false" outlineLevel="0" collapsed="false">
      <c r="A91" s="0" t="s">
        <v>238</v>
      </c>
      <c r="B91" s="0" t="s">
        <v>239</v>
      </c>
      <c r="C91" s="0" t="s">
        <v>199</v>
      </c>
      <c r="E91" s="0" t="n">
        <f aca="false">(SUMPRODUCT(Q!G20:I20,Q!G4:I4)+q4_nd*Q!J4)/an_ss</f>
        <v>0.0541749212930968</v>
      </c>
      <c r="G91" s="0" t="s">
        <v>31</v>
      </c>
      <c r="H91" s="5" t="s">
        <v>36</v>
      </c>
      <c r="I91" s="0" t="s">
        <v>233</v>
      </c>
    </row>
    <row r="92" customFormat="false" ht="17.15" hidden="false" customHeight="false" outlineLevel="0" collapsed="false">
      <c r="A92" s="0" t="s">
        <v>240</v>
      </c>
      <c r="B92" s="0" t="s">
        <v>241</v>
      </c>
      <c r="C92" s="0" t="s">
        <v>199</v>
      </c>
      <c r="D92" s="0" t="n">
        <f aca="false">1-m_dr_lo-m_nd</f>
        <v>0.663164017507487</v>
      </c>
      <c r="E92" s="0" t="n">
        <f aca="false">1-m_dr-m_nd</f>
        <v>0.651031636335714</v>
      </c>
      <c r="F92" s="0" t="n">
        <f aca="false">1-m_dr_hi-m_nd</f>
        <v>0.638899255163941</v>
      </c>
      <c r="G92" s="0" t="s">
        <v>31</v>
      </c>
      <c r="H92" s="5" t="s">
        <v>242</v>
      </c>
      <c r="I92" s="5" t="s">
        <v>243</v>
      </c>
    </row>
    <row r="93" customFormat="false" ht="17.15" hidden="false" customHeight="false" outlineLevel="0" collapsed="false">
      <c r="A93" s="0" t="s">
        <v>244</v>
      </c>
      <c r="B93" s="5" t="s">
        <v>245</v>
      </c>
      <c r="C93" s="0" t="s">
        <v>246</v>
      </c>
      <c r="D93" s="7" t="n">
        <v>0.95</v>
      </c>
      <c r="E93" s="7" t="n">
        <v>1</v>
      </c>
      <c r="F93" s="7" t="n">
        <v>1.05</v>
      </c>
      <c r="G93" s="8" t="s">
        <v>227</v>
      </c>
      <c r="H93" s="5" t="s">
        <v>247</v>
      </c>
      <c r="I93" s="5" t="s">
        <v>248</v>
      </c>
    </row>
    <row r="94" customFormat="false" ht="17.15" hidden="false" customHeight="false" outlineLevel="0" collapsed="false">
      <c r="A94" s="1" t="s">
        <v>249</v>
      </c>
    </row>
    <row r="95" customFormat="false" ht="17.15" hidden="false" customHeight="false" outlineLevel="0" collapsed="false">
      <c r="A95" s="0" t="s">
        <v>250</v>
      </c>
      <c r="B95" s="0" t="s">
        <v>251</v>
      </c>
      <c r="C95" s="0" t="s">
        <v>252</v>
      </c>
      <c r="D95" s="7" t="n">
        <v>300</v>
      </c>
      <c r="E95" s="7" t="n">
        <v>600</v>
      </c>
      <c r="F95" s="7" t="n">
        <v>900</v>
      </c>
      <c r="G95" s="8" t="s">
        <v>204</v>
      </c>
      <c r="H95" s="8" t="s">
        <v>253</v>
      </c>
      <c r="I95" s="8" t="s">
        <v>254</v>
      </c>
    </row>
    <row r="96" customFormat="false" ht="17.15" hidden="false" customHeight="false" outlineLevel="0" collapsed="false">
      <c r="A96" s="0" t="s">
        <v>255</v>
      </c>
      <c r="B96" s="5" t="s">
        <v>256</v>
      </c>
      <c r="C96" s="0" t="s">
        <v>257</v>
      </c>
      <c r="E96" s="7" t="n">
        <v>0</v>
      </c>
      <c r="G96" s="8" t="s">
        <v>227</v>
      </c>
      <c r="H96" s="5" t="s">
        <v>258</v>
      </c>
      <c r="I96" s="8" t="s">
        <v>259</v>
      </c>
    </row>
    <row r="97" customFormat="false" ht="17.15" hidden="false" customHeight="false" outlineLevel="0" collapsed="false">
      <c r="A97" s="0" t="s">
        <v>260</v>
      </c>
      <c r="B97" s="5" t="s">
        <v>261</v>
      </c>
      <c r="C97" s="0" t="s">
        <v>257</v>
      </c>
      <c r="E97" s="7" t="n">
        <v>0</v>
      </c>
      <c r="G97" s="8" t="s">
        <v>227</v>
      </c>
      <c r="H97" s="5" t="s">
        <v>36</v>
      </c>
      <c r="I97" s="8" t="s">
        <v>259</v>
      </c>
    </row>
    <row r="98" customFormat="false" ht="17.15" hidden="false" customHeight="false" outlineLevel="0" collapsed="false">
      <c r="A98" s="0" t="s">
        <v>262</v>
      </c>
      <c r="B98" s="5" t="s">
        <v>263</v>
      </c>
      <c r="C98" s="0" t="s">
        <v>257</v>
      </c>
      <c r="E98" s="7" t="n">
        <v>1</v>
      </c>
      <c r="G98" s="8" t="s">
        <v>227</v>
      </c>
      <c r="H98" s="5" t="s">
        <v>36</v>
      </c>
      <c r="I98" s="8" t="s">
        <v>259</v>
      </c>
    </row>
    <row r="99" customFormat="false" ht="17.15" hidden="false" customHeight="false" outlineLevel="0" collapsed="false">
      <c r="A99" s="0" t="s">
        <v>264</v>
      </c>
      <c r="B99" s="5" t="s">
        <v>265</v>
      </c>
      <c r="C99" s="0" t="s">
        <v>199</v>
      </c>
      <c r="E99" s="0" t="n">
        <f aca="false">SUM(Q!G21:I21)/SUM(Q!G7:I7)</f>
        <v>0.278237716853185</v>
      </c>
      <c r="G99" s="0" t="s">
        <v>31</v>
      </c>
      <c r="H99" s="0" t="s">
        <v>266</v>
      </c>
      <c r="I99" s="5" t="s">
        <v>267</v>
      </c>
    </row>
    <row r="100" customFormat="false" ht="17.15" hidden="false" customHeight="false" outlineLevel="0" collapsed="false">
      <c r="A100" s="0" t="s">
        <v>268</v>
      </c>
      <c r="B100" s="5" t="s">
        <v>269</v>
      </c>
      <c r="C100" s="0" t="s">
        <v>199</v>
      </c>
      <c r="D100" s="7" t="n">
        <v>0</v>
      </c>
      <c r="E100" s="7" t="n">
        <v>0</v>
      </c>
      <c r="F100" s="7" t="n">
        <v>0.4</v>
      </c>
      <c r="G100" s="8" t="s">
        <v>227</v>
      </c>
      <c r="H100" s="5" t="s">
        <v>270</v>
      </c>
      <c r="I100" s="8" t="s">
        <v>271</v>
      </c>
    </row>
    <row r="101" customFormat="false" ht="17.15" hidden="false" customHeight="false" outlineLevel="0" collapsed="false">
      <c r="A101" s="1" t="s">
        <v>272</v>
      </c>
    </row>
    <row r="102" customFormat="false" ht="17.15" hidden="false" customHeight="false" outlineLevel="0" collapsed="false">
      <c r="A102" s="0" t="s">
        <v>273</v>
      </c>
      <c r="B102" s="0" t="s">
        <v>274</v>
      </c>
      <c r="C102" s="0" t="s">
        <v>199</v>
      </c>
      <c r="D102" s="7" t="n">
        <v>0.11</v>
      </c>
      <c r="E102" s="7" t="n">
        <v>0.15</v>
      </c>
      <c r="F102" s="7" t="n">
        <v>0.19</v>
      </c>
      <c r="G102" s="8" t="s">
        <v>204</v>
      </c>
      <c r="H102" s="8" t="s">
        <v>275</v>
      </c>
      <c r="I102" s="5" t="s">
        <v>276</v>
      </c>
    </row>
    <row r="103" customFormat="false" ht="17.15" hidden="false" customHeight="false" outlineLevel="0" collapsed="false">
      <c r="A103" s="0" t="s">
        <v>277</v>
      </c>
      <c r="B103" s="0" t="s">
        <v>278</v>
      </c>
      <c r="C103" s="0" t="s">
        <v>199</v>
      </c>
      <c r="D103" s="7" t="n">
        <v>0.07</v>
      </c>
      <c r="E103" s="7" t="n">
        <v>0.11</v>
      </c>
      <c r="F103" s="7" t="n">
        <v>0.15</v>
      </c>
      <c r="G103" s="8" t="s">
        <v>227</v>
      </c>
      <c r="H103" s="5" t="s">
        <v>279</v>
      </c>
      <c r="I103" s="5" t="s">
        <v>276</v>
      </c>
    </row>
    <row r="104" customFormat="false" ht="17.15" hidden="false" customHeight="false" outlineLevel="0" collapsed="false">
      <c r="A104" s="0" t="s">
        <v>280</v>
      </c>
      <c r="B104" s="0" t="s">
        <v>281</v>
      </c>
      <c r="C104" s="0" t="s">
        <v>199</v>
      </c>
      <c r="D104" s="7" t="n">
        <v>0.03</v>
      </c>
      <c r="E104" s="7" t="n">
        <v>0.07</v>
      </c>
      <c r="F104" s="7" t="n">
        <v>0.11</v>
      </c>
      <c r="G104" s="8" t="s">
        <v>227</v>
      </c>
      <c r="H104" s="5" t="s">
        <v>279</v>
      </c>
      <c r="I104" s="5" t="s">
        <v>276</v>
      </c>
    </row>
    <row r="105" customFormat="false" ht="17.15" hidden="false" customHeight="false" outlineLevel="0" collapsed="false">
      <c r="A105" s="0" t="s">
        <v>282</v>
      </c>
      <c r="B105" s="5" t="s">
        <v>283</v>
      </c>
      <c r="C105" s="0" t="s">
        <v>199</v>
      </c>
      <c r="D105" s="7" t="n">
        <v>-0.1</v>
      </c>
      <c r="E105" s="7" t="n">
        <v>0</v>
      </c>
      <c r="F105" s="7" t="n">
        <v>0.1</v>
      </c>
      <c r="G105" s="8" t="s">
        <v>227</v>
      </c>
      <c r="H105" s="5" t="s">
        <v>284</v>
      </c>
      <c r="I105" s="8" t="s">
        <v>285</v>
      </c>
    </row>
    <row r="106" customFormat="false" ht="17.15" hidden="false" customHeight="false" outlineLevel="0" collapsed="false">
      <c r="A106" s="0" t="s">
        <v>286</v>
      </c>
      <c r="B106" s="5" t="s">
        <v>287</v>
      </c>
      <c r="C106" s="0" t="s">
        <v>199</v>
      </c>
      <c r="D106" s="7" t="n">
        <v>-0.15</v>
      </c>
      <c r="E106" s="7" t="n">
        <v>-0.05</v>
      </c>
      <c r="F106" s="7" t="n">
        <v>0.05</v>
      </c>
      <c r="G106" s="8" t="s">
        <v>227</v>
      </c>
      <c r="H106" s="5" t="s">
        <v>284</v>
      </c>
      <c r="I106" s="8" t="s">
        <v>285</v>
      </c>
    </row>
    <row r="107" customFormat="false" ht="17.15" hidden="false" customHeight="false" outlineLevel="0" collapsed="false">
      <c r="A107" s="0" t="s">
        <v>288</v>
      </c>
      <c r="B107" s="5" t="s">
        <v>289</v>
      </c>
      <c r="C107" s="0" t="s">
        <v>199</v>
      </c>
      <c r="D107" s="7" t="n">
        <v>-0.2</v>
      </c>
      <c r="E107" s="7" t="n">
        <v>-0.1</v>
      </c>
      <c r="F107" s="7" t="n">
        <v>0</v>
      </c>
      <c r="G107" s="8" t="s">
        <v>227</v>
      </c>
      <c r="H107" s="5" t="s">
        <v>284</v>
      </c>
      <c r="I107" s="8" t="s">
        <v>285</v>
      </c>
    </row>
    <row r="108" customFormat="false" ht="17.15" hidden="false" customHeight="false" outlineLevel="0" collapsed="false">
      <c r="A108" s="1" t="s">
        <v>290</v>
      </c>
    </row>
    <row r="109" customFormat="false" ht="17.15" hidden="false" customHeight="false" outlineLevel="0" collapsed="false">
      <c r="A109" s="0" t="s">
        <v>291</v>
      </c>
      <c r="B109" s="5" t="s">
        <v>292</v>
      </c>
      <c r="C109" s="0" t="s">
        <v>252</v>
      </c>
      <c r="E109" s="0" t="n">
        <f aca="false">a25_rev-a25_gp</f>
        <v>14529.148</v>
      </c>
      <c r="G109" s="0" t="s">
        <v>31</v>
      </c>
      <c r="H109" s="0" t="s">
        <v>293</v>
      </c>
      <c r="I109" s="0" t="s">
        <v>233</v>
      </c>
    </row>
    <row r="110" customFormat="false" ht="17.15" hidden="false" customHeight="false" outlineLevel="0" collapsed="false">
      <c r="A110" s="0" t="s">
        <v>294</v>
      </c>
      <c r="B110" s="5" t="s">
        <v>295</v>
      </c>
      <c r="C110" s="0" t="s">
        <v>252</v>
      </c>
      <c r="E110" s="0" t="n">
        <f aca="false">an_rev-an_gp</f>
        <v>17129.148</v>
      </c>
      <c r="G110" s="0" t="s">
        <v>31</v>
      </c>
      <c r="H110" s="0" t="s">
        <v>296</v>
      </c>
      <c r="I110" s="0" t="s">
        <v>233</v>
      </c>
    </row>
    <row r="111" customFormat="false" ht="17.15" hidden="false" customHeight="false" outlineLevel="0" collapsed="false">
      <c r="A111" s="0" t="s">
        <v>297</v>
      </c>
      <c r="B111" s="5" t="s">
        <v>298</v>
      </c>
      <c r="C111" s="0" t="s">
        <v>199</v>
      </c>
      <c r="E111" s="0" t="n">
        <f aca="false">(cogs26-cogs25)/(an_rev-a25_rev)</f>
        <v>0.439263389085994</v>
      </c>
      <c r="G111" s="0" t="s">
        <v>31</v>
      </c>
      <c r="H111" s="5" t="s">
        <v>299</v>
      </c>
      <c r="I111" s="5" t="s">
        <v>300</v>
      </c>
    </row>
    <row r="112" customFormat="false" ht="17.15" hidden="false" customHeight="false" outlineLevel="0" collapsed="false">
      <c r="A112" s="0" t="s">
        <v>301</v>
      </c>
      <c r="B112" s="5" t="s">
        <v>302</v>
      </c>
      <c r="C112" s="0" t="s">
        <v>252</v>
      </c>
      <c r="E112" s="0" t="n">
        <f aca="false">cogs25-cv*a25_rev</f>
        <v>2068.12417840852</v>
      </c>
      <c r="G112" s="0" t="s">
        <v>31</v>
      </c>
      <c r="H112" s="0" t="s">
        <v>303</v>
      </c>
      <c r="I112" s="0" t="s">
        <v>233</v>
      </c>
    </row>
    <row r="113" customFormat="false" ht="17.15" hidden="false" customHeight="false" outlineLevel="0" collapsed="false">
      <c r="A113" s="0" t="s">
        <v>304</v>
      </c>
      <c r="B113" s="5" t="s">
        <v>305</v>
      </c>
      <c r="C113" s="0" t="s">
        <v>199</v>
      </c>
      <c r="D113" s="7" t="n">
        <v>0.75</v>
      </c>
      <c r="E113" s="8" t="n">
        <f aca="false">cv*a25_rev/cogs25</f>
        <v>0.857656885427245</v>
      </c>
      <c r="F113" s="7" t="n">
        <v>0.95</v>
      </c>
      <c r="G113" s="8" t="s">
        <v>31</v>
      </c>
      <c r="H113" s="5" t="s">
        <v>306</v>
      </c>
      <c r="I113" s="5" t="s">
        <v>307</v>
      </c>
    </row>
    <row r="114" customFormat="false" ht="17.15" hidden="false" customHeight="false" outlineLevel="0" collapsed="false">
      <c r="A114" s="0" t="s">
        <v>308</v>
      </c>
      <c r="B114" s="5" t="s">
        <v>309</v>
      </c>
      <c r="C114" s="0" t="s">
        <v>252</v>
      </c>
      <c r="E114" s="0" t="n">
        <f aca="false">a25_gp-a25_oi</f>
        <v>5276.852</v>
      </c>
      <c r="G114" s="0" t="s">
        <v>31</v>
      </c>
      <c r="H114" s="0" t="s">
        <v>293</v>
      </c>
      <c r="I114" s="0" t="s">
        <v>233</v>
      </c>
    </row>
    <row r="115" customFormat="false" ht="17.15" hidden="false" customHeight="false" outlineLevel="0" collapsed="false">
      <c r="A115" s="0" t="s">
        <v>310</v>
      </c>
      <c r="B115" s="5" t="s">
        <v>311</v>
      </c>
      <c r="C115" s="0" t="s">
        <v>252</v>
      </c>
      <c r="E115" s="9" t="n">
        <f aca="false">an_opx</f>
        <v>5832.852</v>
      </c>
      <c r="G115" s="8" t="s">
        <v>31</v>
      </c>
      <c r="H115" s="8" t="s">
        <v>293</v>
      </c>
      <c r="I115" s="5" t="s">
        <v>312</v>
      </c>
    </row>
    <row r="116" customFormat="false" ht="17.15" hidden="false" customHeight="false" outlineLevel="0" collapsed="false">
      <c r="A116" s="0" t="s">
        <v>313</v>
      </c>
      <c r="B116" s="5" t="s">
        <v>314</v>
      </c>
      <c r="C116" s="0" t="s">
        <v>199</v>
      </c>
      <c r="E116" s="0" t="n">
        <f aca="false">(opex26-opex25)/(an_rev-a25_rev)</f>
        <v>0.0939347862814666</v>
      </c>
      <c r="G116" s="0" t="s">
        <v>31</v>
      </c>
      <c r="H116" s="5" t="s">
        <v>315</v>
      </c>
      <c r="I116" s="0" t="s">
        <v>233</v>
      </c>
    </row>
    <row r="117" customFormat="false" ht="17.15" hidden="false" customHeight="false" outlineLevel="0" collapsed="false">
      <c r="A117" s="0" t="s">
        <v>316</v>
      </c>
      <c r="B117" s="5" t="s">
        <v>317</v>
      </c>
      <c r="C117" s="0" t="s">
        <v>252</v>
      </c>
      <c r="E117" s="0" t="n">
        <f aca="false">opex25-ov*a25_rev</f>
        <v>2612.10998276735</v>
      </c>
      <c r="G117" s="0" t="s">
        <v>31</v>
      </c>
      <c r="H117" s="0" t="s">
        <v>318</v>
      </c>
      <c r="I117" s="0" t="s">
        <v>233</v>
      </c>
    </row>
    <row r="118" customFormat="false" ht="17.15" hidden="false" customHeight="false" outlineLevel="0" collapsed="false">
      <c r="A118" s="0" t="s">
        <v>319</v>
      </c>
      <c r="B118" s="5" t="s">
        <v>320</v>
      </c>
      <c r="C118" s="0" t="s">
        <v>199</v>
      </c>
      <c r="D118" s="7" t="n">
        <v>0.35</v>
      </c>
      <c r="E118" s="8" t="n">
        <f aca="false">ov*a25_rev/opex25</f>
        <v>0.504987067522956</v>
      </c>
      <c r="F118" s="7" t="n">
        <v>0.75</v>
      </c>
      <c r="G118" s="8" t="s">
        <v>31</v>
      </c>
      <c r="H118" s="5" t="s">
        <v>306</v>
      </c>
      <c r="I118" s="5" t="s">
        <v>321</v>
      </c>
    </row>
    <row r="119" customFormat="false" ht="17.15" hidden="false" customHeight="false" outlineLevel="0" collapsed="false">
      <c r="A119" s="0" t="s">
        <v>322</v>
      </c>
      <c r="B119" s="0" t="s">
        <v>323</v>
      </c>
      <c r="C119" s="0" t="s">
        <v>246</v>
      </c>
      <c r="D119" s="7" t="n">
        <v>0.85</v>
      </c>
      <c r="E119" s="8" t="n">
        <f aca="false">a25_ni/a25_oi</f>
        <v>0.888460640037375</v>
      </c>
      <c r="F119" s="8" t="n">
        <f aca="false">an_ni/an_oi</f>
        <v>0.898889183222958</v>
      </c>
      <c r="G119" s="8" t="s">
        <v>31</v>
      </c>
      <c r="H119" s="5" t="s">
        <v>324</v>
      </c>
      <c r="I119" s="5" t="s">
        <v>325</v>
      </c>
    </row>
    <row r="120" customFormat="false" ht="17.15" hidden="false" customHeight="false" outlineLevel="0" collapsed="false">
      <c r="A120" s="0" t="s">
        <v>326</v>
      </c>
      <c r="B120" s="0" t="s">
        <v>327</v>
      </c>
      <c r="C120" s="5" t="s">
        <v>328</v>
      </c>
      <c r="D120" s="7" t="n">
        <v>793</v>
      </c>
      <c r="E120" s="7" t="n">
        <v>796</v>
      </c>
      <c r="F120" s="7" t="n">
        <v>800</v>
      </c>
      <c r="G120" s="8" t="s">
        <v>227</v>
      </c>
      <c r="H120" s="8" t="s">
        <v>329</v>
      </c>
      <c r="I120" s="5" t="s">
        <v>330</v>
      </c>
    </row>
    <row r="121" customFormat="false" ht="17.15" hidden="false" customHeight="false" outlineLevel="0" collapsed="false">
      <c r="A121" s="0" t="s">
        <v>331</v>
      </c>
      <c r="B121" s="0" t="s">
        <v>332</v>
      </c>
      <c r="C121" s="0" t="s">
        <v>199</v>
      </c>
      <c r="D121" s="7" t="n">
        <v>0</v>
      </c>
      <c r="E121" s="7" t="n">
        <v>0.01</v>
      </c>
      <c r="F121" s="7" t="n">
        <v>0.025</v>
      </c>
      <c r="G121" s="8" t="s">
        <v>227</v>
      </c>
      <c r="H121" s="8" t="s">
        <v>333</v>
      </c>
      <c r="I121" s="8" t="s">
        <v>233</v>
      </c>
    </row>
    <row r="122" customFormat="false" ht="17.15" hidden="false" customHeight="false" outlineLevel="0" collapsed="false">
      <c r="A122" s="1" t="s">
        <v>334</v>
      </c>
    </row>
    <row r="123" customFormat="false" ht="17.15" hidden="false" customHeight="false" outlineLevel="0" collapsed="false">
      <c r="A123" s="0" t="s">
        <v>335</v>
      </c>
      <c r="B123" s="5" t="s">
        <v>336</v>
      </c>
      <c r="C123" s="0" t="s">
        <v>252</v>
      </c>
      <c r="D123" s="7" t="n">
        <v>9750</v>
      </c>
      <c r="E123" s="7" t="n">
        <v>10250</v>
      </c>
      <c r="F123" s="7" t="n">
        <v>10750</v>
      </c>
      <c r="G123" s="8" t="s">
        <v>204</v>
      </c>
      <c r="H123" s="8" t="s">
        <v>337</v>
      </c>
      <c r="I123" s="8" t="s">
        <v>338</v>
      </c>
    </row>
    <row r="124" customFormat="false" ht="17.15" hidden="false" customHeight="false" outlineLevel="0" collapsed="false">
      <c r="A124" s="0" t="s">
        <v>339</v>
      </c>
      <c r="B124" s="5" t="s">
        <v>340</v>
      </c>
      <c r="C124" s="0" t="s">
        <v>341</v>
      </c>
      <c r="D124" s="7" t="n">
        <v>3.82</v>
      </c>
      <c r="E124" s="7" t="n">
        <v>4.02</v>
      </c>
      <c r="F124" s="7" t="n">
        <v>4.22</v>
      </c>
      <c r="G124" s="8" t="s">
        <v>204</v>
      </c>
      <c r="H124" s="5" t="s">
        <v>36</v>
      </c>
      <c r="I124" s="5" t="s">
        <v>342</v>
      </c>
    </row>
    <row r="125" customFormat="false" ht="17.15" hidden="false" customHeight="false" outlineLevel="0" collapsed="false">
      <c r="A125" s="0" t="s">
        <v>343</v>
      </c>
      <c r="B125" s="5" t="s">
        <v>344</v>
      </c>
      <c r="C125" s="0" t="s">
        <v>252</v>
      </c>
      <c r="E125" s="7" t="n">
        <v>7900</v>
      </c>
      <c r="G125" s="8" t="s">
        <v>204</v>
      </c>
      <c r="H125" s="8" t="s">
        <v>345</v>
      </c>
      <c r="I125" s="8" t="s">
        <v>346</v>
      </c>
    </row>
    <row r="126" customFormat="false" ht="17.15" hidden="false" customHeight="false" outlineLevel="0" collapsed="false">
      <c r="A126" s="0" t="s">
        <v>347</v>
      </c>
      <c r="B126" s="5" t="s">
        <v>348</v>
      </c>
      <c r="C126" s="0" t="s">
        <v>252</v>
      </c>
      <c r="E126" s="7" t="n">
        <v>1840</v>
      </c>
      <c r="G126" s="8" t="s">
        <v>204</v>
      </c>
      <c r="H126" s="5" t="s">
        <v>36</v>
      </c>
      <c r="I126" s="5" t="s">
        <v>36</v>
      </c>
    </row>
    <row r="127" customFormat="false" ht="17.15" hidden="false" customHeight="false" outlineLevel="0" collapsed="false">
      <c r="A127" s="0" t="s">
        <v>349</v>
      </c>
      <c r="B127" s="5" t="s">
        <v>350</v>
      </c>
      <c r="C127" s="0" t="s">
        <v>252</v>
      </c>
      <c r="E127" s="7" t="n">
        <v>510</v>
      </c>
      <c r="G127" s="8" t="s">
        <v>204</v>
      </c>
      <c r="H127" s="5" t="s">
        <v>36</v>
      </c>
      <c r="I127" s="5" t="s">
        <v>36</v>
      </c>
    </row>
    <row r="128" customFormat="false" ht="17.15" hidden="false" customHeight="false" outlineLevel="0" collapsed="false">
      <c r="A128" s="0" t="s">
        <v>351</v>
      </c>
      <c r="B128" s="5" t="s">
        <v>352</v>
      </c>
      <c r="C128" s="0" t="s">
        <v>199</v>
      </c>
      <c r="E128" s="7" t="n">
        <v>0.504</v>
      </c>
      <c r="G128" s="8" t="s">
        <v>204</v>
      </c>
      <c r="H128" s="5" t="s">
        <v>36</v>
      </c>
      <c r="I128" s="5" t="s">
        <v>36</v>
      </c>
    </row>
    <row r="129" customFormat="false" ht="17.15" hidden="false" customHeight="false" outlineLevel="0" collapsed="false">
      <c r="A129" s="0" t="s">
        <v>353</v>
      </c>
      <c r="B129" s="5" t="s">
        <v>354</v>
      </c>
      <c r="C129" s="0" t="s">
        <v>252</v>
      </c>
      <c r="E129" s="7" t="n">
        <v>1580</v>
      </c>
      <c r="G129" s="8" t="s">
        <v>204</v>
      </c>
      <c r="H129" s="5" t="s">
        <v>36</v>
      </c>
      <c r="I129" s="5" t="s">
        <v>36</v>
      </c>
    </row>
    <row r="130" customFormat="false" ht="17.15" hidden="false" customHeight="false" outlineLevel="0" collapsed="false">
      <c r="A130" s="0" t="s">
        <v>355</v>
      </c>
      <c r="B130" s="5" t="s">
        <v>356</v>
      </c>
      <c r="C130" s="0" t="s">
        <v>199</v>
      </c>
      <c r="E130" s="7" t="n">
        <v>0.62</v>
      </c>
      <c r="G130" s="8" t="s">
        <v>204</v>
      </c>
      <c r="H130" s="5" t="s">
        <v>357</v>
      </c>
      <c r="I130" s="5" t="s">
        <v>358</v>
      </c>
    </row>
    <row r="131" customFormat="false" ht="17.15" hidden="false" customHeight="false" outlineLevel="0" collapsed="false">
      <c r="A131" s="0" t="s">
        <v>359</v>
      </c>
      <c r="B131" s="5" t="s">
        <v>360</v>
      </c>
      <c r="C131" s="0" t="s">
        <v>199</v>
      </c>
      <c r="E131" s="7" t="n">
        <v>0.22</v>
      </c>
      <c r="G131" s="8" t="s">
        <v>204</v>
      </c>
      <c r="H131" s="5" t="s">
        <v>361</v>
      </c>
      <c r="I131" s="5" t="s">
        <v>36</v>
      </c>
    </row>
    <row r="132" customFormat="false" ht="17.15" hidden="false" customHeight="false" outlineLevel="0" collapsed="false">
      <c r="A132" s="0" t="s">
        <v>362</v>
      </c>
      <c r="B132" s="5" t="s">
        <v>363</v>
      </c>
      <c r="C132" s="0" t="s">
        <v>252</v>
      </c>
      <c r="E132" s="7" t="n">
        <v>34260</v>
      </c>
      <c r="G132" s="8" t="s">
        <v>204</v>
      </c>
      <c r="H132" s="8" t="s">
        <v>364</v>
      </c>
      <c r="I132" s="5" t="s">
        <v>365</v>
      </c>
    </row>
    <row r="133" customFormat="false" ht="17.15" hidden="false" customHeight="false" outlineLevel="0" collapsed="false">
      <c r="A133" s="0" t="s">
        <v>366</v>
      </c>
      <c r="B133" s="5" t="s">
        <v>367</v>
      </c>
      <c r="C133" s="0" t="s">
        <v>341</v>
      </c>
      <c r="E133" s="7" t="n">
        <v>12.79</v>
      </c>
      <c r="G133" s="8" t="s">
        <v>204</v>
      </c>
      <c r="H133" s="5" t="s">
        <v>36</v>
      </c>
      <c r="I133" s="5" t="s">
        <v>368</v>
      </c>
    </row>
    <row r="134" customFormat="false" ht="17.15" hidden="false" customHeight="false" outlineLevel="0" collapsed="false">
      <c r="A134" s="0" t="s">
        <v>369</v>
      </c>
      <c r="B134" s="5" t="s">
        <v>370</v>
      </c>
      <c r="C134" s="0" t="s">
        <v>252</v>
      </c>
      <c r="E134" s="7" t="n">
        <v>46370</v>
      </c>
      <c r="G134" s="8" t="s">
        <v>204</v>
      </c>
      <c r="H134" s="8" t="s">
        <v>371</v>
      </c>
      <c r="I134" s="5" t="s">
        <v>372</v>
      </c>
    </row>
    <row r="135" customFormat="false" ht="17.15" hidden="false" customHeight="false" outlineLevel="0" collapsed="false">
      <c r="A135" s="0" t="s">
        <v>373</v>
      </c>
      <c r="B135" s="5" t="s">
        <v>374</v>
      </c>
      <c r="C135" s="0" t="s">
        <v>341</v>
      </c>
      <c r="E135" s="7" t="n">
        <v>18.49</v>
      </c>
      <c r="G135" s="8" t="s">
        <v>204</v>
      </c>
      <c r="H135" s="5" t="s">
        <v>36</v>
      </c>
      <c r="I135" s="5" t="s">
        <v>375</v>
      </c>
    </row>
    <row r="136" customFormat="false" ht="17.15" hidden="false" customHeight="false" outlineLevel="0" collapsed="false">
      <c r="A136" s="0" t="s">
        <v>376</v>
      </c>
      <c r="B136" s="5" t="s">
        <v>377</v>
      </c>
      <c r="C136" s="5" t="s">
        <v>378</v>
      </c>
      <c r="E136" s="7" t="n">
        <v>2029</v>
      </c>
      <c r="G136" s="8" t="s">
        <v>31</v>
      </c>
      <c r="H136" s="8" t="s">
        <v>379</v>
      </c>
      <c r="I136" s="5" t="s">
        <v>380</v>
      </c>
    </row>
    <row r="137" customFormat="false" ht="17.15" hidden="false" customHeight="false" outlineLevel="0" collapsed="false">
      <c r="A137" s="0" t="s">
        <v>381</v>
      </c>
      <c r="B137" s="5" t="s">
        <v>382</v>
      </c>
      <c r="C137" s="5" t="s">
        <v>378</v>
      </c>
      <c r="E137" s="7" t="n">
        <v>2028</v>
      </c>
      <c r="G137" s="8" t="s">
        <v>31</v>
      </c>
      <c r="H137" s="8" t="s">
        <v>383</v>
      </c>
      <c r="I137" s="5" t="s">
        <v>36</v>
      </c>
    </row>
    <row r="138" customFormat="false" ht="17.15" hidden="false" customHeight="false" outlineLevel="0" collapsed="false">
      <c r="A138" s="0" t="s">
        <v>384</v>
      </c>
      <c r="B138" s="5" t="s">
        <v>385</v>
      </c>
      <c r="C138" s="5" t="s">
        <v>378</v>
      </c>
      <c r="E138" s="7" t="n">
        <v>2027</v>
      </c>
      <c r="G138" s="8" t="s">
        <v>31</v>
      </c>
      <c r="H138" s="8" t="s">
        <v>386</v>
      </c>
      <c r="I138" s="5" t="s">
        <v>36</v>
      </c>
    </row>
    <row r="139" customFormat="false" ht="17.15" hidden="false" customHeight="false" outlineLevel="0" collapsed="false">
      <c r="A139" s="0" t="s">
        <v>387</v>
      </c>
      <c r="B139" s="5" t="s">
        <v>388</v>
      </c>
      <c r="C139" s="0" t="s">
        <v>341</v>
      </c>
      <c r="E139" s="7" t="n">
        <v>377.24</v>
      </c>
      <c r="G139" s="8" t="s">
        <v>204</v>
      </c>
      <c r="H139" s="8" t="s">
        <v>389</v>
      </c>
      <c r="I139" s="8" t="s">
        <v>390</v>
      </c>
    </row>
    <row r="140" customFormat="false" ht="17.15" hidden="false" customHeight="false" outlineLevel="0" collapsed="false">
      <c r="A140" s="0" t="s">
        <v>391</v>
      </c>
      <c r="B140" s="5" t="s">
        <v>392</v>
      </c>
      <c r="C140" s="0" t="s">
        <v>246</v>
      </c>
      <c r="E140" s="7" t="n">
        <v>21.39</v>
      </c>
      <c r="G140" s="8" t="s">
        <v>204</v>
      </c>
      <c r="H140" s="8" t="s">
        <v>393</v>
      </c>
      <c r="I140" s="5" t="s">
        <v>394</v>
      </c>
    </row>
    <row r="141" customFormat="false" ht="17.15" hidden="false" customHeight="false" outlineLevel="0" collapsed="false">
      <c r="A141" s="1" t="s">
        <v>395</v>
      </c>
    </row>
    <row r="142" customFormat="false" ht="17.15" hidden="false" customHeight="false" outlineLevel="0" collapsed="false">
      <c r="A142" s="0" t="s">
        <v>396</v>
      </c>
      <c r="B142" s="5" t="s">
        <v>397</v>
      </c>
      <c r="C142" s="5" t="s">
        <v>398</v>
      </c>
      <c r="E142" s="7" t="n">
        <v>0.3</v>
      </c>
      <c r="G142" s="8" t="s">
        <v>227</v>
      </c>
      <c r="H142" s="8" t="s">
        <v>399</v>
      </c>
      <c r="I142" s="5" t="s">
        <v>400</v>
      </c>
    </row>
    <row r="143" customFormat="false" ht="17.15" hidden="false" customHeight="false" outlineLevel="0" collapsed="false">
      <c r="A143" s="0" t="s">
        <v>401</v>
      </c>
      <c r="B143" s="5" t="s">
        <v>402</v>
      </c>
      <c r="C143" s="5" t="s">
        <v>398</v>
      </c>
      <c r="E143" s="7" t="n">
        <v>0.5</v>
      </c>
      <c r="G143" s="8" t="s">
        <v>227</v>
      </c>
      <c r="H143" s="8" t="s">
        <v>399</v>
      </c>
      <c r="I143" s="5" t="s">
        <v>400</v>
      </c>
    </row>
    <row r="144" customFormat="false" ht="17.15" hidden="false" customHeight="false" outlineLevel="0" collapsed="false">
      <c r="A144" s="0" t="s">
        <v>403</v>
      </c>
      <c r="B144" s="5" t="s">
        <v>404</v>
      </c>
      <c r="C144" s="5" t="s">
        <v>398</v>
      </c>
      <c r="E144" s="7" t="n">
        <v>0.2</v>
      </c>
      <c r="G144" s="8" t="s">
        <v>227</v>
      </c>
      <c r="H144" s="8" t="s">
        <v>399</v>
      </c>
      <c r="I144" s="5" t="s">
        <v>400</v>
      </c>
    </row>
    <row r="146" customFormat="false" ht="17.15" hidden="false" customHeight="false" outlineLevel="0" collapsed="false">
      <c r="A146" s="1" t="s">
        <v>405</v>
      </c>
    </row>
    <row r="147" customFormat="false" ht="17.15" hidden="false" customHeight="false" outlineLevel="0" collapsed="false">
      <c r="A147" s="0" t="s">
        <v>406</v>
      </c>
      <c r="B147" s="5" t="s">
        <v>407</v>
      </c>
      <c r="C147" s="0" t="s">
        <v>199</v>
      </c>
      <c r="E147" s="10" t="n">
        <v>0.1</v>
      </c>
      <c r="G147" s="8" t="s">
        <v>227</v>
      </c>
      <c r="H147" s="8" t="s">
        <v>408</v>
      </c>
      <c r="I147" s="8" t="s">
        <v>233</v>
      </c>
    </row>
    <row r="148" customFormat="false" ht="17.15" hidden="false" customHeight="false" outlineLevel="0" collapsed="false">
      <c r="A148" s="0" t="s">
        <v>409</v>
      </c>
      <c r="B148" s="5" t="s">
        <v>410</v>
      </c>
      <c r="C148" s="0" t="s">
        <v>199</v>
      </c>
      <c r="E148" s="10" t="n">
        <v>0.04</v>
      </c>
      <c r="G148" s="8" t="s">
        <v>227</v>
      </c>
      <c r="H148" s="8" t="s">
        <v>411</v>
      </c>
      <c r="I148" s="5" t="s">
        <v>412</v>
      </c>
    </row>
    <row r="149" customFormat="false" ht="17.15" hidden="false" customHeight="false" outlineLevel="0" collapsed="false">
      <c r="A149" s="0" t="s">
        <v>413</v>
      </c>
      <c r="B149" s="0" t="s">
        <v>414</v>
      </c>
      <c r="C149" s="0" t="s">
        <v>199</v>
      </c>
      <c r="E149" s="11" t="n">
        <f aca="false">AVERAGE(0.4804,0.4061,0.3551)</f>
        <v>0.413866666666667</v>
      </c>
      <c r="G149" s="8" t="s">
        <v>31</v>
      </c>
      <c r="H149" s="8" t="s">
        <v>415</v>
      </c>
      <c r="I149" s="5" t="s">
        <v>416</v>
      </c>
    </row>
    <row r="150" customFormat="false" ht="17.15" hidden="false" customHeight="false" outlineLevel="0" collapsed="false">
      <c r="A150" s="0" t="s">
        <v>417</v>
      </c>
      <c r="B150" s="5" t="s">
        <v>418</v>
      </c>
      <c r="C150" s="0" t="s">
        <v>199</v>
      </c>
      <c r="E150" s="12" t="n">
        <v>0.5</v>
      </c>
      <c r="G150" s="8" t="s">
        <v>227</v>
      </c>
      <c r="H150" s="8" t="s">
        <v>419</v>
      </c>
      <c r="I150" s="8" t="s">
        <v>233</v>
      </c>
    </row>
    <row r="151" customFormat="false" ht="17.15" hidden="false" customHeight="false" outlineLevel="0" collapsed="false">
      <c r="A151" s="0" t="s">
        <v>420</v>
      </c>
      <c r="B151" s="5" t="s">
        <v>421</v>
      </c>
      <c r="C151" s="0" t="s">
        <v>199</v>
      </c>
      <c r="E151" s="11" t="n">
        <f aca="false">AVERAGE(1.72/10.82,3.52/14.7,3.04/16.7,2.71/14.61,3.62/17.2,5.89/23.06,6.53/25.79,6.86/26.52,7.18/27.18,7/28.37)</f>
        <v>0.225460769402647</v>
      </c>
      <c r="G151" s="8" t="s">
        <v>31</v>
      </c>
      <c r="H151" s="8" t="s">
        <v>422</v>
      </c>
      <c r="I151" s="5" t="s">
        <v>423</v>
      </c>
    </row>
    <row r="152" customFormat="false" ht="17.15" hidden="false" customHeight="false" outlineLevel="0" collapsed="false">
      <c r="A152" s="0" t="s">
        <v>424</v>
      </c>
      <c r="B152" s="5" t="s">
        <v>425</v>
      </c>
      <c r="C152" s="0" t="s">
        <v>341</v>
      </c>
      <c r="E152" s="13" t="n">
        <v>627.83</v>
      </c>
      <c r="G152" s="8" t="s">
        <v>204</v>
      </c>
      <c r="H152" s="8" t="s">
        <v>426</v>
      </c>
      <c r="I152" s="5" t="s">
        <v>427</v>
      </c>
    </row>
    <row r="153" customFormat="false" ht="17.15" hidden="false" customHeight="false" outlineLevel="0" collapsed="false">
      <c r="A153" s="0" t="s">
        <v>428</v>
      </c>
      <c r="B153" s="5" t="s">
        <v>429</v>
      </c>
      <c r="C153" s="0" t="s">
        <v>341</v>
      </c>
      <c r="E153" s="14" t="n">
        <f aca="false">cons_eps27</f>
        <v>18.49</v>
      </c>
      <c r="G153" s="8" t="s">
        <v>204</v>
      </c>
      <c r="H153" s="5" t="s">
        <v>430</v>
      </c>
      <c r="I153" s="8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11" min="2" style="0" width="13"/>
    <col collapsed="false" customWidth="true" hidden="false" outlineLevel="0" max="12" min="12" style="0" width="18"/>
    <col collapsed="false" customWidth="true" hidden="false" outlineLevel="0" max="13" min="13" style="0" width="90"/>
    <col collapsed="false" customWidth="true" hidden="false" outlineLevel="0" max="14" min="14" style="0" width="70"/>
  </cols>
  <sheetData>
    <row r="1" customFormat="false" ht="17.15" hidden="false" customHeight="false" outlineLevel="0" collapsed="false">
      <c r="A1" s="0" t="s">
        <v>431</v>
      </c>
    </row>
    <row r="2" customFormat="false" ht="17.15" hidden="false" customHeight="false" outlineLevel="0" collapsed="false">
      <c r="A2" s="0" t="s">
        <v>432</v>
      </c>
    </row>
    <row r="3" customFormat="false" ht="17.15" hidden="false" customHeight="false" outlineLevel="0" collapsed="false">
      <c r="A3" s="6" t="s">
        <v>19</v>
      </c>
      <c r="B3" s="15" t="s">
        <v>433</v>
      </c>
      <c r="C3" s="15" t="s">
        <v>434</v>
      </c>
      <c r="D3" s="15" t="s">
        <v>435</v>
      </c>
      <c r="E3" s="15" t="s">
        <v>436</v>
      </c>
      <c r="F3" s="15" t="s">
        <v>437</v>
      </c>
      <c r="G3" s="15" t="s">
        <v>438</v>
      </c>
      <c r="H3" s="15" t="s">
        <v>439</v>
      </c>
      <c r="I3" s="15" t="s">
        <v>440</v>
      </c>
      <c r="J3" s="15" t="s">
        <v>441</v>
      </c>
      <c r="K3" s="15" t="s">
        <v>442</v>
      </c>
      <c r="L3" s="6" t="s">
        <v>24</v>
      </c>
      <c r="M3" s="6" t="s">
        <v>443</v>
      </c>
      <c r="N3" s="6" t="s">
        <v>26</v>
      </c>
    </row>
    <row r="4" customFormat="false" ht="17.15" hidden="false" customHeight="false" outlineLevel="0" collapsed="false">
      <c r="A4" s="5" t="s">
        <v>444</v>
      </c>
      <c r="B4" s="16" t="n">
        <v>5597</v>
      </c>
      <c r="C4" s="16" t="n">
        <v>5401</v>
      </c>
      <c r="D4" s="16" t="n">
        <v>5564</v>
      </c>
      <c r="E4" s="9" t="n">
        <f aca="false">J4/(1+q4g_ss)</f>
        <v>4876.54320987654</v>
      </c>
      <c r="F4" s="9" t="n">
        <f aca="false">SUM(B4:E4)</f>
        <v>21438.5432098765</v>
      </c>
      <c r="G4" s="16" t="n">
        <v>5141</v>
      </c>
      <c r="H4" s="16" t="n">
        <v>5965</v>
      </c>
      <c r="I4" s="16" t="n">
        <v>7040</v>
      </c>
      <c r="J4" s="9" t="n">
        <f aca="false">g_ss_q4</f>
        <v>7900</v>
      </c>
      <c r="K4" s="9" t="n">
        <f aca="false">SUM(G4:J4)</f>
        <v>26046</v>
      </c>
      <c r="L4" s="8" t="s">
        <v>445</v>
      </c>
      <c r="M4" s="8" t="s">
        <v>446</v>
      </c>
      <c r="N4" s="8" t="s">
        <v>447</v>
      </c>
    </row>
    <row r="5" customFormat="false" ht="17.15" hidden="false" customHeight="false" outlineLevel="0" collapsed="false">
      <c r="A5" s="0" t="s">
        <v>448</v>
      </c>
      <c r="B5" s="16" t="n">
        <v>1353</v>
      </c>
      <c r="C5" s="16" t="n">
        <v>1420</v>
      </c>
      <c r="D5" s="16" t="n">
        <v>1463</v>
      </c>
      <c r="E5" s="9" t="n">
        <f aca="false">J5/(1+q4g_ags)</f>
        <v>1508.19672131148</v>
      </c>
      <c r="F5" s="9" t="n">
        <f aca="false">SUM(B5:E5)</f>
        <v>5744.19672131148</v>
      </c>
      <c r="G5" s="16" t="n">
        <v>1559</v>
      </c>
      <c r="H5" s="16" t="n">
        <v>1665</v>
      </c>
      <c r="I5" s="16" t="n">
        <v>1781</v>
      </c>
      <c r="J5" s="9" t="n">
        <f aca="false">g_ags_q4</f>
        <v>1840</v>
      </c>
      <c r="K5" s="9" t="n">
        <f aca="false">SUM(G5:J5)</f>
        <v>6845</v>
      </c>
      <c r="L5" s="8" t="s">
        <v>445</v>
      </c>
      <c r="M5" s="8" t="s">
        <v>449</v>
      </c>
      <c r="N5" s="8" t="s">
        <v>450</v>
      </c>
    </row>
    <row r="6" customFormat="false" ht="17.15" hidden="false" customHeight="false" outlineLevel="0" collapsed="false">
      <c r="A6" s="5" t="s">
        <v>451</v>
      </c>
      <c r="B6" s="16" t="n">
        <v>216</v>
      </c>
      <c r="C6" s="16" t="n">
        <v>279</v>
      </c>
      <c r="D6" s="16" t="n">
        <v>275</v>
      </c>
      <c r="E6" s="9" t="n">
        <f aca="false">E7-E4-E5</f>
        <v>415.260068811981</v>
      </c>
      <c r="F6" s="9" t="n">
        <f aca="false">SUM(B6:E6)</f>
        <v>1185.26006881198</v>
      </c>
      <c r="G6" s="16" t="n">
        <v>312</v>
      </c>
      <c r="H6" s="16" t="n">
        <v>280</v>
      </c>
      <c r="I6" s="16" t="n">
        <v>294</v>
      </c>
      <c r="J6" s="9" t="n">
        <f aca="false">g_oth_q4</f>
        <v>510</v>
      </c>
      <c r="K6" s="9" t="n">
        <f aca="false">SUM(G6:J6)</f>
        <v>1396</v>
      </c>
      <c r="L6" s="8" t="s">
        <v>445</v>
      </c>
      <c r="M6" s="8" t="s">
        <v>452</v>
      </c>
      <c r="N6" s="8" t="s">
        <v>453</v>
      </c>
    </row>
    <row r="7" customFormat="false" ht="17.15" hidden="false" customHeight="false" outlineLevel="0" collapsed="false">
      <c r="A7" s="5" t="s">
        <v>454</v>
      </c>
      <c r="B7" s="16" t="n">
        <v>7166</v>
      </c>
      <c r="C7" s="16" t="n">
        <v>7100</v>
      </c>
      <c r="D7" s="16" t="n">
        <v>7302</v>
      </c>
      <c r="E7" s="16" t="n">
        <v>6800</v>
      </c>
      <c r="F7" s="16" t="n">
        <v>28368</v>
      </c>
      <c r="G7" s="16" t="n">
        <v>7012</v>
      </c>
      <c r="H7" s="16" t="n">
        <v>7910</v>
      </c>
      <c r="I7" s="16" t="n">
        <v>9115</v>
      </c>
      <c r="J7" s="9" t="n">
        <f aca="false">g_rev_q4</f>
        <v>10250</v>
      </c>
      <c r="K7" s="9" t="n">
        <f aca="false">SUM(G7:J7)</f>
        <v>34287</v>
      </c>
      <c r="L7" s="8" t="s">
        <v>455</v>
      </c>
      <c r="M7" s="8" t="s">
        <v>456</v>
      </c>
      <c r="N7" s="8" t="s">
        <v>457</v>
      </c>
    </row>
    <row r="8" customFormat="false" ht="17.15" hidden="false" customHeight="false" outlineLevel="0" collapsed="false">
      <c r="A8" s="5" t="s">
        <v>458</v>
      </c>
      <c r="B8" s="17" t="n">
        <f aca="false">B4+B5+B6-B7</f>
        <v>0</v>
      </c>
      <c r="C8" s="17" t="n">
        <f aca="false">C4+C5+C6-C7</f>
        <v>0</v>
      </c>
      <c r="D8" s="17" t="n">
        <f aca="false">D4+D5+D6-D7</f>
        <v>0</v>
      </c>
      <c r="E8" s="17" t="n">
        <f aca="false">E4+E5+E6-E7</f>
        <v>0</v>
      </c>
      <c r="F8" s="17" t="n">
        <f aca="false">F4+F5+F6-F7</f>
        <v>0</v>
      </c>
      <c r="G8" s="17" t="n">
        <f aca="false">G4+G5+G6-G7</f>
        <v>0</v>
      </c>
      <c r="H8" s="17" t="n">
        <f aca="false">H4+H5+H6-H7</f>
        <v>0</v>
      </c>
      <c r="I8" s="17" t="n">
        <f aca="false">I4+I5+I6-I7</f>
        <v>0</v>
      </c>
      <c r="J8" s="17" t="n">
        <f aca="false">J4+J5+J6-J7</f>
        <v>0</v>
      </c>
      <c r="K8" s="17" t="n">
        <f aca="false">K4+K5+K6-K7</f>
        <v>0</v>
      </c>
      <c r="L8" s="8" t="s">
        <v>233</v>
      </c>
      <c r="M8" s="8" t="s">
        <v>233</v>
      </c>
      <c r="N8" s="8" t="s">
        <v>459</v>
      </c>
    </row>
    <row r="9" customFormat="false" ht="17.15" hidden="false" customHeight="false" outlineLevel="0" collapsed="false">
      <c r="A9" s="0" t="s">
        <v>460</v>
      </c>
      <c r="B9" s="18" t="n">
        <v>0.489</v>
      </c>
      <c r="C9" s="18" t="n">
        <v>0.492</v>
      </c>
      <c r="D9" s="18" t="n">
        <v>0.489</v>
      </c>
      <c r="E9" s="18" t="n">
        <v>0.481</v>
      </c>
      <c r="F9" s="11" t="n">
        <f aca="false">F10/F7</f>
        <v>0.487833192329385</v>
      </c>
      <c r="G9" s="18" t="n">
        <v>0.491</v>
      </c>
      <c r="H9" s="18" t="n">
        <v>0.5</v>
      </c>
      <c r="I9" s="18" t="n">
        <v>0.504</v>
      </c>
      <c r="J9" s="11" t="n">
        <f aca="false">g_gm_q4</f>
        <v>0.504</v>
      </c>
      <c r="K9" s="11" t="n">
        <f aca="false">K10/K7</f>
        <v>0.500418584303089</v>
      </c>
      <c r="L9" s="8" t="s">
        <v>455</v>
      </c>
      <c r="M9" s="8" t="s">
        <v>461</v>
      </c>
      <c r="N9" s="8" t="s">
        <v>462</v>
      </c>
    </row>
    <row r="10" customFormat="false" ht="17.15" hidden="false" customHeight="false" outlineLevel="0" collapsed="false">
      <c r="A10" s="0" t="s">
        <v>463</v>
      </c>
      <c r="B10" s="9" t="n">
        <f aca="false">B7*B9</f>
        <v>3504.174</v>
      </c>
      <c r="C10" s="9" t="n">
        <f aca="false">C7*C9</f>
        <v>3493.2</v>
      </c>
      <c r="D10" s="9" t="n">
        <f aca="false">D7*D9</f>
        <v>3570.678</v>
      </c>
      <c r="E10" s="9" t="n">
        <f aca="false">E7*E9</f>
        <v>3270.8</v>
      </c>
      <c r="F10" s="9" t="n">
        <f aca="false">SUM(B10:E10)</f>
        <v>13838.852</v>
      </c>
      <c r="G10" s="9" t="n">
        <f aca="false">G7*G9</f>
        <v>3442.892</v>
      </c>
      <c r="H10" s="9" t="n">
        <f aca="false">H7*H9</f>
        <v>3955</v>
      </c>
      <c r="I10" s="9" t="n">
        <f aca="false">I7*I9</f>
        <v>4593.96</v>
      </c>
      <c r="J10" s="9" t="n">
        <f aca="false">J7*J9</f>
        <v>5166</v>
      </c>
      <c r="K10" s="9" t="n">
        <f aca="false">SUM(G10:J10)</f>
        <v>17157.852</v>
      </c>
      <c r="L10" s="8" t="s">
        <v>31</v>
      </c>
      <c r="M10" s="5" t="s">
        <v>464</v>
      </c>
      <c r="N10" s="8" t="s">
        <v>233</v>
      </c>
    </row>
    <row r="11" customFormat="false" ht="17.15" hidden="false" customHeight="false" outlineLevel="0" collapsed="false">
      <c r="A11" s="0" t="s">
        <v>465</v>
      </c>
      <c r="B11" s="16" t="n">
        <v>2190</v>
      </c>
      <c r="C11" s="16" t="n">
        <v>2180</v>
      </c>
      <c r="D11" s="16" t="n">
        <v>2245</v>
      </c>
      <c r="E11" s="16" t="n">
        <v>1947</v>
      </c>
      <c r="F11" s="9" t="n">
        <f aca="false">SUM(B11:E11)</f>
        <v>8562</v>
      </c>
      <c r="G11" s="16" t="n">
        <v>2107</v>
      </c>
      <c r="H11" s="16" t="n">
        <v>2536</v>
      </c>
      <c r="I11" s="16" t="n">
        <v>3096</v>
      </c>
      <c r="J11" s="9" t="n">
        <f aca="false">J10-J12</f>
        <v>3586</v>
      </c>
      <c r="K11" s="9" t="n">
        <f aca="false">SUM(G11:J11)</f>
        <v>11325</v>
      </c>
      <c r="L11" s="8" t="s">
        <v>445</v>
      </c>
      <c r="M11" s="8" t="s">
        <v>466</v>
      </c>
      <c r="N11" s="8" t="s">
        <v>467</v>
      </c>
    </row>
    <row r="12" customFormat="false" ht="17.15" hidden="false" customHeight="false" outlineLevel="0" collapsed="false">
      <c r="A12" s="0" t="s">
        <v>468</v>
      </c>
      <c r="B12" s="9" t="n">
        <f aca="false">B10-B11</f>
        <v>1314.174</v>
      </c>
      <c r="C12" s="9" t="n">
        <f aca="false">C10-C11</f>
        <v>1313.2</v>
      </c>
      <c r="D12" s="9" t="n">
        <f aca="false">D10-D11</f>
        <v>1325.678</v>
      </c>
      <c r="E12" s="9" t="n">
        <f aca="false">E10-E11</f>
        <v>1323.8</v>
      </c>
      <c r="F12" s="9" t="n">
        <f aca="false">F10-F11</f>
        <v>5276.852</v>
      </c>
      <c r="G12" s="9" t="n">
        <f aca="false">G10-G11</f>
        <v>1335.892</v>
      </c>
      <c r="H12" s="9" t="n">
        <f aca="false">H10-H11</f>
        <v>1419</v>
      </c>
      <c r="I12" s="9" t="n">
        <f aca="false">I10-I11</f>
        <v>1497.96</v>
      </c>
      <c r="J12" s="9" t="n">
        <f aca="false">g_opx_q4</f>
        <v>1580</v>
      </c>
      <c r="K12" s="9" t="n">
        <f aca="false">SUM(G12:J12)</f>
        <v>5832.852</v>
      </c>
      <c r="L12" s="8" t="s">
        <v>31</v>
      </c>
      <c r="M12" s="8" t="s">
        <v>233</v>
      </c>
      <c r="N12" s="8" t="s">
        <v>469</v>
      </c>
    </row>
    <row r="13" customFormat="false" ht="17.15" hidden="false" customHeight="false" outlineLevel="0" collapsed="false">
      <c r="A13" s="0" t="s">
        <v>470</v>
      </c>
      <c r="B13" s="16" t="n">
        <v>1946</v>
      </c>
      <c r="C13" s="16" t="n">
        <v>1940</v>
      </c>
      <c r="D13" s="16" t="n">
        <v>1989</v>
      </c>
      <c r="E13" s="16" t="n">
        <v>1732</v>
      </c>
      <c r="F13" s="9" t="n">
        <f aca="false">SUM(B13:E13)</f>
        <v>7607</v>
      </c>
      <c r="G13" s="16" t="n">
        <v>1899</v>
      </c>
      <c r="H13" s="16" t="n">
        <v>2286</v>
      </c>
      <c r="I13" s="16" t="n">
        <v>2795</v>
      </c>
      <c r="J13" s="9" t="n">
        <f aca="false">J15*J14</f>
        <v>3199.92</v>
      </c>
      <c r="K13" s="9" t="n">
        <f aca="false">SUM(G13:J13)</f>
        <v>10179.92</v>
      </c>
      <c r="L13" s="8" t="s">
        <v>445</v>
      </c>
      <c r="M13" s="8" t="s">
        <v>471</v>
      </c>
      <c r="N13" s="8" t="s">
        <v>233</v>
      </c>
    </row>
    <row r="14" customFormat="false" ht="17.15" hidden="false" customHeight="false" outlineLevel="0" collapsed="false">
      <c r="A14" s="5" t="s">
        <v>472</v>
      </c>
      <c r="B14" s="16" t="n">
        <v>819</v>
      </c>
      <c r="C14" s="16" t="n">
        <v>812</v>
      </c>
      <c r="D14" s="16" t="n">
        <v>802</v>
      </c>
      <c r="E14" s="16" t="n">
        <v>798</v>
      </c>
      <c r="F14" s="16" t="n">
        <v>808</v>
      </c>
      <c r="G14" s="16" t="n">
        <v>799</v>
      </c>
      <c r="H14" s="16" t="n">
        <v>799</v>
      </c>
      <c r="I14" s="16" t="n">
        <v>800</v>
      </c>
      <c r="J14" s="9" t="n">
        <f aca="false">sh_q4</f>
        <v>796</v>
      </c>
      <c r="K14" s="9" t="n">
        <f aca="false">K13/K15</f>
        <v>797.799373040752</v>
      </c>
      <c r="L14" s="8" t="s">
        <v>445</v>
      </c>
      <c r="M14" s="8" t="s">
        <v>473</v>
      </c>
      <c r="N14" s="8" t="s">
        <v>474</v>
      </c>
    </row>
    <row r="15" customFormat="false" ht="17.15" hidden="false" customHeight="false" outlineLevel="0" collapsed="false">
      <c r="A15" s="0" t="s">
        <v>475</v>
      </c>
      <c r="B15" s="13" t="n">
        <v>2.38</v>
      </c>
      <c r="C15" s="13" t="n">
        <v>2.39</v>
      </c>
      <c r="D15" s="13" t="n">
        <v>2.48</v>
      </c>
      <c r="E15" s="13" t="n">
        <v>2.17</v>
      </c>
      <c r="F15" s="13" t="n">
        <v>9.42</v>
      </c>
      <c r="G15" s="13" t="n">
        <v>2.38</v>
      </c>
      <c r="H15" s="13" t="n">
        <v>2.86</v>
      </c>
      <c r="I15" s="13" t="n">
        <v>3.5</v>
      </c>
      <c r="J15" s="14" t="n">
        <f aca="false">g_eps_q4</f>
        <v>4.02</v>
      </c>
      <c r="K15" s="14" t="n">
        <f aca="false">SUM(G15:J15)</f>
        <v>12.76</v>
      </c>
      <c r="L15" s="8" t="s">
        <v>455</v>
      </c>
      <c r="M15" s="8" t="s">
        <v>476</v>
      </c>
      <c r="N15" s="5" t="s">
        <v>477</v>
      </c>
    </row>
    <row r="16" customFormat="false" ht="17.15" hidden="false" customHeight="false" outlineLevel="0" collapsed="false">
      <c r="A16" s="0" t="s">
        <v>478</v>
      </c>
      <c r="B16" s="13" t="n">
        <v>1.45</v>
      </c>
      <c r="C16" s="13" t="n">
        <v>2.63</v>
      </c>
      <c r="D16" s="13" t="n">
        <v>2.22</v>
      </c>
      <c r="E16" s="13" t="n">
        <v>2.38</v>
      </c>
      <c r="F16" s="13" t="n">
        <v>8.66</v>
      </c>
      <c r="G16" s="13" t="n">
        <v>2.54</v>
      </c>
      <c r="H16" s="13" t="n">
        <v>3.51</v>
      </c>
      <c r="I16" s="13" t="n">
        <v>3.17</v>
      </c>
      <c r="L16" s="8" t="s">
        <v>455</v>
      </c>
      <c r="M16" s="8" t="s">
        <v>479</v>
      </c>
      <c r="N16" s="8" t="s">
        <v>480</v>
      </c>
    </row>
    <row r="17" customFormat="false" ht="17.15" hidden="false" customHeight="false" outlineLevel="0" collapsed="false">
      <c r="A17" s="0" t="s">
        <v>481</v>
      </c>
      <c r="B17" s="16" t="n">
        <v>1185</v>
      </c>
      <c r="C17" s="16" t="n">
        <v>2137</v>
      </c>
      <c r="D17" s="16" t="n">
        <v>1779</v>
      </c>
      <c r="E17" s="16" t="n">
        <v>1897</v>
      </c>
      <c r="F17" s="16" t="n">
        <v>6998</v>
      </c>
      <c r="G17" s="16" t="n">
        <v>2026</v>
      </c>
      <c r="H17" s="16" t="n">
        <v>2806</v>
      </c>
      <c r="I17" s="16" t="n">
        <v>2538</v>
      </c>
      <c r="L17" s="8" t="s">
        <v>455</v>
      </c>
      <c r="M17" s="8" t="s">
        <v>473</v>
      </c>
      <c r="N17" s="8" t="s">
        <v>482</v>
      </c>
    </row>
    <row r="18" customFormat="false" ht="17.15" hidden="false" customHeight="false" outlineLevel="0" collapsed="false">
      <c r="A18" s="5" t="s">
        <v>483</v>
      </c>
      <c r="B18" s="19" t="n">
        <v>0.69</v>
      </c>
      <c r="C18" s="19" t="n">
        <v>0.66</v>
      </c>
      <c r="D18" s="19" t="n">
        <v>0.69</v>
      </c>
      <c r="E18" s="19" t="n">
        <v>0.65</v>
      </c>
      <c r="G18" s="19" t="n">
        <v>0.62</v>
      </c>
      <c r="H18" s="19" t="n">
        <v>0.67</v>
      </c>
      <c r="I18" s="19" t="n">
        <v>0.67</v>
      </c>
      <c r="J18" s="20" t="n">
        <f aca="false">1-J19-J20</f>
        <v>0.64</v>
      </c>
      <c r="K18" s="20" t="n">
        <f aca="false">SUMPRODUCT(G18:J18,G4:J4)/K4</f>
        <v>0.651031636335714</v>
      </c>
      <c r="L18" s="8" t="s">
        <v>484</v>
      </c>
      <c r="M18" s="8" t="s">
        <v>485</v>
      </c>
      <c r="N18" s="8" t="s">
        <v>486</v>
      </c>
    </row>
    <row r="19" customFormat="false" ht="17.15" hidden="false" customHeight="false" outlineLevel="0" collapsed="false">
      <c r="A19" s="5" t="s">
        <v>487</v>
      </c>
      <c r="B19" s="19" t="n">
        <v>0.27</v>
      </c>
      <c r="C19" s="19" t="n">
        <v>0.27</v>
      </c>
      <c r="D19" s="19" t="n">
        <v>0.22</v>
      </c>
      <c r="E19" s="19" t="n">
        <v>0.29</v>
      </c>
      <c r="G19" s="19" t="n">
        <v>0.34</v>
      </c>
      <c r="H19" s="19" t="n">
        <v>0.29</v>
      </c>
      <c r="I19" s="19" t="n">
        <v>0.26</v>
      </c>
      <c r="J19" s="20" t="n">
        <f aca="false">q4_dr</f>
        <v>0.3</v>
      </c>
      <c r="K19" s="20" t="n">
        <f aca="false">SUMPRODUCT(G19:J19,G4:J4)/K4</f>
        <v>0.294793442371189</v>
      </c>
      <c r="L19" s="8" t="s">
        <v>484</v>
      </c>
      <c r="M19" s="8" t="s">
        <v>488</v>
      </c>
      <c r="N19" s="8" t="s">
        <v>489</v>
      </c>
    </row>
    <row r="20" customFormat="false" ht="17.15" hidden="false" customHeight="false" outlineLevel="0" collapsed="false">
      <c r="A20" s="5" t="s">
        <v>490</v>
      </c>
      <c r="B20" s="19" t="n">
        <v>0.04</v>
      </c>
      <c r="C20" s="19" t="n">
        <v>0.07</v>
      </c>
      <c r="D20" s="19" t="n">
        <v>0.09</v>
      </c>
      <c r="E20" s="19" t="n">
        <v>0.06</v>
      </c>
      <c r="G20" s="19" t="n">
        <v>0.04</v>
      </c>
      <c r="H20" s="19" t="n">
        <v>0.04</v>
      </c>
      <c r="I20" s="19" t="n">
        <v>0.07</v>
      </c>
      <c r="J20" s="20" t="n">
        <f aca="false">q4_nd</f>
        <v>0.06</v>
      </c>
      <c r="K20" s="20" t="n">
        <f aca="false">SUMPRODUCT(G20:J20,G4:J4)/K4</f>
        <v>0.0541749212930968</v>
      </c>
      <c r="L20" s="8" t="s">
        <v>484</v>
      </c>
      <c r="M20" s="8" t="s">
        <v>491</v>
      </c>
      <c r="N20" s="8" t="s">
        <v>233</v>
      </c>
    </row>
    <row r="21" customFormat="false" ht="17.15" hidden="false" customHeight="false" outlineLevel="0" collapsed="false">
      <c r="A21" s="5" t="s">
        <v>492</v>
      </c>
      <c r="B21" s="16" t="n">
        <v>2243</v>
      </c>
      <c r="C21" s="16" t="n">
        <v>1774</v>
      </c>
      <c r="D21" s="16" t="n">
        <v>2548</v>
      </c>
      <c r="E21" s="16" t="n">
        <v>1964</v>
      </c>
      <c r="F21" s="9" t="n">
        <f aca="false">SUM(B21:E21)</f>
        <v>8529</v>
      </c>
      <c r="G21" s="16" t="n">
        <v>2095</v>
      </c>
      <c r="H21" s="16" t="n">
        <v>2087</v>
      </c>
      <c r="I21" s="16" t="n">
        <v>2506</v>
      </c>
      <c r="L21" s="8" t="s">
        <v>455</v>
      </c>
      <c r="M21" s="8" t="s">
        <v>493</v>
      </c>
      <c r="N21" s="8" t="s">
        <v>494</v>
      </c>
    </row>
    <row r="22" customFormat="false" ht="17.15" hidden="false" customHeight="false" outlineLevel="0" collapsed="false">
      <c r="A22" s="5" t="s">
        <v>495</v>
      </c>
      <c r="B22" s="11" t="n">
        <f aca="false">B21/B7</f>
        <v>0.313005861010327</v>
      </c>
      <c r="C22" s="11" t="n">
        <f aca="false">C21/C7</f>
        <v>0.249859154929577</v>
      </c>
      <c r="D22" s="11" t="n">
        <f aca="false">D21/D7</f>
        <v>0.3489454943851</v>
      </c>
      <c r="E22" s="11" t="n">
        <f aca="false">E21/E7</f>
        <v>0.288823529411765</v>
      </c>
      <c r="F22" s="11" t="n">
        <f aca="false">F21/F7</f>
        <v>0.300655668358714</v>
      </c>
      <c r="G22" s="11" t="n">
        <f aca="false">G21/G7</f>
        <v>0.298773531089561</v>
      </c>
      <c r="H22" s="11" t="n">
        <f aca="false">H21/H7</f>
        <v>0.263843236409608</v>
      </c>
      <c r="I22" s="11" t="n">
        <f aca="false">I21/I7</f>
        <v>0.274931431705979</v>
      </c>
      <c r="L22" s="8" t="s">
        <v>31</v>
      </c>
      <c r="M22" s="5" t="s">
        <v>496</v>
      </c>
      <c r="N22" s="8" t="s">
        <v>233</v>
      </c>
    </row>
    <row r="23" customFormat="false" ht="17.15" hidden="false" customHeight="false" outlineLevel="0" collapsed="false">
      <c r="A23" s="5" t="s">
        <v>497</v>
      </c>
      <c r="B23" s="21" t="n">
        <f aca="false">SUM(B7:E7)-F7</f>
        <v>0</v>
      </c>
      <c r="C23" s="21" t="n">
        <f aca="false">F9-0.488</f>
        <v>-0.000166807670614777</v>
      </c>
      <c r="D23" s="21" t="n">
        <f aca="false">F11-8562</f>
        <v>0</v>
      </c>
      <c r="E23" s="21" t="n">
        <f aca="false">F13-7607</f>
        <v>0</v>
      </c>
      <c r="F23" s="21" t="n">
        <f aca="false">SUM(B15:E15)-F15</f>
        <v>0</v>
      </c>
      <c r="G23" s="21" t="n">
        <f aca="false">F21-8529</f>
        <v>0</v>
      </c>
      <c r="L23" s="8" t="s">
        <v>233</v>
      </c>
      <c r="M23" s="8" t="s">
        <v>233</v>
      </c>
      <c r="N23" s="5" t="s">
        <v>498</v>
      </c>
    </row>
    <row r="26" customFormat="false" ht="17.15" hidden="false" customHeight="false" outlineLevel="0" collapsed="false">
      <c r="A26" s="1" t="s">
        <v>499</v>
      </c>
    </row>
    <row r="27" customFormat="false" ht="17.15" hidden="false" customHeight="false" outlineLevel="0" collapsed="false">
      <c r="A27" s="6" t="s">
        <v>19</v>
      </c>
      <c r="B27" s="6" t="s">
        <v>500</v>
      </c>
      <c r="C27" s="6" t="s">
        <v>501</v>
      </c>
      <c r="D27" s="15" t="s">
        <v>442</v>
      </c>
      <c r="E27" s="15" t="s">
        <v>502</v>
      </c>
      <c r="F27" s="6" t="s">
        <v>503</v>
      </c>
      <c r="G27" s="6" t="s">
        <v>504</v>
      </c>
    </row>
    <row r="28" customFormat="false" ht="15" hidden="false" customHeight="false" outlineLevel="0" collapsed="false">
      <c r="A28" s="5" t="s">
        <v>454</v>
      </c>
      <c r="B28" s="9" t="n">
        <f aca="false">SUM(G7:I7)</f>
        <v>24037</v>
      </c>
      <c r="C28" s="9" t="n">
        <f aca="false">J7</f>
        <v>10250</v>
      </c>
      <c r="D28" s="9" t="n">
        <f aca="false">K7</f>
        <v>34287</v>
      </c>
      <c r="E28" s="9" t="n">
        <f aca="false">F7</f>
        <v>28368</v>
      </c>
      <c r="F28" s="11" t="n">
        <f aca="false">D28/E28-1</f>
        <v>0.208650592216582</v>
      </c>
      <c r="G28" s="9" t="n">
        <f aca="false">C28*4</f>
        <v>41000</v>
      </c>
    </row>
    <row r="29" customFormat="false" ht="15" hidden="false" customHeight="false" outlineLevel="0" collapsed="false">
      <c r="A29" s="5" t="s">
        <v>505</v>
      </c>
      <c r="B29" s="9" t="n">
        <f aca="false">SUM(G4:I4)</f>
        <v>18146</v>
      </c>
      <c r="C29" s="9" t="n">
        <f aca="false">J4</f>
        <v>7900</v>
      </c>
      <c r="D29" s="9" t="n">
        <f aca="false">K4</f>
        <v>26046</v>
      </c>
      <c r="E29" s="9" t="n">
        <f aca="false">F4</f>
        <v>21438.5432098765</v>
      </c>
      <c r="F29" s="11" t="n">
        <f aca="false">D29/E29-1</f>
        <v>0.214914639722388</v>
      </c>
      <c r="G29" s="9" t="n">
        <f aca="false">C29*4</f>
        <v>31600</v>
      </c>
    </row>
    <row r="30" customFormat="false" ht="15" hidden="false" customHeight="false" outlineLevel="0" collapsed="false">
      <c r="A30" s="0" t="s">
        <v>506</v>
      </c>
      <c r="B30" s="9" t="n">
        <f aca="false">SUM(G5:I5)</f>
        <v>5005</v>
      </c>
      <c r="C30" s="9" t="n">
        <f aca="false">J5</f>
        <v>1840</v>
      </c>
      <c r="D30" s="9" t="n">
        <f aca="false">K5</f>
        <v>6845</v>
      </c>
      <c r="E30" s="9" t="n">
        <f aca="false">F5</f>
        <v>5744.19672131148</v>
      </c>
      <c r="F30" s="11" t="n">
        <f aca="false">D30/E30-1</f>
        <v>0.191637461614859</v>
      </c>
      <c r="G30" s="9" t="n">
        <f aca="false">C30*4</f>
        <v>7360</v>
      </c>
    </row>
    <row r="31" customFormat="false" ht="15" hidden="false" customHeight="false" outlineLevel="0" collapsed="false">
      <c r="A31" s="5" t="s">
        <v>507</v>
      </c>
      <c r="B31" s="9" t="n">
        <f aca="false">SUM(G6:I6)</f>
        <v>886</v>
      </c>
      <c r="C31" s="9" t="n">
        <f aca="false">J6</f>
        <v>510</v>
      </c>
      <c r="D31" s="9" t="n">
        <f aca="false">K6</f>
        <v>1396</v>
      </c>
      <c r="E31" s="9" t="n">
        <f aca="false">F6</f>
        <v>1185.26006881198</v>
      </c>
      <c r="F31" s="11" t="n">
        <f aca="false">D31/E31-1</f>
        <v>0.17780058295497</v>
      </c>
      <c r="G31" s="9" t="n">
        <f aca="false">C31*4</f>
        <v>2040</v>
      </c>
    </row>
    <row r="32" customFormat="false" ht="17.15" hidden="false" customHeight="false" outlineLevel="0" collapsed="false">
      <c r="A32" s="0" t="s">
        <v>465</v>
      </c>
      <c r="B32" s="9" t="n">
        <f aca="false">SUM(G11:I11)</f>
        <v>7739</v>
      </c>
      <c r="C32" s="9" t="n">
        <f aca="false">J11</f>
        <v>3586</v>
      </c>
      <c r="D32" s="9" t="n">
        <f aca="false">K11</f>
        <v>11325</v>
      </c>
      <c r="E32" s="9" t="n">
        <f aca="false">F11</f>
        <v>8562</v>
      </c>
      <c r="F32" s="11" t="n">
        <f aca="false">D32/E32-1</f>
        <v>0.32270497547302</v>
      </c>
      <c r="G32" s="9" t="n">
        <f aca="false">C32*4</f>
        <v>14344</v>
      </c>
    </row>
    <row r="33" customFormat="false" ht="15" hidden="false" customHeight="false" outlineLevel="0" collapsed="false">
      <c r="A33" s="0" t="s">
        <v>508</v>
      </c>
      <c r="B33" s="14" t="n">
        <f aca="false">SUM(G15:I15)</f>
        <v>8.74</v>
      </c>
      <c r="C33" s="14" t="n">
        <f aca="false">J15</f>
        <v>4.02</v>
      </c>
      <c r="D33" s="14" t="n">
        <f aca="false">K15</f>
        <v>12.76</v>
      </c>
      <c r="E33" s="14" t="n">
        <f aca="false">F15</f>
        <v>9.42</v>
      </c>
      <c r="F33" s="11" t="n">
        <f aca="false">D33/E33-1</f>
        <v>0.354564755838641</v>
      </c>
      <c r="G33" s="14" t="n">
        <f aca="false">C33*4</f>
        <v>16.08</v>
      </c>
    </row>
    <row r="35" customFormat="false" ht="17.15" hidden="false" customHeight="false" outlineLevel="0" collapsed="false">
      <c r="A35" s="0" t="s">
        <v>509</v>
      </c>
      <c r="B35" s="11" t="n">
        <f aca="false">a25_oi/a25_rev</f>
        <v>0.301818950930626</v>
      </c>
    </row>
    <row r="36" customFormat="false" ht="17.15" hidden="false" customHeight="false" outlineLevel="0" collapsed="false">
      <c r="A36" s="0" t="s">
        <v>510</v>
      </c>
      <c r="B36" s="11" t="n">
        <f aca="false">an_oi/an_rev</f>
        <v>0.330300113745735</v>
      </c>
    </row>
    <row r="37" customFormat="false" ht="17.15" hidden="false" customHeight="false" outlineLevel="0" collapsed="false">
      <c r="A37" s="5" t="s">
        <v>511</v>
      </c>
      <c r="B37" s="9" t="n">
        <f aca="false">cons_rev26</f>
        <v>34260</v>
      </c>
      <c r="C37" s="14" t="n">
        <f aca="false">cons_eps26</f>
        <v>12.79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0"/>
    <col collapsed="false" customWidth="true" hidden="false" outlineLevel="0" max="7" min="3" style="0" width="11"/>
    <col collapsed="false" customWidth="true" hidden="false" outlineLevel="0" max="8" min="8" style="0" width="60"/>
  </cols>
  <sheetData>
    <row r="1" customFormat="false" ht="17.15" hidden="false" customHeight="false" outlineLevel="0" collapsed="false">
      <c r="A1" s="0" t="s">
        <v>512</v>
      </c>
    </row>
    <row r="3" customFormat="false" ht="15" hidden="false" customHeight="false" outlineLevel="0" collapsed="false">
      <c r="A3" s="6" t="s">
        <v>19</v>
      </c>
      <c r="B3" s="6" t="s">
        <v>20</v>
      </c>
      <c r="C3" s="15" t="s">
        <v>513</v>
      </c>
      <c r="D3" s="15" t="s">
        <v>514</v>
      </c>
      <c r="E3" s="15" t="s">
        <v>515</v>
      </c>
      <c r="F3" s="15" t="s">
        <v>516</v>
      </c>
      <c r="G3" s="15" t="s">
        <v>517</v>
      </c>
      <c r="H3" s="6" t="s">
        <v>518</v>
      </c>
    </row>
    <row r="4" customFormat="false" ht="17.15" hidden="false" customHeight="false" outlineLevel="0" collapsed="false">
      <c r="A4" s="3" t="s">
        <v>519</v>
      </c>
    </row>
    <row r="5" customFormat="false" ht="15" hidden="false" customHeight="false" outlineLevel="0" collapsed="false">
      <c r="A5" s="5" t="s">
        <v>520</v>
      </c>
      <c r="B5" s="0" t="s">
        <v>30</v>
      </c>
      <c r="C5" s="22" t="n">
        <f aca="false">laA_25+loA_25+ofA_25</f>
        <v>78.3481206981793</v>
      </c>
      <c r="D5" s="22" t="n">
        <f aca="false">laA_26+loA_26+ofA_26</f>
        <v>99.7111533272534</v>
      </c>
      <c r="E5" s="22" t="n">
        <f aca="false">laA_27+loA_27+ofA_27</f>
        <v>116.288709321091</v>
      </c>
      <c r="F5" s="22" t="n">
        <f aca="false">laA_28+loA_28+ofA_28</f>
        <v>130.886404842261</v>
      </c>
      <c r="G5" s="22" t="n">
        <f aca="false">laA_29+loA_29+ofA_29</f>
        <v>139.398079992203</v>
      </c>
    </row>
    <row r="6" customFormat="false" ht="17.15" hidden="false" customHeight="false" outlineLevel="0" collapsed="false">
      <c r="A6" s="0" t="s">
        <v>521</v>
      </c>
      <c r="B6" s="0" t="s">
        <v>30</v>
      </c>
      <c r="C6" s="22" t="n">
        <f aca="false">drA_25</f>
        <v>26.3761091658243</v>
      </c>
      <c r="D6" s="22" t="n">
        <f aca="false">drA_26</f>
        <v>41.8742847275048</v>
      </c>
      <c r="E6" s="22" t="n">
        <f aca="false">drA_27</f>
        <v>53.2587328153375</v>
      </c>
      <c r="F6" s="22" t="n">
        <f aca="false">drA_28</f>
        <v>59.5608998372386</v>
      </c>
      <c r="G6" s="22" t="n">
        <f aca="false">drA_29</f>
        <v>61.8312930912183</v>
      </c>
    </row>
    <row r="7" customFormat="false" ht="15" hidden="false" customHeight="false" outlineLevel="0" collapsed="false">
      <c r="A7" s="0" t="s">
        <v>522</v>
      </c>
      <c r="B7" s="0" t="s">
        <v>30</v>
      </c>
      <c r="C7" s="22" t="n">
        <f aca="false">ndA_25</f>
        <v>12.1726019800256</v>
      </c>
      <c r="D7" s="22" t="n">
        <f aca="false">ndA_26</f>
        <v>18.4595763045422</v>
      </c>
      <c r="E7" s="22" t="n">
        <f aca="false">ndA_27</f>
        <v>23.2480272411321</v>
      </c>
      <c r="F7" s="22" t="n">
        <f aca="false">ndA_28</f>
        <v>26.181321629459</v>
      </c>
      <c r="G7" s="22" t="n">
        <f aca="false">ndA_29</f>
        <v>27.674312771805</v>
      </c>
    </row>
    <row r="8" customFormat="false" ht="15" hidden="false" customHeight="false" outlineLevel="0" collapsed="false">
      <c r="A8" s="5" t="s">
        <v>523</v>
      </c>
      <c r="B8" s="0" t="s">
        <v>30</v>
      </c>
      <c r="C8" s="22" t="n">
        <f aca="false">SUM(C5:C7)</f>
        <v>116.896831844029</v>
      </c>
      <c r="D8" s="22" t="n">
        <f aca="false">SUM(D5:D7)</f>
        <v>160.0450143593</v>
      </c>
      <c r="E8" s="22" t="n">
        <f aca="false">SUM(E5:E7)</f>
        <v>192.795469377561</v>
      </c>
      <c r="F8" s="22" t="n">
        <f aca="false">SUM(F5:F7)</f>
        <v>216.628626308958</v>
      </c>
      <c r="G8" s="22" t="n">
        <f aca="false">SUM(G5:G7)</f>
        <v>228.903685855226</v>
      </c>
    </row>
    <row r="9" customFormat="false" ht="17.15" hidden="false" customHeight="false" outlineLevel="0" collapsed="false">
      <c r="A9" s="3" t="s">
        <v>524</v>
      </c>
    </row>
    <row r="10" customFormat="false" ht="15" hidden="false" customHeight="false" outlineLevel="0" collapsed="false">
      <c r="A10" s="5" t="s">
        <v>525</v>
      </c>
      <c r="B10" s="0" t="s">
        <v>30</v>
      </c>
      <c r="D10" s="22" t="n">
        <f aca="false">fyw*C5+(1-fyw)*D5</f>
        <v>96.1506478890744</v>
      </c>
      <c r="E10" s="22" t="n">
        <f aca="false">fyw*D5+(1-fyw)*E5</f>
        <v>113.525783322118</v>
      </c>
      <c r="F10" s="22" t="n">
        <f aca="false">fyw*E5+(1-fyw)*F5</f>
        <v>128.453455588732</v>
      </c>
      <c r="G10" s="22" t="n">
        <f aca="false">fyw*F5+(1-fyw)*G5</f>
        <v>137.979467467212</v>
      </c>
    </row>
    <row r="11" customFormat="false" ht="17.15" hidden="false" customHeight="false" outlineLevel="0" collapsed="false">
      <c r="A11" s="0" t="s">
        <v>521</v>
      </c>
      <c r="B11" s="0" t="s">
        <v>30</v>
      </c>
      <c r="D11" s="22" t="n">
        <f aca="false">fyw*C6+(1-fyw)*D6</f>
        <v>39.2912554672247</v>
      </c>
      <c r="E11" s="22" t="n">
        <f aca="false">fyw*D6+(1-fyw)*E6</f>
        <v>51.3613248006987</v>
      </c>
      <c r="F11" s="22" t="n">
        <f aca="false">fyw*E6+(1-fyw)*F6</f>
        <v>58.5105386669218</v>
      </c>
      <c r="G11" s="22" t="n">
        <f aca="false">fyw*F6+(1-fyw)*G6</f>
        <v>61.452894215555</v>
      </c>
    </row>
    <row r="12" customFormat="false" ht="15" hidden="false" customHeight="false" outlineLevel="0" collapsed="false">
      <c r="A12" s="0" t="s">
        <v>522</v>
      </c>
      <c r="B12" s="0" t="s">
        <v>30</v>
      </c>
      <c r="D12" s="22" t="n">
        <f aca="false">fyw*C7+(1-fyw)*D7</f>
        <v>17.4117472504561</v>
      </c>
      <c r="E12" s="22" t="n">
        <f aca="false">fyw*D7+(1-fyw)*E7</f>
        <v>22.4499520850338</v>
      </c>
      <c r="F12" s="22" t="n">
        <f aca="false">fyw*E7+(1-fyw)*F7</f>
        <v>25.6924392314045</v>
      </c>
      <c r="G12" s="22" t="n">
        <f aca="false">fyw*F7+(1-fyw)*G7</f>
        <v>27.4254809147473</v>
      </c>
    </row>
    <row r="13" customFormat="false" ht="15" hidden="false" customHeight="false" outlineLevel="0" collapsed="false">
      <c r="A13" s="5" t="s">
        <v>523</v>
      </c>
      <c r="B13" s="0" t="s">
        <v>30</v>
      </c>
      <c r="D13" s="22" t="n">
        <f aca="false">fyw*C8+(1-fyw)*D8</f>
        <v>152.853650606755</v>
      </c>
      <c r="E13" s="22" t="n">
        <f aca="false">fyw*D8+(1-fyw)*E8</f>
        <v>187.337060207851</v>
      </c>
      <c r="F13" s="22" t="n">
        <f aca="false">fyw*E8+(1-fyw)*F8</f>
        <v>212.656433487059</v>
      </c>
      <c r="G13" s="22" t="n">
        <f aca="false">fyw*F8+(1-fyw)*G8</f>
        <v>226.857842597515</v>
      </c>
    </row>
    <row r="15" customFormat="false" ht="17.15" hidden="false" customHeight="false" outlineLevel="0" collapsed="false">
      <c r="A15" s="3" t="s">
        <v>526</v>
      </c>
    </row>
    <row r="16" customFormat="false" ht="15" hidden="false" customHeight="false" outlineLevel="0" collapsed="false">
      <c r="A16" s="5" t="s">
        <v>520</v>
      </c>
      <c r="B16" s="0" t="s">
        <v>30</v>
      </c>
      <c r="C16" s="22" t="n">
        <f aca="false">laB_25+loB_25+ofB_25</f>
        <v>78.3481206981793</v>
      </c>
      <c r="D16" s="22" t="n">
        <f aca="false">laB_26+loB_26+ofB_26</f>
        <v>99.7111533272534</v>
      </c>
      <c r="E16" s="22" t="n">
        <f aca="false">laB_27+loB_27+ofB_27</f>
        <v>116.288709321091</v>
      </c>
      <c r="F16" s="22" t="n">
        <f aca="false">laB_28+loB_28+ofB_28</f>
        <v>116.288709321091</v>
      </c>
      <c r="G16" s="22" t="n">
        <f aca="false">laB_29+loB_29+ofB_29</f>
        <v>110.474273855037</v>
      </c>
    </row>
    <row r="17" customFormat="false" ht="17.15" hidden="false" customHeight="false" outlineLevel="0" collapsed="false">
      <c r="A17" s="0" t="s">
        <v>521</v>
      </c>
      <c r="B17" s="0" t="s">
        <v>30</v>
      </c>
      <c r="C17" s="22" t="n">
        <f aca="false">drB_25</f>
        <v>26.3761091658243</v>
      </c>
      <c r="D17" s="22" t="n">
        <f aca="false">drB_26</f>
        <v>41.8742847275048</v>
      </c>
      <c r="E17" s="22" t="n">
        <f aca="false">drB_27</f>
        <v>53.2587328153375</v>
      </c>
      <c r="F17" s="22" t="n">
        <f aca="false">drB_28</f>
        <v>53.2587328153375</v>
      </c>
      <c r="G17" s="22" t="n">
        <f aca="false">drB_29</f>
        <v>50.5957961745707</v>
      </c>
    </row>
    <row r="18" customFormat="false" ht="15" hidden="false" customHeight="false" outlineLevel="0" collapsed="false">
      <c r="A18" s="0" t="s">
        <v>522</v>
      </c>
      <c r="B18" s="0" t="s">
        <v>30</v>
      </c>
      <c r="C18" s="22" t="n">
        <f aca="false">ndB_25</f>
        <v>12.1726019800256</v>
      </c>
      <c r="D18" s="22" t="n">
        <f aca="false">ndB_26</f>
        <v>18.4595763045422</v>
      </c>
      <c r="E18" s="22" t="n">
        <f aca="false">ndB_27</f>
        <v>23.2480272411321</v>
      </c>
      <c r="F18" s="22" t="n">
        <f aca="false">ndB_28</f>
        <v>23.2480272411321</v>
      </c>
      <c r="G18" s="22" t="n">
        <f aca="false">ndB_29</f>
        <v>22.0856258790755</v>
      </c>
    </row>
    <row r="19" customFormat="false" ht="15" hidden="false" customHeight="false" outlineLevel="0" collapsed="false">
      <c r="A19" s="5" t="s">
        <v>523</v>
      </c>
      <c r="B19" s="0" t="s">
        <v>30</v>
      </c>
      <c r="C19" s="22" t="n">
        <f aca="false">SUM(C16:C18)</f>
        <v>116.896831844029</v>
      </c>
      <c r="D19" s="22" t="n">
        <f aca="false">SUM(D16:D18)</f>
        <v>160.0450143593</v>
      </c>
      <c r="E19" s="22" t="n">
        <f aca="false">SUM(E16:E18)</f>
        <v>192.795469377561</v>
      </c>
      <c r="F19" s="22" t="n">
        <f aca="false">SUM(F16:F18)</f>
        <v>192.795469377561</v>
      </c>
      <c r="G19" s="22" t="n">
        <f aca="false">SUM(G16:G18)</f>
        <v>183.155695908683</v>
      </c>
    </row>
    <row r="20" customFormat="false" ht="17.15" hidden="false" customHeight="false" outlineLevel="0" collapsed="false">
      <c r="A20" s="3" t="s">
        <v>527</v>
      </c>
    </row>
    <row r="21" customFormat="false" ht="15" hidden="false" customHeight="false" outlineLevel="0" collapsed="false">
      <c r="A21" s="5" t="s">
        <v>525</v>
      </c>
      <c r="B21" s="0" t="s">
        <v>30</v>
      </c>
      <c r="D21" s="22" t="n">
        <f aca="false">fyw*C16+(1-fyw)*D16</f>
        <v>96.1506478890744</v>
      </c>
      <c r="E21" s="22" t="n">
        <f aca="false">fyw*D16+(1-fyw)*E16</f>
        <v>113.525783322118</v>
      </c>
      <c r="F21" s="22" t="n">
        <f aca="false">fyw*E16+(1-fyw)*F16</f>
        <v>116.288709321091</v>
      </c>
      <c r="G21" s="22" t="n">
        <f aca="false">fyw*F16+(1-fyw)*G16</f>
        <v>111.443346432712</v>
      </c>
    </row>
    <row r="22" customFormat="false" ht="17.15" hidden="false" customHeight="false" outlineLevel="0" collapsed="false">
      <c r="A22" s="0" t="s">
        <v>521</v>
      </c>
      <c r="B22" s="0" t="s">
        <v>30</v>
      </c>
      <c r="D22" s="22" t="n">
        <f aca="false">fyw*C17+(1-fyw)*D17</f>
        <v>39.2912554672247</v>
      </c>
      <c r="E22" s="22" t="n">
        <f aca="false">fyw*D17+(1-fyw)*E17</f>
        <v>51.3613248006987</v>
      </c>
      <c r="F22" s="22" t="n">
        <f aca="false">fyw*E17+(1-fyw)*F17</f>
        <v>53.2587328153375</v>
      </c>
      <c r="G22" s="22" t="n">
        <f aca="false">fyw*F17+(1-fyw)*G17</f>
        <v>51.0396189480318</v>
      </c>
    </row>
    <row r="23" customFormat="false" ht="15" hidden="false" customHeight="false" outlineLevel="0" collapsed="false">
      <c r="A23" s="0" t="s">
        <v>522</v>
      </c>
      <c r="B23" s="0" t="s">
        <v>30</v>
      </c>
      <c r="D23" s="22" t="n">
        <f aca="false">fyw*C18+(1-fyw)*D18</f>
        <v>17.4117472504561</v>
      </c>
      <c r="E23" s="22" t="n">
        <f aca="false">fyw*D18+(1-fyw)*E18</f>
        <v>22.4499520850338</v>
      </c>
      <c r="F23" s="22" t="n">
        <f aca="false">fyw*E18+(1-fyw)*F18</f>
        <v>23.2480272411321</v>
      </c>
      <c r="G23" s="22" t="n">
        <f aca="false">fyw*F18+(1-fyw)*G18</f>
        <v>22.2793594394183</v>
      </c>
    </row>
    <row r="24" customFormat="false" ht="15" hidden="false" customHeight="false" outlineLevel="0" collapsed="false">
      <c r="A24" s="5" t="s">
        <v>523</v>
      </c>
      <c r="B24" s="0" t="s">
        <v>30</v>
      </c>
      <c r="D24" s="22" t="n">
        <f aca="false">fyw*C19+(1-fyw)*D19</f>
        <v>152.853650606755</v>
      </c>
      <c r="E24" s="22" t="n">
        <f aca="false">fyw*D19+(1-fyw)*E19</f>
        <v>187.337060207851</v>
      </c>
      <c r="F24" s="22" t="n">
        <f aca="false">fyw*E19+(1-fyw)*F19</f>
        <v>192.795469377561</v>
      </c>
      <c r="G24" s="22" t="n">
        <f aca="false">fyw*F19+(1-fyw)*G19</f>
        <v>184.762324820162</v>
      </c>
    </row>
    <row r="26" customFormat="false" ht="17.15" hidden="false" customHeight="false" outlineLevel="0" collapsed="false">
      <c r="A26" s="3" t="s">
        <v>528</v>
      </c>
    </row>
    <row r="27" customFormat="false" ht="15" hidden="false" customHeight="false" outlineLevel="0" collapsed="false">
      <c r="A27" s="5" t="s">
        <v>520</v>
      </c>
      <c r="B27" s="0" t="s">
        <v>30</v>
      </c>
      <c r="C27" s="22" t="n">
        <f aca="false">laC_25+loC_25+ofC_25</f>
        <v>78.3481206981793</v>
      </c>
      <c r="D27" s="22" t="n">
        <f aca="false">laC_26+loC_26+ofC_26</f>
        <v>99.7111533272534</v>
      </c>
      <c r="E27" s="22" t="n">
        <f aca="false">laC_27+loC_27+ofC_27</f>
        <v>116.288709321091</v>
      </c>
      <c r="F27" s="22" t="n">
        <f aca="false">laC_28+loC_28+ofC_28</f>
        <v>93.030967456873</v>
      </c>
      <c r="G27" s="22" t="n">
        <f aca="false">laC_29+loC_29+ofC_29</f>
        <v>93.030967456873</v>
      </c>
    </row>
    <row r="28" customFormat="false" ht="17.15" hidden="false" customHeight="false" outlineLevel="0" collapsed="false">
      <c r="A28" s="0" t="s">
        <v>521</v>
      </c>
      <c r="B28" s="0" t="s">
        <v>30</v>
      </c>
      <c r="C28" s="22" t="n">
        <f aca="false">drC_25</f>
        <v>26.3761091658243</v>
      </c>
      <c r="D28" s="22" t="n">
        <f aca="false">drC_26</f>
        <v>41.8742847275048</v>
      </c>
      <c r="E28" s="22" t="n">
        <f aca="false">drC_27</f>
        <v>53.2587328153375</v>
      </c>
      <c r="F28" s="22" t="n">
        <f aca="false">drC_28</f>
        <v>42.60698625227</v>
      </c>
      <c r="G28" s="22" t="n">
        <f aca="false">drC_29</f>
        <v>42.60698625227</v>
      </c>
    </row>
    <row r="29" customFormat="false" ht="15" hidden="false" customHeight="false" outlineLevel="0" collapsed="false">
      <c r="A29" s="0" t="s">
        <v>522</v>
      </c>
      <c r="B29" s="0" t="s">
        <v>30</v>
      </c>
      <c r="C29" s="22" t="n">
        <f aca="false">ndC_25</f>
        <v>12.1726019800256</v>
      </c>
      <c r="D29" s="22" t="n">
        <f aca="false">ndC_26</f>
        <v>18.4595763045422</v>
      </c>
      <c r="E29" s="22" t="n">
        <f aca="false">ndC_27</f>
        <v>23.2480272411321</v>
      </c>
      <c r="F29" s="22" t="n">
        <f aca="false">ndC_28</f>
        <v>18.5984217929057</v>
      </c>
      <c r="G29" s="22" t="n">
        <f aca="false">ndC_29</f>
        <v>18.5984217929057</v>
      </c>
    </row>
    <row r="30" customFormat="false" ht="15" hidden="false" customHeight="false" outlineLevel="0" collapsed="false">
      <c r="A30" s="5" t="s">
        <v>523</v>
      </c>
      <c r="B30" s="0" t="s">
        <v>30</v>
      </c>
      <c r="C30" s="22" t="n">
        <f aca="false">SUM(C27:C29)</f>
        <v>116.896831844029</v>
      </c>
      <c r="D30" s="22" t="n">
        <f aca="false">SUM(D27:D29)</f>
        <v>160.0450143593</v>
      </c>
      <c r="E30" s="22" t="n">
        <f aca="false">SUM(E27:E29)</f>
        <v>192.795469377561</v>
      </c>
      <c r="F30" s="22" t="n">
        <f aca="false">SUM(F27:F29)</f>
        <v>154.236375502049</v>
      </c>
      <c r="G30" s="22" t="n">
        <f aca="false">SUM(G27:G29)</f>
        <v>154.236375502049</v>
      </c>
    </row>
    <row r="31" customFormat="false" ht="17.15" hidden="false" customHeight="false" outlineLevel="0" collapsed="false">
      <c r="A31" s="3" t="s">
        <v>529</v>
      </c>
    </row>
    <row r="32" customFormat="false" ht="15" hidden="false" customHeight="false" outlineLevel="0" collapsed="false">
      <c r="A32" s="5" t="s">
        <v>525</v>
      </c>
      <c r="B32" s="0" t="s">
        <v>30</v>
      </c>
      <c r="D32" s="22" t="n">
        <f aca="false">fyw*C27+(1-fyw)*D27</f>
        <v>96.1506478890744</v>
      </c>
      <c r="E32" s="22" t="n">
        <f aca="false">fyw*D27+(1-fyw)*E27</f>
        <v>113.525783322118</v>
      </c>
      <c r="F32" s="22" t="n">
        <f aca="false">fyw*E27+(1-fyw)*F27</f>
        <v>96.907257767576</v>
      </c>
      <c r="G32" s="22" t="n">
        <f aca="false">fyw*F27+(1-fyw)*G27</f>
        <v>93.030967456873</v>
      </c>
    </row>
    <row r="33" customFormat="false" ht="17.15" hidden="false" customHeight="false" outlineLevel="0" collapsed="false">
      <c r="A33" s="0" t="s">
        <v>521</v>
      </c>
      <c r="B33" s="0" t="s">
        <v>30</v>
      </c>
      <c r="D33" s="22" t="n">
        <f aca="false">fyw*C28+(1-fyw)*D28</f>
        <v>39.2912554672247</v>
      </c>
      <c r="E33" s="22" t="n">
        <f aca="false">fyw*D28+(1-fyw)*E28</f>
        <v>51.3613248006987</v>
      </c>
      <c r="F33" s="22" t="n">
        <f aca="false">fyw*E28+(1-fyw)*F28</f>
        <v>44.3822773461146</v>
      </c>
      <c r="G33" s="22" t="n">
        <f aca="false">fyw*F28+(1-fyw)*G28</f>
        <v>42.60698625227</v>
      </c>
    </row>
    <row r="34" customFormat="false" ht="15" hidden="false" customHeight="false" outlineLevel="0" collapsed="false">
      <c r="A34" s="0" t="s">
        <v>522</v>
      </c>
      <c r="B34" s="0" t="s">
        <v>30</v>
      </c>
      <c r="D34" s="22" t="n">
        <f aca="false">fyw*C29+(1-fyw)*D29</f>
        <v>17.4117472504561</v>
      </c>
      <c r="E34" s="22" t="n">
        <f aca="false">fyw*D29+(1-fyw)*E29</f>
        <v>22.4499520850338</v>
      </c>
      <c r="F34" s="22" t="n">
        <f aca="false">fyw*E29+(1-fyw)*F29</f>
        <v>19.3733560342768</v>
      </c>
      <c r="G34" s="22" t="n">
        <f aca="false">fyw*F29+(1-fyw)*G29</f>
        <v>18.5984217929057</v>
      </c>
    </row>
    <row r="35" customFormat="false" ht="15" hidden="false" customHeight="false" outlineLevel="0" collapsed="false">
      <c r="A35" s="5" t="s">
        <v>523</v>
      </c>
      <c r="B35" s="0" t="s">
        <v>30</v>
      </c>
      <c r="D35" s="22" t="n">
        <f aca="false">fyw*C30+(1-fyw)*D30</f>
        <v>152.853650606755</v>
      </c>
      <c r="E35" s="22" t="n">
        <f aca="false">fyw*D30+(1-fyw)*E30</f>
        <v>187.337060207851</v>
      </c>
      <c r="F35" s="22" t="n">
        <f aca="false">fyw*E30+(1-fyw)*F30</f>
        <v>160.662891147967</v>
      </c>
      <c r="G35" s="22" t="n">
        <f aca="false">fyw*F30+(1-fyw)*G30</f>
        <v>154.236375502049</v>
      </c>
    </row>
    <row r="37" customFormat="false" ht="17.15" hidden="false" customHeight="false" outlineLevel="0" collapsed="false">
      <c r="A37" s="1" t="s">
        <v>530</v>
      </c>
    </row>
    <row r="38" customFormat="false" ht="17.15" hidden="false" customHeight="false" outlineLevel="0" collapsed="false">
      <c r="A38" s="5" t="s">
        <v>531</v>
      </c>
      <c r="B38" s="0" t="s">
        <v>199</v>
      </c>
      <c r="D38" s="11" t="n">
        <f aca="false">PL!D68</f>
        <v>0.170398285527431</v>
      </c>
      <c r="E38" s="11" t="n">
        <f aca="false">PL!E68</f>
        <v>0.170159646735473</v>
      </c>
      <c r="F38" s="11" t="n">
        <f aca="false">PL!F68</f>
        <v>0.170084890448361</v>
      </c>
      <c r="G38" s="11" t="n">
        <f aca="false">PL!G68</f>
        <v>0.169996548109528</v>
      </c>
      <c r="H38" s="8" t="s">
        <v>532</v>
      </c>
    </row>
    <row r="40" customFormat="false" ht="17.15" hidden="false" customHeight="false" outlineLevel="0" collapsed="false">
      <c r="A40" s="5" t="s">
        <v>533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60"/>
    <col collapsed="false" customWidth="true" hidden="false" outlineLevel="0" max="10" min="9" style="0" width="14"/>
    <col collapsed="false" customWidth="true" hidden="false" outlineLevel="0" max="11" min="11" style="0" width="40"/>
  </cols>
  <sheetData>
    <row r="1" customFormat="false" ht="17.15" hidden="false" customHeight="false" outlineLevel="0" collapsed="false">
      <c r="A1" s="0" t="s">
        <v>534</v>
      </c>
    </row>
    <row r="3" customFormat="false" ht="17.15" hidden="false" customHeight="false" outlineLevel="0" collapsed="false">
      <c r="A3" s="6" t="s">
        <v>535</v>
      </c>
      <c r="B3" s="6" t="s">
        <v>20</v>
      </c>
      <c r="C3" s="15" t="s">
        <v>536</v>
      </c>
      <c r="D3" s="15" t="s">
        <v>537</v>
      </c>
      <c r="E3" s="15" t="s">
        <v>538</v>
      </c>
      <c r="F3" s="15" t="s">
        <v>539</v>
      </c>
      <c r="G3" s="15" t="s">
        <v>540</v>
      </c>
      <c r="H3" s="6" t="s">
        <v>518</v>
      </c>
    </row>
    <row r="4" customFormat="false" ht="17.15" hidden="false" customHeight="false" outlineLevel="0" collapsed="false">
      <c r="A4" s="3" t="s">
        <v>541</v>
      </c>
    </row>
    <row r="5" customFormat="false" ht="15" hidden="false" customHeight="false" outlineLevel="0" collapsed="false">
      <c r="A5" s="5" t="s">
        <v>454</v>
      </c>
      <c r="B5" s="0" t="s">
        <v>252</v>
      </c>
      <c r="C5" s="9" t="n">
        <f aca="false">C58</f>
        <v>28368</v>
      </c>
      <c r="D5" s="9" t="n">
        <f aca="false">D58</f>
        <v>34287</v>
      </c>
      <c r="E5" s="9" t="n">
        <f aca="false">E58</f>
        <v>41144.9579854298</v>
      </c>
      <c r="F5" s="9" t="n">
        <f aca="false">F58</f>
        <v>46618.1586927855</v>
      </c>
      <c r="G5" s="9" t="n">
        <f aca="false">G58</f>
        <v>50371.4395281522</v>
      </c>
    </row>
    <row r="6" customFormat="false" ht="15" hidden="false" customHeight="false" outlineLevel="0" collapsed="false">
      <c r="A6" s="5" t="s">
        <v>542</v>
      </c>
      <c r="B6" s="0" t="s">
        <v>252</v>
      </c>
      <c r="C6" s="9" t="n">
        <f aca="false">C55</f>
        <v>21438.5432098765</v>
      </c>
      <c r="D6" s="9" t="n">
        <f aca="false">D55</f>
        <v>26046</v>
      </c>
      <c r="E6" s="9" t="n">
        <f aca="false">E55</f>
        <v>31877.2079854298</v>
      </c>
      <c r="F6" s="9" t="n">
        <f aca="false">F55</f>
        <v>36169.6461927855</v>
      </c>
      <c r="G6" s="9" t="n">
        <f aca="false">G55</f>
        <v>38565.0501531522</v>
      </c>
    </row>
    <row r="7" customFormat="false" ht="17.15" hidden="false" customHeight="false" outlineLevel="0" collapsed="false">
      <c r="A7" s="0" t="s">
        <v>543</v>
      </c>
      <c r="B7" s="0" t="s">
        <v>252</v>
      </c>
      <c r="C7" s="9" t="n">
        <f aca="false">C56</f>
        <v>5744.19672131148</v>
      </c>
      <c r="D7" s="9" t="n">
        <f aca="false">D56</f>
        <v>6845</v>
      </c>
      <c r="E7" s="9" t="n">
        <f aca="false">E56</f>
        <v>7871.75</v>
      </c>
      <c r="F7" s="9" t="n">
        <f aca="false">F56</f>
        <v>9052.5125</v>
      </c>
      <c r="G7" s="9" t="n">
        <f aca="false">G56</f>
        <v>10410.389375</v>
      </c>
    </row>
    <row r="8" customFormat="false" ht="17.15" hidden="false" customHeight="false" outlineLevel="0" collapsed="false">
      <c r="A8" s="0" t="s">
        <v>460</v>
      </c>
      <c r="B8" s="0" t="s">
        <v>199</v>
      </c>
      <c r="C8" s="11" t="n">
        <f aca="false">C60</f>
        <v>0.487833192329385</v>
      </c>
      <c r="D8" s="11" t="n">
        <f aca="false">D60</f>
        <v>0.500418584303089</v>
      </c>
      <c r="E8" s="11" t="n">
        <f aca="false">E60</f>
        <v>0.510472270404997</v>
      </c>
      <c r="F8" s="11" t="n">
        <f aca="false">F60</f>
        <v>0.516373550758896</v>
      </c>
      <c r="G8" s="11" t="n">
        <f aca="false">G60</f>
        <v>0.519679134737399</v>
      </c>
    </row>
    <row r="9" customFormat="false" ht="17.15" hidden="false" customHeight="false" outlineLevel="0" collapsed="false">
      <c r="A9" s="0" t="s">
        <v>465</v>
      </c>
      <c r="B9" s="0" t="s">
        <v>252</v>
      </c>
      <c r="C9" s="9" t="n">
        <f aca="false">C63</f>
        <v>8562</v>
      </c>
      <c r="D9" s="9" t="n">
        <f aca="false">D63</f>
        <v>11325</v>
      </c>
      <c r="E9" s="9" t="n">
        <f aca="false">E63</f>
        <v>14526.3073008519</v>
      </c>
      <c r="F9" s="9" t="n">
        <f aca="false">F63</f>
        <v>17081.2073776257</v>
      </c>
      <c r="G9" s="9" t="n">
        <f aca="false">G63</f>
        <v>18833.2457199332</v>
      </c>
    </row>
    <row r="10" customFormat="false" ht="17.15" hidden="false" customHeight="false" outlineLevel="0" collapsed="false">
      <c r="A10" s="0" t="s">
        <v>544</v>
      </c>
      <c r="B10" s="0" t="s">
        <v>199</v>
      </c>
      <c r="C10" s="11" t="n">
        <f aca="false">C64</f>
        <v>0.301818950930626</v>
      </c>
      <c r="D10" s="11" t="n">
        <f aca="false">D64</f>
        <v>0.330300113745735</v>
      </c>
      <c r="E10" s="11" t="n">
        <f aca="false">E64</f>
        <v>0.353051941528193</v>
      </c>
      <c r="F10" s="11" t="n">
        <f aca="false">F64</f>
        <v>0.366406736271828</v>
      </c>
      <c r="G10" s="11" t="n">
        <f aca="false">G64</f>
        <v>0.373887383333713</v>
      </c>
    </row>
    <row r="11" customFormat="false" ht="17.15" hidden="false" customHeight="false" outlineLevel="0" collapsed="false">
      <c r="A11" s="0" t="s">
        <v>470</v>
      </c>
      <c r="B11" s="0" t="s">
        <v>252</v>
      </c>
      <c r="C11" s="9" t="n">
        <f aca="false">C65</f>
        <v>7607</v>
      </c>
      <c r="D11" s="9" t="n">
        <f aca="false">D65</f>
        <v>10179.92</v>
      </c>
      <c r="E11" s="9" t="n">
        <f aca="false">E65</f>
        <v>12906.0522818945</v>
      </c>
      <c r="F11" s="9" t="n">
        <f aca="false">F65</f>
        <v>15175.9804393364</v>
      </c>
      <c r="G11" s="9" t="n">
        <f aca="false">G65</f>
        <v>16732.597546313</v>
      </c>
    </row>
    <row r="12" customFormat="false" ht="15" hidden="false" customHeight="false" outlineLevel="0" collapsed="false">
      <c r="A12" s="0" t="s">
        <v>508</v>
      </c>
      <c r="B12" s="0" t="s">
        <v>341</v>
      </c>
      <c r="C12" s="14" t="n">
        <f aca="false">C67</f>
        <v>9.42</v>
      </c>
      <c r="D12" s="14" t="n">
        <f aca="false">D67</f>
        <v>12.76</v>
      </c>
      <c r="E12" s="14" t="n">
        <f aca="false">E67</f>
        <v>16.340469655511</v>
      </c>
      <c r="F12" s="14" t="n">
        <f aca="false">F67</f>
        <v>19.4085315649876</v>
      </c>
      <c r="G12" s="14" t="n">
        <f aca="false">G67</f>
        <v>21.6154405298429</v>
      </c>
    </row>
    <row r="14" customFormat="false" ht="17.15" hidden="false" customHeight="false" outlineLevel="0" collapsed="false">
      <c r="A14" s="3" t="s">
        <v>545</v>
      </c>
    </row>
    <row r="15" customFormat="false" ht="15" hidden="false" customHeight="false" outlineLevel="0" collapsed="false">
      <c r="A15" s="5" t="s">
        <v>454</v>
      </c>
      <c r="B15" s="0" t="s">
        <v>252</v>
      </c>
      <c r="C15" s="9" t="n">
        <f aca="false">C89</f>
        <v>28368</v>
      </c>
      <c r="D15" s="9" t="n">
        <f aca="false">D89</f>
        <v>34287</v>
      </c>
      <c r="E15" s="9" t="n">
        <f aca="false">E89</f>
        <v>40801.3579854298</v>
      </c>
      <c r="F15" s="9" t="n">
        <f aca="false">F89</f>
        <v>42493.5437640909</v>
      </c>
      <c r="G15" s="9" t="n">
        <f aca="false">G89</f>
        <v>41991.5952397538</v>
      </c>
    </row>
    <row r="16" customFormat="false" ht="15" hidden="false" customHeight="false" outlineLevel="0" collapsed="false">
      <c r="A16" s="5" t="s">
        <v>542</v>
      </c>
      <c r="B16" s="0" t="s">
        <v>252</v>
      </c>
      <c r="C16" s="9" t="n">
        <f aca="false">C86</f>
        <v>21438.5432098765</v>
      </c>
      <c r="D16" s="9" t="n">
        <f aca="false">D86</f>
        <v>26046</v>
      </c>
      <c r="E16" s="9" t="n">
        <f aca="false">E86</f>
        <v>31877.2079854298</v>
      </c>
      <c r="F16" s="9" t="n">
        <f aca="false">F86</f>
        <v>32799.9292640909</v>
      </c>
      <c r="G16" s="9" t="n">
        <f aca="false">G86</f>
        <v>31433.2655447538</v>
      </c>
    </row>
    <row r="17" customFormat="false" ht="17.15" hidden="false" customHeight="false" outlineLevel="0" collapsed="false">
      <c r="A17" s="0" t="s">
        <v>543</v>
      </c>
      <c r="B17" s="0" t="s">
        <v>252</v>
      </c>
      <c r="C17" s="9" t="n">
        <f aca="false">C87</f>
        <v>5744.19672131148</v>
      </c>
      <c r="D17" s="9" t="n">
        <f aca="false">D87</f>
        <v>6845</v>
      </c>
      <c r="E17" s="9" t="n">
        <f aca="false">E87</f>
        <v>7597.95</v>
      </c>
      <c r="F17" s="9" t="n">
        <f aca="false">F87</f>
        <v>8433.7245</v>
      </c>
      <c r="G17" s="9" t="n">
        <f aca="false">G87</f>
        <v>9361.434195</v>
      </c>
    </row>
    <row r="18" customFormat="false" ht="17.15" hidden="false" customHeight="false" outlineLevel="0" collapsed="false">
      <c r="A18" s="0" t="s">
        <v>460</v>
      </c>
      <c r="B18" s="0" t="s">
        <v>199</v>
      </c>
      <c r="C18" s="11" t="n">
        <f aca="false">C91</f>
        <v>0.487833192329385</v>
      </c>
      <c r="D18" s="11" t="n">
        <f aca="false">D91</f>
        <v>0.500418584303089</v>
      </c>
      <c r="E18" s="11" t="n">
        <f aca="false">E91</f>
        <v>0.510048979900669</v>
      </c>
      <c r="F18" s="11" t="n">
        <f aca="false">F91</f>
        <v>0.512067472141066</v>
      </c>
      <c r="G18" s="11" t="n">
        <f aca="false">G91</f>
        <v>0.511485703283552</v>
      </c>
    </row>
    <row r="19" customFormat="false" ht="17.15" hidden="false" customHeight="false" outlineLevel="0" collapsed="false">
      <c r="A19" s="0" t="s">
        <v>465</v>
      </c>
      <c r="B19" s="0" t="s">
        <v>252</v>
      </c>
      <c r="C19" s="9" t="n">
        <f aca="false">C94</f>
        <v>8562</v>
      </c>
      <c r="D19" s="9" t="n">
        <f aca="false">D94</f>
        <v>11325</v>
      </c>
      <c r="E19" s="9" t="n">
        <f aca="false">E94</f>
        <v>14365.9141939082</v>
      </c>
      <c r="F19" s="9" t="n">
        <f aca="false">F94</f>
        <v>15155.8296030044</v>
      </c>
      <c r="G19" s="9" t="n">
        <f aca="false">G94</f>
        <v>14921.5191159722</v>
      </c>
    </row>
    <row r="20" customFormat="false" ht="17.15" hidden="false" customHeight="false" outlineLevel="0" collapsed="false">
      <c r="A20" s="0" t="s">
        <v>544</v>
      </c>
      <c r="B20" s="0" t="s">
        <v>199</v>
      </c>
      <c r="C20" s="11" t="n">
        <f aca="false">C95</f>
        <v>0.301818950930626</v>
      </c>
      <c r="D20" s="11" t="n">
        <f aca="false">D95</f>
        <v>0.330300113745735</v>
      </c>
      <c r="E20" s="11" t="n">
        <f aca="false">E95</f>
        <v>0.352094020964652</v>
      </c>
      <c r="F20" s="11" t="n">
        <f aca="false">F95</f>
        <v>0.356661936390719</v>
      </c>
      <c r="G20" s="11" t="n">
        <f aca="false">G95</f>
        <v>0.355345374015368</v>
      </c>
    </row>
    <row r="21" customFormat="false" ht="17.15" hidden="false" customHeight="false" outlineLevel="0" collapsed="false">
      <c r="A21" s="0" t="s">
        <v>470</v>
      </c>
      <c r="B21" s="0" t="s">
        <v>252</v>
      </c>
      <c r="C21" s="9" t="n">
        <f aca="false">C96</f>
        <v>7607</v>
      </c>
      <c r="D21" s="9" t="n">
        <f aca="false">D96</f>
        <v>10179.92</v>
      </c>
      <c r="E21" s="9" t="n">
        <f aca="false">E96</f>
        <v>12763.5493194417</v>
      </c>
      <c r="F21" s="9" t="n">
        <f aca="false">F96</f>
        <v>13465.3580693827</v>
      </c>
      <c r="G21" s="9" t="n">
        <f aca="false">G96</f>
        <v>13257.1824241066</v>
      </c>
    </row>
    <row r="22" customFormat="false" ht="15" hidden="false" customHeight="false" outlineLevel="0" collapsed="false">
      <c r="A22" s="0" t="s">
        <v>508</v>
      </c>
      <c r="B22" s="0" t="s">
        <v>341</v>
      </c>
      <c r="C22" s="14" t="n">
        <f aca="false">C98</f>
        <v>9.42</v>
      </c>
      <c r="D22" s="14" t="n">
        <f aca="false">D98</f>
        <v>12.76</v>
      </c>
      <c r="E22" s="14" t="n">
        <f aca="false">E98</f>
        <v>16.1600453644171</v>
      </c>
      <c r="F22" s="14" t="n">
        <f aca="false">F98</f>
        <v>17.2208199772101</v>
      </c>
      <c r="G22" s="14" t="n">
        <f aca="false">G98</f>
        <v>17.1258429833387</v>
      </c>
    </row>
    <row r="24" customFormat="false" ht="17.15" hidden="false" customHeight="false" outlineLevel="0" collapsed="false">
      <c r="A24" s="3" t="s">
        <v>546</v>
      </c>
    </row>
    <row r="25" customFormat="false" ht="15" hidden="false" customHeight="false" outlineLevel="0" collapsed="false">
      <c r="A25" s="5" t="s">
        <v>454</v>
      </c>
      <c r="B25" s="0" t="s">
        <v>252</v>
      </c>
      <c r="C25" s="9" t="n">
        <f aca="false">C120</f>
        <v>28368</v>
      </c>
      <c r="D25" s="9" t="n">
        <f aca="false">D120</f>
        <v>34287</v>
      </c>
      <c r="E25" s="9" t="n">
        <f aca="false">E120</f>
        <v>39857.7579854298</v>
      </c>
      <c r="F25" s="9" t="n">
        <f aca="false">F120</f>
        <v>35700.8748867424</v>
      </c>
      <c r="G25" s="9" t="n">
        <f aca="false">G120</f>
        <v>35043.0467462727</v>
      </c>
    </row>
    <row r="26" customFormat="false" ht="15" hidden="false" customHeight="false" outlineLevel="0" collapsed="false">
      <c r="A26" s="5" t="s">
        <v>542</v>
      </c>
      <c r="B26" s="0" t="s">
        <v>252</v>
      </c>
      <c r="C26" s="9" t="n">
        <f aca="false">C117</f>
        <v>21438.5432098765</v>
      </c>
      <c r="D26" s="9" t="n">
        <f aca="false">D117</f>
        <v>26046</v>
      </c>
      <c r="E26" s="9" t="n">
        <f aca="false">E117</f>
        <v>31389.3084387262</v>
      </c>
      <c r="F26" s="9" t="n">
        <f aca="false">F117</f>
        <v>26866.9704043739</v>
      </c>
      <c r="G26" s="9" t="n">
        <f aca="false">G117</f>
        <v>25785.2487944356</v>
      </c>
    </row>
    <row r="27" customFormat="false" ht="17.15" hidden="false" customHeight="false" outlineLevel="0" collapsed="false">
      <c r="A27" s="0" t="s">
        <v>543</v>
      </c>
      <c r="B27" s="0" t="s">
        <v>252</v>
      </c>
      <c r="C27" s="9" t="n">
        <f aca="false">C118</f>
        <v>5744.19672131148</v>
      </c>
      <c r="D27" s="9" t="n">
        <f aca="false">D118</f>
        <v>6845</v>
      </c>
      <c r="E27" s="9" t="n">
        <f aca="false">E118</f>
        <v>7212.04954670363</v>
      </c>
      <c r="F27" s="9" t="n">
        <f aca="false">F118</f>
        <v>7703.1444823685</v>
      </c>
      <c r="G27" s="9" t="n">
        <f aca="false">G118</f>
        <v>8240.11395183715</v>
      </c>
    </row>
    <row r="28" customFormat="false" ht="17.15" hidden="false" customHeight="false" outlineLevel="0" collapsed="false">
      <c r="A28" s="0" t="s">
        <v>460</v>
      </c>
      <c r="B28" s="0" t="s">
        <v>199</v>
      </c>
      <c r="C28" s="11" t="n">
        <f aca="false">C122</f>
        <v>0.487833192329385</v>
      </c>
      <c r="D28" s="11" t="n">
        <f aca="false">D122</f>
        <v>0.500418584303089</v>
      </c>
      <c r="E28" s="11" t="n">
        <f aca="false">E122</f>
        <v>0.508848991465754</v>
      </c>
      <c r="F28" s="11" t="n">
        <f aca="false">F122</f>
        <v>0.502807381309145</v>
      </c>
      <c r="G28" s="11" t="n">
        <f aca="false">G122</f>
        <v>0.50171993370033</v>
      </c>
    </row>
    <row r="29" customFormat="false" ht="17.15" hidden="false" customHeight="false" outlineLevel="0" collapsed="false">
      <c r="A29" s="0" t="s">
        <v>465</v>
      </c>
      <c r="B29" s="0" t="s">
        <v>252</v>
      </c>
      <c r="C29" s="9" t="n">
        <f aca="false">C125</f>
        <v>8562</v>
      </c>
      <c r="D29" s="9" t="n">
        <f aca="false">D125</f>
        <v>11325</v>
      </c>
      <c r="E29" s="9" t="n">
        <f aca="false">E125</f>
        <v>13925.4399921849</v>
      </c>
      <c r="F29" s="9" t="n">
        <f aca="false">F125</f>
        <v>11984.9993769335</v>
      </c>
      <c r="G29" s="9" t="n">
        <f aca="false">G125</f>
        <v>11677.9240006676</v>
      </c>
    </row>
    <row r="30" customFormat="false" ht="17.15" hidden="false" customHeight="false" outlineLevel="0" collapsed="false">
      <c r="A30" s="0" t="s">
        <v>544</v>
      </c>
      <c r="B30" s="0" t="s">
        <v>199</v>
      </c>
      <c r="C30" s="11" t="n">
        <f aca="false">C126</f>
        <v>0.301818950930626</v>
      </c>
      <c r="D30" s="11" t="n">
        <f aca="false">D126</f>
        <v>0.330300113745735</v>
      </c>
      <c r="E30" s="11" t="n">
        <f aca="false">E126</f>
        <v>0.349378407016156</v>
      </c>
      <c r="F30" s="11" t="n">
        <f aca="false">F126</f>
        <v>0.335706041237217</v>
      </c>
      <c r="G30" s="11" t="n">
        <f aca="false">G126</f>
        <v>0.333245110940866</v>
      </c>
    </row>
    <row r="31" customFormat="false" ht="17.15" hidden="false" customHeight="false" outlineLevel="0" collapsed="false">
      <c r="A31" s="0" t="s">
        <v>470</v>
      </c>
      <c r="B31" s="0" t="s">
        <v>252</v>
      </c>
      <c r="C31" s="9" t="n">
        <f aca="false">C127</f>
        <v>7607</v>
      </c>
      <c r="D31" s="9" t="n">
        <f aca="false">D127</f>
        <v>10179.92</v>
      </c>
      <c r="E31" s="9" t="n">
        <f aca="false">E127</f>
        <v>12372.2053282587</v>
      </c>
      <c r="F31" s="9" t="n">
        <f aca="false">F127</f>
        <v>10648.2002172779</v>
      </c>
      <c r="G31" s="9" t="n">
        <f aca="false">G127</f>
        <v>10375.375831941</v>
      </c>
    </row>
    <row r="32" customFormat="false" ht="15" hidden="false" customHeight="false" outlineLevel="0" collapsed="false">
      <c r="A32" s="0" t="s">
        <v>508</v>
      </c>
      <c r="B32" s="0" t="s">
        <v>341</v>
      </c>
      <c r="C32" s="14" t="n">
        <f aca="false">C129</f>
        <v>9.42</v>
      </c>
      <c r="D32" s="14" t="n">
        <f aca="false">D129</f>
        <v>12.76</v>
      </c>
      <c r="E32" s="14" t="n">
        <f aca="false">E129</f>
        <v>15.6645611936484</v>
      </c>
      <c r="F32" s="14" t="n">
        <f aca="false">F129</f>
        <v>13.6179623355117</v>
      </c>
      <c r="G32" s="14" t="n">
        <f aca="false">G129</f>
        <v>13.4030785506764</v>
      </c>
    </row>
    <row r="34" customFormat="false" ht="17.15" hidden="false" customHeight="false" outlineLevel="0" collapsed="false">
      <c r="A34" s="3" t="s">
        <v>547</v>
      </c>
    </row>
    <row r="40" customFormat="false" ht="17.15" hidden="false" customHeight="false" outlineLevel="0" collapsed="false">
      <c r="A40" s="3" t="s">
        <v>548</v>
      </c>
    </row>
    <row r="41" customFormat="false" ht="15" hidden="false" customHeight="false" outlineLevel="0" collapsed="false">
      <c r="A41" s="6" t="s">
        <v>19</v>
      </c>
      <c r="B41" s="6" t="s">
        <v>20</v>
      </c>
      <c r="C41" s="15" t="s">
        <v>513</v>
      </c>
      <c r="D41" s="15" t="s">
        <v>514</v>
      </c>
      <c r="E41" s="15" t="s">
        <v>515</v>
      </c>
      <c r="F41" s="15" t="s">
        <v>516</v>
      </c>
      <c r="G41" s="15" t="s">
        <v>517</v>
      </c>
      <c r="H41" s="6" t="s">
        <v>518</v>
      </c>
    </row>
    <row r="42" customFormat="false" ht="17.15" hidden="false" customHeight="false" outlineLevel="0" collapsed="false">
      <c r="A42" s="1" t="s">
        <v>549</v>
      </c>
    </row>
    <row r="43" customFormat="false" ht="17.15" hidden="false" customHeight="false" outlineLevel="0" collapsed="false">
      <c r="A43" s="5" t="s">
        <v>550</v>
      </c>
      <c r="B43" s="0" t="s">
        <v>30</v>
      </c>
      <c r="C43" s="22" t="n">
        <f aca="false">laA_25+loA_25+ofA_25</f>
        <v>78.3481206981793</v>
      </c>
      <c r="D43" s="22" t="n">
        <f aca="false">laA_26+loA_26+ofA_26</f>
        <v>99.7111533272534</v>
      </c>
      <c r="E43" s="22" t="n">
        <f aca="false">laA_27+loA_27+ofA_27</f>
        <v>116.288709321091</v>
      </c>
      <c r="F43" s="22" t="n">
        <f aca="false">laA_28+loA_28+ofA_28</f>
        <v>130.886404842261</v>
      </c>
      <c r="G43" s="22" t="n">
        <f aca="false">laA_29+loA_29+ofA_29</f>
        <v>139.398079992203</v>
      </c>
    </row>
    <row r="44" customFormat="false" ht="17.15" hidden="false" customHeight="false" outlineLevel="0" collapsed="false">
      <c r="A44" s="0" t="s">
        <v>551</v>
      </c>
      <c r="B44" s="0" t="s">
        <v>30</v>
      </c>
      <c r="C44" s="22" t="n">
        <f aca="false">drA_25</f>
        <v>26.3761091658243</v>
      </c>
      <c r="D44" s="22" t="n">
        <f aca="false">drA_26</f>
        <v>41.8742847275048</v>
      </c>
      <c r="E44" s="22" t="n">
        <f aca="false">drA_27</f>
        <v>53.2587328153375</v>
      </c>
      <c r="F44" s="22" t="n">
        <f aca="false">drA_28</f>
        <v>59.5608998372386</v>
      </c>
      <c r="G44" s="22" t="n">
        <f aca="false">drA_29</f>
        <v>61.8312930912183</v>
      </c>
    </row>
    <row r="45" customFormat="false" ht="15" hidden="false" customHeight="false" outlineLevel="0" collapsed="false">
      <c r="A45" s="0" t="s">
        <v>552</v>
      </c>
      <c r="B45" s="0" t="s">
        <v>30</v>
      </c>
      <c r="C45" s="22" t="n">
        <f aca="false">ndA_25</f>
        <v>12.1726019800256</v>
      </c>
      <c r="D45" s="22" t="n">
        <f aca="false">ndA_26</f>
        <v>18.4595763045422</v>
      </c>
      <c r="E45" s="22" t="n">
        <f aca="false">ndA_27</f>
        <v>23.2480272411321</v>
      </c>
      <c r="F45" s="22" t="n">
        <f aca="false">ndA_28</f>
        <v>26.181321629459</v>
      </c>
      <c r="G45" s="22" t="n">
        <f aca="false">ndA_29</f>
        <v>27.674312771805</v>
      </c>
    </row>
    <row r="46" customFormat="false" ht="17.15" hidden="false" customHeight="false" outlineLevel="0" collapsed="false">
      <c r="A46" s="1" t="s">
        <v>553</v>
      </c>
    </row>
    <row r="47" customFormat="false" ht="17.15" hidden="false" customHeight="false" outlineLevel="0" collapsed="false">
      <c r="A47" s="5" t="s">
        <v>554</v>
      </c>
      <c r="B47" s="0" t="s">
        <v>30</v>
      </c>
      <c r="D47" s="22" t="n">
        <f aca="false">fyw*C43+(1-fyw)*D43</f>
        <v>96.1506478890744</v>
      </c>
      <c r="E47" s="22" t="n">
        <f aca="false">fyw*D43+(1-fyw)*E43</f>
        <v>113.525783322118</v>
      </c>
      <c r="F47" s="22" t="n">
        <f aca="false">fyw*E43+(1-fyw)*F43</f>
        <v>128.453455588732</v>
      </c>
      <c r="G47" s="22" t="n">
        <f aca="false">fyw*F43+(1-fyw)*G43</f>
        <v>137.979467467212</v>
      </c>
    </row>
    <row r="48" customFormat="false" ht="17.15" hidden="false" customHeight="false" outlineLevel="0" collapsed="false">
      <c r="A48" s="0" t="s">
        <v>555</v>
      </c>
      <c r="B48" s="0" t="s">
        <v>30</v>
      </c>
      <c r="D48" s="22" t="n">
        <f aca="false">fyw*C44+(1-fyw)*D44</f>
        <v>39.2912554672247</v>
      </c>
      <c r="E48" s="22" t="n">
        <f aca="false">fyw*D44+(1-fyw)*E44</f>
        <v>51.3613248006987</v>
      </c>
      <c r="F48" s="22" t="n">
        <f aca="false">fyw*E44+(1-fyw)*F44</f>
        <v>58.5105386669218</v>
      </c>
      <c r="G48" s="22" t="n">
        <f aca="false">fyw*F44+(1-fyw)*G44</f>
        <v>61.452894215555</v>
      </c>
    </row>
    <row r="49" customFormat="false" ht="15" hidden="false" customHeight="false" outlineLevel="0" collapsed="false">
      <c r="A49" s="0" t="s">
        <v>556</v>
      </c>
      <c r="B49" s="0" t="s">
        <v>30</v>
      </c>
      <c r="D49" s="22" t="n">
        <f aca="false">fyw*C45+(1-fyw)*D45</f>
        <v>17.4117472504561</v>
      </c>
      <c r="E49" s="22" t="n">
        <f aca="false">fyw*D45+(1-fyw)*E45</f>
        <v>22.4499520850338</v>
      </c>
      <c r="F49" s="22" t="n">
        <f aca="false">fyw*E45+(1-fyw)*F45</f>
        <v>25.6924392314045</v>
      </c>
      <c r="G49" s="22" t="n">
        <f aca="false">fyw*F45+(1-fyw)*G45</f>
        <v>27.4254809147473</v>
      </c>
    </row>
    <row r="50" customFormat="false" ht="17.15" hidden="false" customHeight="false" outlineLevel="0" collapsed="false">
      <c r="A50" s="5" t="s">
        <v>557</v>
      </c>
      <c r="B50" s="0" t="s">
        <v>246</v>
      </c>
      <c r="D50" s="21" t="n">
        <f aca="false">m_fl*D47/$D47+m_dr*D48/$D48+m_nd*D49/$D49</f>
        <v>1</v>
      </c>
      <c r="E50" s="21" t="n">
        <f aca="false">m_fl*E47/$D47+m_dr*E48/$D48+m_nd*E49/$D49</f>
        <v>1.22388113282</v>
      </c>
      <c r="F50" s="21" t="n">
        <f aca="false">m_fl*F47/$D47+m_dr*F48/$D48+m_nd*F49/$D49</f>
        <v>1.3886833368957</v>
      </c>
      <c r="G50" s="21" t="n">
        <f aca="false">m_fl*G47/$D47+m_dr*G48/$D48+m_nd*G49/$D49</f>
        <v>1.48065154546388</v>
      </c>
      <c r="H50" s="8" t="s">
        <v>558</v>
      </c>
    </row>
    <row r="51" customFormat="false" ht="17.15" hidden="false" customHeight="false" outlineLevel="0" collapsed="false">
      <c r="A51" s="1" t="s">
        <v>559</v>
      </c>
    </row>
    <row r="52" customFormat="false" ht="17.15" hidden="false" customHeight="false" outlineLevel="0" collapsed="false">
      <c r="A52" s="5" t="s">
        <v>560</v>
      </c>
      <c r="B52" s="0" t="s">
        <v>252</v>
      </c>
      <c r="C52" s="9" t="n">
        <f aca="false">a25_ss</f>
        <v>21438.5432098765</v>
      </c>
      <c r="D52" s="9" t="n">
        <f aca="false">an_ss</f>
        <v>26046</v>
      </c>
      <c r="E52" s="9" t="n">
        <f aca="false">$D52*E50*sf</f>
        <v>31877.2079854298</v>
      </c>
      <c r="F52" s="9" t="n">
        <f aca="false">$D52*F50*sf</f>
        <v>36169.6461927855</v>
      </c>
      <c r="G52" s="9" t="n">
        <f aca="false">$D52*G50*sf</f>
        <v>38565.0501531522</v>
      </c>
      <c r="H52" s="8" t="s">
        <v>561</v>
      </c>
    </row>
    <row r="53" customFormat="false" ht="17.15" hidden="false" customHeight="false" outlineLevel="0" collapsed="false">
      <c r="A53" s="0" t="s">
        <v>562</v>
      </c>
      <c r="B53" s="0" t="s">
        <v>252</v>
      </c>
      <c r="C53" s="9" t="n">
        <f aca="false">a25_ags</f>
        <v>5744.19672131148</v>
      </c>
      <c r="D53" s="9" t="n">
        <f aca="false">an_ags</f>
        <v>6845</v>
      </c>
      <c r="E53" s="9" t="n">
        <f aca="false">D53*(1+g_ags_A)</f>
        <v>7871.75</v>
      </c>
      <c r="F53" s="9" t="n">
        <f aca="false">E53*(1+g_ags_A)</f>
        <v>9052.5125</v>
      </c>
      <c r="G53" s="9" t="n">
        <f aca="false">F53*(1+g_ags_A)</f>
        <v>10410.389375</v>
      </c>
    </row>
    <row r="54" customFormat="false" ht="17.15" hidden="false" customHeight="false" outlineLevel="0" collapsed="false">
      <c r="A54" s="5" t="s">
        <v>563</v>
      </c>
      <c r="B54" s="0" t="s">
        <v>252</v>
      </c>
      <c r="C54" s="9" t="n">
        <v>0</v>
      </c>
      <c r="D54" s="9" t="n">
        <v>0</v>
      </c>
      <c r="E54" s="9" t="n">
        <f aca="false">-aff_hit*aff_A-0*cn_sh*(E52+E53)</f>
        <v>-0</v>
      </c>
      <c r="F54" s="9" t="n">
        <f aca="false">-aff_hit*aff_A-0*cn_sh*(F52+F53)</f>
        <v>-0</v>
      </c>
      <c r="G54" s="9" t="n">
        <f aca="false">-aff_hit*aff_A-0*cn_sh*(G52+G53)</f>
        <v>-0</v>
      </c>
      <c r="H54" s="5" t="s">
        <v>564</v>
      </c>
    </row>
    <row r="55" customFormat="false" ht="17.15" hidden="false" customHeight="false" outlineLevel="0" collapsed="false">
      <c r="A55" s="5" t="s">
        <v>565</v>
      </c>
      <c r="B55" s="0" t="s">
        <v>252</v>
      </c>
      <c r="C55" s="9" t="n">
        <f aca="false">C52+C54*C52/(C52+C53)</f>
        <v>21438.5432098765</v>
      </c>
      <c r="D55" s="9" t="n">
        <f aca="false">D52+D54*D52/(D52+D53)</f>
        <v>26046</v>
      </c>
      <c r="E55" s="9" t="n">
        <f aca="false">E52+E54*E52/(E52+E53)</f>
        <v>31877.2079854298</v>
      </c>
      <c r="F55" s="9" t="n">
        <f aca="false">F52+F54*F52/(F52+F53)</f>
        <v>36169.6461927855</v>
      </c>
      <c r="G55" s="9" t="n">
        <f aca="false">G52+G54*G52/(G52+G53)</f>
        <v>38565.0501531522</v>
      </c>
      <c r="H55" s="5" t="s">
        <v>566</v>
      </c>
    </row>
    <row r="56" customFormat="false" ht="17.15" hidden="false" customHeight="false" outlineLevel="0" collapsed="false">
      <c r="A56" s="0" t="s">
        <v>567</v>
      </c>
      <c r="B56" s="0" t="s">
        <v>252</v>
      </c>
      <c r="C56" s="9" t="n">
        <f aca="false">C53+C54*C53/(C52+C53)</f>
        <v>5744.19672131148</v>
      </c>
      <c r="D56" s="9" t="n">
        <f aca="false">D53+D54*D53/(D52+D53)</f>
        <v>6845</v>
      </c>
      <c r="E56" s="9" t="n">
        <f aca="false">E53+E54*E53/(E52+E53)</f>
        <v>7871.75</v>
      </c>
      <c r="F56" s="9" t="n">
        <f aca="false">F53+F54*F53/(F52+F53)</f>
        <v>9052.5125</v>
      </c>
      <c r="G56" s="9" t="n">
        <f aca="false">G53+G54*G53/(G52+G53)</f>
        <v>10410.389375</v>
      </c>
      <c r="H56" s="5" t="s">
        <v>568</v>
      </c>
    </row>
    <row r="57" customFormat="false" ht="17.15" hidden="false" customHeight="false" outlineLevel="0" collapsed="false">
      <c r="A57" s="5" t="s">
        <v>569</v>
      </c>
      <c r="B57" s="0" t="s">
        <v>252</v>
      </c>
      <c r="C57" s="9" t="n">
        <f aca="false">a25_oth</f>
        <v>1185.26006881198</v>
      </c>
      <c r="D57" s="9" t="n">
        <f aca="false">an_oth</f>
        <v>1396</v>
      </c>
      <c r="E57" s="9" t="n">
        <f aca="false">D57*(1+g_oth_A)</f>
        <v>1396</v>
      </c>
      <c r="F57" s="9" t="n">
        <f aca="false">E57*(1+g_oth_A)</f>
        <v>1396</v>
      </c>
      <c r="G57" s="9" t="n">
        <f aca="false">F57*(1+g_oth_A)</f>
        <v>1396</v>
      </c>
      <c r="H57" s="5" t="s">
        <v>570</v>
      </c>
    </row>
    <row r="58" customFormat="false" ht="15" hidden="false" customHeight="false" outlineLevel="0" collapsed="false">
      <c r="A58" s="5" t="s">
        <v>454</v>
      </c>
      <c r="B58" s="0" t="s">
        <v>252</v>
      </c>
      <c r="C58" s="9" t="n">
        <f aca="false">C55+C56+C57</f>
        <v>28368</v>
      </c>
      <c r="D58" s="9" t="n">
        <f aca="false">D55+D56+D57</f>
        <v>34287</v>
      </c>
      <c r="E58" s="9" t="n">
        <f aca="false">E55+E56+E57</f>
        <v>41144.9579854298</v>
      </c>
      <c r="F58" s="9" t="n">
        <f aca="false">F55+F56+F57</f>
        <v>46618.1586927855</v>
      </c>
      <c r="G58" s="9" t="n">
        <f aca="false">G55+G56+G57</f>
        <v>50371.4395281522</v>
      </c>
    </row>
    <row r="59" customFormat="false" ht="17.15" hidden="false" customHeight="false" outlineLevel="0" collapsed="false">
      <c r="A59" s="5" t="s">
        <v>571</v>
      </c>
      <c r="B59" s="0" t="s">
        <v>252</v>
      </c>
      <c r="C59" s="23" t="n">
        <f aca="false">C55+C56+C57-a25_rev</f>
        <v>0</v>
      </c>
      <c r="D59" s="23" t="n">
        <f aca="false">D55+D56+D57-an_rev</f>
        <v>0</v>
      </c>
    </row>
    <row r="60" customFormat="false" ht="17.15" hidden="false" customHeight="false" outlineLevel="0" collapsed="false">
      <c r="A60" s="0" t="s">
        <v>460</v>
      </c>
      <c r="B60" s="0" t="s">
        <v>199</v>
      </c>
      <c r="C60" s="11" t="n">
        <f aca="false">a25_gp/a25_rev</f>
        <v>0.487833192329385</v>
      </c>
      <c r="D60" s="11" t="n">
        <f aca="false">an_gp/an_rev</f>
        <v>0.500418584303089</v>
      </c>
      <c r="E60" s="11" t="n">
        <f aca="false">1-(cF+cv*E58)/E58</f>
        <v>0.510472270404997</v>
      </c>
      <c r="F60" s="11" t="n">
        <f aca="false">1-(cF+cv*F58)/F58</f>
        <v>0.516373550758896</v>
      </c>
      <c r="G60" s="11" t="n">
        <f aca="false">1-(cF+cv*G58)/G58</f>
        <v>0.519679134737399</v>
      </c>
      <c r="H60" s="5" t="s">
        <v>572</v>
      </c>
    </row>
    <row r="61" customFormat="false" ht="17.15" hidden="false" customHeight="false" outlineLevel="0" collapsed="false">
      <c r="A61" s="0" t="s">
        <v>463</v>
      </c>
      <c r="B61" s="0" t="s">
        <v>252</v>
      </c>
      <c r="C61" s="9" t="n">
        <f aca="false">C58*C60</f>
        <v>13838.852</v>
      </c>
      <c r="D61" s="9" t="n">
        <f aca="false">D58*D60</f>
        <v>17157.852</v>
      </c>
      <c r="E61" s="9" t="n">
        <f aca="false">E58*E60</f>
        <v>21003.3601185406</v>
      </c>
      <c r="F61" s="9" t="n">
        <f aca="false">F58*F60</f>
        <v>24072.3841340353</v>
      </c>
      <c r="G61" s="9" t="n">
        <f aca="false">G58*G60</f>
        <v>26176.9861094673</v>
      </c>
    </row>
    <row r="62" customFormat="false" ht="17.15" hidden="false" customHeight="false" outlineLevel="0" collapsed="false">
      <c r="A62" s="0" t="s">
        <v>573</v>
      </c>
      <c r="B62" s="0" t="s">
        <v>252</v>
      </c>
      <c r="C62" s="9" t="n">
        <f aca="false">opex25</f>
        <v>5276.852</v>
      </c>
      <c r="D62" s="9" t="n">
        <f aca="false">opex26</f>
        <v>5832.852</v>
      </c>
      <c r="E62" s="9" t="n">
        <f aca="false">oF+ov*E58</f>
        <v>6477.05281768863</v>
      </c>
      <c r="F62" s="9" t="n">
        <f aca="false">oF+ov*F58</f>
        <v>6991.17675640966</v>
      </c>
      <c r="G62" s="9" t="n">
        <f aca="false">oF+ov*G58</f>
        <v>7343.74038953415</v>
      </c>
      <c r="H62" s="5" t="s">
        <v>574</v>
      </c>
    </row>
    <row r="63" customFormat="false" ht="17.15" hidden="false" customHeight="false" outlineLevel="0" collapsed="false">
      <c r="A63" s="0" t="s">
        <v>465</v>
      </c>
      <c r="B63" s="0" t="s">
        <v>252</v>
      </c>
      <c r="C63" s="9" t="n">
        <f aca="false">C61-C62</f>
        <v>8562</v>
      </c>
      <c r="D63" s="9" t="n">
        <f aca="false">D61-D62</f>
        <v>11325</v>
      </c>
      <c r="E63" s="9" t="n">
        <f aca="false">E61-E62</f>
        <v>14526.3073008519</v>
      </c>
      <c r="F63" s="9" t="n">
        <f aca="false">F61-F62</f>
        <v>17081.2073776257</v>
      </c>
      <c r="G63" s="9" t="n">
        <f aca="false">G61-G62</f>
        <v>18833.2457199332</v>
      </c>
    </row>
    <row r="64" customFormat="false" ht="17.15" hidden="false" customHeight="false" outlineLevel="0" collapsed="false">
      <c r="A64" s="0" t="s">
        <v>544</v>
      </c>
      <c r="B64" s="0" t="s">
        <v>199</v>
      </c>
      <c r="C64" s="11" t="n">
        <f aca="false">C63/C58</f>
        <v>0.301818950930626</v>
      </c>
      <c r="D64" s="11" t="n">
        <f aca="false">D63/D58</f>
        <v>0.330300113745735</v>
      </c>
      <c r="E64" s="11" t="n">
        <f aca="false">E63/E58</f>
        <v>0.353051941528193</v>
      </c>
      <c r="F64" s="11" t="n">
        <f aca="false">F63/F58</f>
        <v>0.366406736271828</v>
      </c>
      <c r="G64" s="11" t="n">
        <f aca="false">G63/G58</f>
        <v>0.373887383333713</v>
      </c>
    </row>
    <row r="65" customFormat="false" ht="17.15" hidden="false" customHeight="false" outlineLevel="0" collapsed="false">
      <c r="A65" s="0" t="s">
        <v>470</v>
      </c>
      <c r="B65" s="0" t="s">
        <v>252</v>
      </c>
      <c r="C65" s="9" t="n">
        <f aca="false">a25_ni</f>
        <v>7607</v>
      </c>
      <c r="D65" s="9" t="n">
        <f aca="false">an_ni</f>
        <v>10179.92</v>
      </c>
      <c r="E65" s="9" t="n">
        <f aca="false">E63*nioi</f>
        <v>12906.0522818945</v>
      </c>
      <c r="F65" s="9" t="n">
        <f aca="false">F63*nioi</f>
        <v>15175.9804393364</v>
      </c>
      <c r="G65" s="9" t="n">
        <f aca="false">G63*nioi</f>
        <v>16732.597546313</v>
      </c>
    </row>
    <row r="66" customFormat="false" ht="15" hidden="false" customHeight="false" outlineLevel="0" collapsed="false">
      <c r="A66" s="5" t="s">
        <v>575</v>
      </c>
      <c r="B66" s="5" t="s">
        <v>328</v>
      </c>
      <c r="C66" s="23" t="n">
        <f aca="false">a25_sh</f>
        <v>808</v>
      </c>
      <c r="D66" s="23" t="n">
        <f aca="false">an_sh</f>
        <v>797.799373040752</v>
      </c>
      <c r="E66" s="23" t="n">
        <f aca="false">$D66*(1-bb)^1</f>
        <v>789.821379310345</v>
      </c>
      <c r="F66" s="23" t="n">
        <f aca="false">$D66*(1-bb)^2</f>
        <v>781.923165517241</v>
      </c>
      <c r="G66" s="23" t="n">
        <f aca="false">$D66*(1-bb)^3</f>
        <v>774.103933862069</v>
      </c>
    </row>
    <row r="67" customFormat="false" ht="17.15" hidden="false" customHeight="false" outlineLevel="0" collapsed="false">
      <c r="A67" s="0" t="s">
        <v>576</v>
      </c>
      <c r="B67" s="0" t="s">
        <v>341</v>
      </c>
      <c r="C67" s="14" t="n">
        <f aca="false">a25_eps</f>
        <v>9.42</v>
      </c>
      <c r="D67" s="14" t="n">
        <f aca="false">an_eps</f>
        <v>12.76</v>
      </c>
      <c r="E67" s="14" t="n">
        <f aca="false">E65/E66</f>
        <v>16.340469655511</v>
      </c>
      <c r="F67" s="14" t="n">
        <f aca="false">F65/F66</f>
        <v>19.4085315649876</v>
      </c>
      <c r="G67" s="14" t="n">
        <f aca="false">G65/G66</f>
        <v>21.6154405298429</v>
      </c>
      <c r="H67" s="8" t="s">
        <v>577</v>
      </c>
    </row>
    <row r="68" customFormat="false" ht="17.15" hidden="false" customHeight="false" outlineLevel="0" collapsed="false">
      <c r="A68" s="5" t="s">
        <v>578</v>
      </c>
      <c r="B68" s="0" t="s">
        <v>199</v>
      </c>
      <c r="D68" s="11" t="n">
        <f aca="false">D52/1000/(D47+D48+D49)</f>
        <v>0.170398285527431</v>
      </c>
      <c r="E68" s="11" t="n">
        <f aca="false">E52/1000/(E47+E48+E49)</f>
        <v>0.170159646735473</v>
      </c>
      <c r="F68" s="11" t="n">
        <f aca="false">F52/1000/(F47+F48+F49)</f>
        <v>0.170084890448361</v>
      </c>
      <c r="G68" s="11" t="n">
        <f aca="false">G52/1000/(G47+G48+G49)</f>
        <v>0.169996548109528</v>
      </c>
      <c r="H68" s="5" t="s">
        <v>579</v>
      </c>
    </row>
    <row r="71" customFormat="false" ht="17.15" hidden="false" customHeight="false" outlineLevel="0" collapsed="false">
      <c r="A71" s="3" t="s">
        <v>580</v>
      </c>
    </row>
    <row r="72" customFormat="false" ht="15" hidden="false" customHeight="false" outlineLevel="0" collapsed="false">
      <c r="A72" s="6" t="s">
        <v>19</v>
      </c>
      <c r="B72" s="6" t="s">
        <v>20</v>
      </c>
      <c r="C72" s="15" t="s">
        <v>513</v>
      </c>
      <c r="D72" s="15" t="s">
        <v>514</v>
      </c>
      <c r="E72" s="15" t="s">
        <v>515</v>
      </c>
      <c r="F72" s="15" t="s">
        <v>516</v>
      </c>
      <c r="G72" s="15" t="s">
        <v>517</v>
      </c>
      <c r="H72" s="6" t="s">
        <v>518</v>
      </c>
    </row>
    <row r="73" customFormat="false" ht="17.15" hidden="false" customHeight="false" outlineLevel="0" collapsed="false">
      <c r="A73" s="1" t="s">
        <v>549</v>
      </c>
    </row>
    <row r="74" customFormat="false" ht="17.15" hidden="false" customHeight="false" outlineLevel="0" collapsed="false">
      <c r="A74" s="5" t="s">
        <v>550</v>
      </c>
      <c r="B74" s="0" t="s">
        <v>30</v>
      </c>
      <c r="C74" s="22" t="n">
        <f aca="false">laB_25+loB_25+ofB_25</f>
        <v>78.3481206981793</v>
      </c>
      <c r="D74" s="22" t="n">
        <f aca="false">laB_26+loB_26+ofB_26</f>
        <v>99.7111533272534</v>
      </c>
      <c r="E74" s="22" t="n">
        <f aca="false">laB_27+loB_27+ofB_27</f>
        <v>116.288709321091</v>
      </c>
      <c r="F74" s="22" t="n">
        <f aca="false">laB_28+loB_28+ofB_28</f>
        <v>116.288709321091</v>
      </c>
      <c r="G74" s="22" t="n">
        <f aca="false">laB_29+loB_29+ofB_29</f>
        <v>110.474273855037</v>
      </c>
    </row>
    <row r="75" customFormat="false" ht="17.15" hidden="false" customHeight="false" outlineLevel="0" collapsed="false">
      <c r="A75" s="0" t="s">
        <v>551</v>
      </c>
      <c r="B75" s="0" t="s">
        <v>30</v>
      </c>
      <c r="C75" s="22" t="n">
        <f aca="false">drB_25</f>
        <v>26.3761091658243</v>
      </c>
      <c r="D75" s="22" t="n">
        <f aca="false">drB_26</f>
        <v>41.8742847275048</v>
      </c>
      <c r="E75" s="22" t="n">
        <f aca="false">drB_27</f>
        <v>53.2587328153375</v>
      </c>
      <c r="F75" s="22" t="n">
        <f aca="false">drB_28</f>
        <v>53.2587328153375</v>
      </c>
      <c r="G75" s="22" t="n">
        <f aca="false">drB_29</f>
        <v>50.5957961745707</v>
      </c>
    </row>
    <row r="76" customFormat="false" ht="15" hidden="false" customHeight="false" outlineLevel="0" collapsed="false">
      <c r="A76" s="0" t="s">
        <v>552</v>
      </c>
      <c r="B76" s="0" t="s">
        <v>30</v>
      </c>
      <c r="C76" s="22" t="n">
        <f aca="false">ndB_25</f>
        <v>12.1726019800256</v>
      </c>
      <c r="D76" s="22" t="n">
        <f aca="false">ndB_26</f>
        <v>18.4595763045422</v>
      </c>
      <c r="E76" s="22" t="n">
        <f aca="false">ndB_27</f>
        <v>23.2480272411321</v>
      </c>
      <c r="F76" s="22" t="n">
        <f aca="false">ndB_28</f>
        <v>23.2480272411321</v>
      </c>
      <c r="G76" s="22" t="n">
        <f aca="false">ndB_29</f>
        <v>22.0856258790755</v>
      </c>
    </row>
    <row r="77" customFormat="false" ht="17.15" hidden="false" customHeight="false" outlineLevel="0" collapsed="false">
      <c r="A77" s="1" t="s">
        <v>553</v>
      </c>
    </row>
    <row r="78" customFormat="false" ht="17.15" hidden="false" customHeight="false" outlineLevel="0" collapsed="false">
      <c r="A78" s="5" t="s">
        <v>554</v>
      </c>
      <c r="B78" s="0" t="s">
        <v>30</v>
      </c>
      <c r="D78" s="22" t="n">
        <f aca="false">fyw*C74+(1-fyw)*D74</f>
        <v>96.1506478890744</v>
      </c>
      <c r="E78" s="22" t="n">
        <f aca="false">fyw*D74+(1-fyw)*E74</f>
        <v>113.525783322118</v>
      </c>
      <c r="F78" s="22" t="n">
        <f aca="false">fyw*E74+(1-fyw)*F74</f>
        <v>116.288709321091</v>
      </c>
      <c r="G78" s="22" t="n">
        <f aca="false">fyw*F74+(1-fyw)*G74</f>
        <v>111.443346432712</v>
      </c>
    </row>
    <row r="79" customFormat="false" ht="17.15" hidden="false" customHeight="false" outlineLevel="0" collapsed="false">
      <c r="A79" s="0" t="s">
        <v>555</v>
      </c>
      <c r="B79" s="0" t="s">
        <v>30</v>
      </c>
      <c r="D79" s="22" t="n">
        <f aca="false">fyw*C75+(1-fyw)*D75</f>
        <v>39.2912554672247</v>
      </c>
      <c r="E79" s="22" t="n">
        <f aca="false">fyw*D75+(1-fyw)*E75</f>
        <v>51.3613248006987</v>
      </c>
      <c r="F79" s="22" t="n">
        <f aca="false">fyw*E75+(1-fyw)*F75</f>
        <v>53.2587328153375</v>
      </c>
      <c r="G79" s="22" t="n">
        <f aca="false">fyw*F75+(1-fyw)*G75</f>
        <v>51.0396189480318</v>
      </c>
    </row>
    <row r="80" customFormat="false" ht="15" hidden="false" customHeight="false" outlineLevel="0" collapsed="false">
      <c r="A80" s="0" t="s">
        <v>556</v>
      </c>
      <c r="B80" s="0" t="s">
        <v>30</v>
      </c>
      <c r="D80" s="22" t="n">
        <f aca="false">fyw*C76+(1-fyw)*D76</f>
        <v>17.4117472504561</v>
      </c>
      <c r="E80" s="22" t="n">
        <f aca="false">fyw*D76+(1-fyw)*E76</f>
        <v>22.4499520850338</v>
      </c>
      <c r="F80" s="22" t="n">
        <f aca="false">fyw*E76+(1-fyw)*F76</f>
        <v>23.2480272411321</v>
      </c>
      <c r="G80" s="22" t="n">
        <f aca="false">fyw*F76+(1-fyw)*G76</f>
        <v>22.2793594394183</v>
      </c>
    </row>
    <row r="81" customFormat="false" ht="17.15" hidden="false" customHeight="false" outlineLevel="0" collapsed="false">
      <c r="A81" s="5" t="s">
        <v>557</v>
      </c>
      <c r="B81" s="0" t="s">
        <v>246</v>
      </c>
      <c r="D81" s="21" t="n">
        <f aca="false">m_fl*D78/$D78+m_dr*D79/$D79+m_nd*D80/$D80</f>
        <v>1</v>
      </c>
      <c r="E81" s="21" t="n">
        <f aca="false">m_fl*E78/$D78+m_dr*E79/$D79+m_nd*E80/$D80</f>
        <v>1.22388113282</v>
      </c>
      <c r="F81" s="21" t="n">
        <f aca="false">m_fl*F78/$D78+m_dr*F79/$D79+m_nd*F80/$D80</f>
        <v>1.259307734934</v>
      </c>
      <c r="G81" s="21" t="n">
        <f aca="false">m_fl*G78/$D78+m_dr*G79/$D79+m_nd*G80/$D80</f>
        <v>1.20683657931175</v>
      </c>
      <c r="H81" s="8" t="s">
        <v>558</v>
      </c>
    </row>
    <row r="82" customFormat="false" ht="17.15" hidden="false" customHeight="false" outlineLevel="0" collapsed="false">
      <c r="A82" s="1" t="s">
        <v>559</v>
      </c>
    </row>
    <row r="83" customFormat="false" ht="17.15" hidden="false" customHeight="false" outlineLevel="0" collapsed="false">
      <c r="A83" s="5" t="s">
        <v>560</v>
      </c>
      <c r="B83" s="0" t="s">
        <v>252</v>
      </c>
      <c r="C83" s="9" t="n">
        <f aca="false">a25_ss</f>
        <v>21438.5432098765</v>
      </c>
      <c r="D83" s="9" t="n">
        <f aca="false">an_ss</f>
        <v>26046</v>
      </c>
      <c r="E83" s="9" t="n">
        <f aca="false">$D83*E81*sf</f>
        <v>31877.2079854298</v>
      </c>
      <c r="F83" s="9" t="n">
        <f aca="false">$D83*F81*sf</f>
        <v>32799.9292640909</v>
      </c>
      <c r="G83" s="9" t="n">
        <f aca="false">$D83*G81*sf</f>
        <v>31433.2655447538</v>
      </c>
      <c r="H83" s="8" t="s">
        <v>561</v>
      </c>
    </row>
    <row r="84" customFormat="false" ht="17.15" hidden="false" customHeight="false" outlineLevel="0" collapsed="false">
      <c r="A84" s="0" t="s">
        <v>562</v>
      </c>
      <c r="B84" s="0" t="s">
        <v>252</v>
      </c>
      <c r="C84" s="9" t="n">
        <f aca="false">a25_ags</f>
        <v>5744.19672131148</v>
      </c>
      <c r="D84" s="9" t="n">
        <f aca="false">an_ags</f>
        <v>6845</v>
      </c>
      <c r="E84" s="9" t="n">
        <f aca="false">D84*(1+g_ags_B)</f>
        <v>7597.95</v>
      </c>
      <c r="F84" s="9" t="n">
        <f aca="false">E84*(1+g_ags_B)</f>
        <v>8433.7245</v>
      </c>
      <c r="G84" s="9" t="n">
        <f aca="false">F84*(1+g_ags_B)</f>
        <v>9361.434195</v>
      </c>
    </row>
    <row r="85" customFormat="false" ht="17.15" hidden="false" customHeight="false" outlineLevel="0" collapsed="false">
      <c r="A85" s="5" t="s">
        <v>563</v>
      </c>
      <c r="B85" s="0" t="s">
        <v>252</v>
      </c>
      <c r="C85" s="9" t="n">
        <v>0</v>
      </c>
      <c r="D85" s="9" t="n">
        <v>0</v>
      </c>
      <c r="E85" s="9" t="n">
        <f aca="false">-aff_hit*aff_B-0*cn_sh*(E83+E84)</f>
        <v>-0</v>
      </c>
      <c r="F85" s="9" t="n">
        <f aca="false">-aff_hit*aff_B-0*cn_sh*(F83+F84)</f>
        <v>-0</v>
      </c>
      <c r="G85" s="9" t="n">
        <f aca="false">-aff_hit*aff_B-0*cn_sh*(G83+G84)</f>
        <v>-0</v>
      </c>
      <c r="H85" s="5" t="s">
        <v>564</v>
      </c>
    </row>
    <row r="86" customFormat="false" ht="17.15" hidden="false" customHeight="false" outlineLevel="0" collapsed="false">
      <c r="A86" s="5" t="s">
        <v>565</v>
      </c>
      <c r="B86" s="0" t="s">
        <v>252</v>
      </c>
      <c r="C86" s="9" t="n">
        <f aca="false">C83+C85*C83/(C83+C84)</f>
        <v>21438.5432098765</v>
      </c>
      <c r="D86" s="9" t="n">
        <f aca="false">D83+D85*D83/(D83+D84)</f>
        <v>26046</v>
      </c>
      <c r="E86" s="9" t="n">
        <f aca="false">E83+E85*E83/(E83+E84)</f>
        <v>31877.2079854298</v>
      </c>
      <c r="F86" s="9" t="n">
        <f aca="false">F83+F85*F83/(F83+F84)</f>
        <v>32799.9292640909</v>
      </c>
      <c r="G86" s="9" t="n">
        <f aca="false">G83+G85*G83/(G83+G84)</f>
        <v>31433.2655447538</v>
      </c>
      <c r="H86" s="5" t="s">
        <v>566</v>
      </c>
    </row>
    <row r="87" customFormat="false" ht="17.15" hidden="false" customHeight="false" outlineLevel="0" collapsed="false">
      <c r="A87" s="0" t="s">
        <v>567</v>
      </c>
      <c r="B87" s="0" t="s">
        <v>252</v>
      </c>
      <c r="C87" s="9" t="n">
        <f aca="false">C84+C85*C84/(C83+C84)</f>
        <v>5744.19672131148</v>
      </c>
      <c r="D87" s="9" t="n">
        <f aca="false">D84+D85*D84/(D83+D84)</f>
        <v>6845</v>
      </c>
      <c r="E87" s="9" t="n">
        <f aca="false">E84+E85*E84/(E83+E84)</f>
        <v>7597.95</v>
      </c>
      <c r="F87" s="9" t="n">
        <f aca="false">F84+F85*F84/(F83+F84)</f>
        <v>8433.7245</v>
      </c>
      <c r="G87" s="9" t="n">
        <f aca="false">G84+G85*G84/(G83+G84)</f>
        <v>9361.434195</v>
      </c>
      <c r="H87" s="5" t="s">
        <v>568</v>
      </c>
    </row>
    <row r="88" customFormat="false" ht="17.15" hidden="false" customHeight="false" outlineLevel="0" collapsed="false">
      <c r="A88" s="5" t="s">
        <v>569</v>
      </c>
      <c r="B88" s="0" t="s">
        <v>252</v>
      </c>
      <c r="C88" s="9" t="n">
        <f aca="false">a25_oth</f>
        <v>1185.26006881198</v>
      </c>
      <c r="D88" s="9" t="n">
        <f aca="false">an_oth</f>
        <v>1396</v>
      </c>
      <c r="E88" s="9" t="n">
        <f aca="false">D88*(1+g_oth_B)</f>
        <v>1326.2</v>
      </c>
      <c r="F88" s="9" t="n">
        <f aca="false">E88*(1+g_oth_B)</f>
        <v>1259.89</v>
      </c>
      <c r="G88" s="9" t="n">
        <f aca="false">F88*(1+g_oth_B)</f>
        <v>1196.8955</v>
      </c>
      <c r="H88" s="5" t="s">
        <v>570</v>
      </c>
    </row>
    <row r="89" customFormat="false" ht="15" hidden="false" customHeight="false" outlineLevel="0" collapsed="false">
      <c r="A89" s="5" t="s">
        <v>454</v>
      </c>
      <c r="B89" s="0" t="s">
        <v>252</v>
      </c>
      <c r="C89" s="9" t="n">
        <f aca="false">C86+C87+C88</f>
        <v>28368</v>
      </c>
      <c r="D89" s="9" t="n">
        <f aca="false">D86+D87+D88</f>
        <v>34287</v>
      </c>
      <c r="E89" s="9" t="n">
        <f aca="false">E86+E87+E88</f>
        <v>40801.3579854298</v>
      </c>
      <c r="F89" s="9" t="n">
        <f aca="false">F86+F87+F88</f>
        <v>42493.5437640909</v>
      </c>
      <c r="G89" s="9" t="n">
        <f aca="false">G86+G87+G88</f>
        <v>41991.5952397538</v>
      </c>
    </row>
    <row r="90" customFormat="false" ht="17.15" hidden="false" customHeight="false" outlineLevel="0" collapsed="false">
      <c r="A90" s="5" t="s">
        <v>571</v>
      </c>
      <c r="B90" s="0" t="s">
        <v>252</v>
      </c>
      <c r="C90" s="23" t="n">
        <f aca="false">C86+C87+C88-a25_rev</f>
        <v>0</v>
      </c>
      <c r="D90" s="23" t="n">
        <f aca="false">D86+D87+D88-an_rev</f>
        <v>0</v>
      </c>
    </row>
    <row r="91" customFormat="false" ht="17.15" hidden="false" customHeight="false" outlineLevel="0" collapsed="false">
      <c r="A91" s="0" t="s">
        <v>460</v>
      </c>
      <c r="B91" s="0" t="s">
        <v>199</v>
      </c>
      <c r="C91" s="11" t="n">
        <f aca="false">a25_gp/a25_rev</f>
        <v>0.487833192329385</v>
      </c>
      <c r="D91" s="11" t="n">
        <f aca="false">an_gp/an_rev</f>
        <v>0.500418584303089</v>
      </c>
      <c r="E91" s="11" t="n">
        <f aca="false">1-(cF+cv*E89)/E89</f>
        <v>0.510048979900669</v>
      </c>
      <c r="F91" s="11" t="n">
        <f aca="false">1-(cF+cv*F89)/F89</f>
        <v>0.512067472141066</v>
      </c>
      <c r="G91" s="11" t="n">
        <f aca="false">1-(cF+cv*G89)/G89</f>
        <v>0.511485703283552</v>
      </c>
      <c r="H91" s="5" t="s">
        <v>572</v>
      </c>
    </row>
    <row r="92" customFormat="false" ht="17.15" hidden="false" customHeight="false" outlineLevel="0" collapsed="false">
      <c r="A92" s="0" t="s">
        <v>463</v>
      </c>
      <c r="B92" s="0" t="s">
        <v>252</v>
      </c>
      <c r="C92" s="9" t="n">
        <f aca="false">C89*C91</f>
        <v>13838.852</v>
      </c>
      <c r="D92" s="9" t="n">
        <f aca="false">D89*D91</f>
        <v>17157.852</v>
      </c>
      <c r="E92" s="9" t="n">
        <f aca="false">E89*E91</f>
        <v>20810.6910190305</v>
      </c>
      <c r="F92" s="9" t="n">
        <f aca="false">F89*F91</f>
        <v>21759.5615375938</v>
      </c>
      <c r="G92" s="9" t="n">
        <f aca="false">G89*G91</f>
        <v>21478.1006232037</v>
      </c>
    </row>
    <row r="93" customFormat="false" ht="17.15" hidden="false" customHeight="false" outlineLevel="0" collapsed="false">
      <c r="A93" s="0" t="s">
        <v>573</v>
      </c>
      <c r="B93" s="0" t="s">
        <v>252</v>
      </c>
      <c r="C93" s="9" t="n">
        <f aca="false">opex25</f>
        <v>5276.852</v>
      </c>
      <c r="D93" s="9" t="n">
        <f aca="false">opex26</f>
        <v>5832.852</v>
      </c>
      <c r="E93" s="9" t="n">
        <f aca="false">oF+ov*E89</f>
        <v>6444.77682512232</v>
      </c>
      <c r="F93" s="9" t="n">
        <f aca="false">oF+ov*F89</f>
        <v>6603.73193458938</v>
      </c>
      <c r="G93" s="9" t="n">
        <f aca="false">oF+ov*G89</f>
        <v>6556.58150723148</v>
      </c>
      <c r="H93" s="5" t="s">
        <v>574</v>
      </c>
    </row>
    <row r="94" customFormat="false" ht="17.15" hidden="false" customHeight="false" outlineLevel="0" collapsed="false">
      <c r="A94" s="0" t="s">
        <v>465</v>
      </c>
      <c r="B94" s="0" t="s">
        <v>252</v>
      </c>
      <c r="C94" s="9" t="n">
        <f aca="false">C92-C93</f>
        <v>8562</v>
      </c>
      <c r="D94" s="9" t="n">
        <f aca="false">D92-D93</f>
        <v>11325</v>
      </c>
      <c r="E94" s="9" t="n">
        <f aca="false">E92-E93</f>
        <v>14365.9141939082</v>
      </c>
      <c r="F94" s="9" t="n">
        <f aca="false">F92-F93</f>
        <v>15155.8296030044</v>
      </c>
      <c r="G94" s="9" t="n">
        <f aca="false">G92-G93</f>
        <v>14921.5191159722</v>
      </c>
    </row>
    <row r="95" customFormat="false" ht="17.15" hidden="false" customHeight="false" outlineLevel="0" collapsed="false">
      <c r="A95" s="0" t="s">
        <v>544</v>
      </c>
      <c r="B95" s="0" t="s">
        <v>199</v>
      </c>
      <c r="C95" s="11" t="n">
        <f aca="false">C94/C89</f>
        <v>0.301818950930626</v>
      </c>
      <c r="D95" s="11" t="n">
        <f aca="false">D94/D89</f>
        <v>0.330300113745735</v>
      </c>
      <c r="E95" s="11" t="n">
        <f aca="false">E94/E89</f>
        <v>0.352094020964652</v>
      </c>
      <c r="F95" s="11" t="n">
        <f aca="false">F94/F89</f>
        <v>0.356661936390719</v>
      </c>
      <c r="G95" s="11" t="n">
        <f aca="false">G94/G89</f>
        <v>0.355345374015368</v>
      </c>
    </row>
    <row r="96" customFormat="false" ht="17.15" hidden="false" customHeight="false" outlineLevel="0" collapsed="false">
      <c r="A96" s="0" t="s">
        <v>470</v>
      </c>
      <c r="B96" s="0" t="s">
        <v>252</v>
      </c>
      <c r="C96" s="9" t="n">
        <f aca="false">a25_ni</f>
        <v>7607</v>
      </c>
      <c r="D96" s="9" t="n">
        <f aca="false">an_ni</f>
        <v>10179.92</v>
      </c>
      <c r="E96" s="9" t="n">
        <f aca="false">E94*nioi</f>
        <v>12763.5493194417</v>
      </c>
      <c r="F96" s="9" t="n">
        <f aca="false">F94*nioi</f>
        <v>13465.3580693827</v>
      </c>
      <c r="G96" s="9" t="n">
        <f aca="false">G94*nioi</f>
        <v>13257.1824241066</v>
      </c>
    </row>
    <row r="97" customFormat="false" ht="15" hidden="false" customHeight="false" outlineLevel="0" collapsed="false">
      <c r="A97" s="5" t="s">
        <v>575</v>
      </c>
      <c r="B97" s="5" t="s">
        <v>328</v>
      </c>
      <c r="C97" s="23" t="n">
        <f aca="false">a25_sh</f>
        <v>808</v>
      </c>
      <c r="D97" s="23" t="n">
        <f aca="false">an_sh</f>
        <v>797.799373040752</v>
      </c>
      <c r="E97" s="23" t="n">
        <f aca="false">$D97*(1-bb)^1</f>
        <v>789.821379310345</v>
      </c>
      <c r="F97" s="23" t="n">
        <f aca="false">$D97*(1-bb)^2</f>
        <v>781.923165517241</v>
      </c>
      <c r="G97" s="23" t="n">
        <f aca="false">$D97*(1-bb)^3</f>
        <v>774.103933862069</v>
      </c>
    </row>
    <row r="98" customFormat="false" ht="17.15" hidden="false" customHeight="false" outlineLevel="0" collapsed="false">
      <c r="A98" s="0" t="s">
        <v>576</v>
      </c>
      <c r="B98" s="0" t="s">
        <v>341</v>
      </c>
      <c r="C98" s="14" t="n">
        <f aca="false">a25_eps</f>
        <v>9.42</v>
      </c>
      <c r="D98" s="14" t="n">
        <f aca="false">an_eps</f>
        <v>12.76</v>
      </c>
      <c r="E98" s="14" t="n">
        <f aca="false">E96/E97</f>
        <v>16.1600453644171</v>
      </c>
      <c r="F98" s="14" t="n">
        <f aca="false">F96/F97</f>
        <v>17.2208199772101</v>
      </c>
      <c r="G98" s="14" t="n">
        <f aca="false">G96/G97</f>
        <v>17.1258429833387</v>
      </c>
      <c r="H98" s="8" t="s">
        <v>577</v>
      </c>
    </row>
    <row r="99" customFormat="false" ht="17.15" hidden="false" customHeight="false" outlineLevel="0" collapsed="false">
      <c r="A99" s="5" t="s">
        <v>578</v>
      </c>
      <c r="B99" s="0" t="s">
        <v>199</v>
      </c>
      <c r="D99" s="11" t="n">
        <f aca="false">D83/1000/(D78+D79+D80)</f>
        <v>0.170398285527431</v>
      </c>
      <c r="E99" s="11" t="n">
        <f aca="false">E83/1000/(E78+E79+E80)</f>
        <v>0.170159646735473</v>
      </c>
      <c r="F99" s="11" t="n">
        <f aca="false">F83/1000/(F78+F79+F80)</f>
        <v>0.170128112294263</v>
      </c>
      <c r="G99" s="11" t="n">
        <f aca="false">G83/1000/(G78+G79+G80)</f>
        <v>0.170128112294263</v>
      </c>
      <c r="H99" s="5" t="s">
        <v>579</v>
      </c>
    </row>
    <row r="102" customFormat="false" ht="17.15" hidden="false" customHeight="false" outlineLevel="0" collapsed="false">
      <c r="A102" s="3" t="s">
        <v>581</v>
      </c>
    </row>
    <row r="103" customFormat="false" ht="15" hidden="false" customHeight="false" outlineLevel="0" collapsed="false">
      <c r="A103" s="6" t="s">
        <v>19</v>
      </c>
      <c r="B103" s="6" t="s">
        <v>20</v>
      </c>
      <c r="C103" s="15" t="s">
        <v>513</v>
      </c>
      <c r="D103" s="15" t="s">
        <v>514</v>
      </c>
      <c r="E103" s="15" t="s">
        <v>515</v>
      </c>
      <c r="F103" s="15" t="s">
        <v>516</v>
      </c>
      <c r="G103" s="15" t="s">
        <v>517</v>
      </c>
      <c r="H103" s="6" t="s">
        <v>518</v>
      </c>
    </row>
    <row r="104" customFormat="false" ht="17.15" hidden="false" customHeight="false" outlineLevel="0" collapsed="false">
      <c r="A104" s="1" t="s">
        <v>549</v>
      </c>
    </row>
    <row r="105" customFormat="false" ht="17.15" hidden="false" customHeight="false" outlineLevel="0" collapsed="false">
      <c r="A105" s="5" t="s">
        <v>550</v>
      </c>
      <c r="B105" s="0" t="s">
        <v>30</v>
      </c>
      <c r="C105" s="22" t="n">
        <f aca="false">laC_25+loC_25+ofC_25</f>
        <v>78.3481206981793</v>
      </c>
      <c r="D105" s="22" t="n">
        <f aca="false">laC_26+loC_26+ofC_26</f>
        <v>99.7111533272534</v>
      </c>
      <c r="E105" s="22" t="n">
        <f aca="false">laC_27+loC_27+ofC_27</f>
        <v>116.288709321091</v>
      </c>
      <c r="F105" s="22" t="n">
        <f aca="false">laC_28+loC_28+ofC_28</f>
        <v>93.030967456873</v>
      </c>
      <c r="G105" s="22" t="n">
        <f aca="false">laC_29+loC_29+ofC_29</f>
        <v>93.030967456873</v>
      </c>
    </row>
    <row r="106" customFormat="false" ht="17.15" hidden="false" customHeight="false" outlineLevel="0" collapsed="false">
      <c r="A106" s="0" t="s">
        <v>551</v>
      </c>
      <c r="B106" s="0" t="s">
        <v>30</v>
      </c>
      <c r="C106" s="22" t="n">
        <f aca="false">drC_25</f>
        <v>26.3761091658243</v>
      </c>
      <c r="D106" s="22" t="n">
        <f aca="false">drC_26</f>
        <v>41.8742847275048</v>
      </c>
      <c r="E106" s="22" t="n">
        <f aca="false">drC_27</f>
        <v>53.2587328153375</v>
      </c>
      <c r="F106" s="22" t="n">
        <f aca="false">drC_28</f>
        <v>42.60698625227</v>
      </c>
      <c r="G106" s="22" t="n">
        <f aca="false">drC_29</f>
        <v>42.60698625227</v>
      </c>
    </row>
    <row r="107" customFormat="false" ht="15" hidden="false" customHeight="false" outlineLevel="0" collapsed="false">
      <c r="A107" s="0" t="s">
        <v>552</v>
      </c>
      <c r="B107" s="0" t="s">
        <v>30</v>
      </c>
      <c r="C107" s="22" t="n">
        <f aca="false">ndC_25</f>
        <v>12.1726019800256</v>
      </c>
      <c r="D107" s="22" t="n">
        <f aca="false">ndC_26</f>
        <v>18.4595763045422</v>
      </c>
      <c r="E107" s="22" t="n">
        <f aca="false">ndC_27</f>
        <v>23.2480272411321</v>
      </c>
      <c r="F107" s="22" t="n">
        <f aca="false">ndC_28</f>
        <v>18.5984217929057</v>
      </c>
      <c r="G107" s="22" t="n">
        <f aca="false">ndC_29</f>
        <v>18.5984217929057</v>
      </c>
    </row>
    <row r="108" customFormat="false" ht="17.15" hidden="false" customHeight="false" outlineLevel="0" collapsed="false">
      <c r="A108" s="1" t="s">
        <v>553</v>
      </c>
    </row>
    <row r="109" customFormat="false" ht="17.15" hidden="false" customHeight="false" outlineLevel="0" collapsed="false">
      <c r="A109" s="5" t="s">
        <v>554</v>
      </c>
      <c r="B109" s="0" t="s">
        <v>30</v>
      </c>
      <c r="D109" s="22" t="n">
        <f aca="false">fyw*C105+(1-fyw)*D105</f>
        <v>96.1506478890744</v>
      </c>
      <c r="E109" s="22" t="n">
        <f aca="false">fyw*D105+(1-fyw)*E105</f>
        <v>113.525783322118</v>
      </c>
      <c r="F109" s="22" t="n">
        <f aca="false">fyw*E105+(1-fyw)*F105</f>
        <v>96.907257767576</v>
      </c>
      <c r="G109" s="22" t="n">
        <f aca="false">fyw*F105+(1-fyw)*G105</f>
        <v>93.030967456873</v>
      </c>
    </row>
    <row r="110" customFormat="false" ht="17.15" hidden="false" customHeight="false" outlineLevel="0" collapsed="false">
      <c r="A110" s="0" t="s">
        <v>555</v>
      </c>
      <c r="B110" s="0" t="s">
        <v>30</v>
      </c>
      <c r="D110" s="22" t="n">
        <f aca="false">fyw*C106+(1-fyw)*D106</f>
        <v>39.2912554672247</v>
      </c>
      <c r="E110" s="22" t="n">
        <f aca="false">fyw*D106+(1-fyw)*E106</f>
        <v>51.3613248006987</v>
      </c>
      <c r="F110" s="22" t="n">
        <f aca="false">fyw*E106+(1-fyw)*F106</f>
        <v>44.3822773461146</v>
      </c>
      <c r="G110" s="22" t="n">
        <f aca="false">fyw*F106+(1-fyw)*G106</f>
        <v>42.60698625227</v>
      </c>
    </row>
    <row r="111" customFormat="false" ht="15" hidden="false" customHeight="false" outlineLevel="0" collapsed="false">
      <c r="A111" s="0" t="s">
        <v>556</v>
      </c>
      <c r="B111" s="0" t="s">
        <v>30</v>
      </c>
      <c r="D111" s="22" t="n">
        <f aca="false">fyw*C107+(1-fyw)*D107</f>
        <v>17.4117472504561</v>
      </c>
      <c r="E111" s="22" t="n">
        <f aca="false">fyw*D107+(1-fyw)*E107</f>
        <v>22.4499520850338</v>
      </c>
      <c r="F111" s="22" t="n">
        <f aca="false">fyw*E107+(1-fyw)*F107</f>
        <v>19.3733560342768</v>
      </c>
      <c r="G111" s="22" t="n">
        <f aca="false">fyw*F107+(1-fyw)*G107</f>
        <v>18.5984217929057</v>
      </c>
    </row>
    <row r="112" customFormat="false" ht="17.15" hidden="false" customHeight="false" outlineLevel="0" collapsed="false">
      <c r="A112" s="5" t="s">
        <v>557</v>
      </c>
      <c r="B112" s="0" t="s">
        <v>246</v>
      </c>
      <c r="D112" s="21" t="n">
        <f aca="false">m_fl*D109/$D109+m_dr*D110/$D110+m_nd*D111/$D111</f>
        <v>1</v>
      </c>
      <c r="E112" s="21" t="n">
        <f aca="false">m_fl*E109/$D109+m_dr*E110/$D110+m_nd*E111/$D111</f>
        <v>1.22388113282</v>
      </c>
      <c r="F112" s="21" t="n">
        <f aca="false">m_fl*F109/$D109+m_dr*F110/$D110+m_nd*F111/$D111</f>
        <v>1.049423112445</v>
      </c>
      <c r="G112" s="21" t="n">
        <f aca="false">m_fl*G109/$D109+m_dr*G110/$D110+m_nd*G111/$D111</f>
        <v>1.0074461879472</v>
      </c>
      <c r="H112" s="8" t="s">
        <v>558</v>
      </c>
    </row>
    <row r="113" customFormat="false" ht="17.15" hidden="false" customHeight="false" outlineLevel="0" collapsed="false">
      <c r="A113" s="1" t="s">
        <v>559</v>
      </c>
    </row>
    <row r="114" customFormat="false" ht="17.15" hidden="false" customHeight="false" outlineLevel="0" collapsed="false">
      <c r="A114" s="5" t="s">
        <v>560</v>
      </c>
      <c r="B114" s="0" t="s">
        <v>252</v>
      </c>
      <c r="C114" s="9" t="n">
        <f aca="false">a25_ss</f>
        <v>21438.5432098765</v>
      </c>
      <c r="D114" s="9" t="n">
        <f aca="false">an_ss</f>
        <v>26046</v>
      </c>
      <c r="E114" s="9" t="n">
        <f aca="false">$D114*E112*sf</f>
        <v>31877.2079854298</v>
      </c>
      <c r="F114" s="9" t="n">
        <f aca="false">$D114*F112*sf</f>
        <v>27333.2743867424</v>
      </c>
      <c r="G114" s="9" t="n">
        <f aca="false">$D114*G112*sf</f>
        <v>26239.9434112727</v>
      </c>
      <c r="H114" s="8" t="s">
        <v>561</v>
      </c>
    </row>
    <row r="115" customFormat="false" ht="17.15" hidden="false" customHeight="false" outlineLevel="0" collapsed="false">
      <c r="A115" s="0" t="s">
        <v>562</v>
      </c>
      <c r="B115" s="0" t="s">
        <v>252</v>
      </c>
      <c r="C115" s="9" t="n">
        <f aca="false">a25_ags</f>
        <v>5744.19672131148</v>
      </c>
      <c r="D115" s="9" t="n">
        <f aca="false">an_ags</f>
        <v>6845</v>
      </c>
      <c r="E115" s="9" t="n">
        <f aca="false">D115*(1+g_ags_C)</f>
        <v>7324.15</v>
      </c>
      <c r="F115" s="9" t="n">
        <f aca="false">E115*(1+g_ags_C)</f>
        <v>7836.8405</v>
      </c>
      <c r="G115" s="9" t="n">
        <f aca="false">F115*(1+g_ags_C)</f>
        <v>8385.419335</v>
      </c>
    </row>
    <row r="116" customFormat="false" ht="17.15" hidden="false" customHeight="false" outlineLevel="0" collapsed="false">
      <c r="A116" s="5" t="s">
        <v>563</v>
      </c>
      <c r="B116" s="0" t="s">
        <v>252</v>
      </c>
      <c r="C116" s="9" t="n">
        <v>0</v>
      </c>
      <c r="D116" s="9" t="n">
        <v>0</v>
      </c>
      <c r="E116" s="9" t="n">
        <f aca="false">-aff_hit*aff_C-0*cn_sh*(E114+E115)</f>
        <v>-600</v>
      </c>
      <c r="F116" s="9" t="n">
        <f aca="false">-aff_hit*aff_C-0*cn_sh*(F114+F115)</f>
        <v>-600</v>
      </c>
      <c r="G116" s="9" t="n">
        <f aca="false">-aff_hit*aff_C-0*cn_sh*(G114+G115)</f>
        <v>-600</v>
      </c>
      <c r="H116" s="5" t="s">
        <v>564</v>
      </c>
    </row>
    <row r="117" customFormat="false" ht="17.15" hidden="false" customHeight="false" outlineLevel="0" collapsed="false">
      <c r="A117" s="5" t="s">
        <v>565</v>
      </c>
      <c r="B117" s="0" t="s">
        <v>252</v>
      </c>
      <c r="C117" s="9" t="n">
        <f aca="false">C114+C116*C114/(C114+C115)</f>
        <v>21438.5432098765</v>
      </c>
      <c r="D117" s="9" t="n">
        <f aca="false">D114+D116*D114/(D114+D115)</f>
        <v>26046</v>
      </c>
      <c r="E117" s="9" t="n">
        <f aca="false">E114+E116*E114/(E114+E115)</f>
        <v>31389.3084387262</v>
      </c>
      <c r="F117" s="9" t="n">
        <f aca="false">F114+F116*F114/(F114+F115)</f>
        <v>26866.9704043739</v>
      </c>
      <c r="G117" s="9" t="n">
        <f aca="false">G114+G116*G114/(G114+G115)</f>
        <v>25785.2487944356</v>
      </c>
      <c r="H117" s="5" t="s">
        <v>566</v>
      </c>
    </row>
    <row r="118" customFormat="false" ht="17.15" hidden="false" customHeight="false" outlineLevel="0" collapsed="false">
      <c r="A118" s="0" t="s">
        <v>567</v>
      </c>
      <c r="B118" s="0" t="s">
        <v>252</v>
      </c>
      <c r="C118" s="9" t="n">
        <f aca="false">C115+C116*C115/(C114+C115)</f>
        <v>5744.19672131148</v>
      </c>
      <c r="D118" s="9" t="n">
        <f aca="false">D115+D116*D115/(D114+D115)</f>
        <v>6845</v>
      </c>
      <c r="E118" s="9" t="n">
        <f aca="false">E115+E116*E115/(E114+E115)</f>
        <v>7212.04954670363</v>
      </c>
      <c r="F118" s="9" t="n">
        <f aca="false">F115+F116*F115/(F114+F115)</f>
        <v>7703.1444823685</v>
      </c>
      <c r="G118" s="9" t="n">
        <f aca="false">G115+G116*G115/(G114+G115)</f>
        <v>8240.11395183715</v>
      </c>
      <c r="H118" s="5" t="s">
        <v>568</v>
      </c>
    </row>
    <row r="119" customFormat="false" ht="17.15" hidden="false" customHeight="false" outlineLevel="0" collapsed="false">
      <c r="A119" s="5" t="s">
        <v>569</v>
      </c>
      <c r="B119" s="0" t="s">
        <v>252</v>
      </c>
      <c r="C119" s="9" t="n">
        <f aca="false">a25_oth</f>
        <v>1185.26006881198</v>
      </c>
      <c r="D119" s="9" t="n">
        <f aca="false">an_oth</f>
        <v>1396</v>
      </c>
      <c r="E119" s="9" t="n">
        <f aca="false">D119*(1+g_oth_C)</f>
        <v>1256.4</v>
      </c>
      <c r="F119" s="9" t="n">
        <f aca="false">E119*(1+g_oth_C)</f>
        <v>1130.76</v>
      </c>
      <c r="G119" s="9" t="n">
        <f aca="false">F119*(1+g_oth_C)</f>
        <v>1017.684</v>
      </c>
      <c r="H119" s="5" t="s">
        <v>570</v>
      </c>
    </row>
    <row r="120" customFormat="false" ht="15" hidden="false" customHeight="false" outlineLevel="0" collapsed="false">
      <c r="A120" s="5" t="s">
        <v>454</v>
      </c>
      <c r="B120" s="0" t="s">
        <v>252</v>
      </c>
      <c r="C120" s="9" t="n">
        <f aca="false">C117+C118+C119</f>
        <v>28368</v>
      </c>
      <c r="D120" s="9" t="n">
        <f aca="false">D117+D118+D119</f>
        <v>34287</v>
      </c>
      <c r="E120" s="9" t="n">
        <f aca="false">E117+E118+E119</f>
        <v>39857.7579854298</v>
      </c>
      <c r="F120" s="9" t="n">
        <f aca="false">F117+F118+F119</f>
        <v>35700.8748867424</v>
      </c>
      <c r="G120" s="9" t="n">
        <f aca="false">G117+G118+G119</f>
        <v>35043.0467462727</v>
      </c>
    </row>
    <row r="121" customFormat="false" ht="17.15" hidden="false" customHeight="false" outlineLevel="0" collapsed="false">
      <c r="A121" s="5" t="s">
        <v>571</v>
      </c>
      <c r="B121" s="0" t="s">
        <v>252</v>
      </c>
      <c r="C121" s="23" t="n">
        <f aca="false">C117+C118+C119-a25_rev</f>
        <v>0</v>
      </c>
      <c r="D121" s="23" t="n">
        <f aca="false">D117+D118+D119-an_rev</f>
        <v>0</v>
      </c>
    </row>
    <row r="122" customFormat="false" ht="17.15" hidden="false" customHeight="false" outlineLevel="0" collapsed="false">
      <c r="A122" s="0" t="s">
        <v>460</v>
      </c>
      <c r="B122" s="0" t="s">
        <v>199</v>
      </c>
      <c r="C122" s="11" t="n">
        <f aca="false">a25_gp/a25_rev</f>
        <v>0.487833192329385</v>
      </c>
      <c r="D122" s="11" t="n">
        <f aca="false">an_gp/an_rev</f>
        <v>0.500418584303089</v>
      </c>
      <c r="E122" s="11" t="n">
        <f aca="false">1-(cF+cv*E120)/E120</f>
        <v>0.508848991465754</v>
      </c>
      <c r="F122" s="11" t="n">
        <f aca="false">1-(cF+cv*F120)/F120</f>
        <v>0.502807381309145</v>
      </c>
      <c r="G122" s="11" t="n">
        <f aca="false">1-(cF+cv*G120)/G120</f>
        <v>0.50171993370033</v>
      </c>
      <c r="H122" s="5" t="s">
        <v>572</v>
      </c>
    </row>
    <row r="123" customFormat="false" ht="17.15" hidden="false" customHeight="false" outlineLevel="0" collapsed="false">
      <c r="A123" s="0" t="s">
        <v>463</v>
      </c>
      <c r="B123" s="0" t="s">
        <v>252</v>
      </c>
      <c r="C123" s="9" t="n">
        <f aca="false">C120*C122</f>
        <v>13838.852</v>
      </c>
      <c r="D123" s="9" t="n">
        <f aca="false">D120*D122</f>
        <v>17157.852</v>
      </c>
      <c r="E123" s="9" t="n">
        <f aca="false">E120*E122</f>
        <v>20281.5799529721</v>
      </c>
      <c r="F123" s="9" t="n">
        <f aca="false">F120*F122</f>
        <v>17950.6634122484</v>
      </c>
      <c r="G123" s="9" t="n">
        <f aca="false">G120*G122</f>
        <v>17581.7950901975</v>
      </c>
    </row>
    <row r="124" customFormat="false" ht="17.15" hidden="false" customHeight="false" outlineLevel="0" collapsed="false">
      <c r="A124" s="0" t="s">
        <v>573</v>
      </c>
      <c r="B124" s="0" t="s">
        <v>252</v>
      </c>
      <c r="C124" s="9" t="n">
        <f aca="false">opex25</f>
        <v>5276.852</v>
      </c>
      <c r="D124" s="9" t="n">
        <f aca="false">opex26</f>
        <v>5832.852</v>
      </c>
      <c r="E124" s="9" t="n">
        <f aca="false">oF+ov*E120</f>
        <v>6356.13996078713</v>
      </c>
      <c r="F124" s="9" t="n">
        <f aca="false">oF+ov*F120</f>
        <v>5965.66403531488</v>
      </c>
      <c r="G124" s="9" t="n">
        <f aca="false">oF+ov*G120</f>
        <v>5903.87108952993</v>
      </c>
      <c r="H124" s="5" t="s">
        <v>574</v>
      </c>
    </row>
    <row r="125" customFormat="false" ht="17.15" hidden="false" customHeight="false" outlineLevel="0" collapsed="false">
      <c r="A125" s="0" t="s">
        <v>465</v>
      </c>
      <c r="B125" s="0" t="s">
        <v>252</v>
      </c>
      <c r="C125" s="9" t="n">
        <f aca="false">C123-C124</f>
        <v>8562</v>
      </c>
      <c r="D125" s="9" t="n">
        <f aca="false">D123-D124</f>
        <v>11325</v>
      </c>
      <c r="E125" s="9" t="n">
        <f aca="false">E123-E124</f>
        <v>13925.4399921849</v>
      </c>
      <c r="F125" s="9" t="n">
        <f aca="false">F123-F124</f>
        <v>11984.9993769335</v>
      </c>
      <c r="G125" s="9" t="n">
        <f aca="false">G123-G124</f>
        <v>11677.9240006676</v>
      </c>
    </row>
    <row r="126" customFormat="false" ht="17.15" hidden="false" customHeight="false" outlineLevel="0" collapsed="false">
      <c r="A126" s="0" t="s">
        <v>544</v>
      </c>
      <c r="B126" s="0" t="s">
        <v>199</v>
      </c>
      <c r="C126" s="11" t="n">
        <f aca="false">C125/C120</f>
        <v>0.301818950930626</v>
      </c>
      <c r="D126" s="11" t="n">
        <f aca="false">D125/D120</f>
        <v>0.330300113745735</v>
      </c>
      <c r="E126" s="11" t="n">
        <f aca="false">E125/E120</f>
        <v>0.349378407016156</v>
      </c>
      <c r="F126" s="11" t="n">
        <f aca="false">F125/F120</f>
        <v>0.335706041237217</v>
      </c>
      <c r="G126" s="11" t="n">
        <f aca="false">G125/G120</f>
        <v>0.333245110940866</v>
      </c>
    </row>
    <row r="127" customFormat="false" ht="17.15" hidden="false" customHeight="false" outlineLevel="0" collapsed="false">
      <c r="A127" s="0" t="s">
        <v>470</v>
      </c>
      <c r="B127" s="0" t="s">
        <v>252</v>
      </c>
      <c r="C127" s="9" t="n">
        <f aca="false">a25_ni</f>
        <v>7607</v>
      </c>
      <c r="D127" s="9" t="n">
        <f aca="false">an_ni</f>
        <v>10179.92</v>
      </c>
      <c r="E127" s="9" t="n">
        <f aca="false">E125*nioi</f>
        <v>12372.2053282587</v>
      </c>
      <c r="F127" s="9" t="n">
        <f aca="false">F125*nioi</f>
        <v>10648.2002172779</v>
      </c>
      <c r="G127" s="9" t="n">
        <f aca="false">G125*nioi</f>
        <v>10375.375831941</v>
      </c>
    </row>
    <row r="128" customFormat="false" ht="15" hidden="false" customHeight="false" outlineLevel="0" collapsed="false">
      <c r="A128" s="5" t="s">
        <v>575</v>
      </c>
      <c r="B128" s="5" t="s">
        <v>328</v>
      </c>
      <c r="C128" s="23" t="n">
        <f aca="false">a25_sh</f>
        <v>808</v>
      </c>
      <c r="D128" s="23" t="n">
        <f aca="false">an_sh</f>
        <v>797.799373040752</v>
      </c>
      <c r="E128" s="23" t="n">
        <f aca="false">$D128*(1-bb)^1</f>
        <v>789.821379310345</v>
      </c>
      <c r="F128" s="23" t="n">
        <f aca="false">$D128*(1-bb)^2</f>
        <v>781.923165517241</v>
      </c>
      <c r="G128" s="23" t="n">
        <f aca="false">$D128*(1-bb)^3</f>
        <v>774.103933862069</v>
      </c>
    </row>
    <row r="129" customFormat="false" ht="17.15" hidden="false" customHeight="false" outlineLevel="0" collapsed="false">
      <c r="A129" s="0" t="s">
        <v>576</v>
      </c>
      <c r="B129" s="0" t="s">
        <v>341</v>
      </c>
      <c r="C129" s="14" t="n">
        <f aca="false">a25_eps</f>
        <v>9.42</v>
      </c>
      <c r="D129" s="14" t="n">
        <f aca="false">an_eps</f>
        <v>12.76</v>
      </c>
      <c r="E129" s="14" t="n">
        <f aca="false">E127/E128</f>
        <v>15.6645611936484</v>
      </c>
      <c r="F129" s="14" t="n">
        <f aca="false">F127/F128</f>
        <v>13.6179623355117</v>
      </c>
      <c r="G129" s="14" t="n">
        <f aca="false">G127/G128</f>
        <v>13.4030785506764</v>
      </c>
      <c r="H129" s="8" t="s">
        <v>577</v>
      </c>
    </row>
    <row r="130" customFormat="false" ht="17.15" hidden="false" customHeight="false" outlineLevel="0" collapsed="false">
      <c r="A130" s="5" t="s">
        <v>578</v>
      </c>
      <c r="B130" s="0" t="s">
        <v>199</v>
      </c>
      <c r="D130" s="11" t="n">
        <f aca="false">D114/1000/(D109+D110+D111)</f>
        <v>0.170398285527431</v>
      </c>
      <c r="E130" s="11" t="n">
        <f aca="false">E114/1000/(E109+E110+E111)</f>
        <v>0.170159646735473</v>
      </c>
      <c r="F130" s="11" t="n">
        <f aca="false">F114/1000/(F109+F110+F111)</f>
        <v>0.170128112294263</v>
      </c>
      <c r="G130" s="11" t="n">
        <f aca="false">G114/1000/(G109+G110+G111)</f>
        <v>0.170128112294263</v>
      </c>
      <c r="H130" s="5" t="s">
        <v>579</v>
      </c>
    </row>
    <row r="133" customFormat="false" ht="17.15" hidden="false" customHeight="false" outlineLevel="0" collapsed="false">
      <c r="A133" s="3" t="s">
        <v>582</v>
      </c>
    </row>
    <row r="134" customFormat="false" ht="17.15" hidden="false" customHeight="false" outlineLevel="0" collapsed="false">
      <c r="A134" s="5" t="s">
        <v>583</v>
      </c>
    </row>
    <row r="135" customFormat="false" ht="17.15" hidden="false" customHeight="false" outlineLevel="0" collapsed="false">
      <c r="A135" s="6" t="s">
        <v>584</v>
      </c>
      <c r="B135" s="6" t="s">
        <v>20</v>
      </c>
      <c r="C135" s="15" t="s">
        <v>536</v>
      </c>
      <c r="D135" s="15" t="s">
        <v>537</v>
      </c>
      <c r="E135" s="15" t="s">
        <v>538</v>
      </c>
      <c r="F135" s="15" t="s">
        <v>539</v>
      </c>
      <c r="G135" s="15" t="s">
        <v>540</v>
      </c>
      <c r="H135" s="15" t="s">
        <v>585</v>
      </c>
      <c r="I135" s="15" t="s">
        <v>586</v>
      </c>
      <c r="J135" s="15" t="s">
        <v>587</v>
      </c>
      <c r="K135" s="6" t="s">
        <v>518</v>
      </c>
    </row>
    <row r="136" customFormat="false" ht="17.15" hidden="false" customHeight="false" outlineLevel="0" collapsed="false">
      <c r="A136" s="3" t="s">
        <v>588</v>
      </c>
    </row>
    <row r="137" customFormat="false" ht="17.15" hidden="false" customHeight="false" outlineLevel="0" collapsed="false">
      <c r="A137" s="5" t="s">
        <v>454</v>
      </c>
      <c r="B137" s="0" t="s">
        <v>252</v>
      </c>
      <c r="C137" s="9" t="n">
        <f aca="false">C5</f>
        <v>28368</v>
      </c>
      <c r="D137" s="9" t="n">
        <f aca="false">D5</f>
        <v>34287</v>
      </c>
      <c r="E137" s="9" t="n">
        <f aca="false">E5</f>
        <v>41144.9579854298</v>
      </c>
      <c r="F137" s="9" t="n">
        <f aca="false">F5</f>
        <v>46618.1586927855</v>
      </c>
      <c r="G137" s="9" t="n">
        <f aca="false">G5</f>
        <v>50371.4395281522</v>
      </c>
      <c r="H137" s="24" t="n">
        <f aca="false">G137*(1+H138)</f>
        <v>54082.509473896</v>
      </c>
      <c r="I137" s="24" t="n">
        <f aca="false">H137*(1+I138)</f>
        <v>57697.2245807092</v>
      </c>
      <c r="J137" s="24" t="n">
        <f aca="false">I137*(1+J138)</f>
        <v>61159.0580555518</v>
      </c>
      <c r="K137" s="8" t="s">
        <v>589</v>
      </c>
    </row>
    <row r="138" customFormat="false" ht="15" hidden="false" customHeight="false" outlineLevel="0" collapsed="false">
      <c r="A138" s="5" t="s">
        <v>590</v>
      </c>
      <c r="B138" s="0" t="s">
        <v>199</v>
      </c>
      <c r="D138" s="11" t="n">
        <f aca="false">D137/C137-1</f>
        <v>0.208650592216582</v>
      </c>
      <c r="E138" s="11" t="n">
        <f aca="false">E137/D137-1</f>
        <v>0.200016273964763</v>
      </c>
      <c r="F138" s="11" t="n">
        <f aca="false">F137/E137-1</f>
        <v>0.133022391450584</v>
      </c>
      <c r="G138" s="11" t="n">
        <f aca="false">G137/F137-1</f>
        <v>0.0805111343007097</v>
      </c>
      <c r="H138" s="25" t="n">
        <f aca="false">$G138+((tp_g+0.02)-$G138)*1/3</f>
        <v>0.0736740895338064</v>
      </c>
      <c r="I138" s="25" t="n">
        <f aca="false">$G138+((tp_g+0.02)-$G138)*2/3</f>
        <v>0.0668370447669032</v>
      </c>
      <c r="J138" s="25" t="n">
        <f aca="false">$G138+((tp_g+0.02)-$G138)*3/3</f>
        <v>0.06</v>
      </c>
    </row>
    <row r="139" customFormat="false" ht="17.15" hidden="false" customHeight="false" outlineLevel="0" collapsed="false">
      <c r="A139" s="5" t="s">
        <v>591</v>
      </c>
      <c r="B139" s="0" t="s">
        <v>199</v>
      </c>
      <c r="C139" s="11" t="n">
        <f aca="false">C140/C137</f>
        <v>0.268154258319233</v>
      </c>
      <c r="D139" s="11" t="n">
        <f aca="false">D140/D137</f>
        <v>0.296903199463354</v>
      </c>
      <c r="E139" s="11" t="n">
        <f aca="false">E140/E137</f>
        <v>0.313672753936576</v>
      </c>
      <c r="F139" s="11" t="n">
        <f aca="false">F140/F137</f>
        <v>0.325537963422074</v>
      </c>
      <c r="G139" s="11" t="n">
        <f aca="false">G140/G137</f>
        <v>0.33218422389857</v>
      </c>
      <c r="H139" s="25" t="n">
        <f aca="false">$G139+($G139-$G139)*1/3</f>
        <v>0.33218422389857</v>
      </c>
      <c r="I139" s="25" t="n">
        <f aca="false">$G139+($G139-$G139)*2/3</f>
        <v>0.33218422389857</v>
      </c>
      <c r="J139" s="25" t="n">
        <f aca="false">$G139+($G139-$G139)*3/3</f>
        <v>0.33218422389857</v>
      </c>
    </row>
    <row r="140" customFormat="false" ht="15" hidden="false" customHeight="false" outlineLevel="0" collapsed="false">
      <c r="A140" s="5" t="s">
        <v>592</v>
      </c>
      <c r="B140" s="0" t="s">
        <v>252</v>
      </c>
      <c r="C140" s="9" t="n">
        <f aca="false">C11</f>
        <v>7607</v>
      </c>
      <c r="D140" s="9" t="n">
        <f aca="false">D11</f>
        <v>10179.92</v>
      </c>
      <c r="E140" s="9" t="n">
        <f aca="false">E11</f>
        <v>12906.0522818945</v>
      </c>
      <c r="F140" s="9" t="n">
        <f aca="false">F11</f>
        <v>15175.9804393364</v>
      </c>
      <c r="G140" s="9" t="n">
        <f aca="false">G11</f>
        <v>16732.597546313</v>
      </c>
      <c r="H140" s="24" t="n">
        <f aca="false">H137*H139</f>
        <v>17965.3564360732</v>
      </c>
      <c r="I140" s="24" t="n">
        <f aca="false">I137*I139</f>
        <v>19166.1077684444</v>
      </c>
      <c r="J140" s="24" t="n">
        <f aca="false">J137*J139</f>
        <v>20316.074234551</v>
      </c>
    </row>
    <row r="141" customFormat="false" ht="17.15" hidden="false" customHeight="false" outlineLevel="0" collapsed="false">
      <c r="A141" s="0" t="s">
        <v>593</v>
      </c>
      <c r="B141" s="0" t="s">
        <v>341</v>
      </c>
      <c r="C141" s="14" t="n">
        <f aca="false">C12</f>
        <v>9.42</v>
      </c>
      <c r="D141" s="14" t="n">
        <f aca="false">D12</f>
        <v>12.76</v>
      </c>
      <c r="E141" s="14" t="n">
        <f aca="false">E12</f>
        <v>16.340469655511</v>
      </c>
      <c r="F141" s="14" t="n">
        <f aca="false">F12</f>
        <v>19.4085315649876</v>
      </c>
      <c r="G141" s="14" t="n">
        <f aca="false">G12</f>
        <v>21.6154405298429</v>
      </c>
      <c r="H141" s="26" t="n">
        <f aca="false">$G141*H140/$G140</f>
        <v>23.2079384307512</v>
      </c>
      <c r="I141" s="26" t="n">
        <f aca="false">$G141*I140/$G140</f>
        <v>24.7590884505948</v>
      </c>
      <c r="J141" s="26" t="n">
        <f aca="false">$G141*J140/$G140</f>
        <v>26.2446337576305</v>
      </c>
    </row>
    <row r="143" customFormat="false" ht="17.15" hidden="false" customHeight="false" outlineLevel="0" collapsed="false">
      <c r="A143" s="3" t="s">
        <v>594</v>
      </c>
    </row>
    <row r="144" customFormat="false" ht="17.15" hidden="false" customHeight="false" outlineLevel="0" collapsed="false">
      <c r="A144" s="5" t="s">
        <v>454</v>
      </c>
      <c r="B144" s="0" t="s">
        <v>252</v>
      </c>
      <c r="C144" s="9" t="n">
        <f aca="false">C15</f>
        <v>28368</v>
      </c>
      <c r="D144" s="9" t="n">
        <f aca="false">D15</f>
        <v>34287</v>
      </c>
      <c r="E144" s="9" t="n">
        <f aca="false">E15</f>
        <v>40801.3579854298</v>
      </c>
      <c r="F144" s="9" t="n">
        <f aca="false">F15</f>
        <v>42493.5437640909</v>
      </c>
      <c r="G144" s="9" t="n">
        <f aca="false">G15</f>
        <v>41991.5952397538</v>
      </c>
      <c r="H144" s="24" t="n">
        <f aca="false">G144*(1+H145)</f>
        <v>42220.8036204722</v>
      </c>
      <c r="I144" s="24" t="n">
        <f aca="false">H144*(1+I145)</f>
        <v>43180.4494427307</v>
      </c>
      <c r="J144" s="24" t="n">
        <f aca="false">I144*(1+J145)</f>
        <v>44907.66742044</v>
      </c>
      <c r="K144" s="8" t="s">
        <v>589</v>
      </c>
    </row>
    <row r="145" customFormat="false" ht="15" hidden="false" customHeight="false" outlineLevel="0" collapsed="false">
      <c r="A145" s="5" t="s">
        <v>590</v>
      </c>
      <c r="B145" s="0" t="s">
        <v>199</v>
      </c>
      <c r="D145" s="11" t="n">
        <f aca="false">D144/C144-1</f>
        <v>0.208650592216582</v>
      </c>
      <c r="E145" s="11" t="n">
        <f aca="false">E144/D144-1</f>
        <v>0.189994983096504</v>
      </c>
      <c r="F145" s="11" t="n">
        <f aca="false">F144/E144-1</f>
        <v>0.0414737612229799</v>
      </c>
      <c r="G145" s="11" t="n">
        <f aca="false">G144/F144-1</f>
        <v>-0.0118123479445195</v>
      </c>
      <c r="H145" s="25" t="n">
        <f aca="false">$G145+((tp_g)-$G145)*1/3</f>
        <v>0.00545843470365369</v>
      </c>
      <c r="I145" s="25" t="n">
        <f aca="false">$G145+((tp_g)-$G145)*2/3</f>
        <v>0.0227292173518269</v>
      </c>
      <c r="J145" s="25" t="n">
        <f aca="false">$G145+((tp_g)-$G145)*3/3</f>
        <v>0.04</v>
      </c>
    </row>
    <row r="146" customFormat="false" ht="17.15" hidden="false" customHeight="false" outlineLevel="0" collapsed="false">
      <c r="A146" s="5" t="s">
        <v>591</v>
      </c>
      <c r="B146" s="0" t="s">
        <v>199</v>
      </c>
      <c r="C146" s="11" t="n">
        <f aca="false">C147/C144</f>
        <v>0.268154258319233</v>
      </c>
      <c r="D146" s="11" t="n">
        <f aca="false">D147/D144</f>
        <v>0.296903199463354</v>
      </c>
      <c r="E146" s="11" t="n">
        <f aca="false">E147/E144</f>
        <v>0.312821679219587</v>
      </c>
      <c r="F146" s="11" t="n">
        <f aca="false">F147/F144</f>
        <v>0.316880092282667</v>
      </c>
      <c r="G146" s="11" t="n">
        <f aca="false">G147/G144</f>
        <v>0.315710378432014</v>
      </c>
      <c r="H146" s="25" t="n">
        <f aca="false">$G146+(($G146+nim10)/2-$G146)*1/3</f>
        <v>0.300668776927119</v>
      </c>
      <c r="I146" s="25" t="n">
        <f aca="false">$G146+(($G146+nim10)/2-$G146)*2/3</f>
        <v>0.285627175422225</v>
      </c>
      <c r="J146" s="25" t="n">
        <f aca="false">$G146+(($G146+nim10)/2-$G146)*3/3</f>
        <v>0.27058557391733</v>
      </c>
    </row>
    <row r="147" customFormat="false" ht="15" hidden="false" customHeight="false" outlineLevel="0" collapsed="false">
      <c r="A147" s="5" t="s">
        <v>592</v>
      </c>
      <c r="B147" s="0" t="s">
        <v>252</v>
      </c>
      <c r="C147" s="9" t="n">
        <f aca="false">C21</f>
        <v>7607</v>
      </c>
      <c r="D147" s="9" t="n">
        <f aca="false">D21</f>
        <v>10179.92</v>
      </c>
      <c r="E147" s="9" t="n">
        <f aca="false">E21</f>
        <v>12763.5493194417</v>
      </c>
      <c r="F147" s="9" t="n">
        <f aca="false">F21</f>
        <v>13465.3580693827</v>
      </c>
      <c r="G147" s="9" t="n">
        <f aca="false">G21</f>
        <v>13257.1824241066</v>
      </c>
      <c r="H147" s="24" t="n">
        <f aca="false">H144*H146</f>
        <v>12694.4773854475</v>
      </c>
      <c r="I147" s="24" t="n">
        <f aca="false">I144*I146</f>
        <v>12333.5098077894</v>
      </c>
      <c r="J147" s="24" t="n">
        <f aca="false">J144*J146</f>
        <v>12151.3669622484</v>
      </c>
    </row>
    <row r="148" customFormat="false" ht="17.15" hidden="false" customHeight="false" outlineLevel="0" collapsed="false">
      <c r="A148" s="0" t="s">
        <v>593</v>
      </c>
      <c r="B148" s="0" t="s">
        <v>341</v>
      </c>
      <c r="C148" s="14" t="n">
        <f aca="false">C22</f>
        <v>9.42</v>
      </c>
      <c r="D148" s="14" t="n">
        <f aca="false">D22</f>
        <v>12.76</v>
      </c>
      <c r="E148" s="14" t="n">
        <f aca="false">E22</f>
        <v>16.1600453644171</v>
      </c>
      <c r="F148" s="14" t="n">
        <f aca="false">F22</f>
        <v>17.2208199772101</v>
      </c>
      <c r="G148" s="14" t="n">
        <f aca="false">G22</f>
        <v>17.1258429833387</v>
      </c>
      <c r="H148" s="26" t="n">
        <f aca="false">$G148*H147/$G147</f>
        <v>16.3989315002104</v>
      </c>
      <c r="I148" s="26" t="n">
        <f aca="false">$G148*I147/$G147</f>
        <v>15.9326277367646</v>
      </c>
      <c r="J148" s="26" t="n">
        <f aca="false">$G148*J147/$G147</f>
        <v>15.6973326587092</v>
      </c>
    </row>
    <row r="150" customFormat="false" ht="17.15" hidden="false" customHeight="false" outlineLevel="0" collapsed="false">
      <c r="A150" s="3" t="s">
        <v>595</v>
      </c>
    </row>
    <row r="151" customFormat="false" ht="17.15" hidden="false" customHeight="false" outlineLevel="0" collapsed="false">
      <c r="A151" s="5" t="s">
        <v>454</v>
      </c>
      <c r="B151" s="0" t="s">
        <v>252</v>
      </c>
      <c r="C151" s="9" t="n">
        <f aca="false">C25</f>
        <v>28368</v>
      </c>
      <c r="D151" s="9" t="n">
        <f aca="false">D25</f>
        <v>34287</v>
      </c>
      <c r="E151" s="9" t="n">
        <f aca="false">E25</f>
        <v>39857.7579854298</v>
      </c>
      <c r="F151" s="9" t="n">
        <f aca="false">F25</f>
        <v>35700.8748867424</v>
      </c>
      <c r="G151" s="9" t="n">
        <f aca="false">G25</f>
        <v>35043.0467462727</v>
      </c>
      <c r="H151" s="24" t="n">
        <f aca="false">G151*(1+H152)</f>
        <v>34846.1957720684</v>
      </c>
      <c r="I151" s="24" t="n">
        <f aca="false">H151*(1+I152)</f>
        <v>35096.7851384771</v>
      </c>
      <c r="J151" s="24" t="n">
        <f aca="false">I151*(1+J152)</f>
        <v>35798.7208412467</v>
      </c>
      <c r="K151" s="8" t="s">
        <v>589</v>
      </c>
    </row>
    <row r="152" customFormat="false" ht="15" hidden="false" customHeight="false" outlineLevel="0" collapsed="false">
      <c r="A152" s="5" t="s">
        <v>590</v>
      </c>
      <c r="B152" s="0" t="s">
        <v>199</v>
      </c>
      <c r="D152" s="11" t="n">
        <f aca="false">D151/C151-1</f>
        <v>0.208650592216582</v>
      </c>
      <c r="E152" s="11" t="n">
        <f aca="false">E151/D151-1</f>
        <v>0.162474348453637</v>
      </c>
      <c r="F152" s="11" t="n">
        <f aca="false">F151/E151-1</f>
        <v>-0.104292948444491</v>
      </c>
      <c r="G152" s="11" t="n">
        <f aca="false">G151/F151-1</f>
        <v>-0.018426106994761</v>
      </c>
      <c r="H152" s="25" t="n">
        <f aca="false">$G152+((tp_g-0.02)-$G152)*1/3</f>
        <v>-0.00561740466317399</v>
      </c>
      <c r="I152" s="25" t="n">
        <f aca="false">$G152+((tp_g-0.02)-$G152)*2/3</f>
        <v>0.00719129766841301</v>
      </c>
      <c r="J152" s="25" t="n">
        <f aca="false">$G152+((tp_g-0.02)-$G152)*3/3</f>
        <v>0.02</v>
      </c>
    </row>
    <row r="153" customFormat="false" ht="17.15" hidden="false" customHeight="false" outlineLevel="0" collapsed="false">
      <c r="A153" s="5" t="s">
        <v>591</v>
      </c>
      <c r="B153" s="0" t="s">
        <v>199</v>
      </c>
      <c r="C153" s="11" t="n">
        <f aca="false">C154/C151</f>
        <v>0.268154258319233</v>
      </c>
      <c r="D153" s="11" t="n">
        <f aca="false">D154/D151</f>
        <v>0.296903199463354</v>
      </c>
      <c r="E153" s="11" t="n">
        <f aca="false">E154/E151</f>
        <v>0.310408963112812</v>
      </c>
      <c r="F153" s="11" t="n">
        <f aca="false">F154/F151</f>
        <v>0.298261604262031</v>
      </c>
      <c r="G153" s="11" t="n">
        <f aca="false">G154/G151</f>
        <v>0.296075164555848</v>
      </c>
      <c r="H153" s="25" t="n">
        <f aca="false">$G153+(nim10-$G153)*1/3</f>
        <v>0.272537032838114</v>
      </c>
      <c r="I153" s="25" t="n">
        <f aca="false">$G153+(nim10-$G153)*2/3</f>
        <v>0.248998901120381</v>
      </c>
      <c r="J153" s="25" t="n">
        <f aca="false">$G153+(nim10-$G153)*3/3</f>
        <v>0.225460769402647</v>
      </c>
    </row>
    <row r="154" customFormat="false" ht="15" hidden="false" customHeight="false" outlineLevel="0" collapsed="false">
      <c r="A154" s="5" t="s">
        <v>592</v>
      </c>
      <c r="B154" s="0" t="s">
        <v>252</v>
      </c>
      <c r="C154" s="9" t="n">
        <f aca="false">C31</f>
        <v>7607</v>
      </c>
      <c r="D154" s="9" t="n">
        <f aca="false">D31</f>
        <v>10179.92</v>
      </c>
      <c r="E154" s="9" t="n">
        <f aca="false">E31</f>
        <v>12372.2053282587</v>
      </c>
      <c r="F154" s="9" t="n">
        <f aca="false">F31</f>
        <v>10648.2002172779</v>
      </c>
      <c r="G154" s="9" t="n">
        <f aca="false">G31</f>
        <v>10375.375831941</v>
      </c>
      <c r="H154" s="24" t="n">
        <f aca="false">H151*H153</f>
        <v>9496.87880141555</v>
      </c>
      <c r="I154" s="24" t="n">
        <f aca="false">I151*I153</f>
        <v>8739.06093233891</v>
      </c>
      <c r="J154" s="24" t="n">
        <f aca="false">J151*J153</f>
        <v>8071.20714449806</v>
      </c>
    </row>
    <row r="155" customFormat="false" ht="17.15" hidden="false" customHeight="false" outlineLevel="0" collapsed="false">
      <c r="A155" s="0" t="s">
        <v>593</v>
      </c>
      <c r="B155" s="0" t="s">
        <v>341</v>
      </c>
      <c r="C155" s="14" t="n">
        <f aca="false">C32</f>
        <v>9.42</v>
      </c>
      <c r="D155" s="14" t="n">
        <f aca="false">D32</f>
        <v>12.76</v>
      </c>
      <c r="E155" s="14" t="n">
        <f aca="false">E32</f>
        <v>15.6645611936484</v>
      </c>
      <c r="F155" s="14" t="n">
        <f aca="false">F32</f>
        <v>13.6179623355117</v>
      </c>
      <c r="G155" s="14" t="n">
        <f aca="false">G32</f>
        <v>13.4030785506764</v>
      </c>
      <c r="H155" s="26" t="n">
        <f aca="false">$G155*H154/$G154</f>
        <v>12.2682218575416</v>
      </c>
      <c r="I155" s="26" t="n">
        <f aca="false">$G155*I154/$G154</f>
        <v>11.2892604598184</v>
      </c>
      <c r="J155" s="26" t="n">
        <f aca="false">$G155*J154/$G154</f>
        <v>10.4265161193926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10" min="2" style="0" width="16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0" t="s">
        <v>596</v>
      </c>
    </row>
    <row r="2" customFormat="false" ht="17.15" hidden="false" customHeight="false" outlineLevel="0" collapsed="false">
      <c r="A2" s="0" t="s">
        <v>597</v>
      </c>
    </row>
    <row r="3" customFormat="false" ht="17.15" hidden="false" customHeight="false" outlineLevel="0" collapsed="false">
      <c r="A3" s="5" t="s">
        <v>598</v>
      </c>
    </row>
    <row r="4" customFormat="false" ht="17.15" hidden="false" customHeight="false" outlineLevel="0" collapsed="false">
      <c r="A4" s="1" t="s">
        <v>599</v>
      </c>
    </row>
    <row r="5" customFormat="false" ht="17.15" hidden="false" customHeight="false" outlineLevel="0" collapsed="false">
      <c r="A5" s="6" t="s">
        <v>600</v>
      </c>
      <c r="B5" s="15" t="s">
        <v>601</v>
      </c>
      <c r="C5" s="15" t="s">
        <v>602</v>
      </c>
      <c r="D5" s="15" t="s">
        <v>603</v>
      </c>
      <c r="E5" s="15" t="s">
        <v>604</v>
      </c>
      <c r="F5" s="6" t="s">
        <v>24</v>
      </c>
      <c r="G5" s="6" t="s">
        <v>518</v>
      </c>
    </row>
    <row r="6" customFormat="false" ht="17.15" hidden="false" customHeight="false" outlineLevel="0" collapsed="false">
      <c r="A6" s="0" t="s">
        <v>605</v>
      </c>
      <c r="B6" s="13" t="n">
        <v>1.75</v>
      </c>
      <c r="C6" s="13" t="n">
        <v>1.54</v>
      </c>
      <c r="D6" s="13" t="n">
        <v>1.54</v>
      </c>
      <c r="E6" s="11" t="n">
        <f aca="false">D6/C6-1</f>
        <v>0</v>
      </c>
      <c r="F6" s="8" t="s">
        <v>455</v>
      </c>
      <c r="G6" s="5" t="s">
        <v>606</v>
      </c>
    </row>
    <row r="7" customFormat="false" ht="17.15" hidden="false" customHeight="false" outlineLevel="0" collapsed="false">
      <c r="A7" s="0" t="s">
        <v>607</v>
      </c>
      <c r="B7" s="13" t="n">
        <v>3.25</v>
      </c>
      <c r="C7" s="13" t="n">
        <v>3.17</v>
      </c>
      <c r="D7" s="13" t="n">
        <v>3.25</v>
      </c>
      <c r="E7" s="11" t="n">
        <f aca="false">D7/C7-1</f>
        <v>0.025236593059937</v>
      </c>
      <c r="F7" s="8" t="s">
        <v>455</v>
      </c>
      <c r="G7" s="5" t="s">
        <v>608</v>
      </c>
    </row>
    <row r="8" customFormat="false" ht="17.15" hidden="false" customHeight="false" outlineLevel="0" collapsed="false">
      <c r="A8" s="0" t="s">
        <v>609</v>
      </c>
      <c r="B8" s="13" t="n">
        <v>4.45</v>
      </c>
      <c r="C8" s="13" t="n">
        <v>3.23</v>
      </c>
      <c r="D8" s="13" t="n">
        <v>2.96</v>
      </c>
      <c r="E8" s="11" t="n">
        <f aca="false">D8/C8-1</f>
        <v>-0.0835913312693498</v>
      </c>
      <c r="F8" s="8" t="s">
        <v>455</v>
      </c>
      <c r="G8" s="5" t="s">
        <v>610</v>
      </c>
    </row>
    <row r="9" customFormat="false" ht="17.15" hidden="false" customHeight="false" outlineLevel="0" collapsed="false">
      <c r="A9" s="0" t="s">
        <v>611</v>
      </c>
      <c r="B9" s="13" t="n">
        <v>3.04</v>
      </c>
      <c r="C9" s="13" t="n">
        <v>2.86</v>
      </c>
      <c r="D9" s="13" t="n">
        <v>2.86</v>
      </c>
      <c r="E9" s="11" t="n">
        <f aca="false">D9/C9-1</f>
        <v>0</v>
      </c>
      <c r="F9" s="8" t="s">
        <v>455</v>
      </c>
      <c r="G9" s="5" t="s">
        <v>612</v>
      </c>
    </row>
    <row r="10" customFormat="false" ht="17.15" hidden="false" customHeight="false" outlineLevel="0" collapsed="false">
      <c r="A10" s="0" t="s">
        <v>613</v>
      </c>
      <c r="B10" s="13" t="n">
        <v>4.17</v>
      </c>
      <c r="C10" s="13" t="n">
        <v>3.92</v>
      </c>
      <c r="D10" s="13" t="n">
        <v>3.92</v>
      </c>
      <c r="E10" s="11" t="n">
        <f aca="false">D10/C10-1</f>
        <v>0</v>
      </c>
      <c r="F10" s="8" t="s">
        <v>455</v>
      </c>
      <c r="G10" s="5" t="s">
        <v>614</v>
      </c>
    </row>
    <row r="11" customFormat="false" ht="17.15" hidden="false" customHeight="false" outlineLevel="0" collapsed="false">
      <c r="A11" s="0" t="s">
        <v>615</v>
      </c>
      <c r="B11" s="13" t="n">
        <v>6.84</v>
      </c>
      <c r="C11" s="13" t="n">
        <v>6.4</v>
      </c>
      <c r="D11" s="13" t="n">
        <v>6.4</v>
      </c>
      <c r="E11" s="11" t="n">
        <f aca="false">D11/C11-1</f>
        <v>0</v>
      </c>
      <c r="F11" s="8" t="s">
        <v>455</v>
      </c>
      <c r="G11" s="5" t="s">
        <v>616</v>
      </c>
    </row>
    <row r="12" customFormat="false" ht="17.15" hidden="false" customHeight="false" outlineLevel="0" collapsed="false">
      <c r="A12" s="0" t="s">
        <v>617</v>
      </c>
      <c r="B12" s="13" t="n">
        <v>7.7</v>
      </c>
      <c r="C12" s="13" t="n">
        <v>7.44</v>
      </c>
      <c r="D12" s="13" t="n">
        <v>7.44</v>
      </c>
      <c r="E12" s="11" t="n">
        <f aca="false">D12/C12-1</f>
        <v>0</v>
      </c>
      <c r="F12" s="8" t="s">
        <v>455</v>
      </c>
      <c r="G12" s="5" t="s">
        <v>618</v>
      </c>
    </row>
    <row r="13" customFormat="false" ht="17.15" hidden="false" customHeight="false" outlineLevel="0" collapsed="false">
      <c r="A13" s="0" t="s">
        <v>619</v>
      </c>
      <c r="B13" s="13" t="n">
        <v>8.05</v>
      </c>
      <c r="C13" s="13" t="n">
        <v>8.11</v>
      </c>
      <c r="D13" s="13" t="n">
        <v>8.11</v>
      </c>
      <c r="E13" s="11" t="n">
        <f aca="false">D13/C13-1</f>
        <v>0</v>
      </c>
      <c r="F13" s="8" t="s">
        <v>455</v>
      </c>
      <c r="G13" s="5" t="s">
        <v>620</v>
      </c>
    </row>
    <row r="14" customFormat="false" ht="17.15" hidden="false" customHeight="false" outlineLevel="0" collapsed="false">
      <c r="A14" s="0" t="s">
        <v>621</v>
      </c>
      <c r="B14" s="13" t="n">
        <v>8.65</v>
      </c>
      <c r="C14" s="13" t="n">
        <v>8.61</v>
      </c>
      <c r="D14" s="13" t="n">
        <v>8.61</v>
      </c>
      <c r="E14" s="11" t="n">
        <f aca="false">D14/C14-1</f>
        <v>0</v>
      </c>
      <c r="F14" s="8" t="s">
        <v>455</v>
      </c>
      <c r="G14" s="5" t="s">
        <v>622</v>
      </c>
    </row>
    <row r="15" customFormat="false" ht="17.15" hidden="false" customHeight="false" outlineLevel="0" collapsed="false">
      <c r="A15" s="0" t="s">
        <v>502</v>
      </c>
      <c r="B15" s="13" t="n">
        <v>9.42</v>
      </c>
      <c r="C15" s="13" t="n">
        <v>8.66</v>
      </c>
      <c r="D15" s="13" t="n">
        <v>8.66</v>
      </c>
      <c r="E15" s="11" t="n">
        <f aca="false">D15/C15-1</f>
        <v>0</v>
      </c>
      <c r="F15" s="8" t="s">
        <v>455</v>
      </c>
      <c r="G15" s="5" t="s">
        <v>623</v>
      </c>
    </row>
    <row r="16" customFormat="false" ht="17.15" hidden="false" customHeight="false" outlineLevel="0" collapsed="false">
      <c r="A16" s="5" t="s">
        <v>624</v>
      </c>
    </row>
    <row r="18" customFormat="false" ht="17.15" hidden="false" customHeight="false" outlineLevel="0" collapsed="false">
      <c r="A18" s="1" t="s">
        <v>625</v>
      </c>
    </row>
    <row r="19" customFormat="false" ht="17.15" hidden="false" customHeight="false" outlineLevel="0" collapsed="false">
      <c r="A19" s="6" t="s">
        <v>626</v>
      </c>
      <c r="B19" s="6" t="s">
        <v>627</v>
      </c>
      <c r="C19" s="15" t="s">
        <v>628</v>
      </c>
      <c r="D19" s="15" t="s">
        <v>629</v>
      </c>
      <c r="E19" s="15" t="s">
        <v>630</v>
      </c>
      <c r="F19" s="15" t="s">
        <v>631</v>
      </c>
      <c r="G19" s="15" t="s">
        <v>632</v>
      </c>
      <c r="H19" s="6" t="s">
        <v>633</v>
      </c>
      <c r="I19" s="6" t="s">
        <v>634</v>
      </c>
      <c r="J19" s="6" t="s">
        <v>24</v>
      </c>
      <c r="K19" s="6" t="s">
        <v>635</v>
      </c>
      <c r="L19" s="5" t="s">
        <v>636</v>
      </c>
    </row>
    <row r="20" customFormat="false" ht="17.15" hidden="false" customHeight="false" outlineLevel="0" collapsed="false">
      <c r="A20" s="0" t="s">
        <v>637</v>
      </c>
      <c r="B20" s="13" t="n">
        <v>32.27</v>
      </c>
      <c r="C20" s="14" t="n">
        <f aca="false">B6</f>
        <v>1.75</v>
      </c>
      <c r="D20" s="14" t="n">
        <f aca="false">C6</f>
        <v>1.54</v>
      </c>
      <c r="E20" s="22" t="n">
        <f aca="false">B20/C20</f>
        <v>18.44</v>
      </c>
      <c r="F20" s="22" t="n">
        <f aca="false">B20/D20</f>
        <v>20.9545454545455</v>
      </c>
      <c r="G20" s="27" t="n">
        <v>18.6</v>
      </c>
      <c r="H20" s="22" t="n">
        <f aca="false">F20-G20</f>
        <v>2.35454545454546</v>
      </c>
      <c r="I20" s="13" t="n">
        <v>29.1</v>
      </c>
      <c r="J20" s="8" t="s">
        <v>445</v>
      </c>
      <c r="K20" s="5" t="s">
        <v>638</v>
      </c>
      <c r="L20" s="22" t="n">
        <f aca="false">IF(A20="2018-12","",E20)</f>
        <v>18.44</v>
      </c>
    </row>
    <row r="21" customFormat="false" ht="17.15" hidden="false" customHeight="false" outlineLevel="0" collapsed="false">
      <c r="A21" s="0" t="s">
        <v>639</v>
      </c>
      <c r="B21" s="13" t="n">
        <v>51.12</v>
      </c>
      <c r="C21" s="14" t="n">
        <f aca="false">B7</f>
        <v>3.25</v>
      </c>
      <c r="D21" s="14" t="n">
        <f aca="false">C7</f>
        <v>3.17</v>
      </c>
      <c r="E21" s="22" t="n">
        <f aca="false">B21/C21</f>
        <v>15.7292307692308</v>
      </c>
      <c r="F21" s="22" t="n">
        <f aca="false">B21/D21</f>
        <v>16.1261829652997</v>
      </c>
      <c r="G21" s="27" t="n">
        <v>14.7</v>
      </c>
      <c r="H21" s="22" t="n">
        <f aca="false">F21-G21</f>
        <v>1.42618296529968</v>
      </c>
      <c r="I21" s="13" t="n">
        <v>46.52</v>
      </c>
      <c r="J21" s="8" t="s">
        <v>445</v>
      </c>
      <c r="K21" s="5" t="s">
        <v>638</v>
      </c>
      <c r="L21" s="22" t="n">
        <f aca="false">IF(A21="2018-12","",E21)</f>
        <v>15.7292307692308</v>
      </c>
    </row>
    <row r="22" customFormat="false" ht="17.15" hidden="false" customHeight="false" outlineLevel="0" collapsed="false">
      <c r="A22" s="0" t="s">
        <v>640</v>
      </c>
      <c r="B22" s="13" t="n">
        <v>32.74</v>
      </c>
      <c r="C22" s="14" t="n">
        <f aca="false">B8</f>
        <v>4.45</v>
      </c>
      <c r="D22" s="14" t="n">
        <f aca="false">C8</f>
        <v>3.23</v>
      </c>
      <c r="E22" s="22" t="n">
        <f aca="false">B22/C22</f>
        <v>7.35730337078652</v>
      </c>
      <c r="F22" s="22" t="n">
        <f aca="false">B22/D22</f>
        <v>10.1362229102167</v>
      </c>
      <c r="G22" s="27" t="n">
        <v>9.2</v>
      </c>
      <c r="H22" s="22" t="n">
        <f aca="false">F22-G22</f>
        <v>0.936222910216719</v>
      </c>
      <c r="I22" s="13" t="n">
        <v>30.27</v>
      </c>
      <c r="J22" s="8" t="s">
        <v>445</v>
      </c>
      <c r="K22" s="8" t="s">
        <v>641</v>
      </c>
      <c r="L22" s="22" t="str">
        <f aca="false">IF(A22="2018-12","",E22)</f>
        <v/>
      </c>
    </row>
    <row r="23" customFormat="false" ht="17.15" hidden="false" customHeight="false" outlineLevel="0" collapsed="false">
      <c r="A23" s="0" t="s">
        <v>642</v>
      </c>
      <c r="B23" s="13" t="n">
        <v>61.04</v>
      </c>
      <c r="C23" s="14" t="n">
        <f aca="false">B9</f>
        <v>3.04</v>
      </c>
      <c r="D23" s="14" t="n">
        <f aca="false">C9</f>
        <v>2.86</v>
      </c>
      <c r="E23" s="22" t="n">
        <f aca="false">B23/C23</f>
        <v>20.0789473684211</v>
      </c>
      <c r="F23" s="22" t="n">
        <f aca="false">B23/D23</f>
        <v>21.3426573426573</v>
      </c>
      <c r="G23" s="27" t="n">
        <v>20</v>
      </c>
      <c r="H23" s="22" t="n">
        <f aca="false">F23-G23</f>
        <v>1.34265734265734</v>
      </c>
      <c r="I23" s="13" t="n">
        <v>57.47</v>
      </c>
      <c r="J23" s="8" t="s">
        <v>445</v>
      </c>
      <c r="K23" s="5" t="s">
        <v>638</v>
      </c>
      <c r="L23" s="22" t="n">
        <f aca="false">IF(A23="2018-12","",E23)</f>
        <v>20.0789473684211</v>
      </c>
    </row>
    <row r="24" customFormat="false" ht="17.15" hidden="false" customHeight="false" outlineLevel="0" collapsed="false">
      <c r="A24" s="0" t="s">
        <v>643</v>
      </c>
      <c r="B24" s="13" t="n">
        <v>86.3</v>
      </c>
      <c r="C24" s="14" t="n">
        <f aca="false">B10</f>
        <v>4.17</v>
      </c>
      <c r="D24" s="14" t="n">
        <f aca="false">C10</f>
        <v>3.92</v>
      </c>
      <c r="E24" s="22" t="n">
        <f aca="false">B24/C24</f>
        <v>20.6954436450839</v>
      </c>
      <c r="F24" s="22" t="n">
        <f aca="false">B24/D24</f>
        <v>22.015306122449</v>
      </c>
      <c r="G24" s="27" t="n">
        <v>21</v>
      </c>
      <c r="H24" s="22" t="n">
        <f aca="false">F24-G24</f>
        <v>1.01530612244898</v>
      </c>
      <c r="I24" s="13" t="n">
        <v>82.31</v>
      </c>
      <c r="J24" s="8" t="s">
        <v>445</v>
      </c>
      <c r="K24" s="5" t="s">
        <v>638</v>
      </c>
      <c r="L24" s="22" t="n">
        <f aca="false">IF(A24="2018-12","",E24)</f>
        <v>20.6954436450839</v>
      </c>
    </row>
    <row r="25" customFormat="false" ht="17.15" hidden="false" customHeight="false" outlineLevel="0" collapsed="false">
      <c r="A25" s="0" t="s">
        <v>644</v>
      </c>
      <c r="B25" s="13" t="n">
        <v>157.36</v>
      </c>
      <c r="C25" s="14" t="n">
        <f aca="false">B11</f>
        <v>6.84</v>
      </c>
      <c r="D25" s="14" t="n">
        <f aca="false">C11</f>
        <v>6.4</v>
      </c>
      <c r="E25" s="22" t="n">
        <f aca="false">B25/C25</f>
        <v>23.0058479532164</v>
      </c>
      <c r="F25" s="22" t="n">
        <f aca="false">B25/D25</f>
        <v>24.5875</v>
      </c>
      <c r="G25" s="27" t="n">
        <v>23.5</v>
      </c>
      <c r="H25" s="22" t="n">
        <f aca="false">F25-G25</f>
        <v>1.0875</v>
      </c>
      <c r="I25" s="14"/>
      <c r="J25" s="8" t="s">
        <v>445</v>
      </c>
      <c r="K25" s="5" t="s">
        <v>638</v>
      </c>
      <c r="L25" s="22" t="n">
        <f aca="false">IF(A25="2018-12","",E25)</f>
        <v>23.0058479532164</v>
      </c>
    </row>
    <row r="26" customFormat="false" ht="17.15" hidden="false" customHeight="false" outlineLevel="0" collapsed="false">
      <c r="A26" s="0" t="s">
        <v>645</v>
      </c>
      <c r="B26" s="13" t="n">
        <v>97.38</v>
      </c>
      <c r="C26" s="14" t="n">
        <f aca="false">B12</f>
        <v>7.7</v>
      </c>
      <c r="D26" s="14" t="n">
        <f aca="false">C12</f>
        <v>7.44</v>
      </c>
      <c r="E26" s="22" t="n">
        <f aca="false">B26/C26</f>
        <v>12.6467532467532</v>
      </c>
      <c r="F26" s="22" t="n">
        <f aca="false">B26/D26</f>
        <v>13.0887096774194</v>
      </c>
      <c r="G26" s="27" t="n">
        <v>12.7</v>
      </c>
      <c r="H26" s="22" t="n">
        <f aca="false">F26-G26</f>
        <v>0.388709677419355</v>
      </c>
      <c r="I26" s="14"/>
      <c r="J26" s="8" t="s">
        <v>445</v>
      </c>
      <c r="K26" s="5" t="s">
        <v>638</v>
      </c>
      <c r="L26" s="22" t="n">
        <f aca="false">IF(A26="2018-12","",E26)</f>
        <v>12.6467532467532</v>
      </c>
    </row>
    <row r="27" customFormat="false" ht="17.15" hidden="false" customHeight="false" outlineLevel="0" collapsed="false">
      <c r="A27" s="0" t="s">
        <v>646</v>
      </c>
      <c r="B27" s="13" t="n">
        <v>162.07</v>
      </c>
      <c r="C27" s="14" t="n">
        <f aca="false">B13</f>
        <v>8.05</v>
      </c>
      <c r="D27" s="14" t="n">
        <f aca="false">C13</f>
        <v>8.11</v>
      </c>
      <c r="E27" s="22" t="n">
        <f aca="false">B27/C27</f>
        <v>20.1329192546584</v>
      </c>
      <c r="F27" s="22" t="n">
        <f aca="false">B27/D27</f>
        <v>19.9839704069051</v>
      </c>
      <c r="G27" s="27" t="n">
        <v>19.6</v>
      </c>
      <c r="H27" s="22" t="n">
        <f aca="false">F27-G27</f>
        <v>0.383970406905053</v>
      </c>
      <c r="I27" s="14"/>
      <c r="J27" s="8" t="s">
        <v>445</v>
      </c>
      <c r="K27" s="5" t="s">
        <v>638</v>
      </c>
      <c r="L27" s="22" t="n">
        <f aca="false">IF(A27="2018-12","",E27)</f>
        <v>20.1329192546584</v>
      </c>
    </row>
    <row r="28" customFormat="false" ht="17.15" hidden="false" customHeight="false" outlineLevel="0" collapsed="false">
      <c r="A28" s="0" t="s">
        <v>647</v>
      </c>
      <c r="B28" s="13" t="n">
        <v>162.63</v>
      </c>
      <c r="C28" s="14" t="n">
        <f aca="false">B14</f>
        <v>8.65</v>
      </c>
      <c r="D28" s="14" t="n">
        <f aca="false">C14</f>
        <v>8.61</v>
      </c>
      <c r="E28" s="22" t="n">
        <f aca="false">B28/C28</f>
        <v>18.8011560693642</v>
      </c>
      <c r="F28" s="22" t="n">
        <f aca="false">B28/D28</f>
        <v>18.8885017421603</v>
      </c>
      <c r="G28" s="27" t="n">
        <v>18.6</v>
      </c>
      <c r="H28" s="22" t="n">
        <f aca="false">F28-G28</f>
        <v>0.288501742160278</v>
      </c>
      <c r="I28" s="14"/>
      <c r="J28" s="8" t="s">
        <v>445</v>
      </c>
      <c r="K28" s="5" t="s">
        <v>638</v>
      </c>
      <c r="L28" s="22" t="n">
        <f aca="false">IF(A28="2018-12","",E28)</f>
        <v>18.8011560693642</v>
      </c>
    </row>
    <row r="29" customFormat="false" ht="17.15" hidden="false" customHeight="false" outlineLevel="0" collapsed="false">
      <c r="A29" s="0" t="s">
        <v>648</v>
      </c>
      <c r="B29" s="13" t="n">
        <v>256.99</v>
      </c>
      <c r="C29" s="14" t="n">
        <f aca="false">B15</f>
        <v>9.42</v>
      </c>
      <c r="D29" s="14" t="n">
        <f aca="false">C15</f>
        <v>8.66</v>
      </c>
      <c r="E29" s="22" t="n">
        <f aca="false">B29/C29</f>
        <v>27.2813163481953</v>
      </c>
      <c r="F29" s="22" t="n">
        <f aca="false">B29/D29</f>
        <v>29.675519630485</v>
      </c>
      <c r="G29" s="27" t="n">
        <v>29.5</v>
      </c>
      <c r="H29" s="22" t="n">
        <f aca="false">F29-G29</f>
        <v>0.175519630484988</v>
      </c>
      <c r="I29" s="13" t="n">
        <v>256.08</v>
      </c>
      <c r="J29" s="8" t="s">
        <v>445</v>
      </c>
      <c r="K29" s="8" t="s">
        <v>649</v>
      </c>
      <c r="L29" s="22" t="n">
        <f aca="false">IF(A29="2018-12","",E29)</f>
        <v>27.2813163481953</v>
      </c>
    </row>
    <row r="31" customFormat="false" ht="17.15" hidden="false" customHeight="false" outlineLevel="0" collapsed="false">
      <c r="A31" s="5" t="s">
        <v>650</v>
      </c>
    </row>
    <row r="33" customFormat="false" ht="17.15" hidden="false" customHeight="false" outlineLevel="0" collapsed="false">
      <c r="A33" s="1" t="s">
        <v>651</v>
      </c>
    </row>
    <row r="34" customFormat="false" ht="17.15" hidden="false" customHeight="false" outlineLevel="0" collapsed="false">
      <c r="A34" s="6" t="s">
        <v>652</v>
      </c>
      <c r="B34" s="15" t="s">
        <v>653</v>
      </c>
      <c r="C34" s="15" t="s">
        <v>654</v>
      </c>
      <c r="D34" s="15" t="s">
        <v>655</v>
      </c>
      <c r="E34" s="6" t="s">
        <v>656</v>
      </c>
    </row>
    <row r="35" customFormat="false" ht="17.15" hidden="false" customHeight="false" outlineLevel="0" collapsed="false">
      <c r="A35" s="0" t="s">
        <v>657</v>
      </c>
      <c r="B35" s="22" t="n">
        <f aca="false">PERCENTILE(E20:E29,0.25)</f>
        <v>16.4069230769231</v>
      </c>
      <c r="C35" s="22" t="n">
        <f aca="false">PERCENTILE(F20:F29,0.25)</f>
        <v>16.8167626595148</v>
      </c>
      <c r="D35" s="22" t="n">
        <f aca="false">PERCENTILE(G20:G29,0.25)</f>
        <v>15.675</v>
      </c>
      <c r="E35" s="5" t="s">
        <v>658</v>
      </c>
    </row>
    <row r="36" customFormat="false" ht="15" hidden="false" customHeight="false" outlineLevel="0" collapsed="false">
      <c r="A36" s="5" t="s">
        <v>659</v>
      </c>
      <c r="B36" s="22" t="n">
        <f aca="false">PERCENTILE(E20:E29,0.5)</f>
        <v>19.4400517188926</v>
      </c>
      <c r="C36" s="22" t="n">
        <f aca="false">PERCENTILE(F20:F29,0.5)</f>
        <v>20.4692579307253</v>
      </c>
      <c r="D36" s="22" t="n">
        <f aca="false">PERCENTILE(G20:G29,0.5)</f>
        <v>19.1</v>
      </c>
      <c r="E36" s="5" t="s">
        <v>660</v>
      </c>
    </row>
    <row r="37" customFormat="false" ht="17.15" hidden="false" customHeight="false" outlineLevel="0" collapsed="false">
      <c r="A37" s="0" t="s">
        <v>661</v>
      </c>
      <c r="B37" s="22" t="n">
        <f aca="false">PERCENTILE(E20:E29,0.75)</f>
        <v>20.5548125474775</v>
      </c>
      <c r="C37" s="22" t="n">
        <f aca="false">PERCENTILE(F20:F29,0.75)</f>
        <v>21.8471439275011</v>
      </c>
      <c r="D37" s="22" t="n">
        <f aca="false">PERCENTILE(G20:G29,0.75)</f>
        <v>20.75</v>
      </c>
      <c r="E37" s="5" t="s">
        <v>662</v>
      </c>
    </row>
    <row r="38" customFormat="false" ht="15" hidden="false" customHeight="false" outlineLevel="0" collapsed="false">
      <c r="A38" s="5" t="s">
        <v>663</v>
      </c>
      <c r="B38" s="0" t="n">
        <f aca="false">COUNT(E20:E29)</f>
        <v>10</v>
      </c>
      <c r="C38" s="0" t="n">
        <f aca="false">COUNT(F20:F29)</f>
        <v>10</v>
      </c>
      <c r="D38" s="0" t="n">
        <f aca="false">COUNT(G20:G29)</f>
        <v>10</v>
      </c>
    </row>
    <row r="40" customFormat="false" ht="17.15" hidden="false" customHeight="false" outlineLevel="0" collapsed="false">
      <c r="A40" s="3" t="s">
        <v>664</v>
      </c>
    </row>
    <row r="41" customFormat="false" ht="17.15" hidden="false" customHeight="false" outlineLevel="0" collapsed="false">
      <c r="A41" s="6" t="s">
        <v>652</v>
      </c>
      <c r="B41" s="15" t="s">
        <v>665</v>
      </c>
    </row>
    <row r="42" customFormat="false" ht="17.15" hidden="false" customHeight="false" outlineLevel="0" collapsed="false">
      <c r="A42" s="0" t="s">
        <v>657</v>
      </c>
      <c r="B42" s="22" t="n">
        <f aca="false">PERCENTILE(L20:L29,0.25)</f>
        <v>18.44</v>
      </c>
    </row>
    <row r="43" customFormat="false" ht="15" hidden="false" customHeight="false" outlineLevel="0" collapsed="false">
      <c r="A43" s="5" t="s">
        <v>659</v>
      </c>
      <c r="B43" s="22" t="n">
        <f aca="false">PERCENTILE(L20:L29,0.5)</f>
        <v>20.0789473684211</v>
      </c>
    </row>
    <row r="44" customFormat="false" ht="17.15" hidden="false" customHeight="false" outlineLevel="0" collapsed="false">
      <c r="A44" s="0" t="s">
        <v>661</v>
      </c>
      <c r="B44" s="22" t="n">
        <f aca="false">PERCENTILE(L20:L29,0.75)</f>
        <v>20.6954436450839</v>
      </c>
    </row>
    <row r="46" customFormat="false" ht="17.15" hidden="false" customHeight="false" outlineLevel="0" collapsed="false">
      <c r="A46" s="3" t="s">
        <v>666</v>
      </c>
    </row>
    <row r="47" customFormat="false" ht="17.15" hidden="false" customHeight="false" outlineLevel="0" collapsed="false">
      <c r="A47" s="28" t="s">
        <v>667</v>
      </c>
      <c r="B47" s="29" t="n">
        <f aca="false">tp_wA*B49+tp_wB*B50+tp_wC*B51</f>
        <v>303.775381503787</v>
      </c>
      <c r="C47" s="30"/>
      <c r="D47" s="30"/>
      <c r="E47" s="31" t="s">
        <v>668</v>
      </c>
    </row>
    <row r="48" customFormat="false" ht="17.15" hidden="false" customHeight="false" outlineLevel="0" collapsed="false">
      <c r="A48" s="31" t="s">
        <v>669</v>
      </c>
      <c r="B48" s="32" t="n">
        <f aca="false">B47/px-1</f>
        <v>-0.194742388124835</v>
      </c>
      <c r="C48" s="30"/>
      <c r="D48" s="30"/>
      <c r="E48" s="31" t="s">
        <v>670</v>
      </c>
    </row>
    <row r="49" customFormat="false" ht="17.15" hidden="false" customHeight="false" outlineLevel="0" collapsed="false">
      <c r="A49" s="5" t="s">
        <v>671</v>
      </c>
      <c r="B49" s="9" t="n">
        <f aca="false">F68</f>
        <v>317.659575214128</v>
      </c>
      <c r="E49" s="5" t="s">
        <v>672</v>
      </c>
    </row>
    <row r="50" customFormat="false" ht="17.15" hidden="false" customHeight="false" outlineLevel="0" collapsed="false">
      <c r="A50" s="5" t="s">
        <v>673</v>
      </c>
      <c r="B50" s="9" t="n">
        <f aca="false">F75</f>
        <v>314.15211766392</v>
      </c>
      <c r="E50" s="5" t="s">
        <v>674</v>
      </c>
    </row>
    <row r="51" customFormat="false" ht="17.15" hidden="false" customHeight="false" outlineLevel="0" collapsed="false">
      <c r="A51" s="5" t="s">
        <v>675</v>
      </c>
      <c r="B51" s="9" t="n">
        <f aca="false">F82</f>
        <v>257.007250537944</v>
      </c>
      <c r="E51" s="5" t="s">
        <v>676</v>
      </c>
    </row>
    <row r="52" customFormat="false" ht="17.15" hidden="false" customHeight="false" outlineLevel="0" collapsed="false">
      <c r="A52" s="5" t="s">
        <v>677</v>
      </c>
      <c r="B52" s="20" t="n">
        <f aca="false">tp_wA</f>
        <v>0.3</v>
      </c>
      <c r="C52" s="20" t="n">
        <f aca="false">tp_wB</f>
        <v>0.5</v>
      </c>
      <c r="D52" s="20" t="n">
        <f aca="false">tp_wC</f>
        <v>0.2</v>
      </c>
      <c r="E52" s="8" t="s">
        <v>678</v>
      </c>
    </row>
    <row r="53" customFormat="false" ht="17.15" hidden="false" customHeight="false" outlineLevel="0" collapsed="false">
      <c r="A53" s="5" t="s">
        <v>679</v>
      </c>
      <c r="B53" s="0" t="s">
        <v>680</v>
      </c>
    </row>
    <row r="59" customFormat="false" ht="17.15" hidden="false" customHeight="false" outlineLevel="0" collapsed="false">
      <c r="A59" s="1" t="s">
        <v>681</v>
      </c>
    </row>
    <row r="60" customFormat="false" ht="17.15" hidden="false" customHeight="false" outlineLevel="0" collapsed="false">
      <c r="A60" s="5" t="s">
        <v>682</v>
      </c>
    </row>
    <row r="61" customFormat="false" ht="17.15" hidden="false" customHeight="false" outlineLevel="0" collapsed="false">
      <c r="A61" s="6" t="s">
        <v>683</v>
      </c>
      <c r="B61" s="6" t="s">
        <v>684</v>
      </c>
      <c r="C61" s="15" t="s">
        <v>685</v>
      </c>
      <c r="D61" s="6" t="s">
        <v>686</v>
      </c>
      <c r="E61" s="6" t="s">
        <v>687</v>
      </c>
      <c r="F61" s="6" t="s">
        <v>688</v>
      </c>
    </row>
    <row r="62" customFormat="false" ht="15" hidden="false" customHeight="false" outlineLevel="0" collapsed="false">
      <c r="A62" s="0" t="s">
        <v>689</v>
      </c>
      <c r="B62" s="0" t="n">
        <f aca="false">pk_A</f>
        <v>2029</v>
      </c>
      <c r="C62" s="7" t="n">
        <v>2027</v>
      </c>
      <c r="D62" s="0" t="str">
        <f aca="false">IF(C62&lt;pk_A,"中段",IF(C62=pk_A,"見頂","谷底"))</f>
        <v>中段</v>
      </c>
      <c r="E62" s="22" t="n">
        <f aca="false">IF(D62="見頂",pe_peak,IF(D62="谷底",pe_trough,pe_mid))</f>
        <v>19.4400517188926</v>
      </c>
      <c r="F62" s="8" t="s">
        <v>690</v>
      </c>
    </row>
    <row r="63" customFormat="false" ht="15" hidden="false" customHeight="false" outlineLevel="0" collapsed="false">
      <c r="A63" s="0" t="s">
        <v>691</v>
      </c>
      <c r="B63" s="0" t="n">
        <f aca="false">pk_B</f>
        <v>2028</v>
      </c>
      <c r="C63" s="7" t="n">
        <v>2027</v>
      </c>
      <c r="D63" s="0" t="str">
        <f aca="false">IF(C63&lt;pk_B,"中段",IF(C63=pk_B,"見頂","谷底"))</f>
        <v>中段</v>
      </c>
      <c r="E63" s="22" t="n">
        <f aca="false">IF(D63="見頂",pe_peak,IF(D63="谷底",pe_trough,pe_mid))</f>
        <v>19.4400517188926</v>
      </c>
      <c r="F63" s="8" t="s">
        <v>690</v>
      </c>
    </row>
    <row r="64" customFormat="false" ht="15" hidden="false" customHeight="false" outlineLevel="0" collapsed="false">
      <c r="A64" s="0" t="s">
        <v>692</v>
      </c>
      <c r="B64" s="0" t="n">
        <f aca="false">pk_C</f>
        <v>2027</v>
      </c>
      <c r="C64" s="7" t="n">
        <v>2027</v>
      </c>
      <c r="D64" s="0" t="str">
        <f aca="false">IF(C64&lt;pk_C,"中段",IF(C64=pk_C,"見頂","谷底"))</f>
        <v>見頂</v>
      </c>
      <c r="E64" s="22" t="n">
        <f aca="false">IF(D64="見頂",pe_peak,IF(D64="谷底",pe_trough,pe_mid))</f>
        <v>16.4069230769231</v>
      </c>
      <c r="F64" s="8" t="s">
        <v>690</v>
      </c>
    </row>
    <row r="66" customFormat="false" ht="17.15" hidden="false" customHeight="false" outlineLevel="0" collapsed="false">
      <c r="A66" s="1" t="s">
        <v>693</v>
      </c>
    </row>
    <row r="67" customFormat="false" ht="17.15" hidden="false" customHeight="false" outlineLevel="0" collapsed="false">
      <c r="A67" s="6" t="s">
        <v>683</v>
      </c>
      <c r="B67" s="15" t="s">
        <v>694</v>
      </c>
      <c r="C67" s="15" t="s">
        <v>695</v>
      </c>
      <c r="D67" s="6" t="s">
        <v>696</v>
      </c>
      <c r="E67" s="6" t="s">
        <v>687</v>
      </c>
      <c r="F67" s="6" t="s">
        <v>697</v>
      </c>
      <c r="G67" s="6" t="s">
        <v>698</v>
      </c>
      <c r="H67" s="6" t="s">
        <v>699</v>
      </c>
    </row>
    <row r="68" customFormat="false" ht="15" hidden="false" customHeight="false" outlineLevel="0" collapsed="false">
      <c r="A68" s="30" t="s">
        <v>689</v>
      </c>
      <c r="B68" s="30" t="s">
        <v>538</v>
      </c>
      <c r="C68" s="33" t="n">
        <f aca="false">PL!E12</f>
        <v>16.340469655511</v>
      </c>
      <c r="D68" s="30" t="str">
        <f aca="false">"規則值："&amp;D62</f>
        <v>規則值：中段</v>
      </c>
      <c r="E68" s="34" t="n">
        <f aca="false">E62</f>
        <v>19.4400517188926</v>
      </c>
      <c r="F68" s="29" t="n">
        <f aca="false">C68*E68</f>
        <v>317.659575214128</v>
      </c>
      <c r="G68" s="35" t="n">
        <f aca="false">F68/px-1</f>
        <v>-0.157937718126052</v>
      </c>
      <c r="H68" s="30"/>
    </row>
    <row r="69" customFormat="false" ht="17.15" hidden="false" customHeight="false" outlineLevel="0" collapsed="false">
      <c r="A69" s="0" t="s">
        <v>689</v>
      </c>
      <c r="B69" s="0" t="s">
        <v>538</v>
      </c>
      <c r="C69" s="14" t="n">
        <f aca="false">PL!E12</f>
        <v>16.340469655511</v>
      </c>
      <c r="D69" s="5" t="s">
        <v>700</v>
      </c>
      <c r="E69" s="22" t="n">
        <f aca="false">pe_peak</f>
        <v>16.4069230769231</v>
      </c>
      <c r="F69" s="9" t="n">
        <f aca="false">C69*E69</f>
        <v>268.096828678764</v>
      </c>
      <c r="G69" s="20" t="n">
        <f aca="false">F69/px-1</f>
        <v>-0.289320250559951</v>
      </c>
    </row>
    <row r="70" customFormat="false" ht="15" hidden="false" customHeight="false" outlineLevel="0" collapsed="false">
      <c r="A70" s="0" t="s">
        <v>689</v>
      </c>
      <c r="B70" s="0" t="s">
        <v>538</v>
      </c>
      <c r="C70" s="14" t="n">
        <f aca="false">PL!E12</f>
        <v>16.340469655511</v>
      </c>
      <c r="D70" s="5" t="s">
        <v>701</v>
      </c>
      <c r="E70" s="22" t="n">
        <f aca="false">pe_mid</f>
        <v>19.4400517188926</v>
      </c>
      <c r="F70" s="9" t="n">
        <f aca="false">C70*E70</f>
        <v>317.659575214128</v>
      </c>
      <c r="G70" s="20" t="n">
        <f aca="false">F70/px-1</f>
        <v>-0.157937718126052</v>
      </c>
    </row>
    <row r="71" customFormat="false" ht="17.15" hidden="false" customHeight="false" outlineLevel="0" collapsed="false">
      <c r="A71" s="0" t="s">
        <v>689</v>
      </c>
      <c r="B71" s="0" t="s">
        <v>538</v>
      </c>
      <c r="C71" s="14" t="n">
        <f aca="false">PL!E12</f>
        <v>16.340469655511</v>
      </c>
      <c r="D71" s="5" t="s">
        <v>702</v>
      </c>
      <c r="E71" s="22" t="n">
        <f aca="false">pe_trough</f>
        <v>20.5548125474775</v>
      </c>
      <c r="F71" s="9" t="n">
        <f aca="false">C71*E71</f>
        <v>335.875290706773</v>
      </c>
      <c r="G71" s="20" t="n">
        <f aca="false">F71/px-1</f>
        <v>-0.109650910012796</v>
      </c>
    </row>
    <row r="72" customFormat="false" ht="17.15" hidden="false" customHeight="false" outlineLevel="0" collapsed="false">
      <c r="A72" s="0" t="s">
        <v>689</v>
      </c>
      <c r="B72" s="0" t="s">
        <v>539</v>
      </c>
      <c r="C72" s="14" t="n">
        <f aca="false">PL!F12</f>
        <v>19.4085315649876</v>
      </c>
      <c r="D72" s="5" t="s">
        <v>700</v>
      </c>
      <c r="E72" s="22" t="n">
        <f aca="false">pe_peak</f>
        <v>16.4069230769231</v>
      </c>
      <c r="F72" s="9" t="n">
        <f aca="false">C72*E72</f>
        <v>318.434284422786</v>
      </c>
      <c r="G72" s="20" t="n">
        <f aca="false">F72/px-1</f>
        <v>-0.155884093885098</v>
      </c>
    </row>
    <row r="73" customFormat="false" ht="15" hidden="false" customHeight="false" outlineLevel="0" collapsed="false">
      <c r="A73" s="0" t="s">
        <v>689</v>
      </c>
      <c r="B73" s="0" t="s">
        <v>539</v>
      </c>
      <c r="C73" s="14" t="n">
        <f aca="false">PL!F12</f>
        <v>19.4085315649876</v>
      </c>
      <c r="D73" s="5" t="s">
        <v>701</v>
      </c>
      <c r="E73" s="22" t="n">
        <f aca="false">pe_mid</f>
        <v>19.4400517188926</v>
      </c>
      <c r="F73" s="9" t="n">
        <f aca="false">C73*E73</f>
        <v>377.302857411119</v>
      </c>
      <c r="G73" s="20" t="n">
        <f aca="false">F73/px-1</f>
        <v>0.000166624459546183</v>
      </c>
    </row>
    <row r="74" customFormat="false" ht="17.15" hidden="false" customHeight="false" outlineLevel="0" collapsed="false">
      <c r="A74" s="0" t="s">
        <v>689</v>
      </c>
      <c r="B74" s="0" t="s">
        <v>539</v>
      </c>
      <c r="C74" s="14" t="n">
        <f aca="false">PL!F12</f>
        <v>19.4085315649876</v>
      </c>
      <c r="D74" s="5" t="s">
        <v>702</v>
      </c>
      <c r="E74" s="22" t="n">
        <f aca="false">pe_trough</f>
        <v>20.5548125474775</v>
      </c>
      <c r="F74" s="9" t="n">
        <f aca="false">C74*E74</f>
        <v>398.938728140122</v>
      </c>
      <c r="G74" s="20" t="n">
        <f aca="false">F74/px-1</f>
        <v>0.0575196907542197</v>
      </c>
    </row>
    <row r="75" customFormat="false" ht="15" hidden="false" customHeight="false" outlineLevel="0" collapsed="false">
      <c r="A75" s="30" t="s">
        <v>691</v>
      </c>
      <c r="B75" s="30" t="s">
        <v>538</v>
      </c>
      <c r="C75" s="33" t="n">
        <f aca="false">PL!E22</f>
        <v>16.1600453644171</v>
      </c>
      <c r="D75" s="30" t="str">
        <f aca="false">"規則值："&amp;D63</f>
        <v>規則值：中段</v>
      </c>
      <c r="E75" s="34" t="n">
        <f aca="false">E63</f>
        <v>19.4400517188926</v>
      </c>
      <c r="F75" s="29" t="n">
        <f aca="false">C75*E75</f>
        <v>314.15211766392</v>
      </c>
      <c r="G75" s="35" t="n">
        <f aca="false">F75/px-1</f>
        <v>-0.167235400106246</v>
      </c>
      <c r="H75" s="30"/>
    </row>
    <row r="76" customFormat="false" ht="17.15" hidden="false" customHeight="false" outlineLevel="0" collapsed="false">
      <c r="A76" s="0" t="s">
        <v>691</v>
      </c>
      <c r="B76" s="0" t="s">
        <v>538</v>
      </c>
      <c r="C76" s="14" t="n">
        <f aca="false">PL!E22</f>
        <v>16.1600453644171</v>
      </c>
      <c r="D76" s="5" t="s">
        <v>700</v>
      </c>
      <c r="E76" s="22" t="n">
        <f aca="false">pe_peak</f>
        <v>16.4069230769231</v>
      </c>
      <c r="F76" s="9" t="n">
        <f aca="false">C76*E76</f>
        <v>265.136621213579</v>
      </c>
      <c r="G76" s="20" t="n">
        <f aca="false">F76/px-1</f>
        <v>-0.297167264305007</v>
      </c>
    </row>
    <row r="77" customFormat="false" ht="15" hidden="false" customHeight="false" outlineLevel="0" collapsed="false">
      <c r="A77" s="0" t="s">
        <v>691</v>
      </c>
      <c r="B77" s="0" t="s">
        <v>538</v>
      </c>
      <c r="C77" s="14" t="n">
        <f aca="false">PL!E22</f>
        <v>16.1600453644171</v>
      </c>
      <c r="D77" s="5" t="s">
        <v>701</v>
      </c>
      <c r="E77" s="22" t="n">
        <f aca="false">pe_mid</f>
        <v>19.4400517188926</v>
      </c>
      <c r="F77" s="9" t="n">
        <f aca="false">C77*E77</f>
        <v>314.15211766392</v>
      </c>
      <c r="G77" s="20" t="n">
        <f aca="false">F77/px-1</f>
        <v>-0.167235400106246</v>
      </c>
    </row>
    <row r="78" customFormat="false" ht="17.15" hidden="false" customHeight="false" outlineLevel="0" collapsed="false">
      <c r="A78" s="0" t="s">
        <v>691</v>
      </c>
      <c r="B78" s="0" t="s">
        <v>538</v>
      </c>
      <c r="C78" s="14" t="n">
        <f aca="false">PL!E22</f>
        <v>16.1600453644171</v>
      </c>
      <c r="D78" s="5" t="s">
        <v>702</v>
      </c>
      <c r="E78" s="22" t="n">
        <f aca="false">pe_trough</f>
        <v>20.5548125474775</v>
      </c>
      <c r="F78" s="9" t="n">
        <f aca="false">C78*E78</f>
        <v>332.166703224328</v>
      </c>
      <c r="G78" s="20" t="n">
        <f aca="false">F78/px-1</f>
        <v>-0.119481753726202</v>
      </c>
    </row>
    <row r="79" customFormat="false" ht="17.15" hidden="false" customHeight="false" outlineLevel="0" collapsed="false">
      <c r="A79" s="0" t="s">
        <v>691</v>
      </c>
      <c r="B79" s="0" t="s">
        <v>539</v>
      </c>
      <c r="C79" s="14" t="n">
        <f aca="false">PL!F22</f>
        <v>17.2208199772101</v>
      </c>
      <c r="D79" s="5" t="s">
        <v>700</v>
      </c>
      <c r="E79" s="22" t="n">
        <f aca="false">pe_peak</f>
        <v>16.4069230769231</v>
      </c>
      <c r="F79" s="9" t="n">
        <f aca="false">C79*E79</f>
        <v>282.540668687627</v>
      </c>
      <c r="G79" s="20" t="n">
        <f aca="false">F79/px-1</f>
        <v>-0.25103205204213</v>
      </c>
    </row>
    <row r="80" customFormat="false" ht="15" hidden="false" customHeight="false" outlineLevel="0" collapsed="false">
      <c r="A80" s="0" t="s">
        <v>691</v>
      </c>
      <c r="B80" s="0" t="s">
        <v>539</v>
      </c>
      <c r="C80" s="14" t="n">
        <f aca="false">PL!F22</f>
        <v>17.2208199772101</v>
      </c>
      <c r="D80" s="5" t="s">
        <v>701</v>
      </c>
      <c r="E80" s="22" t="n">
        <f aca="false">pe_mid</f>
        <v>19.4400517188926</v>
      </c>
      <c r="F80" s="9" t="n">
        <f aca="false">C80*E80</f>
        <v>334.773630998704</v>
      </c>
      <c r="G80" s="20" t="n">
        <f aca="false">F80/px-1</f>
        <v>-0.112571225218154</v>
      </c>
    </row>
    <row r="81" customFormat="false" ht="17.15" hidden="false" customHeight="false" outlineLevel="0" collapsed="false">
      <c r="A81" s="0" t="s">
        <v>691</v>
      </c>
      <c r="B81" s="0" t="s">
        <v>539</v>
      </c>
      <c r="C81" s="14" t="n">
        <f aca="false">PL!F22</f>
        <v>17.2208199772101</v>
      </c>
      <c r="D81" s="5" t="s">
        <v>702</v>
      </c>
      <c r="E81" s="22" t="n">
        <f aca="false">pe_trough</f>
        <v>20.5548125474775</v>
      </c>
      <c r="F81" s="9" t="n">
        <f aca="false">C81*E81</f>
        <v>353.970726545411</v>
      </c>
      <c r="G81" s="20" t="n">
        <f aca="false">F81/px-1</f>
        <v>-0.0616829430987949</v>
      </c>
    </row>
    <row r="82" customFormat="false" ht="15" hidden="false" customHeight="false" outlineLevel="0" collapsed="false">
      <c r="A82" s="30" t="s">
        <v>692</v>
      </c>
      <c r="B82" s="30" t="s">
        <v>538</v>
      </c>
      <c r="C82" s="33" t="n">
        <f aca="false">PL!E32</f>
        <v>15.6645611936484</v>
      </c>
      <c r="D82" s="30" t="str">
        <f aca="false">"規則值："&amp;D64</f>
        <v>規則值：見頂</v>
      </c>
      <c r="E82" s="34" t="n">
        <f aca="false">E64</f>
        <v>16.4069230769231</v>
      </c>
      <c r="F82" s="29" t="n">
        <f aca="false">C82*E82</f>
        <v>257.007250537944</v>
      </c>
      <c r="G82" s="35" t="n">
        <f aca="false">F82/px-1</f>
        <v>-0.318716863169485</v>
      </c>
      <c r="H82" s="30"/>
    </row>
    <row r="83" customFormat="false" ht="17.15" hidden="false" customHeight="false" outlineLevel="0" collapsed="false">
      <c r="A83" s="0" t="s">
        <v>692</v>
      </c>
      <c r="B83" s="0" t="s">
        <v>538</v>
      </c>
      <c r="C83" s="14" t="n">
        <f aca="false">PL!E32</f>
        <v>15.6645611936484</v>
      </c>
      <c r="D83" s="5" t="s">
        <v>700</v>
      </c>
      <c r="E83" s="22" t="n">
        <f aca="false">pe_peak</f>
        <v>16.4069230769231</v>
      </c>
      <c r="F83" s="9" t="n">
        <f aca="false">C83*E83</f>
        <v>257.007250537944</v>
      </c>
      <c r="G83" s="20" t="n">
        <f aca="false">F83/px-1</f>
        <v>-0.318716863169485</v>
      </c>
    </row>
    <row r="84" customFormat="false" ht="15" hidden="false" customHeight="false" outlineLevel="0" collapsed="false">
      <c r="A84" s="0" t="s">
        <v>692</v>
      </c>
      <c r="B84" s="0" t="s">
        <v>538</v>
      </c>
      <c r="C84" s="14" t="n">
        <f aca="false">PL!E32</f>
        <v>15.6645611936484</v>
      </c>
      <c r="D84" s="5" t="s">
        <v>701</v>
      </c>
      <c r="E84" s="22" t="n">
        <f aca="false">pe_mid</f>
        <v>19.4400517188926</v>
      </c>
      <c r="F84" s="9" t="n">
        <f aca="false">C84*E84</f>
        <v>304.519879758283</v>
      </c>
      <c r="G84" s="20" t="n">
        <f aca="false">F84/px-1</f>
        <v>-0.192768848058841</v>
      </c>
    </row>
    <row r="85" customFormat="false" ht="17.15" hidden="false" customHeight="false" outlineLevel="0" collapsed="false">
      <c r="A85" s="0" t="s">
        <v>692</v>
      </c>
      <c r="B85" s="0" t="s">
        <v>538</v>
      </c>
      <c r="C85" s="14" t="n">
        <f aca="false">PL!E32</f>
        <v>15.6645611936484</v>
      </c>
      <c r="D85" s="5" t="s">
        <v>702</v>
      </c>
      <c r="E85" s="22" t="n">
        <f aca="false">pe_trough</f>
        <v>20.5548125474775</v>
      </c>
      <c r="F85" s="9" t="n">
        <f aca="false">C85*E85</f>
        <v>321.982118973934</v>
      </c>
      <c r="G85" s="20" t="n">
        <f aca="false">F85/px-1</f>
        <v>-0.146479379244158</v>
      </c>
    </row>
    <row r="86" customFormat="false" ht="17.15" hidden="false" customHeight="false" outlineLevel="0" collapsed="false">
      <c r="A86" s="0" t="s">
        <v>692</v>
      </c>
      <c r="B86" s="0" t="s">
        <v>539</v>
      </c>
      <c r="C86" s="14" t="n">
        <f aca="false">PL!F32</f>
        <v>13.6179623355117</v>
      </c>
      <c r="D86" s="5" t="s">
        <v>700</v>
      </c>
      <c r="E86" s="22" t="n">
        <f aca="false">pe_peak</f>
        <v>16.4069230769231</v>
      </c>
      <c r="F86" s="9" t="n">
        <f aca="false">C86*E86</f>
        <v>223.428860503176</v>
      </c>
      <c r="G86" s="20" t="n">
        <f aca="false">F86/px-1</f>
        <v>-0.407727546116065</v>
      </c>
    </row>
    <row r="87" customFormat="false" ht="15" hidden="false" customHeight="false" outlineLevel="0" collapsed="false">
      <c r="A87" s="0" t="s">
        <v>692</v>
      </c>
      <c r="B87" s="0" t="s">
        <v>539</v>
      </c>
      <c r="C87" s="14" t="n">
        <f aca="false">PL!F32</f>
        <v>13.6179623355117</v>
      </c>
      <c r="D87" s="5" t="s">
        <v>701</v>
      </c>
      <c r="E87" s="22" t="n">
        <f aca="false">pe_mid</f>
        <v>19.4400517188926</v>
      </c>
      <c r="F87" s="9" t="n">
        <f aca="false">C87*E87</f>
        <v>264.733892108279</v>
      </c>
      <c r="G87" s="20" t="n">
        <f aca="false">F87/px-1</f>
        <v>-0.2982348316502</v>
      </c>
    </row>
    <row r="88" customFormat="false" ht="17.15" hidden="false" customHeight="false" outlineLevel="0" collapsed="false">
      <c r="A88" s="0" t="s">
        <v>692</v>
      </c>
      <c r="B88" s="0" t="s">
        <v>539</v>
      </c>
      <c r="C88" s="14" t="n">
        <f aca="false">PL!F32</f>
        <v>13.6179623355117</v>
      </c>
      <c r="D88" s="5" t="s">
        <v>702</v>
      </c>
      <c r="E88" s="22" t="n">
        <f aca="false">pe_trough</f>
        <v>20.5548125474775</v>
      </c>
      <c r="F88" s="9" t="n">
        <f aca="false">C88*E88</f>
        <v>279.914663085052</v>
      </c>
      <c r="G88" s="20" t="n">
        <f aca="false">F88/px-1</f>
        <v>-0.257993152674552</v>
      </c>
    </row>
    <row r="90" customFormat="false" ht="17.15" hidden="false" customHeight="false" outlineLevel="0" collapsed="false">
      <c r="A90" s="1" t="s">
        <v>703</v>
      </c>
    </row>
    <row r="91" customFormat="false" ht="15" hidden="false" customHeight="false" outlineLevel="0" collapsed="false">
      <c r="A91" s="6" t="s">
        <v>19</v>
      </c>
      <c r="B91" s="15" t="s">
        <v>689</v>
      </c>
      <c r="C91" s="15" t="s">
        <v>691</v>
      </c>
      <c r="D91" s="15" t="s">
        <v>692</v>
      </c>
      <c r="E91" s="6" t="s">
        <v>699</v>
      </c>
    </row>
    <row r="92" customFormat="false" ht="17.15" hidden="false" customHeight="false" outlineLevel="0" collapsed="false">
      <c r="A92" s="5" t="s">
        <v>704</v>
      </c>
      <c r="B92" s="14" t="n">
        <f aca="false">px</f>
        <v>377.24</v>
      </c>
    </row>
    <row r="93" customFormat="false" ht="17.15" hidden="false" customHeight="false" outlineLevel="0" collapsed="false">
      <c r="A93" s="5" t="s">
        <v>705</v>
      </c>
      <c r="B93" s="22" t="n">
        <f aca="false">sa_fpe</f>
        <v>21.39</v>
      </c>
      <c r="E93" s="8" t="s">
        <v>706</v>
      </c>
    </row>
    <row r="94" customFormat="false" ht="17.15" hidden="false" customHeight="false" outlineLevel="0" collapsed="false">
      <c r="A94" s="5" t="s">
        <v>707</v>
      </c>
      <c r="B94" s="22" t="n">
        <f aca="false">px/cons_eps27</f>
        <v>20.4023796646836</v>
      </c>
      <c r="E94" s="5" t="s">
        <v>708</v>
      </c>
    </row>
    <row r="95" customFormat="false" ht="17.15" hidden="false" customHeight="false" outlineLevel="0" collapsed="false">
      <c r="A95" s="5" t="s">
        <v>709</v>
      </c>
      <c r="B95" s="22" t="n">
        <f aca="false">px/(Q!E15+SUM(Q!G15:I15))</f>
        <v>34.5774518790101</v>
      </c>
      <c r="E95" s="8" t="s">
        <v>710</v>
      </c>
    </row>
    <row r="96" customFormat="false" ht="17.15" hidden="false" customHeight="false" outlineLevel="0" collapsed="false">
      <c r="A96" s="5" t="s">
        <v>711</v>
      </c>
      <c r="B96" s="22" t="n">
        <f aca="false">px/PL!D12</f>
        <v>29.564263322884</v>
      </c>
      <c r="C96" s="22" t="n">
        <f aca="false">px/PL!D22</f>
        <v>29.564263322884</v>
      </c>
      <c r="D96" s="22" t="n">
        <f aca="false">px/PL!D32</f>
        <v>29.564263322884</v>
      </c>
      <c r="E96" s="5" t="s">
        <v>712</v>
      </c>
    </row>
    <row r="97" customFormat="false" ht="17.15" hidden="false" customHeight="false" outlineLevel="0" collapsed="false">
      <c r="A97" s="5" t="s">
        <v>713</v>
      </c>
      <c r="B97" s="22" t="n">
        <f aca="false">px/PL!E12</f>
        <v>23.086239744203</v>
      </c>
      <c r="C97" s="22" t="n">
        <f aca="false">px/PL!E22</f>
        <v>23.3439938745869</v>
      </c>
      <c r="D97" s="22" t="n">
        <f aca="false">px/PL!E32</f>
        <v>24.0823854135769</v>
      </c>
    </row>
    <row r="98" customFormat="false" ht="17.15" hidden="false" customHeight="false" outlineLevel="0" collapsed="false">
      <c r="A98" s="5" t="s">
        <v>714</v>
      </c>
      <c r="B98" s="22" t="n">
        <f aca="false">px/PL!F12</f>
        <v>19.4368130704194</v>
      </c>
      <c r="C98" s="22" t="n">
        <f aca="false">px/PL!F22</f>
        <v>21.9060416692838</v>
      </c>
      <c r="D98" s="22" t="n">
        <f aca="false">px/PL!F32</f>
        <v>27.7016480664121</v>
      </c>
    </row>
    <row r="99" customFormat="false" ht="17.15" hidden="false" customHeight="false" outlineLevel="0" collapsed="false">
      <c r="A99" s="5" t="s">
        <v>715</v>
      </c>
      <c r="B99" s="14" t="n">
        <f aca="false">B97/E62</f>
        <v>1.18756061341992</v>
      </c>
      <c r="E99" s="8" t="s">
        <v>716</v>
      </c>
    </row>
    <row r="102" customFormat="false" ht="17.15" hidden="false" customHeight="false" outlineLevel="0" collapsed="false">
      <c r="A102" s="1" t="s">
        <v>717</v>
      </c>
    </row>
    <row r="103" customFormat="false" ht="17.15" hidden="false" customHeight="false" outlineLevel="0" collapsed="false">
      <c r="A103" s="1" t="s">
        <v>718</v>
      </c>
    </row>
    <row r="104" customFormat="false" ht="17.15" hidden="false" customHeight="false" outlineLevel="0" collapsed="false">
      <c r="A104" s="6" t="s">
        <v>19</v>
      </c>
      <c r="B104" s="15" t="s">
        <v>719</v>
      </c>
      <c r="C104" s="15" t="s">
        <v>720</v>
      </c>
      <c r="D104" s="15" t="s">
        <v>721</v>
      </c>
      <c r="E104" s="6" t="s">
        <v>518</v>
      </c>
    </row>
    <row r="105" customFormat="false" ht="17.15" hidden="false" customHeight="false" outlineLevel="0" collapsed="false">
      <c r="A105" s="5" t="s">
        <v>722</v>
      </c>
      <c r="E105" s="0" t="s">
        <v>723</v>
      </c>
    </row>
    <row r="106" customFormat="false" ht="15" hidden="false" customHeight="false" outlineLevel="0" collapsed="false">
      <c r="A106" s="0" t="s">
        <v>724</v>
      </c>
      <c r="B106" s="14" t="n">
        <f aca="false">PL!E141</f>
        <v>16.340469655511</v>
      </c>
      <c r="C106" s="14" t="n">
        <f aca="false">PL!E148</f>
        <v>16.1600453644171</v>
      </c>
      <c r="D106" s="14" t="n">
        <f aca="false">PL!E155</f>
        <v>15.6645611936484</v>
      </c>
    </row>
    <row r="107" customFormat="false" ht="15" hidden="false" customHeight="false" outlineLevel="0" collapsed="false">
      <c r="A107" s="0" t="s">
        <v>725</v>
      </c>
      <c r="B107" s="14" t="n">
        <f aca="false">PL!F141</f>
        <v>19.4085315649876</v>
      </c>
      <c r="C107" s="14" t="n">
        <f aca="false">PL!F148</f>
        <v>17.2208199772101</v>
      </c>
      <c r="D107" s="14" t="n">
        <f aca="false">PL!F155</f>
        <v>13.6179623355117</v>
      </c>
    </row>
    <row r="108" customFormat="false" ht="15" hidden="false" customHeight="false" outlineLevel="0" collapsed="false">
      <c r="A108" s="0" t="s">
        <v>726</v>
      </c>
      <c r="B108" s="14" t="n">
        <f aca="false">PL!G141</f>
        <v>21.6154405298429</v>
      </c>
      <c r="C108" s="14" t="n">
        <f aca="false">PL!G148</f>
        <v>17.1258429833387</v>
      </c>
      <c r="D108" s="14" t="n">
        <f aca="false">PL!G155</f>
        <v>13.4030785506764</v>
      </c>
    </row>
    <row r="109" customFormat="false" ht="15" hidden="false" customHeight="false" outlineLevel="0" collapsed="false">
      <c r="A109" s="0" t="s">
        <v>727</v>
      </c>
      <c r="B109" s="14" t="n">
        <f aca="false">PL!H141</f>
        <v>23.2079384307512</v>
      </c>
      <c r="C109" s="14" t="n">
        <f aca="false">PL!H148</f>
        <v>16.3989315002104</v>
      </c>
      <c r="D109" s="14" t="n">
        <f aca="false">PL!H155</f>
        <v>12.2682218575416</v>
      </c>
    </row>
    <row r="110" customFormat="false" ht="15" hidden="false" customHeight="false" outlineLevel="0" collapsed="false">
      <c r="A110" s="0" t="s">
        <v>728</v>
      </c>
      <c r="B110" s="14" t="n">
        <f aca="false">PL!I141</f>
        <v>24.7590884505948</v>
      </c>
      <c r="C110" s="14" t="n">
        <f aca="false">PL!I148</f>
        <v>15.9326277367646</v>
      </c>
      <c r="D110" s="14" t="n">
        <f aca="false">PL!I155</f>
        <v>11.2892604598184</v>
      </c>
    </row>
    <row r="111" customFormat="false" ht="15" hidden="false" customHeight="false" outlineLevel="0" collapsed="false">
      <c r="A111" s="0" t="s">
        <v>729</v>
      </c>
      <c r="B111" s="14" t="n">
        <f aca="false">PL!J141</f>
        <v>26.2446337576305</v>
      </c>
      <c r="C111" s="14" t="n">
        <f aca="false">PL!J148</f>
        <v>15.6973326587092</v>
      </c>
      <c r="D111" s="14" t="n">
        <f aca="false">PL!J155</f>
        <v>10.4265161193926</v>
      </c>
    </row>
    <row r="112" customFormat="false" ht="17.15" hidden="false" customHeight="false" outlineLevel="0" collapsed="false">
      <c r="A112" s="5" t="s">
        <v>730</v>
      </c>
      <c r="E112" s="5" t="s">
        <v>731</v>
      </c>
    </row>
    <row r="113" customFormat="false" ht="17.15" hidden="false" customHeight="false" outlineLevel="0" collapsed="false">
      <c r="A113" s="5" t="s">
        <v>732</v>
      </c>
      <c r="B113" s="11" t="n">
        <f aca="false">MIN(tp_g/tp_roe,0.8)</f>
        <v>0.0966494845360825</v>
      </c>
      <c r="E113" s="8" t="s">
        <v>733</v>
      </c>
    </row>
    <row r="114" customFormat="false" ht="15" hidden="false" customHeight="false" outlineLevel="0" collapsed="false">
      <c r="A114" s="0" t="s">
        <v>724</v>
      </c>
      <c r="B114" s="14" t="n">
        <f aca="false">B106*(1-$B$113)</f>
        <v>14.7611716862283</v>
      </c>
      <c r="C114" s="14" t="n">
        <f aca="false">C106*(1-$B$113)</f>
        <v>14.5981853098665</v>
      </c>
      <c r="D114" s="14" t="n">
        <f aca="false">D106*(1-$B$113)</f>
        <v>14.1505894287984</v>
      </c>
    </row>
    <row r="115" customFormat="false" ht="15" hidden="false" customHeight="false" outlineLevel="0" collapsed="false">
      <c r="A115" s="0" t="s">
        <v>725</v>
      </c>
      <c r="B115" s="14" t="n">
        <f aca="false">B107*(1-$B$113)</f>
        <v>17.5327069936293</v>
      </c>
      <c r="C115" s="14" t="n">
        <f aca="false">C107*(1-$B$113)</f>
        <v>15.5564366031241</v>
      </c>
      <c r="D115" s="14" t="n">
        <f aca="false">D107*(1-$B$113)</f>
        <v>12.3017932953527</v>
      </c>
    </row>
    <row r="116" customFormat="false" ht="15" hidden="false" customHeight="false" outlineLevel="0" collapsed="false">
      <c r="A116" s="0" t="s">
        <v>726</v>
      </c>
      <c r="B116" s="14" t="n">
        <f aca="false">B108*(1-$B$113)</f>
        <v>19.5263193446132</v>
      </c>
      <c r="C116" s="14" t="n">
        <f aca="false">C108*(1-$B$113)</f>
        <v>15.4706390867531</v>
      </c>
      <c r="D116" s="14" t="n">
        <f aca="false">D108*(1-$B$113)</f>
        <v>12.1076779175569</v>
      </c>
    </row>
    <row r="117" customFormat="false" ht="15" hidden="false" customHeight="false" outlineLevel="0" collapsed="false">
      <c r="A117" s="0" t="s">
        <v>727</v>
      </c>
      <c r="B117" s="14" t="n">
        <f aca="false">B109*(1-$B$113)</f>
        <v>20.9649031442739</v>
      </c>
      <c r="C117" s="14" t="n">
        <f aca="false">C109*(1-$B$113)</f>
        <v>14.8139832237725</v>
      </c>
      <c r="D117" s="14" t="n">
        <f aca="false">D109*(1-$B$113)</f>
        <v>11.0825045388359</v>
      </c>
    </row>
    <row r="118" customFormat="false" ht="15" hidden="false" customHeight="false" outlineLevel="0" collapsed="false">
      <c r="A118" s="0" t="s">
        <v>728</v>
      </c>
      <c r="B118" s="14" t="n">
        <f aca="false">B110*(1-$B$113)</f>
        <v>22.3661353142616</v>
      </c>
      <c r="C118" s="14" t="n">
        <f aca="false">C110*(1-$B$113)</f>
        <v>14.392747478701</v>
      </c>
      <c r="D118" s="14" t="n">
        <f aca="false">D110*(1-$B$113)</f>
        <v>10.1981592555833</v>
      </c>
    </row>
    <row r="119" customFormat="false" ht="15" hidden="false" customHeight="false" outlineLevel="0" collapsed="false">
      <c r="A119" s="0" t="s">
        <v>729</v>
      </c>
      <c r="B119" s="14" t="n">
        <f aca="false">B111*(1-$B$113)</f>
        <v>23.7081034331173</v>
      </c>
      <c r="C119" s="14" t="n">
        <f aca="false">C111*(1-$B$113)</f>
        <v>14.1801935486536</v>
      </c>
      <c r="D119" s="14" t="n">
        <f aca="false">D111*(1-$B$113)</f>
        <v>9.41879871094612</v>
      </c>
    </row>
    <row r="120" customFormat="false" ht="17.15" hidden="false" customHeight="false" outlineLevel="0" collapsed="false">
      <c r="A120" s="0" t="s">
        <v>734</v>
      </c>
      <c r="B120" s="14" t="n">
        <f aca="false">SUMPRODUCT(B114:B119,1/(1+tp_r)^{1;2;3;4;5;6})+B119*(1+tp_g)/(tp_r-tp_g)/(1+tp_r)^6</f>
        <v>316.134203993079</v>
      </c>
      <c r="C120" s="14" t="n">
        <f aca="false">SUMPRODUCT(C114:C119,1/(1+tp_r)^{1;2;3;4;5;6})+C119*(1+tp_g)/(tp_r-tp_g)/(1+tp_r)^6</f>
        <v>203.552279523245</v>
      </c>
      <c r="D120" s="14" t="n">
        <f aca="false">SUMPRODUCT(D114:D119,1/(1+tp_r)^{1;2;3;4;5;6})+D119*(1+tp_g)/(tp_r-tp_g)/(1+tp_r)^6</f>
        <v>143.501591361204</v>
      </c>
      <c r="E120" s="8" t="s">
        <v>735</v>
      </c>
    </row>
    <row r="121" customFormat="false" ht="17.15" hidden="false" customHeight="false" outlineLevel="0" collapsed="false">
      <c r="A121" s="0" t="s">
        <v>736</v>
      </c>
      <c r="B121" s="14" t="n">
        <f aca="false">B120*(1+tp_r)</f>
        <v>347.747624392386</v>
      </c>
      <c r="C121" s="14" t="n">
        <f aca="false">C120*(1+tp_r)</f>
        <v>223.90750747557</v>
      </c>
      <c r="D121" s="14" t="n">
        <f aca="false">D120*(1+tp_r)</f>
        <v>157.851750497325</v>
      </c>
    </row>
    <row r="122" customFormat="false" ht="17.15" hidden="false" customHeight="false" outlineLevel="0" collapsed="false">
      <c r="A122" s="0" t="s">
        <v>737</v>
      </c>
      <c r="B122" s="33" t="n">
        <f aca="false">tp_wA*B121+tp_wB*C121+tp_wC*D121</f>
        <v>247.848391154966</v>
      </c>
      <c r="E122" s="8" t="s">
        <v>738</v>
      </c>
    </row>
    <row r="124" customFormat="false" ht="17.15" hidden="false" customHeight="false" outlineLevel="0" collapsed="false">
      <c r="A124" s="1" t="s">
        <v>739</v>
      </c>
    </row>
    <row r="125" customFormat="false" ht="17.15" hidden="false" customHeight="false" outlineLevel="0" collapsed="false">
      <c r="A125" s="6" t="s">
        <v>740</v>
      </c>
      <c r="B125" s="6" t="s">
        <v>741</v>
      </c>
      <c r="C125" s="6" t="s">
        <v>742</v>
      </c>
      <c r="D125" s="6" t="s">
        <v>743</v>
      </c>
      <c r="E125" s="6" t="s">
        <v>744</v>
      </c>
      <c r="F125" s="6" t="s">
        <v>24</v>
      </c>
    </row>
    <row r="126" customFormat="false" ht="17.15" hidden="false" customHeight="false" outlineLevel="0" collapsed="false">
      <c r="A126" s="5" t="s">
        <v>745</v>
      </c>
      <c r="B126" s="0" t="s">
        <v>746</v>
      </c>
      <c r="C126" s="27" t="n">
        <v>22.39</v>
      </c>
      <c r="D126" s="8" t="s">
        <v>747</v>
      </c>
      <c r="E126" s="8" t="s">
        <v>748</v>
      </c>
      <c r="F126" s="8" t="s">
        <v>204</v>
      </c>
    </row>
    <row r="127" customFormat="false" ht="17.15" hidden="false" customHeight="false" outlineLevel="0" collapsed="false">
      <c r="A127" s="5" t="s">
        <v>749</v>
      </c>
      <c r="B127" s="0" t="s">
        <v>750</v>
      </c>
      <c r="C127" s="27" t="n">
        <v>26.65</v>
      </c>
      <c r="D127" s="8" t="s">
        <v>747</v>
      </c>
      <c r="E127" s="8" t="s">
        <v>748</v>
      </c>
      <c r="F127" s="8" t="s">
        <v>204</v>
      </c>
    </row>
    <row r="128" customFormat="false" ht="17.15" hidden="false" customHeight="false" outlineLevel="0" collapsed="false">
      <c r="A128" s="0" t="s">
        <v>751</v>
      </c>
      <c r="B128" s="0" t="s">
        <v>752</v>
      </c>
      <c r="C128" s="27" t="n">
        <v>24.74</v>
      </c>
      <c r="D128" s="8" t="s">
        <v>747</v>
      </c>
      <c r="E128" s="8" t="s">
        <v>748</v>
      </c>
      <c r="F128" s="8" t="s">
        <v>204</v>
      </c>
    </row>
    <row r="129" customFormat="false" ht="17.15" hidden="false" customHeight="false" outlineLevel="0" collapsed="false">
      <c r="A129" s="5" t="s">
        <v>753</v>
      </c>
      <c r="B129" s="0" t="s">
        <v>754</v>
      </c>
      <c r="C129" s="27" t="n">
        <v>27.09</v>
      </c>
      <c r="D129" s="8" t="s">
        <v>755</v>
      </c>
      <c r="E129" s="8" t="s">
        <v>748</v>
      </c>
      <c r="F129" s="8" t="s">
        <v>204</v>
      </c>
    </row>
    <row r="130" customFormat="false" ht="17.15" hidden="false" customHeight="false" outlineLevel="0" collapsed="false">
      <c r="A130" s="5" t="s">
        <v>756</v>
      </c>
      <c r="B130" s="22" t="n">
        <f aca="false">MEDIAN(C126:C129)</f>
        <v>25.695</v>
      </c>
      <c r="E130" s="5" t="s">
        <v>757</v>
      </c>
    </row>
    <row r="131" customFormat="false" ht="17.15" hidden="false" customHeight="false" outlineLevel="0" collapsed="false">
      <c r="A131" s="0" t="s">
        <v>758</v>
      </c>
      <c r="B131" s="14" t="n">
        <f aca="false">tp_wA*(1*B107)+tp_wB*(1*C107)+tp_wC*(1*D107)</f>
        <v>17.1565619252037</v>
      </c>
      <c r="E131" s="5" t="s">
        <v>759</v>
      </c>
    </row>
    <row r="132" customFormat="false" ht="17.15" hidden="false" customHeight="false" outlineLevel="0" collapsed="false">
      <c r="A132" s="0" t="s">
        <v>760</v>
      </c>
      <c r="B132" s="33" t="n">
        <f aca="false">B130*B131</f>
        <v>440.837858668109</v>
      </c>
      <c r="E132" s="5" t="s">
        <v>761</v>
      </c>
    </row>
    <row r="134" customFormat="false" ht="17.15" hidden="false" customHeight="false" outlineLevel="0" collapsed="false">
      <c r="A134" s="1" t="s">
        <v>762</v>
      </c>
    </row>
    <row r="135" customFormat="false" ht="15" hidden="false" customHeight="false" outlineLevel="0" collapsed="false">
      <c r="A135" s="6" t="s">
        <v>19</v>
      </c>
      <c r="B135" s="6" t="s">
        <v>763</v>
      </c>
      <c r="C135" s="15"/>
      <c r="D135" s="15"/>
      <c r="E135" s="6" t="s">
        <v>518</v>
      </c>
    </row>
    <row r="136" customFormat="false" ht="17.15" hidden="false" customHeight="false" outlineLevel="0" collapsed="false">
      <c r="A136" s="5" t="s">
        <v>764</v>
      </c>
      <c r="B136" s="33" t="n">
        <f aca="false">tp_w_dcf*B122+(1-tp_w_dcf)*tp_comp_adj</f>
        <v>307.901982299436</v>
      </c>
      <c r="E136" s="8" t="s">
        <v>765</v>
      </c>
    </row>
    <row r="137" customFormat="false" ht="17.15" hidden="false" customHeight="false" outlineLevel="0" collapsed="false">
      <c r="A137" s="0" t="s">
        <v>766</v>
      </c>
      <c r="B137" s="14" t="n">
        <f aca="false">B132</f>
        <v>440.837858668109</v>
      </c>
      <c r="E137" s="5" t="s">
        <v>767</v>
      </c>
    </row>
    <row r="138" customFormat="false" ht="17.15" hidden="false" customHeight="false" outlineLevel="0" collapsed="false">
      <c r="A138" s="5" t="s">
        <v>768</v>
      </c>
      <c r="B138" s="14" t="n">
        <f aca="false">cons_tp</f>
        <v>627.83</v>
      </c>
      <c r="E138" s="8" t="s">
        <v>426</v>
      </c>
    </row>
    <row r="139" customFormat="false" ht="17.15" hidden="false" customHeight="false" outlineLevel="0" collapsed="false">
      <c r="A139" s="5" t="s">
        <v>769</v>
      </c>
      <c r="B139" s="11" t="n">
        <f aca="false">B136/px-1</f>
        <v>-0.18380346119331</v>
      </c>
      <c r="E139" s="5" t="s">
        <v>770</v>
      </c>
    </row>
    <row r="140" customFormat="false" ht="17.15" hidden="false" customHeight="false" outlineLevel="0" collapsed="false">
      <c r="A140" s="5" t="s">
        <v>771</v>
      </c>
      <c r="B140" s="11" t="n">
        <f aca="false">B137/px-1</f>
        <v>0.168587261870715</v>
      </c>
    </row>
    <row r="141" customFormat="false" ht="17.15" hidden="false" customHeight="false" outlineLevel="0" collapsed="false">
      <c r="A141" s="5" t="s">
        <v>772</v>
      </c>
      <c r="B141" s="11" t="n">
        <f aca="false">B131/cons_feps-1</f>
        <v>-0.0721167157813041</v>
      </c>
      <c r="E141" s="5" t="s">
        <v>773</v>
      </c>
    </row>
    <row r="142" customFormat="false" ht="17.15" hidden="false" customHeight="false" outlineLevel="0" collapsed="false">
      <c r="A142" s="5" t="s">
        <v>774</v>
      </c>
      <c r="B142" s="11" t="n">
        <f aca="false">(cons_tp/cons_feps)/B130-1</f>
        <v>0.321467634588089</v>
      </c>
      <c r="E142" s="0" t="str">
        <f aca="false">"共識目標價 ÷ 共識前瞻 EPS 隱含 "&amp;TEXT(cons_tp/cons_feps,"0.0")&amp;"x，同業中位數 "&amp;TEXT(B130,"0.0")&amp;"x"</f>
        <v>共識目標價 ÷ 共識前瞻 EPS 隱含 34.0x，同業中位數 25.7x</v>
      </c>
    </row>
    <row r="143" customFormat="false" ht="17.15" hidden="false" customHeight="false" outlineLevel="0" collapsed="false">
      <c r="A143" s="5" t="s">
        <v>775</v>
      </c>
      <c r="B143" s="36" t="str">
        <f aca="false">TEXT(D121,"0.00")&amp;"～"&amp;TEXT(B121,"0.00")</f>
        <v>157.85～347.75</v>
      </c>
      <c r="E143" s="8" t="s">
        <v>776</v>
      </c>
    </row>
    <row r="144" customFormat="false" ht="17.15" hidden="false" customHeight="false" outlineLevel="0" collapsed="false">
      <c r="A144" s="5" t="s">
        <v>777</v>
      </c>
      <c r="B144" s="20" t="n">
        <f aca="false">IF(px/B107&lt;MIN(E20:E29),0,IF(px/B107&gt;MAX(E20:E29),1,PERCENTRANK(E20:E29,px/B107)))</f>
        <v>0.5</v>
      </c>
      <c r="C144" s="20" t="n">
        <f aca="false">IF(px/C107&lt;MIN(E20:E29),0,IF(px/C107&gt;MAX(E20:E29),1,PERCENTRANK(E20:E29,px/C107)))</f>
        <v>0.836</v>
      </c>
      <c r="D144" s="20" t="n">
        <f aca="false">IF(px/D107&lt;MIN(E20:E29),0,IF(px/D107&gt;MAX(E20:E29),1,PERCENTRANK(E20:E29,px/D107)))</f>
        <v>1</v>
      </c>
      <c r="E144" s="5" t="s">
        <v>778</v>
      </c>
    </row>
    <row r="145" customFormat="false" ht="17.15" hidden="false" customHeight="false" outlineLevel="0" collapsed="false">
      <c r="A145" s="5" t="s">
        <v>779</v>
      </c>
      <c r="B145" s="0" t="s">
        <v>780</v>
      </c>
    </row>
    <row r="146" customFormat="false" ht="17.15" hidden="false" customHeight="false" outlineLevel="0" collapsed="false">
      <c r="A146" s="5" t="s">
        <v>781</v>
      </c>
      <c r="B146" s="36" t="str">
        <f aca="false">IF(B139&gt;0.5,"大於 50%",IF(B139&gt;0.25,"25%–50%",IF(B139&gt;=0,"0%–25%",IF(B139&gt;=-0.25,"0%～−25%",IF(B139&gt;=-0.5,"−25%～−50%","小於 −50%")))))</f>
        <v>0%～−25%</v>
      </c>
      <c r="E146" s="5" t="s">
        <v>782</v>
      </c>
    </row>
    <row r="147" customFormat="false" ht="17.15" hidden="false" customHeight="false" outlineLevel="0" collapsed="false">
      <c r="A147" s="5" t="s">
        <v>783</v>
      </c>
      <c r="B147" s="36" t="str">
        <f aca="false">IF(B139&gt;0.5,"強力買進",IF(B139&gt;0.25,"買進",IF(B139&gt;=-0.25,"中立",IF(B139&gt;=-0.5,"放空","強力放空"))))</f>
        <v>中立</v>
      </c>
      <c r="E147" s="5" t="s">
        <v>784</v>
      </c>
    </row>
    <row r="150" customFormat="false" ht="17.15" hidden="false" customHeight="false" outlineLevel="0" collapsed="false">
      <c r="A150" s="1" t="s">
        <v>785</v>
      </c>
    </row>
    <row r="151" customFormat="false" ht="17.15" hidden="false" customHeight="false" outlineLevel="0" collapsed="false">
      <c r="A151" s="5" t="s">
        <v>786</v>
      </c>
    </row>
    <row r="152" customFormat="false" ht="17.15" hidden="false" customHeight="false" outlineLevel="0" collapsed="false">
      <c r="A152" s="6" t="s">
        <v>787</v>
      </c>
      <c r="B152" s="6" t="s">
        <v>741</v>
      </c>
      <c r="C152" s="6" t="s">
        <v>788</v>
      </c>
      <c r="D152" s="15" t="s">
        <v>789</v>
      </c>
      <c r="E152" s="15" t="s">
        <v>790</v>
      </c>
      <c r="F152" s="15" t="s">
        <v>791</v>
      </c>
      <c r="G152" s="15" t="s">
        <v>792</v>
      </c>
      <c r="H152" s="15" t="s">
        <v>793</v>
      </c>
      <c r="I152" s="15" t="s">
        <v>794</v>
      </c>
      <c r="J152" s="15" t="s">
        <v>795</v>
      </c>
      <c r="K152" s="15" t="s">
        <v>796</v>
      </c>
      <c r="L152" s="15" t="s">
        <v>797</v>
      </c>
      <c r="M152" s="15" t="s">
        <v>798</v>
      </c>
      <c r="N152" s="6" t="s">
        <v>799</v>
      </c>
      <c r="O152" s="15" t="s">
        <v>800</v>
      </c>
      <c r="P152" s="6" t="s">
        <v>801</v>
      </c>
      <c r="Q152" s="6" t="s">
        <v>744</v>
      </c>
    </row>
    <row r="153" customFormat="false" ht="17.15" hidden="false" customHeight="false" outlineLevel="0" collapsed="false">
      <c r="A153" s="5" t="s">
        <v>802</v>
      </c>
      <c r="B153" s="0" t="s">
        <v>803</v>
      </c>
      <c r="C153" s="5" t="s">
        <v>804</v>
      </c>
      <c r="D153" s="13" t="n">
        <v>13.7225</v>
      </c>
      <c r="E153" s="13" t="n">
        <v>10.8895</v>
      </c>
      <c r="F153" s="13" t="n">
        <v>12.359</v>
      </c>
      <c r="G153" s="13" t="n">
        <v>13.5995</v>
      </c>
      <c r="H153" s="13" t="n">
        <v>19.002</v>
      </c>
      <c r="I153" s="13" t="n">
        <v>13.6035</v>
      </c>
      <c r="J153" s="13" t="n">
        <v>17.242</v>
      </c>
      <c r="K153" s="13" t="n">
        <v>21.6845</v>
      </c>
      <c r="L153" s="13" t="n">
        <v>17.552</v>
      </c>
      <c r="M153" s="13" t="n">
        <v>29.4305</v>
      </c>
      <c r="N153" s="8" t="n">
        <f aca="false">COUNT(D153:M153)</f>
        <v>10</v>
      </c>
      <c r="O153" s="14" t="n">
        <f aca="false">IF(N153&gt;0,MEDIAN(D153:M153),"")</f>
        <v>15.48225</v>
      </c>
      <c r="P153" s="14" t="n">
        <f aca="false">IF(N153&gt;=7,O153,"")</f>
        <v>15.48225</v>
      </c>
      <c r="Q153" s="8" t="s">
        <v>805</v>
      </c>
    </row>
    <row r="154" customFormat="false" ht="17.15" hidden="false" customHeight="false" outlineLevel="0" collapsed="false">
      <c r="A154" s="5" t="s">
        <v>745</v>
      </c>
      <c r="B154" s="0" t="s">
        <v>746</v>
      </c>
      <c r="C154" s="5" t="s">
        <v>806</v>
      </c>
      <c r="D154" s="13" t="n">
        <v>13.094</v>
      </c>
      <c r="E154" s="13" t="n">
        <v>11.4605</v>
      </c>
      <c r="F154" s="13" t="n">
        <v>12.469</v>
      </c>
      <c r="G154" s="13" t="n">
        <v>15.635</v>
      </c>
      <c r="H154" s="13" t="n">
        <v>19.4305</v>
      </c>
      <c r="I154" s="13" t="n">
        <v>13.6175</v>
      </c>
      <c r="J154" s="13" t="n">
        <v>19.248</v>
      </c>
      <c r="K154" s="13" t="n">
        <v>24.8905</v>
      </c>
      <c r="L154" s="13" t="n">
        <v>20.5425</v>
      </c>
      <c r="M154" s="13" t="n">
        <v>32.5565</v>
      </c>
      <c r="N154" s="8" t="n">
        <f aca="false">COUNT(D154:M154)</f>
        <v>10</v>
      </c>
      <c r="O154" s="14" t="n">
        <f aca="false">IF(N154&gt;0,MEDIAN(D154:M154),"")</f>
        <v>17.4415</v>
      </c>
      <c r="P154" s="14" t="n">
        <f aca="false">IF(N154&gt;=7,O154,"")</f>
        <v>17.4415</v>
      </c>
      <c r="Q154" s="8" t="s">
        <v>807</v>
      </c>
    </row>
    <row r="155" customFormat="false" ht="17.15" hidden="false" customHeight="false" outlineLevel="0" collapsed="false">
      <c r="A155" s="5" t="s">
        <v>749</v>
      </c>
      <c r="B155" s="0" t="s">
        <v>750</v>
      </c>
      <c r="C155" s="5" t="s">
        <v>806</v>
      </c>
      <c r="D155" s="13" t="n">
        <v>14.9505</v>
      </c>
      <c r="E155" s="13" t="n">
        <v>12.9745</v>
      </c>
      <c r="F155" s="13" t="n">
        <v>13.1095</v>
      </c>
      <c r="G155" s="13" t="n">
        <v>16.7925</v>
      </c>
      <c r="H155" s="13" t="n">
        <v>19.551</v>
      </c>
      <c r="I155" s="13" t="n">
        <v>15.3265</v>
      </c>
      <c r="J155" s="13" t="n">
        <v>19.384</v>
      </c>
      <c r="K155" s="13" t="n">
        <v>25.5595</v>
      </c>
      <c r="L155" s="13" t="n">
        <v>22.843</v>
      </c>
      <c r="M155" s="13" t="n">
        <v>33.323</v>
      </c>
      <c r="N155" s="8" t="n">
        <f aca="false">COUNT(D155:M155)</f>
        <v>10</v>
      </c>
      <c r="O155" s="14" t="n">
        <f aca="false">IF(N155&gt;0,MEDIAN(D155:M155),"")</f>
        <v>18.08825</v>
      </c>
      <c r="P155" s="14" t="n">
        <f aca="false">IF(N155&gt;=7,O155,"")</f>
        <v>18.08825</v>
      </c>
      <c r="Q155" s="8" t="s">
        <v>808</v>
      </c>
    </row>
    <row r="156" customFormat="false" ht="17.15" hidden="false" customHeight="false" outlineLevel="0" collapsed="false">
      <c r="A156" s="0" t="s">
        <v>751</v>
      </c>
      <c r="B156" s="0" t="s">
        <v>752</v>
      </c>
      <c r="C156" s="5" t="s">
        <v>806</v>
      </c>
      <c r="D156" s="13" t="n">
        <v>26.5705</v>
      </c>
      <c r="E156" s="13" t="n">
        <v>26.6655</v>
      </c>
      <c r="F156" s="13" t="n">
        <v>25.2965</v>
      </c>
      <c r="G156" s="13" t="n">
        <v>32.8775</v>
      </c>
      <c r="H156" s="13" t="n">
        <v>42.029</v>
      </c>
      <c r="I156" s="13" t="n">
        <v>30.398</v>
      </c>
      <c r="J156" s="13" t="n">
        <v>30.5675</v>
      </c>
      <c r="K156" s="13" t="n">
        <v>35.3655</v>
      </c>
      <c r="L156" s="13" t="n">
        <v>27.3035</v>
      </c>
      <c r="M156" s="13" t="n">
        <v>35.2235</v>
      </c>
      <c r="N156" s="8" t="n">
        <f aca="false">COUNT(D156:M156)</f>
        <v>10</v>
      </c>
      <c r="O156" s="14" t="n">
        <f aca="false">IF(N156&gt;0,MEDIAN(D156:M156),"")</f>
        <v>30.48275</v>
      </c>
      <c r="P156" s="14" t="n">
        <f aca="false">IF(N156&gt;=7,O156,"")</f>
        <v>30.48275</v>
      </c>
      <c r="Q156" s="8" t="s">
        <v>809</v>
      </c>
    </row>
    <row r="157" customFormat="false" ht="17.15" hidden="false" customHeight="false" outlineLevel="0" collapsed="false">
      <c r="A157" s="5" t="s">
        <v>753</v>
      </c>
      <c r="B157" s="0" t="s">
        <v>754</v>
      </c>
      <c r="C157" s="5" t="s">
        <v>806</v>
      </c>
      <c r="D157" s="13" t="n">
        <v>15.2035</v>
      </c>
      <c r="E157" s="13" t="n">
        <v>13.118</v>
      </c>
      <c r="F157" s="13" t="n">
        <v>14.9395</v>
      </c>
      <c r="G157" s="13" t="n">
        <v>18.391</v>
      </c>
      <c r="H157" s="13" t="n">
        <v>22.441</v>
      </c>
      <c r="I157" s="13" t="n">
        <v>17.0215</v>
      </c>
      <c r="J157" s="13" t="n">
        <v>24.286</v>
      </c>
      <c r="K157" s="13" t="n">
        <v>31.8425</v>
      </c>
      <c r="L157" s="13" t="n">
        <v>19.628</v>
      </c>
      <c r="M157" s="13" t="n">
        <v>29.732</v>
      </c>
      <c r="N157" s="8" t="n">
        <f aca="false">COUNT(D157:M157)</f>
        <v>10</v>
      </c>
      <c r="O157" s="14" t="n">
        <f aca="false">IF(N157&gt;0,MEDIAN(D157:M157),"")</f>
        <v>19.0095</v>
      </c>
      <c r="P157" s="14" t="n">
        <f aca="false">IF(N157&gt;=7,O157,"")</f>
        <v>19.0095</v>
      </c>
      <c r="Q157" s="8" t="s">
        <v>810</v>
      </c>
    </row>
    <row r="159" customFormat="false" ht="17.15" hidden="false" customHeight="false" outlineLevel="0" collapsed="false">
      <c r="A159" s="5" t="s">
        <v>811</v>
      </c>
      <c r="B159" s="14" t="n">
        <f aca="false">P153</f>
        <v>15.48225</v>
      </c>
      <c r="E159" s="5" t="s">
        <v>812</v>
      </c>
    </row>
    <row r="160" customFormat="false" ht="15" hidden="false" customHeight="false" outlineLevel="0" collapsed="false">
      <c r="A160" s="5" t="s">
        <v>813</v>
      </c>
      <c r="B160" s="17" t="n">
        <f aca="false">COUNT(P154:P157)</f>
        <v>4</v>
      </c>
    </row>
    <row r="161" customFormat="false" ht="17.15" hidden="false" customHeight="false" outlineLevel="0" collapsed="false">
      <c r="A161" s="5" t="s">
        <v>814</v>
      </c>
      <c r="B161" s="14" t="n">
        <f aca="false">IF(B160&gt;0,MEDIAN(P154:P157),"")</f>
        <v>18.548875</v>
      </c>
    </row>
    <row r="162" customFormat="false" ht="17.15" hidden="false" customHeight="false" outlineLevel="0" collapsed="false">
      <c r="A162" s="5" t="s">
        <v>815</v>
      </c>
      <c r="B162" s="14" t="n">
        <f aca="false">IF(AND(ISNUMBER(B159),B160&gt;=2),B159/B161,"")</f>
        <v>0.834673261855503</v>
      </c>
      <c r="E162" s="5" t="s">
        <v>816</v>
      </c>
    </row>
    <row r="163" customFormat="false" ht="17.15" hidden="false" customHeight="false" outlineLevel="0" collapsed="false">
      <c r="A163" s="5" t="s">
        <v>817</v>
      </c>
      <c r="B163" s="13" t="n">
        <v>0.5</v>
      </c>
      <c r="E163" s="8" t="s">
        <v>818</v>
      </c>
    </row>
    <row r="164" customFormat="false" ht="17.15" hidden="false" customHeight="false" outlineLevel="0" collapsed="false">
      <c r="A164" s="5" t="s">
        <v>819</v>
      </c>
      <c r="B164" s="13" t="n">
        <v>2</v>
      </c>
      <c r="E164" s="8" t="s">
        <v>820</v>
      </c>
    </row>
    <row r="165" customFormat="false" ht="17.15" hidden="false" customHeight="false" outlineLevel="0" collapsed="false">
      <c r="A165" s="3" t="s">
        <v>821</v>
      </c>
      <c r="B165" s="33" t="n">
        <f aca="false">IF(ISNUMBER(B162),MIN(MAX(B162,B163),B164),1)</f>
        <v>0.834673261855503</v>
      </c>
      <c r="E165" s="5" t="s">
        <v>822</v>
      </c>
    </row>
    <row r="166" customFormat="false" ht="17.15" hidden="false" customHeight="false" outlineLevel="0" collapsed="false">
      <c r="A166" s="1" t="s">
        <v>823</v>
      </c>
      <c r="B166" s="33" t="n">
        <f aca="false">Val!$B$132*B165</f>
        <v>367.955573443906</v>
      </c>
      <c r="E166" s="5" t="s">
        <v>824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8" min="2" style="0" width="12"/>
    <col collapsed="false" customWidth="true" hidden="false" outlineLevel="0" max="9" min="9" style="0" width="34"/>
    <col collapsed="false" customWidth="true" hidden="false" outlineLevel="0" max="10" min="10" style="0" width="80"/>
  </cols>
  <sheetData>
    <row r="1" customFormat="false" ht="17.15" hidden="false" customHeight="false" outlineLevel="0" collapsed="false">
      <c r="A1" s="0" t="s">
        <v>825</v>
      </c>
    </row>
    <row r="3" customFormat="false" ht="17.15" hidden="false" customHeight="false" outlineLevel="0" collapsed="false">
      <c r="A3" s="6" t="s">
        <v>19</v>
      </c>
      <c r="B3" s="6" t="s">
        <v>826</v>
      </c>
      <c r="C3" s="6" t="s">
        <v>827</v>
      </c>
      <c r="D3" s="6" t="s">
        <v>828</v>
      </c>
      <c r="E3" s="6" t="s">
        <v>829</v>
      </c>
      <c r="F3" s="6" t="s">
        <v>830</v>
      </c>
      <c r="G3" s="6" t="s">
        <v>831</v>
      </c>
      <c r="H3" s="6" t="s">
        <v>832</v>
      </c>
      <c r="I3" s="6" t="s">
        <v>833</v>
      </c>
      <c r="J3" s="6" t="s">
        <v>518</v>
      </c>
    </row>
    <row r="4" customFormat="false" ht="17.15" hidden="false" customHeight="false" outlineLevel="0" collapsed="false">
      <c r="A4" s="1" t="s">
        <v>834</v>
      </c>
    </row>
    <row r="5" customFormat="false" ht="17.15" hidden="false" customHeight="false" outlineLevel="0" collapsed="false">
      <c r="A5" s="0" t="s">
        <v>835</v>
      </c>
      <c r="B5" s="9" t="n">
        <f aca="false">cons_rev26</f>
        <v>34260</v>
      </c>
      <c r="C5" s="9" t="n">
        <f aca="false">PL!D5</f>
        <v>34287</v>
      </c>
      <c r="D5" s="11" t="n">
        <f aca="false">C5/B5-1</f>
        <v>0.000788091068301133</v>
      </c>
      <c r="E5" s="9" t="n">
        <f aca="false">PL!D15</f>
        <v>34287</v>
      </c>
      <c r="F5" s="11" t="n">
        <f aca="false">E5/B5-1</f>
        <v>0.000788091068301133</v>
      </c>
      <c r="G5" s="9" t="n">
        <f aca="false">PL!D25</f>
        <v>34287</v>
      </c>
      <c r="H5" s="11" t="n">
        <f aca="false">G5/B5-1</f>
        <v>0.000788091068301133</v>
      </c>
      <c r="I5" s="8" t="s">
        <v>836</v>
      </c>
      <c r="J5" s="5" t="s">
        <v>837</v>
      </c>
    </row>
    <row r="6" customFormat="false" ht="17.15" hidden="false" customHeight="false" outlineLevel="0" collapsed="false">
      <c r="A6" s="0" t="s">
        <v>838</v>
      </c>
      <c r="B6" s="14" t="n">
        <f aca="false">cons_eps26</f>
        <v>12.79</v>
      </c>
      <c r="C6" s="14" t="n">
        <f aca="false">PL!D12</f>
        <v>12.76</v>
      </c>
      <c r="D6" s="11" t="n">
        <f aca="false">C6/B6-1</f>
        <v>-0.00234558248631733</v>
      </c>
      <c r="E6" s="14" t="n">
        <f aca="false">PL!D22</f>
        <v>12.76</v>
      </c>
      <c r="F6" s="11" t="n">
        <f aca="false">E6/B6-1</f>
        <v>-0.00234558248631733</v>
      </c>
      <c r="G6" s="14" t="n">
        <f aca="false">PL!D32</f>
        <v>12.76</v>
      </c>
      <c r="H6" s="11" t="n">
        <f aca="false">G6/B6-1</f>
        <v>-0.00234558248631733</v>
      </c>
      <c r="I6" s="8" t="s">
        <v>836</v>
      </c>
    </row>
    <row r="7" customFormat="false" ht="17.15" hidden="false" customHeight="false" outlineLevel="0" collapsed="false">
      <c r="A7" s="0" t="s">
        <v>839</v>
      </c>
      <c r="B7" s="9" t="n">
        <f aca="false">cons_rev27</f>
        <v>46370</v>
      </c>
      <c r="C7" s="9" t="n">
        <f aca="false">PL!E5</f>
        <v>41144.9579854298</v>
      </c>
      <c r="D7" s="11" t="n">
        <f aca="false">C7/B7-1</f>
        <v>-0.112681518537204</v>
      </c>
      <c r="E7" s="9" t="n">
        <f aca="false">PL!E15</f>
        <v>40801.3579854298</v>
      </c>
      <c r="F7" s="11" t="n">
        <f aca="false">E7/B7-1</f>
        <v>-0.12009148187557</v>
      </c>
      <c r="G7" s="9" t="n">
        <f aca="false">PL!E25</f>
        <v>39857.7579854298</v>
      </c>
      <c r="H7" s="11" t="n">
        <f aca="false">G7/B7-1</f>
        <v>-0.140440845688379</v>
      </c>
      <c r="I7" s="8" t="s">
        <v>836</v>
      </c>
    </row>
    <row r="8" customFormat="false" ht="15" hidden="false" customHeight="false" outlineLevel="0" collapsed="false">
      <c r="A8" s="0" t="s">
        <v>840</v>
      </c>
      <c r="B8" s="14" t="n">
        <f aca="false">cons_eps27</f>
        <v>18.49</v>
      </c>
      <c r="C8" s="14" t="n">
        <f aca="false">PL!E12</f>
        <v>16.340469655511</v>
      </c>
      <c r="D8" s="11" t="n">
        <f aca="false">C8/B8-1</f>
        <v>-0.116253669253058</v>
      </c>
      <c r="E8" s="14" t="n">
        <f aca="false">PL!E22</f>
        <v>16.1600453644171</v>
      </c>
      <c r="F8" s="11" t="n">
        <f aca="false">E8/B8-1</f>
        <v>-0.1260116081981</v>
      </c>
      <c r="G8" s="14" t="n">
        <f aca="false">PL!E32</f>
        <v>15.6645611936484</v>
      </c>
      <c r="H8" s="11" t="n">
        <f aca="false">G8/B8-1</f>
        <v>-0.152809021435998</v>
      </c>
      <c r="I8" s="8" t="s">
        <v>836</v>
      </c>
    </row>
    <row r="9" customFormat="false" ht="17.15" hidden="false" customHeight="false" outlineLevel="0" collapsed="false">
      <c r="A9" s="1" t="s">
        <v>841</v>
      </c>
    </row>
    <row r="10" customFormat="false" ht="17.15" hidden="false" customHeight="false" outlineLevel="0" collapsed="false">
      <c r="A10" s="5" t="s">
        <v>505</v>
      </c>
      <c r="B10" s="9" t="n">
        <f aca="false">g_ss_q4*4</f>
        <v>31600</v>
      </c>
      <c r="C10" s="9" t="n">
        <f aca="false">PL!E6</f>
        <v>31877.2079854298</v>
      </c>
      <c r="D10" s="11" t="n">
        <f aca="false">C10/B10-1</f>
        <v>0.00877240460221018</v>
      </c>
      <c r="E10" s="9" t="n">
        <f aca="false">PL!E16</f>
        <v>31877.2079854298</v>
      </c>
      <c r="F10" s="11" t="n">
        <f aca="false">E10/B10-1</f>
        <v>0.00877240460221018</v>
      </c>
      <c r="G10" s="9" t="n">
        <f aca="false">PL!E26</f>
        <v>31389.3084387262</v>
      </c>
      <c r="H10" s="11" t="n">
        <f aca="false">G10/B10-1</f>
        <v>-0.0066674544706895</v>
      </c>
      <c r="I10" s="5" t="s">
        <v>842</v>
      </c>
      <c r="J10" s="8" t="s">
        <v>843</v>
      </c>
    </row>
    <row r="11" customFormat="false" ht="17.15" hidden="false" customHeight="false" outlineLevel="0" collapsed="false">
      <c r="A11" s="5" t="s">
        <v>454</v>
      </c>
      <c r="B11" s="9" t="n">
        <f aca="false">g_rev_q4*4</f>
        <v>41000</v>
      </c>
      <c r="C11" s="9" t="n">
        <f aca="false">PL!E5</f>
        <v>41144.9579854298</v>
      </c>
      <c r="D11" s="11" t="n">
        <f aca="false">C11/B11-1</f>
        <v>0.00353556062024007</v>
      </c>
      <c r="E11" s="9" t="n">
        <f aca="false">PL!E15</f>
        <v>40801.3579854298</v>
      </c>
      <c r="F11" s="11" t="n">
        <f aca="false">E11/B11-1</f>
        <v>-0.00484492718463792</v>
      </c>
      <c r="G11" s="9" t="n">
        <f aca="false">PL!E25</f>
        <v>39857.7579854298</v>
      </c>
      <c r="H11" s="11" t="n">
        <f aca="false">G11/B11-1</f>
        <v>-0.0278595613309793</v>
      </c>
      <c r="I11" s="5" t="s">
        <v>842</v>
      </c>
    </row>
    <row r="12" customFormat="false" ht="17.15" hidden="false" customHeight="false" outlineLevel="0" collapsed="false">
      <c r="A12" s="1" t="s">
        <v>844</v>
      </c>
    </row>
    <row r="13" customFormat="false" ht="17.15" hidden="false" customHeight="false" outlineLevel="0" collapsed="false">
      <c r="A13" s="0" t="s">
        <v>845</v>
      </c>
      <c r="B13" s="11" t="n">
        <v>0.2</v>
      </c>
      <c r="C13" s="11" t="n">
        <f aca="false">PL!D56/PL!C56-1</f>
        <v>0.191637461614859</v>
      </c>
      <c r="D13" s="11" t="n">
        <f aca="false">C13-B13</f>
        <v>-0.00836253838514139</v>
      </c>
      <c r="E13" s="11" t="n">
        <f aca="false">PL!D87/PL!C87-1</f>
        <v>0.191637461614859</v>
      </c>
      <c r="F13" s="11" t="n">
        <f aca="false">E13-B13</f>
        <v>-0.00836253838514139</v>
      </c>
      <c r="G13" s="11" t="n">
        <f aca="false">PL!D118/PL!C118-1</f>
        <v>0.191637461614859</v>
      </c>
      <c r="H13" s="11" t="n">
        <f aca="false">G13-B13</f>
        <v>-0.00836253838514139</v>
      </c>
      <c r="I13" s="5" t="s">
        <v>846</v>
      </c>
      <c r="J13" s="8" t="s">
        <v>847</v>
      </c>
    </row>
    <row r="14" customFormat="false" ht="17.15" hidden="false" customHeight="false" outlineLevel="0" collapsed="false">
      <c r="A14" s="0" t="s">
        <v>848</v>
      </c>
      <c r="B14" s="11" t="n">
        <f aca="false">co_ai27</f>
        <v>0.8</v>
      </c>
      <c r="C14" s="11" t="n">
        <f aca="false">ai_inc27</f>
        <v>0.626860639170224</v>
      </c>
      <c r="D14" s="11" t="n">
        <f aca="false">C14-B14</f>
        <v>-0.173139360829776</v>
      </c>
      <c r="E14" s="11" t="n">
        <f aca="false">ai_inc27</f>
        <v>0.626860639170224</v>
      </c>
      <c r="F14" s="11" t="n">
        <f aca="false">E14-B14</f>
        <v>-0.173139360829776</v>
      </c>
      <c r="G14" s="11" t="n">
        <f aca="false">ai_inc27</f>
        <v>0.626860639170224</v>
      </c>
      <c r="H14" s="11" t="n">
        <f aca="false">G14-B14</f>
        <v>-0.173139360829776</v>
      </c>
      <c r="I14" s="5" t="s">
        <v>849</v>
      </c>
      <c r="J14" s="5" t="s">
        <v>850</v>
      </c>
    </row>
    <row r="15" customFormat="false" ht="17.15" hidden="false" customHeight="false" outlineLevel="0" collapsed="false">
      <c r="A15" s="1" t="s">
        <v>851</v>
      </c>
    </row>
    <row r="16" customFormat="false" ht="17.15" hidden="false" customHeight="false" outlineLevel="0" collapsed="false">
      <c r="A16" s="0" t="s">
        <v>852</v>
      </c>
      <c r="B16" s="22" t="n">
        <f aca="false">semi_wfe26</f>
        <v>143.9</v>
      </c>
      <c r="C16" s="11" t="n">
        <f aca="false">PL!D55/1000/semi_wfe26</f>
        <v>0.181000694927033</v>
      </c>
      <c r="I16" s="8" t="s">
        <v>853</v>
      </c>
      <c r="J16" s="5" t="s">
        <v>854</v>
      </c>
    </row>
    <row r="17" customFormat="false" ht="17.15" hidden="false" customHeight="false" outlineLevel="0" collapsed="false">
      <c r="A17" s="0" t="s">
        <v>855</v>
      </c>
      <c r="C17" s="11" t="n">
        <f aca="false">SUM(Q!G7:I7)/an_rev</f>
        <v>0.701052877183772</v>
      </c>
      <c r="J17" s="5" t="s">
        <v>856</v>
      </c>
    </row>
    <row r="18" customFormat="false" ht="17.15" hidden="false" customHeight="false" outlineLevel="0" collapsed="false">
      <c r="A18" s="0" t="s">
        <v>857</v>
      </c>
      <c r="C18" s="11" t="n">
        <f aca="false">PL!E5/PL!D5-1</f>
        <v>0.200016273964763</v>
      </c>
      <c r="J18" s="5" t="s">
        <v>858</v>
      </c>
    </row>
    <row r="19" customFormat="false" ht="17.15" hidden="false" customHeight="false" outlineLevel="0" collapsed="false">
      <c r="A19" s="5" t="s">
        <v>859</v>
      </c>
      <c r="C19" s="11" t="n">
        <f aca="false">cons_rev27/cons_rev26-1</f>
        <v>0.353473438412143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46"/>
    <col collapsed="false" customWidth="true" hidden="false" outlineLevel="0" max="8" min="3" style="0" width="15"/>
  </cols>
  <sheetData>
    <row r="1" customFormat="false" ht="17.15" hidden="false" customHeight="false" outlineLevel="0" collapsed="false">
      <c r="A1" s="0" t="s">
        <v>860</v>
      </c>
    </row>
    <row r="3" customFormat="false" ht="17.15" hidden="false" customHeight="false" outlineLevel="0" collapsed="false">
      <c r="A3" s="6" t="s">
        <v>861</v>
      </c>
      <c r="B3" s="6" t="s">
        <v>862</v>
      </c>
      <c r="C3" s="15" t="s">
        <v>863</v>
      </c>
      <c r="D3" s="15" t="s">
        <v>864</v>
      </c>
      <c r="E3" s="6" t="s">
        <v>865</v>
      </c>
      <c r="F3" s="15" t="s">
        <v>866</v>
      </c>
      <c r="G3" s="15" t="s">
        <v>867</v>
      </c>
      <c r="H3" s="6" t="s">
        <v>865</v>
      </c>
    </row>
    <row r="4" customFormat="false" ht="17.15" hidden="false" customHeight="false" outlineLevel="0" collapsed="false">
      <c r="A4" s="5" t="s">
        <v>868</v>
      </c>
      <c r="B4" s="0" t="s">
        <v>869</v>
      </c>
      <c r="C4" s="9" t="n">
        <f aca="false">PL!E58</f>
        <v>41144.9579854298</v>
      </c>
      <c r="D4" s="14" t="n">
        <f aca="false">PL!E67</f>
        <v>16.340469655511</v>
      </c>
      <c r="E4" s="11" t="n">
        <f aca="false">D4/D$4-1</f>
        <v>0</v>
      </c>
      <c r="F4" s="9" t="n">
        <f aca="false">PL!F58</f>
        <v>46618.1586927855</v>
      </c>
      <c r="G4" s="14" t="n">
        <f aca="false">PL!F67</f>
        <v>19.4085315649876</v>
      </c>
      <c r="H4" s="11" t="n">
        <f aca="false">G4/G$4-1</f>
        <v>0</v>
      </c>
    </row>
    <row r="5" customFormat="false" ht="17.15" hidden="false" customHeight="false" outlineLevel="0" collapsed="false">
      <c r="A5" s="5" t="s">
        <v>870</v>
      </c>
      <c r="B5" s="0" t="s">
        <v>871</v>
      </c>
      <c r="C5" s="9" t="n">
        <f aca="false">E78</f>
        <v>39551.0975861584</v>
      </c>
      <c r="D5" s="14" t="n">
        <f aca="false">E87</f>
        <v>15.5035338794892</v>
      </c>
      <c r="E5" s="11" t="n">
        <f aca="false">D5/D$4-1</f>
        <v>-0.051218587572207</v>
      </c>
      <c r="F5" s="9" t="n">
        <f aca="false">F78</f>
        <v>44809.6763831462</v>
      </c>
      <c r="G5" s="14" t="n">
        <f aca="false">F87</f>
        <v>18.4493056072955</v>
      </c>
      <c r="H5" s="11" t="n">
        <f aca="false">G5/G$4-1</f>
        <v>-0.0494229022159806</v>
      </c>
    </row>
    <row r="6" customFormat="false" ht="17.15" hidden="false" customHeight="false" outlineLevel="0" collapsed="false">
      <c r="A6" s="5" t="s">
        <v>872</v>
      </c>
      <c r="B6" s="5" t="s">
        <v>873</v>
      </c>
      <c r="C6" s="9" t="n">
        <f aca="false">E110</f>
        <v>42738.8183847013</v>
      </c>
      <c r="D6" s="14" t="n">
        <f aca="false">E119</f>
        <v>17.1774054315328</v>
      </c>
      <c r="E6" s="11" t="n">
        <f aca="false">D6/D$4-1</f>
        <v>0.0512185875722078</v>
      </c>
      <c r="F6" s="9" t="n">
        <f aca="false">F110</f>
        <v>48426.6410024248</v>
      </c>
      <c r="G6" s="14" t="n">
        <f aca="false">F119</f>
        <v>20.3677575226798</v>
      </c>
      <c r="H6" s="11" t="n">
        <f aca="false">G6/G$4-1</f>
        <v>0.0494229022159804</v>
      </c>
    </row>
    <row r="7" customFormat="false" ht="17.15" hidden="false" customHeight="false" outlineLevel="0" collapsed="false">
      <c r="A7" s="5" t="s">
        <v>874</v>
      </c>
      <c r="B7" s="0" t="s">
        <v>875</v>
      </c>
      <c r="C7" s="9" t="n">
        <f aca="false">E142</f>
        <v>41104.987973346</v>
      </c>
      <c r="D7" s="14" t="n">
        <f aca="false">E151</f>
        <v>16.3194814101814</v>
      </c>
      <c r="E7" s="11" t="n">
        <f aca="false">D7/D$4-1</f>
        <v>-0.0012844334203379</v>
      </c>
      <c r="F7" s="9" t="n">
        <f aca="false">F142</f>
        <v>46569.7510479737</v>
      </c>
      <c r="G7" s="14" t="n">
        <f aca="false">F151</f>
        <v>19.3828559643988</v>
      </c>
      <c r="H7" s="11" t="n">
        <f aca="false">G7/G$4-1</f>
        <v>-0.00132290279163261</v>
      </c>
    </row>
    <row r="8" customFormat="false" ht="17.15" hidden="false" customHeight="false" outlineLevel="0" collapsed="false">
      <c r="A8" s="5" t="s">
        <v>876</v>
      </c>
      <c r="B8" s="5" t="s">
        <v>877</v>
      </c>
      <c r="C8" s="9" t="n">
        <f aca="false">E174</f>
        <v>41184.9279975137</v>
      </c>
      <c r="D8" s="14" t="n">
        <f aca="false">E183</f>
        <v>16.3614579008405</v>
      </c>
      <c r="E8" s="11" t="n">
        <f aca="false">D8/D$4-1</f>
        <v>0.0012844334203379</v>
      </c>
      <c r="F8" s="9" t="n">
        <f aca="false">F174</f>
        <v>46666.5663375973</v>
      </c>
      <c r="G8" s="14" t="n">
        <f aca="false">F183</f>
        <v>19.4342071655764</v>
      </c>
      <c r="H8" s="11" t="n">
        <f aca="false">G8/G$4-1</f>
        <v>0.00132290279163216</v>
      </c>
    </row>
    <row r="9" customFormat="false" ht="17.15" hidden="false" customHeight="false" outlineLevel="0" collapsed="false">
      <c r="A9" s="5" t="s">
        <v>878</v>
      </c>
      <c r="B9" s="0" t="s">
        <v>879</v>
      </c>
      <c r="C9" s="9" t="n">
        <f aca="false">E206</f>
        <v>40858.5302117244</v>
      </c>
      <c r="D9" s="14" t="n">
        <f aca="false">E215</f>
        <v>16.190066488979</v>
      </c>
      <c r="E9" s="11" t="n">
        <f aca="false">D9/D$4-1</f>
        <v>-0.00920433559761735</v>
      </c>
      <c r="F9" s="9" t="n">
        <f aca="false">F206</f>
        <v>46110.8771612233</v>
      </c>
      <c r="G9" s="14" t="n">
        <f aca="false">F215</f>
        <v>19.1394674937834</v>
      </c>
      <c r="H9" s="11" t="n">
        <f aca="false">G9/G$4-1</f>
        <v>-0.0138631853885126</v>
      </c>
    </row>
    <row r="10" customFormat="false" ht="17.15" hidden="false" customHeight="false" outlineLevel="0" collapsed="false">
      <c r="A10" s="5" t="s">
        <v>880</v>
      </c>
      <c r="B10" s="5" t="s">
        <v>881</v>
      </c>
      <c r="C10" s="9" t="n">
        <f aca="false">E238</f>
        <v>41446.9534228262</v>
      </c>
      <c r="D10" s="14" t="n">
        <f aca="false">E247</f>
        <v>16.4990473991251</v>
      </c>
      <c r="E10" s="11" t="n">
        <f aca="false">D10/D$4-1</f>
        <v>0.00970460133382001</v>
      </c>
      <c r="F10" s="9" t="n">
        <f aca="false">F238</f>
        <v>47153.591260664</v>
      </c>
      <c r="G10" s="14" t="n">
        <f aca="false">F247</f>
        <v>19.6925270538931</v>
      </c>
      <c r="H10" s="11" t="n">
        <f aca="false">G10/G$4-1</f>
        <v>0.0146325077687868</v>
      </c>
    </row>
    <row r="11" customFormat="false" ht="17.15" hidden="false" customHeight="false" outlineLevel="0" collapsed="false">
      <c r="A11" s="5" t="s">
        <v>882</v>
      </c>
      <c r="B11" s="5" t="s">
        <v>883</v>
      </c>
      <c r="C11" s="9" t="n">
        <f aca="false">E270</f>
        <v>41144.9579854298</v>
      </c>
      <c r="D11" s="14" t="n">
        <f aca="false">E279</f>
        <v>17.1329527653796</v>
      </c>
      <c r="E11" s="11" t="n">
        <f aca="false">D11/D$4-1</f>
        <v>0.048498184359185</v>
      </c>
      <c r="F11" s="9" t="n">
        <f aca="false">F270</f>
        <v>46618.1586927855</v>
      </c>
      <c r="G11" s="14" t="n">
        <f aca="false">F279</f>
        <v>20.5519205360998</v>
      </c>
      <c r="H11" s="11" t="n">
        <f aca="false">G11/G$4-1</f>
        <v>0.0589116681642621</v>
      </c>
    </row>
    <row r="12" customFormat="false" ht="17.15" hidden="false" customHeight="false" outlineLevel="0" collapsed="false">
      <c r="A12" s="5" t="s">
        <v>884</v>
      </c>
      <c r="B12" s="5" t="s">
        <v>885</v>
      </c>
      <c r="C12" s="9" t="n">
        <f aca="false">E302</f>
        <v>41144.9579854298</v>
      </c>
      <c r="D12" s="14" t="n">
        <f aca="false">E311</f>
        <v>15.6607141682409</v>
      </c>
      <c r="E12" s="11" t="n">
        <f aca="false">D12/D$4-1</f>
        <v>-0.0415995073336702</v>
      </c>
      <c r="F12" s="9" t="n">
        <f aca="false">F302</f>
        <v>46618.1586927855</v>
      </c>
      <c r="G12" s="14" t="n">
        <f aca="false">F311</f>
        <v>18.4277852026754</v>
      </c>
      <c r="H12" s="11" t="n">
        <f aca="false">G12/G$4-1</f>
        <v>-0.0505317137995878</v>
      </c>
    </row>
    <row r="13" customFormat="false" ht="17.15" hidden="false" customHeight="false" outlineLevel="0" collapsed="false">
      <c r="A13" s="5" t="s">
        <v>886</v>
      </c>
      <c r="B13" s="0" t="s">
        <v>887</v>
      </c>
      <c r="C13" s="9" t="n">
        <f aca="false">E334</f>
        <v>41144.9579854298</v>
      </c>
      <c r="D13" s="14" t="n">
        <f aca="false">E343</f>
        <v>16.7548302340394</v>
      </c>
      <c r="E13" s="11" t="n">
        <f aca="false">D13/D$4-1</f>
        <v>0.0253579356814091</v>
      </c>
      <c r="F13" s="9" t="n">
        <f aca="false">F334</f>
        <v>46618.1586927855</v>
      </c>
      <c r="G13" s="14" t="n">
        <f aca="false">F343</f>
        <v>20.0063680483818</v>
      </c>
      <c r="H13" s="11" t="n">
        <f aca="false">G13/G$4-1</f>
        <v>0.0308027674011462</v>
      </c>
    </row>
    <row r="14" customFormat="false" ht="17.15" hidden="false" customHeight="false" outlineLevel="0" collapsed="false">
      <c r="A14" s="5" t="s">
        <v>888</v>
      </c>
      <c r="B14" s="5" t="s">
        <v>889</v>
      </c>
      <c r="C14" s="9" t="n">
        <f aca="false">E366</f>
        <v>41144.9579854298</v>
      </c>
      <c r="D14" s="14" t="n">
        <f aca="false">E375</f>
        <v>15.685423385711</v>
      </c>
      <c r="E14" s="11" t="n">
        <f aca="false">D14/D$4-1</f>
        <v>-0.0400873587852489</v>
      </c>
      <c r="F14" s="9" t="n">
        <f aca="false">F366</f>
        <v>46618.1586927855</v>
      </c>
      <c r="G14" s="14" t="n">
        <f aca="false">F375</f>
        <v>18.4634354851714</v>
      </c>
      <c r="H14" s="11" t="n">
        <f aca="false">G14/G$4-1</f>
        <v>-0.0486948781597227</v>
      </c>
    </row>
    <row r="15" customFormat="false" ht="17.15" hidden="false" customHeight="false" outlineLevel="0" collapsed="false">
      <c r="A15" s="0" t="s">
        <v>890</v>
      </c>
      <c r="B15" s="5" t="s">
        <v>891</v>
      </c>
      <c r="C15" s="9" t="n">
        <f aca="false">E398</f>
        <v>40871.1579854299</v>
      </c>
      <c r="D15" s="14" t="n">
        <f aca="false">E407</f>
        <v>16.1966973304193</v>
      </c>
      <c r="E15" s="11" t="n">
        <f aca="false">D15/D$4-1</f>
        <v>-0.0087985430114701</v>
      </c>
      <c r="F15" s="9" t="n">
        <f aca="false">F398</f>
        <v>45999.3706927855</v>
      </c>
      <c r="G15" s="14" t="n">
        <f aca="false">F407</f>
        <v>19.0803240349804</v>
      </c>
      <c r="H15" s="11" t="n">
        <f aca="false">G15/G$4-1</f>
        <v>-0.0169104771738253</v>
      </c>
    </row>
    <row r="16" customFormat="false" ht="17.15" hidden="false" customHeight="false" outlineLevel="0" collapsed="false">
      <c r="A16" s="0" t="s">
        <v>892</v>
      </c>
      <c r="B16" s="5" t="s">
        <v>893</v>
      </c>
      <c r="C16" s="9" t="n">
        <f aca="false">E430</f>
        <v>41418.7579854298</v>
      </c>
      <c r="D16" s="14" t="n">
        <f aca="false">E439</f>
        <v>16.4842419806026</v>
      </c>
      <c r="E16" s="11" t="n">
        <f aca="false">D16/D$4-1</f>
        <v>0.00879854301147054</v>
      </c>
      <c r="F16" s="9" t="n">
        <f aca="false">F430</f>
        <v>47258.8506927855</v>
      </c>
      <c r="G16" s="14" t="n">
        <f aca="false">F439</f>
        <v>19.7483570606588</v>
      </c>
      <c r="H16" s="11" t="n">
        <f aca="false">G16/G$4-1</f>
        <v>0.0175090781357308</v>
      </c>
    </row>
    <row r="17" customFormat="false" ht="17.15" hidden="false" customHeight="false" outlineLevel="0" collapsed="false">
      <c r="A17" s="5" t="s">
        <v>894</v>
      </c>
      <c r="B17" s="5" t="s">
        <v>895</v>
      </c>
      <c r="C17" s="9" t="n">
        <f aca="false">E462</f>
        <v>41005.3579854298</v>
      </c>
      <c r="D17" s="14" t="n">
        <f aca="false">E471</f>
        <v>16.2671657235066</v>
      </c>
      <c r="E17" s="11" t="n">
        <f aca="false">D17/D$4-1</f>
        <v>-0.00448603580862406</v>
      </c>
      <c r="F17" s="9" t="n">
        <f aca="false">F462</f>
        <v>46352.9186927855</v>
      </c>
      <c r="G17" s="14" t="n">
        <f aca="false">F471</f>
        <v>19.2678472510399</v>
      </c>
      <c r="H17" s="11" t="n">
        <f aca="false">G17/G$4-1</f>
        <v>-0.00724858104162562</v>
      </c>
    </row>
    <row r="18" customFormat="false" ht="17.15" hidden="false" customHeight="false" outlineLevel="0" collapsed="false">
      <c r="A18" s="5" t="s">
        <v>896</v>
      </c>
      <c r="C18" s="9" t="n">
        <f aca="false">E494</f>
        <v>41284.5579854298</v>
      </c>
      <c r="D18" s="14" t="n">
        <f aca="false">E503</f>
        <v>16.4137735875153</v>
      </c>
      <c r="E18" s="11" t="n">
        <f aca="false">D18/D$4-1</f>
        <v>0.00448603580862472</v>
      </c>
      <c r="F18" s="9" t="n">
        <f aca="false">F494</f>
        <v>46911.3186927855</v>
      </c>
      <c r="G18" s="14" t="n">
        <f aca="false">F503</f>
        <v>19.5640247540878</v>
      </c>
      <c r="H18" s="11" t="n">
        <f aca="false">G18/G$4-1</f>
        <v>0.00801158957232273</v>
      </c>
    </row>
    <row r="19" customFormat="false" ht="17.15" hidden="false" customHeight="false" outlineLevel="0" collapsed="false">
      <c r="A19" s="5" t="s">
        <v>897</v>
      </c>
      <c r="B19" s="5" t="s">
        <v>898</v>
      </c>
      <c r="C19" s="9" t="n">
        <f aca="false">E526</f>
        <v>41144.9579854298</v>
      </c>
      <c r="D19" s="14" t="n">
        <f aca="false">E535</f>
        <v>15.6331058251495</v>
      </c>
      <c r="E19" s="11" t="n">
        <f aca="false">D19/D$4-1</f>
        <v>-0.0432890758511898</v>
      </c>
      <c r="F19" s="9" t="n">
        <f aca="false">F526</f>
        <v>46618.1586927855</v>
      </c>
      <c r="G19" s="14" t="n">
        <f aca="false">F535</f>
        <v>18.5683541699107</v>
      </c>
      <c r="H19" s="11" t="n">
        <f aca="false">G19/G$4-1</f>
        <v>-0.0432890758511898</v>
      </c>
    </row>
    <row r="20" customFormat="false" ht="17.15" hidden="false" customHeight="false" outlineLevel="0" collapsed="false">
      <c r="A20" s="5" t="s">
        <v>899</v>
      </c>
      <c r="B20" s="5" t="s">
        <v>900</v>
      </c>
      <c r="C20" s="9" t="n">
        <f aca="false">E558</f>
        <v>41144.9579854298</v>
      </c>
      <c r="D20" s="14" t="n">
        <f aca="false">E567</f>
        <v>16.5322702663608</v>
      </c>
      <c r="E20" s="11" t="n">
        <f aca="false">D20/D$4-1</f>
        <v>0.0117377661042417</v>
      </c>
      <c r="F20" s="9" t="n">
        <f aca="false">F558</f>
        <v>46618.1586927855</v>
      </c>
      <c r="G20" s="14" t="n">
        <f aca="false">F567</f>
        <v>19.6363443689243</v>
      </c>
      <c r="H20" s="11" t="n">
        <f aca="false">G20/G$4-1</f>
        <v>0.0117377661042417</v>
      </c>
    </row>
    <row r="21" customFormat="false" ht="17.15" hidden="false" customHeight="false" outlineLevel="0" collapsed="false">
      <c r="A21" s="5" t="s">
        <v>901</v>
      </c>
      <c r="C21" s="9" t="n">
        <f aca="false">E590</f>
        <v>41144.9579854298</v>
      </c>
      <c r="D21" s="14" t="n">
        <f aca="false">E599</f>
        <v>16.1770649589558</v>
      </c>
      <c r="E21" s="11" t="n">
        <f aca="false">D21/D$4-1</f>
        <v>-0.0100000000000001</v>
      </c>
      <c r="F21" s="9" t="n">
        <f aca="false">F590</f>
        <v>46618.1586927855</v>
      </c>
      <c r="G21" s="14" t="n">
        <f aca="false">F599</f>
        <v>19.0223017868444</v>
      </c>
      <c r="H21" s="11" t="n">
        <f aca="false">G21/G$4-1</f>
        <v>-0.0199000000000001</v>
      </c>
    </row>
    <row r="22" customFormat="false" ht="17.15" hidden="false" customHeight="false" outlineLevel="0" collapsed="false">
      <c r="A22" s="5" t="s">
        <v>902</v>
      </c>
      <c r="C22" s="9" t="n">
        <f aca="false">E622</f>
        <v>41144.9579854298</v>
      </c>
      <c r="D22" s="14" t="n">
        <f aca="false">E631</f>
        <v>16.591861496365</v>
      </c>
      <c r="E22" s="11" t="n">
        <f aca="false">D22/D$4-1</f>
        <v>0.0153846153846153</v>
      </c>
      <c r="F22" s="9" t="n">
        <f aca="false">F622</f>
        <v>46618.1586927855</v>
      </c>
      <c r="G22" s="14" t="n">
        <f aca="false">F631</f>
        <v>20.0103108868843</v>
      </c>
      <c r="H22" s="11" t="n">
        <f aca="false">G22/G$4-1</f>
        <v>0.0310059171597632</v>
      </c>
    </row>
    <row r="23" customFormat="false" ht="17.15" hidden="false" customHeight="false" outlineLevel="0" collapsed="false">
      <c r="A23" s="5" t="s">
        <v>903</v>
      </c>
      <c r="B23" s="5" t="s">
        <v>904</v>
      </c>
      <c r="C23" s="9" t="n">
        <f aca="false">E654</f>
        <v>40544.9579854298</v>
      </c>
      <c r="D23" s="14" t="n">
        <f aca="false">E663</f>
        <v>16.0254097758361</v>
      </c>
      <c r="E23" s="11" t="n">
        <f aca="false">D23/D$4-1</f>
        <v>-0.0192809561975253</v>
      </c>
      <c r="F23" s="9" t="n">
        <f aca="false">F654</f>
        <v>46018.1586927855</v>
      </c>
      <c r="G23" s="14" t="n">
        <f aca="false">F663</f>
        <v>19.0902892622857</v>
      </c>
      <c r="H23" s="11" t="n">
        <f aca="false">G23/G$4-1</f>
        <v>-0.0163970314619792</v>
      </c>
    </row>
    <row r="24" customFormat="false" ht="17.15" hidden="false" customHeight="false" outlineLevel="0" collapsed="false">
      <c r="A24" s="5" t="s">
        <v>905</v>
      </c>
      <c r="B24" s="5" t="s">
        <v>906</v>
      </c>
      <c r="C24" s="9" t="n">
        <f aca="false">E686</f>
        <v>40244.9579854298</v>
      </c>
      <c r="D24" s="14" t="n">
        <f aca="false">E695</f>
        <v>15.8678798359986</v>
      </c>
      <c r="E24" s="11" t="n">
        <f aca="false">D24/D$4-1</f>
        <v>-0.0289214342962885</v>
      </c>
      <c r="F24" s="9" t="n">
        <f aca="false">F686</f>
        <v>45718.1586927855</v>
      </c>
      <c r="G24" s="14" t="n">
        <f aca="false">F695</f>
        <v>18.9311681109347</v>
      </c>
      <c r="H24" s="11" t="n">
        <f aca="false">G24/G$4-1</f>
        <v>-0.0245955471929697</v>
      </c>
    </row>
    <row r="25" customFormat="false" ht="17.15" hidden="false" customHeight="false" outlineLevel="0" collapsed="false">
      <c r="A25" s="5" t="s">
        <v>907</v>
      </c>
      <c r="B25" s="5" t="s">
        <v>908</v>
      </c>
      <c r="C25" s="9" t="n">
        <f aca="false">E718</f>
        <v>38933.026121998</v>
      </c>
      <c r="D25" s="14" t="n">
        <f aca="false">E727</f>
        <v>15.1789846776078</v>
      </c>
      <c r="E25" s="11" t="n">
        <f aca="false">D25/D$4-1</f>
        <v>-0.0710802689512335</v>
      </c>
      <c r="F25" s="9" t="n">
        <f aca="false">F718</f>
        <v>44101.6566556149</v>
      </c>
      <c r="G25" s="14" t="n">
        <f aca="false">F727</f>
        <v>18.0737692265489</v>
      </c>
      <c r="H25" s="11" t="n">
        <f aca="false">G25/G$4-1</f>
        <v>-0.0687719384627034</v>
      </c>
    </row>
    <row r="26" customFormat="false" ht="17.15" hidden="false" customHeight="false" outlineLevel="0" collapsed="false">
      <c r="A26" s="5" t="s">
        <v>909</v>
      </c>
      <c r="C26" s="9" t="n">
        <f aca="false">E750</f>
        <v>36721.0942585662</v>
      </c>
      <c r="D26" s="14" t="n">
        <f aca="false">E759</f>
        <v>14.0174996997046</v>
      </c>
      <c r="E26" s="11" t="n">
        <f aca="false">D26/D$4-1</f>
        <v>-0.142160537902468</v>
      </c>
      <c r="F26" s="9" t="n">
        <f aca="false">F750</f>
        <v>41585.1546184443</v>
      </c>
      <c r="G26" s="14" t="n">
        <f aca="false">F759</f>
        <v>16.7390068881101</v>
      </c>
      <c r="H26" s="11" t="n">
        <f aca="false">G26/G$4-1</f>
        <v>-0.137543876925406</v>
      </c>
    </row>
    <row r="27" customFormat="false" ht="17.15" hidden="false" customHeight="false" outlineLevel="0" collapsed="false">
      <c r="A27" s="5" t="s">
        <v>910</v>
      </c>
      <c r="B27" s="0" t="s">
        <v>911</v>
      </c>
      <c r="C27" s="9" t="n">
        <f aca="false">PL!E89</f>
        <v>40801.3579854298</v>
      </c>
      <c r="D27" s="14" t="n">
        <f aca="false">PL!E98</f>
        <v>16.1600453644171</v>
      </c>
      <c r="E27" s="11" t="n">
        <f aca="false">D27/D$4-1</f>
        <v>-0.0110415609157828</v>
      </c>
      <c r="F27" s="9" t="n">
        <f aca="false">PL!F89</f>
        <v>42493.5437640909</v>
      </c>
      <c r="G27" s="14" t="n">
        <f aca="false">PL!F98</f>
        <v>17.2208199772101</v>
      </c>
      <c r="H27" s="11" t="n">
        <f aca="false">G27/G$4-1</f>
        <v>-0.112719067923926</v>
      </c>
    </row>
    <row r="28" customFormat="false" ht="17.15" hidden="false" customHeight="false" outlineLevel="0" collapsed="false">
      <c r="A28" s="5" t="s">
        <v>912</v>
      </c>
      <c r="B28" s="0" t="s">
        <v>913</v>
      </c>
      <c r="C28" s="9" t="n">
        <f aca="false">PL!E120</f>
        <v>39857.7579854298</v>
      </c>
      <c r="D28" s="14" t="n">
        <f aca="false">PL!E129</f>
        <v>15.6645611936484</v>
      </c>
      <c r="E28" s="11" t="n">
        <f aca="false">D28/D$4-1</f>
        <v>-0.041364078029092</v>
      </c>
      <c r="F28" s="9" t="n">
        <f aca="false">PL!F120</f>
        <v>35700.8748867424</v>
      </c>
      <c r="G28" s="14" t="n">
        <f aca="false">PL!F129</f>
        <v>13.6179623355117</v>
      </c>
      <c r="H28" s="11" t="n">
        <f aca="false">G28/G$4-1</f>
        <v>-0.298351743411746</v>
      </c>
    </row>
    <row r="30" customFormat="false" ht="17.15" hidden="false" customHeight="false" outlineLevel="0" collapsed="false">
      <c r="A30" s="5" t="s">
        <v>914</v>
      </c>
    </row>
    <row r="60" customFormat="false" ht="17.15" hidden="false" customHeight="false" outlineLevel="0" collapsed="false">
      <c r="A60" s="3" t="s">
        <v>915</v>
      </c>
    </row>
    <row r="61" customFormat="false" ht="15" hidden="false" customHeight="false" outlineLevel="0" collapsed="false">
      <c r="A61" s="6" t="s">
        <v>19</v>
      </c>
      <c r="B61" s="6" t="s">
        <v>20</v>
      </c>
      <c r="C61" s="15" t="s">
        <v>513</v>
      </c>
      <c r="D61" s="15" t="s">
        <v>514</v>
      </c>
      <c r="E61" s="15" t="s">
        <v>515</v>
      </c>
      <c r="F61" s="15" t="s">
        <v>516</v>
      </c>
      <c r="G61" s="15" t="s">
        <v>517</v>
      </c>
      <c r="H61" s="6" t="s">
        <v>518</v>
      </c>
    </row>
    <row r="62" customFormat="false" ht="17.15" hidden="false" customHeight="false" outlineLevel="0" collapsed="false">
      <c r="A62" s="1" t="s">
        <v>549</v>
      </c>
    </row>
    <row r="63" customFormat="false" ht="17.15" hidden="false" customHeight="false" outlineLevel="0" collapsed="false">
      <c r="A63" s="5" t="s">
        <v>550</v>
      </c>
      <c r="B63" s="0" t="s">
        <v>30</v>
      </c>
      <c r="C63" s="22" t="n">
        <f aca="false">laA_25+loA_25+ofA_25</f>
        <v>78.3481206981793</v>
      </c>
      <c r="D63" s="22" t="n">
        <f aca="false">laA_26+loA_26+ofA_26</f>
        <v>99.7111533272534</v>
      </c>
      <c r="E63" s="22" t="n">
        <f aca="false">laA_27+loA_27+ofA_27</f>
        <v>116.288709321091</v>
      </c>
      <c r="F63" s="22" t="n">
        <f aca="false">laA_28+loA_28+ofA_28</f>
        <v>130.886404842261</v>
      </c>
      <c r="G63" s="22" t="n">
        <f aca="false">laA_29+loA_29+ofA_29</f>
        <v>139.398079992203</v>
      </c>
    </row>
    <row r="64" customFormat="false" ht="17.15" hidden="false" customHeight="false" outlineLevel="0" collapsed="false">
      <c r="A64" s="0" t="s">
        <v>551</v>
      </c>
      <c r="B64" s="0" t="s">
        <v>30</v>
      </c>
      <c r="C64" s="22" t="n">
        <f aca="false">drA_25</f>
        <v>26.3761091658243</v>
      </c>
      <c r="D64" s="22" t="n">
        <f aca="false">drA_26</f>
        <v>41.8742847275048</v>
      </c>
      <c r="E64" s="22" t="n">
        <f aca="false">drA_27</f>
        <v>53.2587328153375</v>
      </c>
      <c r="F64" s="22" t="n">
        <f aca="false">drA_28</f>
        <v>59.5608998372386</v>
      </c>
      <c r="G64" s="22" t="n">
        <f aca="false">drA_29</f>
        <v>61.8312930912183</v>
      </c>
    </row>
    <row r="65" customFormat="false" ht="15" hidden="false" customHeight="false" outlineLevel="0" collapsed="false">
      <c r="A65" s="0" t="s">
        <v>552</v>
      </c>
      <c r="B65" s="0" t="s">
        <v>30</v>
      </c>
      <c r="C65" s="22" t="n">
        <f aca="false">ndA_25</f>
        <v>12.1726019800256</v>
      </c>
      <c r="D65" s="22" t="n">
        <f aca="false">ndA_26</f>
        <v>18.4595763045422</v>
      </c>
      <c r="E65" s="22" t="n">
        <f aca="false">ndA_27</f>
        <v>23.2480272411321</v>
      </c>
      <c r="F65" s="22" t="n">
        <f aca="false">ndA_28</f>
        <v>26.181321629459</v>
      </c>
      <c r="G65" s="22" t="n">
        <f aca="false">ndA_29</f>
        <v>27.674312771805</v>
      </c>
    </row>
    <row r="66" customFormat="false" ht="17.15" hidden="false" customHeight="false" outlineLevel="0" collapsed="false">
      <c r="A66" s="1" t="s">
        <v>553</v>
      </c>
    </row>
    <row r="67" customFormat="false" ht="17.15" hidden="false" customHeight="false" outlineLevel="0" collapsed="false">
      <c r="A67" s="5" t="s">
        <v>554</v>
      </c>
      <c r="B67" s="0" t="s">
        <v>30</v>
      </c>
      <c r="D67" s="22" t="n">
        <f aca="false">fyw*C63+(1-fyw)*D63</f>
        <v>96.1506478890744</v>
      </c>
      <c r="E67" s="22" t="n">
        <f aca="false">fyw*D63+(1-fyw)*E63</f>
        <v>113.525783322118</v>
      </c>
      <c r="F67" s="22" t="n">
        <f aca="false">fyw*E63+(1-fyw)*F63</f>
        <v>128.453455588732</v>
      </c>
      <c r="G67" s="22" t="n">
        <f aca="false">fyw*F63+(1-fyw)*G63</f>
        <v>137.979467467212</v>
      </c>
    </row>
    <row r="68" customFormat="false" ht="17.15" hidden="false" customHeight="false" outlineLevel="0" collapsed="false">
      <c r="A68" s="0" t="s">
        <v>555</v>
      </c>
      <c r="B68" s="0" t="s">
        <v>30</v>
      </c>
      <c r="D68" s="22" t="n">
        <f aca="false">fyw*C64+(1-fyw)*D64</f>
        <v>39.2912554672247</v>
      </c>
      <c r="E68" s="22" t="n">
        <f aca="false">fyw*D64+(1-fyw)*E64</f>
        <v>51.3613248006987</v>
      </c>
      <c r="F68" s="22" t="n">
        <f aca="false">fyw*E64+(1-fyw)*F64</f>
        <v>58.5105386669218</v>
      </c>
      <c r="G68" s="22" t="n">
        <f aca="false">fyw*F64+(1-fyw)*G64</f>
        <v>61.452894215555</v>
      </c>
    </row>
    <row r="69" customFormat="false" ht="15" hidden="false" customHeight="false" outlineLevel="0" collapsed="false">
      <c r="A69" s="0" t="s">
        <v>556</v>
      </c>
      <c r="B69" s="0" t="s">
        <v>30</v>
      </c>
      <c r="D69" s="22" t="n">
        <f aca="false">fyw*C65+(1-fyw)*D65</f>
        <v>17.4117472504561</v>
      </c>
      <c r="E69" s="22" t="n">
        <f aca="false">fyw*D65+(1-fyw)*E65</f>
        <v>22.4499520850338</v>
      </c>
      <c r="F69" s="22" t="n">
        <f aca="false">fyw*E65+(1-fyw)*F65</f>
        <v>25.6924392314045</v>
      </c>
      <c r="G69" s="22" t="n">
        <f aca="false">fyw*F65+(1-fyw)*G65</f>
        <v>27.4254809147473</v>
      </c>
    </row>
    <row r="70" customFormat="false" ht="17.15" hidden="false" customHeight="false" outlineLevel="0" collapsed="false">
      <c r="A70" s="5" t="s">
        <v>557</v>
      </c>
      <c r="B70" s="0" t="s">
        <v>246</v>
      </c>
      <c r="D70" s="21" t="n">
        <f aca="false">m_fl*D67/$D67+m_dr*D68/$D68+m_nd*D69/$D69</f>
        <v>1</v>
      </c>
      <c r="E70" s="21" t="n">
        <f aca="false">m_fl*E67/$D67+m_dr*E68/$D68+m_nd*E69/$D69</f>
        <v>1.22388113282</v>
      </c>
      <c r="F70" s="21" t="n">
        <f aca="false">m_fl*F67/$D67+m_dr*F68/$D68+m_nd*F69/$D69</f>
        <v>1.3886833368957</v>
      </c>
      <c r="G70" s="21" t="n">
        <f aca="false">m_fl*G67/$D67+m_dr*G68/$D68+m_nd*G69/$D69</f>
        <v>1.48065154546388</v>
      </c>
      <c r="H70" s="8" t="s">
        <v>558</v>
      </c>
    </row>
    <row r="71" customFormat="false" ht="17.15" hidden="false" customHeight="false" outlineLevel="0" collapsed="false">
      <c r="A71" s="1" t="s">
        <v>559</v>
      </c>
    </row>
    <row r="72" customFormat="false" ht="17.15" hidden="false" customHeight="false" outlineLevel="0" collapsed="false">
      <c r="A72" s="5" t="s">
        <v>560</v>
      </c>
      <c r="B72" s="0" t="s">
        <v>252</v>
      </c>
      <c r="C72" s="9" t="n">
        <f aca="false">a25_ss</f>
        <v>21438.5432098765</v>
      </c>
      <c r="D72" s="9" t="n">
        <f aca="false">an_ss</f>
        <v>26046</v>
      </c>
      <c r="E72" s="9" t="n">
        <f aca="false">$D72*E70*sf_lo</f>
        <v>30283.3475861584</v>
      </c>
      <c r="F72" s="9" t="n">
        <f aca="false">$D72*F70*sf_lo</f>
        <v>34361.1638831462</v>
      </c>
      <c r="G72" s="9" t="n">
        <f aca="false">$D72*G70*sf_lo</f>
        <v>36636.7976454946</v>
      </c>
      <c r="H72" s="8" t="s">
        <v>561</v>
      </c>
    </row>
    <row r="73" customFormat="false" ht="17.15" hidden="false" customHeight="false" outlineLevel="0" collapsed="false">
      <c r="A73" s="0" t="s">
        <v>562</v>
      </c>
      <c r="B73" s="0" t="s">
        <v>252</v>
      </c>
      <c r="C73" s="9" t="n">
        <f aca="false">a25_ags</f>
        <v>5744.19672131148</v>
      </c>
      <c r="D73" s="9" t="n">
        <f aca="false">an_ags</f>
        <v>6845</v>
      </c>
      <c r="E73" s="9" t="n">
        <f aca="false">D73*(1+g_ags_A)</f>
        <v>7871.75</v>
      </c>
      <c r="F73" s="9" t="n">
        <f aca="false">E73*(1+g_ags_A)</f>
        <v>9052.5125</v>
      </c>
      <c r="G73" s="9" t="n">
        <f aca="false">F73*(1+g_ags_A)</f>
        <v>10410.389375</v>
      </c>
    </row>
    <row r="74" customFormat="false" ht="17.15" hidden="false" customHeight="false" outlineLevel="0" collapsed="false">
      <c r="A74" s="5" t="s">
        <v>563</v>
      </c>
      <c r="B74" s="0" t="s">
        <v>252</v>
      </c>
      <c r="C74" s="9" t="n">
        <v>0</v>
      </c>
      <c r="D74" s="9" t="n">
        <v>0</v>
      </c>
      <c r="E74" s="9" t="n">
        <f aca="false">-aff_hit*aff_A-0*cn_sh*(E72+E73)</f>
        <v>-0</v>
      </c>
      <c r="F74" s="9" t="n">
        <f aca="false">-aff_hit*aff_A-0*cn_sh*(F72+F73)</f>
        <v>-0</v>
      </c>
      <c r="G74" s="9" t="n">
        <f aca="false">-aff_hit*aff_A-0*cn_sh*(G72+G73)</f>
        <v>-0</v>
      </c>
      <c r="H74" s="5" t="s">
        <v>564</v>
      </c>
    </row>
    <row r="75" customFormat="false" ht="17.15" hidden="false" customHeight="false" outlineLevel="0" collapsed="false">
      <c r="A75" s="5" t="s">
        <v>565</v>
      </c>
      <c r="B75" s="0" t="s">
        <v>252</v>
      </c>
      <c r="C75" s="9" t="n">
        <f aca="false">C72+C74*C72/(C72+C73)</f>
        <v>21438.5432098765</v>
      </c>
      <c r="D75" s="9" t="n">
        <f aca="false">D72+D74*D72/(D72+D73)</f>
        <v>26046</v>
      </c>
      <c r="E75" s="9" t="n">
        <f aca="false">E72+E74*E72/(E72+E73)</f>
        <v>30283.3475861584</v>
      </c>
      <c r="F75" s="9" t="n">
        <f aca="false">F72+F74*F72/(F72+F73)</f>
        <v>34361.1638831462</v>
      </c>
      <c r="G75" s="9" t="n">
        <f aca="false">G72+G74*G72/(G72+G73)</f>
        <v>36636.7976454946</v>
      </c>
      <c r="H75" s="5" t="s">
        <v>566</v>
      </c>
    </row>
    <row r="76" customFormat="false" ht="17.15" hidden="false" customHeight="false" outlineLevel="0" collapsed="false">
      <c r="A76" s="0" t="s">
        <v>567</v>
      </c>
      <c r="B76" s="0" t="s">
        <v>252</v>
      </c>
      <c r="C76" s="9" t="n">
        <f aca="false">C73+C74*C73/(C72+C73)</f>
        <v>5744.19672131148</v>
      </c>
      <c r="D76" s="9" t="n">
        <f aca="false">D73+D74*D73/(D72+D73)</f>
        <v>6845</v>
      </c>
      <c r="E76" s="9" t="n">
        <f aca="false">E73+E74*E73/(E72+E73)</f>
        <v>7871.75</v>
      </c>
      <c r="F76" s="9" t="n">
        <f aca="false">F73+F74*F73/(F72+F73)</f>
        <v>9052.5125</v>
      </c>
      <c r="G76" s="9" t="n">
        <f aca="false">G73+G74*G73/(G72+G73)</f>
        <v>10410.389375</v>
      </c>
      <c r="H76" s="5" t="s">
        <v>568</v>
      </c>
    </row>
    <row r="77" customFormat="false" ht="17.15" hidden="false" customHeight="false" outlineLevel="0" collapsed="false">
      <c r="A77" s="5" t="s">
        <v>569</v>
      </c>
      <c r="B77" s="0" t="s">
        <v>252</v>
      </c>
      <c r="C77" s="9" t="n">
        <f aca="false">a25_oth</f>
        <v>1185.26006881198</v>
      </c>
      <c r="D77" s="9" t="n">
        <f aca="false">an_oth</f>
        <v>1396</v>
      </c>
      <c r="E77" s="9" t="n">
        <f aca="false">D77*(1+g_oth_A)</f>
        <v>1396</v>
      </c>
      <c r="F77" s="9" t="n">
        <f aca="false">E77*(1+g_oth_A)</f>
        <v>1396</v>
      </c>
      <c r="G77" s="9" t="n">
        <f aca="false">F77*(1+g_oth_A)</f>
        <v>1396</v>
      </c>
      <c r="H77" s="5" t="s">
        <v>570</v>
      </c>
    </row>
    <row r="78" customFormat="false" ht="15" hidden="false" customHeight="false" outlineLevel="0" collapsed="false">
      <c r="A78" s="5" t="s">
        <v>454</v>
      </c>
      <c r="B78" s="0" t="s">
        <v>252</v>
      </c>
      <c r="C78" s="9" t="n">
        <f aca="false">C75+C76+C77</f>
        <v>28368</v>
      </c>
      <c r="D78" s="9" t="n">
        <f aca="false">D75+D76+D77</f>
        <v>34287</v>
      </c>
      <c r="E78" s="9" t="n">
        <f aca="false">E75+E76+E77</f>
        <v>39551.0975861584</v>
      </c>
      <c r="F78" s="9" t="n">
        <f aca="false">F75+F76+F77</f>
        <v>44809.6763831462</v>
      </c>
      <c r="G78" s="9" t="n">
        <f aca="false">G75+G76+G77</f>
        <v>48443.1870204946</v>
      </c>
    </row>
    <row r="79" customFormat="false" ht="17.15" hidden="false" customHeight="false" outlineLevel="0" collapsed="false">
      <c r="A79" s="5" t="s">
        <v>571</v>
      </c>
      <c r="B79" s="0" t="s">
        <v>252</v>
      </c>
      <c r="C79" s="23" t="n">
        <f aca="false">C75+C76+C77-a25_rev</f>
        <v>0</v>
      </c>
      <c r="D79" s="23" t="n">
        <f aca="false">D75+D76+D77-an_rev</f>
        <v>0</v>
      </c>
    </row>
    <row r="80" customFormat="false" ht="17.15" hidden="false" customHeight="false" outlineLevel="0" collapsed="false">
      <c r="A80" s="0" t="s">
        <v>460</v>
      </c>
      <c r="B80" s="0" t="s">
        <v>199</v>
      </c>
      <c r="C80" s="11" t="n">
        <f aca="false">a25_gp/a25_rev</f>
        <v>0.487833192329385</v>
      </c>
      <c r="D80" s="11" t="n">
        <f aca="false">an_gp/an_rev</f>
        <v>0.500418584303089</v>
      </c>
      <c r="E80" s="11" t="n">
        <f aca="false">1-(cF+cv*E78)/E78</f>
        <v>0.508446679543497</v>
      </c>
      <c r="F80" s="11" t="n">
        <f aca="false">1-(cF+cv*F78)/F78</f>
        <v>0.514583093519125</v>
      </c>
      <c r="G80" s="11" t="n">
        <f aca="false">1-(cF+cv*G78)/G78</f>
        <v>0.518044866096854</v>
      </c>
      <c r="H80" s="5" t="s">
        <v>572</v>
      </c>
    </row>
    <row r="81" customFormat="false" ht="17.15" hidden="false" customHeight="false" outlineLevel="0" collapsed="false">
      <c r="A81" s="0" t="s">
        <v>463</v>
      </c>
      <c r="B81" s="0" t="s">
        <v>252</v>
      </c>
      <c r="C81" s="9" t="n">
        <f aca="false">C78*C80</f>
        <v>13838.852</v>
      </c>
      <c r="D81" s="9" t="n">
        <f aca="false">D78*D80</f>
        <v>17157.852</v>
      </c>
      <c r="E81" s="9" t="n">
        <f aca="false">E78*E80</f>
        <v>20109.624239983</v>
      </c>
      <c r="F81" s="9" t="n">
        <f aca="false">F78*F80</f>
        <v>23058.3018928303</v>
      </c>
      <c r="G81" s="9" t="n">
        <f aca="false">G78*G80</f>
        <v>25095.744333337</v>
      </c>
    </row>
    <row r="82" customFormat="false" ht="17.15" hidden="false" customHeight="false" outlineLevel="0" collapsed="false">
      <c r="A82" s="0" t="s">
        <v>573</v>
      </c>
      <c r="B82" s="0" t="s">
        <v>252</v>
      </c>
      <c r="C82" s="9" t="n">
        <f aca="false">opex25</f>
        <v>5276.852</v>
      </c>
      <c r="D82" s="9" t="n">
        <f aca="false">opex26</f>
        <v>5832.852</v>
      </c>
      <c r="E82" s="9" t="n">
        <f aca="false">oF+ov*E78</f>
        <v>6327.33388172057</v>
      </c>
      <c r="F82" s="9" t="n">
        <f aca="false">oF+ov*F78</f>
        <v>6821.29735715988</v>
      </c>
      <c r="G82" s="9" t="n">
        <f aca="false">oF+ov*G78</f>
        <v>7162.61040233063</v>
      </c>
      <c r="H82" s="5" t="s">
        <v>574</v>
      </c>
    </row>
    <row r="83" customFormat="false" ht="17.15" hidden="false" customHeight="false" outlineLevel="0" collapsed="false">
      <c r="A83" s="0" t="s">
        <v>465</v>
      </c>
      <c r="B83" s="0" t="s">
        <v>252</v>
      </c>
      <c r="C83" s="9" t="n">
        <f aca="false">C81-C82</f>
        <v>8562</v>
      </c>
      <c r="D83" s="9" t="n">
        <f aca="false">D81-D82</f>
        <v>11325</v>
      </c>
      <c r="E83" s="9" t="n">
        <f aca="false">E81-E82</f>
        <v>13782.2903582625</v>
      </c>
      <c r="F83" s="9" t="n">
        <f aca="false">F81-F82</f>
        <v>16237.0045356704</v>
      </c>
      <c r="G83" s="9" t="n">
        <f aca="false">G81-G82</f>
        <v>17933.1339310063</v>
      </c>
    </row>
    <row r="84" customFormat="false" ht="17.15" hidden="false" customHeight="false" outlineLevel="0" collapsed="false">
      <c r="A84" s="0" t="s">
        <v>544</v>
      </c>
      <c r="B84" s="0" t="s">
        <v>199</v>
      </c>
      <c r="C84" s="11" t="n">
        <f aca="false">C83/C78</f>
        <v>0.301818950930626</v>
      </c>
      <c r="D84" s="11" t="n">
        <f aca="false">D83/D78</f>
        <v>0.330300113745735</v>
      </c>
      <c r="E84" s="11" t="n">
        <f aca="false">E83/E78</f>
        <v>0.348467961685236</v>
      </c>
      <c r="F84" s="11" t="n">
        <f aca="false">F83/F78</f>
        <v>0.362354871676276</v>
      </c>
      <c r="G84" s="11" t="n">
        <f aca="false">G83/G78</f>
        <v>0.370188978760202</v>
      </c>
    </row>
    <row r="85" customFormat="false" ht="17.15" hidden="false" customHeight="false" outlineLevel="0" collapsed="false">
      <c r="A85" s="0" t="s">
        <v>470</v>
      </c>
      <c r="B85" s="0" t="s">
        <v>252</v>
      </c>
      <c r="C85" s="9" t="n">
        <f aca="false">a25_ni</f>
        <v>7607</v>
      </c>
      <c r="D85" s="9" t="n">
        <f aca="false">an_ni</f>
        <v>10179.92</v>
      </c>
      <c r="E85" s="9" t="n">
        <f aca="false">E83*nioi</f>
        <v>12245.0225128828</v>
      </c>
      <c r="F85" s="9" t="n">
        <f aca="false">F83*nioi</f>
        <v>14425.9394420515</v>
      </c>
      <c r="G85" s="9" t="n">
        <f aca="false">G83*nioi</f>
        <v>15932.8836502178</v>
      </c>
    </row>
    <row r="86" customFormat="false" ht="15" hidden="false" customHeight="false" outlineLevel="0" collapsed="false">
      <c r="A86" s="5" t="s">
        <v>575</v>
      </c>
      <c r="B86" s="5" t="s">
        <v>328</v>
      </c>
      <c r="C86" s="23" t="n">
        <f aca="false">a25_sh</f>
        <v>808</v>
      </c>
      <c r="D86" s="23" t="n">
        <f aca="false">an_sh</f>
        <v>797.799373040752</v>
      </c>
      <c r="E86" s="23" t="n">
        <f aca="false">$D86*(1-bb)^1</f>
        <v>789.821379310345</v>
      </c>
      <c r="F86" s="23" t="n">
        <f aca="false">$D86*(1-bb)^2</f>
        <v>781.923165517241</v>
      </c>
      <c r="G86" s="23" t="n">
        <f aca="false">$D86*(1-bb)^3</f>
        <v>774.103933862069</v>
      </c>
    </row>
    <row r="87" customFormat="false" ht="17.15" hidden="false" customHeight="false" outlineLevel="0" collapsed="false">
      <c r="A87" s="0" t="s">
        <v>576</v>
      </c>
      <c r="B87" s="0" t="s">
        <v>341</v>
      </c>
      <c r="C87" s="14" t="n">
        <f aca="false">a25_eps</f>
        <v>9.42</v>
      </c>
      <c r="D87" s="14" t="n">
        <f aca="false">an_eps</f>
        <v>12.76</v>
      </c>
      <c r="E87" s="14" t="n">
        <f aca="false">E85/E86</f>
        <v>15.5035338794892</v>
      </c>
      <c r="F87" s="14" t="n">
        <f aca="false">F85/F86</f>
        <v>18.4493056072955</v>
      </c>
      <c r="G87" s="14" t="n">
        <f aca="false">G85/G86</f>
        <v>20.5823571658231</v>
      </c>
      <c r="H87" s="8" t="s">
        <v>577</v>
      </c>
    </row>
    <row r="88" customFormat="false" ht="17.15" hidden="false" customHeight="false" outlineLevel="0" collapsed="false">
      <c r="A88" s="5" t="s">
        <v>578</v>
      </c>
      <c r="B88" s="0" t="s">
        <v>199</v>
      </c>
      <c r="D88" s="11" t="n">
        <f aca="false">D72/1000/(D67+D68+D69)</f>
        <v>0.170398285527431</v>
      </c>
      <c r="E88" s="11" t="n">
        <f aca="false">E72/1000/(E67+E68+E69)</f>
        <v>0.161651664398699</v>
      </c>
      <c r="F88" s="11" t="n">
        <f aca="false">F72/1000/(F67+F68+F69)</f>
        <v>0.161580645925943</v>
      </c>
      <c r="G88" s="11" t="n">
        <f aca="false">G72/1000/(G67+G68+G69)</f>
        <v>0.161496720704052</v>
      </c>
      <c r="H88" s="5" t="s">
        <v>579</v>
      </c>
    </row>
    <row r="92" customFormat="false" ht="17.15" hidden="false" customHeight="false" outlineLevel="0" collapsed="false">
      <c r="A92" s="3" t="s">
        <v>916</v>
      </c>
    </row>
    <row r="93" customFormat="false" ht="15" hidden="false" customHeight="false" outlineLevel="0" collapsed="false">
      <c r="A93" s="6" t="s">
        <v>19</v>
      </c>
      <c r="B93" s="6" t="s">
        <v>20</v>
      </c>
      <c r="C93" s="15" t="s">
        <v>513</v>
      </c>
      <c r="D93" s="15" t="s">
        <v>514</v>
      </c>
      <c r="E93" s="15" t="s">
        <v>515</v>
      </c>
      <c r="F93" s="15" t="s">
        <v>516</v>
      </c>
      <c r="G93" s="15" t="s">
        <v>517</v>
      </c>
      <c r="H93" s="6" t="s">
        <v>518</v>
      </c>
    </row>
    <row r="94" customFormat="false" ht="17.15" hidden="false" customHeight="false" outlineLevel="0" collapsed="false">
      <c r="A94" s="1" t="s">
        <v>549</v>
      </c>
    </row>
    <row r="95" customFormat="false" ht="17.15" hidden="false" customHeight="false" outlineLevel="0" collapsed="false">
      <c r="A95" s="5" t="s">
        <v>550</v>
      </c>
      <c r="B95" s="0" t="s">
        <v>30</v>
      </c>
      <c r="C95" s="22" t="n">
        <f aca="false">laA_25+loA_25+ofA_25</f>
        <v>78.3481206981793</v>
      </c>
      <c r="D95" s="22" t="n">
        <f aca="false">laA_26+loA_26+ofA_26</f>
        <v>99.7111533272534</v>
      </c>
      <c r="E95" s="22" t="n">
        <f aca="false">laA_27+loA_27+ofA_27</f>
        <v>116.288709321091</v>
      </c>
      <c r="F95" s="22" t="n">
        <f aca="false">laA_28+loA_28+ofA_28</f>
        <v>130.886404842261</v>
      </c>
      <c r="G95" s="22" t="n">
        <f aca="false">laA_29+loA_29+ofA_29</f>
        <v>139.398079992203</v>
      </c>
    </row>
    <row r="96" customFormat="false" ht="17.15" hidden="false" customHeight="false" outlineLevel="0" collapsed="false">
      <c r="A96" s="0" t="s">
        <v>551</v>
      </c>
      <c r="B96" s="0" t="s">
        <v>30</v>
      </c>
      <c r="C96" s="22" t="n">
        <f aca="false">drA_25</f>
        <v>26.3761091658243</v>
      </c>
      <c r="D96" s="22" t="n">
        <f aca="false">drA_26</f>
        <v>41.8742847275048</v>
      </c>
      <c r="E96" s="22" t="n">
        <f aca="false">drA_27</f>
        <v>53.2587328153375</v>
      </c>
      <c r="F96" s="22" t="n">
        <f aca="false">drA_28</f>
        <v>59.5608998372386</v>
      </c>
      <c r="G96" s="22" t="n">
        <f aca="false">drA_29</f>
        <v>61.8312930912183</v>
      </c>
    </row>
    <row r="97" customFormat="false" ht="15" hidden="false" customHeight="false" outlineLevel="0" collapsed="false">
      <c r="A97" s="0" t="s">
        <v>552</v>
      </c>
      <c r="B97" s="0" t="s">
        <v>30</v>
      </c>
      <c r="C97" s="22" t="n">
        <f aca="false">ndA_25</f>
        <v>12.1726019800256</v>
      </c>
      <c r="D97" s="22" t="n">
        <f aca="false">ndA_26</f>
        <v>18.4595763045422</v>
      </c>
      <c r="E97" s="22" t="n">
        <f aca="false">ndA_27</f>
        <v>23.2480272411321</v>
      </c>
      <c r="F97" s="22" t="n">
        <f aca="false">ndA_28</f>
        <v>26.181321629459</v>
      </c>
      <c r="G97" s="22" t="n">
        <f aca="false">ndA_29</f>
        <v>27.674312771805</v>
      </c>
    </row>
    <row r="98" customFormat="false" ht="17.15" hidden="false" customHeight="false" outlineLevel="0" collapsed="false">
      <c r="A98" s="1" t="s">
        <v>553</v>
      </c>
    </row>
    <row r="99" customFormat="false" ht="17.15" hidden="false" customHeight="false" outlineLevel="0" collapsed="false">
      <c r="A99" s="5" t="s">
        <v>554</v>
      </c>
      <c r="B99" s="0" t="s">
        <v>30</v>
      </c>
      <c r="D99" s="22" t="n">
        <f aca="false">fyw*C95+(1-fyw)*D95</f>
        <v>96.1506478890744</v>
      </c>
      <c r="E99" s="22" t="n">
        <f aca="false">fyw*D95+(1-fyw)*E95</f>
        <v>113.525783322118</v>
      </c>
      <c r="F99" s="22" t="n">
        <f aca="false">fyw*E95+(1-fyw)*F95</f>
        <v>128.453455588732</v>
      </c>
      <c r="G99" s="22" t="n">
        <f aca="false">fyw*F95+(1-fyw)*G95</f>
        <v>137.979467467212</v>
      </c>
    </row>
    <row r="100" customFormat="false" ht="17.15" hidden="false" customHeight="false" outlineLevel="0" collapsed="false">
      <c r="A100" s="0" t="s">
        <v>555</v>
      </c>
      <c r="B100" s="0" t="s">
        <v>30</v>
      </c>
      <c r="D100" s="22" t="n">
        <f aca="false">fyw*C96+(1-fyw)*D96</f>
        <v>39.2912554672247</v>
      </c>
      <c r="E100" s="22" t="n">
        <f aca="false">fyw*D96+(1-fyw)*E96</f>
        <v>51.3613248006987</v>
      </c>
      <c r="F100" s="22" t="n">
        <f aca="false">fyw*E96+(1-fyw)*F96</f>
        <v>58.5105386669218</v>
      </c>
      <c r="G100" s="22" t="n">
        <f aca="false">fyw*F96+(1-fyw)*G96</f>
        <v>61.452894215555</v>
      </c>
    </row>
    <row r="101" customFormat="false" ht="15" hidden="false" customHeight="false" outlineLevel="0" collapsed="false">
      <c r="A101" s="0" t="s">
        <v>556</v>
      </c>
      <c r="B101" s="0" t="s">
        <v>30</v>
      </c>
      <c r="D101" s="22" t="n">
        <f aca="false">fyw*C97+(1-fyw)*D97</f>
        <v>17.4117472504561</v>
      </c>
      <c r="E101" s="22" t="n">
        <f aca="false">fyw*D97+(1-fyw)*E97</f>
        <v>22.4499520850338</v>
      </c>
      <c r="F101" s="22" t="n">
        <f aca="false">fyw*E97+(1-fyw)*F97</f>
        <v>25.6924392314045</v>
      </c>
      <c r="G101" s="22" t="n">
        <f aca="false">fyw*F97+(1-fyw)*G97</f>
        <v>27.4254809147473</v>
      </c>
    </row>
    <row r="102" customFormat="false" ht="17.15" hidden="false" customHeight="false" outlineLevel="0" collapsed="false">
      <c r="A102" s="5" t="s">
        <v>557</v>
      </c>
      <c r="B102" s="0" t="s">
        <v>246</v>
      </c>
      <c r="D102" s="21" t="n">
        <f aca="false">m_fl*D99/$D99+m_dr*D100/$D100+m_nd*D101/$D101</f>
        <v>1</v>
      </c>
      <c r="E102" s="21" t="n">
        <f aca="false">m_fl*E99/$D99+m_dr*E100/$D100+m_nd*E101/$D101</f>
        <v>1.22388113282</v>
      </c>
      <c r="F102" s="21" t="n">
        <f aca="false">m_fl*F99/$D99+m_dr*F100/$D100+m_nd*F101/$D101</f>
        <v>1.3886833368957</v>
      </c>
      <c r="G102" s="21" t="n">
        <f aca="false">m_fl*G99/$D99+m_dr*G100/$D100+m_nd*G101/$D101</f>
        <v>1.48065154546388</v>
      </c>
      <c r="H102" s="8" t="s">
        <v>558</v>
      </c>
    </row>
    <row r="103" customFormat="false" ht="17.15" hidden="false" customHeight="false" outlineLevel="0" collapsed="false">
      <c r="A103" s="1" t="s">
        <v>559</v>
      </c>
    </row>
    <row r="104" customFormat="false" ht="17.15" hidden="false" customHeight="false" outlineLevel="0" collapsed="false">
      <c r="A104" s="5" t="s">
        <v>560</v>
      </c>
      <c r="B104" s="0" t="s">
        <v>252</v>
      </c>
      <c r="C104" s="9" t="n">
        <f aca="false">a25_ss</f>
        <v>21438.5432098765</v>
      </c>
      <c r="D104" s="9" t="n">
        <f aca="false">an_ss</f>
        <v>26046</v>
      </c>
      <c r="E104" s="9" t="n">
        <f aca="false">$D104*E102*sf_hi</f>
        <v>33471.0683847013</v>
      </c>
      <c r="F104" s="9" t="n">
        <f aca="false">$D104*F102*sf_hi</f>
        <v>37978.1285024248</v>
      </c>
      <c r="G104" s="9" t="n">
        <f aca="false">$D104*G102*sf_hi</f>
        <v>40493.3026608098</v>
      </c>
      <c r="H104" s="8" t="s">
        <v>561</v>
      </c>
    </row>
    <row r="105" customFormat="false" ht="17.15" hidden="false" customHeight="false" outlineLevel="0" collapsed="false">
      <c r="A105" s="0" t="s">
        <v>562</v>
      </c>
      <c r="B105" s="0" t="s">
        <v>252</v>
      </c>
      <c r="C105" s="9" t="n">
        <f aca="false">a25_ags</f>
        <v>5744.19672131148</v>
      </c>
      <c r="D105" s="9" t="n">
        <f aca="false">an_ags</f>
        <v>6845</v>
      </c>
      <c r="E105" s="9" t="n">
        <f aca="false">D105*(1+g_ags_A)</f>
        <v>7871.75</v>
      </c>
      <c r="F105" s="9" t="n">
        <f aca="false">E105*(1+g_ags_A)</f>
        <v>9052.5125</v>
      </c>
      <c r="G105" s="9" t="n">
        <f aca="false">F105*(1+g_ags_A)</f>
        <v>10410.389375</v>
      </c>
    </row>
    <row r="106" customFormat="false" ht="17.15" hidden="false" customHeight="false" outlineLevel="0" collapsed="false">
      <c r="A106" s="5" t="s">
        <v>563</v>
      </c>
      <c r="B106" s="0" t="s">
        <v>252</v>
      </c>
      <c r="C106" s="9" t="n">
        <v>0</v>
      </c>
      <c r="D106" s="9" t="n">
        <v>0</v>
      </c>
      <c r="E106" s="9" t="n">
        <f aca="false">-aff_hit*aff_A-0*cn_sh*(E104+E105)</f>
        <v>-0</v>
      </c>
      <c r="F106" s="9" t="n">
        <f aca="false">-aff_hit*aff_A-0*cn_sh*(F104+F105)</f>
        <v>-0</v>
      </c>
      <c r="G106" s="9" t="n">
        <f aca="false">-aff_hit*aff_A-0*cn_sh*(G104+G105)</f>
        <v>-0</v>
      </c>
      <c r="H106" s="5" t="s">
        <v>564</v>
      </c>
    </row>
    <row r="107" customFormat="false" ht="17.15" hidden="false" customHeight="false" outlineLevel="0" collapsed="false">
      <c r="A107" s="5" t="s">
        <v>565</v>
      </c>
      <c r="B107" s="0" t="s">
        <v>252</v>
      </c>
      <c r="C107" s="9" t="n">
        <f aca="false">C104+C106*C104/(C104+C105)</f>
        <v>21438.5432098765</v>
      </c>
      <c r="D107" s="9" t="n">
        <f aca="false">D104+D106*D104/(D104+D105)</f>
        <v>26046</v>
      </c>
      <c r="E107" s="9" t="n">
        <f aca="false">E104+E106*E104/(E104+E105)</f>
        <v>33471.0683847013</v>
      </c>
      <c r="F107" s="9" t="n">
        <f aca="false">F104+F106*F104/(F104+F105)</f>
        <v>37978.1285024248</v>
      </c>
      <c r="G107" s="9" t="n">
        <f aca="false">G104+G106*G104/(G104+G105)</f>
        <v>40493.3026608098</v>
      </c>
      <c r="H107" s="5" t="s">
        <v>566</v>
      </c>
    </row>
    <row r="108" customFormat="false" ht="17.15" hidden="false" customHeight="false" outlineLevel="0" collapsed="false">
      <c r="A108" s="0" t="s">
        <v>567</v>
      </c>
      <c r="B108" s="0" t="s">
        <v>252</v>
      </c>
      <c r="C108" s="9" t="n">
        <f aca="false">C105+C106*C105/(C104+C105)</f>
        <v>5744.19672131148</v>
      </c>
      <c r="D108" s="9" t="n">
        <f aca="false">D105+D106*D105/(D104+D105)</f>
        <v>6845</v>
      </c>
      <c r="E108" s="9" t="n">
        <f aca="false">E105+E106*E105/(E104+E105)</f>
        <v>7871.75</v>
      </c>
      <c r="F108" s="9" t="n">
        <f aca="false">F105+F106*F105/(F104+F105)</f>
        <v>9052.5125</v>
      </c>
      <c r="G108" s="9" t="n">
        <f aca="false">G105+G106*G105/(G104+G105)</f>
        <v>10410.389375</v>
      </c>
      <c r="H108" s="5" t="s">
        <v>568</v>
      </c>
    </row>
    <row r="109" customFormat="false" ht="17.15" hidden="false" customHeight="false" outlineLevel="0" collapsed="false">
      <c r="A109" s="5" t="s">
        <v>569</v>
      </c>
      <c r="B109" s="0" t="s">
        <v>252</v>
      </c>
      <c r="C109" s="9" t="n">
        <f aca="false">a25_oth</f>
        <v>1185.26006881198</v>
      </c>
      <c r="D109" s="9" t="n">
        <f aca="false">an_oth</f>
        <v>1396</v>
      </c>
      <c r="E109" s="9" t="n">
        <f aca="false">D109*(1+g_oth_A)</f>
        <v>1396</v>
      </c>
      <c r="F109" s="9" t="n">
        <f aca="false">E109*(1+g_oth_A)</f>
        <v>1396</v>
      </c>
      <c r="G109" s="9" t="n">
        <f aca="false">F109*(1+g_oth_A)</f>
        <v>1396</v>
      </c>
      <c r="H109" s="5" t="s">
        <v>570</v>
      </c>
    </row>
    <row r="110" customFormat="false" ht="15" hidden="false" customHeight="false" outlineLevel="0" collapsed="false">
      <c r="A110" s="5" t="s">
        <v>454</v>
      </c>
      <c r="B110" s="0" t="s">
        <v>252</v>
      </c>
      <c r="C110" s="9" t="n">
        <f aca="false">C107+C108+C109</f>
        <v>28368</v>
      </c>
      <c r="D110" s="9" t="n">
        <f aca="false">D107+D108+D109</f>
        <v>34287</v>
      </c>
      <c r="E110" s="9" t="n">
        <f aca="false">E107+E108+E109</f>
        <v>42738.8183847013</v>
      </c>
      <c r="F110" s="9" t="n">
        <f aca="false">F107+F108+F109</f>
        <v>48426.6410024248</v>
      </c>
      <c r="G110" s="9" t="n">
        <f aca="false">G107+G108+G109</f>
        <v>52299.6920358098</v>
      </c>
    </row>
    <row r="111" customFormat="false" ht="17.15" hidden="false" customHeight="false" outlineLevel="0" collapsed="false">
      <c r="A111" s="5" t="s">
        <v>571</v>
      </c>
      <c r="B111" s="0" t="s">
        <v>252</v>
      </c>
      <c r="C111" s="23" t="n">
        <f aca="false">C107+C108+C109-a25_rev</f>
        <v>0</v>
      </c>
      <c r="D111" s="23" t="n">
        <f aca="false">D107+D108+D109-an_rev</f>
        <v>0</v>
      </c>
    </row>
    <row r="112" customFormat="false" ht="17.15" hidden="false" customHeight="false" outlineLevel="0" collapsed="false">
      <c r="A112" s="0" t="s">
        <v>460</v>
      </c>
      <c r="B112" s="0" t="s">
        <v>199</v>
      </c>
      <c r="C112" s="11" t="n">
        <f aca="false">a25_gp/a25_rev</f>
        <v>0.487833192329385</v>
      </c>
      <c r="D112" s="11" t="n">
        <f aca="false">an_gp/an_rev</f>
        <v>0.500418584303089</v>
      </c>
      <c r="E112" s="11" t="n">
        <f aca="false">1-(cF+cv*E110)/E110</f>
        <v>0.512346780390549</v>
      </c>
      <c r="F112" s="11" t="n">
        <f aca="false">1-(cF+cv*F110)/F110</f>
        <v>0.518030279531142</v>
      </c>
      <c r="G112" s="11" t="n">
        <f aca="false">1-(cF+cv*G110)/G110</f>
        <v>0.521192894729359</v>
      </c>
      <c r="H112" s="5" t="s">
        <v>572</v>
      </c>
    </row>
    <row r="113" customFormat="false" ht="17.15" hidden="false" customHeight="false" outlineLevel="0" collapsed="false">
      <c r="A113" s="0" t="s">
        <v>463</v>
      </c>
      <c r="B113" s="0" t="s">
        <v>252</v>
      </c>
      <c r="C113" s="9" t="n">
        <f aca="false">C110*C112</f>
        <v>13838.852</v>
      </c>
      <c r="D113" s="9" t="n">
        <f aca="false">D110*D112</f>
        <v>17157.852</v>
      </c>
      <c r="E113" s="9" t="n">
        <f aca="false">E110*E112</f>
        <v>21897.0959970981</v>
      </c>
      <c r="F113" s="9" t="n">
        <f aca="false">F110*F112</f>
        <v>25086.4663752404</v>
      </c>
      <c r="G113" s="9" t="n">
        <f aca="false">G110*G112</f>
        <v>27258.2278855977</v>
      </c>
    </row>
    <row r="114" customFormat="false" ht="17.15" hidden="false" customHeight="false" outlineLevel="0" collapsed="false">
      <c r="A114" s="0" t="s">
        <v>573</v>
      </c>
      <c r="B114" s="0" t="s">
        <v>252</v>
      </c>
      <c r="C114" s="9" t="n">
        <f aca="false">opex25</f>
        <v>5276.852</v>
      </c>
      <c r="D114" s="9" t="n">
        <f aca="false">opex26</f>
        <v>5832.852</v>
      </c>
      <c r="E114" s="9" t="n">
        <f aca="false">oF+ov*E110</f>
        <v>6626.77175365669</v>
      </c>
      <c r="F114" s="9" t="n">
        <f aca="false">oF+ov*F110</f>
        <v>7161.05615565944</v>
      </c>
      <c r="G114" s="9" t="n">
        <f aca="false">oF+ov*G110</f>
        <v>7524.87037673767</v>
      </c>
      <c r="H114" s="5" t="s">
        <v>574</v>
      </c>
    </row>
    <row r="115" customFormat="false" ht="17.15" hidden="false" customHeight="false" outlineLevel="0" collapsed="false">
      <c r="A115" s="0" t="s">
        <v>465</v>
      </c>
      <c r="B115" s="0" t="s">
        <v>252</v>
      </c>
      <c r="C115" s="9" t="n">
        <f aca="false">C113-C114</f>
        <v>8562</v>
      </c>
      <c r="D115" s="9" t="n">
        <f aca="false">D113-D114</f>
        <v>11325</v>
      </c>
      <c r="E115" s="9" t="n">
        <f aca="false">E113-E114</f>
        <v>15270.3242434414</v>
      </c>
      <c r="F115" s="9" t="n">
        <f aca="false">F113-F114</f>
        <v>17925.410219581</v>
      </c>
      <c r="G115" s="9" t="n">
        <f aca="false">G113-G114</f>
        <v>19733.35750886</v>
      </c>
    </row>
    <row r="116" customFormat="false" ht="17.15" hidden="false" customHeight="false" outlineLevel="0" collapsed="false">
      <c r="A116" s="0" t="s">
        <v>544</v>
      </c>
      <c r="B116" s="0" t="s">
        <v>199</v>
      </c>
      <c r="C116" s="11" t="n">
        <f aca="false">C115/C110</f>
        <v>0.301818950930626</v>
      </c>
      <c r="D116" s="11" t="n">
        <f aca="false">D115/D110</f>
        <v>0.330300113745735</v>
      </c>
      <c r="E116" s="11" t="n">
        <f aca="false">E115/E110</f>
        <v>0.357294020297659</v>
      </c>
      <c r="F116" s="11" t="n">
        <f aca="false">F115/F110</f>
        <v>0.37015596887431</v>
      </c>
      <c r="G116" s="11" t="n">
        <f aca="false">G115/G110</f>
        <v>0.377313072806404</v>
      </c>
    </row>
    <row r="117" customFormat="false" ht="17.15" hidden="false" customHeight="false" outlineLevel="0" collapsed="false">
      <c r="A117" s="0" t="s">
        <v>470</v>
      </c>
      <c r="B117" s="0" t="s">
        <v>252</v>
      </c>
      <c r="C117" s="9" t="n">
        <f aca="false">a25_ni</f>
        <v>7607</v>
      </c>
      <c r="D117" s="9" t="n">
        <f aca="false">an_ni</f>
        <v>10179.92</v>
      </c>
      <c r="E117" s="9" t="n">
        <f aca="false">E115*nioi</f>
        <v>13567.0820509062</v>
      </c>
      <c r="F117" s="9" t="n">
        <f aca="false">F115*nioi</f>
        <v>15926.0214366214</v>
      </c>
      <c r="G117" s="9" t="n">
        <f aca="false">G115*nioi</f>
        <v>17532.3114424081</v>
      </c>
    </row>
    <row r="118" customFormat="false" ht="15" hidden="false" customHeight="false" outlineLevel="0" collapsed="false">
      <c r="A118" s="5" t="s">
        <v>575</v>
      </c>
      <c r="B118" s="5" t="s">
        <v>328</v>
      </c>
      <c r="C118" s="23" t="n">
        <f aca="false">a25_sh</f>
        <v>808</v>
      </c>
      <c r="D118" s="23" t="n">
        <f aca="false">an_sh</f>
        <v>797.799373040752</v>
      </c>
      <c r="E118" s="23" t="n">
        <f aca="false">$D118*(1-bb)^1</f>
        <v>789.821379310345</v>
      </c>
      <c r="F118" s="23" t="n">
        <f aca="false">$D118*(1-bb)^2</f>
        <v>781.923165517241</v>
      </c>
      <c r="G118" s="23" t="n">
        <f aca="false">$D118*(1-bb)^3</f>
        <v>774.103933862069</v>
      </c>
    </row>
    <row r="119" customFormat="false" ht="17.15" hidden="false" customHeight="false" outlineLevel="0" collapsed="false">
      <c r="A119" s="0" t="s">
        <v>576</v>
      </c>
      <c r="B119" s="0" t="s">
        <v>341</v>
      </c>
      <c r="C119" s="14" t="n">
        <f aca="false">a25_eps</f>
        <v>9.42</v>
      </c>
      <c r="D119" s="14" t="n">
        <f aca="false">an_eps</f>
        <v>12.76</v>
      </c>
      <c r="E119" s="14" t="n">
        <f aca="false">E117/E118</f>
        <v>17.1774054315328</v>
      </c>
      <c r="F119" s="14" t="n">
        <f aca="false">F117/F118</f>
        <v>20.3677575226798</v>
      </c>
      <c r="G119" s="14" t="n">
        <f aca="false">G117/G118</f>
        <v>22.6485238938626</v>
      </c>
      <c r="H119" s="8" t="s">
        <v>577</v>
      </c>
    </row>
    <row r="120" customFormat="false" ht="17.15" hidden="false" customHeight="false" outlineLevel="0" collapsed="false">
      <c r="A120" s="5" t="s">
        <v>578</v>
      </c>
      <c r="B120" s="0" t="s">
        <v>199</v>
      </c>
      <c r="D120" s="11" t="n">
        <f aca="false">D104/1000/(D99+D100+D101)</f>
        <v>0.170398285527431</v>
      </c>
      <c r="E120" s="11" t="n">
        <f aca="false">E104/1000/(E99+E100+E101)</f>
        <v>0.178667629072246</v>
      </c>
      <c r="F120" s="11" t="n">
        <f aca="false">F104/1000/(F99+F100+F101)</f>
        <v>0.178589134970779</v>
      </c>
      <c r="G120" s="11" t="n">
        <f aca="false">G104/1000/(G99+G100+G101)</f>
        <v>0.178496375515005</v>
      </c>
      <c r="H120" s="5" t="s">
        <v>579</v>
      </c>
    </row>
    <row r="124" customFormat="false" ht="17.15" hidden="false" customHeight="false" outlineLevel="0" collapsed="false">
      <c r="A124" s="3" t="s">
        <v>917</v>
      </c>
    </row>
    <row r="125" customFormat="false" ht="15" hidden="false" customHeight="false" outlineLevel="0" collapsed="false">
      <c r="A125" s="6" t="s">
        <v>19</v>
      </c>
      <c r="B125" s="6" t="s">
        <v>20</v>
      </c>
      <c r="C125" s="15" t="s">
        <v>513</v>
      </c>
      <c r="D125" s="15" t="s">
        <v>514</v>
      </c>
      <c r="E125" s="15" t="s">
        <v>515</v>
      </c>
      <c r="F125" s="15" t="s">
        <v>516</v>
      </c>
      <c r="G125" s="15" t="s">
        <v>517</v>
      </c>
      <c r="H125" s="6" t="s">
        <v>518</v>
      </c>
    </row>
    <row r="126" customFormat="false" ht="17.15" hidden="false" customHeight="false" outlineLevel="0" collapsed="false">
      <c r="A126" s="1" t="s">
        <v>549</v>
      </c>
    </row>
    <row r="127" customFormat="false" ht="17.15" hidden="false" customHeight="false" outlineLevel="0" collapsed="false">
      <c r="A127" s="5" t="s">
        <v>550</v>
      </c>
      <c r="B127" s="0" t="s">
        <v>30</v>
      </c>
      <c r="C127" s="22" t="n">
        <f aca="false">laA_25+loA_25+ofA_25</f>
        <v>78.3481206981793</v>
      </c>
      <c r="D127" s="22" t="n">
        <f aca="false">laA_26+loA_26+ofA_26</f>
        <v>99.7111533272534</v>
      </c>
      <c r="E127" s="22" t="n">
        <f aca="false">laA_27+loA_27+ofA_27</f>
        <v>116.288709321091</v>
      </c>
      <c r="F127" s="22" t="n">
        <f aca="false">laA_28+loA_28+ofA_28</f>
        <v>130.886404842261</v>
      </c>
      <c r="G127" s="22" t="n">
        <f aca="false">laA_29+loA_29+ofA_29</f>
        <v>139.398079992203</v>
      </c>
    </row>
    <row r="128" customFormat="false" ht="17.15" hidden="false" customHeight="false" outlineLevel="0" collapsed="false">
      <c r="A128" s="0" t="s">
        <v>551</v>
      </c>
      <c r="B128" s="0" t="s">
        <v>30</v>
      </c>
      <c r="C128" s="22" t="n">
        <f aca="false">drA_25</f>
        <v>26.3761091658243</v>
      </c>
      <c r="D128" s="22" t="n">
        <f aca="false">drA_26</f>
        <v>41.8742847275048</v>
      </c>
      <c r="E128" s="22" t="n">
        <f aca="false">drA_27</f>
        <v>53.2587328153375</v>
      </c>
      <c r="F128" s="22" t="n">
        <f aca="false">drA_28</f>
        <v>59.5608998372386</v>
      </c>
      <c r="G128" s="22" t="n">
        <f aca="false">drA_29</f>
        <v>61.8312930912183</v>
      </c>
    </row>
    <row r="129" customFormat="false" ht="15" hidden="false" customHeight="false" outlineLevel="0" collapsed="false">
      <c r="A129" s="0" t="s">
        <v>552</v>
      </c>
      <c r="B129" s="0" t="s">
        <v>30</v>
      </c>
      <c r="C129" s="22" t="n">
        <f aca="false">ndA_25</f>
        <v>12.1726019800256</v>
      </c>
      <c r="D129" s="22" t="n">
        <f aca="false">ndA_26</f>
        <v>18.4595763045422</v>
      </c>
      <c r="E129" s="22" t="n">
        <f aca="false">ndA_27</f>
        <v>23.2480272411321</v>
      </c>
      <c r="F129" s="22" t="n">
        <f aca="false">ndA_28</f>
        <v>26.181321629459</v>
      </c>
      <c r="G129" s="22" t="n">
        <f aca="false">ndA_29</f>
        <v>27.674312771805</v>
      </c>
    </row>
    <row r="130" customFormat="false" ht="17.15" hidden="false" customHeight="false" outlineLevel="0" collapsed="false">
      <c r="A130" s="1" t="s">
        <v>553</v>
      </c>
    </row>
    <row r="131" customFormat="false" ht="17.15" hidden="false" customHeight="false" outlineLevel="0" collapsed="false">
      <c r="A131" s="5" t="s">
        <v>554</v>
      </c>
      <c r="B131" s="0" t="s">
        <v>30</v>
      </c>
      <c r="D131" s="22" t="n">
        <f aca="false">fyw*C127+(1-fyw)*D127</f>
        <v>96.1506478890744</v>
      </c>
      <c r="E131" s="22" t="n">
        <f aca="false">fyw*D127+(1-fyw)*E127</f>
        <v>113.525783322118</v>
      </c>
      <c r="F131" s="22" t="n">
        <f aca="false">fyw*E127+(1-fyw)*F127</f>
        <v>128.453455588732</v>
      </c>
      <c r="G131" s="22" t="n">
        <f aca="false">fyw*F127+(1-fyw)*G127</f>
        <v>137.979467467212</v>
      </c>
    </row>
    <row r="132" customFormat="false" ht="17.15" hidden="false" customHeight="false" outlineLevel="0" collapsed="false">
      <c r="A132" s="0" t="s">
        <v>555</v>
      </c>
      <c r="B132" s="0" t="s">
        <v>30</v>
      </c>
      <c r="D132" s="22" t="n">
        <f aca="false">fyw*C128+(1-fyw)*D128</f>
        <v>39.2912554672247</v>
      </c>
      <c r="E132" s="22" t="n">
        <f aca="false">fyw*D128+(1-fyw)*E128</f>
        <v>51.3613248006987</v>
      </c>
      <c r="F132" s="22" t="n">
        <f aca="false">fyw*E128+(1-fyw)*F128</f>
        <v>58.5105386669218</v>
      </c>
      <c r="G132" s="22" t="n">
        <f aca="false">fyw*F128+(1-fyw)*G128</f>
        <v>61.452894215555</v>
      </c>
    </row>
    <row r="133" customFormat="false" ht="15" hidden="false" customHeight="false" outlineLevel="0" collapsed="false">
      <c r="A133" s="0" t="s">
        <v>556</v>
      </c>
      <c r="B133" s="0" t="s">
        <v>30</v>
      </c>
      <c r="D133" s="22" t="n">
        <f aca="false">fyw*C129+(1-fyw)*D129</f>
        <v>17.4117472504561</v>
      </c>
      <c r="E133" s="22" t="n">
        <f aca="false">fyw*D129+(1-fyw)*E129</f>
        <v>22.4499520850338</v>
      </c>
      <c r="F133" s="22" t="n">
        <f aca="false">fyw*E129+(1-fyw)*F129</f>
        <v>25.6924392314045</v>
      </c>
      <c r="G133" s="22" t="n">
        <f aca="false">fyw*F129+(1-fyw)*G129</f>
        <v>27.4254809147473</v>
      </c>
    </row>
    <row r="134" customFormat="false" ht="17.15" hidden="false" customHeight="false" outlineLevel="0" collapsed="false">
      <c r="A134" s="5" t="s">
        <v>557</v>
      </c>
      <c r="B134" s="0" t="s">
        <v>246</v>
      </c>
      <c r="D134" s="21" t="n">
        <f aca="false">m_fl_lo*D131/$D131+m_dr_lo*D132/$D132+m_nd*D133/$D133</f>
        <v>1</v>
      </c>
      <c r="E134" s="21" t="n">
        <f aca="false">m_fl_lo*E131/$D131+m_dr_lo*E132/$D132+m_nd*E133/$D133</f>
        <v>1.22234653971228</v>
      </c>
      <c r="F134" s="21" t="n">
        <f aca="false">m_fl_lo*F131/$D131+m_dr_lo*F132/$D132+m_nd*F133/$D133</f>
        <v>1.3868247925967</v>
      </c>
      <c r="G134" s="21" t="n">
        <f aca="false">m_fl_lo*G131/$D131+m_dr_lo*G132/$D132+m_nd*G133/$D133</f>
        <v>1.47908645990888</v>
      </c>
      <c r="H134" s="8" t="s">
        <v>558</v>
      </c>
    </row>
    <row r="135" customFormat="false" ht="17.15" hidden="false" customHeight="false" outlineLevel="0" collapsed="false">
      <c r="A135" s="1" t="s">
        <v>559</v>
      </c>
    </row>
    <row r="136" customFormat="false" ht="17.15" hidden="false" customHeight="false" outlineLevel="0" collapsed="false">
      <c r="A136" s="5" t="s">
        <v>560</v>
      </c>
      <c r="B136" s="0" t="s">
        <v>252</v>
      </c>
      <c r="C136" s="9" t="n">
        <f aca="false">a25_ss</f>
        <v>21438.5432098765</v>
      </c>
      <c r="D136" s="9" t="n">
        <f aca="false">an_ss</f>
        <v>26046</v>
      </c>
      <c r="E136" s="9" t="n">
        <f aca="false">$D136*E134*sf</f>
        <v>31837.237973346</v>
      </c>
      <c r="F136" s="9" t="n">
        <f aca="false">$D136*F134*sf</f>
        <v>36121.2385479737</v>
      </c>
      <c r="G136" s="9" t="n">
        <f aca="false">$D136*G134*sf</f>
        <v>38524.2859347868</v>
      </c>
      <c r="H136" s="8" t="s">
        <v>561</v>
      </c>
    </row>
    <row r="137" customFormat="false" ht="17.15" hidden="false" customHeight="false" outlineLevel="0" collapsed="false">
      <c r="A137" s="0" t="s">
        <v>562</v>
      </c>
      <c r="B137" s="0" t="s">
        <v>252</v>
      </c>
      <c r="C137" s="9" t="n">
        <f aca="false">a25_ags</f>
        <v>5744.19672131148</v>
      </c>
      <c r="D137" s="9" t="n">
        <f aca="false">an_ags</f>
        <v>6845</v>
      </c>
      <c r="E137" s="9" t="n">
        <f aca="false">D137*(1+g_ags_A)</f>
        <v>7871.75</v>
      </c>
      <c r="F137" s="9" t="n">
        <f aca="false">E137*(1+g_ags_A)</f>
        <v>9052.5125</v>
      </c>
      <c r="G137" s="9" t="n">
        <f aca="false">F137*(1+g_ags_A)</f>
        <v>10410.389375</v>
      </c>
    </row>
    <row r="138" customFormat="false" ht="17.15" hidden="false" customHeight="false" outlineLevel="0" collapsed="false">
      <c r="A138" s="5" t="s">
        <v>563</v>
      </c>
      <c r="B138" s="0" t="s">
        <v>252</v>
      </c>
      <c r="C138" s="9" t="n">
        <v>0</v>
      </c>
      <c r="D138" s="9" t="n">
        <v>0</v>
      </c>
      <c r="E138" s="9" t="n">
        <f aca="false">-aff_hit*aff_A-0*cn_sh*(E136+E137)</f>
        <v>-0</v>
      </c>
      <c r="F138" s="9" t="n">
        <f aca="false">-aff_hit*aff_A-0*cn_sh*(F136+F137)</f>
        <v>-0</v>
      </c>
      <c r="G138" s="9" t="n">
        <f aca="false">-aff_hit*aff_A-0*cn_sh*(G136+G137)</f>
        <v>-0</v>
      </c>
      <c r="H138" s="5" t="s">
        <v>564</v>
      </c>
    </row>
    <row r="139" customFormat="false" ht="17.15" hidden="false" customHeight="false" outlineLevel="0" collapsed="false">
      <c r="A139" s="5" t="s">
        <v>565</v>
      </c>
      <c r="B139" s="0" t="s">
        <v>252</v>
      </c>
      <c r="C139" s="9" t="n">
        <f aca="false">C136+C138*C136/(C136+C137)</f>
        <v>21438.5432098765</v>
      </c>
      <c r="D139" s="9" t="n">
        <f aca="false">D136+D138*D136/(D136+D137)</f>
        <v>26046</v>
      </c>
      <c r="E139" s="9" t="n">
        <f aca="false">E136+E138*E136/(E136+E137)</f>
        <v>31837.237973346</v>
      </c>
      <c r="F139" s="9" t="n">
        <f aca="false">F136+F138*F136/(F136+F137)</f>
        <v>36121.2385479737</v>
      </c>
      <c r="G139" s="9" t="n">
        <f aca="false">G136+G138*G136/(G136+G137)</f>
        <v>38524.2859347868</v>
      </c>
      <c r="H139" s="5" t="s">
        <v>566</v>
      </c>
    </row>
    <row r="140" customFormat="false" ht="17.15" hidden="false" customHeight="false" outlineLevel="0" collapsed="false">
      <c r="A140" s="0" t="s">
        <v>567</v>
      </c>
      <c r="B140" s="0" t="s">
        <v>252</v>
      </c>
      <c r="C140" s="9" t="n">
        <f aca="false">C137+C138*C137/(C136+C137)</f>
        <v>5744.19672131148</v>
      </c>
      <c r="D140" s="9" t="n">
        <f aca="false">D137+D138*D137/(D136+D137)</f>
        <v>6845</v>
      </c>
      <c r="E140" s="9" t="n">
        <f aca="false">E137+E138*E137/(E136+E137)</f>
        <v>7871.75</v>
      </c>
      <c r="F140" s="9" t="n">
        <f aca="false">F137+F138*F137/(F136+F137)</f>
        <v>9052.5125</v>
      </c>
      <c r="G140" s="9" t="n">
        <f aca="false">G137+G138*G137/(G136+G137)</f>
        <v>10410.389375</v>
      </c>
      <c r="H140" s="5" t="s">
        <v>568</v>
      </c>
    </row>
    <row r="141" customFormat="false" ht="17.15" hidden="false" customHeight="false" outlineLevel="0" collapsed="false">
      <c r="A141" s="5" t="s">
        <v>569</v>
      </c>
      <c r="B141" s="0" t="s">
        <v>252</v>
      </c>
      <c r="C141" s="9" t="n">
        <f aca="false">a25_oth</f>
        <v>1185.26006881198</v>
      </c>
      <c r="D141" s="9" t="n">
        <f aca="false">an_oth</f>
        <v>1396</v>
      </c>
      <c r="E141" s="9" t="n">
        <f aca="false">D141*(1+g_oth_A)</f>
        <v>1396</v>
      </c>
      <c r="F141" s="9" t="n">
        <f aca="false">E141*(1+g_oth_A)</f>
        <v>1396</v>
      </c>
      <c r="G141" s="9" t="n">
        <f aca="false">F141*(1+g_oth_A)</f>
        <v>1396</v>
      </c>
      <c r="H141" s="5" t="s">
        <v>570</v>
      </c>
    </row>
    <row r="142" customFormat="false" ht="15" hidden="false" customHeight="false" outlineLevel="0" collapsed="false">
      <c r="A142" s="5" t="s">
        <v>454</v>
      </c>
      <c r="B142" s="0" t="s">
        <v>252</v>
      </c>
      <c r="C142" s="9" t="n">
        <f aca="false">C139+C140+C141</f>
        <v>28368</v>
      </c>
      <c r="D142" s="9" t="n">
        <f aca="false">D139+D140+D141</f>
        <v>34287</v>
      </c>
      <c r="E142" s="9" t="n">
        <f aca="false">E139+E140+E141</f>
        <v>41104.987973346</v>
      </c>
      <c r="F142" s="9" t="n">
        <f aca="false">F139+F140+F141</f>
        <v>46569.7510479737</v>
      </c>
      <c r="G142" s="9" t="n">
        <f aca="false">G139+G140+G141</f>
        <v>50330.6753097868</v>
      </c>
    </row>
    <row r="143" customFormat="false" ht="17.15" hidden="false" customHeight="false" outlineLevel="0" collapsed="false">
      <c r="A143" s="5" t="s">
        <v>571</v>
      </c>
      <c r="B143" s="0" t="s">
        <v>252</v>
      </c>
      <c r="C143" s="23" t="n">
        <f aca="false">C139+C140+C141-a25_rev</f>
        <v>0</v>
      </c>
      <c r="D143" s="23" t="n">
        <f aca="false">D139+D140+D141-an_rev</f>
        <v>0</v>
      </c>
    </row>
    <row r="144" customFormat="false" ht="17.15" hidden="false" customHeight="false" outlineLevel="0" collapsed="false">
      <c r="A144" s="0" t="s">
        <v>460</v>
      </c>
      <c r="B144" s="0" t="s">
        <v>199</v>
      </c>
      <c r="C144" s="11" t="n">
        <f aca="false">a25_gp/a25_rev</f>
        <v>0.487833192329385</v>
      </c>
      <c r="D144" s="11" t="n">
        <f aca="false">an_gp/an_rev</f>
        <v>0.500418584303089</v>
      </c>
      <c r="E144" s="11" t="n">
        <f aca="false">1-(cF+cv*E142)/E142</f>
        <v>0.510423393945068</v>
      </c>
      <c r="F144" s="11" t="n">
        <f aca="false">1-(cF+cv*F142)/F142</f>
        <v>0.516327436892911</v>
      </c>
      <c r="G144" s="11" t="n">
        <f aca="false">1-(cF+cv*G142)/G142</f>
        <v>0.519645881141772</v>
      </c>
      <c r="H144" s="5" t="s">
        <v>572</v>
      </c>
    </row>
    <row r="145" customFormat="false" ht="17.15" hidden="false" customHeight="false" outlineLevel="0" collapsed="false">
      <c r="A145" s="0" t="s">
        <v>463</v>
      </c>
      <c r="B145" s="0" t="s">
        <v>252</v>
      </c>
      <c r="C145" s="9" t="n">
        <f aca="false">C142*C144</f>
        <v>13838.852</v>
      </c>
      <c r="D145" s="9" t="n">
        <f aca="false">D142*D144</f>
        <v>17157.852</v>
      </c>
      <c r="E145" s="9" t="n">
        <f aca="false">E142*E144</f>
        <v>20980.9474694265</v>
      </c>
      <c r="F145" s="9" t="n">
        <f aca="false">F142*F144</f>
        <v>24045.2401953412</v>
      </c>
      <c r="G145" s="9" t="n">
        <f aca="false">G142*G144</f>
        <v>26154.1281198146</v>
      </c>
    </row>
    <row r="146" customFormat="false" ht="17.15" hidden="false" customHeight="false" outlineLevel="0" collapsed="false">
      <c r="A146" s="0" t="s">
        <v>573</v>
      </c>
      <c r="B146" s="0" t="s">
        <v>252</v>
      </c>
      <c r="C146" s="9" t="n">
        <f aca="false">opex25</f>
        <v>5276.852</v>
      </c>
      <c r="D146" s="9" t="n">
        <f aca="false">opex26</f>
        <v>5832.852</v>
      </c>
      <c r="E146" s="9" t="n">
        <f aca="false">oF+ov*E142</f>
        <v>6473.29824314587</v>
      </c>
      <c r="F146" s="9" t="n">
        <f aca="false">oF+ov*F142</f>
        <v>6986.62959463987</v>
      </c>
      <c r="G146" s="9" t="n">
        <f aca="false">oF+ov*G142</f>
        <v>7339.91121139407</v>
      </c>
      <c r="H146" s="5" t="s">
        <v>574</v>
      </c>
    </row>
    <row r="147" customFormat="false" ht="17.15" hidden="false" customHeight="false" outlineLevel="0" collapsed="false">
      <c r="A147" s="0" t="s">
        <v>465</v>
      </c>
      <c r="B147" s="0" t="s">
        <v>252</v>
      </c>
      <c r="C147" s="9" t="n">
        <f aca="false">C145-C146</f>
        <v>8562</v>
      </c>
      <c r="D147" s="9" t="n">
        <f aca="false">D145-D146</f>
        <v>11325</v>
      </c>
      <c r="E147" s="9" t="n">
        <f aca="false">E145-E146</f>
        <v>14507.6492262806</v>
      </c>
      <c r="F147" s="9" t="n">
        <f aca="false">F145-F146</f>
        <v>17058.6106007014</v>
      </c>
      <c r="G147" s="9" t="n">
        <f aca="false">G145-G146</f>
        <v>18814.2169084205</v>
      </c>
    </row>
    <row r="148" customFormat="false" ht="17.15" hidden="false" customHeight="false" outlineLevel="0" collapsed="false">
      <c r="A148" s="0" t="s">
        <v>544</v>
      </c>
      <c r="B148" s="0" t="s">
        <v>199</v>
      </c>
      <c r="C148" s="11" t="n">
        <f aca="false">C147/C142</f>
        <v>0.301818950930626</v>
      </c>
      <c r="D148" s="11" t="n">
        <f aca="false">D147/D142</f>
        <v>0.330300113745735</v>
      </c>
      <c r="E148" s="11" t="n">
        <f aca="false">E147/E142</f>
        <v>0.352941332465245</v>
      </c>
      <c r="F148" s="11" t="n">
        <f aca="false">F147/F142</f>
        <v>0.366302379051339</v>
      </c>
      <c r="G148" s="11" t="n">
        <f aca="false">G147/G142</f>
        <v>0.373812129335012</v>
      </c>
    </row>
    <row r="149" customFormat="false" ht="17.15" hidden="false" customHeight="false" outlineLevel="0" collapsed="false">
      <c r="A149" s="0" t="s">
        <v>470</v>
      </c>
      <c r="B149" s="0" t="s">
        <v>252</v>
      </c>
      <c r="C149" s="9" t="n">
        <f aca="false">a25_ni</f>
        <v>7607</v>
      </c>
      <c r="D149" s="9" t="n">
        <f aca="false">an_ni</f>
        <v>10179.92</v>
      </c>
      <c r="E149" s="9" t="n">
        <f aca="false">E147*nioi</f>
        <v>12889.475317019</v>
      </c>
      <c r="F149" s="9" t="n">
        <f aca="false">F147*nioi</f>
        <v>15155.9040924475</v>
      </c>
      <c r="G149" s="9" t="n">
        <f aca="false">G147*nioi</f>
        <v>16715.6911962573</v>
      </c>
    </row>
    <row r="150" customFormat="false" ht="15" hidden="false" customHeight="false" outlineLevel="0" collapsed="false">
      <c r="A150" s="5" t="s">
        <v>575</v>
      </c>
      <c r="B150" s="5" t="s">
        <v>328</v>
      </c>
      <c r="C150" s="23" t="n">
        <f aca="false">a25_sh</f>
        <v>808</v>
      </c>
      <c r="D150" s="23" t="n">
        <f aca="false">an_sh</f>
        <v>797.799373040752</v>
      </c>
      <c r="E150" s="23" t="n">
        <f aca="false">$D150*(1-bb)^1</f>
        <v>789.821379310345</v>
      </c>
      <c r="F150" s="23" t="n">
        <f aca="false">$D150*(1-bb)^2</f>
        <v>781.923165517241</v>
      </c>
      <c r="G150" s="23" t="n">
        <f aca="false">$D150*(1-bb)^3</f>
        <v>774.103933862069</v>
      </c>
    </row>
    <row r="151" customFormat="false" ht="17.15" hidden="false" customHeight="false" outlineLevel="0" collapsed="false">
      <c r="A151" s="0" t="s">
        <v>576</v>
      </c>
      <c r="B151" s="0" t="s">
        <v>341</v>
      </c>
      <c r="C151" s="14" t="n">
        <f aca="false">a25_eps</f>
        <v>9.42</v>
      </c>
      <c r="D151" s="14" t="n">
        <f aca="false">an_eps</f>
        <v>12.76</v>
      </c>
      <c r="E151" s="14" t="n">
        <f aca="false">E149/E150</f>
        <v>16.3194814101814</v>
      </c>
      <c r="F151" s="14" t="n">
        <f aca="false">F149/F150</f>
        <v>19.3828559643988</v>
      </c>
      <c r="G151" s="14" t="n">
        <f aca="false">G149/G150</f>
        <v>21.5936006330071</v>
      </c>
      <c r="H151" s="8" t="s">
        <v>577</v>
      </c>
    </row>
    <row r="152" customFormat="false" ht="17.15" hidden="false" customHeight="false" outlineLevel="0" collapsed="false">
      <c r="A152" s="5" t="s">
        <v>578</v>
      </c>
      <c r="B152" s="0" t="s">
        <v>199</v>
      </c>
      <c r="D152" s="11" t="n">
        <f aca="false">D136/1000/(D131+D132+D133)</f>
        <v>0.170398285527431</v>
      </c>
      <c r="E152" s="11" t="n">
        <f aca="false">E136/1000/(E131+E132+E133)</f>
        <v>0.169946287926279</v>
      </c>
      <c r="F152" s="11" t="n">
        <f aca="false">F136/1000/(F131+F132+F133)</f>
        <v>0.169857257340733</v>
      </c>
      <c r="G152" s="11" t="n">
        <f aca="false">G136/1000/(G131+G132+G133)</f>
        <v>0.169816857524893</v>
      </c>
      <c r="H152" s="5" t="s">
        <v>579</v>
      </c>
    </row>
    <row r="156" customFormat="false" ht="17.15" hidden="false" customHeight="false" outlineLevel="0" collapsed="false">
      <c r="A156" s="3" t="s">
        <v>918</v>
      </c>
    </row>
    <row r="157" customFormat="false" ht="15" hidden="false" customHeight="false" outlineLevel="0" collapsed="false">
      <c r="A157" s="6" t="s">
        <v>19</v>
      </c>
      <c r="B157" s="6" t="s">
        <v>20</v>
      </c>
      <c r="C157" s="15" t="s">
        <v>513</v>
      </c>
      <c r="D157" s="15" t="s">
        <v>514</v>
      </c>
      <c r="E157" s="15" t="s">
        <v>515</v>
      </c>
      <c r="F157" s="15" t="s">
        <v>516</v>
      </c>
      <c r="G157" s="15" t="s">
        <v>517</v>
      </c>
      <c r="H157" s="6" t="s">
        <v>518</v>
      </c>
    </row>
    <row r="158" customFormat="false" ht="17.15" hidden="false" customHeight="false" outlineLevel="0" collapsed="false">
      <c r="A158" s="1" t="s">
        <v>549</v>
      </c>
    </row>
    <row r="159" customFormat="false" ht="17.15" hidden="false" customHeight="false" outlineLevel="0" collapsed="false">
      <c r="A159" s="5" t="s">
        <v>550</v>
      </c>
      <c r="B159" s="0" t="s">
        <v>30</v>
      </c>
      <c r="C159" s="22" t="n">
        <f aca="false">laA_25+loA_25+ofA_25</f>
        <v>78.3481206981793</v>
      </c>
      <c r="D159" s="22" t="n">
        <f aca="false">laA_26+loA_26+ofA_26</f>
        <v>99.7111533272534</v>
      </c>
      <c r="E159" s="22" t="n">
        <f aca="false">laA_27+loA_27+ofA_27</f>
        <v>116.288709321091</v>
      </c>
      <c r="F159" s="22" t="n">
        <f aca="false">laA_28+loA_28+ofA_28</f>
        <v>130.886404842261</v>
      </c>
      <c r="G159" s="22" t="n">
        <f aca="false">laA_29+loA_29+ofA_29</f>
        <v>139.398079992203</v>
      </c>
    </row>
    <row r="160" customFormat="false" ht="17.15" hidden="false" customHeight="false" outlineLevel="0" collapsed="false">
      <c r="A160" s="0" t="s">
        <v>551</v>
      </c>
      <c r="B160" s="0" t="s">
        <v>30</v>
      </c>
      <c r="C160" s="22" t="n">
        <f aca="false">drA_25</f>
        <v>26.3761091658243</v>
      </c>
      <c r="D160" s="22" t="n">
        <f aca="false">drA_26</f>
        <v>41.8742847275048</v>
      </c>
      <c r="E160" s="22" t="n">
        <f aca="false">drA_27</f>
        <v>53.2587328153375</v>
      </c>
      <c r="F160" s="22" t="n">
        <f aca="false">drA_28</f>
        <v>59.5608998372386</v>
      </c>
      <c r="G160" s="22" t="n">
        <f aca="false">drA_29</f>
        <v>61.8312930912183</v>
      </c>
    </row>
    <row r="161" customFormat="false" ht="15" hidden="false" customHeight="false" outlineLevel="0" collapsed="false">
      <c r="A161" s="0" t="s">
        <v>552</v>
      </c>
      <c r="B161" s="0" t="s">
        <v>30</v>
      </c>
      <c r="C161" s="22" t="n">
        <f aca="false">ndA_25</f>
        <v>12.1726019800256</v>
      </c>
      <c r="D161" s="22" t="n">
        <f aca="false">ndA_26</f>
        <v>18.4595763045422</v>
      </c>
      <c r="E161" s="22" t="n">
        <f aca="false">ndA_27</f>
        <v>23.2480272411321</v>
      </c>
      <c r="F161" s="22" t="n">
        <f aca="false">ndA_28</f>
        <v>26.181321629459</v>
      </c>
      <c r="G161" s="22" t="n">
        <f aca="false">ndA_29</f>
        <v>27.674312771805</v>
      </c>
    </row>
    <row r="162" customFormat="false" ht="17.15" hidden="false" customHeight="false" outlineLevel="0" collapsed="false">
      <c r="A162" s="1" t="s">
        <v>553</v>
      </c>
    </row>
    <row r="163" customFormat="false" ht="17.15" hidden="false" customHeight="false" outlineLevel="0" collapsed="false">
      <c r="A163" s="5" t="s">
        <v>554</v>
      </c>
      <c r="B163" s="0" t="s">
        <v>30</v>
      </c>
      <c r="D163" s="22" t="n">
        <f aca="false">fyw*C159+(1-fyw)*D159</f>
        <v>96.1506478890744</v>
      </c>
      <c r="E163" s="22" t="n">
        <f aca="false">fyw*D159+(1-fyw)*E159</f>
        <v>113.525783322118</v>
      </c>
      <c r="F163" s="22" t="n">
        <f aca="false">fyw*E159+(1-fyw)*F159</f>
        <v>128.453455588732</v>
      </c>
      <c r="G163" s="22" t="n">
        <f aca="false">fyw*F159+(1-fyw)*G159</f>
        <v>137.979467467212</v>
      </c>
    </row>
    <row r="164" customFormat="false" ht="17.15" hidden="false" customHeight="false" outlineLevel="0" collapsed="false">
      <c r="A164" s="0" t="s">
        <v>555</v>
      </c>
      <c r="B164" s="0" t="s">
        <v>30</v>
      </c>
      <c r="D164" s="22" t="n">
        <f aca="false">fyw*C160+(1-fyw)*D160</f>
        <v>39.2912554672247</v>
      </c>
      <c r="E164" s="22" t="n">
        <f aca="false">fyw*D160+(1-fyw)*E160</f>
        <v>51.3613248006987</v>
      </c>
      <c r="F164" s="22" t="n">
        <f aca="false">fyw*E160+(1-fyw)*F160</f>
        <v>58.5105386669218</v>
      </c>
      <c r="G164" s="22" t="n">
        <f aca="false">fyw*F160+(1-fyw)*G160</f>
        <v>61.452894215555</v>
      </c>
    </row>
    <row r="165" customFormat="false" ht="15" hidden="false" customHeight="false" outlineLevel="0" collapsed="false">
      <c r="A165" s="0" t="s">
        <v>556</v>
      </c>
      <c r="B165" s="0" t="s">
        <v>30</v>
      </c>
      <c r="D165" s="22" t="n">
        <f aca="false">fyw*C161+(1-fyw)*D161</f>
        <v>17.4117472504561</v>
      </c>
      <c r="E165" s="22" t="n">
        <f aca="false">fyw*D161+(1-fyw)*E161</f>
        <v>22.4499520850338</v>
      </c>
      <c r="F165" s="22" t="n">
        <f aca="false">fyw*E161+(1-fyw)*F161</f>
        <v>25.6924392314045</v>
      </c>
      <c r="G165" s="22" t="n">
        <f aca="false">fyw*F161+(1-fyw)*G161</f>
        <v>27.4254809147473</v>
      </c>
    </row>
    <row r="166" customFormat="false" ht="17.15" hidden="false" customHeight="false" outlineLevel="0" collapsed="false">
      <c r="A166" s="5" t="s">
        <v>557</v>
      </c>
      <c r="B166" s="0" t="s">
        <v>246</v>
      </c>
      <c r="D166" s="21" t="n">
        <f aca="false">m_fl_hi*D163/$D163+m_dr_hi*D164/$D164+m_nd*D165/$D165</f>
        <v>1</v>
      </c>
      <c r="E166" s="21" t="n">
        <f aca="false">m_fl_hi*E163/$D163+m_dr_hi*E164/$D164+m_nd*E165/$D165</f>
        <v>1.22541572592773</v>
      </c>
      <c r="F166" s="21" t="n">
        <f aca="false">m_fl_hi*F163/$D163+m_dr_hi*F164/$D164+m_nd*F165/$D165</f>
        <v>1.39054188119471</v>
      </c>
      <c r="G166" s="21" t="n">
        <f aca="false">m_fl_hi*G163/$D163+m_dr_hi*G164/$D164+m_nd*G165/$D165</f>
        <v>1.48221663101887</v>
      </c>
      <c r="H166" s="8" t="s">
        <v>558</v>
      </c>
    </row>
    <row r="167" customFormat="false" ht="17.15" hidden="false" customHeight="false" outlineLevel="0" collapsed="false">
      <c r="A167" s="1" t="s">
        <v>559</v>
      </c>
    </row>
    <row r="168" customFormat="false" ht="17.15" hidden="false" customHeight="false" outlineLevel="0" collapsed="false">
      <c r="A168" s="5" t="s">
        <v>560</v>
      </c>
      <c r="B168" s="0" t="s">
        <v>252</v>
      </c>
      <c r="C168" s="9" t="n">
        <f aca="false">a25_ss</f>
        <v>21438.5432098765</v>
      </c>
      <c r="D168" s="9" t="n">
        <f aca="false">an_ss</f>
        <v>26046</v>
      </c>
      <c r="E168" s="9" t="n">
        <f aca="false">$D168*E166*sf</f>
        <v>31917.1779975137</v>
      </c>
      <c r="F168" s="9" t="n">
        <f aca="false">$D168*F166*sf</f>
        <v>36218.0538375973</v>
      </c>
      <c r="G168" s="9" t="n">
        <f aca="false">$D168*G166*sf</f>
        <v>38605.8143715175</v>
      </c>
      <c r="H168" s="8" t="s">
        <v>561</v>
      </c>
    </row>
    <row r="169" customFormat="false" ht="17.15" hidden="false" customHeight="false" outlineLevel="0" collapsed="false">
      <c r="A169" s="0" t="s">
        <v>562</v>
      </c>
      <c r="B169" s="0" t="s">
        <v>252</v>
      </c>
      <c r="C169" s="9" t="n">
        <f aca="false">a25_ags</f>
        <v>5744.19672131148</v>
      </c>
      <c r="D169" s="9" t="n">
        <f aca="false">an_ags</f>
        <v>6845</v>
      </c>
      <c r="E169" s="9" t="n">
        <f aca="false">D169*(1+g_ags_A)</f>
        <v>7871.75</v>
      </c>
      <c r="F169" s="9" t="n">
        <f aca="false">E169*(1+g_ags_A)</f>
        <v>9052.5125</v>
      </c>
      <c r="G169" s="9" t="n">
        <f aca="false">F169*(1+g_ags_A)</f>
        <v>10410.389375</v>
      </c>
    </row>
    <row r="170" customFormat="false" ht="17.15" hidden="false" customHeight="false" outlineLevel="0" collapsed="false">
      <c r="A170" s="5" t="s">
        <v>563</v>
      </c>
      <c r="B170" s="0" t="s">
        <v>252</v>
      </c>
      <c r="C170" s="9" t="n">
        <v>0</v>
      </c>
      <c r="D170" s="9" t="n">
        <v>0</v>
      </c>
      <c r="E170" s="9" t="n">
        <f aca="false">-aff_hit*aff_A-0*cn_sh*(E168+E169)</f>
        <v>-0</v>
      </c>
      <c r="F170" s="9" t="n">
        <f aca="false">-aff_hit*aff_A-0*cn_sh*(F168+F169)</f>
        <v>-0</v>
      </c>
      <c r="G170" s="9" t="n">
        <f aca="false">-aff_hit*aff_A-0*cn_sh*(G168+G169)</f>
        <v>-0</v>
      </c>
      <c r="H170" s="5" t="s">
        <v>564</v>
      </c>
    </row>
    <row r="171" customFormat="false" ht="17.15" hidden="false" customHeight="false" outlineLevel="0" collapsed="false">
      <c r="A171" s="5" t="s">
        <v>565</v>
      </c>
      <c r="B171" s="0" t="s">
        <v>252</v>
      </c>
      <c r="C171" s="9" t="n">
        <f aca="false">C168+C170*C168/(C168+C169)</f>
        <v>21438.5432098765</v>
      </c>
      <c r="D171" s="9" t="n">
        <f aca="false">D168+D170*D168/(D168+D169)</f>
        <v>26046</v>
      </c>
      <c r="E171" s="9" t="n">
        <f aca="false">E168+E170*E168/(E168+E169)</f>
        <v>31917.1779975137</v>
      </c>
      <c r="F171" s="9" t="n">
        <f aca="false">F168+F170*F168/(F168+F169)</f>
        <v>36218.0538375973</v>
      </c>
      <c r="G171" s="9" t="n">
        <f aca="false">G168+G170*G168/(G168+G169)</f>
        <v>38605.8143715175</v>
      </c>
      <c r="H171" s="5" t="s">
        <v>566</v>
      </c>
    </row>
    <row r="172" customFormat="false" ht="17.15" hidden="false" customHeight="false" outlineLevel="0" collapsed="false">
      <c r="A172" s="0" t="s">
        <v>567</v>
      </c>
      <c r="B172" s="0" t="s">
        <v>252</v>
      </c>
      <c r="C172" s="9" t="n">
        <f aca="false">C169+C170*C169/(C168+C169)</f>
        <v>5744.19672131148</v>
      </c>
      <c r="D172" s="9" t="n">
        <f aca="false">D169+D170*D169/(D168+D169)</f>
        <v>6845</v>
      </c>
      <c r="E172" s="9" t="n">
        <f aca="false">E169+E170*E169/(E168+E169)</f>
        <v>7871.75</v>
      </c>
      <c r="F172" s="9" t="n">
        <f aca="false">F169+F170*F169/(F168+F169)</f>
        <v>9052.5125</v>
      </c>
      <c r="G172" s="9" t="n">
        <f aca="false">G169+G170*G169/(G168+G169)</f>
        <v>10410.389375</v>
      </c>
      <c r="H172" s="5" t="s">
        <v>568</v>
      </c>
    </row>
    <row r="173" customFormat="false" ht="17.15" hidden="false" customHeight="false" outlineLevel="0" collapsed="false">
      <c r="A173" s="5" t="s">
        <v>569</v>
      </c>
      <c r="B173" s="0" t="s">
        <v>252</v>
      </c>
      <c r="C173" s="9" t="n">
        <f aca="false">a25_oth</f>
        <v>1185.26006881198</v>
      </c>
      <c r="D173" s="9" t="n">
        <f aca="false">an_oth</f>
        <v>1396</v>
      </c>
      <c r="E173" s="9" t="n">
        <f aca="false">D173*(1+g_oth_A)</f>
        <v>1396</v>
      </c>
      <c r="F173" s="9" t="n">
        <f aca="false">E173*(1+g_oth_A)</f>
        <v>1396</v>
      </c>
      <c r="G173" s="9" t="n">
        <f aca="false">F173*(1+g_oth_A)</f>
        <v>1396</v>
      </c>
      <c r="H173" s="5" t="s">
        <v>570</v>
      </c>
    </row>
    <row r="174" customFormat="false" ht="15" hidden="false" customHeight="false" outlineLevel="0" collapsed="false">
      <c r="A174" s="5" t="s">
        <v>454</v>
      </c>
      <c r="B174" s="0" t="s">
        <v>252</v>
      </c>
      <c r="C174" s="9" t="n">
        <f aca="false">C171+C172+C173</f>
        <v>28368</v>
      </c>
      <c r="D174" s="9" t="n">
        <f aca="false">D171+D172+D173</f>
        <v>34287</v>
      </c>
      <c r="E174" s="9" t="n">
        <f aca="false">E171+E172+E173</f>
        <v>41184.9279975137</v>
      </c>
      <c r="F174" s="9" t="n">
        <f aca="false">F171+F172+F173</f>
        <v>46666.5663375973</v>
      </c>
      <c r="G174" s="9" t="n">
        <f aca="false">G171+G172+G173</f>
        <v>50412.2037465175</v>
      </c>
    </row>
    <row r="175" customFormat="false" ht="17.15" hidden="false" customHeight="false" outlineLevel="0" collapsed="false">
      <c r="A175" s="5" t="s">
        <v>571</v>
      </c>
      <c r="B175" s="0" t="s">
        <v>252</v>
      </c>
      <c r="C175" s="23" t="n">
        <f aca="false">C171+C172+C173-a25_rev</f>
        <v>0</v>
      </c>
      <c r="D175" s="23" t="n">
        <f aca="false">D171+D172+D173-an_rev</f>
        <v>0</v>
      </c>
    </row>
    <row r="176" customFormat="false" ht="17.15" hidden="false" customHeight="false" outlineLevel="0" collapsed="false">
      <c r="A176" s="0" t="s">
        <v>460</v>
      </c>
      <c r="B176" s="0" t="s">
        <v>199</v>
      </c>
      <c r="C176" s="11" t="n">
        <f aca="false">a25_gp/a25_rev</f>
        <v>0.487833192329385</v>
      </c>
      <c r="D176" s="11" t="n">
        <f aca="false">an_gp/an_rev</f>
        <v>0.500418584303089</v>
      </c>
      <c r="E176" s="11" t="n">
        <f aca="false">1-(cF+cv*E174)/E174</f>
        <v>0.510521051995623</v>
      </c>
      <c r="F176" s="11" t="n">
        <f aca="false">1-(cF+cv*F174)/F174</f>
        <v>0.516419568956232</v>
      </c>
      <c r="G176" s="11" t="n">
        <f aca="false">1-(cF+cv*G174)/G174</f>
        <v>0.51971233455411</v>
      </c>
      <c r="H176" s="5" t="s">
        <v>572</v>
      </c>
    </row>
    <row r="177" customFormat="false" ht="17.15" hidden="false" customHeight="false" outlineLevel="0" collapsed="false">
      <c r="A177" s="0" t="s">
        <v>463</v>
      </c>
      <c r="B177" s="0" t="s">
        <v>252</v>
      </c>
      <c r="C177" s="9" t="n">
        <f aca="false">C174*C176</f>
        <v>13838.852</v>
      </c>
      <c r="D177" s="9" t="n">
        <f aca="false">D174*D176</f>
        <v>17157.852</v>
      </c>
      <c r="E177" s="9" t="n">
        <f aca="false">E174*E176</f>
        <v>21025.7727676546</v>
      </c>
      <c r="F177" s="9" t="n">
        <f aca="false">F174*F176</f>
        <v>24099.5280727294</v>
      </c>
      <c r="G177" s="9" t="n">
        <f aca="false">G174*G176</f>
        <v>26199.8440991201</v>
      </c>
    </row>
    <row r="178" customFormat="false" ht="17.15" hidden="false" customHeight="false" outlineLevel="0" collapsed="false">
      <c r="A178" s="0" t="s">
        <v>573</v>
      </c>
      <c r="B178" s="0" t="s">
        <v>252</v>
      </c>
      <c r="C178" s="9" t="n">
        <f aca="false">opex25</f>
        <v>5276.852</v>
      </c>
      <c r="D178" s="9" t="n">
        <f aca="false">opex26</f>
        <v>5832.852</v>
      </c>
      <c r="E178" s="9" t="n">
        <f aca="false">oF+ov*E174</f>
        <v>6480.80739223139</v>
      </c>
      <c r="F178" s="9" t="n">
        <f aca="false">oF+ov*F174</f>
        <v>6995.72391817944</v>
      </c>
      <c r="G178" s="9" t="n">
        <f aca="false">oF+ov*G174</f>
        <v>7347.56956767423</v>
      </c>
      <c r="H178" s="5" t="s">
        <v>574</v>
      </c>
    </row>
    <row r="179" customFormat="false" ht="17.15" hidden="false" customHeight="false" outlineLevel="0" collapsed="false">
      <c r="A179" s="0" t="s">
        <v>465</v>
      </c>
      <c r="B179" s="0" t="s">
        <v>252</v>
      </c>
      <c r="C179" s="9" t="n">
        <f aca="false">C177-C178</f>
        <v>8562</v>
      </c>
      <c r="D179" s="9" t="n">
        <f aca="false">D177-D178</f>
        <v>11325</v>
      </c>
      <c r="E179" s="9" t="n">
        <f aca="false">E177-E178</f>
        <v>14544.9653754233</v>
      </c>
      <c r="F179" s="9" t="n">
        <f aca="false">F177-F178</f>
        <v>17103.80415455</v>
      </c>
      <c r="G179" s="9" t="n">
        <f aca="false">G177-G178</f>
        <v>18852.2745314458</v>
      </c>
    </row>
    <row r="180" customFormat="false" ht="17.15" hidden="false" customHeight="false" outlineLevel="0" collapsed="false">
      <c r="A180" s="0" t="s">
        <v>544</v>
      </c>
      <c r="B180" s="0" t="s">
        <v>199</v>
      </c>
      <c r="C180" s="11" t="n">
        <f aca="false">C179/C174</f>
        <v>0.301818950930626</v>
      </c>
      <c r="D180" s="11" t="n">
        <f aca="false">D179/D174</f>
        <v>0.330300113745735</v>
      </c>
      <c r="E180" s="11" t="n">
        <f aca="false">E179/E174</f>
        <v>0.353162335898738</v>
      </c>
      <c r="F180" s="11" t="n">
        <f aca="false">F179/F174</f>
        <v>0.366510876990968</v>
      </c>
      <c r="G180" s="11" t="n">
        <f aca="false">G179/G174</f>
        <v>0.373962515628929</v>
      </c>
    </row>
    <row r="181" customFormat="false" ht="17.15" hidden="false" customHeight="false" outlineLevel="0" collapsed="false">
      <c r="A181" s="0" t="s">
        <v>470</v>
      </c>
      <c r="B181" s="0" t="s">
        <v>252</v>
      </c>
      <c r="C181" s="9" t="n">
        <f aca="false">a25_ni</f>
        <v>7607</v>
      </c>
      <c r="D181" s="9" t="n">
        <f aca="false">an_ni</f>
        <v>10179.92</v>
      </c>
      <c r="E181" s="9" t="n">
        <f aca="false">E179*nioi</f>
        <v>12922.62924677</v>
      </c>
      <c r="F181" s="9" t="n">
        <f aca="false">F179*nioi</f>
        <v>15196.0567862254</v>
      </c>
      <c r="G181" s="9" t="n">
        <f aca="false">G179*nioi</f>
        <v>16749.5038963687</v>
      </c>
    </row>
    <row r="182" customFormat="false" ht="15" hidden="false" customHeight="false" outlineLevel="0" collapsed="false">
      <c r="A182" s="5" t="s">
        <v>575</v>
      </c>
      <c r="B182" s="5" t="s">
        <v>328</v>
      </c>
      <c r="C182" s="23" t="n">
        <f aca="false">a25_sh</f>
        <v>808</v>
      </c>
      <c r="D182" s="23" t="n">
        <f aca="false">an_sh</f>
        <v>797.799373040752</v>
      </c>
      <c r="E182" s="23" t="n">
        <f aca="false">$D182*(1-bb)^1</f>
        <v>789.821379310345</v>
      </c>
      <c r="F182" s="23" t="n">
        <f aca="false">$D182*(1-bb)^2</f>
        <v>781.923165517241</v>
      </c>
      <c r="G182" s="23" t="n">
        <f aca="false">$D182*(1-bb)^3</f>
        <v>774.103933862069</v>
      </c>
    </row>
    <row r="183" customFormat="false" ht="17.15" hidden="false" customHeight="false" outlineLevel="0" collapsed="false">
      <c r="A183" s="0" t="s">
        <v>576</v>
      </c>
      <c r="B183" s="0" t="s">
        <v>341</v>
      </c>
      <c r="C183" s="14" t="n">
        <f aca="false">a25_eps</f>
        <v>9.42</v>
      </c>
      <c r="D183" s="14" t="n">
        <f aca="false">an_eps</f>
        <v>12.76</v>
      </c>
      <c r="E183" s="14" t="n">
        <f aca="false">E181/E182</f>
        <v>16.3614579008405</v>
      </c>
      <c r="F183" s="14" t="n">
        <f aca="false">F181/F182</f>
        <v>19.4342071655764</v>
      </c>
      <c r="G183" s="14" t="n">
        <f aca="false">G181/G182</f>
        <v>21.6372804266786</v>
      </c>
      <c r="H183" s="8" t="s">
        <v>577</v>
      </c>
    </row>
    <row r="184" customFormat="false" ht="17.15" hidden="false" customHeight="false" outlineLevel="0" collapsed="false">
      <c r="A184" s="5" t="s">
        <v>578</v>
      </c>
      <c r="B184" s="0" t="s">
        <v>199</v>
      </c>
      <c r="D184" s="11" t="n">
        <f aca="false">D168/1000/(D163+D164+D165)</f>
        <v>0.170398285527431</v>
      </c>
      <c r="E184" s="11" t="n">
        <f aca="false">E168/1000/(E163+E164+E165)</f>
        <v>0.170373005544667</v>
      </c>
      <c r="F184" s="11" t="n">
        <f aca="false">F168/1000/(F163+F164+F165)</f>
        <v>0.170312523555989</v>
      </c>
      <c r="G184" s="11" t="n">
        <f aca="false">G168/1000/(G163+G164+G165)</f>
        <v>0.170176238694163</v>
      </c>
      <c r="H184" s="5" t="s">
        <v>579</v>
      </c>
    </row>
    <row r="188" customFormat="false" ht="17.15" hidden="false" customHeight="false" outlineLevel="0" collapsed="false">
      <c r="A188" s="3" t="s">
        <v>919</v>
      </c>
    </row>
    <row r="189" customFormat="false" ht="15" hidden="false" customHeight="false" outlineLevel="0" collapsed="false">
      <c r="A189" s="6" t="s">
        <v>19</v>
      </c>
      <c r="B189" s="6" t="s">
        <v>20</v>
      </c>
      <c r="C189" s="15" t="s">
        <v>513</v>
      </c>
      <c r="D189" s="15" t="s">
        <v>514</v>
      </c>
      <c r="E189" s="15" t="s">
        <v>515</v>
      </c>
      <c r="F189" s="15" t="s">
        <v>516</v>
      </c>
      <c r="G189" s="15" t="s">
        <v>517</v>
      </c>
      <c r="H189" s="6" t="s">
        <v>518</v>
      </c>
    </row>
    <row r="190" customFormat="false" ht="17.15" hidden="false" customHeight="false" outlineLevel="0" collapsed="false">
      <c r="A190" s="1" t="s">
        <v>549</v>
      </c>
    </row>
    <row r="191" customFormat="false" ht="17.15" hidden="false" customHeight="false" outlineLevel="0" collapsed="false">
      <c r="A191" s="5" t="s">
        <v>550</v>
      </c>
      <c r="B191" s="0" t="s">
        <v>30</v>
      </c>
      <c r="C191" s="22" t="n">
        <f aca="false">laA_25+loA_25+ofA_25</f>
        <v>78.3481206981793</v>
      </c>
      <c r="D191" s="22" t="n">
        <f aca="false">laA_26+loA_26+ofA_26</f>
        <v>99.7111533272534</v>
      </c>
      <c r="E191" s="22" t="n">
        <f aca="false">laA_27+loA_27+ofA_27</f>
        <v>116.288709321091</v>
      </c>
      <c r="F191" s="22" t="n">
        <f aca="false">laA_28+loA_28+ofA_28</f>
        <v>130.886404842261</v>
      </c>
      <c r="G191" s="22" t="n">
        <f aca="false">laA_29+loA_29+ofA_29</f>
        <v>139.398079992203</v>
      </c>
    </row>
    <row r="192" customFormat="false" ht="17.15" hidden="false" customHeight="false" outlineLevel="0" collapsed="false">
      <c r="A192" s="0" t="s">
        <v>551</v>
      </c>
      <c r="B192" s="0" t="s">
        <v>30</v>
      </c>
      <c r="C192" s="22" t="n">
        <f aca="false">drA_25</f>
        <v>26.3761091658243</v>
      </c>
      <c r="D192" s="22" t="n">
        <f aca="false">drA_26</f>
        <v>41.8742847275048</v>
      </c>
      <c r="E192" s="22" t="n">
        <f aca="false">drA_27</f>
        <v>53.2587328153375</v>
      </c>
      <c r="F192" s="22" t="n">
        <f aca="false">drA_28</f>
        <v>59.5608998372386</v>
      </c>
      <c r="G192" s="22" t="n">
        <f aca="false">drA_29</f>
        <v>61.8312930912183</v>
      </c>
    </row>
    <row r="193" customFormat="false" ht="15" hidden="false" customHeight="false" outlineLevel="0" collapsed="false">
      <c r="A193" s="0" t="s">
        <v>552</v>
      </c>
      <c r="B193" s="0" t="s">
        <v>30</v>
      </c>
      <c r="C193" s="22" t="n">
        <f aca="false">ndA_25</f>
        <v>12.1726019800256</v>
      </c>
      <c r="D193" s="22" t="n">
        <f aca="false">ndA_26</f>
        <v>18.4595763045422</v>
      </c>
      <c r="E193" s="22" t="n">
        <f aca="false">ndA_27</f>
        <v>23.2480272411321</v>
      </c>
      <c r="F193" s="22" t="n">
        <f aca="false">ndA_28</f>
        <v>26.181321629459</v>
      </c>
      <c r="G193" s="22" t="n">
        <f aca="false">ndA_29</f>
        <v>27.674312771805</v>
      </c>
    </row>
    <row r="194" customFormat="false" ht="17.15" hidden="false" customHeight="false" outlineLevel="0" collapsed="false">
      <c r="A194" s="1" t="s">
        <v>553</v>
      </c>
    </row>
    <row r="195" customFormat="false" ht="17.15" hidden="false" customHeight="false" outlineLevel="0" collapsed="false">
      <c r="A195" s="5" t="s">
        <v>554</v>
      </c>
      <c r="B195" s="0" t="s">
        <v>30</v>
      </c>
      <c r="D195" s="22" t="n">
        <f aca="false">fyw_lo*C191+(1-fyw_lo)*D191</f>
        <v>97.9309006081639</v>
      </c>
      <c r="E195" s="22" t="n">
        <f aca="false">fyw_lo*D191+(1-fyw_lo)*E191</f>
        <v>114.907246321605</v>
      </c>
      <c r="F195" s="22" t="n">
        <f aca="false">fyw_lo*E191+(1-fyw_lo)*F191</f>
        <v>129.669930215496</v>
      </c>
      <c r="G195" s="22" t="n">
        <f aca="false">fyw_lo*F191+(1-fyw_lo)*G191</f>
        <v>138.688773729707</v>
      </c>
    </row>
    <row r="196" customFormat="false" ht="17.15" hidden="false" customHeight="false" outlineLevel="0" collapsed="false">
      <c r="A196" s="0" t="s">
        <v>555</v>
      </c>
      <c r="B196" s="0" t="s">
        <v>30</v>
      </c>
      <c r="D196" s="22" t="n">
        <f aca="false">fyw_lo*C192+(1-fyw_lo)*D192</f>
        <v>40.5827700973648</v>
      </c>
      <c r="E196" s="22" t="n">
        <f aca="false">fyw_lo*D192+(1-fyw_lo)*E192</f>
        <v>52.3100288080181</v>
      </c>
      <c r="F196" s="22" t="n">
        <f aca="false">fyw_lo*E192+(1-fyw_lo)*F192</f>
        <v>59.0357192520802</v>
      </c>
      <c r="G196" s="22" t="n">
        <f aca="false">fyw_lo*F192+(1-fyw_lo)*G192</f>
        <v>61.6420936533867</v>
      </c>
    </row>
    <row r="197" customFormat="false" ht="15" hidden="false" customHeight="false" outlineLevel="0" collapsed="false">
      <c r="A197" s="0" t="s">
        <v>556</v>
      </c>
      <c r="B197" s="0" t="s">
        <v>30</v>
      </c>
      <c r="D197" s="22" t="n">
        <f aca="false">fyw_lo*C193+(1-fyw_lo)*D193</f>
        <v>17.9356617774992</v>
      </c>
      <c r="E197" s="22" t="n">
        <f aca="false">fyw_lo*D193+(1-fyw_lo)*E193</f>
        <v>22.8489896630829</v>
      </c>
      <c r="F197" s="22" t="n">
        <f aca="false">fyw_lo*E193+(1-fyw_lo)*F193</f>
        <v>25.9368804304318</v>
      </c>
      <c r="G197" s="22" t="n">
        <f aca="false">fyw_lo*F193+(1-fyw_lo)*G193</f>
        <v>27.5498968432762</v>
      </c>
    </row>
    <row r="198" customFormat="false" ht="17.15" hidden="false" customHeight="false" outlineLevel="0" collapsed="false">
      <c r="A198" s="5" t="s">
        <v>557</v>
      </c>
      <c r="B198" s="0" t="s">
        <v>246</v>
      </c>
      <c r="D198" s="21" t="n">
        <f aca="false">m_fl*D195/$D195+m_dr*D196/$D196+m_nd*D197/$D197</f>
        <v>1</v>
      </c>
      <c r="E198" s="21" t="n">
        <f aca="false">m_fl*E195/$D195+m_dr*E196/$D196+m_nd*E197/$D197</f>
        <v>1.21288413620995</v>
      </c>
      <c r="F198" s="21" t="n">
        <f aca="false">m_fl*F195/$D195+m_dr*F196/$D196+m_nd*F197/$D197</f>
        <v>1.36920696695167</v>
      </c>
      <c r="G198" s="21" t="n">
        <f aca="false">m_fl*G195/$D195+m_dr*G196/$D196+m_nd*G197/$D197</f>
        <v>1.45296789776916</v>
      </c>
      <c r="H198" s="8" t="s">
        <v>558</v>
      </c>
    </row>
    <row r="199" customFormat="false" ht="17.15" hidden="false" customHeight="false" outlineLevel="0" collapsed="false">
      <c r="A199" s="1" t="s">
        <v>559</v>
      </c>
    </row>
    <row r="200" customFormat="false" ht="17.15" hidden="false" customHeight="false" outlineLevel="0" collapsed="false">
      <c r="A200" s="5" t="s">
        <v>560</v>
      </c>
      <c r="B200" s="0" t="s">
        <v>252</v>
      </c>
      <c r="C200" s="9" t="n">
        <f aca="false">a25_ss</f>
        <v>21438.5432098765</v>
      </c>
      <c r="D200" s="9" t="n">
        <f aca="false">an_ss</f>
        <v>26046</v>
      </c>
      <c r="E200" s="9" t="n">
        <f aca="false">$D200*E198*sf</f>
        <v>31590.7802117244</v>
      </c>
      <c r="F200" s="9" t="n">
        <f aca="false">$D200*F198*sf</f>
        <v>35662.3646612233</v>
      </c>
      <c r="G200" s="9" t="n">
        <f aca="false">$D200*G198*sf</f>
        <v>37844.0018652956</v>
      </c>
      <c r="H200" s="8" t="s">
        <v>561</v>
      </c>
    </row>
    <row r="201" customFormat="false" ht="17.15" hidden="false" customHeight="false" outlineLevel="0" collapsed="false">
      <c r="A201" s="0" t="s">
        <v>562</v>
      </c>
      <c r="B201" s="0" t="s">
        <v>252</v>
      </c>
      <c r="C201" s="9" t="n">
        <f aca="false">a25_ags</f>
        <v>5744.19672131148</v>
      </c>
      <c r="D201" s="9" t="n">
        <f aca="false">an_ags</f>
        <v>6845</v>
      </c>
      <c r="E201" s="9" t="n">
        <f aca="false">D201*(1+g_ags_A)</f>
        <v>7871.75</v>
      </c>
      <c r="F201" s="9" t="n">
        <f aca="false">E201*(1+g_ags_A)</f>
        <v>9052.5125</v>
      </c>
      <c r="G201" s="9" t="n">
        <f aca="false">F201*(1+g_ags_A)</f>
        <v>10410.389375</v>
      </c>
    </row>
    <row r="202" customFormat="false" ht="17.15" hidden="false" customHeight="false" outlineLevel="0" collapsed="false">
      <c r="A202" s="5" t="s">
        <v>563</v>
      </c>
      <c r="B202" s="0" t="s">
        <v>252</v>
      </c>
      <c r="C202" s="9" t="n">
        <v>0</v>
      </c>
      <c r="D202" s="9" t="n">
        <v>0</v>
      </c>
      <c r="E202" s="9" t="n">
        <f aca="false">-aff_hit*aff_A-0*cn_sh*(E200+E201)</f>
        <v>-0</v>
      </c>
      <c r="F202" s="9" t="n">
        <f aca="false">-aff_hit*aff_A-0*cn_sh*(F200+F201)</f>
        <v>-0</v>
      </c>
      <c r="G202" s="9" t="n">
        <f aca="false">-aff_hit*aff_A-0*cn_sh*(G200+G201)</f>
        <v>-0</v>
      </c>
      <c r="H202" s="5" t="s">
        <v>564</v>
      </c>
    </row>
    <row r="203" customFormat="false" ht="17.15" hidden="false" customHeight="false" outlineLevel="0" collapsed="false">
      <c r="A203" s="5" t="s">
        <v>565</v>
      </c>
      <c r="B203" s="0" t="s">
        <v>252</v>
      </c>
      <c r="C203" s="9" t="n">
        <f aca="false">C200+C202*C200/(C200+C201)</f>
        <v>21438.5432098765</v>
      </c>
      <c r="D203" s="9" t="n">
        <f aca="false">D200+D202*D200/(D200+D201)</f>
        <v>26046</v>
      </c>
      <c r="E203" s="9" t="n">
        <f aca="false">E200+E202*E200/(E200+E201)</f>
        <v>31590.7802117244</v>
      </c>
      <c r="F203" s="9" t="n">
        <f aca="false">F200+F202*F200/(F200+F201)</f>
        <v>35662.3646612233</v>
      </c>
      <c r="G203" s="9" t="n">
        <f aca="false">G200+G202*G200/(G200+G201)</f>
        <v>37844.0018652956</v>
      </c>
      <c r="H203" s="5" t="s">
        <v>566</v>
      </c>
    </row>
    <row r="204" customFormat="false" ht="17.15" hidden="false" customHeight="false" outlineLevel="0" collapsed="false">
      <c r="A204" s="0" t="s">
        <v>567</v>
      </c>
      <c r="B204" s="0" t="s">
        <v>252</v>
      </c>
      <c r="C204" s="9" t="n">
        <f aca="false">C201+C202*C201/(C200+C201)</f>
        <v>5744.19672131148</v>
      </c>
      <c r="D204" s="9" t="n">
        <f aca="false">D201+D202*D201/(D200+D201)</f>
        <v>6845</v>
      </c>
      <c r="E204" s="9" t="n">
        <f aca="false">E201+E202*E201/(E200+E201)</f>
        <v>7871.75</v>
      </c>
      <c r="F204" s="9" t="n">
        <f aca="false">F201+F202*F201/(F200+F201)</f>
        <v>9052.5125</v>
      </c>
      <c r="G204" s="9" t="n">
        <f aca="false">G201+G202*G201/(G200+G201)</f>
        <v>10410.389375</v>
      </c>
      <c r="H204" s="5" t="s">
        <v>568</v>
      </c>
    </row>
    <row r="205" customFormat="false" ht="17.15" hidden="false" customHeight="false" outlineLevel="0" collapsed="false">
      <c r="A205" s="5" t="s">
        <v>569</v>
      </c>
      <c r="B205" s="0" t="s">
        <v>252</v>
      </c>
      <c r="C205" s="9" t="n">
        <f aca="false">a25_oth</f>
        <v>1185.26006881198</v>
      </c>
      <c r="D205" s="9" t="n">
        <f aca="false">an_oth</f>
        <v>1396</v>
      </c>
      <c r="E205" s="9" t="n">
        <f aca="false">D205*(1+g_oth_A)</f>
        <v>1396</v>
      </c>
      <c r="F205" s="9" t="n">
        <f aca="false">E205*(1+g_oth_A)</f>
        <v>1396</v>
      </c>
      <c r="G205" s="9" t="n">
        <f aca="false">F205*(1+g_oth_A)</f>
        <v>1396</v>
      </c>
      <c r="H205" s="5" t="s">
        <v>570</v>
      </c>
    </row>
    <row r="206" customFormat="false" ht="15" hidden="false" customHeight="false" outlineLevel="0" collapsed="false">
      <c r="A206" s="5" t="s">
        <v>454</v>
      </c>
      <c r="B206" s="0" t="s">
        <v>252</v>
      </c>
      <c r="C206" s="9" t="n">
        <f aca="false">C203+C204+C205</f>
        <v>28368</v>
      </c>
      <c r="D206" s="9" t="n">
        <f aca="false">D203+D204+D205</f>
        <v>34287</v>
      </c>
      <c r="E206" s="9" t="n">
        <f aca="false">E203+E204+E205</f>
        <v>40858.5302117244</v>
      </c>
      <c r="F206" s="9" t="n">
        <f aca="false">F203+F204+F205</f>
        <v>46110.8771612233</v>
      </c>
      <c r="G206" s="9" t="n">
        <f aca="false">G203+G204+G205</f>
        <v>49650.3912402956</v>
      </c>
    </row>
    <row r="207" customFormat="false" ht="17.15" hidden="false" customHeight="false" outlineLevel="0" collapsed="false">
      <c r="A207" s="5" t="s">
        <v>571</v>
      </c>
      <c r="B207" s="0" t="s">
        <v>252</v>
      </c>
      <c r="C207" s="23" t="n">
        <f aca="false">C203+C204+C205-a25_rev</f>
        <v>0</v>
      </c>
      <c r="D207" s="23" t="n">
        <f aca="false">D203+D204+D205-an_rev</f>
        <v>0</v>
      </c>
    </row>
    <row r="208" customFormat="false" ht="17.15" hidden="false" customHeight="false" outlineLevel="0" collapsed="false">
      <c r="A208" s="0" t="s">
        <v>460</v>
      </c>
      <c r="B208" s="0" t="s">
        <v>199</v>
      </c>
      <c r="C208" s="11" t="n">
        <f aca="false">a25_gp/a25_rev</f>
        <v>0.487833192329385</v>
      </c>
      <c r="D208" s="11" t="n">
        <f aca="false">an_gp/an_rev</f>
        <v>0.500418584303089</v>
      </c>
      <c r="E208" s="11" t="n">
        <f aca="false">1-(cF+cv*E206)/E206</f>
        <v>0.510119905719479</v>
      </c>
      <c r="F208" s="11" t="n">
        <f aca="false">1-(cF+cv*F206)/F206</f>
        <v>0.515885497560046</v>
      </c>
      <c r="G208" s="11" t="n">
        <f aca="false">1-(cF+cv*G206)/G206</f>
        <v>0.519082877141812</v>
      </c>
      <c r="H208" s="5" t="s">
        <v>572</v>
      </c>
    </row>
    <row r="209" customFormat="false" ht="17.15" hidden="false" customHeight="false" outlineLevel="0" collapsed="false">
      <c r="A209" s="0" t="s">
        <v>463</v>
      </c>
      <c r="B209" s="0" t="s">
        <v>252</v>
      </c>
      <c r="C209" s="9" t="n">
        <f aca="false">C206*C208</f>
        <v>13838.852</v>
      </c>
      <c r="D209" s="9" t="n">
        <f aca="false">D206*D208</f>
        <v>17157.852</v>
      </c>
      <c r="E209" s="9" t="n">
        <f aca="false">E206*E208</f>
        <v>20842.7495794413</v>
      </c>
      <c r="F209" s="9" t="n">
        <f aca="false">F206*F208</f>
        <v>23787.9328072478</v>
      </c>
      <c r="G209" s="9" t="n">
        <f aca="false">G206*G208</f>
        <v>25772.6679362293</v>
      </c>
    </row>
    <row r="210" customFormat="false" ht="17.15" hidden="false" customHeight="false" outlineLevel="0" collapsed="false">
      <c r="A210" s="0" t="s">
        <v>573</v>
      </c>
      <c r="B210" s="0" t="s">
        <v>252</v>
      </c>
      <c r="C210" s="9" t="n">
        <f aca="false">opex25</f>
        <v>5276.852</v>
      </c>
      <c r="D210" s="9" t="n">
        <f aca="false">opex26</f>
        <v>5832.852</v>
      </c>
      <c r="E210" s="9" t="n">
        <f aca="false">oF+ov*E206</f>
        <v>6450.14728598053</v>
      </c>
      <c r="F210" s="9" t="n">
        <f aca="false">oF+ov*F206</f>
        <v>6943.52537415782</v>
      </c>
      <c r="G210" s="9" t="n">
        <f aca="false">oF+ov*G206</f>
        <v>7276.00887271573</v>
      </c>
      <c r="H210" s="5" t="s">
        <v>574</v>
      </c>
    </row>
    <row r="211" customFormat="false" ht="17.15" hidden="false" customHeight="false" outlineLevel="0" collapsed="false">
      <c r="A211" s="0" t="s">
        <v>465</v>
      </c>
      <c r="B211" s="0" t="s">
        <v>252</v>
      </c>
      <c r="C211" s="9" t="n">
        <f aca="false">C209-C210</f>
        <v>8562</v>
      </c>
      <c r="D211" s="9" t="n">
        <f aca="false">D209-D210</f>
        <v>11325</v>
      </c>
      <c r="E211" s="9" t="n">
        <f aca="false">E209-E210</f>
        <v>14392.6022934608</v>
      </c>
      <c r="F211" s="9" t="n">
        <f aca="false">F209-F210</f>
        <v>16844.40743309</v>
      </c>
      <c r="G211" s="9" t="n">
        <f aca="false">G209-G210</f>
        <v>18496.6590635136</v>
      </c>
    </row>
    <row r="212" customFormat="false" ht="17.15" hidden="false" customHeight="false" outlineLevel="0" collapsed="false">
      <c r="A212" s="0" t="s">
        <v>544</v>
      </c>
      <c r="B212" s="0" t="s">
        <v>199</v>
      </c>
      <c r="C212" s="11" t="n">
        <f aca="false">C211/C206</f>
        <v>0.301818950930626</v>
      </c>
      <c r="D212" s="11" t="n">
        <f aca="false">D211/D206</f>
        <v>0.330300113745735</v>
      </c>
      <c r="E212" s="11" t="n">
        <f aca="false">E211/E206</f>
        <v>0.352254528463944</v>
      </c>
      <c r="F212" s="11" t="n">
        <f aca="false">F211/F206</f>
        <v>0.365302255565315</v>
      </c>
      <c r="G212" s="11" t="n">
        <f aca="false">G211/G206</f>
        <v>0.37253803245969</v>
      </c>
    </row>
    <row r="213" customFormat="false" ht="17.15" hidden="false" customHeight="false" outlineLevel="0" collapsed="false">
      <c r="A213" s="0" t="s">
        <v>470</v>
      </c>
      <c r="B213" s="0" t="s">
        <v>252</v>
      </c>
      <c r="C213" s="9" t="n">
        <f aca="false">a25_ni</f>
        <v>7607</v>
      </c>
      <c r="D213" s="9" t="n">
        <f aca="false">an_ni</f>
        <v>10179.92</v>
      </c>
      <c r="E213" s="9" t="n">
        <f aca="false">E211*nioi</f>
        <v>12787.2606454515</v>
      </c>
      <c r="F213" s="9" t="n">
        <f aca="false">F211*nioi</f>
        <v>14965.5930090535</v>
      </c>
      <c r="G213" s="9" t="n">
        <f aca="false">G211*nioi</f>
        <v>16433.5535501224</v>
      </c>
    </row>
    <row r="214" customFormat="false" ht="15" hidden="false" customHeight="false" outlineLevel="0" collapsed="false">
      <c r="A214" s="5" t="s">
        <v>575</v>
      </c>
      <c r="B214" s="5" t="s">
        <v>328</v>
      </c>
      <c r="C214" s="23" t="n">
        <f aca="false">a25_sh</f>
        <v>808</v>
      </c>
      <c r="D214" s="23" t="n">
        <f aca="false">an_sh</f>
        <v>797.799373040752</v>
      </c>
      <c r="E214" s="23" t="n">
        <f aca="false">$D214*(1-bb)^1</f>
        <v>789.821379310345</v>
      </c>
      <c r="F214" s="23" t="n">
        <f aca="false">$D214*(1-bb)^2</f>
        <v>781.923165517241</v>
      </c>
      <c r="G214" s="23" t="n">
        <f aca="false">$D214*(1-bb)^3</f>
        <v>774.103933862069</v>
      </c>
    </row>
    <row r="215" customFormat="false" ht="17.15" hidden="false" customHeight="false" outlineLevel="0" collapsed="false">
      <c r="A215" s="0" t="s">
        <v>576</v>
      </c>
      <c r="B215" s="0" t="s">
        <v>341</v>
      </c>
      <c r="C215" s="14" t="n">
        <f aca="false">a25_eps</f>
        <v>9.42</v>
      </c>
      <c r="D215" s="14" t="n">
        <f aca="false">an_eps</f>
        <v>12.76</v>
      </c>
      <c r="E215" s="14" t="n">
        <f aca="false">E213/E214</f>
        <v>16.190066488979</v>
      </c>
      <c r="F215" s="14" t="n">
        <f aca="false">F213/F214</f>
        <v>19.1394674937834</v>
      </c>
      <c r="G215" s="14" t="n">
        <f aca="false">G213/G214</f>
        <v>21.229130651919</v>
      </c>
      <c r="H215" s="8" t="s">
        <v>577</v>
      </c>
    </row>
    <row r="216" customFormat="false" ht="17.15" hidden="false" customHeight="false" outlineLevel="0" collapsed="false">
      <c r="A216" s="5" t="s">
        <v>578</v>
      </c>
      <c r="B216" s="0" t="s">
        <v>199</v>
      </c>
      <c r="D216" s="11" t="n">
        <f aca="false">D200/1000/(D195+D196+D197)</f>
        <v>0.166482014251007</v>
      </c>
      <c r="E216" s="11" t="n">
        <f aca="false">E200/1000/(E195+E196+E197)</f>
        <v>0.166209296774357</v>
      </c>
      <c r="F216" s="11" t="n">
        <f aca="false">F200/1000/(F195+F196+F197)</f>
        <v>0.166147709301456</v>
      </c>
      <c r="G216" s="11" t="n">
        <f aca="false">G200/1000/(G195+G196+G197)</f>
        <v>0.166069312580076</v>
      </c>
      <c r="H216" s="5" t="s">
        <v>579</v>
      </c>
    </row>
    <row r="220" customFormat="false" ht="17.15" hidden="false" customHeight="false" outlineLevel="0" collapsed="false">
      <c r="A220" s="3" t="s">
        <v>920</v>
      </c>
    </row>
    <row r="221" customFormat="false" ht="15" hidden="false" customHeight="false" outlineLevel="0" collapsed="false">
      <c r="A221" s="6" t="s">
        <v>19</v>
      </c>
      <c r="B221" s="6" t="s">
        <v>20</v>
      </c>
      <c r="C221" s="15" t="s">
        <v>513</v>
      </c>
      <c r="D221" s="15" t="s">
        <v>514</v>
      </c>
      <c r="E221" s="15" t="s">
        <v>515</v>
      </c>
      <c r="F221" s="15" t="s">
        <v>516</v>
      </c>
      <c r="G221" s="15" t="s">
        <v>517</v>
      </c>
      <c r="H221" s="6" t="s">
        <v>518</v>
      </c>
    </row>
    <row r="222" customFormat="false" ht="17.15" hidden="false" customHeight="false" outlineLevel="0" collapsed="false">
      <c r="A222" s="1" t="s">
        <v>549</v>
      </c>
    </row>
    <row r="223" customFormat="false" ht="17.15" hidden="false" customHeight="false" outlineLevel="0" collapsed="false">
      <c r="A223" s="5" t="s">
        <v>550</v>
      </c>
      <c r="B223" s="0" t="s">
        <v>30</v>
      </c>
      <c r="C223" s="22" t="n">
        <f aca="false">laA_25+loA_25+ofA_25</f>
        <v>78.3481206981793</v>
      </c>
      <c r="D223" s="22" t="n">
        <f aca="false">laA_26+loA_26+ofA_26</f>
        <v>99.7111533272534</v>
      </c>
      <c r="E223" s="22" t="n">
        <f aca="false">laA_27+loA_27+ofA_27</f>
        <v>116.288709321091</v>
      </c>
      <c r="F223" s="22" t="n">
        <f aca="false">laA_28+loA_28+ofA_28</f>
        <v>130.886404842261</v>
      </c>
      <c r="G223" s="22" t="n">
        <f aca="false">laA_29+loA_29+ofA_29</f>
        <v>139.398079992203</v>
      </c>
    </row>
    <row r="224" customFormat="false" ht="17.15" hidden="false" customHeight="false" outlineLevel="0" collapsed="false">
      <c r="A224" s="0" t="s">
        <v>551</v>
      </c>
      <c r="B224" s="0" t="s">
        <v>30</v>
      </c>
      <c r="C224" s="22" t="n">
        <f aca="false">drA_25</f>
        <v>26.3761091658243</v>
      </c>
      <c r="D224" s="22" t="n">
        <f aca="false">drA_26</f>
        <v>41.8742847275048</v>
      </c>
      <c r="E224" s="22" t="n">
        <f aca="false">drA_27</f>
        <v>53.2587328153375</v>
      </c>
      <c r="F224" s="22" t="n">
        <f aca="false">drA_28</f>
        <v>59.5608998372386</v>
      </c>
      <c r="G224" s="22" t="n">
        <f aca="false">drA_29</f>
        <v>61.8312930912183</v>
      </c>
    </row>
    <row r="225" customFormat="false" ht="15" hidden="false" customHeight="false" outlineLevel="0" collapsed="false">
      <c r="A225" s="0" t="s">
        <v>552</v>
      </c>
      <c r="B225" s="0" t="s">
        <v>30</v>
      </c>
      <c r="C225" s="22" t="n">
        <f aca="false">ndA_25</f>
        <v>12.1726019800256</v>
      </c>
      <c r="D225" s="22" t="n">
        <f aca="false">ndA_26</f>
        <v>18.4595763045422</v>
      </c>
      <c r="E225" s="22" t="n">
        <f aca="false">ndA_27</f>
        <v>23.2480272411321</v>
      </c>
      <c r="F225" s="22" t="n">
        <f aca="false">ndA_28</f>
        <v>26.181321629459</v>
      </c>
      <c r="G225" s="22" t="n">
        <f aca="false">ndA_29</f>
        <v>27.674312771805</v>
      </c>
    </row>
    <row r="226" customFormat="false" ht="17.15" hidden="false" customHeight="false" outlineLevel="0" collapsed="false">
      <c r="A226" s="1" t="s">
        <v>553</v>
      </c>
    </row>
    <row r="227" customFormat="false" ht="17.15" hidden="false" customHeight="false" outlineLevel="0" collapsed="false">
      <c r="A227" s="5" t="s">
        <v>554</v>
      </c>
      <c r="B227" s="0" t="s">
        <v>30</v>
      </c>
      <c r="D227" s="22" t="n">
        <f aca="false">fyw_hi*C223+(1-fyw_hi)*D223</f>
        <v>94.3703951699849</v>
      </c>
      <c r="E227" s="22" t="n">
        <f aca="false">fyw_hi*D223+(1-fyw_hi)*E223</f>
        <v>112.144320322632</v>
      </c>
      <c r="F227" s="22" t="n">
        <f aca="false">fyw_hi*E223+(1-fyw_hi)*F223</f>
        <v>127.236980961968</v>
      </c>
      <c r="G227" s="22" t="n">
        <f aca="false">fyw_hi*F223+(1-fyw_hi)*G223</f>
        <v>137.270161204717</v>
      </c>
    </row>
    <row r="228" customFormat="false" ht="17.15" hidden="false" customHeight="false" outlineLevel="0" collapsed="false">
      <c r="A228" s="0" t="s">
        <v>555</v>
      </c>
      <c r="B228" s="0" t="s">
        <v>30</v>
      </c>
      <c r="D228" s="22" t="n">
        <f aca="false">fyw_hi*C224+(1-fyw_hi)*D224</f>
        <v>37.9997408370847</v>
      </c>
      <c r="E228" s="22" t="n">
        <f aca="false">fyw_hi*D224+(1-fyw_hi)*E224</f>
        <v>50.4126207933793</v>
      </c>
      <c r="F228" s="22" t="n">
        <f aca="false">fyw_hi*E224+(1-fyw_hi)*F224</f>
        <v>57.9853580817633</v>
      </c>
      <c r="G228" s="22" t="n">
        <f aca="false">fyw_hi*F224+(1-fyw_hi)*G224</f>
        <v>61.2636947777234</v>
      </c>
    </row>
    <row r="229" customFormat="false" ht="15" hidden="false" customHeight="false" outlineLevel="0" collapsed="false">
      <c r="A229" s="0" t="s">
        <v>556</v>
      </c>
      <c r="B229" s="0" t="s">
        <v>30</v>
      </c>
      <c r="D229" s="22" t="n">
        <f aca="false">fyw_hi*C225+(1-fyw_hi)*D225</f>
        <v>16.8878327234131</v>
      </c>
      <c r="E229" s="22" t="n">
        <f aca="false">fyw_hi*D225+(1-fyw_hi)*E225</f>
        <v>22.0509145069846</v>
      </c>
      <c r="F229" s="22" t="n">
        <f aca="false">fyw_hi*E225+(1-fyw_hi)*F225</f>
        <v>25.4479980323773</v>
      </c>
      <c r="G229" s="22" t="n">
        <f aca="false">fyw_hi*F225+(1-fyw_hi)*G225</f>
        <v>27.3010649862185</v>
      </c>
    </row>
    <row r="230" customFormat="false" ht="17.15" hidden="false" customHeight="false" outlineLevel="0" collapsed="false">
      <c r="A230" s="5" t="s">
        <v>557</v>
      </c>
      <c r="B230" s="0" t="s">
        <v>246</v>
      </c>
      <c r="D230" s="21" t="n">
        <f aca="false">m_fl*D227/$D227+m_dr*D228/$D228+m_nd*D229/$D229</f>
        <v>1</v>
      </c>
      <c r="E230" s="21" t="n">
        <f aca="false">m_fl*E227/$D227+m_dr*E228/$D228+m_nd*E229/$D229</f>
        <v>1.2354758282587</v>
      </c>
      <c r="F230" s="21" t="n">
        <f aca="false">m_fl*F227/$D227+m_dr*F228/$D228+m_nd*F229/$D229</f>
        <v>1.40924052678584</v>
      </c>
      <c r="G230" s="21" t="n">
        <f aca="false">m_fl*G227/$D227+m_dr*G228/$D228+m_nd*G229/$D229</f>
        <v>1.5098333783139</v>
      </c>
      <c r="H230" s="8" t="s">
        <v>558</v>
      </c>
    </row>
    <row r="231" customFormat="false" ht="17.15" hidden="false" customHeight="false" outlineLevel="0" collapsed="false">
      <c r="A231" s="1" t="s">
        <v>559</v>
      </c>
    </row>
    <row r="232" customFormat="false" ht="17.15" hidden="false" customHeight="false" outlineLevel="0" collapsed="false">
      <c r="A232" s="5" t="s">
        <v>560</v>
      </c>
      <c r="B232" s="0" t="s">
        <v>252</v>
      </c>
      <c r="C232" s="9" t="n">
        <f aca="false">a25_ss</f>
        <v>21438.5432098765</v>
      </c>
      <c r="D232" s="9" t="n">
        <f aca="false">an_ss</f>
        <v>26046</v>
      </c>
      <c r="E232" s="9" t="n">
        <f aca="false">$D232*E230*sf</f>
        <v>32179.2034228262</v>
      </c>
      <c r="F232" s="9" t="n">
        <f aca="false">$D232*F230*sf</f>
        <v>36705.078760664</v>
      </c>
      <c r="G232" s="9" t="n">
        <f aca="false">$D232*G230*sf</f>
        <v>39325.1201715637</v>
      </c>
      <c r="H232" s="8" t="s">
        <v>561</v>
      </c>
    </row>
    <row r="233" customFormat="false" ht="17.15" hidden="false" customHeight="false" outlineLevel="0" collapsed="false">
      <c r="A233" s="0" t="s">
        <v>562</v>
      </c>
      <c r="B233" s="0" t="s">
        <v>252</v>
      </c>
      <c r="C233" s="9" t="n">
        <f aca="false">a25_ags</f>
        <v>5744.19672131148</v>
      </c>
      <c r="D233" s="9" t="n">
        <f aca="false">an_ags</f>
        <v>6845</v>
      </c>
      <c r="E233" s="9" t="n">
        <f aca="false">D233*(1+g_ags_A)</f>
        <v>7871.75</v>
      </c>
      <c r="F233" s="9" t="n">
        <f aca="false">E233*(1+g_ags_A)</f>
        <v>9052.5125</v>
      </c>
      <c r="G233" s="9" t="n">
        <f aca="false">F233*(1+g_ags_A)</f>
        <v>10410.389375</v>
      </c>
    </row>
    <row r="234" customFormat="false" ht="17.15" hidden="false" customHeight="false" outlineLevel="0" collapsed="false">
      <c r="A234" s="5" t="s">
        <v>563</v>
      </c>
      <c r="B234" s="0" t="s">
        <v>252</v>
      </c>
      <c r="C234" s="9" t="n">
        <v>0</v>
      </c>
      <c r="D234" s="9" t="n">
        <v>0</v>
      </c>
      <c r="E234" s="9" t="n">
        <f aca="false">-aff_hit*aff_A-0*cn_sh*(E232+E233)</f>
        <v>-0</v>
      </c>
      <c r="F234" s="9" t="n">
        <f aca="false">-aff_hit*aff_A-0*cn_sh*(F232+F233)</f>
        <v>-0</v>
      </c>
      <c r="G234" s="9" t="n">
        <f aca="false">-aff_hit*aff_A-0*cn_sh*(G232+G233)</f>
        <v>-0</v>
      </c>
      <c r="H234" s="5" t="s">
        <v>564</v>
      </c>
    </row>
    <row r="235" customFormat="false" ht="17.15" hidden="false" customHeight="false" outlineLevel="0" collapsed="false">
      <c r="A235" s="5" t="s">
        <v>565</v>
      </c>
      <c r="B235" s="0" t="s">
        <v>252</v>
      </c>
      <c r="C235" s="9" t="n">
        <f aca="false">C232+C234*C232/(C232+C233)</f>
        <v>21438.5432098765</v>
      </c>
      <c r="D235" s="9" t="n">
        <f aca="false">D232+D234*D232/(D232+D233)</f>
        <v>26046</v>
      </c>
      <c r="E235" s="9" t="n">
        <f aca="false">E232+E234*E232/(E232+E233)</f>
        <v>32179.2034228262</v>
      </c>
      <c r="F235" s="9" t="n">
        <f aca="false">F232+F234*F232/(F232+F233)</f>
        <v>36705.078760664</v>
      </c>
      <c r="G235" s="9" t="n">
        <f aca="false">G232+G234*G232/(G232+G233)</f>
        <v>39325.1201715637</v>
      </c>
      <c r="H235" s="5" t="s">
        <v>566</v>
      </c>
    </row>
    <row r="236" customFormat="false" ht="17.15" hidden="false" customHeight="false" outlineLevel="0" collapsed="false">
      <c r="A236" s="0" t="s">
        <v>567</v>
      </c>
      <c r="B236" s="0" t="s">
        <v>252</v>
      </c>
      <c r="C236" s="9" t="n">
        <f aca="false">C233+C234*C233/(C232+C233)</f>
        <v>5744.19672131148</v>
      </c>
      <c r="D236" s="9" t="n">
        <f aca="false">D233+D234*D233/(D232+D233)</f>
        <v>6845</v>
      </c>
      <c r="E236" s="9" t="n">
        <f aca="false">E233+E234*E233/(E232+E233)</f>
        <v>7871.75</v>
      </c>
      <c r="F236" s="9" t="n">
        <f aca="false">F233+F234*F233/(F232+F233)</f>
        <v>9052.5125</v>
      </c>
      <c r="G236" s="9" t="n">
        <f aca="false">G233+G234*G233/(G232+G233)</f>
        <v>10410.389375</v>
      </c>
      <c r="H236" s="5" t="s">
        <v>568</v>
      </c>
    </row>
    <row r="237" customFormat="false" ht="17.15" hidden="false" customHeight="false" outlineLevel="0" collapsed="false">
      <c r="A237" s="5" t="s">
        <v>569</v>
      </c>
      <c r="B237" s="0" t="s">
        <v>252</v>
      </c>
      <c r="C237" s="9" t="n">
        <f aca="false">a25_oth</f>
        <v>1185.26006881198</v>
      </c>
      <c r="D237" s="9" t="n">
        <f aca="false">an_oth</f>
        <v>1396</v>
      </c>
      <c r="E237" s="9" t="n">
        <f aca="false">D237*(1+g_oth_A)</f>
        <v>1396</v>
      </c>
      <c r="F237" s="9" t="n">
        <f aca="false">E237*(1+g_oth_A)</f>
        <v>1396</v>
      </c>
      <c r="G237" s="9" t="n">
        <f aca="false">F237*(1+g_oth_A)</f>
        <v>1396</v>
      </c>
      <c r="H237" s="5" t="s">
        <v>570</v>
      </c>
    </row>
    <row r="238" customFormat="false" ht="15" hidden="false" customHeight="false" outlineLevel="0" collapsed="false">
      <c r="A238" s="5" t="s">
        <v>454</v>
      </c>
      <c r="B238" s="0" t="s">
        <v>252</v>
      </c>
      <c r="C238" s="9" t="n">
        <f aca="false">C235+C236+C237</f>
        <v>28368</v>
      </c>
      <c r="D238" s="9" t="n">
        <f aca="false">D235+D236+D237</f>
        <v>34287</v>
      </c>
      <c r="E238" s="9" t="n">
        <f aca="false">E235+E236+E237</f>
        <v>41446.9534228262</v>
      </c>
      <c r="F238" s="9" t="n">
        <f aca="false">F235+F236+F237</f>
        <v>47153.591260664</v>
      </c>
      <c r="G238" s="9" t="n">
        <f aca="false">G235+G236+G237</f>
        <v>51131.5095465637</v>
      </c>
    </row>
    <row r="239" customFormat="false" ht="17.15" hidden="false" customHeight="false" outlineLevel="0" collapsed="false">
      <c r="A239" s="5" t="s">
        <v>571</v>
      </c>
      <c r="B239" s="0" t="s">
        <v>252</v>
      </c>
      <c r="C239" s="23" t="n">
        <f aca="false">C235+C236+C237-a25_rev</f>
        <v>0</v>
      </c>
      <c r="D239" s="23" t="n">
        <f aca="false">D235+D236+D237-an_rev</f>
        <v>0</v>
      </c>
    </row>
    <row r="240" customFormat="false" ht="17.15" hidden="false" customHeight="false" outlineLevel="0" collapsed="false">
      <c r="A240" s="0" t="s">
        <v>460</v>
      </c>
      <c r="B240" s="0" t="s">
        <v>199</v>
      </c>
      <c r="C240" s="11" t="n">
        <f aca="false">a25_gp/a25_rev</f>
        <v>0.487833192329385</v>
      </c>
      <c r="D240" s="11" t="n">
        <f aca="false">an_gp/an_rev</f>
        <v>0.500418584303089</v>
      </c>
      <c r="E240" s="11" t="n">
        <f aca="false">1-(cF+cv*E238)/E238</f>
        <v>0.510838512076432</v>
      </c>
      <c r="F240" s="11" t="n">
        <f aca="false">1-(cF+cv*F238)/F238</f>
        <v>0.516877296636627</v>
      </c>
      <c r="G240" s="11" t="n">
        <f aca="false">1-(cF+cv*G238)/G238</f>
        <v>0.52028945422435</v>
      </c>
      <c r="H240" s="5" t="s">
        <v>572</v>
      </c>
    </row>
    <row r="241" customFormat="false" ht="17.15" hidden="false" customHeight="false" outlineLevel="0" collapsed="false">
      <c r="A241" s="0" t="s">
        <v>463</v>
      </c>
      <c r="B241" s="0" t="s">
        <v>252</v>
      </c>
      <c r="C241" s="9" t="n">
        <f aca="false">C238*C240</f>
        <v>13838.852</v>
      </c>
      <c r="D241" s="9" t="n">
        <f aca="false">D238*D240</f>
        <v>17157.852</v>
      </c>
      <c r="E241" s="9" t="n">
        <f aca="false">E238*E240</f>
        <v>21172.7000166177</v>
      </c>
      <c r="F241" s="9" t="n">
        <f aca="false">F238*F240</f>
        <v>24372.6207775205</v>
      </c>
      <c r="G241" s="9" t="n">
        <f aca="false">G238*G240</f>
        <v>26603.1851956488</v>
      </c>
    </row>
    <row r="242" customFormat="false" ht="17.15" hidden="false" customHeight="false" outlineLevel="0" collapsed="false">
      <c r="A242" s="0" t="s">
        <v>573</v>
      </c>
      <c r="B242" s="0" t="s">
        <v>252</v>
      </c>
      <c r="C242" s="9" t="n">
        <f aca="false">opex25</f>
        <v>5276.852</v>
      </c>
      <c r="D242" s="9" t="n">
        <f aca="false">opex26</f>
        <v>5832.852</v>
      </c>
      <c r="E242" s="9" t="n">
        <f aca="false">oF+ov*E238</f>
        <v>6505.42069455844</v>
      </c>
      <c r="F242" s="9" t="n">
        <f aca="false">oF+ov*F238</f>
        <v>7041.47250024146</v>
      </c>
      <c r="G242" s="9" t="n">
        <f aca="false">oF+ov*G238</f>
        <v>7415.13740427259</v>
      </c>
      <c r="H242" s="5" t="s">
        <v>574</v>
      </c>
    </row>
    <row r="243" customFormat="false" ht="17.15" hidden="false" customHeight="false" outlineLevel="0" collapsed="false">
      <c r="A243" s="0" t="s">
        <v>465</v>
      </c>
      <c r="B243" s="0" t="s">
        <v>252</v>
      </c>
      <c r="C243" s="9" t="n">
        <f aca="false">C241-C242</f>
        <v>8562</v>
      </c>
      <c r="D243" s="9" t="n">
        <f aca="false">D241-D242</f>
        <v>11325</v>
      </c>
      <c r="E243" s="9" t="n">
        <f aca="false">E241-E242</f>
        <v>14667.2793220593</v>
      </c>
      <c r="F243" s="9" t="n">
        <f aca="false">F241-F242</f>
        <v>17331.148277279</v>
      </c>
      <c r="G243" s="9" t="n">
        <f aca="false">G241-G242</f>
        <v>19188.0477913762</v>
      </c>
    </row>
    <row r="244" customFormat="false" ht="17.15" hidden="false" customHeight="false" outlineLevel="0" collapsed="false">
      <c r="A244" s="0" t="s">
        <v>544</v>
      </c>
      <c r="B244" s="0" t="s">
        <v>199</v>
      </c>
      <c r="C244" s="11" t="n">
        <f aca="false">C243/C238</f>
        <v>0.301818950930626</v>
      </c>
      <c r="D244" s="11" t="n">
        <f aca="false">D243/D238</f>
        <v>0.330300113745735</v>
      </c>
      <c r="E244" s="11" t="n">
        <f aca="false">E243/E238</f>
        <v>0.353880758675534</v>
      </c>
      <c r="F244" s="11" t="n">
        <f aca="false">F243/F238</f>
        <v>0.367546730035319</v>
      </c>
      <c r="G244" s="11" t="n">
        <f aca="false">G243/G238</f>
        <v>0.375268556738038</v>
      </c>
    </row>
    <row r="245" customFormat="false" ht="17.15" hidden="false" customHeight="false" outlineLevel="0" collapsed="false">
      <c r="A245" s="0" t="s">
        <v>470</v>
      </c>
      <c r="B245" s="0" t="s">
        <v>252</v>
      </c>
      <c r="C245" s="9" t="n">
        <f aca="false">a25_ni</f>
        <v>7607</v>
      </c>
      <c r="D245" s="9" t="n">
        <f aca="false">an_ni</f>
        <v>10179.92</v>
      </c>
      <c r="E245" s="9" t="n">
        <f aca="false">E243*nioi</f>
        <v>13031.3003740837</v>
      </c>
      <c r="F245" s="9" t="n">
        <f aca="false">F243*nioi</f>
        <v>15398.043091014</v>
      </c>
      <c r="G245" s="9" t="n">
        <f aca="false">G243*nioi</f>
        <v>17047.8252217938</v>
      </c>
    </row>
    <row r="246" customFormat="false" ht="15" hidden="false" customHeight="false" outlineLevel="0" collapsed="false">
      <c r="A246" s="5" t="s">
        <v>575</v>
      </c>
      <c r="B246" s="5" t="s">
        <v>328</v>
      </c>
      <c r="C246" s="23" t="n">
        <f aca="false">a25_sh</f>
        <v>808</v>
      </c>
      <c r="D246" s="23" t="n">
        <f aca="false">an_sh</f>
        <v>797.799373040752</v>
      </c>
      <c r="E246" s="23" t="n">
        <f aca="false">$D246*(1-bb)^1</f>
        <v>789.821379310345</v>
      </c>
      <c r="F246" s="23" t="n">
        <f aca="false">$D246*(1-bb)^2</f>
        <v>781.923165517241</v>
      </c>
      <c r="G246" s="23" t="n">
        <f aca="false">$D246*(1-bb)^3</f>
        <v>774.103933862069</v>
      </c>
    </row>
    <row r="247" customFormat="false" ht="17.15" hidden="false" customHeight="false" outlineLevel="0" collapsed="false">
      <c r="A247" s="0" t="s">
        <v>576</v>
      </c>
      <c r="B247" s="0" t="s">
        <v>341</v>
      </c>
      <c r="C247" s="14" t="n">
        <f aca="false">a25_eps</f>
        <v>9.42</v>
      </c>
      <c r="D247" s="14" t="n">
        <f aca="false">an_eps</f>
        <v>12.76</v>
      </c>
      <c r="E247" s="14" t="n">
        <f aca="false">E245/E246</f>
        <v>16.4990473991251</v>
      </c>
      <c r="F247" s="14" t="n">
        <f aca="false">F245/F246</f>
        <v>19.6925270538931</v>
      </c>
      <c r="G247" s="14" t="n">
        <f aca="false">G245/G246</f>
        <v>22.0226567468024</v>
      </c>
      <c r="H247" s="8" t="s">
        <v>577</v>
      </c>
    </row>
    <row r="248" customFormat="false" ht="17.15" hidden="false" customHeight="false" outlineLevel="0" collapsed="false">
      <c r="A248" s="5" t="s">
        <v>578</v>
      </c>
      <c r="B248" s="0" t="s">
        <v>199</v>
      </c>
      <c r="D248" s="11" t="n">
        <f aca="false">D232/1000/(D227+D228+D229)</f>
        <v>0.174503245766607</v>
      </c>
      <c r="E248" s="11" t="n">
        <f aca="false">E232/1000/(E227+E228+E229)</f>
        <v>0.174311127304042</v>
      </c>
      <c r="F248" s="11" t="n">
        <f aca="false">F232/1000/(F227+F228+F229)</f>
        <v>0.174229933222177</v>
      </c>
      <c r="G248" s="11" t="n">
        <f aca="false">G232/1000/(G227+G228+G229)</f>
        <v>0.174132149283597</v>
      </c>
      <c r="H248" s="5" t="s">
        <v>579</v>
      </c>
    </row>
    <row r="252" customFormat="false" ht="17.15" hidden="false" customHeight="false" outlineLevel="0" collapsed="false">
      <c r="A252" s="3" t="s">
        <v>921</v>
      </c>
    </row>
    <row r="253" customFormat="false" ht="15" hidden="false" customHeight="false" outlineLevel="0" collapsed="false">
      <c r="A253" s="6" t="s">
        <v>19</v>
      </c>
      <c r="B253" s="6" t="s">
        <v>20</v>
      </c>
      <c r="C253" s="15" t="s">
        <v>513</v>
      </c>
      <c r="D253" s="15" t="s">
        <v>514</v>
      </c>
      <c r="E253" s="15" t="s">
        <v>515</v>
      </c>
      <c r="F253" s="15" t="s">
        <v>516</v>
      </c>
      <c r="G253" s="15" t="s">
        <v>517</v>
      </c>
      <c r="H253" s="6" t="s">
        <v>518</v>
      </c>
    </row>
    <row r="254" customFormat="false" ht="17.15" hidden="false" customHeight="false" outlineLevel="0" collapsed="false">
      <c r="A254" s="1" t="s">
        <v>549</v>
      </c>
    </row>
    <row r="255" customFormat="false" ht="17.15" hidden="false" customHeight="false" outlineLevel="0" collapsed="false">
      <c r="A255" s="5" t="s">
        <v>550</v>
      </c>
      <c r="B255" s="0" t="s">
        <v>30</v>
      </c>
      <c r="C255" s="22" t="n">
        <f aca="false">laA_25+loA_25+ofA_25</f>
        <v>78.3481206981793</v>
      </c>
      <c r="D255" s="22" t="n">
        <f aca="false">laA_26+loA_26+ofA_26</f>
        <v>99.7111533272534</v>
      </c>
      <c r="E255" s="22" t="n">
        <f aca="false">laA_27+loA_27+ofA_27</f>
        <v>116.288709321091</v>
      </c>
      <c r="F255" s="22" t="n">
        <f aca="false">laA_28+loA_28+ofA_28</f>
        <v>130.886404842261</v>
      </c>
      <c r="G255" s="22" t="n">
        <f aca="false">laA_29+loA_29+ofA_29</f>
        <v>139.398079992203</v>
      </c>
    </row>
    <row r="256" customFormat="false" ht="17.15" hidden="false" customHeight="false" outlineLevel="0" collapsed="false">
      <c r="A256" s="0" t="s">
        <v>551</v>
      </c>
      <c r="B256" s="0" t="s">
        <v>30</v>
      </c>
      <c r="C256" s="22" t="n">
        <f aca="false">drA_25</f>
        <v>26.3761091658243</v>
      </c>
      <c r="D256" s="22" t="n">
        <f aca="false">drA_26</f>
        <v>41.8742847275048</v>
      </c>
      <c r="E256" s="22" t="n">
        <f aca="false">drA_27</f>
        <v>53.2587328153375</v>
      </c>
      <c r="F256" s="22" t="n">
        <f aca="false">drA_28</f>
        <v>59.5608998372386</v>
      </c>
      <c r="G256" s="22" t="n">
        <f aca="false">drA_29</f>
        <v>61.8312930912183</v>
      </c>
    </row>
    <row r="257" customFormat="false" ht="15" hidden="false" customHeight="false" outlineLevel="0" collapsed="false">
      <c r="A257" s="0" t="s">
        <v>552</v>
      </c>
      <c r="B257" s="0" t="s">
        <v>30</v>
      </c>
      <c r="C257" s="22" t="n">
        <f aca="false">ndA_25</f>
        <v>12.1726019800256</v>
      </c>
      <c r="D257" s="22" t="n">
        <f aca="false">ndA_26</f>
        <v>18.4595763045422</v>
      </c>
      <c r="E257" s="22" t="n">
        <f aca="false">ndA_27</f>
        <v>23.2480272411321</v>
      </c>
      <c r="F257" s="22" t="n">
        <f aca="false">ndA_28</f>
        <v>26.181321629459</v>
      </c>
      <c r="G257" s="22" t="n">
        <f aca="false">ndA_29</f>
        <v>27.674312771805</v>
      </c>
    </row>
    <row r="258" customFormat="false" ht="17.15" hidden="false" customHeight="false" outlineLevel="0" collapsed="false">
      <c r="A258" s="1" t="s">
        <v>553</v>
      </c>
    </row>
    <row r="259" customFormat="false" ht="17.15" hidden="false" customHeight="false" outlineLevel="0" collapsed="false">
      <c r="A259" s="5" t="s">
        <v>554</v>
      </c>
      <c r="B259" s="0" t="s">
        <v>30</v>
      </c>
      <c r="D259" s="22" t="n">
        <f aca="false">fyw*C255+(1-fyw)*D255</f>
        <v>96.1506478890744</v>
      </c>
      <c r="E259" s="22" t="n">
        <f aca="false">fyw*D255+(1-fyw)*E255</f>
        <v>113.525783322118</v>
      </c>
      <c r="F259" s="22" t="n">
        <f aca="false">fyw*E255+(1-fyw)*F255</f>
        <v>128.453455588732</v>
      </c>
      <c r="G259" s="22" t="n">
        <f aca="false">fyw*F255+(1-fyw)*G255</f>
        <v>137.979467467212</v>
      </c>
    </row>
    <row r="260" customFormat="false" ht="17.15" hidden="false" customHeight="false" outlineLevel="0" collapsed="false">
      <c r="A260" s="0" t="s">
        <v>555</v>
      </c>
      <c r="B260" s="0" t="s">
        <v>30</v>
      </c>
      <c r="D260" s="22" t="n">
        <f aca="false">fyw*C256+(1-fyw)*D256</f>
        <v>39.2912554672247</v>
      </c>
      <c r="E260" s="22" t="n">
        <f aca="false">fyw*D256+(1-fyw)*E256</f>
        <v>51.3613248006987</v>
      </c>
      <c r="F260" s="22" t="n">
        <f aca="false">fyw*E256+(1-fyw)*F256</f>
        <v>58.5105386669218</v>
      </c>
      <c r="G260" s="22" t="n">
        <f aca="false">fyw*F256+(1-fyw)*G256</f>
        <v>61.452894215555</v>
      </c>
    </row>
    <row r="261" customFormat="false" ht="15" hidden="false" customHeight="false" outlineLevel="0" collapsed="false">
      <c r="A261" s="0" t="s">
        <v>556</v>
      </c>
      <c r="B261" s="0" t="s">
        <v>30</v>
      </c>
      <c r="D261" s="22" t="n">
        <f aca="false">fyw*C257+(1-fyw)*D257</f>
        <v>17.4117472504561</v>
      </c>
      <c r="E261" s="22" t="n">
        <f aca="false">fyw*D257+(1-fyw)*E257</f>
        <v>22.4499520850338</v>
      </c>
      <c r="F261" s="22" t="n">
        <f aca="false">fyw*E257+(1-fyw)*F257</f>
        <v>25.6924392314045</v>
      </c>
      <c r="G261" s="22" t="n">
        <f aca="false">fyw*F257+(1-fyw)*G257</f>
        <v>27.4254809147473</v>
      </c>
    </row>
    <row r="262" customFormat="false" ht="17.15" hidden="false" customHeight="false" outlineLevel="0" collapsed="false">
      <c r="A262" s="5" t="s">
        <v>557</v>
      </c>
      <c r="B262" s="0" t="s">
        <v>246</v>
      </c>
      <c r="D262" s="21" t="n">
        <f aca="false">m_fl*D259/$D259+m_dr*D260/$D260+m_nd*D261/$D261</f>
        <v>1</v>
      </c>
      <c r="E262" s="21" t="n">
        <f aca="false">m_fl*E259/$D259+m_dr*E260/$D260+m_nd*E261/$D261</f>
        <v>1.22388113282</v>
      </c>
      <c r="F262" s="21" t="n">
        <f aca="false">m_fl*F259/$D259+m_dr*F260/$D260+m_nd*F261/$D261</f>
        <v>1.3886833368957</v>
      </c>
      <c r="G262" s="21" t="n">
        <f aca="false">m_fl*G259/$D259+m_dr*G260/$D260+m_nd*G261/$D261</f>
        <v>1.48065154546388</v>
      </c>
      <c r="H262" s="8" t="s">
        <v>558</v>
      </c>
    </row>
    <row r="263" customFormat="false" ht="17.15" hidden="false" customHeight="false" outlineLevel="0" collapsed="false">
      <c r="A263" s="1" t="s">
        <v>559</v>
      </c>
    </row>
    <row r="264" customFormat="false" ht="17.15" hidden="false" customHeight="false" outlineLevel="0" collapsed="false">
      <c r="A264" s="5" t="s">
        <v>560</v>
      </c>
      <c r="B264" s="0" t="s">
        <v>252</v>
      </c>
      <c r="C264" s="9" t="n">
        <f aca="false">a25_ss</f>
        <v>21438.5432098765</v>
      </c>
      <c r="D264" s="9" t="n">
        <f aca="false">an_ss</f>
        <v>26046</v>
      </c>
      <c r="E264" s="9" t="n">
        <f aca="false">$D264*E262*sf</f>
        <v>31877.2079854298</v>
      </c>
      <c r="F264" s="9" t="n">
        <f aca="false">$D264*F262*sf</f>
        <v>36169.6461927855</v>
      </c>
      <c r="G264" s="9" t="n">
        <f aca="false">$D264*G262*sf</f>
        <v>38565.0501531522</v>
      </c>
      <c r="H264" s="8" t="s">
        <v>561</v>
      </c>
    </row>
    <row r="265" customFormat="false" ht="17.15" hidden="false" customHeight="false" outlineLevel="0" collapsed="false">
      <c r="A265" s="0" t="s">
        <v>562</v>
      </c>
      <c r="B265" s="0" t="s">
        <v>252</v>
      </c>
      <c r="C265" s="9" t="n">
        <f aca="false">a25_ags</f>
        <v>5744.19672131148</v>
      </c>
      <c r="D265" s="9" t="n">
        <f aca="false">an_ags</f>
        <v>6845</v>
      </c>
      <c r="E265" s="9" t="n">
        <f aca="false">D265*(1+g_ags_A)</f>
        <v>7871.75</v>
      </c>
      <c r="F265" s="9" t="n">
        <f aca="false">E265*(1+g_ags_A)</f>
        <v>9052.5125</v>
      </c>
      <c r="G265" s="9" t="n">
        <f aca="false">F265*(1+g_ags_A)</f>
        <v>10410.389375</v>
      </c>
    </row>
    <row r="266" customFormat="false" ht="17.15" hidden="false" customHeight="false" outlineLevel="0" collapsed="false">
      <c r="A266" s="5" t="s">
        <v>563</v>
      </c>
      <c r="B266" s="0" t="s">
        <v>252</v>
      </c>
      <c r="C266" s="9" t="n">
        <v>0</v>
      </c>
      <c r="D266" s="9" t="n">
        <v>0</v>
      </c>
      <c r="E266" s="9" t="n">
        <f aca="false">-aff_hit*aff_A-0*cn_sh*(E264+E265)</f>
        <v>-0</v>
      </c>
      <c r="F266" s="9" t="n">
        <f aca="false">-aff_hit*aff_A-0*cn_sh*(F264+F265)</f>
        <v>-0</v>
      </c>
      <c r="G266" s="9" t="n">
        <f aca="false">-aff_hit*aff_A-0*cn_sh*(G264+G265)</f>
        <v>-0</v>
      </c>
      <c r="H266" s="5" t="s">
        <v>564</v>
      </c>
    </row>
    <row r="267" customFormat="false" ht="17.15" hidden="false" customHeight="false" outlineLevel="0" collapsed="false">
      <c r="A267" s="5" t="s">
        <v>565</v>
      </c>
      <c r="B267" s="0" t="s">
        <v>252</v>
      </c>
      <c r="C267" s="9" t="n">
        <f aca="false">C264+C266*C264/(C264+C265)</f>
        <v>21438.5432098765</v>
      </c>
      <c r="D267" s="9" t="n">
        <f aca="false">D264+D266*D264/(D264+D265)</f>
        <v>26046</v>
      </c>
      <c r="E267" s="9" t="n">
        <f aca="false">E264+E266*E264/(E264+E265)</f>
        <v>31877.2079854298</v>
      </c>
      <c r="F267" s="9" t="n">
        <f aca="false">F264+F266*F264/(F264+F265)</f>
        <v>36169.6461927855</v>
      </c>
      <c r="G267" s="9" t="n">
        <f aca="false">G264+G266*G264/(G264+G265)</f>
        <v>38565.0501531522</v>
      </c>
      <c r="H267" s="5" t="s">
        <v>566</v>
      </c>
    </row>
    <row r="268" customFormat="false" ht="17.15" hidden="false" customHeight="false" outlineLevel="0" collapsed="false">
      <c r="A268" s="0" t="s">
        <v>567</v>
      </c>
      <c r="B268" s="0" t="s">
        <v>252</v>
      </c>
      <c r="C268" s="9" t="n">
        <f aca="false">C265+C266*C265/(C264+C265)</f>
        <v>5744.19672131148</v>
      </c>
      <c r="D268" s="9" t="n">
        <f aca="false">D265+D266*D265/(D264+D265)</f>
        <v>6845</v>
      </c>
      <c r="E268" s="9" t="n">
        <f aca="false">E265+E266*E265/(E264+E265)</f>
        <v>7871.75</v>
      </c>
      <c r="F268" s="9" t="n">
        <f aca="false">F265+F266*F265/(F264+F265)</f>
        <v>9052.5125</v>
      </c>
      <c r="G268" s="9" t="n">
        <f aca="false">G265+G266*G265/(G264+G265)</f>
        <v>10410.389375</v>
      </c>
      <c r="H268" s="5" t="s">
        <v>568</v>
      </c>
    </row>
    <row r="269" customFormat="false" ht="17.15" hidden="false" customHeight="false" outlineLevel="0" collapsed="false">
      <c r="A269" s="5" t="s">
        <v>569</v>
      </c>
      <c r="B269" s="0" t="s">
        <v>252</v>
      </c>
      <c r="C269" s="9" t="n">
        <f aca="false">a25_oth</f>
        <v>1185.26006881198</v>
      </c>
      <c r="D269" s="9" t="n">
        <f aca="false">an_oth</f>
        <v>1396</v>
      </c>
      <c r="E269" s="9" t="n">
        <f aca="false">D269*(1+g_oth_A)</f>
        <v>1396</v>
      </c>
      <c r="F269" s="9" t="n">
        <f aca="false">E269*(1+g_oth_A)</f>
        <v>1396</v>
      </c>
      <c r="G269" s="9" t="n">
        <f aca="false">F269*(1+g_oth_A)</f>
        <v>1396</v>
      </c>
      <c r="H269" s="5" t="s">
        <v>570</v>
      </c>
    </row>
    <row r="270" customFormat="false" ht="15" hidden="false" customHeight="false" outlineLevel="0" collapsed="false">
      <c r="A270" s="5" t="s">
        <v>454</v>
      </c>
      <c r="B270" s="0" t="s">
        <v>252</v>
      </c>
      <c r="C270" s="9" t="n">
        <f aca="false">C267+C268+C269</f>
        <v>28368</v>
      </c>
      <c r="D270" s="9" t="n">
        <f aca="false">D267+D268+D269</f>
        <v>34287</v>
      </c>
      <c r="E270" s="9" t="n">
        <f aca="false">E267+E268+E269</f>
        <v>41144.9579854298</v>
      </c>
      <c r="F270" s="9" t="n">
        <f aca="false">F267+F268+F269</f>
        <v>46618.1586927855</v>
      </c>
      <c r="G270" s="9" t="n">
        <f aca="false">G267+G268+G269</f>
        <v>50371.4395281522</v>
      </c>
    </row>
    <row r="271" customFormat="false" ht="17.15" hidden="false" customHeight="false" outlineLevel="0" collapsed="false">
      <c r="A271" s="5" t="s">
        <v>571</v>
      </c>
      <c r="B271" s="0" t="s">
        <v>252</v>
      </c>
      <c r="C271" s="23" t="n">
        <f aca="false">C267+C268+C269-a25_rev</f>
        <v>0</v>
      </c>
      <c r="D271" s="23" t="n">
        <f aca="false">D267+D268+D269-an_rev</f>
        <v>0</v>
      </c>
    </row>
    <row r="272" customFormat="false" ht="17.15" hidden="false" customHeight="false" outlineLevel="0" collapsed="false">
      <c r="A272" s="0" t="s">
        <v>460</v>
      </c>
      <c r="B272" s="0" t="s">
        <v>199</v>
      </c>
      <c r="C272" s="11" t="n">
        <f aca="false">a25_gp/a25_rev</f>
        <v>0.487833192329385</v>
      </c>
      <c r="D272" s="11" t="n">
        <f aca="false">an_gp/an_rev</f>
        <v>0.500418584303089</v>
      </c>
      <c r="E272" s="11" t="n">
        <f aca="false">1-((1-phic_lo)*cogs25+phic_lo*cogs25/a25_rev*E270)/E270</f>
        <v>0.527594648553599</v>
      </c>
      <c r="F272" s="11" t="n">
        <f aca="false">1-((1-phic_lo)*cogs25+phic_lo*cogs25/a25_rev*F270)/F270</f>
        <v>0.537959182819292</v>
      </c>
      <c r="G272" s="11" t="n">
        <f aca="false">1-((1-phic_lo)*cogs25+phic_lo*cogs25/a25_rev*G270)/G270</f>
        <v>0.543764844702595</v>
      </c>
      <c r="H272" s="5" t="s">
        <v>572</v>
      </c>
    </row>
    <row r="273" customFormat="false" ht="17.15" hidden="false" customHeight="false" outlineLevel="0" collapsed="false">
      <c r="A273" s="0" t="s">
        <v>463</v>
      </c>
      <c r="B273" s="0" t="s">
        <v>252</v>
      </c>
      <c r="C273" s="9" t="n">
        <f aca="false">C270*C272</f>
        <v>13838.852</v>
      </c>
      <c r="D273" s="9" t="n">
        <f aca="false">D270*D272</f>
        <v>17157.852</v>
      </c>
      <c r="E273" s="9" t="n">
        <f aca="false">E270*E272</f>
        <v>21707.8596480755</v>
      </c>
      <c r="F273" s="9" t="n">
        <f aca="false">F270*F272</f>
        <v>25078.666554911</v>
      </c>
      <c r="G273" s="9" t="n">
        <f aca="false">G270*G272</f>
        <v>27390.2179924718</v>
      </c>
    </row>
    <row r="274" customFormat="false" ht="17.15" hidden="false" customHeight="false" outlineLevel="0" collapsed="false">
      <c r="A274" s="0" t="s">
        <v>573</v>
      </c>
      <c r="B274" s="0" t="s">
        <v>252</v>
      </c>
      <c r="C274" s="9" t="n">
        <f aca="false">opex25</f>
        <v>5276.852</v>
      </c>
      <c r="D274" s="9" t="n">
        <f aca="false">opex26</f>
        <v>5832.852</v>
      </c>
      <c r="E274" s="9" t="n">
        <f aca="false">oF+ov*E270</f>
        <v>6477.05281768863</v>
      </c>
      <c r="F274" s="9" t="n">
        <f aca="false">oF+ov*F270</f>
        <v>6991.17675640966</v>
      </c>
      <c r="G274" s="9" t="n">
        <f aca="false">oF+ov*G270</f>
        <v>7343.74038953415</v>
      </c>
      <c r="H274" s="5" t="s">
        <v>574</v>
      </c>
    </row>
    <row r="275" customFormat="false" ht="17.15" hidden="false" customHeight="false" outlineLevel="0" collapsed="false">
      <c r="A275" s="0" t="s">
        <v>465</v>
      </c>
      <c r="B275" s="0" t="s">
        <v>252</v>
      </c>
      <c r="C275" s="9" t="n">
        <f aca="false">C273-C274</f>
        <v>8562</v>
      </c>
      <c r="D275" s="9" t="n">
        <f aca="false">D273-D274</f>
        <v>11325</v>
      </c>
      <c r="E275" s="9" t="n">
        <f aca="false">E273-E274</f>
        <v>15230.8068303868</v>
      </c>
      <c r="F275" s="9" t="n">
        <f aca="false">F273-F274</f>
        <v>18087.4897985013</v>
      </c>
      <c r="G275" s="9" t="n">
        <f aca="false">G273-G274</f>
        <v>20046.4776029377</v>
      </c>
    </row>
    <row r="276" customFormat="false" ht="17.15" hidden="false" customHeight="false" outlineLevel="0" collapsed="false">
      <c r="A276" s="0" t="s">
        <v>544</v>
      </c>
      <c r="B276" s="0" t="s">
        <v>199</v>
      </c>
      <c r="C276" s="11" t="n">
        <f aca="false">C275/C270</f>
        <v>0.301818950930626</v>
      </c>
      <c r="D276" s="11" t="n">
        <f aca="false">D275/D270</f>
        <v>0.330300113745735</v>
      </c>
      <c r="E276" s="11" t="n">
        <f aca="false">E275/E270</f>
        <v>0.370174319676796</v>
      </c>
      <c r="F276" s="11" t="n">
        <f aca="false">F275/F270</f>
        <v>0.387992368332224</v>
      </c>
      <c r="G276" s="11" t="n">
        <f aca="false">G275/G270</f>
        <v>0.39797309329891</v>
      </c>
    </row>
    <row r="277" customFormat="false" ht="17.15" hidden="false" customHeight="false" outlineLevel="0" collapsed="false">
      <c r="A277" s="0" t="s">
        <v>470</v>
      </c>
      <c r="B277" s="0" t="s">
        <v>252</v>
      </c>
      <c r="C277" s="9" t="n">
        <f aca="false">a25_ni</f>
        <v>7607</v>
      </c>
      <c r="D277" s="9" t="n">
        <f aca="false">an_ni</f>
        <v>10179.92</v>
      </c>
      <c r="E277" s="9" t="n">
        <f aca="false">E275*nioi</f>
        <v>13531.9723848111</v>
      </c>
      <c r="F277" s="9" t="n">
        <f aca="false">F275*nioi</f>
        <v>16070.0227630459</v>
      </c>
      <c r="G277" s="9" t="n">
        <f aca="false">G275*nioi</f>
        <v>17810.5063216009</v>
      </c>
    </row>
    <row r="278" customFormat="false" ht="15" hidden="false" customHeight="false" outlineLevel="0" collapsed="false">
      <c r="A278" s="5" t="s">
        <v>575</v>
      </c>
      <c r="B278" s="5" t="s">
        <v>328</v>
      </c>
      <c r="C278" s="23" t="n">
        <f aca="false">a25_sh</f>
        <v>808</v>
      </c>
      <c r="D278" s="23" t="n">
        <f aca="false">an_sh</f>
        <v>797.799373040752</v>
      </c>
      <c r="E278" s="23" t="n">
        <f aca="false">$D278*(1-bb)^1</f>
        <v>789.821379310345</v>
      </c>
      <c r="F278" s="23" t="n">
        <f aca="false">$D278*(1-bb)^2</f>
        <v>781.923165517241</v>
      </c>
      <c r="G278" s="23" t="n">
        <f aca="false">$D278*(1-bb)^3</f>
        <v>774.103933862069</v>
      </c>
    </row>
    <row r="279" customFormat="false" ht="17.15" hidden="false" customHeight="false" outlineLevel="0" collapsed="false">
      <c r="A279" s="0" t="s">
        <v>576</v>
      </c>
      <c r="B279" s="0" t="s">
        <v>341</v>
      </c>
      <c r="C279" s="14" t="n">
        <f aca="false">a25_eps</f>
        <v>9.42</v>
      </c>
      <c r="D279" s="14" t="n">
        <f aca="false">an_eps</f>
        <v>12.76</v>
      </c>
      <c r="E279" s="14" t="n">
        <f aca="false">E277/E278</f>
        <v>17.1329527653796</v>
      </c>
      <c r="F279" s="14" t="n">
        <f aca="false">F277/F278</f>
        <v>20.5519205360998</v>
      </c>
      <c r="G279" s="14" t="n">
        <f aca="false">G277/G278</f>
        <v>23.0079005447535</v>
      </c>
      <c r="H279" s="8" t="s">
        <v>577</v>
      </c>
    </row>
    <row r="280" customFormat="false" ht="17.15" hidden="false" customHeight="false" outlineLevel="0" collapsed="false">
      <c r="A280" s="5" t="s">
        <v>578</v>
      </c>
      <c r="B280" s="0" t="s">
        <v>199</v>
      </c>
      <c r="D280" s="11" t="n">
        <f aca="false">D264/1000/(D259+D260+D261)</f>
        <v>0.170398285527431</v>
      </c>
      <c r="E280" s="11" t="n">
        <f aca="false">E264/1000/(E259+E260+E261)</f>
        <v>0.170159646735473</v>
      </c>
      <c r="F280" s="11" t="n">
        <f aca="false">F264/1000/(F259+F260+F261)</f>
        <v>0.170084890448361</v>
      </c>
      <c r="G280" s="11" t="n">
        <f aca="false">G264/1000/(G259+G260+G261)</f>
        <v>0.169996548109528</v>
      </c>
      <c r="H280" s="5" t="s">
        <v>579</v>
      </c>
    </row>
    <row r="284" customFormat="false" ht="17.15" hidden="false" customHeight="false" outlineLevel="0" collapsed="false">
      <c r="A284" s="3" t="s">
        <v>922</v>
      </c>
    </row>
    <row r="285" customFormat="false" ht="15" hidden="false" customHeight="false" outlineLevel="0" collapsed="false">
      <c r="A285" s="6" t="s">
        <v>19</v>
      </c>
      <c r="B285" s="6" t="s">
        <v>20</v>
      </c>
      <c r="C285" s="15" t="s">
        <v>513</v>
      </c>
      <c r="D285" s="15" t="s">
        <v>514</v>
      </c>
      <c r="E285" s="15" t="s">
        <v>515</v>
      </c>
      <c r="F285" s="15" t="s">
        <v>516</v>
      </c>
      <c r="G285" s="15" t="s">
        <v>517</v>
      </c>
      <c r="H285" s="6" t="s">
        <v>518</v>
      </c>
    </row>
    <row r="286" customFormat="false" ht="17.15" hidden="false" customHeight="false" outlineLevel="0" collapsed="false">
      <c r="A286" s="1" t="s">
        <v>549</v>
      </c>
    </row>
    <row r="287" customFormat="false" ht="17.15" hidden="false" customHeight="false" outlineLevel="0" collapsed="false">
      <c r="A287" s="5" t="s">
        <v>550</v>
      </c>
      <c r="B287" s="0" t="s">
        <v>30</v>
      </c>
      <c r="C287" s="22" t="n">
        <f aca="false">laA_25+loA_25+ofA_25</f>
        <v>78.3481206981793</v>
      </c>
      <c r="D287" s="22" t="n">
        <f aca="false">laA_26+loA_26+ofA_26</f>
        <v>99.7111533272534</v>
      </c>
      <c r="E287" s="22" t="n">
        <f aca="false">laA_27+loA_27+ofA_27</f>
        <v>116.288709321091</v>
      </c>
      <c r="F287" s="22" t="n">
        <f aca="false">laA_28+loA_28+ofA_28</f>
        <v>130.886404842261</v>
      </c>
      <c r="G287" s="22" t="n">
        <f aca="false">laA_29+loA_29+ofA_29</f>
        <v>139.398079992203</v>
      </c>
    </row>
    <row r="288" customFormat="false" ht="17.15" hidden="false" customHeight="false" outlineLevel="0" collapsed="false">
      <c r="A288" s="0" t="s">
        <v>551</v>
      </c>
      <c r="B288" s="0" t="s">
        <v>30</v>
      </c>
      <c r="C288" s="22" t="n">
        <f aca="false">drA_25</f>
        <v>26.3761091658243</v>
      </c>
      <c r="D288" s="22" t="n">
        <f aca="false">drA_26</f>
        <v>41.8742847275048</v>
      </c>
      <c r="E288" s="22" t="n">
        <f aca="false">drA_27</f>
        <v>53.2587328153375</v>
      </c>
      <c r="F288" s="22" t="n">
        <f aca="false">drA_28</f>
        <v>59.5608998372386</v>
      </c>
      <c r="G288" s="22" t="n">
        <f aca="false">drA_29</f>
        <v>61.8312930912183</v>
      </c>
    </row>
    <row r="289" customFormat="false" ht="15" hidden="false" customHeight="false" outlineLevel="0" collapsed="false">
      <c r="A289" s="0" t="s">
        <v>552</v>
      </c>
      <c r="B289" s="0" t="s">
        <v>30</v>
      </c>
      <c r="C289" s="22" t="n">
        <f aca="false">ndA_25</f>
        <v>12.1726019800256</v>
      </c>
      <c r="D289" s="22" t="n">
        <f aca="false">ndA_26</f>
        <v>18.4595763045422</v>
      </c>
      <c r="E289" s="22" t="n">
        <f aca="false">ndA_27</f>
        <v>23.2480272411321</v>
      </c>
      <c r="F289" s="22" t="n">
        <f aca="false">ndA_28</f>
        <v>26.181321629459</v>
      </c>
      <c r="G289" s="22" t="n">
        <f aca="false">ndA_29</f>
        <v>27.674312771805</v>
      </c>
    </row>
    <row r="290" customFormat="false" ht="17.15" hidden="false" customHeight="false" outlineLevel="0" collapsed="false">
      <c r="A290" s="1" t="s">
        <v>553</v>
      </c>
    </row>
    <row r="291" customFormat="false" ht="17.15" hidden="false" customHeight="false" outlineLevel="0" collapsed="false">
      <c r="A291" s="5" t="s">
        <v>554</v>
      </c>
      <c r="B291" s="0" t="s">
        <v>30</v>
      </c>
      <c r="D291" s="22" t="n">
        <f aca="false">fyw*C287+(1-fyw)*D287</f>
        <v>96.1506478890744</v>
      </c>
      <c r="E291" s="22" t="n">
        <f aca="false">fyw*D287+(1-fyw)*E287</f>
        <v>113.525783322118</v>
      </c>
      <c r="F291" s="22" t="n">
        <f aca="false">fyw*E287+(1-fyw)*F287</f>
        <v>128.453455588732</v>
      </c>
      <c r="G291" s="22" t="n">
        <f aca="false">fyw*F287+(1-fyw)*G287</f>
        <v>137.979467467212</v>
      </c>
    </row>
    <row r="292" customFormat="false" ht="17.15" hidden="false" customHeight="false" outlineLevel="0" collapsed="false">
      <c r="A292" s="0" t="s">
        <v>555</v>
      </c>
      <c r="B292" s="0" t="s">
        <v>30</v>
      </c>
      <c r="D292" s="22" t="n">
        <f aca="false">fyw*C288+(1-fyw)*D288</f>
        <v>39.2912554672247</v>
      </c>
      <c r="E292" s="22" t="n">
        <f aca="false">fyw*D288+(1-fyw)*E288</f>
        <v>51.3613248006987</v>
      </c>
      <c r="F292" s="22" t="n">
        <f aca="false">fyw*E288+(1-fyw)*F288</f>
        <v>58.5105386669218</v>
      </c>
      <c r="G292" s="22" t="n">
        <f aca="false">fyw*F288+(1-fyw)*G288</f>
        <v>61.452894215555</v>
      </c>
    </row>
    <row r="293" customFormat="false" ht="15" hidden="false" customHeight="false" outlineLevel="0" collapsed="false">
      <c r="A293" s="0" t="s">
        <v>556</v>
      </c>
      <c r="B293" s="0" t="s">
        <v>30</v>
      </c>
      <c r="D293" s="22" t="n">
        <f aca="false">fyw*C289+(1-fyw)*D289</f>
        <v>17.4117472504561</v>
      </c>
      <c r="E293" s="22" t="n">
        <f aca="false">fyw*D289+(1-fyw)*E289</f>
        <v>22.4499520850338</v>
      </c>
      <c r="F293" s="22" t="n">
        <f aca="false">fyw*E289+(1-fyw)*F289</f>
        <v>25.6924392314045</v>
      </c>
      <c r="G293" s="22" t="n">
        <f aca="false">fyw*F289+(1-fyw)*G289</f>
        <v>27.4254809147473</v>
      </c>
    </row>
    <row r="294" customFormat="false" ht="17.15" hidden="false" customHeight="false" outlineLevel="0" collapsed="false">
      <c r="A294" s="5" t="s">
        <v>557</v>
      </c>
      <c r="B294" s="0" t="s">
        <v>246</v>
      </c>
      <c r="D294" s="21" t="n">
        <f aca="false">m_fl*D291/$D291+m_dr*D292/$D292+m_nd*D293/$D293</f>
        <v>1</v>
      </c>
      <c r="E294" s="21" t="n">
        <f aca="false">m_fl*E291/$D291+m_dr*E292/$D292+m_nd*E293/$D293</f>
        <v>1.22388113282</v>
      </c>
      <c r="F294" s="21" t="n">
        <f aca="false">m_fl*F291/$D291+m_dr*F292/$D292+m_nd*F293/$D293</f>
        <v>1.3886833368957</v>
      </c>
      <c r="G294" s="21" t="n">
        <f aca="false">m_fl*G291/$D291+m_dr*G292/$D292+m_nd*G293/$D293</f>
        <v>1.48065154546388</v>
      </c>
      <c r="H294" s="8" t="s">
        <v>558</v>
      </c>
    </row>
    <row r="295" customFormat="false" ht="17.15" hidden="false" customHeight="false" outlineLevel="0" collapsed="false">
      <c r="A295" s="1" t="s">
        <v>559</v>
      </c>
    </row>
    <row r="296" customFormat="false" ht="17.15" hidden="false" customHeight="false" outlineLevel="0" collapsed="false">
      <c r="A296" s="5" t="s">
        <v>560</v>
      </c>
      <c r="B296" s="0" t="s">
        <v>252</v>
      </c>
      <c r="C296" s="9" t="n">
        <f aca="false">a25_ss</f>
        <v>21438.5432098765</v>
      </c>
      <c r="D296" s="9" t="n">
        <f aca="false">an_ss</f>
        <v>26046</v>
      </c>
      <c r="E296" s="9" t="n">
        <f aca="false">$D296*E294*sf</f>
        <v>31877.2079854298</v>
      </c>
      <c r="F296" s="9" t="n">
        <f aca="false">$D296*F294*sf</f>
        <v>36169.6461927855</v>
      </c>
      <c r="G296" s="9" t="n">
        <f aca="false">$D296*G294*sf</f>
        <v>38565.0501531522</v>
      </c>
      <c r="H296" s="8" t="s">
        <v>561</v>
      </c>
    </row>
    <row r="297" customFormat="false" ht="17.15" hidden="false" customHeight="false" outlineLevel="0" collapsed="false">
      <c r="A297" s="0" t="s">
        <v>562</v>
      </c>
      <c r="B297" s="0" t="s">
        <v>252</v>
      </c>
      <c r="C297" s="9" t="n">
        <f aca="false">a25_ags</f>
        <v>5744.19672131148</v>
      </c>
      <c r="D297" s="9" t="n">
        <f aca="false">an_ags</f>
        <v>6845</v>
      </c>
      <c r="E297" s="9" t="n">
        <f aca="false">D297*(1+g_ags_A)</f>
        <v>7871.75</v>
      </c>
      <c r="F297" s="9" t="n">
        <f aca="false">E297*(1+g_ags_A)</f>
        <v>9052.5125</v>
      </c>
      <c r="G297" s="9" t="n">
        <f aca="false">F297*(1+g_ags_A)</f>
        <v>10410.389375</v>
      </c>
    </row>
    <row r="298" customFormat="false" ht="17.15" hidden="false" customHeight="false" outlineLevel="0" collapsed="false">
      <c r="A298" s="5" t="s">
        <v>563</v>
      </c>
      <c r="B298" s="0" t="s">
        <v>252</v>
      </c>
      <c r="C298" s="9" t="n">
        <v>0</v>
      </c>
      <c r="D298" s="9" t="n">
        <v>0</v>
      </c>
      <c r="E298" s="9" t="n">
        <f aca="false">-aff_hit*aff_A-0*cn_sh*(E296+E297)</f>
        <v>-0</v>
      </c>
      <c r="F298" s="9" t="n">
        <f aca="false">-aff_hit*aff_A-0*cn_sh*(F296+F297)</f>
        <v>-0</v>
      </c>
      <c r="G298" s="9" t="n">
        <f aca="false">-aff_hit*aff_A-0*cn_sh*(G296+G297)</f>
        <v>-0</v>
      </c>
      <c r="H298" s="5" t="s">
        <v>564</v>
      </c>
    </row>
    <row r="299" customFormat="false" ht="17.15" hidden="false" customHeight="false" outlineLevel="0" collapsed="false">
      <c r="A299" s="5" t="s">
        <v>565</v>
      </c>
      <c r="B299" s="0" t="s">
        <v>252</v>
      </c>
      <c r="C299" s="9" t="n">
        <f aca="false">C296+C298*C296/(C296+C297)</f>
        <v>21438.5432098765</v>
      </c>
      <c r="D299" s="9" t="n">
        <f aca="false">D296+D298*D296/(D296+D297)</f>
        <v>26046</v>
      </c>
      <c r="E299" s="9" t="n">
        <f aca="false">E296+E298*E296/(E296+E297)</f>
        <v>31877.2079854298</v>
      </c>
      <c r="F299" s="9" t="n">
        <f aca="false">F296+F298*F296/(F296+F297)</f>
        <v>36169.6461927855</v>
      </c>
      <c r="G299" s="9" t="n">
        <f aca="false">G296+G298*G296/(G296+G297)</f>
        <v>38565.0501531522</v>
      </c>
      <c r="H299" s="5" t="s">
        <v>566</v>
      </c>
    </row>
    <row r="300" customFormat="false" ht="17.15" hidden="false" customHeight="false" outlineLevel="0" collapsed="false">
      <c r="A300" s="0" t="s">
        <v>567</v>
      </c>
      <c r="B300" s="0" t="s">
        <v>252</v>
      </c>
      <c r="C300" s="9" t="n">
        <f aca="false">C297+C298*C297/(C296+C297)</f>
        <v>5744.19672131148</v>
      </c>
      <c r="D300" s="9" t="n">
        <f aca="false">D297+D298*D297/(D296+D297)</f>
        <v>6845</v>
      </c>
      <c r="E300" s="9" t="n">
        <f aca="false">E297+E298*E297/(E296+E297)</f>
        <v>7871.75</v>
      </c>
      <c r="F300" s="9" t="n">
        <f aca="false">F297+F298*F297/(F296+F297)</f>
        <v>9052.5125</v>
      </c>
      <c r="G300" s="9" t="n">
        <f aca="false">G297+G298*G297/(G296+G297)</f>
        <v>10410.389375</v>
      </c>
      <c r="H300" s="5" t="s">
        <v>568</v>
      </c>
    </row>
    <row r="301" customFormat="false" ht="17.15" hidden="false" customHeight="false" outlineLevel="0" collapsed="false">
      <c r="A301" s="5" t="s">
        <v>569</v>
      </c>
      <c r="B301" s="0" t="s">
        <v>252</v>
      </c>
      <c r="C301" s="9" t="n">
        <f aca="false">a25_oth</f>
        <v>1185.26006881198</v>
      </c>
      <c r="D301" s="9" t="n">
        <f aca="false">an_oth</f>
        <v>1396</v>
      </c>
      <c r="E301" s="9" t="n">
        <f aca="false">D301*(1+g_oth_A)</f>
        <v>1396</v>
      </c>
      <c r="F301" s="9" t="n">
        <f aca="false">E301*(1+g_oth_A)</f>
        <v>1396</v>
      </c>
      <c r="G301" s="9" t="n">
        <f aca="false">F301*(1+g_oth_A)</f>
        <v>1396</v>
      </c>
      <c r="H301" s="5" t="s">
        <v>570</v>
      </c>
    </row>
    <row r="302" customFormat="false" ht="15" hidden="false" customHeight="false" outlineLevel="0" collapsed="false">
      <c r="A302" s="5" t="s">
        <v>454</v>
      </c>
      <c r="B302" s="0" t="s">
        <v>252</v>
      </c>
      <c r="C302" s="9" t="n">
        <f aca="false">C299+C300+C301</f>
        <v>28368</v>
      </c>
      <c r="D302" s="9" t="n">
        <f aca="false">D299+D300+D301</f>
        <v>34287</v>
      </c>
      <c r="E302" s="9" t="n">
        <f aca="false">E299+E300+E301</f>
        <v>41144.9579854298</v>
      </c>
      <c r="F302" s="9" t="n">
        <f aca="false">F299+F300+F301</f>
        <v>46618.1586927855</v>
      </c>
      <c r="G302" s="9" t="n">
        <f aca="false">G299+G300+G301</f>
        <v>50371.4395281522</v>
      </c>
    </row>
    <row r="303" customFormat="false" ht="17.15" hidden="false" customHeight="false" outlineLevel="0" collapsed="false">
      <c r="A303" s="5" t="s">
        <v>571</v>
      </c>
      <c r="B303" s="0" t="s">
        <v>252</v>
      </c>
      <c r="C303" s="23" t="n">
        <f aca="false">C299+C300+C301-a25_rev</f>
        <v>0</v>
      </c>
      <c r="D303" s="23" t="n">
        <f aca="false">D299+D300+D301-an_rev</f>
        <v>0</v>
      </c>
    </row>
    <row r="304" customFormat="false" ht="17.15" hidden="false" customHeight="false" outlineLevel="0" collapsed="false">
      <c r="A304" s="0" t="s">
        <v>460</v>
      </c>
      <c r="B304" s="0" t="s">
        <v>199</v>
      </c>
      <c r="C304" s="11" t="n">
        <f aca="false">a25_gp/a25_rev</f>
        <v>0.487833192329385</v>
      </c>
      <c r="D304" s="11" t="n">
        <f aca="false">an_gp/an_rev</f>
        <v>0.500418584303089</v>
      </c>
      <c r="E304" s="11" t="n">
        <f aca="false">1-((1-phic_hi)*cogs25+phic_hi*cogs25/a25_rev*E302)/E302</f>
        <v>0.495785483574228</v>
      </c>
      <c r="F304" s="11" t="n">
        <f aca="false">1-((1-phic_hi)*cogs25+phic_hi*cogs25/a25_rev*F302)/F302</f>
        <v>0.497858390427367</v>
      </c>
      <c r="G304" s="11" t="n">
        <f aca="false">1-((1-phic_hi)*cogs25+phic_hi*cogs25/a25_rev*G302)/G302</f>
        <v>0.499019522804027</v>
      </c>
      <c r="H304" s="5" t="s">
        <v>572</v>
      </c>
    </row>
    <row r="305" customFormat="false" ht="17.15" hidden="false" customHeight="false" outlineLevel="0" collapsed="false">
      <c r="A305" s="0" t="s">
        <v>463</v>
      </c>
      <c r="B305" s="0" t="s">
        <v>252</v>
      </c>
      <c r="C305" s="9" t="n">
        <f aca="false">C302*C304</f>
        <v>13838.852</v>
      </c>
      <c r="D305" s="9" t="n">
        <f aca="false">D302*D304</f>
        <v>17157.852</v>
      </c>
      <c r="E305" s="9" t="n">
        <f aca="false">E302*E304</f>
        <v>20399.0728914476</v>
      </c>
      <c r="F305" s="9" t="n">
        <f aca="false">F302*F304</f>
        <v>23209.2414514777</v>
      </c>
      <c r="G305" s="9" t="n">
        <f aca="false">G302*G304</f>
        <v>25136.3317162904</v>
      </c>
    </row>
    <row r="306" customFormat="false" ht="17.15" hidden="false" customHeight="false" outlineLevel="0" collapsed="false">
      <c r="A306" s="0" t="s">
        <v>573</v>
      </c>
      <c r="B306" s="0" t="s">
        <v>252</v>
      </c>
      <c r="C306" s="9" t="n">
        <f aca="false">opex25</f>
        <v>5276.852</v>
      </c>
      <c r="D306" s="9" t="n">
        <f aca="false">opex26</f>
        <v>5832.852</v>
      </c>
      <c r="E306" s="9" t="n">
        <f aca="false">oF+ov*E302</f>
        <v>6477.05281768863</v>
      </c>
      <c r="F306" s="9" t="n">
        <f aca="false">oF+ov*F302</f>
        <v>6991.17675640966</v>
      </c>
      <c r="G306" s="9" t="n">
        <f aca="false">oF+ov*G302</f>
        <v>7343.74038953415</v>
      </c>
      <c r="H306" s="5" t="s">
        <v>574</v>
      </c>
    </row>
    <row r="307" customFormat="false" ht="17.15" hidden="false" customHeight="false" outlineLevel="0" collapsed="false">
      <c r="A307" s="0" t="s">
        <v>465</v>
      </c>
      <c r="B307" s="0" t="s">
        <v>252</v>
      </c>
      <c r="C307" s="9" t="n">
        <f aca="false">C305-C306</f>
        <v>8562</v>
      </c>
      <c r="D307" s="9" t="n">
        <f aca="false">D305-D306</f>
        <v>11325</v>
      </c>
      <c r="E307" s="9" t="n">
        <f aca="false">E305-E306</f>
        <v>13922.020073759</v>
      </c>
      <c r="F307" s="9" t="n">
        <f aca="false">F305-F306</f>
        <v>16218.0646950681</v>
      </c>
      <c r="G307" s="9" t="n">
        <f aca="false">G305-G306</f>
        <v>17792.5913267563</v>
      </c>
    </row>
    <row r="308" customFormat="false" ht="17.15" hidden="false" customHeight="false" outlineLevel="0" collapsed="false">
      <c r="A308" s="0" t="s">
        <v>544</v>
      </c>
      <c r="B308" s="0" t="s">
        <v>199</v>
      </c>
      <c r="C308" s="11" t="n">
        <f aca="false">C307/C302</f>
        <v>0.301818950930626</v>
      </c>
      <c r="D308" s="11" t="n">
        <f aca="false">D307/D302</f>
        <v>0.330300113745735</v>
      </c>
      <c r="E308" s="11" t="n">
        <f aca="false">E307/E302</f>
        <v>0.338365154697425</v>
      </c>
      <c r="F308" s="11" t="n">
        <f aca="false">F307/F302</f>
        <v>0.347891575940299</v>
      </c>
      <c r="G308" s="11" t="n">
        <f aca="false">G307/G302</f>
        <v>0.353227771400342</v>
      </c>
    </row>
    <row r="309" customFormat="false" ht="17.15" hidden="false" customHeight="false" outlineLevel="0" collapsed="false">
      <c r="A309" s="0" t="s">
        <v>470</v>
      </c>
      <c r="B309" s="0" t="s">
        <v>252</v>
      </c>
      <c r="C309" s="9" t="n">
        <f aca="false">a25_ni</f>
        <v>7607</v>
      </c>
      <c r="D309" s="9" t="n">
        <f aca="false">an_ni</f>
        <v>10179.92</v>
      </c>
      <c r="E309" s="9" t="n">
        <f aca="false">E307*nioi</f>
        <v>12369.1668653451</v>
      </c>
      <c r="F309" s="9" t="n">
        <f aca="false">F307*nioi</f>
        <v>14409.1121391477</v>
      </c>
      <c r="G309" s="9" t="n">
        <f aca="false">G307*nioi</f>
        <v>15808.0170780933</v>
      </c>
    </row>
    <row r="310" customFormat="false" ht="15" hidden="false" customHeight="false" outlineLevel="0" collapsed="false">
      <c r="A310" s="5" t="s">
        <v>575</v>
      </c>
      <c r="B310" s="5" t="s">
        <v>328</v>
      </c>
      <c r="C310" s="23" t="n">
        <f aca="false">a25_sh</f>
        <v>808</v>
      </c>
      <c r="D310" s="23" t="n">
        <f aca="false">an_sh</f>
        <v>797.799373040752</v>
      </c>
      <c r="E310" s="23" t="n">
        <f aca="false">$D310*(1-bb)^1</f>
        <v>789.821379310345</v>
      </c>
      <c r="F310" s="23" t="n">
        <f aca="false">$D310*(1-bb)^2</f>
        <v>781.923165517241</v>
      </c>
      <c r="G310" s="23" t="n">
        <f aca="false">$D310*(1-bb)^3</f>
        <v>774.103933862069</v>
      </c>
    </row>
    <row r="311" customFormat="false" ht="17.15" hidden="false" customHeight="false" outlineLevel="0" collapsed="false">
      <c r="A311" s="0" t="s">
        <v>576</v>
      </c>
      <c r="B311" s="0" t="s">
        <v>341</v>
      </c>
      <c r="C311" s="14" t="n">
        <f aca="false">a25_eps</f>
        <v>9.42</v>
      </c>
      <c r="D311" s="14" t="n">
        <f aca="false">an_eps</f>
        <v>12.76</v>
      </c>
      <c r="E311" s="14" t="n">
        <f aca="false">E309/E310</f>
        <v>15.6607141682409</v>
      </c>
      <c r="F311" s="14" t="n">
        <f aca="false">F309/F310</f>
        <v>18.4277852026754</v>
      </c>
      <c r="G311" s="14" t="n">
        <f aca="false">G309/G310</f>
        <v>20.4210525054766</v>
      </c>
      <c r="H311" s="8" t="s">
        <v>577</v>
      </c>
    </row>
    <row r="312" customFormat="false" ht="17.15" hidden="false" customHeight="false" outlineLevel="0" collapsed="false">
      <c r="A312" s="5" t="s">
        <v>578</v>
      </c>
      <c r="B312" s="0" t="s">
        <v>199</v>
      </c>
      <c r="D312" s="11" t="n">
        <f aca="false">D296/1000/(D291+D292+D293)</f>
        <v>0.170398285527431</v>
      </c>
      <c r="E312" s="11" t="n">
        <f aca="false">E296/1000/(E291+E292+E293)</f>
        <v>0.170159646735473</v>
      </c>
      <c r="F312" s="11" t="n">
        <f aca="false">F296/1000/(F291+F292+F293)</f>
        <v>0.170084890448361</v>
      </c>
      <c r="G312" s="11" t="n">
        <f aca="false">G296/1000/(G291+G292+G293)</f>
        <v>0.169996548109528</v>
      </c>
      <c r="H312" s="5" t="s">
        <v>579</v>
      </c>
    </row>
    <row r="316" customFormat="false" ht="17.15" hidden="false" customHeight="false" outlineLevel="0" collapsed="false">
      <c r="A316" s="3" t="s">
        <v>923</v>
      </c>
    </row>
    <row r="317" customFormat="false" ht="15" hidden="false" customHeight="false" outlineLevel="0" collapsed="false">
      <c r="A317" s="6" t="s">
        <v>19</v>
      </c>
      <c r="B317" s="6" t="s">
        <v>20</v>
      </c>
      <c r="C317" s="15" t="s">
        <v>513</v>
      </c>
      <c r="D317" s="15" t="s">
        <v>514</v>
      </c>
      <c r="E317" s="15" t="s">
        <v>515</v>
      </c>
      <c r="F317" s="15" t="s">
        <v>516</v>
      </c>
      <c r="G317" s="15" t="s">
        <v>517</v>
      </c>
      <c r="H317" s="6" t="s">
        <v>518</v>
      </c>
    </row>
    <row r="318" customFormat="false" ht="17.15" hidden="false" customHeight="false" outlineLevel="0" collapsed="false">
      <c r="A318" s="1" t="s">
        <v>549</v>
      </c>
    </row>
    <row r="319" customFormat="false" ht="17.15" hidden="false" customHeight="false" outlineLevel="0" collapsed="false">
      <c r="A319" s="5" t="s">
        <v>550</v>
      </c>
      <c r="B319" s="0" t="s">
        <v>30</v>
      </c>
      <c r="C319" s="22" t="n">
        <f aca="false">laA_25+loA_25+ofA_25</f>
        <v>78.3481206981793</v>
      </c>
      <c r="D319" s="22" t="n">
        <f aca="false">laA_26+loA_26+ofA_26</f>
        <v>99.7111533272534</v>
      </c>
      <c r="E319" s="22" t="n">
        <f aca="false">laA_27+loA_27+ofA_27</f>
        <v>116.288709321091</v>
      </c>
      <c r="F319" s="22" t="n">
        <f aca="false">laA_28+loA_28+ofA_28</f>
        <v>130.886404842261</v>
      </c>
      <c r="G319" s="22" t="n">
        <f aca="false">laA_29+loA_29+ofA_29</f>
        <v>139.398079992203</v>
      </c>
    </row>
    <row r="320" customFormat="false" ht="17.15" hidden="false" customHeight="false" outlineLevel="0" collapsed="false">
      <c r="A320" s="0" t="s">
        <v>551</v>
      </c>
      <c r="B320" s="0" t="s">
        <v>30</v>
      </c>
      <c r="C320" s="22" t="n">
        <f aca="false">drA_25</f>
        <v>26.3761091658243</v>
      </c>
      <c r="D320" s="22" t="n">
        <f aca="false">drA_26</f>
        <v>41.8742847275048</v>
      </c>
      <c r="E320" s="22" t="n">
        <f aca="false">drA_27</f>
        <v>53.2587328153375</v>
      </c>
      <c r="F320" s="22" t="n">
        <f aca="false">drA_28</f>
        <v>59.5608998372386</v>
      </c>
      <c r="G320" s="22" t="n">
        <f aca="false">drA_29</f>
        <v>61.8312930912183</v>
      </c>
    </row>
    <row r="321" customFormat="false" ht="15" hidden="false" customHeight="false" outlineLevel="0" collapsed="false">
      <c r="A321" s="0" t="s">
        <v>552</v>
      </c>
      <c r="B321" s="0" t="s">
        <v>30</v>
      </c>
      <c r="C321" s="22" t="n">
        <f aca="false">ndA_25</f>
        <v>12.1726019800256</v>
      </c>
      <c r="D321" s="22" t="n">
        <f aca="false">ndA_26</f>
        <v>18.4595763045422</v>
      </c>
      <c r="E321" s="22" t="n">
        <f aca="false">ndA_27</f>
        <v>23.2480272411321</v>
      </c>
      <c r="F321" s="22" t="n">
        <f aca="false">ndA_28</f>
        <v>26.181321629459</v>
      </c>
      <c r="G321" s="22" t="n">
        <f aca="false">ndA_29</f>
        <v>27.674312771805</v>
      </c>
    </row>
    <row r="322" customFormat="false" ht="17.15" hidden="false" customHeight="false" outlineLevel="0" collapsed="false">
      <c r="A322" s="1" t="s">
        <v>553</v>
      </c>
    </row>
    <row r="323" customFormat="false" ht="17.15" hidden="false" customHeight="false" outlineLevel="0" collapsed="false">
      <c r="A323" s="5" t="s">
        <v>554</v>
      </c>
      <c r="B323" s="0" t="s">
        <v>30</v>
      </c>
      <c r="D323" s="22" t="n">
        <f aca="false">fyw*C319+(1-fyw)*D319</f>
        <v>96.1506478890744</v>
      </c>
      <c r="E323" s="22" t="n">
        <f aca="false">fyw*D319+(1-fyw)*E319</f>
        <v>113.525783322118</v>
      </c>
      <c r="F323" s="22" t="n">
        <f aca="false">fyw*E319+(1-fyw)*F319</f>
        <v>128.453455588732</v>
      </c>
      <c r="G323" s="22" t="n">
        <f aca="false">fyw*F319+(1-fyw)*G319</f>
        <v>137.979467467212</v>
      </c>
    </row>
    <row r="324" customFormat="false" ht="17.15" hidden="false" customHeight="false" outlineLevel="0" collapsed="false">
      <c r="A324" s="0" t="s">
        <v>555</v>
      </c>
      <c r="B324" s="0" t="s">
        <v>30</v>
      </c>
      <c r="D324" s="22" t="n">
        <f aca="false">fyw*C320+(1-fyw)*D320</f>
        <v>39.2912554672247</v>
      </c>
      <c r="E324" s="22" t="n">
        <f aca="false">fyw*D320+(1-fyw)*E320</f>
        <v>51.3613248006987</v>
      </c>
      <c r="F324" s="22" t="n">
        <f aca="false">fyw*E320+(1-fyw)*F320</f>
        <v>58.5105386669218</v>
      </c>
      <c r="G324" s="22" t="n">
        <f aca="false">fyw*F320+(1-fyw)*G320</f>
        <v>61.452894215555</v>
      </c>
    </row>
    <row r="325" customFormat="false" ht="15" hidden="false" customHeight="false" outlineLevel="0" collapsed="false">
      <c r="A325" s="0" t="s">
        <v>556</v>
      </c>
      <c r="B325" s="0" t="s">
        <v>30</v>
      </c>
      <c r="D325" s="22" t="n">
        <f aca="false">fyw*C321+(1-fyw)*D321</f>
        <v>17.4117472504561</v>
      </c>
      <c r="E325" s="22" t="n">
        <f aca="false">fyw*D321+(1-fyw)*E321</f>
        <v>22.4499520850338</v>
      </c>
      <c r="F325" s="22" t="n">
        <f aca="false">fyw*E321+(1-fyw)*F321</f>
        <v>25.6924392314045</v>
      </c>
      <c r="G325" s="22" t="n">
        <f aca="false">fyw*F321+(1-fyw)*G321</f>
        <v>27.4254809147473</v>
      </c>
    </row>
    <row r="326" customFormat="false" ht="17.15" hidden="false" customHeight="false" outlineLevel="0" collapsed="false">
      <c r="A326" s="5" t="s">
        <v>557</v>
      </c>
      <c r="B326" s="0" t="s">
        <v>246</v>
      </c>
      <c r="D326" s="21" t="n">
        <f aca="false">m_fl*D323/$D323+m_dr*D324/$D324+m_nd*D325/$D325</f>
        <v>1</v>
      </c>
      <c r="E326" s="21" t="n">
        <f aca="false">m_fl*E323/$D323+m_dr*E324/$D324+m_nd*E325/$D325</f>
        <v>1.22388113282</v>
      </c>
      <c r="F326" s="21" t="n">
        <f aca="false">m_fl*F323/$D323+m_dr*F324/$D324+m_nd*F325/$D325</f>
        <v>1.3886833368957</v>
      </c>
      <c r="G326" s="21" t="n">
        <f aca="false">m_fl*G323/$D323+m_dr*G324/$D324+m_nd*G325/$D325</f>
        <v>1.48065154546388</v>
      </c>
      <c r="H326" s="8" t="s">
        <v>558</v>
      </c>
    </row>
    <row r="327" customFormat="false" ht="17.15" hidden="false" customHeight="false" outlineLevel="0" collapsed="false">
      <c r="A327" s="1" t="s">
        <v>559</v>
      </c>
    </row>
    <row r="328" customFormat="false" ht="17.15" hidden="false" customHeight="false" outlineLevel="0" collapsed="false">
      <c r="A328" s="5" t="s">
        <v>560</v>
      </c>
      <c r="B328" s="0" t="s">
        <v>252</v>
      </c>
      <c r="C328" s="9" t="n">
        <f aca="false">a25_ss</f>
        <v>21438.5432098765</v>
      </c>
      <c r="D328" s="9" t="n">
        <f aca="false">an_ss</f>
        <v>26046</v>
      </c>
      <c r="E328" s="9" t="n">
        <f aca="false">$D328*E326*sf</f>
        <v>31877.2079854298</v>
      </c>
      <c r="F328" s="9" t="n">
        <f aca="false">$D328*F326*sf</f>
        <v>36169.6461927855</v>
      </c>
      <c r="G328" s="9" t="n">
        <f aca="false">$D328*G326*sf</f>
        <v>38565.0501531522</v>
      </c>
      <c r="H328" s="8" t="s">
        <v>561</v>
      </c>
    </row>
    <row r="329" customFormat="false" ht="17.15" hidden="false" customHeight="false" outlineLevel="0" collapsed="false">
      <c r="A329" s="0" t="s">
        <v>562</v>
      </c>
      <c r="B329" s="0" t="s">
        <v>252</v>
      </c>
      <c r="C329" s="9" t="n">
        <f aca="false">a25_ags</f>
        <v>5744.19672131148</v>
      </c>
      <c r="D329" s="9" t="n">
        <f aca="false">an_ags</f>
        <v>6845</v>
      </c>
      <c r="E329" s="9" t="n">
        <f aca="false">D329*(1+g_ags_A)</f>
        <v>7871.75</v>
      </c>
      <c r="F329" s="9" t="n">
        <f aca="false">E329*(1+g_ags_A)</f>
        <v>9052.5125</v>
      </c>
      <c r="G329" s="9" t="n">
        <f aca="false">F329*(1+g_ags_A)</f>
        <v>10410.389375</v>
      </c>
    </row>
    <row r="330" customFormat="false" ht="17.15" hidden="false" customHeight="false" outlineLevel="0" collapsed="false">
      <c r="A330" s="5" t="s">
        <v>563</v>
      </c>
      <c r="B330" s="0" t="s">
        <v>252</v>
      </c>
      <c r="C330" s="9" t="n">
        <v>0</v>
      </c>
      <c r="D330" s="9" t="n">
        <v>0</v>
      </c>
      <c r="E330" s="9" t="n">
        <f aca="false">-aff_hit*aff_A-0*cn_sh*(E328+E329)</f>
        <v>-0</v>
      </c>
      <c r="F330" s="9" t="n">
        <f aca="false">-aff_hit*aff_A-0*cn_sh*(F328+F329)</f>
        <v>-0</v>
      </c>
      <c r="G330" s="9" t="n">
        <f aca="false">-aff_hit*aff_A-0*cn_sh*(G328+G329)</f>
        <v>-0</v>
      </c>
      <c r="H330" s="5" t="s">
        <v>564</v>
      </c>
    </row>
    <row r="331" customFormat="false" ht="17.15" hidden="false" customHeight="false" outlineLevel="0" collapsed="false">
      <c r="A331" s="5" t="s">
        <v>565</v>
      </c>
      <c r="B331" s="0" t="s">
        <v>252</v>
      </c>
      <c r="C331" s="9" t="n">
        <f aca="false">C328+C330*C328/(C328+C329)</f>
        <v>21438.5432098765</v>
      </c>
      <c r="D331" s="9" t="n">
        <f aca="false">D328+D330*D328/(D328+D329)</f>
        <v>26046</v>
      </c>
      <c r="E331" s="9" t="n">
        <f aca="false">E328+E330*E328/(E328+E329)</f>
        <v>31877.2079854298</v>
      </c>
      <c r="F331" s="9" t="n">
        <f aca="false">F328+F330*F328/(F328+F329)</f>
        <v>36169.6461927855</v>
      </c>
      <c r="G331" s="9" t="n">
        <f aca="false">G328+G330*G328/(G328+G329)</f>
        <v>38565.0501531522</v>
      </c>
      <c r="H331" s="5" t="s">
        <v>566</v>
      </c>
    </row>
    <row r="332" customFormat="false" ht="17.15" hidden="false" customHeight="false" outlineLevel="0" collapsed="false">
      <c r="A332" s="0" t="s">
        <v>567</v>
      </c>
      <c r="B332" s="0" t="s">
        <v>252</v>
      </c>
      <c r="C332" s="9" t="n">
        <f aca="false">C329+C330*C329/(C328+C329)</f>
        <v>5744.19672131148</v>
      </c>
      <c r="D332" s="9" t="n">
        <f aca="false">D329+D330*D329/(D328+D329)</f>
        <v>6845</v>
      </c>
      <c r="E332" s="9" t="n">
        <f aca="false">E329+E330*E329/(E328+E329)</f>
        <v>7871.75</v>
      </c>
      <c r="F332" s="9" t="n">
        <f aca="false">F329+F330*F329/(F328+F329)</f>
        <v>9052.5125</v>
      </c>
      <c r="G332" s="9" t="n">
        <f aca="false">G329+G330*G329/(G328+G329)</f>
        <v>10410.389375</v>
      </c>
      <c r="H332" s="5" t="s">
        <v>568</v>
      </c>
    </row>
    <row r="333" customFormat="false" ht="17.15" hidden="false" customHeight="false" outlineLevel="0" collapsed="false">
      <c r="A333" s="5" t="s">
        <v>569</v>
      </c>
      <c r="B333" s="0" t="s">
        <v>252</v>
      </c>
      <c r="C333" s="9" t="n">
        <f aca="false">a25_oth</f>
        <v>1185.26006881198</v>
      </c>
      <c r="D333" s="9" t="n">
        <f aca="false">an_oth</f>
        <v>1396</v>
      </c>
      <c r="E333" s="9" t="n">
        <f aca="false">D333*(1+g_oth_A)</f>
        <v>1396</v>
      </c>
      <c r="F333" s="9" t="n">
        <f aca="false">E333*(1+g_oth_A)</f>
        <v>1396</v>
      </c>
      <c r="G333" s="9" t="n">
        <f aca="false">F333*(1+g_oth_A)</f>
        <v>1396</v>
      </c>
      <c r="H333" s="5" t="s">
        <v>570</v>
      </c>
    </row>
    <row r="334" customFormat="false" ht="15" hidden="false" customHeight="false" outlineLevel="0" collapsed="false">
      <c r="A334" s="5" t="s">
        <v>454</v>
      </c>
      <c r="B334" s="0" t="s">
        <v>252</v>
      </c>
      <c r="C334" s="9" t="n">
        <f aca="false">C331+C332+C333</f>
        <v>28368</v>
      </c>
      <c r="D334" s="9" t="n">
        <f aca="false">D331+D332+D333</f>
        <v>34287</v>
      </c>
      <c r="E334" s="9" t="n">
        <f aca="false">E331+E332+E333</f>
        <v>41144.9579854298</v>
      </c>
      <c r="F334" s="9" t="n">
        <f aca="false">F331+F332+F333</f>
        <v>46618.1586927855</v>
      </c>
      <c r="G334" s="9" t="n">
        <f aca="false">G331+G332+G333</f>
        <v>50371.4395281522</v>
      </c>
    </row>
    <row r="335" customFormat="false" ht="17.15" hidden="false" customHeight="false" outlineLevel="0" collapsed="false">
      <c r="A335" s="5" t="s">
        <v>571</v>
      </c>
      <c r="B335" s="0" t="s">
        <v>252</v>
      </c>
      <c r="C335" s="23" t="n">
        <f aca="false">C331+C332+C333-a25_rev</f>
        <v>0</v>
      </c>
      <c r="D335" s="23" t="n">
        <f aca="false">D331+D332+D333-an_rev</f>
        <v>0</v>
      </c>
    </row>
    <row r="336" customFormat="false" ht="17.15" hidden="false" customHeight="false" outlineLevel="0" collapsed="false">
      <c r="A336" s="0" t="s">
        <v>460</v>
      </c>
      <c r="B336" s="0" t="s">
        <v>199</v>
      </c>
      <c r="C336" s="11" t="n">
        <f aca="false">a25_gp/a25_rev</f>
        <v>0.487833192329385</v>
      </c>
      <c r="D336" s="11" t="n">
        <f aca="false">an_gp/an_rev</f>
        <v>0.500418584303089</v>
      </c>
      <c r="E336" s="11" t="n">
        <f aca="false">1-(cF+cv*E334)/E334</f>
        <v>0.510472270404997</v>
      </c>
      <c r="F336" s="11" t="n">
        <f aca="false">1-(cF+cv*F334)/F334</f>
        <v>0.516373550758896</v>
      </c>
      <c r="G336" s="11" t="n">
        <f aca="false">1-(cF+cv*G334)/G334</f>
        <v>0.519679134737399</v>
      </c>
      <c r="H336" s="5" t="s">
        <v>572</v>
      </c>
    </row>
    <row r="337" customFormat="false" ht="17.15" hidden="false" customHeight="false" outlineLevel="0" collapsed="false">
      <c r="A337" s="0" t="s">
        <v>463</v>
      </c>
      <c r="B337" s="0" t="s">
        <v>252</v>
      </c>
      <c r="C337" s="9" t="n">
        <f aca="false">C334*C336</f>
        <v>13838.852</v>
      </c>
      <c r="D337" s="9" t="n">
        <f aca="false">D334*D336</f>
        <v>17157.852</v>
      </c>
      <c r="E337" s="9" t="n">
        <f aca="false">E334*E336</f>
        <v>21003.3601185406</v>
      </c>
      <c r="F337" s="9" t="n">
        <f aca="false">F334*F336</f>
        <v>24072.3841340353</v>
      </c>
      <c r="G337" s="9" t="n">
        <f aca="false">G334*G336</f>
        <v>26176.9861094673</v>
      </c>
    </row>
    <row r="338" customFormat="false" ht="17.15" hidden="false" customHeight="false" outlineLevel="0" collapsed="false">
      <c r="A338" s="0" t="s">
        <v>573</v>
      </c>
      <c r="B338" s="0" t="s">
        <v>252</v>
      </c>
      <c r="C338" s="9" t="n">
        <f aca="false">opex25</f>
        <v>5276.852</v>
      </c>
      <c r="D338" s="9" t="n">
        <f aca="false">opex26</f>
        <v>5832.852</v>
      </c>
      <c r="E338" s="9" t="n">
        <f aca="false">(1-phi_lo)*opex25+phi_lo*opex25/a25_rev*E334</f>
        <v>6108.69565146524</v>
      </c>
      <c r="F338" s="9" t="n">
        <f aca="false">(1-phi_lo)*opex25+phi_lo*opex25/a25_rev*F334</f>
        <v>6465.02829862591</v>
      </c>
      <c r="G338" s="9" t="n">
        <f aca="false">(1-phi_lo)*opex25+phi_lo*opex25/a25_rev*G334</f>
        <v>6709.38558919744</v>
      </c>
      <c r="H338" s="5" t="s">
        <v>574</v>
      </c>
    </row>
    <row r="339" customFormat="false" ht="17.15" hidden="false" customHeight="false" outlineLevel="0" collapsed="false">
      <c r="A339" s="0" t="s">
        <v>465</v>
      </c>
      <c r="B339" s="0" t="s">
        <v>252</v>
      </c>
      <c r="C339" s="9" t="n">
        <f aca="false">C337-C338</f>
        <v>8562</v>
      </c>
      <c r="D339" s="9" t="n">
        <f aca="false">D337-D338</f>
        <v>11325</v>
      </c>
      <c r="E339" s="9" t="n">
        <f aca="false">E337-E338</f>
        <v>14894.6644670753</v>
      </c>
      <c r="F339" s="9" t="n">
        <f aca="false">F337-F338</f>
        <v>17607.3558354094</v>
      </c>
      <c r="G339" s="9" t="n">
        <f aca="false">G337-G338</f>
        <v>19467.6005202699</v>
      </c>
    </row>
    <row r="340" customFormat="false" ht="17.15" hidden="false" customHeight="false" outlineLevel="0" collapsed="false">
      <c r="A340" s="0" t="s">
        <v>544</v>
      </c>
      <c r="B340" s="0" t="s">
        <v>199</v>
      </c>
      <c r="C340" s="11" t="n">
        <f aca="false">C339/C334</f>
        <v>0.301818950930626</v>
      </c>
      <c r="D340" s="11" t="n">
        <f aca="false">D339/D334</f>
        <v>0.330300113745735</v>
      </c>
      <c r="E340" s="11" t="n">
        <f aca="false">E339/E334</f>
        <v>0.362004609953662</v>
      </c>
      <c r="F340" s="11" t="n">
        <f aca="false">F339/F334</f>
        <v>0.377693077743422</v>
      </c>
      <c r="G340" s="11" t="n">
        <f aca="false">G339/G334</f>
        <v>0.386480924560228</v>
      </c>
    </row>
    <row r="341" customFormat="false" ht="17.15" hidden="false" customHeight="false" outlineLevel="0" collapsed="false">
      <c r="A341" s="0" t="s">
        <v>470</v>
      </c>
      <c r="B341" s="0" t="s">
        <v>252</v>
      </c>
      <c r="C341" s="9" t="n">
        <f aca="false">a25_ni</f>
        <v>7607</v>
      </c>
      <c r="D341" s="9" t="n">
        <f aca="false">an_ni</f>
        <v>10179.92</v>
      </c>
      <c r="E341" s="9" t="n">
        <f aca="false">E339*nioi</f>
        <v>13233.3231255597</v>
      </c>
      <c r="F341" s="9" t="n">
        <f aca="false">F339*nioi</f>
        <v>15643.4426348937</v>
      </c>
      <c r="G341" s="9" t="n">
        <f aca="false">G339*nioi</f>
        <v>17296.1968182309</v>
      </c>
    </row>
    <row r="342" customFormat="false" ht="15" hidden="false" customHeight="false" outlineLevel="0" collapsed="false">
      <c r="A342" s="5" t="s">
        <v>575</v>
      </c>
      <c r="B342" s="5" t="s">
        <v>328</v>
      </c>
      <c r="C342" s="23" t="n">
        <f aca="false">a25_sh</f>
        <v>808</v>
      </c>
      <c r="D342" s="23" t="n">
        <f aca="false">an_sh</f>
        <v>797.799373040752</v>
      </c>
      <c r="E342" s="23" t="n">
        <f aca="false">$D342*(1-bb)^1</f>
        <v>789.821379310345</v>
      </c>
      <c r="F342" s="23" t="n">
        <f aca="false">$D342*(1-bb)^2</f>
        <v>781.923165517241</v>
      </c>
      <c r="G342" s="23" t="n">
        <f aca="false">$D342*(1-bb)^3</f>
        <v>774.103933862069</v>
      </c>
    </row>
    <row r="343" customFormat="false" ht="17.15" hidden="false" customHeight="false" outlineLevel="0" collapsed="false">
      <c r="A343" s="0" t="s">
        <v>576</v>
      </c>
      <c r="B343" s="0" t="s">
        <v>341</v>
      </c>
      <c r="C343" s="14" t="n">
        <f aca="false">a25_eps</f>
        <v>9.42</v>
      </c>
      <c r="D343" s="14" t="n">
        <f aca="false">an_eps</f>
        <v>12.76</v>
      </c>
      <c r="E343" s="14" t="n">
        <f aca="false">E341/E342</f>
        <v>16.7548302340394</v>
      </c>
      <c r="F343" s="14" t="n">
        <f aca="false">F341/F342</f>
        <v>20.0063680483818</v>
      </c>
      <c r="G343" s="14" t="n">
        <f aca="false">G341/G342</f>
        <v>22.3435071979789</v>
      </c>
      <c r="H343" s="8" t="s">
        <v>577</v>
      </c>
    </row>
    <row r="344" customFormat="false" ht="17.15" hidden="false" customHeight="false" outlineLevel="0" collapsed="false">
      <c r="A344" s="5" t="s">
        <v>578</v>
      </c>
      <c r="B344" s="0" t="s">
        <v>199</v>
      </c>
      <c r="D344" s="11" t="n">
        <f aca="false">D328/1000/(D323+D324+D325)</f>
        <v>0.170398285527431</v>
      </c>
      <c r="E344" s="11" t="n">
        <f aca="false">E328/1000/(E323+E324+E325)</f>
        <v>0.170159646735473</v>
      </c>
      <c r="F344" s="11" t="n">
        <f aca="false">F328/1000/(F323+F324+F325)</f>
        <v>0.170084890448361</v>
      </c>
      <c r="G344" s="11" t="n">
        <f aca="false">G328/1000/(G323+G324+G325)</f>
        <v>0.169996548109528</v>
      </c>
      <c r="H344" s="5" t="s">
        <v>579</v>
      </c>
    </row>
    <row r="348" customFormat="false" ht="17.15" hidden="false" customHeight="false" outlineLevel="0" collapsed="false">
      <c r="A348" s="3" t="s">
        <v>924</v>
      </c>
    </row>
    <row r="349" customFormat="false" ht="15" hidden="false" customHeight="false" outlineLevel="0" collapsed="false">
      <c r="A349" s="6" t="s">
        <v>19</v>
      </c>
      <c r="B349" s="6" t="s">
        <v>20</v>
      </c>
      <c r="C349" s="15" t="s">
        <v>513</v>
      </c>
      <c r="D349" s="15" t="s">
        <v>514</v>
      </c>
      <c r="E349" s="15" t="s">
        <v>515</v>
      </c>
      <c r="F349" s="15" t="s">
        <v>516</v>
      </c>
      <c r="G349" s="15" t="s">
        <v>517</v>
      </c>
      <c r="H349" s="6" t="s">
        <v>518</v>
      </c>
    </row>
    <row r="350" customFormat="false" ht="17.15" hidden="false" customHeight="false" outlineLevel="0" collapsed="false">
      <c r="A350" s="1" t="s">
        <v>549</v>
      </c>
    </row>
    <row r="351" customFormat="false" ht="17.15" hidden="false" customHeight="false" outlineLevel="0" collapsed="false">
      <c r="A351" s="5" t="s">
        <v>550</v>
      </c>
      <c r="B351" s="0" t="s">
        <v>30</v>
      </c>
      <c r="C351" s="22" t="n">
        <f aca="false">laA_25+loA_25+ofA_25</f>
        <v>78.3481206981793</v>
      </c>
      <c r="D351" s="22" t="n">
        <f aca="false">laA_26+loA_26+ofA_26</f>
        <v>99.7111533272534</v>
      </c>
      <c r="E351" s="22" t="n">
        <f aca="false">laA_27+loA_27+ofA_27</f>
        <v>116.288709321091</v>
      </c>
      <c r="F351" s="22" t="n">
        <f aca="false">laA_28+loA_28+ofA_28</f>
        <v>130.886404842261</v>
      </c>
      <c r="G351" s="22" t="n">
        <f aca="false">laA_29+loA_29+ofA_29</f>
        <v>139.398079992203</v>
      </c>
    </row>
    <row r="352" customFormat="false" ht="17.15" hidden="false" customHeight="false" outlineLevel="0" collapsed="false">
      <c r="A352" s="0" t="s">
        <v>551</v>
      </c>
      <c r="B352" s="0" t="s">
        <v>30</v>
      </c>
      <c r="C352" s="22" t="n">
        <f aca="false">drA_25</f>
        <v>26.3761091658243</v>
      </c>
      <c r="D352" s="22" t="n">
        <f aca="false">drA_26</f>
        <v>41.8742847275048</v>
      </c>
      <c r="E352" s="22" t="n">
        <f aca="false">drA_27</f>
        <v>53.2587328153375</v>
      </c>
      <c r="F352" s="22" t="n">
        <f aca="false">drA_28</f>
        <v>59.5608998372386</v>
      </c>
      <c r="G352" s="22" t="n">
        <f aca="false">drA_29</f>
        <v>61.8312930912183</v>
      </c>
    </row>
    <row r="353" customFormat="false" ht="15" hidden="false" customHeight="false" outlineLevel="0" collapsed="false">
      <c r="A353" s="0" t="s">
        <v>552</v>
      </c>
      <c r="B353" s="0" t="s">
        <v>30</v>
      </c>
      <c r="C353" s="22" t="n">
        <f aca="false">ndA_25</f>
        <v>12.1726019800256</v>
      </c>
      <c r="D353" s="22" t="n">
        <f aca="false">ndA_26</f>
        <v>18.4595763045422</v>
      </c>
      <c r="E353" s="22" t="n">
        <f aca="false">ndA_27</f>
        <v>23.2480272411321</v>
      </c>
      <c r="F353" s="22" t="n">
        <f aca="false">ndA_28</f>
        <v>26.181321629459</v>
      </c>
      <c r="G353" s="22" t="n">
        <f aca="false">ndA_29</f>
        <v>27.674312771805</v>
      </c>
    </row>
    <row r="354" customFormat="false" ht="17.15" hidden="false" customHeight="false" outlineLevel="0" collapsed="false">
      <c r="A354" s="1" t="s">
        <v>553</v>
      </c>
    </row>
    <row r="355" customFormat="false" ht="17.15" hidden="false" customHeight="false" outlineLevel="0" collapsed="false">
      <c r="A355" s="5" t="s">
        <v>554</v>
      </c>
      <c r="B355" s="0" t="s">
        <v>30</v>
      </c>
      <c r="D355" s="22" t="n">
        <f aca="false">fyw*C351+(1-fyw)*D351</f>
        <v>96.1506478890744</v>
      </c>
      <c r="E355" s="22" t="n">
        <f aca="false">fyw*D351+(1-fyw)*E351</f>
        <v>113.525783322118</v>
      </c>
      <c r="F355" s="22" t="n">
        <f aca="false">fyw*E351+(1-fyw)*F351</f>
        <v>128.453455588732</v>
      </c>
      <c r="G355" s="22" t="n">
        <f aca="false">fyw*F351+(1-fyw)*G351</f>
        <v>137.979467467212</v>
      </c>
    </row>
    <row r="356" customFormat="false" ht="17.15" hidden="false" customHeight="false" outlineLevel="0" collapsed="false">
      <c r="A356" s="0" t="s">
        <v>555</v>
      </c>
      <c r="B356" s="0" t="s">
        <v>30</v>
      </c>
      <c r="D356" s="22" t="n">
        <f aca="false">fyw*C352+(1-fyw)*D352</f>
        <v>39.2912554672247</v>
      </c>
      <c r="E356" s="22" t="n">
        <f aca="false">fyw*D352+(1-fyw)*E352</f>
        <v>51.3613248006987</v>
      </c>
      <c r="F356" s="22" t="n">
        <f aca="false">fyw*E352+(1-fyw)*F352</f>
        <v>58.5105386669218</v>
      </c>
      <c r="G356" s="22" t="n">
        <f aca="false">fyw*F352+(1-fyw)*G352</f>
        <v>61.452894215555</v>
      </c>
    </row>
    <row r="357" customFormat="false" ht="15" hidden="false" customHeight="false" outlineLevel="0" collapsed="false">
      <c r="A357" s="0" t="s">
        <v>556</v>
      </c>
      <c r="B357" s="0" t="s">
        <v>30</v>
      </c>
      <c r="D357" s="22" t="n">
        <f aca="false">fyw*C353+(1-fyw)*D353</f>
        <v>17.4117472504561</v>
      </c>
      <c r="E357" s="22" t="n">
        <f aca="false">fyw*D353+(1-fyw)*E353</f>
        <v>22.4499520850338</v>
      </c>
      <c r="F357" s="22" t="n">
        <f aca="false">fyw*E353+(1-fyw)*F353</f>
        <v>25.6924392314045</v>
      </c>
      <c r="G357" s="22" t="n">
        <f aca="false">fyw*F353+(1-fyw)*G353</f>
        <v>27.4254809147473</v>
      </c>
    </row>
    <row r="358" customFormat="false" ht="17.15" hidden="false" customHeight="false" outlineLevel="0" collapsed="false">
      <c r="A358" s="5" t="s">
        <v>557</v>
      </c>
      <c r="B358" s="0" t="s">
        <v>246</v>
      </c>
      <c r="D358" s="21" t="n">
        <f aca="false">m_fl*D355/$D355+m_dr*D356/$D356+m_nd*D357/$D357</f>
        <v>1</v>
      </c>
      <c r="E358" s="21" t="n">
        <f aca="false">m_fl*E355/$D355+m_dr*E356/$D356+m_nd*E357/$D357</f>
        <v>1.22388113282</v>
      </c>
      <c r="F358" s="21" t="n">
        <f aca="false">m_fl*F355/$D355+m_dr*F356/$D356+m_nd*F357/$D357</f>
        <v>1.3886833368957</v>
      </c>
      <c r="G358" s="21" t="n">
        <f aca="false">m_fl*G355/$D355+m_dr*G356/$D356+m_nd*G357/$D357</f>
        <v>1.48065154546388</v>
      </c>
      <c r="H358" s="8" t="s">
        <v>558</v>
      </c>
    </row>
    <row r="359" customFormat="false" ht="17.15" hidden="false" customHeight="false" outlineLevel="0" collapsed="false">
      <c r="A359" s="1" t="s">
        <v>559</v>
      </c>
    </row>
    <row r="360" customFormat="false" ht="17.15" hidden="false" customHeight="false" outlineLevel="0" collapsed="false">
      <c r="A360" s="5" t="s">
        <v>560</v>
      </c>
      <c r="B360" s="0" t="s">
        <v>252</v>
      </c>
      <c r="C360" s="9" t="n">
        <f aca="false">a25_ss</f>
        <v>21438.5432098765</v>
      </c>
      <c r="D360" s="9" t="n">
        <f aca="false">an_ss</f>
        <v>26046</v>
      </c>
      <c r="E360" s="9" t="n">
        <f aca="false">$D360*E358*sf</f>
        <v>31877.2079854298</v>
      </c>
      <c r="F360" s="9" t="n">
        <f aca="false">$D360*F358*sf</f>
        <v>36169.6461927855</v>
      </c>
      <c r="G360" s="9" t="n">
        <f aca="false">$D360*G358*sf</f>
        <v>38565.0501531522</v>
      </c>
      <c r="H360" s="8" t="s">
        <v>561</v>
      </c>
    </row>
    <row r="361" customFormat="false" ht="17.15" hidden="false" customHeight="false" outlineLevel="0" collapsed="false">
      <c r="A361" s="0" t="s">
        <v>562</v>
      </c>
      <c r="B361" s="0" t="s">
        <v>252</v>
      </c>
      <c r="C361" s="9" t="n">
        <f aca="false">a25_ags</f>
        <v>5744.19672131148</v>
      </c>
      <c r="D361" s="9" t="n">
        <f aca="false">an_ags</f>
        <v>6845</v>
      </c>
      <c r="E361" s="9" t="n">
        <f aca="false">D361*(1+g_ags_A)</f>
        <v>7871.75</v>
      </c>
      <c r="F361" s="9" t="n">
        <f aca="false">E361*(1+g_ags_A)</f>
        <v>9052.5125</v>
      </c>
      <c r="G361" s="9" t="n">
        <f aca="false">F361*(1+g_ags_A)</f>
        <v>10410.389375</v>
      </c>
    </row>
    <row r="362" customFormat="false" ht="17.15" hidden="false" customHeight="false" outlineLevel="0" collapsed="false">
      <c r="A362" s="5" t="s">
        <v>563</v>
      </c>
      <c r="B362" s="0" t="s">
        <v>252</v>
      </c>
      <c r="C362" s="9" t="n">
        <v>0</v>
      </c>
      <c r="D362" s="9" t="n">
        <v>0</v>
      </c>
      <c r="E362" s="9" t="n">
        <f aca="false">-aff_hit*aff_A-0*cn_sh*(E360+E361)</f>
        <v>-0</v>
      </c>
      <c r="F362" s="9" t="n">
        <f aca="false">-aff_hit*aff_A-0*cn_sh*(F360+F361)</f>
        <v>-0</v>
      </c>
      <c r="G362" s="9" t="n">
        <f aca="false">-aff_hit*aff_A-0*cn_sh*(G360+G361)</f>
        <v>-0</v>
      </c>
      <c r="H362" s="5" t="s">
        <v>564</v>
      </c>
    </row>
    <row r="363" customFormat="false" ht="17.15" hidden="false" customHeight="false" outlineLevel="0" collapsed="false">
      <c r="A363" s="5" t="s">
        <v>565</v>
      </c>
      <c r="B363" s="0" t="s">
        <v>252</v>
      </c>
      <c r="C363" s="9" t="n">
        <f aca="false">C360+C362*C360/(C360+C361)</f>
        <v>21438.5432098765</v>
      </c>
      <c r="D363" s="9" t="n">
        <f aca="false">D360+D362*D360/(D360+D361)</f>
        <v>26046</v>
      </c>
      <c r="E363" s="9" t="n">
        <f aca="false">E360+E362*E360/(E360+E361)</f>
        <v>31877.2079854298</v>
      </c>
      <c r="F363" s="9" t="n">
        <f aca="false">F360+F362*F360/(F360+F361)</f>
        <v>36169.6461927855</v>
      </c>
      <c r="G363" s="9" t="n">
        <f aca="false">G360+G362*G360/(G360+G361)</f>
        <v>38565.0501531522</v>
      </c>
      <c r="H363" s="5" t="s">
        <v>566</v>
      </c>
    </row>
    <row r="364" customFormat="false" ht="17.15" hidden="false" customHeight="false" outlineLevel="0" collapsed="false">
      <c r="A364" s="0" t="s">
        <v>567</v>
      </c>
      <c r="B364" s="0" t="s">
        <v>252</v>
      </c>
      <c r="C364" s="9" t="n">
        <f aca="false">C361+C362*C361/(C360+C361)</f>
        <v>5744.19672131148</v>
      </c>
      <c r="D364" s="9" t="n">
        <f aca="false">D361+D362*D361/(D360+D361)</f>
        <v>6845</v>
      </c>
      <c r="E364" s="9" t="n">
        <f aca="false">E361+E362*E361/(E360+E361)</f>
        <v>7871.75</v>
      </c>
      <c r="F364" s="9" t="n">
        <f aca="false">F361+F362*F361/(F360+F361)</f>
        <v>9052.5125</v>
      </c>
      <c r="G364" s="9" t="n">
        <f aca="false">G361+G362*G361/(G360+G361)</f>
        <v>10410.389375</v>
      </c>
      <c r="H364" s="5" t="s">
        <v>568</v>
      </c>
    </row>
    <row r="365" customFormat="false" ht="17.15" hidden="false" customHeight="false" outlineLevel="0" collapsed="false">
      <c r="A365" s="5" t="s">
        <v>569</v>
      </c>
      <c r="B365" s="0" t="s">
        <v>252</v>
      </c>
      <c r="C365" s="9" t="n">
        <f aca="false">a25_oth</f>
        <v>1185.26006881198</v>
      </c>
      <c r="D365" s="9" t="n">
        <f aca="false">an_oth</f>
        <v>1396</v>
      </c>
      <c r="E365" s="9" t="n">
        <f aca="false">D365*(1+g_oth_A)</f>
        <v>1396</v>
      </c>
      <c r="F365" s="9" t="n">
        <f aca="false">E365*(1+g_oth_A)</f>
        <v>1396</v>
      </c>
      <c r="G365" s="9" t="n">
        <f aca="false">F365*(1+g_oth_A)</f>
        <v>1396</v>
      </c>
      <c r="H365" s="5" t="s">
        <v>570</v>
      </c>
    </row>
    <row r="366" customFormat="false" ht="15" hidden="false" customHeight="false" outlineLevel="0" collapsed="false">
      <c r="A366" s="5" t="s">
        <v>454</v>
      </c>
      <c r="B366" s="0" t="s">
        <v>252</v>
      </c>
      <c r="C366" s="9" t="n">
        <f aca="false">C363+C364+C365</f>
        <v>28368</v>
      </c>
      <c r="D366" s="9" t="n">
        <f aca="false">D363+D364+D365</f>
        <v>34287</v>
      </c>
      <c r="E366" s="9" t="n">
        <f aca="false">E363+E364+E365</f>
        <v>41144.9579854298</v>
      </c>
      <c r="F366" s="9" t="n">
        <f aca="false">F363+F364+F365</f>
        <v>46618.1586927855</v>
      </c>
      <c r="G366" s="9" t="n">
        <f aca="false">G363+G364+G365</f>
        <v>50371.4395281522</v>
      </c>
    </row>
    <row r="367" customFormat="false" ht="17.15" hidden="false" customHeight="false" outlineLevel="0" collapsed="false">
      <c r="A367" s="5" t="s">
        <v>571</v>
      </c>
      <c r="B367" s="0" t="s">
        <v>252</v>
      </c>
      <c r="C367" s="23" t="n">
        <f aca="false">C363+C364+C365-a25_rev</f>
        <v>0</v>
      </c>
      <c r="D367" s="23" t="n">
        <f aca="false">D363+D364+D365-an_rev</f>
        <v>0</v>
      </c>
    </row>
    <row r="368" customFormat="false" ht="17.15" hidden="false" customHeight="false" outlineLevel="0" collapsed="false">
      <c r="A368" s="0" t="s">
        <v>460</v>
      </c>
      <c r="B368" s="0" t="s">
        <v>199</v>
      </c>
      <c r="C368" s="11" t="n">
        <f aca="false">a25_gp/a25_rev</f>
        <v>0.487833192329385</v>
      </c>
      <c r="D368" s="11" t="n">
        <f aca="false">an_gp/an_rev</f>
        <v>0.500418584303089</v>
      </c>
      <c r="E368" s="11" t="n">
        <f aca="false">1-(cF+cv*E366)/E366</f>
        <v>0.510472270404997</v>
      </c>
      <c r="F368" s="11" t="n">
        <f aca="false">1-(cF+cv*F366)/F366</f>
        <v>0.516373550758896</v>
      </c>
      <c r="G368" s="11" t="n">
        <f aca="false">1-(cF+cv*G366)/G366</f>
        <v>0.519679134737399</v>
      </c>
      <c r="H368" s="5" t="s">
        <v>572</v>
      </c>
    </row>
    <row r="369" customFormat="false" ht="17.15" hidden="false" customHeight="false" outlineLevel="0" collapsed="false">
      <c r="A369" s="0" t="s">
        <v>463</v>
      </c>
      <c r="B369" s="0" t="s">
        <v>252</v>
      </c>
      <c r="C369" s="9" t="n">
        <f aca="false">C366*C368</f>
        <v>13838.852</v>
      </c>
      <c r="D369" s="9" t="n">
        <f aca="false">D366*D368</f>
        <v>17157.852</v>
      </c>
      <c r="E369" s="9" t="n">
        <f aca="false">E366*E368</f>
        <v>21003.3601185406</v>
      </c>
      <c r="F369" s="9" t="n">
        <f aca="false">F366*F368</f>
        <v>24072.3841340353</v>
      </c>
      <c r="G369" s="9" t="n">
        <f aca="false">G366*G368</f>
        <v>26176.9861094673</v>
      </c>
    </row>
    <row r="370" customFormat="false" ht="17.15" hidden="false" customHeight="false" outlineLevel="0" collapsed="false">
      <c r="A370" s="0" t="s">
        <v>573</v>
      </c>
      <c r="B370" s="0" t="s">
        <v>252</v>
      </c>
      <c r="C370" s="9" t="n">
        <f aca="false">opex25</f>
        <v>5276.852</v>
      </c>
      <c r="D370" s="9" t="n">
        <f aca="false">opex26</f>
        <v>5832.852</v>
      </c>
      <c r="E370" s="9" t="n">
        <f aca="false">(1-phi_hi)*opex25+phi_hi*opex25/a25_rev*E366</f>
        <v>7059.37411028266</v>
      </c>
      <c r="F370" s="9" t="n">
        <f aca="false">(1-phi_hi)*opex25+phi_hi*opex25/a25_rev*F366</f>
        <v>7822.9440684841</v>
      </c>
      <c r="G370" s="9" t="n">
        <f aca="false">(1-phi_hi)*opex25+phi_hi*opex25/a25_rev*G366</f>
        <v>8346.56683399452</v>
      </c>
      <c r="H370" s="5" t="s">
        <v>574</v>
      </c>
    </row>
    <row r="371" customFormat="false" ht="17.15" hidden="false" customHeight="false" outlineLevel="0" collapsed="false">
      <c r="A371" s="0" t="s">
        <v>465</v>
      </c>
      <c r="B371" s="0" t="s">
        <v>252</v>
      </c>
      <c r="C371" s="9" t="n">
        <f aca="false">C369-C370</f>
        <v>8562</v>
      </c>
      <c r="D371" s="9" t="n">
        <f aca="false">D369-D370</f>
        <v>11325</v>
      </c>
      <c r="E371" s="9" t="n">
        <f aca="false">E369-E370</f>
        <v>13943.9860082579</v>
      </c>
      <c r="F371" s="9" t="n">
        <f aca="false">F369-F370</f>
        <v>16249.4400655512</v>
      </c>
      <c r="G371" s="9" t="n">
        <f aca="false">G369-G370</f>
        <v>17830.4192754728</v>
      </c>
    </row>
    <row r="372" customFormat="false" ht="17.15" hidden="false" customHeight="false" outlineLevel="0" collapsed="false">
      <c r="A372" s="0" t="s">
        <v>544</v>
      </c>
      <c r="B372" s="0" t="s">
        <v>199</v>
      </c>
      <c r="C372" s="11" t="n">
        <f aca="false">C371/C366</f>
        <v>0.301818950930626</v>
      </c>
      <c r="D372" s="11" t="n">
        <f aca="false">D371/D366</f>
        <v>0.330300113745735</v>
      </c>
      <c r="E372" s="11" t="n">
        <f aca="false">E371/E366</f>
        <v>0.338899021678324</v>
      </c>
      <c r="F372" s="11" t="n">
        <f aca="false">F371/F366</f>
        <v>0.348564604892169</v>
      </c>
      <c r="G372" s="11" t="n">
        <f aca="false">G371/G366</f>
        <v>0.353978751500789</v>
      </c>
    </row>
    <row r="373" customFormat="false" ht="17.15" hidden="false" customHeight="false" outlineLevel="0" collapsed="false">
      <c r="A373" s="0" t="s">
        <v>470</v>
      </c>
      <c r="B373" s="0" t="s">
        <v>252</v>
      </c>
      <c r="C373" s="9" t="n">
        <f aca="false">a25_ni</f>
        <v>7607</v>
      </c>
      <c r="D373" s="9" t="n">
        <f aca="false">an_ni</f>
        <v>10179.92</v>
      </c>
      <c r="E373" s="9" t="n">
        <f aca="false">E371*nioi</f>
        <v>12388.682733569</v>
      </c>
      <c r="F373" s="9" t="n">
        <f aca="false">F371*nioi</f>
        <v>14436.9879208886</v>
      </c>
      <c r="G373" s="9" t="n">
        <f aca="false">G371*nioi</f>
        <v>15841.6257216213</v>
      </c>
    </row>
    <row r="374" customFormat="false" ht="15" hidden="false" customHeight="false" outlineLevel="0" collapsed="false">
      <c r="A374" s="5" t="s">
        <v>575</v>
      </c>
      <c r="B374" s="5" t="s">
        <v>328</v>
      </c>
      <c r="C374" s="23" t="n">
        <f aca="false">a25_sh</f>
        <v>808</v>
      </c>
      <c r="D374" s="23" t="n">
        <f aca="false">an_sh</f>
        <v>797.799373040752</v>
      </c>
      <c r="E374" s="23" t="n">
        <f aca="false">$D374*(1-bb)^1</f>
        <v>789.821379310345</v>
      </c>
      <c r="F374" s="23" t="n">
        <f aca="false">$D374*(1-bb)^2</f>
        <v>781.923165517241</v>
      </c>
      <c r="G374" s="23" t="n">
        <f aca="false">$D374*(1-bb)^3</f>
        <v>774.103933862069</v>
      </c>
    </row>
    <row r="375" customFormat="false" ht="17.15" hidden="false" customHeight="false" outlineLevel="0" collapsed="false">
      <c r="A375" s="0" t="s">
        <v>576</v>
      </c>
      <c r="B375" s="0" t="s">
        <v>341</v>
      </c>
      <c r="C375" s="14" t="n">
        <f aca="false">a25_eps</f>
        <v>9.42</v>
      </c>
      <c r="D375" s="14" t="n">
        <f aca="false">an_eps</f>
        <v>12.76</v>
      </c>
      <c r="E375" s="14" t="n">
        <f aca="false">E373/E374</f>
        <v>15.685423385711</v>
      </c>
      <c r="F375" s="14" t="n">
        <f aca="false">F373/F374</f>
        <v>18.4634354851714</v>
      </c>
      <c r="G375" s="14" t="n">
        <f aca="false">G373/G374</f>
        <v>20.4644686955486</v>
      </c>
      <c r="H375" s="8" t="s">
        <v>577</v>
      </c>
    </row>
    <row r="376" customFormat="false" ht="17.15" hidden="false" customHeight="false" outlineLevel="0" collapsed="false">
      <c r="A376" s="5" t="s">
        <v>578</v>
      </c>
      <c r="B376" s="0" t="s">
        <v>199</v>
      </c>
      <c r="D376" s="11" t="n">
        <f aca="false">D360/1000/(D355+D356+D357)</f>
        <v>0.170398285527431</v>
      </c>
      <c r="E376" s="11" t="n">
        <f aca="false">E360/1000/(E355+E356+E357)</f>
        <v>0.170159646735473</v>
      </c>
      <c r="F376" s="11" t="n">
        <f aca="false">F360/1000/(F355+F356+F357)</f>
        <v>0.170084890448361</v>
      </c>
      <c r="G376" s="11" t="n">
        <f aca="false">G360/1000/(G355+G356+G357)</f>
        <v>0.169996548109528</v>
      </c>
      <c r="H376" s="5" t="s">
        <v>579</v>
      </c>
    </row>
    <row r="380" customFormat="false" ht="17.15" hidden="false" customHeight="false" outlineLevel="0" collapsed="false">
      <c r="A380" s="3" t="s">
        <v>925</v>
      </c>
    </row>
    <row r="381" customFormat="false" ht="15" hidden="false" customHeight="false" outlineLevel="0" collapsed="false">
      <c r="A381" s="6" t="s">
        <v>19</v>
      </c>
      <c r="B381" s="6" t="s">
        <v>20</v>
      </c>
      <c r="C381" s="15" t="s">
        <v>513</v>
      </c>
      <c r="D381" s="15" t="s">
        <v>514</v>
      </c>
      <c r="E381" s="15" t="s">
        <v>515</v>
      </c>
      <c r="F381" s="15" t="s">
        <v>516</v>
      </c>
      <c r="G381" s="15" t="s">
        <v>517</v>
      </c>
      <c r="H381" s="6" t="s">
        <v>518</v>
      </c>
    </row>
    <row r="382" customFormat="false" ht="17.15" hidden="false" customHeight="false" outlineLevel="0" collapsed="false">
      <c r="A382" s="1" t="s">
        <v>549</v>
      </c>
    </row>
    <row r="383" customFormat="false" ht="17.15" hidden="false" customHeight="false" outlineLevel="0" collapsed="false">
      <c r="A383" s="5" t="s">
        <v>550</v>
      </c>
      <c r="B383" s="0" t="s">
        <v>30</v>
      </c>
      <c r="C383" s="22" t="n">
        <f aca="false">laA_25+loA_25+ofA_25</f>
        <v>78.3481206981793</v>
      </c>
      <c r="D383" s="22" t="n">
        <f aca="false">laA_26+loA_26+ofA_26</f>
        <v>99.7111533272534</v>
      </c>
      <c r="E383" s="22" t="n">
        <f aca="false">laA_27+loA_27+ofA_27</f>
        <v>116.288709321091</v>
      </c>
      <c r="F383" s="22" t="n">
        <f aca="false">laA_28+loA_28+ofA_28</f>
        <v>130.886404842261</v>
      </c>
      <c r="G383" s="22" t="n">
        <f aca="false">laA_29+loA_29+ofA_29</f>
        <v>139.398079992203</v>
      </c>
    </row>
    <row r="384" customFormat="false" ht="17.15" hidden="false" customHeight="false" outlineLevel="0" collapsed="false">
      <c r="A384" s="0" t="s">
        <v>551</v>
      </c>
      <c r="B384" s="0" t="s">
        <v>30</v>
      </c>
      <c r="C384" s="22" t="n">
        <f aca="false">drA_25</f>
        <v>26.3761091658243</v>
      </c>
      <c r="D384" s="22" t="n">
        <f aca="false">drA_26</f>
        <v>41.8742847275048</v>
      </c>
      <c r="E384" s="22" t="n">
        <f aca="false">drA_27</f>
        <v>53.2587328153375</v>
      </c>
      <c r="F384" s="22" t="n">
        <f aca="false">drA_28</f>
        <v>59.5608998372386</v>
      </c>
      <c r="G384" s="22" t="n">
        <f aca="false">drA_29</f>
        <v>61.8312930912183</v>
      </c>
    </row>
    <row r="385" customFormat="false" ht="15" hidden="false" customHeight="false" outlineLevel="0" collapsed="false">
      <c r="A385" s="0" t="s">
        <v>552</v>
      </c>
      <c r="B385" s="0" t="s">
        <v>30</v>
      </c>
      <c r="C385" s="22" t="n">
        <f aca="false">ndA_25</f>
        <v>12.1726019800256</v>
      </c>
      <c r="D385" s="22" t="n">
        <f aca="false">ndA_26</f>
        <v>18.4595763045422</v>
      </c>
      <c r="E385" s="22" t="n">
        <f aca="false">ndA_27</f>
        <v>23.2480272411321</v>
      </c>
      <c r="F385" s="22" t="n">
        <f aca="false">ndA_28</f>
        <v>26.181321629459</v>
      </c>
      <c r="G385" s="22" t="n">
        <f aca="false">ndA_29</f>
        <v>27.674312771805</v>
      </c>
    </row>
    <row r="386" customFormat="false" ht="17.15" hidden="false" customHeight="false" outlineLevel="0" collapsed="false">
      <c r="A386" s="1" t="s">
        <v>553</v>
      </c>
    </row>
    <row r="387" customFormat="false" ht="17.15" hidden="false" customHeight="false" outlineLevel="0" collapsed="false">
      <c r="A387" s="5" t="s">
        <v>554</v>
      </c>
      <c r="B387" s="0" t="s">
        <v>30</v>
      </c>
      <c r="D387" s="22" t="n">
        <f aca="false">fyw*C383+(1-fyw)*D383</f>
        <v>96.1506478890744</v>
      </c>
      <c r="E387" s="22" t="n">
        <f aca="false">fyw*D383+(1-fyw)*E383</f>
        <v>113.525783322118</v>
      </c>
      <c r="F387" s="22" t="n">
        <f aca="false">fyw*E383+(1-fyw)*F383</f>
        <v>128.453455588732</v>
      </c>
      <c r="G387" s="22" t="n">
        <f aca="false">fyw*F383+(1-fyw)*G383</f>
        <v>137.979467467212</v>
      </c>
    </row>
    <row r="388" customFormat="false" ht="17.15" hidden="false" customHeight="false" outlineLevel="0" collapsed="false">
      <c r="A388" s="0" t="s">
        <v>555</v>
      </c>
      <c r="B388" s="0" t="s">
        <v>30</v>
      </c>
      <c r="D388" s="22" t="n">
        <f aca="false">fyw*C384+(1-fyw)*D384</f>
        <v>39.2912554672247</v>
      </c>
      <c r="E388" s="22" t="n">
        <f aca="false">fyw*D384+(1-fyw)*E384</f>
        <v>51.3613248006987</v>
      </c>
      <c r="F388" s="22" t="n">
        <f aca="false">fyw*E384+(1-fyw)*F384</f>
        <v>58.5105386669218</v>
      </c>
      <c r="G388" s="22" t="n">
        <f aca="false">fyw*F384+(1-fyw)*G384</f>
        <v>61.452894215555</v>
      </c>
    </row>
    <row r="389" customFormat="false" ht="15" hidden="false" customHeight="false" outlineLevel="0" collapsed="false">
      <c r="A389" s="0" t="s">
        <v>556</v>
      </c>
      <c r="B389" s="0" t="s">
        <v>30</v>
      </c>
      <c r="D389" s="22" t="n">
        <f aca="false">fyw*C385+(1-fyw)*D385</f>
        <v>17.4117472504561</v>
      </c>
      <c r="E389" s="22" t="n">
        <f aca="false">fyw*D385+(1-fyw)*E385</f>
        <v>22.4499520850338</v>
      </c>
      <c r="F389" s="22" t="n">
        <f aca="false">fyw*E385+(1-fyw)*F385</f>
        <v>25.6924392314045</v>
      </c>
      <c r="G389" s="22" t="n">
        <f aca="false">fyw*F385+(1-fyw)*G385</f>
        <v>27.4254809147473</v>
      </c>
    </row>
    <row r="390" customFormat="false" ht="17.15" hidden="false" customHeight="false" outlineLevel="0" collapsed="false">
      <c r="A390" s="5" t="s">
        <v>557</v>
      </c>
      <c r="B390" s="0" t="s">
        <v>246</v>
      </c>
      <c r="D390" s="21" t="n">
        <f aca="false">m_fl*D387/$D387+m_dr*D388/$D388+m_nd*D389/$D389</f>
        <v>1</v>
      </c>
      <c r="E390" s="21" t="n">
        <f aca="false">m_fl*E387/$D387+m_dr*E388/$D388+m_nd*E389/$D389</f>
        <v>1.22388113282</v>
      </c>
      <c r="F390" s="21" t="n">
        <f aca="false">m_fl*F387/$D387+m_dr*F388/$D388+m_nd*F389/$D389</f>
        <v>1.3886833368957</v>
      </c>
      <c r="G390" s="21" t="n">
        <f aca="false">m_fl*G387/$D387+m_dr*G388/$D388+m_nd*G389/$D389</f>
        <v>1.48065154546388</v>
      </c>
      <c r="H390" s="8" t="s">
        <v>558</v>
      </c>
    </row>
    <row r="391" customFormat="false" ht="17.15" hidden="false" customHeight="false" outlineLevel="0" collapsed="false">
      <c r="A391" s="1" t="s">
        <v>559</v>
      </c>
    </row>
    <row r="392" customFormat="false" ht="17.15" hidden="false" customHeight="false" outlineLevel="0" collapsed="false">
      <c r="A392" s="5" t="s">
        <v>560</v>
      </c>
      <c r="B392" s="0" t="s">
        <v>252</v>
      </c>
      <c r="C392" s="9" t="n">
        <f aca="false">a25_ss</f>
        <v>21438.5432098765</v>
      </c>
      <c r="D392" s="9" t="n">
        <f aca="false">an_ss</f>
        <v>26046</v>
      </c>
      <c r="E392" s="9" t="n">
        <f aca="false">$D392*E390*sf</f>
        <v>31877.2079854298</v>
      </c>
      <c r="F392" s="9" t="n">
        <f aca="false">$D392*F390*sf</f>
        <v>36169.6461927855</v>
      </c>
      <c r="G392" s="9" t="n">
        <f aca="false">$D392*G390*sf</f>
        <v>38565.0501531522</v>
      </c>
      <c r="H392" s="8" t="s">
        <v>561</v>
      </c>
    </row>
    <row r="393" customFormat="false" ht="17.15" hidden="false" customHeight="false" outlineLevel="0" collapsed="false">
      <c r="A393" s="0" t="s">
        <v>562</v>
      </c>
      <c r="B393" s="0" t="s">
        <v>252</v>
      </c>
      <c r="C393" s="9" t="n">
        <f aca="false">a25_ags</f>
        <v>5744.19672131148</v>
      </c>
      <c r="D393" s="9" t="n">
        <f aca="false">an_ags</f>
        <v>6845</v>
      </c>
      <c r="E393" s="9" t="n">
        <f aca="false">D393*(1+g_ags_A_lo)</f>
        <v>7597.95</v>
      </c>
      <c r="F393" s="9" t="n">
        <f aca="false">E393*(1+g_ags_A_lo)</f>
        <v>8433.7245</v>
      </c>
      <c r="G393" s="9" t="n">
        <f aca="false">F393*(1+g_ags_A_lo)</f>
        <v>9361.434195</v>
      </c>
    </row>
    <row r="394" customFormat="false" ht="17.15" hidden="false" customHeight="false" outlineLevel="0" collapsed="false">
      <c r="A394" s="5" t="s">
        <v>563</v>
      </c>
      <c r="B394" s="0" t="s">
        <v>252</v>
      </c>
      <c r="C394" s="9" t="n">
        <v>0</v>
      </c>
      <c r="D394" s="9" t="n">
        <v>0</v>
      </c>
      <c r="E394" s="9" t="n">
        <f aca="false">-aff_hit*aff_A-0*cn_sh*(E392+E393)</f>
        <v>-0</v>
      </c>
      <c r="F394" s="9" t="n">
        <f aca="false">-aff_hit*aff_A-0*cn_sh*(F392+F393)</f>
        <v>-0</v>
      </c>
      <c r="G394" s="9" t="n">
        <f aca="false">-aff_hit*aff_A-0*cn_sh*(G392+G393)</f>
        <v>-0</v>
      </c>
      <c r="H394" s="5" t="s">
        <v>564</v>
      </c>
    </row>
    <row r="395" customFormat="false" ht="17.15" hidden="false" customHeight="false" outlineLevel="0" collapsed="false">
      <c r="A395" s="5" t="s">
        <v>565</v>
      </c>
      <c r="B395" s="0" t="s">
        <v>252</v>
      </c>
      <c r="C395" s="9" t="n">
        <f aca="false">C392+C394*C392/(C392+C393)</f>
        <v>21438.5432098765</v>
      </c>
      <c r="D395" s="9" t="n">
        <f aca="false">D392+D394*D392/(D392+D393)</f>
        <v>26046</v>
      </c>
      <c r="E395" s="9" t="n">
        <f aca="false">E392+E394*E392/(E392+E393)</f>
        <v>31877.2079854298</v>
      </c>
      <c r="F395" s="9" t="n">
        <f aca="false">F392+F394*F392/(F392+F393)</f>
        <v>36169.6461927855</v>
      </c>
      <c r="G395" s="9" t="n">
        <f aca="false">G392+G394*G392/(G392+G393)</f>
        <v>38565.0501531522</v>
      </c>
      <c r="H395" s="5" t="s">
        <v>566</v>
      </c>
    </row>
    <row r="396" customFormat="false" ht="17.15" hidden="false" customHeight="false" outlineLevel="0" collapsed="false">
      <c r="A396" s="0" t="s">
        <v>567</v>
      </c>
      <c r="B396" s="0" t="s">
        <v>252</v>
      </c>
      <c r="C396" s="9" t="n">
        <f aca="false">C393+C394*C393/(C392+C393)</f>
        <v>5744.19672131148</v>
      </c>
      <c r="D396" s="9" t="n">
        <f aca="false">D393+D394*D393/(D392+D393)</f>
        <v>6845</v>
      </c>
      <c r="E396" s="9" t="n">
        <f aca="false">E393+E394*E393/(E392+E393)</f>
        <v>7597.95</v>
      </c>
      <c r="F396" s="9" t="n">
        <f aca="false">F393+F394*F393/(F392+F393)</f>
        <v>8433.7245</v>
      </c>
      <c r="G396" s="9" t="n">
        <f aca="false">G393+G394*G393/(G392+G393)</f>
        <v>9361.434195</v>
      </c>
      <c r="H396" s="5" t="s">
        <v>568</v>
      </c>
    </row>
    <row r="397" customFormat="false" ht="17.15" hidden="false" customHeight="false" outlineLevel="0" collapsed="false">
      <c r="A397" s="5" t="s">
        <v>569</v>
      </c>
      <c r="B397" s="0" t="s">
        <v>252</v>
      </c>
      <c r="C397" s="9" t="n">
        <f aca="false">a25_oth</f>
        <v>1185.26006881198</v>
      </c>
      <c r="D397" s="9" t="n">
        <f aca="false">an_oth</f>
        <v>1396</v>
      </c>
      <c r="E397" s="9" t="n">
        <f aca="false">D397*(1+g_oth_A)</f>
        <v>1396</v>
      </c>
      <c r="F397" s="9" t="n">
        <f aca="false">E397*(1+g_oth_A)</f>
        <v>1396</v>
      </c>
      <c r="G397" s="9" t="n">
        <f aca="false">F397*(1+g_oth_A)</f>
        <v>1396</v>
      </c>
      <c r="H397" s="5" t="s">
        <v>570</v>
      </c>
    </row>
    <row r="398" customFormat="false" ht="15" hidden="false" customHeight="false" outlineLevel="0" collapsed="false">
      <c r="A398" s="5" t="s">
        <v>454</v>
      </c>
      <c r="B398" s="0" t="s">
        <v>252</v>
      </c>
      <c r="C398" s="9" t="n">
        <f aca="false">C395+C396+C397</f>
        <v>28368</v>
      </c>
      <c r="D398" s="9" t="n">
        <f aca="false">D395+D396+D397</f>
        <v>34287</v>
      </c>
      <c r="E398" s="9" t="n">
        <f aca="false">E395+E396+E397</f>
        <v>40871.1579854299</v>
      </c>
      <c r="F398" s="9" t="n">
        <f aca="false">F395+F396+F397</f>
        <v>45999.3706927855</v>
      </c>
      <c r="G398" s="9" t="n">
        <f aca="false">G395+G396+G397</f>
        <v>49322.4843481522</v>
      </c>
    </row>
    <row r="399" customFormat="false" ht="17.15" hidden="false" customHeight="false" outlineLevel="0" collapsed="false">
      <c r="A399" s="5" t="s">
        <v>571</v>
      </c>
      <c r="B399" s="0" t="s">
        <v>252</v>
      </c>
      <c r="C399" s="23" t="n">
        <f aca="false">C395+C396+C397-a25_rev</f>
        <v>0</v>
      </c>
      <c r="D399" s="23" t="n">
        <f aca="false">D395+D396+D397-an_rev</f>
        <v>0</v>
      </c>
    </row>
    <row r="400" customFormat="false" ht="17.15" hidden="false" customHeight="false" outlineLevel="0" collapsed="false">
      <c r="A400" s="0" t="s">
        <v>460</v>
      </c>
      <c r="B400" s="0" t="s">
        <v>199</v>
      </c>
      <c r="C400" s="11" t="n">
        <f aca="false">a25_gp/a25_rev</f>
        <v>0.487833192329385</v>
      </c>
      <c r="D400" s="11" t="n">
        <f aca="false">an_gp/an_rev</f>
        <v>0.500418584303089</v>
      </c>
      <c r="E400" s="11" t="n">
        <f aca="false">1-(cF+cv*E398)/E398</f>
        <v>0.510135544530084</v>
      </c>
      <c r="F400" s="11" t="n">
        <f aca="false">1-(cF+cv*F398)/F398</f>
        <v>0.515776774567095</v>
      </c>
      <c r="G400" s="11" t="n">
        <f aca="false">1-(cF+cv*G398)/G398</f>
        <v>0.518805953816317</v>
      </c>
      <c r="H400" s="5" t="s">
        <v>572</v>
      </c>
    </row>
    <row r="401" customFormat="false" ht="17.15" hidden="false" customHeight="false" outlineLevel="0" collapsed="false">
      <c r="A401" s="0" t="s">
        <v>463</v>
      </c>
      <c r="B401" s="0" t="s">
        <v>252</v>
      </c>
      <c r="C401" s="9" t="n">
        <f aca="false">C398*C400</f>
        <v>13838.852</v>
      </c>
      <c r="D401" s="9" t="n">
        <f aca="false">D398*D400</f>
        <v>17157.852</v>
      </c>
      <c r="E401" s="9" t="n">
        <f aca="false">E398*E400</f>
        <v>20849.8304344723</v>
      </c>
      <c r="F401" s="9" t="n">
        <f aca="false">F398*F400</f>
        <v>23725.4070480411</v>
      </c>
      <c r="G401" s="9" t="n">
        <f aca="false">G398*G400</f>
        <v>25588.7985368334</v>
      </c>
    </row>
    <row r="402" customFormat="false" ht="17.15" hidden="false" customHeight="false" outlineLevel="0" collapsed="false">
      <c r="A402" s="0" t="s">
        <v>573</v>
      </c>
      <c r="B402" s="0" t="s">
        <v>252</v>
      </c>
      <c r="C402" s="9" t="n">
        <f aca="false">opex25</f>
        <v>5276.852</v>
      </c>
      <c r="D402" s="9" t="n">
        <f aca="false">opex26</f>
        <v>5832.852</v>
      </c>
      <c r="E402" s="9" t="n">
        <f aca="false">oF+ov*E398</f>
        <v>6451.33347320476</v>
      </c>
      <c r="F402" s="9" t="n">
        <f aca="false">oF+ov*F398</f>
        <v>6933.05103787612</v>
      </c>
      <c r="G402" s="9" t="n">
        <f aca="false">oF+ov*G398</f>
        <v>7245.20700888201</v>
      </c>
      <c r="H402" s="5" t="s">
        <v>574</v>
      </c>
    </row>
    <row r="403" customFormat="false" ht="17.15" hidden="false" customHeight="false" outlineLevel="0" collapsed="false">
      <c r="A403" s="0" t="s">
        <v>465</v>
      </c>
      <c r="B403" s="0" t="s">
        <v>252</v>
      </c>
      <c r="C403" s="9" t="n">
        <f aca="false">C401-C402</f>
        <v>8562</v>
      </c>
      <c r="D403" s="9" t="n">
        <f aca="false">D401-D402</f>
        <v>11325</v>
      </c>
      <c r="E403" s="9" t="n">
        <f aca="false">E401-E402</f>
        <v>14398.4969612676</v>
      </c>
      <c r="F403" s="9" t="n">
        <f aca="false">F401-F402</f>
        <v>16792.356010165</v>
      </c>
      <c r="G403" s="9" t="n">
        <f aca="false">G401-G402</f>
        <v>18343.5915279514</v>
      </c>
    </row>
    <row r="404" customFormat="false" ht="17.15" hidden="false" customHeight="false" outlineLevel="0" collapsed="false">
      <c r="A404" s="0" t="s">
        <v>544</v>
      </c>
      <c r="B404" s="0" t="s">
        <v>199</v>
      </c>
      <c r="C404" s="11" t="n">
        <f aca="false">C403/C398</f>
        <v>0.301818950930626</v>
      </c>
      <c r="D404" s="11" t="n">
        <f aca="false">D403/D398</f>
        <v>0.330300113745735</v>
      </c>
      <c r="E404" s="11" t="n">
        <f aca="false">E403/E398</f>
        <v>0.352289919615208</v>
      </c>
      <c r="F404" s="11" t="n">
        <f aca="false">F403/F398</f>
        <v>0.365056211797233</v>
      </c>
      <c r="G404" s="11" t="n">
        <f aca="false">G403/G398</f>
        <v>0.371911345715469</v>
      </c>
    </row>
    <row r="405" customFormat="false" ht="17.15" hidden="false" customHeight="false" outlineLevel="0" collapsed="false">
      <c r="A405" s="0" t="s">
        <v>470</v>
      </c>
      <c r="B405" s="0" t="s">
        <v>252</v>
      </c>
      <c r="C405" s="9" t="n">
        <f aca="false">a25_ni</f>
        <v>7607</v>
      </c>
      <c r="D405" s="9" t="n">
        <f aca="false">an_ni</f>
        <v>10179.92</v>
      </c>
      <c r="E405" s="9" t="n">
        <f aca="false">E403*nioi</f>
        <v>12792.497825784</v>
      </c>
      <c r="F405" s="9" t="n">
        <f aca="false">F403*nioi</f>
        <v>14919.3473685266</v>
      </c>
      <c r="G405" s="9" t="n">
        <f aca="false">G403*nioi</f>
        <v>16297.5590695079</v>
      </c>
    </row>
    <row r="406" customFormat="false" ht="15" hidden="false" customHeight="false" outlineLevel="0" collapsed="false">
      <c r="A406" s="5" t="s">
        <v>575</v>
      </c>
      <c r="B406" s="5" t="s">
        <v>328</v>
      </c>
      <c r="C406" s="23" t="n">
        <f aca="false">a25_sh</f>
        <v>808</v>
      </c>
      <c r="D406" s="23" t="n">
        <f aca="false">an_sh</f>
        <v>797.799373040752</v>
      </c>
      <c r="E406" s="23" t="n">
        <f aca="false">$D406*(1-bb)^1</f>
        <v>789.821379310345</v>
      </c>
      <c r="F406" s="23" t="n">
        <f aca="false">$D406*(1-bb)^2</f>
        <v>781.923165517241</v>
      </c>
      <c r="G406" s="23" t="n">
        <f aca="false">$D406*(1-bb)^3</f>
        <v>774.103933862069</v>
      </c>
    </row>
    <row r="407" customFormat="false" ht="17.15" hidden="false" customHeight="false" outlineLevel="0" collapsed="false">
      <c r="A407" s="0" t="s">
        <v>576</v>
      </c>
      <c r="B407" s="0" t="s">
        <v>341</v>
      </c>
      <c r="C407" s="14" t="n">
        <f aca="false">a25_eps</f>
        <v>9.42</v>
      </c>
      <c r="D407" s="14" t="n">
        <f aca="false">an_eps</f>
        <v>12.76</v>
      </c>
      <c r="E407" s="14" t="n">
        <f aca="false">E405/E406</f>
        <v>16.1966973304193</v>
      </c>
      <c r="F407" s="14" t="n">
        <f aca="false">F405/F406</f>
        <v>19.0803240349804</v>
      </c>
      <c r="G407" s="14" t="n">
        <f aca="false">G405/G406</f>
        <v>21.0534507791454</v>
      </c>
      <c r="H407" s="8" t="s">
        <v>577</v>
      </c>
    </row>
    <row r="408" customFormat="false" ht="17.15" hidden="false" customHeight="false" outlineLevel="0" collapsed="false">
      <c r="A408" s="5" t="s">
        <v>578</v>
      </c>
      <c r="B408" s="0" t="s">
        <v>199</v>
      </c>
      <c r="D408" s="11" t="n">
        <f aca="false">D392/1000/(D387+D388+D389)</f>
        <v>0.170398285527431</v>
      </c>
      <c r="E408" s="11" t="n">
        <f aca="false">E392/1000/(E387+E388+E389)</f>
        <v>0.170159646735473</v>
      </c>
      <c r="F408" s="11" t="n">
        <f aca="false">F392/1000/(F387+F388+F389)</f>
        <v>0.170084890448361</v>
      </c>
      <c r="G408" s="11" t="n">
        <f aca="false">G392/1000/(G387+G388+G389)</f>
        <v>0.169996548109528</v>
      </c>
      <c r="H408" s="5" t="s">
        <v>579</v>
      </c>
    </row>
    <row r="412" customFormat="false" ht="17.15" hidden="false" customHeight="false" outlineLevel="0" collapsed="false">
      <c r="A412" s="3" t="s">
        <v>926</v>
      </c>
    </row>
    <row r="413" customFormat="false" ht="15" hidden="false" customHeight="false" outlineLevel="0" collapsed="false">
      <c r="A413" s="6" t="s">
        <v>19</v>
      </c>
      <c r="B413" s="6" t="s">
        <v>20</v>
      </c>
      <c r="C413" s="15" t="s">
        <v>513</v>
      </c>
      <c r="D413" s="15" t="s">
        <v>514</v>
      </c>
      <c r="E413" s="15" t="s">
        <v>515</v>
      </c>
      <c r="F413" s="15" t="s">
        <v>516</v>
      </c>
      <c r="G413" s="15" t="s">
        <v>517</v>
      </c>
      <c r="H413" s="6" t="s">
        <v>518</v>
      </c>
    </row>
    <row r="414" customFormat="false" ht="17.15" hidden="false" customHeight="false" outlineLevel="0" collapsed="false">
      <c r="A414" s="1" t="s">
        <v>549</v>
      </c>
    </row>
    <row r="415" customFormat="false" ht="17.15" hidden="false" customHeight="false" outlineLevel="0" collapsed="false">
      <c r="A415" s="5" t="s">
        <v>550</v>
      </c>
      <c r="B415" s="0" t="s">
        <v>30</v>
      </c>
      <c r="C415" s="22" t="n">
        <f aca="false">laA_25+loA_25+ofA_25</f>
        <v>78.3481206981793</v>
      </c>
      <c r="D415" s="22" t="n">
        <f aca="false">laA_26+loA_26+ofA_26</f>
        <v>99.7111533272534</v>
      </c>
      <c r="E415" s="22" t="n">
        <f aca="false">laA_27+loA_27+ofA_27</f>
        <v>116.288709321091</v>
      </c>
      <c r="F415" s="22" t="n">
        <f aca="false">laA_28+loA_28+ofA_28</f>
        <v>130.886404842261</v>
      </c>
      <c r="G415" s="22" t="n">
        <f aca="false">laA_29+loA_29+ofA_29</f>
        <v>139.398079992203</v>
      </c>
    </row>
    <row r="416" customFormat="false" ht="17.15" hidden="false" customHeight="false" outlineLevel="0" collapsed="false">
      <c r="A416" s="0" t="s">
        <v>551</v>
      </c>
      <c r="B416" s="0" t="s">
        <v>30</v>
      </c>
      <c r="C416" s="22" t="n">
        <f aca="false">drA_25</f>
        <v>26.3761091658243</v>
      </c>
      <c r="D416" s="22" t="n">
        <f aca="false">drA_26</f>
        <v>41.8742847275048</v>
      </c>
      <c r="E416" s="22" t="n">
        <f aca="false">drA_27</f>
        <v>53.2587328153375</v>
      </c>
      <c r="F416" s="22" t="n">
        <f aca="false">drA_28</f>
        <v>59.5608998372386</v>
      </c>
      <c r="G416" s="22" t="n">
        <f aca="false">drA_29</f>
        <v>61.8312930912183</v>
      </c>
    </row>
    <row r="417" customFormat="false" ht="15" hidden="false" customHeight="false" outlineLevel="0" collapsed="false">
      <c r="A417" s="0" t="s">
        <v>552</v>
      </c>
      <c r="B417" s="0" t="s">
        <v>30</v>
      </c>
      <c r="C417" s="22" t="n">
        <f aca="false">ndA_25</f>
        <v>12.1726019800256</v>
      </c>
      <c r="D417" s="22" t="n">
        <f aca="false">ndA_26</f>
        <v>18.4595763045422</v>
      </c>
      <c r="E417" s="22" t="n">
        <f aca="false">ndA_27</f>
        <v>23.2480272411321</v>
      </c>
      <c r="F417" s="22" t="n">
        <f aca="false">ndA_28</f>
        <v>26.181321629459</v>
      </c>
      <c r="G417" s="22" t="n">
        <f aca="false">ndA_29</f>
        <v>27.674312771805</v>
      </c>
    </row>
    <row r="418" customFormat="false" ht="17.15" hidden="false" customHeight="false" outlineLevel="0" collapsed="false">
      <c r="A418" s="1" t="s">
        <v>553</v>
      </c>
    </row>
    <row r="419" customFormat="false" ht="17.15" hidden="false" customHeight="false" outlineLevel="0" collapsed="false">
      <c r="A419" s="5" t="s">
        <v>554</v>
      </c>
      <c r="B419" s="0" t="s">
        <v>30</v>
      </c>
      <c r="D419" s="22" t="n">
        <f aca="false">fyw*C415+(1-fyw)*D415</f>
        <v>96.1506478890744</v>
      </c>
      <c r="E419" s="22" t="n">
        <f aca="false">fyw*D415+(1-fyw)*E415</f>
        <v>113.525783322118</v>
      </c>
      <c r="F419" s="22" t="n">
        <f aca="false">fyw*E415+(1-fyw)*F415</f>
        <v>128.453455588732</v>
      </c>
      <c r="G419" s="22" t="n">
        <f aca="false">fyw*F415+(1-fyw)*G415</f>
        <v>137.979467467212</v>
      </c>
    </row>
    <row r="420" customFormat="false" ht="17.15" hidden="false" customHeight="false" outlineLevel="0" collapsed="false">
      <c r="A420" s="0" t="s">
        <v>555</v>
      </c>
      <c r="B420" s="0" t="s">
        <v>30</v>
      </c>
      <c r="D420" s="22" t="n">
        <f aca="false">fyw*C416+(1-fyw)*D416</f>
        <v>39.2912554672247</v>
      </c>
      <c r="E420" s="22" t="n">
        <f aca="false">fyw*D416+(1-fyw)*E416</f>
        <v>51.3613248006987</v>
      </c>
      <c r="F420" s="22" t="n">
        <f aca="false">fyw*E416+(1-fyw)*F416</f>
        <v>58.5105386669218</v>
      </c>
      <c r="G420" s="22" t="n">
        <f aca="false">fyw*F416+(1-fyw)*G416</f>
        <v>61.452894215555</v>
      </c>
    </row>
    <row r="421" customFormat="false" ht="15" hidden="false" customHeight="false" outlineLevel="0" collapsed="false">
      <c r="A421" s="0" t="s">
        <v>556</v>
      </c>
      <c r="B421" s="0" t="s">
        <v>30</v>
      </c>
      <c r="D421" s="22" t="n">
        <f aca="false">fyw*C417+(1-fyw)*D417</f>
        <v>17.4117472504561</v>
      </c>
      <c r="E421" s="22" t="n">
        <f aca="false">fyw*D417+(1-fyw)*E417</f>
        <v>22.4499520850338</v>
      </c>
      <c r="F421" s="22" t="n">
        <f aca="false">fyw*E417+(1-fyw)*F417</f>
        <v>25.6924392314045</v>
      </c>
      <c r="G421" s="22" t="n">
        <f aca="false">fyw*F417+(1-fyw)*G417</f>
        <v>27.4254809147473</v>
      </c>
    </row>
    <row r="422" customFormat="false" ht="17.15" hidden="false" customHeight="false" outlineLevel="0" collapsed="false">
      <c r="A422" s="5" t="s">
        <v>557</v>
      </c>
      <c r="B422" s="0" t="s">
        <v>246</v>
      </c>
      <c r="D422" s="21" t="n">
        <f aca="false">m_fl*D419/$D419+m_dr*D420/$D420+m_nd*D421/$D421</f>
        <v>1</v>
      </c>
      <c r="E422" s="21" t="n">
        <f aca="false">m_fl*E419/$D419+m_dr*E420/$D420+m_nd*E421/$D421</f>
        <v>1.22388113282</v>
      </c>
      <c r="F422" s="21" t="n">
        <f aca="false">m_fl*F419/$D419+m_dr*F420/$D420+m_nd*F421/$D421</f>
        <v>1.3886833368957</v>
      </c>
      <c r="G422" s="21" t="n">
        <f aca="false">m_fl*G419/$D419+m_dr*G420/$D420+m_nd*G421/$D421</f>
        <v>1.48065154546388</v>
      </c>
      <c r="H422" s="8" t="s">
        <v>558</v>
      </c>
    </row>
    <row r="423" customFormat="false" ht="17.15" hidden="false" customHeight="false" outlineLevel="0" collapsed="false">
      <c r="A423" s="1" t="s">
        <v>559</v>
      </c>
    </row>
    <row r="424" customFormat="false" ht="17.15" hidden="false" customHeight="false" outlineLevel="0" collapsed="false">
      <c r="A424" s="5" t="s">
        <v>560</v>
      </c>
      <c r="B424" s="0" t="s">
        <v>252</v>
      </c>
      <c r="C424" s="9" t="n">
        <f aca="false">a25_ss</f>
        <v>21438.5432098765</v>
      </c>
      <c r="D424" s="9" t="n">
        <f aca="false">an_ss</f>
        <v>26046</v>
      </c>
      <c r="E424" s="9" t="n">
        <f aca="false">$D424*E422*sf</f>
        <v>31877.2079854298</v>
      </c>
      <c r="F424" s="9" t="n">
        <f aca="false">$D424*F422*sf</f>
        <v>36169.6461927855</v>
      </c>
      <c r="G424" s="9" t="n">
        <f aca="false">$D424*G422*sf</f>
        <v>38565.0501531522</v>
      </c>
      <c r="H424" s="8" t="s">
        <v>561</v>
      </c>
    </row>
    <row r="425" customFormat="false" ht="17.15" hidden="false" customHeight="false" outlineLevel="0" collapsed="false">
      <c r="A425" s="0" t="s">
        <v>562</v>
      </c>
      <c r="B425" s="0" t="s">
        <v>252</v>
      </c>
      <c r="C425" s="9" t="n">
        <f aca="false">a25_ags</f>
        <v>5744.19672131148</v>
      </c>
      <c r="D425" s="9" t="n">
        <f aca="false">an_ags</f>
        <v>6845</v>
      </c>
      <c r="E425" s="9" t="n">
        <f aca="false">D425*(1+g_ags_A_hi)</f>
        <v>8145.55</v>
      </c>
      <c r="F425" s="9" t="n">
        <f aca="false">E425*(1+g_ags_A_hi)</f>
        <v>9693.2045</v>
      </c>
      <c r="G425" s="9" t="n">
        <f aca="false">F425*(1+g_ags_A_hi)</f>
        <v>11534.913355</v>
      </c>
    </row>
    <row r="426" customFormat="false" ht="17.15" hidden="false" customHeight="false" outlineLevel="0" collapsed="false">
      <c r="A426" s="5" t="s">
        <v>563</v>
      </c>
      <c r="B426" s="0" t="s">
        <v>252</v>
      </c>
      <c r="C426" s="9" t="n">
        <v>0</v>
      </c>
      <c r="D426" s="9" t="n">
        <v>0</v>
      </c>
      <c r="E426" s="9" t="n">
        <f aca="false">-aff_hit*aff_A-0*cn_sh*(E424+E425)</f>
        <v>-0</v>
      </c>
      <c r="F426" s="9" t="n">
        <f aca="false">-aff_hit*aff_A-0*cn_sh*(F424+F425)</f>
        <v>-0</v>
      </c>
      <c r="G426" s="9" t="n">
        <f aca="false">-aff_hit*aff_A-0*cn_sh*(G424+G425)</f>
        <v>-0</v>
      </c>
      <c r="H426" s="5" t="s">
        <v>564</v>
      </c>
    </row>
    <row r="427" customFormat="false" ht="17.15" hidden="false" customHeight="false" outlineLevel="0" collapsed="false">
      <c r="A427" s="5" t="s">
        <v>565</v>
      </c>
      <c r="B427" s="0" t="s">
        <v>252</v>
      </c>
      <c r="C427" s="9" t="n">
        <f aca="false">C424+C426*C424/(C424+C425)</f>
        <v>21438.5432098765</v>
      </c>
      <c r="D427" s="9" t="n">
        <f aca="false">D424+D426*D424/(D424+D425)</f>
        <v>26046</v>
      </c>
      <c r="E427" s="9" t="n">
        <f aca="false">E424+E426*E424/(E424+E425)</f>
        <v>31877.2079854298</v>
      </c>
      <c r="F427" s="9" t="n">
        <f aca="false">F424+F426*F424/(F424+F425)</f>
        <v>36169.6461927855</v>
      </c>
      <c r="G427" s="9" t="n">
        <f aca="false">G424+G426*G424/(G424+G425)</f>
        <v>38565.0501531522</v>
      </c>
      <c r="H427" s="5" t="s">
        <v>566</v>
      </c>
    </row>
    <row r="428" customFormat="false" ht="17.15" hidden="false" customHeight="false" outlineLevel="0" collapsed="false">
      <c r="A428" s="0" t="s">
        <v>567</v>
      </c>
      <c r="B428" s="0" t="s">
        <v>252</v>
      </c>
      <c r="C428" s="9" t="n">
        <f aca="false">C425+C426*C425/(C424+C425)</f>
        <v>5744.19672131148</v>
      </c>
      <c r="D428" s="9" t="n">
        <f aca="false">D425+D426*D425/(D424+D425)</f>
        <v>6845</v>
      </c>
      <c r="E428" s="9" t="n">
        <f aca="false">E425+E426*E425/(E424+E425)</f>
        <v>8145.55</v>
      </c>
      <c r="F428" s="9" t="n">
        <f aca="false">F425+F426*F425/(F424+F425)</f>
        <v>9693.2045</v>
      </c>
      <c r="G428" s="9" t="n">
        <f aca="false">G425+G426*G425/(G424+G425)</f>
        <v>11534.913355</v>
      </c>
      <c r="H428" s="5" t="s">
        <v>568</v>
      </c>
    </row>
    <row r="429" customFormat="false" ht="17.15" hidden="false" customHeight="false" outlineLevel="0" collapsed="false">
      <c r="A429" s="5" t="s">
        <v>569</v>
      </c>
      <c r="B429" s="0" t="s">
        <v>252</v>
      </c>
      <c r="C429" s="9" t="n">
        <f aca="false">a25_oth</f>
        <v>1185.26006881198</v>
      </c>
      <c r="D429" s="9" t="n">
        <f aca="false">an_oth</f>
        <v>1396</v>
      </c>
      <c r="E429" s="9" t="n">
        <f aca="false">D429*(1+g_oth_A)</f>
        <v>1396</v>
      </c>
      <c r="F429" s="9" t="n">
        <f aca="false">E429*(1+g_oth_A)</f>
        <v>1396</v>
      </c>
      <c r="G429" s="9" t="n">
        <f aca="false">F429*(1+g_oth_A)</f>
        <v>1396</v>
      </c>
      <c r="H429" s="5" t="s">
        <v>570</v>
      </c>
    </row>
    <row r="430" customFormat="false" ht="15" hidden="false" customHeight="false" outlineLevel="0" collapsed="false">
      <c r="A430" s="5" t="s">
        <v>454</v>
      </c>
      <c r="B430" s="0" t="s">
        <v>252</v>
      </c>
      <c r="C430" s="9" t="n">
        <f aca="false">C427+C428+C429</f>
        <v>28368</v>
      </c>
      <c r="D430" s="9" t="n">
        <f aca="false">D427+D428+D429</f>
        <v>34287</v>
      </c>
      <c r="E430" s="9" t="n">
        <f aca="false">E427+E428+E429</f>
        <v>41418.7579854298</v>
      </c>
      <c r="F430" s="9" t="n">
        <f aca="false">F427+F428+F429</f>
        <v>47258.8506927855</v>
      </c>
      <c r="G430" s="9" t="n">
        <f aca="false">G427+G428+G429</f>
        <v>51495.9635081522</v>
      </c>
    </row>
    <row r="431" customFormat="false" ht="17.15" hidden="false" customHeight="false" outlineLevel="0" collapsed="false">
      <c r="A431" s="5" t="s">
        <v>571</v>
      </c>
      <c r="B431" s="0" t="s">
        <v>252</v>
      </c>
      <c r="C431" s="23" t="n">
        <f aca="false">C427+C428+C429-a25_rev</f>
        <v>0</v>
      </c>
      <c r="D431" s="23" t="n">
        <f aca="false">D427+D428+D429-an_rev</f>
        <v>0</v>
      </c>
    </row>
    <row r="432" customFormat="false" ht="17.15" hidden="false" customHeight="false" outlineLevel="0" collapsed="false">
      <c r="A432" s="0" t="s">
        <v>460</v>
      </c>
      <c r="B432" s="0" t="s">
        <v>199</v>
      </c>
      <c r="C432" s="11" t="n">
        <f aca="false">a25_gp/a25_rev</f>
        <v>0.487833192329385</v>
      </c>
      <c r="D432" s="11" t="n">
        <f aca="false">an_gp/an_rev</f>
        <v>0.500418584303089</v>
      </c>
      <c r="E432" s="11" t="n">
        <f aca="false">1-(cF+cv*E430)/E430</f>
        <v>0.510804544405975</v>
      </c>
      <c r="F432" s="11" t="n">
        <f aca="false">1-(cF+cv*F430)/F430</f>
        <v>0.516974984296111</v>
      </c>
      <c r="G432" s="11" t="n">
        <f aca="false">1-(cF+cv*G430)/G430</f>
        <v>0.520575712126645</v>
      </c>
      <c r="H432" s="5" t="s">
        <v>572</v>
      </c>
    </row>
    <row r="433" customFormat="false" ht="17.15" hidden="false" customHeight="false" outlineLevel="0" collapsed="false">
      <c r="A433" s="0" t="s">
        <v>463</v>
      </c>
      <c r="B433" s="0" t="s">
        <v>252</v>
      </c>
      <c r="C433" s="9" t="n">
        <f aca="false">C430*C432</f>
        <v>13838.852</v>
      </c>
      <c r="D433" s="9" t="n">
        <f aca="false">D430*D432</f>
        <v>17157.852</v>
      </c>
      <c r="E433" s="9" t="n">
        <f aca="false">E430*E432</f>
        <v>21156.8898026088</v>
      </c>
      <c r="F433" s="9" t="n">
        <f aca="false">F430*F432</f>
        <v>24431.6435947551</v>
      </c>
      <c r="G433" s="9" t="n">
        <f aca="false">G430*G432</f>
        <v>26807.547874904</v>
      </c>
    </row>
    <row r="434" customFormat="false" ht="17.15" hidden="false" customHeight="false" outlineLevel="0" collapsed="false">
      <c r="A434" s="0" t="s">
        <v>573</v>
      </c>
      <c r="B434" s="0" t="s">
        <v>252</v>
      </c>
      <c r="C434" s="9" t="n">
        <f aca="false">opex25</f>
        <v>5276.852</v>
      </c>
      <c r="D434" s="9" t="n">
        <f aca="false">opex26</f>
        <v>5832.852</v>
      </c>
      <c r="E434" s="9" t="n">
        <f aca="false">oF+ov*E430</f>
        <v>6502.77216217249</v>
      </c>
      <c r="F434" s="9" t="n">
        <f aca="false">oF+ov*F430</f>
        <v>7051.3600225019</v>
      </c>
      <c r="G434" s="9" t="n">
        <f aca="false">oF+ov*G430</f>
        <v>7449.37230926383</v>
      </c>
      <c r="H434" s="5" t="s">
        <v>574</v>
      </c>
    </row>
    <row r="435" customFormat="false" ht="17.15" hidden="false" customHeight="false" outlineLevel="0" collapsed="false">
      <c r="A435" s="0" t="s">
        <v>465</v>
      </c>
      <c r="B435" s="0" t="s">
        <v>252</v>
      </c>
      <c r="C435" s="9" t="n">
        <f aca="false">C433-C434</f>
        <v>8562</v>
      </c>
      <c r="D435" s="9" t="n">
        <f aca="false">D433-D434</f>
        <v>11325</v>
      </c>
      <c r="E435" s="9" t="n">
        <f aca="false">E433-E434</f>
        <v>14654.1176404363</v>
      </c>
      <c r="F435" s="9" t="n">
        <f aca="false">F433-F434</f>
        <v>17380.2835722531</v>
      </c>
      <c r="G435" s="9" t="n">
        <f aca="false">G433-G434</f>
        <v>19358.1755656402</v>
      </c>
    </row>
    <row r="436" customFormat="false" ht="17.15" hidden="false" customHeight="false" outlineLevel="0" collapsed="false">
      <c r="A436" s="0" t="s">
        <v>544</v>
      </c>
      <c r="B436" s="0" t="s">
        <v>199</v>
      </c>
      <c r="C436" s="11" t="n">
        <f aca="false">C435/C430</f>
        <v>0.301818950930626</v>
      </c>
      <c r="D436" s="11" t="n">
        <f aca="false">D435/D430</f>
        <v>0.330300113745735</v>
      </c>
      <c r="E436" s="11" t="n">
        <f aca="false">E435/E430</f>
        <v>0.353803888701619</v>
      </c>
      <c r="F436" s="11" t="n">
        <f aca="false">F435/F430</f>
        <v>0.367767800474809</v>
      </c>
      <c r="G436" s="11" t="n">
        <f aca="false">G435/G430</f>
        <v>0.375916367941648</v>
      </c>
    </row>
    <row r="437" customFormat="false" ht="17.15" hidden="false" customHeight="false" outlineLevel="0" collapsed="false">
      <c r="A437" s="0" t="s">
        <v>470</v>
      </c>
      <c r="B437" s="0" t="s">
        <v>252</v>
      </c>
      <c r="C437" s="9" t="n">
        <f aca="false">a25_ni</f>
        <v>7607</v>
      </c>
      <c r="D437" s="9" t="n">
        <f aca="false">an_ni</f>
        <v>10179.92</v>
      </c>
      <c r="E437" s="9" t="n">
        <f aca="false">E435*nioi</f>
        <v>13019.606738005</v>
      </c>
      <c r="F437" s="9" t="n">
        <f aca="false">F435*nioi</f>
        <v>15441.6978666351</v>
      </c>
      <c r="G437" s="9" t="n">
        <f aca="false">G435*nioi</f>
        <v>17198.9770530046</v>
      </c>
    </row>
    <row r="438" customFormat="false" ht="15" hidden="false" customHeight="false" outlineLevel="0" collapsed="false">
      <c r="A438" s="5" t="s">
        <v>575</v>
      </c>
      <c r="B438" s="5" t="s">
        <v>328</v>
      </c>
      <c r="C438" s="23" t="n">
        <f aca="false">a25_sh</f>
        <v>808</v>
      </c>
      <c r="D438" s="23" t="n">
        <f aca="false">an_sh</f>
        <v>797.799373040752</v>
      </c>
      <c r="E438" s="23" t="n">
        <f aca="false">$D438*(1-bb)^1</f>
        <v>789.821379310345</v>
      </c>
      <c r="F438" s="23" t="n">
        <f aca="false">$D438*(1-bb)^2</f>
        <v>781.923165517241</v>
      </c>
      <c r="G438" s="23" t="n">
        <f aca="false">$D438*(1-bb)^3</f>
        <v>774.103933862069</v>
      </c>
    </row>
    <row r="439" customFormat="false" ht="17.15" hidden="false" customHeight="false" outlineLevel="0" collapsed="false">
      <c r="A439" s="0" t="s">
        <v>576</v>
      </c>
      <c r="B439" s="0" t="s">
        <v>341</v>
      </c>
      <c r="C439" s="14" t="n">
        <f aca="false">a25_eps</f>
        <v>9.42</v>
      </c>
      <c r="D439" s="14" t="n">
        <f aca="false">an_eps</f>
        <v>12.76</v>
      </c>
      <c r="E439" s="14" t="n">
        <f aca="false">E437/E438</f>
        <v>16.4842419806026</v>
      </c>
      <c r="F439" s="14" t="n">
        <f aca="false">F437/F438</f>
        <v>19.7483570606588</v>
      </c>
      <c r="G439" s="14" t="n">
        <f aca="false">G437/G438</f>
        <v>22.2179171305815</v>
      </c>
      <c r="H439" s="8" t="s">
        <v>577</v>
      </c>
    </row>
    <row r="440" customFormat="false" ht="17.15" hidden="false" customHeight="false" outlineLevel="0" collapsed="false">
      <c r="A440" s="5" t="s">
        <v>578</v>
      </c>
      <c r="B440" s="0" t="s">
        <v>199</v>
      </c>
      <c r="D440" s="11" t="n">
        <f aca="false">D424/1000/(D419+D420+D421)</f>
        <v>0.170398285527431</v>
      </c>
      <c r="E440" s="11" t="n">
        <f aca="false">E424/1000/(E419+E420+E421)</f>
        <v>0.170159646735473</v>
      </c>
      <c r="F440" s="11" t="n">
        <f aca="false">F424/1000/(F419+F420+F421)</f>
        <v>0.170084890448361</v>
      </c>
      <c r="G440" s="11" t="n">
        <f aca="false">G424/1000/(G419+G420+G421)</f>
        <v>0.169996548109528</v>
      </c>
      <c r="H440" s="5" t="s">
        <v>579</v>
      </c>
    </row>
    <row r="444" customFormat="false" ht="17.15" hidden="false" customHeight="false" outlineLevel="0" collapsed="false">
      <c r="A444" s="3" t="s">
        <v>927</v>
      </c>
    </row>
    <row r="445" customFormat="false" ht="15" hidden="false" customHeight="false" outlineLevel="0" collapsed="false">
      <c r="A445" s="6" t="s">
        <v>19</v>
      </c>
      <c r="B445" s="6" t="s">
        <v>20</v>
      </c>
      <c r="C445" s="15" t="s">
        <v>513</v>
      </c>
      <c r="D445" s="15" t="s">
        <v>514</v>
      </c>
      <c r="E445" s="15" t="s">
        <v>515</v>
      </c>
      <c r="F445" s="15" t="s">
        <v>516</v>
      </c>
      <c r="G445" s="15" t="s">
        <v>517</v>
      </c>
      <c r="H445" s="6" t="s">
        <v>518</v>
      </c>
    </row>
    <row r="446" customFormat="false" ht="17.15" hidden="false" customHeight="false" outlineLevel="0" collapsed="false">
      <c r="A446" s="1" t="s">
        <v>549</v>
      </c>
    </row>
    <row r="447" customFormat="false" ht="17.15" hidden="false" customHeight="false" outlineLevel="0" collapsed="false">
      <c r="A447" s="5" t="s">
        <v>550</v>
      </c>
      <c r="B447" s="0" t="s">
        <v>30</v>
      </c>
      <c r="C447" s="22" t="n">
        <f aca="false">laA_25+loA_25+ofA_25</f>
        <v>78.3481206981793</v>
      </c>
      <c r="D447" s="22" t="n">
        <f aca="false">laA_26+loA_26+ofA_26</f>
        <v>99.7111533272534</v>
      </c>
      <c r="E447" s="22" t="n">
        <f aca="false">laA_27+loA_27+ofA_27</f>
        <v>116.288709321091</v>
      </c>
      <c r="F447" s="22" t="n">
        <f aca="false">laA_28+loA_28+ofA_28</f>
        <v>130.886404842261</v>
      </c>
      <c r="G447" s="22" t="n">
        <f aca="false">laA_29+loA_29+ofA_29</f>
        <v>139.398079992203</v>
      </c>
    </row>
    <row r="448" customFormat="false" ht="17.15" hidden="false" customHeight="false" outlineLevel="0" collapsed="false">
      <c r="A448" s="0" t="s">
        <v>551</v>
      </c>
      <c r="B448" s="0" t="s">
        <v>30</v>
      </c>
      <c r="C448" s="22" t="n">
        <f aca="false">drA_25</f>
        <v>26.3761091658243</v>
      </c>
      <c r="D448" s="22" t="n">
        <f aca="false">drA_26</f>
        <v>41.8742847275048</v>
      </c>
      <c r="E448" s="22" t="n">
        <f aca="false">drA_27</f>
        <v>53.2587328153375</v>
      </c>
      <c r="F448" s="22" t="n">
        <f aca="false">drA_28</f>
        <v>59.5608998372386</v>
      </c>
      <c r="G448" s="22" t="n">
        <f aca="false">drA_29</f>
        <v>61.8312930912183</v>
      </c>
    </row>
    <row r="449" customFormat="false" ht="15" hidden="false" customHeight="false" outlineLevel="0" collapsed="false">
      <c r="A449" s="0" t="s">
        <v>552</v>
      </c>
      <c r="B449" s="0" t="s">
        <v>30</v>
      </c>
      <c r="C449" s="22" t="n">
        <f aca="false">ndA_25</f>
        <v>12.1726019800256</v>
      </c>
      <c r="D449" s="22" t="n">
        <f aca="false">ndA_26</f>
        <v>18.4595763045422</v>
      </c>
      <c r="E449" s="22" t="n">
        <f aca="false">ndA_27</f>
        <v>23.2480272411321</v>
      </c>
      <c r="F449" s="22" t="n">
        <f aca="false">ndA_28</f>
        <v>26.181321629459</v>
      </c>
      <c r="G449" s="22" t="n">
        <f aca="false">ndA_29</f>
        <v>27.674312771805</v>
      </c>
    </row>
    <row r="450" customFormat="false" ht="17.15" hidden="false" customHeight="false" outlineLevel="0" collapsed="false">
      <c r="A450" s="1" t="s">
        <v>553</v>
      </c>
    </row>
    <row r="451" customFormat="false" ht="17.15" hidden="false" customHeight="false" outlineLevel="0" collapsed="false">
      <c r="A451" s="5" t="s">
        <v>554</v>
      </c>
      <c r="B451" s="0" t="s">
        <v>30</v>
      </c>
      <c r="D451" s="22" t="n">
        <f aca="false">fyw*C447+(1-fyw)*D447</f>
        <v>96.1506478890744</v>
      </c>
      <c r="E451" s="22" t="n">
        <f aca="false">fyw*D447+(1-fyw)*E447</f>
        <v>113.525783322118</v>
      </c>
      <c r="F451" s="22" t="n">
        <f aca="false">fyw*E447+(1-fyw)*F447</f>
        <v>128.453455588732</v>
      </c>
      <c r="G451" s="22" t="n">
        <f aca="false">fyw*F447+(1-fyw)*G447</f>
        <v>137.979467467212</v>
      </c>
    </row>
    <row r="452" customFormat="false" ht="17.15" hidden="false" customHeight="false" outlineLevel="0" collapsed="false">
      <c r="A452" s="0" t="s">
        <v>555</v>
      </c>
      <c r="B452" s="0" t="s">
        <v>30</v>
      </c>
      <c r="D452" s="22" t="n">
        <f aca="false">fyw*C448+(1-fyw)*D448</f>
        <v>39.2912554672247</v>
      </c>
      <c r="E452" s="22" t="n">
        <f aca="false">fyw*D448+(1-fyw)*E448</f>
        <v>51.3613248006987</v>
      </c>
      <c r="F452" s="22" t="n">
        <f aca="false">fyw*E448+(1-fyw)*F448</f>
        <v>58.5105386669218</v>
      </c>
      <c r="G452" s="22" t="n">
        <f aca="false">fyw*F448+(1-fyw)*G448</f>
        <v>61.452894215555</v>
      </c>
    </row>
    <row r="453" customFormat="false" ht="15" hidden="false" customHeight="false" outlineLevel="0" collapsed="false">
      <c r="A453" s="0" t="s">
        <v>556</v>
      </c>
      <c r="B453" s="0" t="s">
        <v>30</v>
      </c>
      <c r="D453" s="22" t="n">
        <f aca="false">fyw*C449+(1-fyw)*D449</f>
        <v>17.4117472504561</v>
      </c>
      <c r="E453" s="22" t="n">
        <f aca="false">fyw*D449+(1-fyw)*E449</f>
        <v>22.4499520850338</v>
      </c>
      <c r="F453" s="22" t="n">
        <f aca="false">fyw*E449+(1-fyw)*F449</f>
        <v>25.6924392314045</v>
      </c>
      <c r="G453" s="22" t="n">
        <f aca="false">fyw*F449+(1-fyw)*G449</f>
        <v>27.4254809147473</v>
      </c>
    </row>
    <row r="454" customFormat="false" ht="17.15" hidden="false" customHeight="false" outlineLevel="0" collapsed="false">
      <c r="A454" s="5" t="s">
        <v>557</v>
      </c>
      <c r="B454" s="0" t="s">
        <v>246</v>
      </c>
      <c r="D454" s="21" t="n">
        <f aca="false">m_fl*D451/$D451+m_dr*D452/$D452+m_nd*D453/$D453</f>
        <v>1</v>
      </c>
      <c r="E454" s="21" t="n">
        <f aca="false">m_fl*E451/$D451+m_dr*E452/$D452+m_nd*E453/$D453</f>
        <v>1.22388113282</v>
      </c>
      <c r="F454" s="21" t="n">
        <f aca="false">m_fl*F451/$D451+m_dr*F452/$D452+m_nd*F453/$D453</f>
        <v>1.3886833368957</v>
      </c>
      <c r="G454" s="21" t="n">
        <f aca="false">m_fl*G451/$D451+m_dr*G452/$D452+m_nd*G453/$D453</f>
        <v>1.48065154546388</v>
      </c>
      <c r="H454" s="8" t="s">
        <v>558</v>
      </c>
    </row>
    <row r="455" customFormat="false" ht="17.15" hidden="false" customHeight="false" outlineLevel="0" collapsed="false">
      <c r="A455" s="1" t="s">
        <v>559</v>
      </c>
    </row>
    <row r="456" customFormat="false" ht="17.15" hidden="false" customHeight="false" outlineLevel="0" collapsed="false">
      <c r="A456" s="5" t="s">
        <v>560</v>
      </c>
      <c r="B456" s="0" t="s">
        <v>252</v>
      </c>
      <c r="C456" s="9" t="n">
        <f aca="false">a25_ss</f>
        <v>21438.5432098765</v>
      </c>
      <c r="D456" s="9" t="n">
        <f aca="false">an_ss</f>
        <v>26046</v>
      </c>
      <c r="E456" s="9" t="n">
        <f aca="false">$D456*E454*sf</f>
        <v>31877.2079854298</v>
      </c>
      <c r="F456" s="9" t="n">
        <f aca="false">$D456*F454*sf</f>
        <v>36169.6461927855</v>
      </c>
      <c r="G456" s="9" t="n">
        <f aca="false">$D456*G454*sf</f>
        <v>38565.0501531522</v>
      </c>
      <c r="H456" s="8" t="s">
        <v>561</v>
      </c>
    </row>
    <row r="457" customFormat="false" ht="17.15" hidden="false" customHeight="false" outlineLevel="0" collapsed="false">
      <c r="A457" s="0" t="s">
        <v>562</v>
      </c>
      <c r="B457" s="0" t="s">
        <v>252</v>
      </c>
      <c r="C457" s="9" t="n">
        <f aca="false">a25_ags</f>
        <v>5744.19672131148</v>
      </c>
      <c r="D457" s="9" t="n">
        <f aca="false">an_ags</f>
        <v>6845</v>
      </c>
      <c r="E457" s="9" t="n">
        <f aca="false">D457*(1+g_ags_A)</f>
        <v>7871.75</v>
      </c>
      <c r="F457" s="9" t="n">
        <f aca="false">E457*(1+g_ags_A)</f>
        <v>9052.5125</v>
      </c>
      <c r="G457" s="9" t="n">
        <f aca="false">F457*(1+g_ags_A)</f>
        <v>10410.389375</v>
      </c>
    </row>
    <row r="458" customFormat="false" ht="17.15" hidden="false" customHeight="false" outlineLevel="0" collapsed="false">
      <c r="A458" s="5" t="s">
        <v>563</v>
      </c>
      <c r="B458" s="0" t="s">
        <v>252</v>
      </c>
      <c r="C458" s="9" t="n">
        <v>0</v>
      </c>
      <c r="D458" s="9" t="n">
        <v>0</v>
      </c>
      <c r="E458" s="9" t="n">
        <f aca="false">-aff_hit*aff_A-0*cn_sh*(E456+E457)</f>
        <v>-0</v>
      </c>
      <c r="F458" s="9" t="n">
        <f aca="false">-aff_hit*aff_A-0*cn_sh*(F456+F457)</f>
        <v>-0</v>
      </c>
      <c r="G458" s="9" t="n">
        <f aca="false">-aff_hit*aff_A-0*cn_sh*(G456+G457)</f>
        <v>-0</v>
      </c>
      <c r="H458" s="5" t="s">
        <v>564</v>
      </c>
    </row>
    <row r="459" customFormat="false" ht="17.15" hidden="false" customHeight="false" outlineLevel="0" collapsed="false">
      <c r="A459" s="5" t="s">
        <v>565</v>
      </c>
      <c r="B459" s="0" t="s">
        <v>252</v>
      </c>
      <c r="C459" s="9" t="n">
        <f aca="false">C456+C458*C456/(C456+C457)</f>
        <v>21438.5432098765</v>
      </c>
      <c r="D459" s="9" t="n">
        <f aca="false">D456+D458*D456/(D456+D457)</f>
        <v>26046</v>
      </c>
      <c r="E459" s="9" t="n">
        <f aca="false">E456+E458*E456/(E456+E457)</f>
        <v>31877.2079854298</v>
      </c>
      <c r="F459" s="9" t="n">
        <f aca="false">F456+F458*F456/(F456+F457)</f>
        <v>36169.6461927855</v>
      </c>
      <c r="G459" s="9" t="n">
        <f aca="false">G456+G458*G456/(G456+G457)</f>
        <v>38565.0501531522</v>
      </c>
      <c r="H459" s="5" t="s">
        <v>566</v>
      </c>
    </row>
    <row r="460" customFormat="false" ht="17.15" hidden="false" customHeight="false" outlineLevel="0" collapsed="false">
      <c r="A460" s="0" t="s">
        <v>567</v>
      </c>
      <c r="B460" s="0" t="s">
        <v>252</v>
      </c>
      <c r="C460" s="9" t="n">
        <f aca="false">C457+C458*C457/(C456+C457)</f>
        <v>5744.19672131148</v>
      </c>
      <c r="D460" s="9" t="n">
        <f aca="false">D457+D458*D457/(D456+D457)</f>
        <v>6845</v>
      </c>
      <c r="E460" s="9" t="n">
        <f aca="false">E457+E458*E457/(E456+E457)</f>
        <v>7871.75</v>
      </c>
      <c r="F460" s="9" t="n">
        <f aca="false">F457+F458*F457/(F456+F457)</f>
        <v>9052.5125</v>
      </c>
      <c r="G460" s="9" t="n">
        <f aca="false">G457+G458*G457/(G456+G457)</f>
        <v>10410.389375</v>
      </c>
      <c r="H460" s="5" t="s">
        <v>568</v>
      </c>
    </row>
    <row r="461" customFormat="false" ht="17.15" hidden="false" customHeight="false" outlineLevel="0" collapsed="false">
      <c r="A461" s="5" t="s">
        <v>569</v>
      </c>
      <c r="B461" s="0" t="s">
        <v>252</v>
      </c>
      <c r="C461" s="9" t="n">
        <f aca="false">a25_oth</f>
        <v>1185.26006881198</v>
      </c>
      <c r="D461" s="9" t="n">
        <f aca="false">an_oth</f>
        <v>1396</v>
      </c>
      <c r="E461" s="9" t="n">
        <f aca="false">D461*(1+g_oth_A_lo)</f>
        <v>1256.4</v>
      </c>
      <c r="F461" s="9" t="n">
        <f aca="false">E461*(1+g_oth_A_lo)</f>
        <v>1130.76</v>
      </c>
      <c r="G461" s="9" t="n">
        <f aca="false">F461*(1+g_oth_A_lo)</f>
        <v>1017.684</v>
      </c>
      <c r="H461" s="5" t="s">
        <v>570</v>
      </c>
    </row>
    <row r="462" customFormat="false" ht="15" hidden="false" customHeight="false" outlineLevel="0" collapsed="false">
      <c r="A462" s="5" t="s">
        <v>454</v>
      </c>
      <c r="B462" s="0" t="s">
        <v>252</v>
      </c>
      <c r="C462" s="9" t="n">
        <f aca="false">C459+C460+C461</f>
        <v>28368</v>
      </c>
      <c r="D462" s="9" t="n">
        <f aca="false">D459+D460+D461</f>
        <v>34287</v>
      </c>
      <c r="E462" s="9" t="n">
        <f aca="false">E459+E460+E461</f>
        <v>41005.3579854298</v>
      </c>
      <c r="F462" s="9" t="n">
        <f aca="false">F459+F460+F461</f>
        <v>46352.9186927855</v>
      </c>
      <c r="G462" s="9" t="n">
        <f aca="false">G459+G460+G461</f>
        <v>49993.1235281522</v>
      </c>
    </row>
    <row r="463" customFormat="false" ht="17.15" hidden="false" customHeight="false" outlineLevel="0" collapsed="false">
      <c r="A463" s="5" t="s">
        <v>571</v>
      </c>
      <c r="B463" s="0" t="s">
        <v>252</v>
      </c>
      <c r="C463" s="23" t="n">
        <f aca="false">C459+C460+C461-a25_rev</f>
        <v>0</v>
      </c>
      <c r="D463" s="23" t="n">
        <f aca="false">D459+D460+D461-an_rev</f>
        <v>0</v>
      </c>
    </row>
    <row r="464" customFormat="false" ht="17.15" hidden="false" customHeight="false" outlineLevel="0" collapsed="false">
      <c r="A464" s="0" t="s">
        <v>460</v>
      </c>
      <c r="B464" s="0" t="s">
        <v>199</v>
      </c>
      <c r="C464" s="11" t="n">
        <f aca="false">a25_gp/a25_rev</f>
        <v>0.487833192329385</v>
      </c>
      <c r="D464" s="11" t="n">
        <f aca="false">an_gp/an_rev</f>
        <v>0.500418584303089</v>
      </c>
      <c r="E464" s="11" t="n">
        <f aca="false">1-(cF+cv*E462)/E462</f>
        <v>0.51030114881797</v>
      </c>
      <c r="F464" s="11" t="n">
        <f aca="false">1-(cF+cv*F462)/F462</f>
        <v>0.5161196970986</v>
      </c>
      <c r="G464" s="11" t="n">
        <f aca="false">1-(cF+cv*G462)/G462</f>
        <v>0.519368438004307</v>
      </c>
      <c r="H464" s="5" t="s">
        <v>572</v>
      </c>
    </row>
    <row r="465" customFormat="false" ht="17.15" hidden="false" customHeight="false" outlineLevel="0" collapsed="false">
      <c r="A465" s="0" t="s">
        <v>463</v>
      </c>
      <c r="B465" s="0" t="s">
        <v>252</v>
      </c>
      <c r="C465" s="9" t="n">
        <f aca="false">C462*C464</f>
        <v>13838.852</v>
      </c>
      <c r="D465" s="9" t="n">
        <f aca="false">D462*D464</f>
        <v>17157.852</v>
      </c>
      <c r="E465" s="9" t="n">
        <f aca="false">E462*E464</f>
        <v>20925.081287657</v>
      </c>
      <c r="F465" s="9" t="n">
        <f aca="false">F462*F464</f>
        <v>23923.6543553565</v>
      </c>
      <c r="G465" s="9" t="n">
        <f aca="false">G462*G464</f>
        <v>25964.8504777728</v>
      </c>
    </row>
    <row r="466" customFormat="false" ht="17.15" hidden="false" customHeight="false" outlineLevel="0" collapsed="false">
      <c r="A466" s="0" t="s">
        <v>573</v>
      </c>
      <c r="B466" s="0" t="s">
        <v>252</v>
      </c>
      <c r="C466" s="9" t="n">
        <f aca="false">opex25</f>
        <v>5276.852</v>
      </c>
      <c r="D466" s="9" t="n">
        <f aca="false">opex26</f>
        <v>5832.852</v>
      </c>
      <c r="E466" s="9" t="n">
        <f aca="false">oF+ov*E462</f>
        <v>6463.93952152374</v>
      </c>
      <c r="F466" s="9" t="n">
        <f aca="false">oF+ov*F462</f>
        <v>6966.26149369636</v>
      </c>
      <c r="G466" s="9" t="n">
        <f aca="false">oF+ov*G462</f>
        <v>7308.20335692729</v>
      </c>
      <c r="H466" s="5" t="s">
        <v>574</v>
      </c>
    </row>
    <row r="467" customFormat="false" ht="17.15" hidden="false" customHeight="false" outlineLevel="0" collapsed="false">
      <c r="A467" s="0" t="s">
        <v>465</v>
      </c>
      <c r="B467" s="0" t="s">
        <v>252</v>
      </c>
      <c r="C467" s="9" t="n">
        <f aca="false">C465-C466</f>
        <v>8562</v>
      </c>
      <c r="D467" s="9" t="n">
        <f aca="false">D465-D466</f>
        <v>11325</v>
      </c>
      <c r="E467" s="9" t="n">
        <f aca="false">E465-E466</f>
        <v>14461.1417661332</v>
      </c>
      <c r="F467" s="9" t="n">
        <f aca="false">F465-F466</f>
        <v>16957.3928616601</v>
      </c>
      <c r="G467" s="9" t="n">
        <f aca="false">G465-G466</f>
        <v>18656.6471208455</v>
      </c>
    </row>
    <row r="468" customFormat="false" ht="17.15" hidden="false" customHeight="false" outlineLevel="0" collapsed="false">
      <c r="A468" s="0" t="s">
        <v>544</v>
      </c>
      <c r="B468" s="0" t="s">
        <v>199</v>
      </c>
      <c r="C468" s="11" t="n">
        <f aca="false">C467/C462</f>
        <v>0.301818950930626</v>
      </c>
      <c r="D468" s="11" t="n">
        <f aca="false">D467/D462</f>
        <v>0.330300113745735</v>
      </c>
      <c r="E468" s="11" t="n">
        <f aca="false">E467/E462</f>
        <v>0.352664687655492</v>
      </c>
      <c r="F468" s="11" t="n">
        <f aca="false">F467/F462</f>
        <v>0.365832256951264</v>
      </c>
      <c r="G468" s="11" t="n">
        <f aca="false">G467/G462</f>
        <v>0.373184266238927</v>
      </c>
    </row>
    <row r="469" customFormat="false" ht="17.15" hidden="false" customHeight="false" outlineLevel="0" collapsed="false">
      <c r="A469" s="0" t="s">
        <v>470</v>
      </c>
      <c r="B469" s="0" t="s">
        <v>252</v>
      </c>
      <c r="C469" s="9" t="n">
        <f aca="false">a25_ni</f>
        <v>7607</v>
      </c>
      <c r="D469" s="9" t="n">
        <f aca="false">an_ni</f>
        <v>10179.92</v>
      </c>
      <c r="E469" s="9" t="n">
        <f aca="false">E467*nioi</f>
        <v>12848.1552692099</v>
      </c>
      <c r="F469" s="9" t="n">
        <f aca="false">F467*nioi</f>
        <v>15065.9761152358</v>
      </c>
      <c r="G469" s="9" t="n">
        <f aca="false">G467*nioi</f>
        <v>16575.6966419378</v>
      </c>
    </row>
    <row r="470" customFormat="false" ht="15" hidden="false" customHeight="false" outlineLevel="0" collapsed="false">
      <c r="A470" s="5" t="s">
        <v>575</v>
      </c>
      <c r="B470" s="5" t="s">
        <v>328</v>
      </c>
      <c r="C470" s="23" t="n">
        <f aca="false">a25_sh</f>
        <v>808</v>
      </c>
      <c r="D470" s="23" t="n">
        <f aca="false">an_sh</f>
        <v>797.799373040752</v>
      </c>
      <c r="E470" s="23" t="n">
        <f aca="false">$D470*(1-bb)^1</f>
        <v>789.821379310345</v>
      </c>
      <c r="F470" s="23" t="n">
        <f aca="false">$D470*(1-bb)^2</f>
        <v>781.923165517241</v>
      </c>
      <c r="G470" s="23" t="n">
        <f aca="false">$D470*(1-bb)^3</f>
        <v>774.103933862069</v>
      </c>
    </row>
    <row r="471" customFormat="false" ht="17.15" hidden="false" customHeight="false" outlineLevel="0" collapsed="false">
      <c r="A471" s="0" t="s">
        <v>576</v>
      </c>
      <c r="B471" s="0" t="s">
        <v>341</v>
      </c>
      <c r="C471" s="14" t="n">
        <f aca="false">a25_eps</f>
        <v>9.42</v>
      </c>
      <c r="D471" s="14" t="n">
        <f aca="false">an_eps</f>
        <v>12.76</v>
      </c>
      <c r="E471" s="14" t="n">
        <f aca="false">E469/E470</f>
        <v>16.2671657235066</v>
      </c>
      <c r="F471" s="14" t="n">
        <f aca="false">F469/F470</f>
        <v>19.2678472510399</v>
      </c>
      <c r="G471" s="14" t="n">
        <f aca="false">G469/G470</f>
        <v>21.4127534002318</v>
      </c>
      <c r="H471" s="8" t="s">
        <v>577</v>
      </c>
    </row>
    <row r="472" customFormat="false" ht="17.15" hidden="false" customHeight="false" outlineLevel="0" collapsed="false">
      <c r="A472" s="5" t="s">
        <v>578</v>
      </c>
      <c r="B472" s="0" t="s">
        <v>199</v>
      </c>
      <c r="D472" s="11" t="n">
        <f aca="false">D456/1000/(D451+D452+D453)</f>
        <v>0.170398285527431</v>
      </c>
      <c r="E472" s="11" t="n">
        <f aca="false">E456/1000/(E451+E452+E453)</f>
        <v>0.170159646735473</v>
      </c>
      <c r="F472" s="11" t="n">
        <f aca="false">F456/1000/(F451+F452+F453)</f>
        <v>0.170084890448361</v>
      </c>
      <c r="G472" s="11" t="n">
        <f aca="false">G456/1000/(G451+G452+G453)</f>
        <v>0.169996548109528</v>
      </c>
      <c r="H472" s="5" t="s">
        <v>579</v>
      </c>
    </row>
    <row r="476" customFormat="false" ht="17.15" hidden="false" customHeight="false" outlineLevel="0" collapsed="false">
      <c r="A476" s="3" t="s">
        <v>928</v>
      </c>
    </row>
    <row r="477" customFormat="false" ht="15" hidden="false" customHeight="false" outlineLevel="0" collapsed="false">
      <c r="A477" s="6" t="s">
        <v>19</v>
      </c>
      <c r="B477" s="6" t="s">
        <v>20</v>
      </c>
      <c r="C477" s="15" t="s">
        <v>513</v>
      </c>
      <c r="D477" s="15" t="s">
        <v>514</v>
      </c>
      <c r="E477" s="15" t="s">
        <v>515</v>
      </c>
      <c r="F477" s="15" t="s">
        <v>516</v>
      </c>
      <c r="G477" s="15" t="s">
        <v>517</v>
      </c>
      <c r="H477" s="6" t="s">
        <v>518</v>
      </c>
    </row>
    <row r="478" customFormat="false" ht="17.15" hidden="false" customHeight="false" outlineLevel="0" collapsed="false">
      <c r="A478" s="1" t="s">
        <v>549</v>
      </c>
    </row>
    <row r="479" customFormat="false" ht="17.15" hidden="false" customHeight="false" outlineLevel="0" collapsed="false">
      <c r="A479" s="5" t="s">
        <v>550</v>
      </c>
      <c r="B479" s="0" t="s">
        <v>30</v>
      </c>
      <c r="C479" s="22" t="n">
        <f aca="false">laA_25+loA_25+ofA_25</f>
        <v>78.3481206981793</v>
      </c>
      <c r="D479" s="22" t="n">
        <f aca="false">laA_26+loA_26+ofA_26</f>
        <v>99.7111533272534</v>
      </c>
      <c r="E479" s="22" t="n">
        <f aca="false">laA_27+loA_27+ofA_27</f>
        <v>116.288709321091</v>
      </c>
      <c r="F479" s="22" t="n">
        <f aca="false">laA_28+loA_28+ofA_28</f>
        <v>130.886404842261</v>
      </c>
      <c r="G479" s="22" t="n">
        <f aca="false">laA_29+loA_29+ofA_29</f>
        <v>139.398079992203</v>
      </c>
    </row>
    <row r="480" customFormat="false" ht="17.15" hidden="false" customHeight="false" outlineLevel="0" collapsed="false">
      <c r="A480" s="0" t="s">
        <v>551</v>
      </c>
      <c r="B480" s="0" t="s">
        <v>30</v>
      </c>
      <c r="C480" s="22" t="n">
        <f aca="false">drA_25</f>
        <v>26.3761091658243</v>
      </c>
      <c r="D480" s="22" t="n">
        <f aca="false">drA_26</f>
        <v>41.8742847275048</v>
      </c>
      <c r="E480" s="22" t="n">
        <f aca="false">drA_27</f>
        <v>53.2587328153375</v>
      </c>
      <c r="F480" s="22" t="n">
        <f aca="false">drA_28</f>
        <v>59.5608998372386</v>
      </c>
      <c r="G480" s="22" t="n">
        <f aca="false">drA_29</f>
        <v>61.8312930912183</v>
      </c>
    </row>
    <row r="481" customFormat="false" ht="15" hidden="false" customHeight="false" outlineLevel="0" collapsed="false">
      <c r="A481" s="0" t="s">
        <v>552</v>
      </c>
      <c r="B481" s="0" t="s">
        <v>30</v>
      </c>
      <c r="C481" s="22" t="n">
        <f aca="false">ndA_25</f>
        <v>12.1726019800256</v>
      </c>
      <c r="D481" s="22" t="n">
        <f aca="false">ndA_26</f>
        <v>18.4595763045422</v>
      </c>
      <c r="E481" s="22" t="n">
        <f aca="false">ndA_27</f>
        <v>23.2480272411321</v>
      </c>
      <c r="F481" s="22" t="n">
        <f aca="false">ndA_28</f>
        <v>26.181321629459</v>
      </c>
      <c r="G481" s="22" t="n">
        <f aca="false">ndA_29</f>
        <v>27.674312771805</v>
      </c>
    </row>
    <row r="482" customFormat="false" ht="17.15" hidden="false" customHeight="false" outlineLevel="0" collapsed="false">
      <c r="A482" s="1" t="s">
        <v>553</v>
      </c>
    </row>
    <row r="483" customFormat="false" ht="17.15" hidden="false" customHeight="false" outlineLevel="0" collapsed="false">
      <c r="A483" s="5" t="s">
        <v>554</v>
      </c>
      <c r="B483" s="0" t="s">
        <v>30</v>
      </c>
      <c r="D483" s="22" t="n">
        <f aca="false">fyw*C479+(1-fyw)*D479</f>
        <v>96.1506478890744</v>
      </c>
      <c r="E483" s="22" t="n">
        <f aca="false">fyw*D479+(1-fyw)*E479</f>
        <v>113.525783322118</v>
      </c>
      <c r="F483" s="22" t="n">
        <f aca="false">fyw*E479+(1-fyw)*F479</f>
        <v>128.453455588732</v>
      </c>
      <c r="G483" s="22" t="n">
        <f aca="false">fyw*F479+(1-fyw)*G479</f>
        <v>137.979467467212</v>
      </c>
    </row>
    <row r="484" customFormat="false" ht="17.15" hidden="false" customHeight="false" outlineLevel="0" collapsed="false">
      <c r="A484" s="0" t="s">
        <v>555</v>
      </c>
      <c r="B484" s="0" t="s">
        <v>30</v>
      </c>
      <c r="D484" s="22" t="n">
        <f aca="false">fyw*C480+(1-fyw)*D480</f>
        <v>39.2912554672247</v>
      </c>
      <c r="E484" s="22" t="n">
        <f aca="false">fyw*D480+(1-fyw)*E480</f>
        <v>51.3613248006987</v>
      </c>
      <c r="F484" s="22" t="n">
        <f aca="false">fyw*E480+(1-fyw)*F480</f>
        <v>58.5105386669218</v>
      </c>
      <c r="G484" s="22" t="n">
        <f aca="false">fyw*F480+(1-fyw)*G480</f>
        <v>61.452894215555</v>
      </c>
    </row>
    <row r="485" customFormat="false" ht="15" hidden="false" customHeight="false" outlineLevel="0" collapsed="false">
      <c r="A485" s="0" t="s">
        <v>556</v>
      </c>
      <c r="B485" s="0" t="s">
        <v>30</v>
      </c>
      <c r="D485" s="22" t="n">
        <f aca="false">fyw*C481+(1-fyw)*D481</f>
        <v>17.4117472504561</v>
      </c>
      <c r="E485" s="22" t="n">
        <f aca="false">fyw*D481+(1-fyw)*E481</f>
        <v>22.4499520850338</v>
      </c>
      <c r="F485" s="22" t="n">
        <f aca="false">fyw*E481+(1-fyw)*F481</f>
        <v>25.6924392314045</v>
      </c>
      <c r="G485" s="22" t="n">
        <f aca="false">fyw*F481+(1-fyw)*G481</f>
        <v>27.4254809147473</v>
      </c>
    </row>
    <row r="486" customFormat="false" ht="17.15" hidden="false" customHeight="false" outlineLevel="0" collapsed="false">
      <c r="A486" s="5" t="s">
        <v>557</v>
      </c>
      <c r="B486" s="0" t="s">
        <v>246</v>
      </c>
      <c r="D486" s="21" t="n">
        <f aca="false">m_fl*D483/$D483+m_dr*D484/$D484+m_nd*D485/$D485</f>
        <v>1</v>
      </c>
      <c r="E486" s="21" t="n">
        <f aca="false">m_fl*E483/$D483+m_dr*E484/$D484+m_nd*E485/$D485</f>
        <v>1.22388113282</v>
      </c>
      <c r="F486" s="21" t="n">
        <f aca="false">m_fl*F483/$D483+m_dr*F484/$D484+m_nd*F485/$D485</f>
        <v>1.3886833368957</v>
      </c>
      <c r="G486" s="21" t="n">
        <f aca="false">m_fl*G483/$D483+m_dr*G484/$D484+m_nd*G485/$D485</f>
        <v>1.48065154546388</v>
      </c>
      <c r="H486" s="8" t="s">
        <v>558</v>
      </c>
    </row>
    <row r="487" customFormat="false" ht="17.15" hidden="false" customHeight="false" outlineLevel="0" collapsed="false">
      <c r="A487" s="1" t="s">
        <v>559</v>
      </c>
    </row>
    <row r="488" customFormat="false" ht="17.15" hidden="false" customHeight="false" outlineLevel="0" collapsed="false">
      <c r="A488" s="5" t="s">
        <v>560</v>
      </c>
      <c r="B488" s="0" t="s">
        <v>252</v>
      </c>
      <c r="C488" s="9" t="n">
        <f aca="false">a25_ss</f>
        <v>21438.5432098765</v>
      </c>
      <c r="D488" s="9" t="n">
        <f aca="false">an_ss</f>
        <v>26046</v>
      </c>
      <c r="E488" s="9" t="n">
        <f aca="false">$D488*E486*sf</f>
        <v>31877.2079854298</v>
      </c>
      <c r="F488" s="9" t="n">
        <f aca="false">$D488*F486*sf</f>
        <v>36169.6461927855</v>
      </c>
      <c r="G488" s="9" t="n">
        <f aca="false">$D488*G486*sf</f>
        <v>38565.0501531522</v>
      </c>
      <c r="H488" s="8" t="s">
        <v>561</v>
      </c>
    </row>
    <row r="489" customFormat="false" ht="17.15" hidden="false" customHeight="false" outlineLevel="0" collapsed="false">
      <c r="A489" s="0" t="s">
        <v>562</v>
      </c>
      <c r="B489" s="0" t="s">
        <v>252</v>
      </c>
      <c r="C489" s="9" t="n">
        <f aca="false">a25_ags</f>
        <v>5744.19672131148</v>
      </c>
      <c r="D489" s="9" t="n">
        <f aca="false">an_ags</f>
        <v>6845</v>
      </c>
      <c r="E489" s="9" t="n">
        <f aca="false">D489*(1+g_ags_A)</f>
        <v>7871.75</v>
      </c>
      <c r="F489" s="9" t="n">
        <f aca="false">E489*(1+g_ags_A)</f>
        <v>9052.5125</v>
      </c>
      <c r="G489" s="9" t="n">
        <f aca="false">F489*(1+g_ags_A)</f>
        <v>10410.389375</v>
      </c>
    </row>
    <row r="490" customFormat="false" ht="17.15" hidden="false" customHeight="false" outlineLevel="0" collapsed="false">
      <c r="A490" s="5" t="s">
        <v>563</v>
      </c>
      <c r="B490" s="0" t="s">
        <v>252</v>
      </c>
      <c r="C490" s="9" t="n">
        <v>0</v>
      </c>
      <c r="D490" s="9" t="n">
        <v>0</v>
      </c>
      <c r="E490" s="9" t="n">
        <f aca="false">-aff_hit*aff_A-0*cn_sh*(E488+E489)</f>
        <v>-0</v>
      </c>
      <c r="F490" s="9" t="n">
        <f aca="false">-aff_hit*aff_A-0*cn_sh*(F488+F489)</f>
        <v>-0</v>
      </c>
      <c r="G490" s="9" t="n">
        <f aca="false">-aff_hit*aff_A-0*cn_sh*(G488+G489)</f>
        <v>-0</v>
      </c>
      <c r="H490" s="5" t="s">
        <v>564</v>
      </c>
    </row>
    <row r="491" customFormat="false" ht="17.15" hidden="false" customHeight="false" outlineLevel="0" collapsed="false">
      <c r="A491" s="5" t="s">
        <v>565</v>
      </c>
      <c r="B491" s="0" t="s">
        <v>252</v>
      </c>
      <c r="C491" s="9" t="n">
        <f aca="false">C488+C490*C488/(C488+C489)</f>
        <v>21438.5432098765</v>
      </c>
      <c r="D491" s="9" t="n">
        <f aca="false">D488+D490*D488/(D488+D489)</f>
        <v>26046</v>
      </c>
      <c r="E491" s="9" t="n">
        <f aca="false">E488+E490*E488/(E488+E489)</f>
        <v>31877.2079854298</v>
      </c>
      <c r="F491" s="9" t="n">
        <f aca="false">F488+F490*F488/(F488+F489)</f>
        <v>36169.6461927855</v>
      </c>
      <c r="G491" s="9" t="n">
        <f aca="false">G488+G490*G488/(G488+G489)</f>
        <v>38565.0501531522</v>
      </c>
      <c r="H491" s="5" t="s">
        <v>566</v>
      </c>
    </row>
    <row r="492" customFormat="false" ht="17.15" hidden="false" customHeight="false" outlineLevel="0" collapsed="false">
      <c r="A492" s="0" t="s">
        <v>567</v>
      </c>
      <c r="B492" s="0" t="s">
        <v>252</v>
      </c>
      <c r="C492" s="9" t="n">
        <f aca="false">C489+C490*C489/(C488+C489)</f>
        <v>5744.19672131148</v>
      </c>
      <c r="D492" s="9" t="n">
        <f aca="false">D489+D490*D489/(D488+D489)</f>
        <v>6845</v>
      </c>
      <c r="E492" s="9" t="n">
        <f aca="false">E489+E490*E489/(E488+E489)</f>
        <v>7871.75</v>
      </c>
      <c r="F492" s="9" t="n">
        <f aca="false">F489+F490*F489/(F488+F489)</f>
        <v>9052.5125</v>
      </c>
      <c r="G492" s="9" t="n">
        <f aca="false">G489+G490*G489/(G488+G489)</f>
        <v>10410.389375</v>
      </c>
      <c r="H492" s="5" t="s">
        <v>568</v>
      </c>
    </row>
    <row r="493" customFormat="false" ht="17.15" hidden="false" customHeight="false" outlineLevel="0" collapsed="false">
      <c r="A493" s="5" t="s">
        <v>569</v>
      </c>
      <c r="B493" s="0" t="s">
        <v>252</v>
      </c>
      <c r="C493" s="9" t="n">
        <f aca="false">a25_oth</f>
        <v>1185.26006881198</v>
      </c>
      <c r="D493" s="9" t="n">
        <f aca="false">an_oth</f>
        <v>1396</v>
      </c>
      <c r="E493" s="9" t="n">
        <f aca="false">D493*(1+g_oth_A_hi)</f>
        <v>1535.6</v>
      </c>
      <c r="F493" s="9" t="n">
        <f aca="false">E493*(1+g_oth_A_hi)</f>
        <v>1689.16</v>
      </c>
      <c r="G493" s="9" t="n">
        <f aca="false">F493*(1+g_oth_A_hi)</f>
        <v>1858.076</v>
      </c>
      <c r="H493" s="5" t="s">
        <v>570</v>
      </c>
    </row>
    <row r="494" customFormat="false" ht="15" hidden="false" customHeight="false" outlineLevel="0" collapsed="false">
      <c r="A494" s="5" t="s">
        <v>454</v>
      </c>
      <c r="B494" s="0" t="s">
        <v>252</v>
      </c>
      <c r="C494" s="9" t="n">
        <f aca="false">C491+C492+C493</f>
        <v>28368</v>
      </c>
      <c r="D494" s="9" t="n">
        <f aca="false">D491+D492+D493</f>
        <v>34287</v>
      </c>
      <c r="E494" s="9" t="n">
        <f aca="false">E491+E492+E493</f>
        <v>41284.5579854298</v>
      </c>
      <c r="F494" s="9" t="n">
        <f aca="false">F491+F492+F493</f>
        <v>46911.3186927855</v>
      </c>
      <c r="G494" s="9" t="n">
        <f aca="false">G491+G492+G493</f>
        <v>50833.5155281522</v>
      </c>
    </row>
    <row r="495" customFormat="false" ht="17.15" hidden="false" customHeight="false" outlineLevel="0" collapsed="false">
      <c r="A495" s="5" t="s">
        <v>571</v>
      </c>
      <c r="B495" s="0" t="s">
        <v>252</v>
      </c>
      <c r="C495" s="23" t="n">
        <f aca="false">C491+C492+C493-a25_rev</f>
        <v>0</v>
      </c>
      <c r="D495" s="23" t="n">
        <f aca="false">D491+D492+D493-an_rev</f>
        <v>0</v>
      </c>
    </row>
    <row r="496" customFormat="false" ht="17.15" hidden="false" customHeight="false" outlineLevel="0" collapsed="false">
      <c r="A496" s="0" t="s">
        <v>460</v>
      </c>
      <c r="B496" s="0" t="s">
        <v>199</v>
      </c>
      <c r="C496" s="11" t="n">
        <f aca="false">a25_gp/a25_rev</f>
        <v>0.487833192329385</v>
      </c>
      <c r="D496" s="11" t="n">
        <f aca="false">an_gp/an_rev</f>
        <v>0.500418584303089</v>
      </c>
      <c r="E496" s="11" t="n">
        <f aca="false">1-(cF+cv*E494)/E494</f>
        <v>0.510642234727675</v>
      </c>
      <c r="F496" s="11" t="n">
        <f aca="false">1-(cF+cv*F494)/F494</f>
        <v>0.516650786084558</v>
      </c>
      <c r="G496" s="11" t="n">
        <f aca="false">1-(cF+cv*G494)/G494</f>
        <v>0.520052346665881</v>
      </c>
      <c r="H496" s="5" t="s">
        <v>572</v>
      </c>
    </row>
    <row r="497" customFormat="false" ht="17.15" hidden="false" customHeight="false" outlineLevel="0" collapsed="false">
      <c r="A497" s="0" t="s">
        <v>463</v>
      </c>
      <c r="B497" s="0" t="s">
        <v>252</v>
      </c>
      <c r="C497" s="9" t="n">
        <f aca="false">C494*C496</f>
        <v>13838.852</v>
      </c>
      <c r="D497" s="9" t="n">
        <f aca="false">D494*D496</f>
        <v>17157.852</v>
      </c>
      <c r="E497" s="9" t="n">
        <f aca="false">E494*E496</f>
        <v>21081.6389494242</v>
      </c>
      <c r="F497" s="9" t="n">
        <f aca="false">F494*F496</f>
        <v>24236.7696788909</v>
      </c>
      <c r="G497" s="9" t="n">
        <f aca="false">G494*G496</f>
        <v>26436.089039692</v>
      </c>
    </row>
    <row r="498" customFormat="false" ht="17.15" hidden="false" customHeight="false" outlineLevel="0" collapsed="false">
      <c r="A498" s="0" t="s">
        <v>573</v>
      </c>
      <c r="B498" s="0" t="s">
        <v>252</v>
      </c>
      <c r="C498" s="9" t="n">
        <f aca="false">opex25</f>
        <v>5276.852</v>
      </c>
      <c r="D498" s="9" t="n">
        <f aca="false">opex26</f>
        <v>5832.852</v>
      </c>
      <c r="E498" s="9" t="n">
        <f aca="false">oF+ov*E494</f>
        <v>6490.16611385352</v>
      </c>
      <c r="F498" s="9" t="n">
        <f aca="false">oF+ov*F494</f>
        <v>7018.71467835593</v>
      </c>
      <c r="G498" s="9" t="n">
        <f aca="false">oF+ov*G494</f>
        <v>7387.14539983994</v>
      </c>
      <c r="H498" s="5" t="s">
        <v>574</v>
      </c>
    </row>
    <row r="499" customFormat="false" ht="17.15" hidden="false" customHeight="false" outlineLevel="0" collapsed="false">
      <c r="A499" s="0" t="s">
        <v>465</v>
      </c>
      <c r="B499" s="0" t="s">
        <v>252</v>
      </c>
      <c r="C499" s="9" t="n">
        <f aca="false">C497-C498</f>
        <v>8562</v>
      </c>
      <c r="D499" s="9" t="n">
        <f aca="false">D497-D498</f>
        <v>11325</v>
      </c>
      <c r="E499" s="9" t="n">
        <f aca="false">E497-E498</f>
        <v>14591.4728355706</v>
      </c>
      <c r="F499" s="9" t="n">
        <f aca="false">F497-F498</f>
        <v>17218.0550005349</v>
      </c>
      <c r="G499" s="9" t="n">
        <f aca="false">G497-G498</f>
        <v>19048.9436398521</v>
      </c>
    </row>
    <row r="500" customFormat="false" ht="17.15" hidden="false" customHeight="false" outlineLevel="0" collapsed="false">
      <c r="A500" s="0" t="s">
        <v>544</v>
      </c>
      <c r="B500" s="0" t="s">
        <v>199</v>
      </c>
      <c r="C500" s="11" t="n">
        <f aca="false">C499/C494</f>
        <v>0.301818950930626</v>
      </c>
      <c r="D500" s="11" t="n">
        <f aca="false">D499/D494</f>
        <v>0.330300113745735</v>
      </c>
      <c r="E500" s="11" t="n">
        <f aca="false">E499/E494</f>
        <v>0.353436576472982</v>
      </c>
      <c r="F500" s="11" t="n">
        <f aca="false">F499/F494</f>
        <v>0.367034129082858</v>
      </c>
      <c r="G500" s="11" t="n">
        <f aca="false">G499/G494</f>
        <v>0.374731974405794</v>
      </c>
    </row>
    <row r="501" customFormat="false" ht="17.15" hidden="false" customHeight="false" outlineLevel="0" collapsed="false">
      <c r="A501" s="0" t="s">
        <v>470</v>
      </c>
      <c r="B501" s="0" t="s">
        <v>252</v>
      </c>
      <c r="C501" s="9" t="n">
        <f aca="false">a25_ni</f>
        <v>7607</v>
      </c>
      <c r="D501" s="9" t="n">
        <f aca="false">an_ni</f>
        <v>10179.92</v>
      </c>
      <c r="E501" s="9" t="n">
        <f aca="false">E499*nioi</f>
        <v>12963.9492945791</v>
      </c>
      <c r="F501" s="9" t="n">
        <f aca="false">F499*nioi</f>
        <v>15297.564165974</v>
      </c>
      <c r="G501" s="9" t="n">
        <f aca="false">G499*nioi</f>
        <v>16924.2366582988</v>
      </c>
    </row>
    <row r="502" customFormat="false" ht="15" hidden="false" customHeight="false" outlineLevel="0" collapsed="false">
      <c r="A502" s="5" t="s">
        <v>575</v>
      </c>
      <c r="B502" s="5" t="s">
        <v>328</v>
      </c>
      <c r="C502" s="23" t="n">
        <f aca="false">a25_sh</f>
        <v>808</v>
      </c>
      <c r="D502" s="23" t="n">
        <f aca="false">an_sh</f>
        <v>797.799373040752</v>
      </c>
      <c r="E502" s="23" t="n">
        <f aca="false">$D502*(1-bb)^1</f>
        <v>789.821379310345</v>
      </c>
      <c r="F502" s="23" t="n">
        <f aca="false">$D502*(1-bb)^2</f>
        <v>781.923165517241</v>
      </c>
      <c r="G502" s="23" t="n">
        <f aca="false">$D502*(1-bb)^3</f>
        <v>774.103933862069</v>
      </c>
    </row>
    <row r="503" customFormat="false" ht="17.15" hidden="false" customHeight="false" outlineLevel="0" collapsed="false">
      <c r="A503" s="0" t="s">
        <v>576</v>
      </c>
      <c r="B503" s="0" t="s">
        <v>341</v>
      </c>
      <c r="C503" s="14" t="n">
        <f aca="false">a25_eps</f>
        <v>9.42</v>
      </c>
      <c r="D503" s="14" t="n">
        <f aca="false">an_eps</f>
        <v>12.76</v>
      </c>
      <c r="E503" s="14" t="n">
        <f aca="false">E501/E502</f>
        <v>16.4137735875153</v>
      </c>
      <c r="F503" s="14" t="n">
        <f aca="false">F501/F502</f>
        <v>19.5640247540878</v>
      </c>
      <c r="G503" s="14" t="n">
        <f aca="false">G501/G502</f>
        <v>21.8630030387036</v>
      </c>
      <c r="H503" s="8" t="s">
        <v>577</v>
      </c>
    </row>
    <row r="504" customFormat="false" ht="17.15" hidden="false" customHeight="false" outlineLevel="0" collapsed="false">
      <c r="A504" s="5" t="s">
        <v>578</v>
      </c>
      <c r="B504" s="0" t="s">
        <v>199</v>
      </c>
      <c r="D504" s="11" t="n">
        <f aca="false">D488/1000/(D483+D484+D485)</f>
        <v>0.170398285527431</v>
      </c>
      <c r="E504" s="11" t="n">
        <f aca="false">E488/1000/(E483+E484+E485)</f>
        <v>0.170159646735473</v>
      </c>
      <c r="F504" s="11" t="n">
        <f aca="false">F488/1000/(F483+F484+F485)</f>
        <v>0.170084890448361</v>
      </c>
      <c r="G504" s="11" t="n">
        <f aca="false">G488/1000/(G483+G484+G485)</f>
        <v>0.169996548109528</v>
      </c>
      <c r="H504" s="5" t="s">
        <v>579</v>
      </c>
    </row>
    <row r="508" customFormat="false" ht="17.15" hidden="false" customHeight="false" outlineLevel="0" collapsed="false">
      <c r="A508" s="3" t="s">
        <v>929</v>
      </c>
    </row>
    <row r="509" customFormat="false" ht="15" hidden="false" customHeight="false" outlineLevel="0" collapsed="false">
      <c r="A509" s="6" t="s">
        <v>19</v>
      </c>
      <c r="B509" s="6" t="s">
        <v>20</v>
      </c>
      <c r="C509" s="15" t="s">
        <v>513</v>
      </c>
      <c r="D509" s="15" t="s">
        <v>514</v>
      </c>
      <c r="E509" s="15" t="s">
        <v>515</v>
      </c>
      <c r="F509" s="15" t="s">
        <v>516</v>
      </c>
      <c r="G509" s="15" t="s">
        <v>517</v>
      </c>
      <c r="H509" s="6" t="s">
        <v>518</v>
      </c>
    </row>
    <row r="510" customFormat="false" ht="17.15" hidden="false" customHeight="false" outlineLevel="0" collapsed="false">
      <c r="A510" s="1" t="s">
        <v>549</v>
      </c>
    </row>
    <row r="511" customFormat="false" ht="17.15" hidden="false" customHeight="false" outlineLevel="0" collapsed="false">
      <c r="A511" s="5" t="s">
        <v>550</v>
      </c>
      <c r="B511" s="0" t="s">
        <v>30</v>
      </c>
      <c r="C511" s="22" t="n">
        <f aca="false">laA_25+loA_25+ofA_25</f>
        <v>78.3481206981793</v>
      </c>
      <c r="D511" s="22" t="n">
        <f aca="false">laA_26+loA_26+ofA_26</f>
        <v>99.7111533272534</v>
      </c>
      <c r="E511" s="22" t="n">
        <f aca="false">laA_27+loA_27+ofA_27</f>
        <v>116.288709321091</v>
      </c>
      <c r="F511" s="22" t="n">
        <f aca="false">laA_28+loA_28+ofA_28</f>
        <v>130.886404842261</v>
      </c>
      <c r="G511" s="22" t="n">
        <f aca="false">laA_29+loA_29+ofA_29</f>
        <v>139.398079992203</v>
      </c>
    </row>
    <row r="512" customFormat="false" ht="17.15" hidden="false" customHeight="false" outlineLevel="0" collapsed="false">
      <c r="A512" s="0" t="s">
        <v>551</v>
      </c>
      <c r="B512" s="0" t="s">
        <v>30</v>
      </c>
      <c r="C512" s="22" t="n">
        <f aca="false">drA_25</f>
        <v>26.3761091658243</v>
      </c>
      <c r="D512" s="22" t="n">
        <f aca="false">drA_26</f>
        <v>41.8742847275048</v>
      </c>
      <c r="E512" s="22" t="n">
        <f aca="false">drA_27</f>
        <v>53.2587328153375</v>
      </c>
      <c r="F512" s="22" t="n">
        <f aca="false">drA_28</f>
        <v>59.5608998372386</v>
      </c>
      <c r="G512" s="22" t="n">
        <f aca="false">drA_29</f>
        <v>61.8312930912183</v>
      </c>
    </row>
    <row r="513" customFormat="false" ht="15" hidden="false" customHeight="false" outlineLevel="0" collapsed="false">
      <c r="A513" s="0" t="s">
        <v>552</v>
      </c>
      <c r="B513" s="0" t="s">
        <v>30</v>
      </c>
      <c r="C513" s="22" t="n">
        <f aca="false">ndA_25</f>
        <v>12.1726019800256</v>
      </c>
      <c r="D513" s="22" t="n">
        <f aca="false">ndA_26</f>
        <v>18.4595763045422</v>
      </c>
      <c r="E513" s="22" t="n">
        <f aca="false">ndA_27</f>
        <v>23.2480272411321</v>
      </c>
      <c r="F513" s="22" t="n">
        <f aca="false">ndA_28</f>
        <v>26.181321629459</v>
      </c>
      <c r="G513" s="22" t="n">
        <f aca="false">ndA_29</f>
        <v>27.674312771805</v>
      </c>
    </row>
    <row r="514" customFormat="false" ht="17.15" hidden="false" customHeight="false" outlineLevel="0" collapsed="false">
      <c r="A514" s="1" t="s">
        <v>553</v>
      </c>
    </row>
    <row r="515" customFormat="false" ht="17.15" hidden="false" customHeight="false" outlineLevel="0" collapsed="false">
      <c r="A515" s="5" t="s">
        <v>554</v>
      </c>
      <c r="B515" s="0" t="s">
        <v>30</v>
      </c>
      <c r="D515" s="22" t="n">
        <f aca="false">fyw*C511+(1-fyw)*D511</f>
        <v>96.1506478890744</v>
      </c>
      <c r="E515" s="22" t="n">
        <f aca="false">fyw*D511+(1-fyw)*E511</f>
        <v>113.525783322118</v>
      </c>
      <c r="F515" s="22" t="n">
        <f aca="false">fyw*E511+(1-fyw)*F511</f>
        <v>128.453455588732</v>
      </c>
      <c r="G515" s="22" t="n">
        <f aca="false">fyw*F511+(1-fyw)*G511</f>
        <v>137.979467467212</v>
      </c>
    </row>
    <row r="516" customFormat="false" ht="17.15" hidden="false" customHeight="false" outlineLevel="0" collapsed="false">
      <c r="A516" s="0" t="s">
        <v>555</v>
      </c>
      <c r="B516" s="0" t="s">
        <v>30</v>
      </c>
      <c r="D516" s="22" t="n">
        <f aca="false">fyw*C512+(1-fyw)*D512</f>
        <v>39.2912554672247</v>
      </c>
      <c r="E516" s="22" t="n">
        <f aca="false">fyw*D512+(1-fyw)*E512</f>
        <v>51.3613248006987</v>
      </c>
      <c r="F516" s="22" t="n">
        <f aca="false">fyw*E512+(1-fyw)*F512</f>
        <v>58.5105386669218</v>
      </c>
      <c r="G516" s="22" t="n">
        <f aca="false">fyw*F512+(1-fyw)*G512</f>
        <v>61.452894215555</v>
      </c>
    </row>
    <row r="517" customFormat="false" ht="15" hidden="false" customHeight="false" outlineLevel="0" collapsed="false">
      <c r="A517" s="0" t="s">
        <v>556</v>
      </c>
      <c r="B517" s="0" t="s">
        <v>30</v>
      </c>
      <c r="D517" s="22" t="n">
        <f aca="false">fyw*C513+(1-fyw)*D513</f>
        <v>17.4117472504561</v>
      </c>
      <c r="E517" s="22" t="n">
        <f aca="false">fyw*D513+(1-fyw)*E513</f>
        <v>22.4499520850338</v>
      </c>
      <c r="F517" s="22" t="n">
        <f aca="false">fyw*E513+(1-fyw)*F513</f>
        <v>25.6924392314045</v>
      </c>
      <c r="G517" s="22" t="n">
        <f aca="false">fyw*F513+(1-fyw)*G513</f>
        <v>27.4254809147473</v>
      </c>
    </row>
    <row r="518" customFormat="false" ht="17.15" hidden="false" customHeight="false" outlineLevel="0" collapsed="false">
      <c r="A518" s="5" t="s">
        <v>557</v>
      </c>
      <c r="B518" s="0" t="s">
        <v>246</v>
      </c>
      <c r="D518" s="21" t="n">
        <f aca="false">m_fl*D515/$D515+m_dr*D516/$D516+m_nd*D517/$D517</f>
        <v>1</v>
      </c>
      <c r="E518" s="21" t="n">
        <f aca="false">m_fl*E515/$D515+m_dr*E516/$D516+m_nd*E517/$D517</f>
        <v>1.22388113282</v>
      </c>
      <c r="F518" s="21" t="n">
        <f aca="false">m_fl*F515/$D515+m_dr*F516/$D516+m_nd*F517/$D517</f>
        <v>1.3886833368957</v>
      </c>
      <c r="G518" s="21" t="n">
        <f aca="false">m_fl*G515/$D515+m_dr*G516/$D516+m_nd*G517/$D517</f>
        <v>1.48065154546388</v>
      </c>
      <c r="H518" s="8" t="s">
        <v>558</v>
      </c>
    </row>
    <row r="519" customFormat="false" ht="17.15" hidden="false" customHeight="false" outlineLevel="0" collapsed="false">
      <c r="A519" s="1" t="s">
        <v>559</v>
      </c>
    </row>
    <row r="520" customFormat="false" ht="17.15" hidden="false" customHeight="false" outlineLevel="0" collapsed="false">
      <c r="A520" s="5" t="s">
        <v>560</v>
      </c>
      <c r="B520" s="0" t="s">
        <v>252</v>
      </c>
      <c r="C520" s="9" t="n">
        <f aca="false">a25_ss</f>
        <v>21438.5432098765</v>
      </c>
      <c r="D520" s="9" t="n">
        <f aca="false">an_ss</f>
        <v>26046</v>
      </c>
      <c r="E520" s="9" t="n">
        <f aca="false">$D520*E518*sf</f>
        <v>31877.2079854298</v>
      </c>
      <c r="F520" s="9" t="n">
        <f aca="false">$D520*F518*sf</f>
        <v>36169.6461927855</v>
      </c>
      <c r="G520" s="9" t="n">
        <f aca="false">$D520*G518*sf</f>
        <v>38565.0501531522</v>
      </c>
      <c r="H520" s="8" t="s">
        <v>561</v>
      </c>
    </row>
    <row r="521" customFormat="false" ht="17.15" hidden="false" customHeight="false" outlineLevel="0" collapsed="false">
      <c r="A521" s="0" t="s">
        <v>562</v>
      </c>
      <c r="B521" s="0" t="s">
        <v>252</v>
      </c>
      <c r="C521" s="9" t="n">
        <f aca="false">a25_ags</f>
        <v>5744.19672131148</v>
      </c>
      <c r="D521" s="9" t="n">
        <f aca="false">an_ags</f>
        <v>6845</v>
      </c>
      <c r="E521" s="9" t="n">
        <f aca="false">D521*(1+g_ags_A)</f>
        <v>7871.75</v>
      </c>
      <c r="F521" s="9" t="n">
        <f aca="false">E521*(1+g_ags_A)</f>
        <v>9052.5125</v>
      </c>
      <c r="G521" s="9" t="n">
        <f aca="false">F521*(1+g_ags_A)</f>
        <v>10410.389375</v>
      </c>
    </row>
    <row r="522" customFormat="false" ht="17.15" hidden="false" customHeight="false" outlineLevel="0" collapsed="false">
      <c r="A522" s="5" t="s">
        <v>563</v>
      </c>
      <c r="B522" s="0" t="s">
        <v>252</v>
      </c>
      <c r="C522" s="9" t="n">
        <v>0</v>
      </c>
      <c r="D522" s="9" t="n">
        <v>0</v>
      </c>
      <c r="E522" s="9" t="n">
        <f aca="false">-aff_hit*aff_A-0*cn_sh*(E520+E521)</f>
        <v>-0</v>
      </c>
      <c r="F522" s="9" t="n">
        <f aca="false">-aff_hit*aff_A-0*cn_sh*(F520+F521)</f>
        <v>-0</v>
      </c>
      <c r="G522" s="9" t="n">
        <f aca="false">-aff_hit*aff_A-0*cn_sh*(G520+G521)</f>
        <v>-0</v>
      </c>
      <c r="H522" s="5" t="s">
        <v>564</v>
      </c>
    </row>
    <row r="523" customFormat="false" ht="17.15" hidden="false" customHeight="false" outlineLevel="0" collapsed="false">
      <c r="A523" s="5" t="s">
        <v>565</v>
      </c>
      <c r="B523" s="0" t="s">
        <v>252</v>
      </c>
      <c r="C523" s="9" t="n">
        <f aca="false">C520+C522*C520/(C520+C521)</f>
        <v>21438.5432098765</v>
      </c>
      <c r="D523" s="9" t="n">
        <f aca="false">D520+D522*D520/(D520+D521)</f>
        <v>26046</v>
      </c>
      <c r="E523" s="9" t="n">
        <f aca="false">E520+E522*E520/(E520+E521)</f>
        <v>31877.2079854298</v>
      </c>
      <c r="F523" s="9" t="n">
        <f aca="false">F520+F522*F520/(F520+F521)</f>
        <v>36169.6461927855</v>
      </c>
      <c r="G523" s="9" t="n">
        <f aca="false">G520+G522*G520/(G520+G521)</f>
        <v>38565.0501531522</v>
      </c>
      <c r="H523" s="5" t="s">
        <v>566</v>
      </c>
    </row>
    <row r="524" customFormat="false" ht="17.15" hidden="false" customHeight="false" outlineLevel="0" collapsed="false">
      <c r="A524" s="0" t="s">
        <v>567</v>
      </c>
      <c r="B524" s="0" t="s">
        <v>252</v>
      </c>
      <c r="C524" s="9" t="n">
        <f aca="false">C521+C522*C521/(C520+C521)</f>
        <v>5744.19672131148</v>
      </c>
      <c r="D524" s="9" t="n">
        <f aca="false">D521+D522*D521/(D520+D521)</f>
        <v>6845</v>
      </c>
      <c r="E524" s="9" t="n">
        <f aca="false">E521+E522*E521/(E520+E521)</f>
        <v>7871.75</v>
      </c>
      <c r="F524" s="9" t="n">
        <f aca="false">F521+F522*F521/(F520+F521)</f>
        <v>9052.5125</v>
      </c>
      <c r="G524" s="9" t="n">
        <f aca="false">G521+G522*G521/(G520+G521)</f>
        <v>10410.389375</v>
      </c>
      <c r="H524" s="5" t="s">
        <v>568</v>
      </c>
    </row>
    <row r="525" customFormat="false" ht="17.15" hidden="false" customHeight="false" outlineLevel="0" collapsed="false">
      <c r="A525" s="5" t="s">
        <v>569</v>
      </c>
      <c r="B525" s="0" t="s">
        <v>252</v>
      </c>
      <c r="C525" s="9" t="n">
        <f aca="false">a25_oth</f>
        <v>1185.26006881198</v>
      </c>
      <c r="D525" s="9" t="n">
        <f aca="false">an_oth</f>
        <v>1396</v>
      </c>
      <c r="E525" s="9" t="n">
        <f aca="false">D525*(1+g_oth_A)</f>
        <v>1396</v>
      </c>
      <c r="F525" s="9" t="n">
        <f aca="false">E525*(1+g_oth_A)</f>
        <v>1396</v>
      </c>
      <c r="G525" s="9" t="n">
        <f aca="false">F525*(1+g_oth_A)</f>
        <v>1396</v>
      </c>
      <c r="H525" s="5" t="s">
        <v>570</v>
      </c>
    </row>
    <row r="526" customFormat="false" ht="15" hidden="false" customHeight="false" outlineLevel="0" collapsed="false">
      <c r="A526" s="5" t="s">
        <v>454</v>
      </c>
      <c r="B526" s="0" t="s">
        <v>252</v>
      </c>
      <c r="C526" s="9" t="n">
        <f aca="false">C523+C524+C525</f>
        <v>28368</v>
      </c>
      <c r="D526" s="9" t="n">
        <f aca="false">D523+D524+D525</f>
        <v>34287</v>
      </c>
      <c r="E526" s="9" t="n">
        <f aca="false">E523+E524+E525</f>
        <v>41144.9579854298</v>
      </c>
      <c r="F526" s="9" t="n">
        <f aca="false">F523+F524+F525</f>
        <v>46618.1586927855</v>
      </c>
      <c r="G526" s="9" t="n">
        <f aca="false">G523+G524+G525</f>
        <v>50371.4395281522</v>
      </c>
    </row>
    <row r="527" customFormat="false" ht="17.15" hidden="false" customHeight="false" outlineLevel="0" collapsed="false">
      <c r="A527" s="5" t="s">
        <v>571</v>
      </c>
      <c r="B527" s="0" t="s">
        <v>252</v>
      </c>
      <c r="C527" s="23" t="n">
        <f aca="false">C523+C524+C525-a25_rev</f>
        <v>0</v>
      </c>
      <c r="D527" s="23" t="n">
        <f aca="false">D523+D524+D525-an_rev</f>
        <v>0</v>
      </c>
    </row>
    <row r="528" customFormat="false" ht="17.15" hidden="false" customHeight="false" outlineLevel="0" collapsed="false">
      <c r="A528" s="0" t="s">
        <v>460</v>
      </c>
      <c r="B528" s="0" t="s">
        <v>199</v>
      </c>
      <c r="C528" s="11" t="n">
        <f aca="false">a25_gp/a25_rev</f>
        <v>0.487833192329385</v>
      </c>
      <c r="D528" s="11" t="n">
        <f aca="false">an_gp/an_rev</f>
        <v>0.500418584303089</v>
      </c>
      <c r="E528" s="11" t="n">
        <f aca="false">1-(cF+cv*E526)/E526</f>
        <v>0.510472270404997</v>
      </c>
      <c r="F528" s="11" t="n">
        <f aca="false">1-(cF+cv*F526)/F526</f>
        <v>0.516373550758896</v>
      </c>
      <c r="G528" s="11" t="n">
        <f aca="false">1-(cF+cv*G526)/G526</f>
        <v>0.519679134737399</v>
      </c>
      <c r="H528" s="5" t="s">
        <v>572</v>
      </c>
    </row>
    <row r="529" customFormat="false" ht="17.15" hidden="false" customHeight="false" outlineLevel="0" collapsed="false">
      <c r="A529" s="0" t="s">
        <v>463</v>
      </c>
      <c r="B529" s="0" t="s">
        <v>252</v>
      </c>
      <c r="C529" s="9" t="n">
        <f aca="false">C526*C528</f>
        <v>13838.852</v>
      </c>
      <c r="D529" s="9" t="n">
        <f aca="false">D526*D528</f>
        <v>17157.852</v>
      </c>
      <c r="E529" s="9" t="n">
        <f aca="false">E526*E528</f>
        <v>21003.3601185406</v>
      </c>
      <c r="F529" s="9" t="n">
        <f aca="false">F526*F528</f>
        <v>24072.3841340353</v>
      </c>
      <c r="G529" s="9" t="n">
        <f aca="false">G526*G528</f>
        <v>26176.9861094673</v>
      </c>
    </row>
    <row r="530" customFormat="false" ht="17.15" hidden="false" customHeight="false" outlineLevel="0" collapsed="false">
      <c r="A530" s="0" t="s">
        <v>573</v>
      </c>
      <c r="B530" s="0" t="s">
        <v>252</v>
      </c>
      <c r="C530" s="9" t="n">
        <f aca="false">opex25</f>
        <v>5276.852</v>
      </c>
      <c r="D530" s="9" t="n">
        <f aca="false">opex26</f>
        <v>5832.852</v>
      </c>
      <c r="E530" s="9" t="n">
        <f aca="false">oF+ov*E526</f>
        <v>6477.05281768863</v>
      </c>
      <c r="F530" s="9" t="n">
        <f aca="false">oF+ov*F526</f>
        <v>6991.17675640966</v>
      </c>
      <c r="G530" s="9" t="n">
        <f aca="false">oF+ov*G526</f>
        <v>7343.74038953415</v>
      </c>
      <c r="H530" s="5" t="s">
        <v>574</v>
      </c>
    </row>
    <row r="531" customFormat="false" ht="17.15" hidden="false" customHeight="false" outlineLevel="0" collapsed="false">
      <c r="A531" s="0" t="s">
        <v>465</v>
      </c>
      <c r="B531" s="0" t="s">
        <v>252</v>
      </c>
      <c r="C531" s="9" t="n">
        <f aca="false">C529-C530</f>
        <v>8562</v>
      </c>
      <c r="D531" s="9" t="n">
        <f aca="false">D529-D530</f>
        <v>11325</v>
      </c>
      <c r="E531" s="9" t="n">
        <f aca="false">E529-E530</f>
        <v>14526.3073008519</v>
      </c>
      <c r="F531" s="9" t="n">
        <f aca="false">F529-F530</f>
        <v>17081.2073776257</v>
      </c>
      <c r="G531" s="9" t="n">
        <f aca="false">G529-G530</f>
        <v>18833.2457199332</v>
      </c>
    </row>
    <row r="532" customFormat="false" ht="17.15" hidden="false" customHeight="false" outlineLevel="0" collapsed="false">
      <c r="A532" s="0" t="s">
        <v>544</v>
      </c>
      <c r="B532" s="0" t="s">
        <v>199</v>
      </c>
      <c r="C532" s="11" t="n">
        <f aca="false">C531/C526</f>
        <v>0.301818950930626</v>
      </c>
      <c r="D532" s="11" t="n">
        <f aca="false">D531/D526</f>
        <v>0.330300113745735</v>
      </c>
      <c r="E532" s="11" t="n">
        <f aca="false">E531/E526</f>
        <v>0.353051941528193</v>
      </c>
      <c r="F532" s="11" t="n">
        <f aca="false">F531/F526</f>
        <v>0.366406736271828</v>
      </c>
      <c r="G532" s="11" t="n">
        <f aca="false">G531/G526</f>
        <v>0.373887383333713</v>
      </c>
    </row>
    <row r="533" customFormat="false" ht="17.15" hidden="false" customHeight="false" outlineLevel="0" collapsed="false">
      <c r="A533" s="0" t="s">
        <v>470</v>
      </c>
      <c r="B533" s="0" t="s">
        <v>252</v>
      </c>
      <c r="C533" s="9" t="n">
        <f aca="false">a25_ni</f>
        <v>7607</v>
      </c>
      <c r="D533" s="9" t="n">
        <f aca="false">an_ni</f>
        <v>10179.92</v>
      </c>
      <c r="E533" s="9" t="n">
        <f aca="false">E531*nioi_lo</f>
        <v>12347.3612057241</v>
      </c>
      <c r="F533" s="9" t="n">
        <f aca="false">F531*nioi_lo</f>
        <v>14519.0262709818</v>
      </c>
      <c r="G533" s="9" t="n">
        <f aca="false">G531*nioi_lo</f>
        <v>16008.2588619432</v>
      </c>
    </row>
    <row r="534" customFormat="false" ht="15" hidden="false" customHeight="false" outlineLevel="0" collapsed="false">
      <c r="A534" s="5" t="s">
        <v>575</v>
      </c>
      <c r="B534" s="5" t="s">
        <v>328</v>
      </c>
      <c r="C534" s="23" t="n">
        <f aca="false">a25_sh</f>
        <v>808</v>
      </c>
      <c r="D534" s="23" t="n">
        <f aca="false">an_sh</f>
        <v>797.799373040752</v>
      </c>
      <c r="E534" s="23" t="n">
        <f aca="false">$D534*(1-bb)^1</f>
        <v>789.821379310345</v>
      </c>
      <c r="F534" s="23" t="n">
        <f aca="false">$D534*(1-bb)^2</f>
        <v>781.923165517241</v>
      </c>
      <c r="G534" s="23" t="n">
        <f aca="false">$D534*(1-bb)^3</f>
        <v>774.103933862069</v>
      </c>
    </row>
    <row r="535" customFormat="false" ht="17.15" hidden="false" customHeight="false" outlineLevel="0" collapsed="false">
      <c r="A535" s="0" t="s">
        <v>576</v>
      </c>
      <c r="B535" s="0" t="s">
        <v>341</v>
      </c>
      <c r="C535" s="14" t="n">
        <f aca="false">a25_eps</f>
        <v>9.42</v>
      </c>
      <c r="D535" s="14" t="n">
        <f aca="false">an_eps</f>
        <v>12.76</v>
      </c>
      <c r="E535" s="14" t="n">
        <f aca="false">E533/E534</f>
        <v>15.6331058251495</v>
      </c>
      <c r="F535" s="14" t="n">
        <f aca="false">F533/F534</f>
        <v>18.5683541699107</v>
      </c>
      <c r="G535" s="14" t="n">
        <f aca="false">G533/G534</f>
        <v>20.6797280851896</v>
      </c>
      <c r="H535" s="8" t="s">
        <v>577</v>
      </c>
    </row>
    <row r="536" customFormat="false" ht="17.15" hidden="false" customHeight="false" outlineLevel="0" collapsed="false">
      <c r="A536" s="5" t="s">
        <v>578</v>
      </c>
      <c r="B536" s="0" t="s">
        <v>199</v>
      </c>
      <c r="D536" s="11" t="n">
        <f aca="false">D520/1000/(D515+D516+D517)</f>
        <v>0.170398285527431</v>
      </c>
      <c r="E536" s="11" t="n">
        <f aca="false">E520/1000/(E515+E516+E517)</f>
        <v>0.170159646735473</v>
      </c>
      <c r="F536" s="11" t="n">
        <f aca="false">F520/1000/(F515+F516+F517)</f>
        <v>0.170084890448361</v>
      </c>
      <c r="G536" s="11" t="n">
        <f aca="false">G520/1000/(G515+G516+G517)</f>
        <v>0.169996548109528</v>
      </c>
      <c r="H536" s="5" t="s">
        <v>579</v>
      </c>
    </row>
    <row r="540" customFormat="false" ht="17.15" hidden="false" customHeight="false" outlineLevel="0" collapsed="false">
      <c r="A540" s="3" t="s">
        <v>930</v>
      </c>
    </row>
    <row r="541" customFormat="false" ht="15" hidden="false" customHeight="false" outlineLevel="0" collapsed="false">
      <c r="A541" s="6" t="s">
        <v>19</v>
      </c>
      <c r="B541" s="6" t="s">
        <v>20</v>
      </c>
      <c r="C541" s="15" t="s">
        <v>513</v>
      </c>
      <c r="D541" s="15" t="s">
        <v>514</v>
      </c>
      <c r="E541" s="15" t="s">
        <v>515</v>
      </c>
      <c r="F541" s="15" t="s">
        <v>516</v>
      </c>
      <c r="G541" s="15" t="s">
        <v>517</v>
      </c>
      <c r="H541" s="6" t="s">
        <v>518</v>
      </c>
    </row>
    <row r="542" customFormat="false" ht="17.15" hidden="false" customHeight="false" outlineLevel="0" collapsed="false">
      <c r="A542" s="1" t="s">
        <v>549</v>
      </c>
    </row>
    <row r="543" customFormat="false" ht="17.15" hidden="false" customHeight="false" outlineLevel="0" collapsed="false">
      <c r="A543" s="5" t="s">
        <v>550</v>
      </c>
      <c r="B543" s="0" t="s">
        <v>30</v>
      </c>
      <c r="C543" s="22" t="n">
        <f aca="false">laA_25+loA_25+ofA_25</f>
        <v>78.3481206981793</v>
      </c>
      <c r="D543" s="22" t="n">
        <f aca="false">laA_26+loA_26+ofA_26</f>
        <v>99.7111533272534</v>
      </c>
      <c r="E543" s="22" t="n">
        <f aca="false">laA_27+loA_27+ofA_27</f>
        <v>116.288709321091</v>
      </c>
      <c r="F543" s="22" t="n">
        <f aca="false">laA_28+loA_28+ofA_28</f>
        <v>130.886404842261</v>
      </c>
      <c r="G543" s="22" t="n">
        <f aca="false">laA_29+loA_29+ofA_29</f>
        <v>139.398079992203</v>
      </c>
    </row>
    <row r="544" customFormat="false" ht="17.15" hidden="false" customHeight="false" outlineLevel="0" collapsed="false">
      <c r="A544" s="0" t="s">
        <v>551</v>
      </c>
      <c r="B544" s="0" t="s">
        <v>30</v>
      </c>
      <c r="C544" s="22" t="n">
        <f aca="false">drA_25</f>
        <v>26.3761091658243</v>
      </c>
      <c r="D544" s="22" t="n">
        <f aca="false">drA_26</f>
        <v>41.8742847275048</v>
      </c>
      <c r="E544" s="22" t="n">
        <f aca="false">drA_27</f>
        <v>53.2587328153375</v>
      </c>
      <c r="F544" s="22" t="n">
        <f aca="false">drA_28</f>
        <v>59.5608998372386</v>
      </c>
      <c r="G544" s="22" t="n">
        <f aca="false">drA_29</f>
        <v>61.8312930912183</v>
      </c>
    </row>
    <row r="545" customFormat="false" ht="15" hidden="false" customHeight="false" outlineLevel="0" collapsed="false">
      <c r="A545" s="0" t="s">
        <v>552</v>
      </c>
      <c r="B545" s="0" t="s">
        <v>30</v>
      </c>
      <c r="C545" s="22" t="n">
        <f aca="false">ndA_25</f>
        <v>12.1726019800256</v>
      </c>
      <c r="D545" s="22" t="n">
        <f aca="false">ndA_26</f>
        <v>18.4595763045422</v>
      </c>
      <c r="E545" s="22" t="n">
        <f aca="false">ndA_27</f>
        <v>23.2480272411321</v>
      </c>
      <c r="F545" s="22" t="n">
        <f aca="false">ndA_28</f>
        <v>26.181321629459</v>
      </c>
      <c r="G545" s="22" t="n">
        <f aca="false">ndA_29</f>
        <v>27.674312771805</v>
      </c>
    </row>
    <row r="546" customFormat="false" ht="17.15" hidden="false" customHeight="false" outlineLevel="0" collapsed="false">
      <c r="A546" s="1" t="s">
        <v>553</v>
      </c>
    </row>
    <row r="547" customFormat="false" ht="17.15" hidden="false" customHeight="false" outlineLevel="0" collapsed="false">
      <c r="A547" s="5" t="s">
        <v>554</v>
      </c>
      <c r="B547" s="0" t="s">
        <v>30</v>
      </c>
      <c r="D547" s="22" t="n">
        <f aca="false">fyw*C543+(1-fyw)*D543</f>
        <v>96.1506478890744</v>
      </c>
      <c r="E547" s="22" t="n">
        <f aca="false">fyw*D543+(1-fyw)*E543</f>
        <v>113.525783322118</v>
      </c>
      <c r="F547" s="22" t="n">
        <f aca="false">fyw*E543+(1-fyw)*F543</f>
        <v>128.453455588732</v>
      </c>
      <c r="G547" s="22" t="n">
        <f aca="false">fyw*F543+(1-fyw)*G543</f>
        <v>137.979467467212</v>
      </c>
    </row>
    <row r="548" customFormat="false" ht="17.15" hidden="false" customHeight="false" outlineLevel="0" collapsed="false">
      <c r="A548" s="0" t="s">
        <v>555</v>
      </c>
      <c r="B548" s="0" t="s">
        <v>30</v>
      </c>
      <c r="D548" s="22" t="n">
        <f aca="false">fyw*C544+(1-fyw)*D544</f>
        <v>39.2912554672247</v>
      </c>
      <c r="E548" s="22" t="n">
        <f aca="false">fyw*D544+(1-fyw)*E544</f>
        <v>51.3613248006987</v>
      </c>
      <c r="F548" s="22" t="n">
        <f aca="false">fyw*E544+(1-fyw)*F544</f>
        <v>58.5105386669218</v>
      </c>
      <c r="G548" s="22" t="n">
        <f aca="false">fyw*F544+(1-fyw)*G544</f>
        <v>61.452894215555</v>
      </c>
    </row>
    <row r="549" customFormat="false" ht="15" hidden="false" customHeight="false" outlineLevel="0" collapsed="false">
      <c r="A549" s="0" t="s">
        <v>556</v>
      </c>
      <c r="B549" s="0" t="s">
        <v>30</v>
      </c>
      <c r="D549" s="22" t="n">
        <f aca="false">fyw*C545+(1-fyw)*D545</f>
        <v>17.4117472504561</v>
      </c>
      <c r="E549" s="22" t="n">
        <f aca="false">fyw*D545+(1-fyw)*E545</f>
        <v>22.4499520850338</v>
      </c>
      <c r="F549" s="22" t="n">
        <f aca="false">fyw*E545+(1-fyw)*F545</f>
        <v>25.6924392314045</v>
      </c>
      <c r="G549" s="22" t="n">
        <f aca="false">fyw*F545+(1-fyw)*G545</f>
        <v>27.4254809147473</v>
      </c>
    </row>
    <row r="550" customFormat="false" ht="17.15" hidden="false" customHeight="false" outlineLevel="0" collapsed="false">
      <c r="A550" s="5" t="s">
        <v>557</v>
      </c>
      <c r="B550" s="0" t="s">
        <v>246</v>
      </c>
      <c r="D550" s="21" t="n">
        <f aca="false">m_fl*D547/$D547+m_dr*D548/$D548+m_nd*D549/$D549</f>
        <v>1</v>
      </c>
      <c r="E550" s="21" t="n">
        <f aca="false">m_fl*E547/$D547+m_dr*E548/$D548+m_nd*E549/$D549</f>
        <v>1.22388113282</v>
      </c>
      <c r="F550" s="21" t="n">
        <f aca="false">m_fl*F547/$D547+m_dr*F548/$D548+m_nd*F549/$D549</f>
        <v>1.3886833368957</v>
      </c>
      <c r="G550" s="21" t="n">
        <f aca="false">m_fl*G547/$D547+m_dr*G548/$D548+m_nd*G549/$D549</f>
        <v>1.48065154546388</v>
      </c>
      <c r="H550" s="8" t="s">
        <v>558</v>
      </c>
    </row>
    <row r="551" customFormat="false" ht="17.15" hidden="false" customHeight="false" outlineLevel="0" collapsed="false">
      <c r="A551" s="1" t="s">
        <v>559</v>
      </c>
    </row>
    <row r="552" customFormat="false" ht="17.15" hidden="false" customHeight="false" outlineLevel="0" collapsed="false">
      <c r="A552" s="5" t="s">
        <v>560</v>
      </c>
      <c r="B552" s="0" t="s">
        <v>252</v>
      </c>
      <c r="C552" s="9" t="n">
        <f aca="false">a25_ss</f>
        <v>21438.5432098765</v>
      </c>
      <c r="D552" s="9" t="n">
        <f aca="false">an_ss</f>
        <v>26046</v>
      </c>
      <c r="E552" s="9" t="n">
        <f aca="false">$D552*E550*sf</f>
        <v>31877.2079854298</v>
      </c>
      <c r="F552" s="9" t="n">
        <f aca="false">$D552*F550*sf</f>
        <v>36169.6461927855</v>
      </c>
      <c r="G552" s="9" t="n">
        <f aca="false">$D552*G550*sf</f>
        <v>38565.0501531522</v>
      </c>
      <c r="H552" s="8" t="s">
        <v>561</v>
      </c>
    </row>
    <row r="553" customFormat="false" ht="17.15" hidden="false" customHeight="false" outlineLevel="0" collapsed="false">
      <c r="A553" s="0" t="s">
        <v>562</v>
      </c>
      <c r="B553" s="0" t="s">
        <v>252</v>
      </c>
      <c r="C553" s="9" t="n">
        <f aca="false">a25_ags</f>
        <v>5744.19672131148</v>
      </c>
      <c r="D553" s="9" t="n">
        <f aca="false">an_ags</f>
        <v>6845</v>
      </c>
      <c r="E553" s="9" t="n">
        <f aca="false">D553*(1+g_ags_A)</f>
        <v>7871.75</v>
      </c>
      <c r="F553" s="9" t="n">
        <f aca="false">E553*(1+g_ags_A)</f>
        <v>9052.5125</v>
      </c>
      <c r="G553" s="9" t="n">
        <f aca="false">F553*(1+g_ags_A)</f>
        <v>10410.389375</v>
      </c>
    </row>
    <row r="554" customFormat="false" ht="17.15" hidden="false" customHeight="false" outlineLevel="0" collapsed="false">
      <c r="A554" s="5" t="s">
        <v>563</v>
      </c>
      <c r="B554" s="0" t="s">
        <v>252</v>
      </c>
      <c r="C554" s="9" t="n">
        <v>0</v>
      </c>
      <c r="D554" s="9" t="n">
        <v>0</v>
      </c>
      <c r="E554" s="9" t="n">
        <f aca="false">-aff_hit*aff_A-0*cn_sh*(E552+E553)</f>
        <v>-0</v>
      </c>
      <c r="F554" s="9" t="n">
        <f aca="false">-aff_hit*aff_A-0*cn_sh*(F552+F553)</f>
        <v>-0</v>
      </c>
      <c r="G554" s="9" t="n">
        <f aca="false">-aff_hit*aff_A-0*cn_sh*(G552+G553)</f>
        <v>-0</v>
      </c>
      <c r="H554" s="5" t="s">
        <v>564</v>
      </c>
    </row>
    <row r="555" customFormat="false" ht="17.15" hidden="false" customHeight="false" outlineLevel="0" collapsed="false">
      <c r="A555" s="5" t="s">
        <v>565</v>
      </c>
      <c r="B555" s="0" t="s">
        <v>252</v>
      </c>
      <c r="C555" s="9" t="n">
        <f aca="false">C552+C554*C552/(C552+C553)</f>
        <v>21438.5432098765</v>
      </c>
      <c r="D555" s="9" t="n">
        <f aca="false">D552+D554*D552/(D552+D553)</f>
        <v>26046</v>
      </c>
      <c r="E555" s="9" t="n">
        <f aca="false">E552+E554*E552/(E552+E553)</f>
        <v>31877.2079854298</v>
      </c>
      <c r="F555" s="9" t="n">
        <f aca="false">F552+F554*F552/(F552+F553)</f>
        <v>36169.6461927855</v>
      </c>
      <c r="G555" s="9" t="n">
        <f aca="false">G552+G554*G552/(G552+G553)</f>
        <v>38565.0501531522</v>
      </c>
      <c r="H555" s="5" t="s">
        <v>566</v>
      </c>
    </row>
    <row r="556" customFormat="false" ht="17.15" hidden="false" customHeight="false" outlineLevel="0" collapsed="false">
      <c r="A556" s="0" t="s">
        <v>567</v>
      </c>
      <c r="B556" s="0" t="s">
        <v>252</v>
      </c>
      <c r="C556" s="9" t="n">
        <f aca="false">C553+C554*C553/(C552+C553)</f>
        <v>5744.19672131148</v>
      </c>
      <c r="D556" s="9" t="n">
        <f aca="false">D553+D554*D553/(D552+D553)</f>
        <v>6845</v>
      </c>
      <c r="E556" s="9" t="n">
        <f aca="false">E553+E554*E553/(E552+E553)</f>
        <v>7871.75</v>
      </c>
      <c r="F556" s="9" t="n">
        <f aca="false">F553+F554*F553/(F552+F553)</f>
        <v>9052.5125</v>
      </c>
      <c r="G556" s="9" t="n">
        <f aca="false">G553+G554*G553/(G552+G553)</f>
        <v>10410.389375</v>
      </c>
      <c r="H556" s="5" t="s">
        <v>568</v>
      </c>
    </row>
    <row r="557" customFormat="false" ht="17.15" hidden="false" customHeight="false" outlineLevel="0" collapsed="false">
      <c r="A557" s="5" t="s">
        <v>569</v>
      </c>
      <c r="B557" s="0" t="s">
        <v>252</v>
      </c>
      <c r="C557" s="9" t="n">
        <f aca="false">a25_oth</f>
        <v>1185.26006881198</v>
      </c>
      <c r="D557" s="9" t="n">
        <f aca="false">an_oth</f>
        <v>1396</v>
      </c>
      <c r="E557" s="9" t="n">
        <f aca="false">D557*(1+g_oth_A)</f>
        <v>1396</v>
      </c>
      <c r="F557" s="9" t="n">
        <f aca="false">E557*(1+g_oth_A)</f>
        <v>1396</v>
      </c>
      <c r="G557" s="9" t="n">
        <f aca="false">F557*(1+g_oth_A)</f>
        <v>1396</v>
      </c>
      <c r="H557" s="5" t="s">
        <v>570</v>
      </c>
    </row>
    <row r="558" customFormat="false" ht="15" hidden="false" customHeight="false" outlineLevel="0" collapsed="false">
      <c r="A558" s="5" t="s">
        <v>454</v>
      </c>
      <c r="B558" s="0" t="s">
        <v>252</v>
      </c>
      <c r="C558" s="9" t="n">
        <f aca="false">C555+C556+C557</f>
        <v>28368</v>
      </c>
      <c r="D558" s="9" t="n">
        <f aca="false">D555+D556+D557</f>
        <v>34287</v>
      </c>
      <c r="E558" s="9" t="n">
        <f aca="false">E555+E556+E557</f>
        <v>41144.9579854298</v>
      </c>
      <c r="F558" s="9" t="n">
        <f aca="false">F555+F556+F557</f>
        <v>46618.1586927855</v>
      </c>
      <c r="G558" s="9" t="n">
        <f aca="false">G555+G556+G557</f>
        <v>50371.4395281522</v>
      </c>
    </row>
    <row r="559" customFormat="false" ht="17.15" hidden="false" customHeight="false" outlineLevel="0" collapsed="false">
      <c r="A559" s="5" t="s">
        <v>571</v>
      </c>
      <c r="B559" s="0" t="s">
        <v>252</v>
      </c>
      <c r="C559" s="23" t="n">
        <f aca="false">C555+C556+C557-a25_rev</f>
        <v>0</v>
      </c>
      <c r="D559" s="23" t="n">
        <f aca="false">D555+D556+D557-an_rev</f>
        <v>0</v>
      </c>
    </row>
    <row r="560" customFormat="false" ht="17.15" hidden="false" customHeight="false" outlineLevel="0" collapsed="false">
      <c r="A560" s="0" t="s">
        <v>460</v>
      </c>
      <c r="B560" s="0" t="s">
        <v>199</v>
      </c>
      <c r="C560" s="11" t="n">
        <f aca="false">a25_gp/a25_rev</f>
        <v>0.487833192329385</v>
      </c>
      <c r="D560" s="11" t="n">
        <f aca="false">an_gp/an_rev</f>
        <v>0.500418584303089</v>
      </c>
      <c r="E560" s="11" t="n">
        <f aca="false">1-(cF+cv*E558)/E558</f>
        <v>0.510472270404997</v>
      </c>
      <c r="F560" s="11" t="n">
        <f aca="false">1-(cF+cv*F558)/F558</f>
        <v>0.516373550758896</v>
      </c>
      <c r="G560" s="11" t="n">
        <f aca="false">1-(cF+cv*G558)/G558</f>
        <v>0.519679134737399</v>
      </c>
      <c r="H560" s="5" t="s">
        <v>572</v>
      </c>
    </row>
    <row r="561" customFormat="false" ht="17.15" hidden="false" customHeight="false" outlineLevel="0" collapsed="false">
      <c r="A561" s="0" t="s">
        <v>463</v>
      </c>
      <c r="B561" s="0" t="s">
        <v>252</v>
      </c>
      <c r="C561" s="9" t="n">
        <f aca="false">C558*C560</f>
        <v>13838.852</v>
      </c>
      <c r="D561" s="9" t="n">
        <f aca="false">D558*D560</f>
        <v>17157.852</v>
      </c>
      <c r="E561" s="9" t="n">
        <f aca="false">E558*E560</f>
        <v>21003.3601185406</v>
      </c>
      <c r="F561" s="9" t="n">
        <f aca="false">F558*F560</f>
        <v>24072.3841340353</v>
      </c>
      <c r="G561" s="9" t="n">
        <f aca="false">G558*G560</f>
        <v>26176.9861094673</v>
      </c>
    </row>
    <row r="562" customFormat="false" ht="17.15" hidden="false" customHeight="false" outlineLevel="0" collapsed="false">
      <c r="A562" s="0" t="s">
        <v>573</v>
      </c>
      <c r="B562" s="0" t="s">
        <v>252</v>
      </c>
      <c r="C562" s="9" t="n">
        <f aca="false">opex25</f>
        <v>5276.852</v>
      </c>
      <c r="D562" s="9" t="n">
        <f aca="false">opex26</f>
        <v>5832.852</v>
      </c>
      <c r="E562" s="9" t="n">
        <f aca="false">oF+ov*E558</f>
        <v>6477.05281768863</v>
      </c>
      <c r="F562" s="9" t="n">
        <f aca="false">oF+ov*F558</f>
        <v>6991.17675640966</v>
      </c>
      <c r="G562" s="9" t="n">
        <f aca="false">oF+ov*G558</f>
        <v>7343.74038953415</v>
      </c>
      <c r="H562" s="5" t="s">
        <v>574</v>
      </c>
    </row>
    <row r="563" customFormat="false" ht="17.15" hidden="false" customHeight="false" outlineLevel="0" collapsed="false">
      <c r="A563" s="0" t="s">
        <v>465</v>
      </c>
      <c r="B563" s="0" t="s">
        <v>252</v>
      </c>
      <c r="C563" s="9" t="n">
        <f aca="false">C561-C562</f>
        <v>8562</v>
      </c>
      <c r="D563" s="9" t="n">
        <f aca="false">D561-D562</f>
        <v>11325</v>
      </c>
      <c r="E563" s="9" t="n">
        <f aca="false">E561-E562</f>
        <v>14526.3073008519</v>
      </c>
      <c r="F563" s="9" t="n">
        <f aca="false">F561-F562</f>
        <v>17081.2073776257</v>
      </c>
      <c r="G563" s="9" t="n">
        <f aca="false">G561-G562</f>
        <v>18833.2457199332</v>
      </c>
    </row>
    <row r="564" customFormat="false" ht="17.15" hidden="false" customHeight="false" outlineLevel="0" collapsed="false">
      <c r="A564" s="0" t="s">
        <v>544</v>
      </c>
      <c r="B564" s="0" t="s">
        <v>199</v>
      </c>
      <c r="C564" s="11" t="n">
        <f aca="false">C563/C558</f>
        <v>0.301818950930626</v>
      </c>
      <c r="D564" s="11" t="n">
        <f aca="false">D563/D558</f>
        <v>0.330300113745735</v>
      </c>
      <c r="E564" s="11" t="n">
        <f aca="false">E563/E558</f>
        <v>0.353051941528193</v>
      </c>
      <c r="F564" s="11" t="n">
        <f aca="false">F563/F558</f>
        <v>0.366406736271828</v>
      </c>
      <c r="G564" s="11" t="n">
        <f aca="false">G563/G558</f>
        <v>0.373887383333713</v>
      </c>
    </row>
    <row r="565" customFormat="false" ht="17.15" hidden="false" customHeight="false" outlineLevel="0" collapsed="false">
      <c r="A565" s="0" t="s">
        <v>470</v>
      </c>
      <c r="B565" s="0" t="s">
        <v>252</v>
      </c>
      <c r="C565" s="9" t="n">
        <f aca="false">a25_ni</f>
        <v>7607</v>
      </c>
      <c r="D565" s="9" t="n">
        <f aca="false">an_ni</f>
        <v>10179.92</v>
      </c>
      <c r="E565" s="9" t="n">
        <f aca="false">E563*nioi_hi</f>
        <v>13057.5405049085</v>
      </c>
      <c r="F565" s="9" t="n">
        <f aca="false">F563*nioi_hi</f>
        <v>15354.1125481359</v>
      </c>
      <c r="G565" s="9" t="n">
        <f aca="false">G563*nioi_hi</f>
        <v>16929.000862628</v>
      </c>
    </row>
    <row r="566" customFormat="false" ht="15" hidden="false" customHeight="false" outlineLevel="0" collapsed="false">
      <c r="A566" s="5" t="s">
        <v>575</v>
      </c>
      <c r="B566" s="5" t="s">
        <v>328</v>
      </c>
      <c r="C566" s="23" t="n">
        <f aca="false">a25_sh</f>
        <v>808</v>
      </c>
      <c r="D566" s="23" t="n">
        <f aca="false">an_sh</f>
        <v>797.799373040752</v>
      </c>
      <c r="E566" s="23" t="n">
        <f aca="false">$D566*(1-bb)^1</f>
        <v>789.821379310345</v>
      </c>
      <c r="F566" s="23" t="n">
        <f aca="false">$D566*(1-bb)^2</f>
        <v>781.923165517241</v>
      </c>
      <c r="G566" s="23" t="n">
        <f aca="false">$D566*(1-bb)^3</f>
        <v>774.103933862069</v>
      </c>
    </row>
    <row r="567" customFormat="false" ht="17.15" hidden="false" customHeight="false" outlineLevel="0" collapsed="false">
      <c r="A567" s="0" t="s">
        <v>576</v>
      </c>
      <c r="B567" s="0" t="s">
        <v>341</v>
      </c>
      <c r="C567" s="14" t="n">
        <f aca="false">a25_eps</f>
        <v>9.42</v>
      </c>
      <c r="D567" s="14" t="n">
        <f aca="false">an_eps</f>
        <v>12.76</v>
      </c>
      <c r="E567" s="14" t="n">
        <f aca="false">E565/E566</f>
        <v>16.5322702663608</v>
      </c>
      <c r="F567" s="14" t="n">
        <f aca="false">F565/F566</f>
        <v>19.6363443689243</v>
      </c>
      <c r="G567" s="14" t="n">
        <f aca="false">G565/G566</f>
        <v>21.8691575150223</v>
      </c>
      <c r="H567" s="8" t="s">
        <v>577</v>
      </c>
    </row>
    <row r="568" customFormat="false" ht="17.15" hidden="false" customHeight="false" outlineLevel="0" collapsed="false">
      <c r="A568" s="5" t="s">
        <v>578</v>
      </c>
      <c r="B568" s="0" t="s">
        <v>199</v>
      </c>
      <c r="D568" s="11" t="n">
        <f aca="false">D552/1000/(D547+D548+D549)</f>
        <v>0.170398285527431</v>
      </c>
      <c r="E568" s="11" t="n">
        <f aca="false">E552/1000/(E547+E548+E549)</f>
        <v>0.170159646735473</v>
      </c>
      <c r="F568" s="11" t="n">
        <f aca="false">F552/1000/(F547+F548+F549)</f>
        <v>0.170084890448361</v>
      </c>
      <c r="G568" s="11" t="n">
        <f aca="false">G552/1000/(G547+G548+G549)</f>
        <v>0.169996548109528</v>
      </c>
      <c r="H568" s="5" t="s">
        <v>579</v>
      </c>
    </row>
    <row r="572" customFormat="false" ht="17.15" hidden="false" customHeight="false" outlineLevel="0" collapsed="false">
      <c r="A572" s="3" t="s">
        <v>931</v>
      </c>
    </row>
    <row r="573" customFormat="false" ht="15" hidden="false" customHeight="false" outlineLevel="0" collapsed="false">
      <c r="A573" s="6" t="s">
        <v>19</v>
      </c>
      <c r="B573" s="6" t="s">
        <v>20</v>
      </c>
      <c r="C573" s="15" t="s">
        <v>513</v>
      </c>
      <c r="D573" s="15" t="s">
        <v>514</v>
      </c>
      <c r="E573" s="15" t="s">
        <v>515</v>
      </c>
      <c r="F573" s="15" t="s">
        <v>516</v>
      </c>
      <c r="G573" s="15" t="s">
        <v>517</v>
      </c>
      <c r="H573" s="6" t="s">
        <v>518</v>
      </c>
    </row>
    <row r="574" customFormat="false" ht="17.15" hidden="false" customHeight="false" outlineLevel="0" collapsed="false">
      <c r="A574" s="1" t="s">
        <v>549</v>
      </c>
    </row>
    <row r="575" customFormat="false" ht="17.15" hidden="false" customHeight="false" outlineLevel="0" collapsed="false">
      <c r="A575" s="5" t="s">
        <v>550</v>
      </c>
      <c r="B575" s="0" t="s">
        <v>30</v>
      </c>
      <c r="C575" s="22" t="n">
        <f aca="false">laA_25+loA_25+ofA_25</f>
        <v>78.3481206981793</v>
      </c>
      <c r="D575" s="22" t="n">
        <f aca="false">laA_26+loA_26+ofA_26</f>
        <v>99.7111533272534</v>
      </c>
      <c r="E575" s="22" t="n">
        <f aca="false">laA_27+loA_27+ofA_27</f>
        <v>116.288709321091</v>
      </c>
      <c r="F575" s="22" t="n">
        <f aca="false">laA_28+loA_28+ofA_28</f>
        <v>130.886404842261</v>
      </c>
      <c r="G575" s="22" t="n">
        <f aca="false">laA_29+loA_29+ofA_29</f>
        <v>139.398079992203</v>
      </c>
    </row>
    <row r="576" customFormat="false" ht="17.15" hidden="false" customHeight="false" outlineLevel="0" collapsed="false">
      <c r="A576" s="0" t="s">
        <v>551</v>
      </c>
      <c r="B576" s="0" t="s">
        <v>30</v>
      </c>
      <c r="C576" s="22" t="n">
        <f aca="false">drA_25</f>
        <v>26.3761091658243</v>
      </c>
      <c r="D576" s="22" t="n">
        <f aca="false">drA_26</f>
        <v>41.8742847275048</v>
      </c>
      <c r="E576" s="22" t="n">
        <f aca="false">drA_27</f>
        <v>53.2587328153375</v>
      </c>
      <c r="F576" s="22" t="n">
        <f aca="false">drA_28</f>
        <v>59.5608998372386</v>
      </c>
      <c r="G576" s="22" t="n">
        <f aca="false">drA_29</f>
        <v>61.8312930912183</v>
      </c>
    </row>
    <row r="577" customFormat="false" ht="15" hidden="false" customHeight="false" outlineLevel="0" collapsed="false">
      <c r="A577" s="0" t="s">
        <v>552</v>
      </c>
      <c r="B577" s="0" t="s">
        <v>30</v>
      </c>
      <c r="C577" s="22" t="n">
        <f aca="false">ndA_25</f>
        <v>12.1726019800256</v>
      </c>
      <c r="D577" s="22" t="n">
        <f aca="false">ndA_26</f>
        <v>18.4595763045422</v>
      </c>
      <c r="E577" s="22" t="n">
        <f aca="false">ndA_27</f>
        <v>23.2480272411321</v>
      </c>
      <c r="F577" s="22" t="n">
        <f aca="false">ndA_28</f>
        <v>26.181321629459</v>
      </c>
      <c r="G577" s="22" t="n">
        <f aca="false">ndA_29</f>
        <v>27.674312771805</v>
      </c>
    </row>
    <row r="578" customFormat="false" ht="17.15" hidden="false" customHeight="false" outlineLevel="0" collapsed="false">
      <c r="A578" s="1" t="s">
        <v>553</v>
      </c>
    </row>
    <row r="579" customFormat="false" ht="17.15" hidden="false" customHeight="false" outlineLevel="0" collapsed="false">
      <c r="A579" s="5" t="s">
        <v>554</v>
      </c>
      <c r="B579" s="0" t="s">
        <v>30</v>
      </c>
      <c r="D579" s="22" t="n">
        <f aca="false">fyw*C575+(1-fyw)*D575</f>
        <v>96.1506478890744</v>
      </c>
      <c r="E579" s="22" t="n">
        <f aca="false">fyw*D575+(1-fyw)*E575</f>
        <v>113.525783322118</v>
      </c>
      <c r="F579" s="22" t="n">
        <f aca="false">fyw*E575+(1-fyw)*F575</f>
        <v>128.453455588732</v>
      </c>
      <c r="G579" s="22" t="n">
        <f aca="false">fyw*F575+(1-fyw)*G575</f>
        <v>137.979467467212</v>
      </c>
    </row>
    <row r="580" customFormat="false" ht="17.15" hidden="false" customHeight="false" outlineLevel="0" collapsed="false">
      <c r="A580" s="0" t="s">
        <v>555</v>
      </c>
      <c r="B580" s="0" t="s">
        <v>30</v>
      </c>
      <c r="D580" s="22" t="n">
        <f aca="false">fyw*C576+(1-fyw)*D576</f>
        <v>39.2912554672247</v>
      </c>
      <c r="E580" s="22" t="n">
        <f aca="false">fyw*D576+(1-fyw)*E576</f>
        <v>51.3613248006987</v>
      </c>
      <c r="F580" s="22" t="n">
        <f aca="false">fyw*E576+(1-fyw)*F576</f>
        <v>58.5105386669218</v>
      </c>
      <c r="G580" s="22" t="n">
        <f aca="false">fyw*F576+(1-fyw)*G576</f>
        <v>61.452894215555</v>
      </c>
    </row>
    <row r="581" customFormat="false" ht="15" hidden="false" customHeight="false" outlineLevel="0" collapsed="false">
      <c r="A581" s="0" t="s">
        <v>556</v>
      </c>
      <c r="B581" s="0" t="s">
        <v>30</v>
      </c>
      <c r="D581" s="22" t="n">
        <f aca="false">fyw*C577+(1-fyw)*D577</f>
        <v>17.4117472504561</v>
      </c>
      <c r="E581" s="22" t="n">
        <f aca="false">fyw*D577+(1-fyw)*E577</f>
        <v>22.4499520850338</v>
      </c>
      <c r="F581" s="22" t="n">
        <f aca="false">fyw*E577+(1-fyw)*F577</f>
        <v>25.6924392314045</v>
      </c>
      <c r="G581" s="22" t="n">
        <f aca="false">fyw*F577+(1-fyw)*G577</f>
        <v>27.4254809147473</v>
      </c>
    </row>
    <row r="582" customFormat="false" ht="17.15" hidden="false" customHeight="false" outlineLevel="0" collapsed="false">
      <c r="A582" s="5" t="s">
        <v>557</v>
      </c>
      <c r="B582" s="0" t="s">
        <v>246</v>
      </c>
      <c r="D582" s="21" t="n">
        <f aca="false">m_fl*D579/$D579+m_dr*D580/$D580+m_nd*D581/$D581</f>
        <v>1</v>
      </c>
      <c r="E582" s="21" t="n">
        <f aca="false">m_fl*E579/$D579+m_dr*E580/$D580+m_nd*E581/$D581</f>
        <v>1.22388113282</v>
      </c>
      <c r="F582" s="21" t="n">
        <f aca="false">m_fl*F579/$D579+m_dr*F580/$D580+m_nd*F581/$D581</f>
        <v>1.3886833368957</v>
      </c>
      <c r="G582" s="21" t="n">
        <f aca="false">m_fl*G579/$D579+m_dr*G580/$D580+m_nd*G581/$D581</f>
        <v>1.48065154546388</v>
      </c>
      <c r="H582" s="8" t="s">
        <v>558</v>
      </c>
    </row>
    <row r="583" customFormat="false" ht="17.15" hidden="false" customHeight="false" outlineLevel="0" collapsed="false">
      <c r="A583" s="1" t="s">
        <v>559</v>
      </c>
    </row>
    <row r="584" customFormat="false" ht="17.15" hidden="false" customHeight="false" outlineLevel="0" collapsed="false">
      <c r="A584" s="5" t="s">
        <v>560</v>
      </c>
      <c r="B584" s="0" t="s">
        <v>252</v>
      </c>
      <c r="C584" s="9" t="n">
        <f aca="false">a25_ss</f>
        <v>21438.5432098765</v>
      </c>
      <c r="D584" s="9" t="n">
        <f aca="false">an_ss</f>
        <v>26046</v>
      </c>
      <c r="E584" s="9" t="n">
        <f aca="false">$D584*E582*sf</f>
        <v>31877.2079854298</v>
      </c>
      <c r="F584" s="9" t="n">
        <f aca="false">$D584*F582*sf</f>
        <v>36169.6461927855</v>
      </c>
      <c r="G584" s="9" t="n">
        <f aca="false">$D584*G582*sf</f>
        <v>38565.0501531522</v>
      </c>
      <c r="H584" s="8" t="s">
        <v>561</v>
      </c>
    </row>
    <row r="585" customFormat="false" ht="17.15" hidden="false" customHeight="false" outlineLevel="0" collapsed="false">
      <c r="A585" s="0" t="s">
        <v>562</v>
      </c>
      <c r="B585" s="0" t="s">
        <v>252</v>
      </c>
      <c r="C585" s="9" t="n">
        <f aca="false">a25_ags</f>
        <v>5744.19672131148</v>
      </c>
      <c r="D585" s="9" t="n">
        <f aca="false">an_ags</f>
        <v>6845</v>
      </c>
      <c r="E585" s="9" t="n">
        <f aca="false">D585*(1+g_ags_A)</f>
        <v>7871.75</v>
      </c>
      <c r="F585" s="9" t="n">
        <f aca="false">E585*(1+g_ags_A)</f>
        <v>9052.5125</v>
      </c>
      <c r="G585" s="9" t="n">
        <f aca="false">F585*(1+g_ags_A)</f>
        <v>10410.389375</v>
      </c>
    </row>
    <row r="586" customFormat="false" ht="17.15" hidden="false" customHeight="false" outlineLevel="0" collapsed="false">
      <c r="A586" s="5" t="s">
        <v>563</v>
      </c>
      <c r="B586" s="0" t="s">
        <v>252</v>
      </c>
      <c r="C586" s="9" t="n">
        <v>0</v>
      </c>
      <c r="D586" s="9" t="n">
        <v>0</v>
      </c>
      <c r="E586" s="9" t="n">
        <f aca="false">-aff_hit*aff_A-0*cn_sh*(E584+E585)</f>
        <v>-0</v>
      </c>
      <c r="F586" s="9" t="n">
        <f aca="false">-aff_hit*aff_A-0*cn_sh*(F584+F585)</f>
        <v>-0</v>
      </c>
      <c r="G586" s="9" t="n">
        <f aca="false">-aff_hit*aff_A-0*cn_sh*(G584+G585)</f>
        <v>-0</v>
      </c>
      <c r="H586" s="5" t="s">
        <v>564</v>
      </c>
    </row>
    <row r="587" customFormat="false" ht="17.15" hidden="false" customHeight="false" outlineLevel="0" collapsed="false">
      <c r="A587" s="5" t="s">
        <v>565</v>
      </c>
      <c r="B587" s="0" t="s">
        <v>252</v>
      </c>
      <c r="C587" s="9" t="n">
        <f aca="false">C584+C586*C584/(C584+C585)</f>
        <v>21438.5432098765</v>
      </c>
      <c r="D587" s="9" t="n">
        <f aca="false">D584+D586*D584/(D584+D585)</f>
        <v>26046</v>
      </c>
      <c r="E587" s="9" t="n">
        <f aca="false">E584+E586*E584/(E584+E585)</f>
        <v>31877.2079854298</v>
      </c>
      <c r="F587" s="9" t="n">
        <f aca="false">F584+F586*F584/(F584+F585)</f>
        <v>36169.6461927855</v>
      </c>
      <c r="G587" s="9" t="n">
        <f aca="false">G584+G586*G584/(G584+G585)</f>
        <v>38565.0501531522</v>
      </c>
      <c r="H587" s="5" t="s">
        <v>566</v>
      </c>
    </row>
    <row r="588" customFormat="false" ht="17.15" hidden="false" customHeight="false" outlineLevel="0" collapsed="false">
      <c r="A588" s="0" t="s">
        <v>567</v>
      </c>
      <c r="B588" s="0" t="s">
        <v>252</v>
      </c>
      <c r="C588" s="9" t="n">
        <f aca="false">C585+C586*C585/(C584+C585)</f>
        <v>5744.19672131148</v>
      </c>
      <c r="D588" s="9" t="n">
        <f aca="false">D585+D586*D585/(D584+D585)</f>
        <v>6845</v>
      </c>
      <c r="E588" s="9" t="n">
        <f aca="false">E585+E586*E585/(E584+E585)</f>
        <v>7871.75</v>
      </c>
      <c r="F588" s="9" t="n">
        <f aca="false">F585+F586*F585/(F584+F585)</f>
        <v>9052.5125</v>
      </c>
      <c r="G588" s="9" t="n">
        <f aca="false">G585+G586*G585/(G584+G585)</f>
        <v>10410.389375</v>
      </c>
      <c r="H588" s="5" t="s">
        <v>568</v>
      </c>
    </row>
    <row r="589" customFormat="false" ht="17.15" hidden="false" customHeight="false" outlineLevel="0" collapsed="false">
      <c r="A589" s="5" t="s">
        <v>569</v>
      </c>
      <c r="B589" s="0" t="s">
        <v>252</v>
      </c>
      <c r="C589" s="9" t="n">
        <f aca="false">a25_oth</f>
        <v>1185.26006881198</v>
      </c>
      <c r="D589" s="9" t="n">
        <f aca="false">an_oth</f>
        <v>1396</v>
      </c>
      <c r="E589" s="9" t="n">
        <f aca="false">D589*(1+g_oth_A)</f>
        <v>1396</v>
      </c>
      <c r="F589" s="9" t="n">
        <f aca="false">E589*(1+g_oth_A)</f>
        <v>1396</v>
      </c>
      <c r="G589" s="9" t="n">
        <f aca="false">F589*(1+g_oth_A)</f>
        <v>1396</v>
      </c>
      <c r="H589" s="5" t="s">
        <v>570</v>
      </c>
    </row>
    <row r="590" customFormat="false" ht="15" hidden="false" customHeight="false" outlineLevel="0" collapsed="false">
      <c r="A590" s="5" t="s">
        <v>454</v>
      </c>
      <c r="B590" s="0" t="s">
        <v>252</v>
      </c>
      <c r="C590" s="9" t="n">
        <f aca="false">C587+C588+C589</f>
        <v>28368</v>
      </c>
      <c r="D590" s="9" t="n">
        <f aca="false">D587+D588+D589</f>
        <v>34287</v>
      </c>
      <c r="E590" s="9" t="n">
        <f aca="false">E587+E588+E589</f>
        <v>41144.9579854298</v>
      </c>
      <c r="F590" s="9" t="n">
        <f aca="false">F587+F588+F589</f>
        <v>46618.1586927855</v>
      </c>
      <c r="G590" s="9" t="n">
        <f aca="false">G587+G588+G589</f>
        <v>50371.4395281522</v>
      </c>
    </row>
    <row r="591" customFormat="false" ht="17.15" hidden="false" customHeight="false" outlineLevel="0" collapsed="false">
      <c r="A591" s="5" t="s">
        <v>571</v>
      </c>
      <c r="B591" s="0" t="s">
        <v>252</v>
      </c>
      <c r="C591" s="23" t="n">
        <f aca="false">C587+C588+C589-a25_rev</f>
        <v>0</v>
      </c>
      <c r="D591" s="23" t="n">
        <f aca="false">D587+D588+D589-an_rev</f>
        <v>0</v>
      </c>
    </row>
    <row r="592" customFormat="false" ht="17.15" hidden="false" customHeight="false" outlineLevel="0" collapsed="false">
      <c r="A592" s="0" t="s">
        <v>460</v>
      </c>
      <c r="B592" s="0" t="s">
        <v>199</v>
      </c>
      <c r="C592" s="11" t="n">
        <f aca="false">a25_gp/a25_rev</f>
        <v>0.487833192329385</v>
      </c>
      <c r="D592" s="11" t="n">
        <f aca="false">an_gp/an_rev</f>
        <v>0.500418584303089</v>
      </c>
      <c r="E592" s="11" t="n">
        <f aca="false">1-(cF+cv*E590)/E590</f>
        <v>0.510472270404997</v>
      </c>
      <c r="F592" s="11" t="n">
        <f aca="false">1-(cF+cv*F590)/F590</f>
        <v>0.516373550758896</v>
      </c>
      <c r="G592" s="11" t="n">
        <f aca="false">1-(cF+cv*G590)/G590</f>
        <v>0.519679134737399</v>
      </c>
      <c r="H592" s="5" t="s">
        <v>572</v>
      </c>
    </row>
    <row r="593" customFormat="false" ht="17.15" hidden="false" customHeight="false" outlineLevel="0" collapsed="false">
      <c r="A593" s="0" t="s">
        <v>463</v>
      </c>
      <c r="B593" s="0" t="s">
        <v>252</v>
      </c>
      <c r="C593" s="9" t="n">
        <f aca="false">C590*C592</f>
        <v>13838.852</v>
      </c>
      <c r="D593" s="9" t="n">
        <f aca="false">D590*D592</f>
        <v>17157.852</v>
      </c>
      <c r="E593" s="9" t="n">
        <f aca="false">E590*E592</f>
        <v>21003.3601185406</v>
      </c>
      <c r="F593" s="9" t="n">
        <f aca="false">F590*F592</f>
        <v>24072.3841340353</v>
      </c>
      <c r="G593" s="9" t="n">
        <f aca="false">G590*G592</f>
        <v>26176.9861094673</v>
      </c>
    </row>
    <row r="594" customFormat="false" ht="17.15" hidden="false" customHeight="false" outlineLevel="0" collapsed="false">
      <c r="A594" s="0" t="s">
        <v>573</v>
      </c>
      <c r="B594" s="0" t="s">
        <v>252</v>
      </c>
      <c r="C594" s="9" t="n">
        <f aca="false">opex25</f>
        <v>5276.852</v>
      </c>
      <c r="D594" s="9" t="n">
        <f aca="false">opex26</f>
        <v>5832.852</v>
      </c>
      <c r="E594" s="9" t="n">
        <f aca="false">oF+ov*E590</f>
        <v>6477.05281768863</v>
      </c>
      <c r="F594" s="9" t="n">
        <f aca="false">oF+ov*F590</f>
        <v>6991.17675640966</v>
      </c>
      <c r="G594" s="9" t="n">
        <f aca="false">oF+ov*G590</f>
        <v>7343.74038953415</v>
      </c>
      <c r="H594" s="5" t="s">
        <v>574</v>
      </c>
    </row>
    <row r="595" customFormat="false" ht="17.15" hidden="false" customHeight="false" outlineLevel="0" collapsed="false">
      <c r="A595" s="0" t="s">
        <v>465</v>
      </c>
      <c r="B595" s="0" t="s">
        <v>252</v>
      </c>
      <c r="C595" s="9" t="n">
        <f aca="false">C593-C594</f>
        <v>8562</v>
      </c>
      <c r="D595" s="9" t="n">
        <f aca="false">D593-D594</f>
        <v>11325</v>
      </c>
      <c r="E595" s="9" t="n">
        <f aca="false">E593-E594</f>
        <v>14526.3073008519</v>
      </c>
      <c r="F595" s="9" t="n">
        <f aca="false">F593-F594</f>
        <v>17081.2073776257</v>
      </c>
      <c r="G595" s="9" t="n">
        <f aca="false">G593-G594</f>
        <v>18833.2457199332</v>
      </c>
    </row>
    <row r="596" customFormat="false" ht="17.15" hidden="false" customHeight="false" outlineLevel="0" collapsed="false">
      <c r="A596" s="0" t="s">
        <v>544</v>
      </c>
      <c r="B596" s="0" t="s">
        <v>199</v>
      </c>
      <c r="C596" s="11" t="n">
        <f aca="false">C595/C590</f>
        <v>0.301818950930626</v>
      </c>
      <c r="D596" s="11" t="n">
        <f aca="false">D595/D590</f>
        <v>0.330300113745735</v>
      </c>
      <c r="E596" s="11" t="n">
        <f aca="false">E595/E590</f>
        <v>0.353051941528193</v>
      </c>
      <c r="F596" s="11" t="n">
        <f aca="false">F595/F590</f>
        <v>0.366406736271828</v>
      </c>
      <c r="G596" s="11" t="n">
        <f aca="false">G595/G590</f>
        <v>0.373887383333713</v>
      </c>
    </row>
    <row r="597" customFormat="false" ht="17.15" hidden="false" customHeight="false" outlineLevel="0" collapsed="false">
      <c r="A597" s="0" t="s">
        <v>470</v>
      </c>
      <c r="B597" s="0" t="s">
        <v>252</v>
      </c>
      <c r="C597" s="9" t="n">
        <f aca="false">a25_ni</f>
        <v>7607</v>
      </c>
      <c r="D597" s="9" t="n">
        <f aca="false">an_ni</f>
        <v>10179.92</v>
      </c>
      <c r="E597" s="9" t="n">
        <f aca="false">E595*nioi</f>
        <v>12906.0522818945</v>
      </c>
      <c r="F597" s="9" t="n">
        <f aca="false">F595*nioi</f>
        <v>15175.9804393364</v>
      </c>
      <c r="G597" s="9" t="n">
        <f aca="false">G595*nioi</f>
        <v>16732.597546313</v>
      </c>
    </row>
    <row r="598" customFormat="false" ht="15" hidden="false" customHeight="false" outlineLevel="0" collapsed="false">
      <c r="A598" s="5" t="s">
        <v>575</v>
      </c>
      <c r="B598" s="5" t="s">
        <v>328</v>
      </c>
      <c r="C598" s="23" t="n">
        <f aca="false">a25_sh</f>
        <v>808</v>
      </c>
      <c r="D598" s="23" t="n">
        <f aca="false">an_sh</f>
        <v>797.799373040752</v>
      </c>
      <c r="E598" s="23" t="n">
        <f aca="false">$D598*(1-bb_lo)^1</f>
        <v>797.799373040752</v>
      </c>
      <c r="F598" s="23" t="n">
        <f aca="false">$D598*(1-bb_lo)^2</f>
        <v>797.799373040752</v>
      </c>
      <c r="G598" s="23" t="n">
        <f aca="false">$D598*(1-bb_lo)^3</f>
        <v>797.799373040752</v>
      </c>
    </row>
    <row r="599" customFormat="false" ht="17.15" hidden="false" customHeight="false" outlineLevel="0" collapsed="false">
      <c r="A599" s="0" t="s">
        <v>576</v>
      </c>
      <c r="B599" s="0" t="s">
        <v>341</v>
      </c>
      <c r="C599" s="14" t="n">
        <f aca="false">a25_eps</f>
        <v>9.42</v>
      </c>
      <c r="D599" s="14" t="n">
        <f aca="false">an_eps</f>
        <v>12.76</v>
      </c>
      <c r="E599" s="14" t="n">
        <f aca="false">E597/E598</f>
        <v>16.1770649589558</v>
      </c>
      <c r="F599" s="14" t="n">
        <f aca="false">F597/F598</f>
        <v>19.0223017868444</v>
      </c>
      <c r="G599" s="14" t="n">
        <f aca="false">G597/G598</f>
        <v>20.973440330666</v>
      </c>
      <c r="H599" s="8" t="s">
        <v>577</v>
      </c>
    </row>
    <row r="600" customFormat="false" ht="17.15" hidden="false" customHeight="false" outlineLevel="0" collapsed="false">
      <c r="A600" s="5" t="s">
        <v>578</v>
      </c>
      <c r="B600" s="0" t="s">
        <v>199</v>
      </c>
      <c r="D600" s="11" t="n">
        <f aca="false">D584/1000/(D579+D580+D581)</f>
        <v>0.170398285527431</v>
      </c>
      <c r="E600" s="11" t="n">
        <f aca="false">E584/1000/(E579+E580+E581)</f>
        <v>0.170159646735473</v>
      </c>
      <c r="F600" s="11" t="n">
        <f aca="false">F584/1000/(F579+F580+F581)</f>
        <v>0.170084890448361</v>
      </c>
      <c r="G600" s="11" t="n">
        <f aca="false">G584/1000/(G579+G580+G581)</f>
        <v>0.169996548109528</v>
      </c>
      <c r="H600" s="5" t="s">
        <v>579</v>
      </c>
    </row>
    <row r="604" customFormat="false" ht="17.15" hidden="false" customHeight="false" outlineLevel="0" collapsed="false">
      <c r="A604" s="3" t="s">
        <v>932</v>
      </c>
    </row>
    <row r="605" customFormat="false" ht="15" hidden="false" customHeight="false" outlineLevel="0" collapsed="false">
      <c r="A605" s="6" t="s">
        <v>19</v>
      </c>
      <c r="B605" s="6" t="s">
        <v>20</v>
      </c>
      <c r="C605" s="15" t="s">
        <v>513</v>
      </c>
      <c r="D605" s="15" t="s">
        <v>514</v>
      </c>
      <c r="E605" s="15" t="s">
        <v>515</v>
      </c>
      <c r="F605" s="15" t="s">
        <v>516</v>
      </c>
      <c r="G605" s="15" t="s">
        <v>517</v>
      </c>
      <c r="H605" s="6" t="s">
        <v>518</v>
      </c>
    </row>
    <row r="606" customFormat="false" ht="17.15" hidden="false" customHeight="false" outlineLevel="0" collapsed="false">
      <c r="A606" s="1" t="s">
        <v>549</v>
      </c>
    </row>
    <row r="607" customFormat="false" ht="17.15" hidden="false" customHeight="false" outlineLevel="0" collapsed="false">
      <c r="A607" s="5" t="s">
        <v>550</v>
      </c>
      <c r="B607" s="0" t="s">
        <v>30</v>
      </c>
      <c r="C607" s="22" t="n">
        <f aca="false">laA_25+loA_25+ofA_25</f>
        <v>78.3481206981793</v>
      </c>
      <c r="D607" s="22" t="n">
        <f aca="false">laA_26+loA_26+ofA_26</f>
        <v>99.7111533272534</v>
      </c>
      <c r="E607" s="22" t="n">
        <f aca="false">laA_27+loA_27+ofA_27</f>
        <v>116.288709321091</v>
      </c>
      <c r="F607" s="22" t="n">
        <f aca="false">laA_28+loA_28+ofA_28</f>
        <v>130.886404842261</v>
      </c>
      <c r="G607" s="22" t="n">
        <f aca="false">laA_29+loA_29+ofA_29</f>
        <v>139.398079992203</v>
      </c>
    </row>
    <row r="608" customFormat="false" ht="17.15" hidden="false" customHeight="false" outlineLevel="0" collapsed="false">
      <c r="A608" s="0" t="s">
        <v>551</v>
      </c>
      <c r="B608" s="0" t="s">
        <v>30</v>
      </c>
      <c r="C608" s="22" t="n">
        <f aca="false">drA_25</f>
        <v>26.3761091658243</v>
      </c>
      <c r="D608" s="22" t="n">
        <f aca="false">drA_26</f>
        <v>41.8742847275048</v>
      </c>
      <c r="E608" s="22" t="n">
        <f aca="false">drA_27</f>
        <v>53.2587328153375</v>
      </c>
      <c r="F608" s="22" t="n">
        <f aca="false">drA_28</f>
        <v>59.5608998372386</v>
      </c>
      <c r="G608" s="22" t="n">
        <f aca="false">drA_29</f>
        <v>61.8312930912183</v>
      </c>
    </row>
    <row r="609" customFormat="false" ht="15" hidden="false" customHeight="false" outlineLevel="0" collapsed="false">
      <c r="A609" s="0" t="s">
        <v>552</v>
      </c>
      <c r="B609" s="0" t="s">
        <v>30</v>
      </c>
      <c r="C609" s="22" t="n">
        <f aca="false">ndA_25</f>
        <v>12.1726019800256</v>
      </c>
      <c r="D609" s="22" t="n">
        <f aca="false">ndA_26</f>
        <v>18.4595763045422</v>
      </c>
      <c r="E609" s="22" t="n">
        <f aca="false">ndA_27</f>
        <v>23.2480272411321</v>
      </c>
      <c r="F609" s="22" t="n">
        <f aca="false">ndA_28</f>
        <v>26.181321629459</v>
      </c>
      <c r="G609" s="22" t="n">
        <f aca="false">ndA_29</f>
        <v>27.674312771805</v>
      </c>
    </row>
    <row r="610" customFormat="false" ht="17.15" hidden="false" customHeight="false" outlineLevel="0" collapsed="false">
      <c r="A610" s="1" t="s">
        <v>553</v>
      </c>
    </row>
    <row r="611" customFormat="false" ht="17.15" hidden="false" customHeight="false" outlineLevel="0" collapsed="false">
      <c r="A611" s="5" t="s">
        <v>554</v>
      </c>
      <c r="B611" s="0" t="s">
        <v>30</v>
      </c>
      <c r="D611" s="22" t="n">
        <f aca="false">fyw*C607+(1-fyw)*D607</f>
        <v>96.1506478890744</v>
      </c>
      <c r="E611" s="22" t="n">
        <f aca="false">fyw*D607+(1-fyw)*E607</f>
        <v>113.525783322118</v>
      </c>
      <c r="F611" s="22" t="n">
        <f aca="false">fyw*E607+(1-fyw)*F607</f>
        <v>128.453455588732</v>
      </c>
      <c r="G611" s="22" t="n">
        <f aca="false">fyw*F607+(1-fyw)*G607</f>
        <v>137.979467467212</v>
      </c>
    </row>
    <row r="612" customFormat="false" ht="17.15" hidden="false" customHeight="false" outlineLevel="0" collapsed="false">
      <c r="A612" s="0" t="s">
        <v>555</v>
      </c>
      <c r="B612" s="0" t="s">
        <v>30</v>
      </c>
      <c r="D612" s="22" t="n">
        <f aca="false">fyw*C608+(1-fyw)*D608</f>
        <v>39.2912554672247</v>
      </c>
      <c r="E612" s="22" t="n">
        <f aca="false">fyw*D608+(1-fyw)*E608</f>
        <v>51.3613248006987</v>
      </c>
      <c r="F612" s="22" t="n">
        <f aca="false">fyw*E608+(1-fyw)*F608</f>
        <v>58.5105386669218</v>
      </c>
      <c r="G612" s="22" t="n">
        <f aca="false">fyw*F608+(1-fyw)*G608</f>
        <v>61.452894215555</v>
      </c>
    </row>
    <row r="613" customFormat="false" ht="15" hidden="false" customHeight="false" outlineLevel="0" collapsed="false">
      <c r="A613" s="0" t="s">
        <v>556</v>
      </c>
      <c r="B613" s="0" t="s">
        <v>30</v>
      </c>
      <c r="D613" s="22" t="n">
        <f aca="false">fyw*C609+(1-fyw)*D609</f>
        <v>17.4117472504561</v>
      </c>
      <c r="E613" s="22" t="n">
        <f aca="false">fyw*D609+(1-fyw)*E609</f>
        <v>22.4499520850338</v>
      </c>
      <c r="F613" s="22" t="n">
        <f aca="false">fyw*E609+(1-fyw)*F609</f>
        <v>25.6924392314045</v>
      </c>
      <c r="G613" s="22" t="n">
        <f aca="false">fyw*F609+(1-fyw)*G609</f>
        <v>27.4254809147473</v>
      </c>
    </row>
    <row r="614" customFormat="false" ht="17.15" hidden="false" customHeight="false" outlineLevel="0" collapsed="false">
      <c r="A614" s="5" t="s">
        <v>557</v>
      </c>
      <c r="B614" s="0" t="s">
        <v>246</v>
      </c>
      <c r="D614" s="21" t="n">
        <f aca="false">m_fl*D611/$D611+m_dr*D612/$D612+m_nd*D613/$D613</f>
        <v>1</v>
      </c>
      <c r="E614" s="21" t="n">
        <f aca="false">m_fl*E611/$D611+m_dr*E612/$D612+m_nd*E613/$D613</f>
        <v>1.22388113282</v>
      </c>
      <c r="F614" s="21" t="n">
        <f aca="false">m_fl*F611/$D611+m_dr*F612/$D612+m_nd*F613/$D613</f>
        <v>1.3886833368957</v>
      </c>
      <c r="G614" s="21" t="n">
        <f aca="false">m_fl*G611/$D611+m_dr*G612/$D612+m_nd*G613/$D613</f>
        <v>1.48065154546388</v>
      </c>
      <c r="H614" s="8" t="s">
        <v>558</v>
      </c>
    </row>
    <row r="615" customFormat="false" ht="17.15" hidden="false" customHeight="false" outlineLevel="0" collapsed="false">
      <c r="A615" s="1" t="s">
        <v>559</v>
      </c>
    </row>
    <row r="616" customFormat="false" ht="17.15" hidden="false" customHeight="false" outlineLevel="0" collapsed="false">
      <c r="A616" s="5" t="s">
        <v>560</v>
      </c>
      <c r="B616" s="0" t="s">
        <v>252</v>
      </c>
      <c r="C616" s="9" t="n">
        <f aca="false">a25_ss</f>
        <v>21438.5432098765</v>
      </c>
      <c r="D616" s="9" t="n">
        <f aca="false">an_ss</f>
        <v>26046</v>
      </c>
      <c r="E616" s="9" t="n">
        <f aca="false">$D616*E614*sf</f>
        <v>31877.2079854298</v>
      </c>
      <c r="F616" s="9" t="n">
        <f aca="false">$D616*F614*sf</f>
        <v>36169.6461927855</v>
      </c>
      <c r="G616" s="9" t="n">
        <f aca="false">$D616*G614*sf</f>
        <v>38565.0501531522</v>
      </c>
      <c r="H616" s="8" t="s">
        <v>561</v>
      </c>
    </row>
    <row r="617" customFormat="false" ht="17.15" hidden="false" customHeight="false" outlineLevel="0" collapsed="false">
      <c r="A617" s="0" t="s">
        <v>562</v>
      </c>
      <c r="B617" s="0" t="s">
        <v>252</v>
      </c>
      <c r="C617" s="9" t="n">
        <f aca="false">a25_ags</f>
        <v>5744.19672131148</v>
      </c>
      <c r="D617" s="9" t="n">
        <f aca="false">an_ags</f>
        <v>6845</v>
      </c>
      <c r="E617" s="9" t="n">
        <f aca="false">D617*(1+g_ags_A)</f>
        <v>7871.75</v>
      </c>
      <c r="F617" s="9" t="n">
        <f aca="false">E617*(1+g_ags_A)</f>
        <v>9052.5125</v>
      </c>
      <c r="G617" s="9" t="n">
        <f aca="false">F617*(1+g_ags_A)</f>
        <v>10410.389375</v>
      </c>
    </row>
    <row r="618" customFormat="false" ht="17.15" hidden="false" customHeight="false" outlineLevel="0" collapsed="false">
      <c r="A618" s="5" t="s">
        <v>563</v>
      </c>
      <c r="B618" s="0" t="s">
        <v>252</v>
      </c>
      <c r="C618" s="9" t="n">
        <v>0</v>
      </c>
      <c r="D618" s="9" t="n">
        <v>0</v>
      </c>
      <c r="E618" s="9" t="n">
        <f aca="false">-aff_hit*aff_A-0*cn_sh*(E616+E617)</f>
        <v>-0</v>
      </c>
      <c r="F618" s="9" t="n">
        <f aca="false">-aff_hit*aff_A-0*cn_sh*(F616+F617)</f>
        <v>-0</v>
      </c>
      <c r="G618" s="9" t="n">
        <f aca="false">-aff_hit*aff_A-0*cn_sh*(G616+G617)</f>
        <v>-0</v>
      </c>
      <c r="H618" s="5" t="s">
        <v>564</v>
      </c>
    </row>
    <row r="619" customFormat="false" ht="17.15" hidden="false" customHeight="false" outlineLevel="0" collapsed="false">
      <c r="A619" s="5" t="s">
        <v>565</v>
      </c>
      <c r="B619" s="0" t="s">
        <v>252</v>
      </c>
      <c r="C619" s="9" t="n">
        <f aca="false">C616+C618*C616/(C616+C617)</f>
        <v>21438.5432098765</v>
      </c>
      <c r="D619" s="9" t="n">
        <f aca="false">D616+D618*D616/(D616+D617)</f>
        <v>26046</v>
      </c>
      <c r="E619" s="9" t="n">
        <f aca="false">E616+E618*E616/(E616+E617)</f>
        <v>31877.2079854298</v>
      </c>
      <c r="F619" s="9" t="n">
        <f aca="false">F616+F618*F616/(F616+F617)</f>
        <v>36169.6461927855</v>
      </c>
      <c r="G619" s="9" t="n">
        <f aca="false">G616+G618*G616/(G616+G617)</f>
        <v>38565.0501531522</v>
      </c>
      <c r="H619" s="5" t="s">
        <v>566</v>
      </c>
    </row>
    <row r="620" customFormat="false" ht="17.15" hidden="false" customHeight="false" outlineLevel="0" collapsed="false">
      <c r="A620" s="0" t="s">
        <v>567</v>
      </c>
      <c r="B620" s="0" t="s">
        <v>252</v>
      </c>
      <c r="C620" s="9" t="n">
        <f aca="false">C617+C618*C617/(C616+C617)</f>
        <v>5744.19672131148</v>
      </c>
      <c r="D620" s="9" t="n">
        <f aca="false">D617+D618*D617/(D616+D617)</f>
        <v>6845</v>
      </c>
      <c r="E620" s="9" t="n">
        <f aca="false">E617+E618*E617/(E616+E617)</f>
        <v>7871.75</v>
      </c>
      <c r="F620" s="9" t="n">
        <f aca="false">F617+F618*F617/(F616+F617)</f>
        <v>9052.5125</v>
      </c>
      <c r="G620" s="9" t="n">
        <f aca="false">G617+G618*G617/(G616+G617)</f>
        <v>10410.389375</v>
      </c>
      <c r="H620" s="5" t="s">
        <v>568</v>
      </c>
    </row>
    <row r="621" customFormat="false" ht="17.15" hidden="false" customHeight="false" outlineLevel="0" collapsed="false">
      <c r="A621" s="5" t="s">
        <v>569</v>
      </c>
      <c r="B621" s="0" t="s">
        <v>252</v>
      </c>
      <c r="C621" s="9" t="n">
        <f aca="false">a25_oth</f>
        <v>1185.26006881198</v>
      </c>
      <c r="D621" s="9" t="n">
        <f aca="false">an_oth</f>
        <v>1396</v>
      </c>
      <c r="E621" s="9" t="n">
        <f aca="false">D621*(1+g_oth_A)</f>
        <v>1396</v>
      </c>
      <c r="F621" s="9" t="n">
        <f aca="false">E621*(1+g_oth_A)</f>
        <v>1396</v>
      </c>
      <c r="G621" s="9" t="n">
        <f aca="false">F621*(1+g_oth_A)</f>
        <v>1396</v>
      </c>
      <c r="H621" s="5" t="s">
        <v>570</v>
      </c>
    </row>
    <row r="622" customFormat="false" ht="15" hidden="false" customHeight="false" outlineLevel="0" collapsed="false">
      <c r="A622" s="5" t="s">
        <v>454</v>
      </c>
      <c r="B622" s="0" t="s">
        <v>252</v>
      </c>
      <c r="C622" s="9" t="n">
        <f aca="false">C619+C620+C621</f>
        <v>28368</v>
      </c>
      <c r="D622" s="9" t="n">
        <f aca="false">D619+D620+D621</f>
        <v>34287</v>
      </c>
      <c r="E622" s="9" t="n">
        <f aca="false">E619+E620+E621</f>
        <v>41144.9579854298</v>
      </c>
      <c r="F622" s="9" t="n">
        <f aca="false">F619+F620+F621</f>
        <v>46618.1586927855</v>
      </c>
      <c r="G622" s="9" t="n">
        <f aca="false">G619+G620+G621</f>
        <v>50371.4395281522</v>
      </c>
    </row>
    <row r="623" customFormat="false" ht="17.15" hidden="false" customHeight="false" outlineLevel="0" collapsed="false">
      <c r="A623" s="5" t="s">
        <v>571</v>
      </c>
      <c r="B623" s="0" t="s">
        <v>252</v>
      </c>
      <c r="C623" s="23" t="n">
        <f aca="false">C619+C620+C621-a25_rev</f>
        <v>0</v>
      </c>
      <c r="D623" s="23" t="n">
        <f aca="false">D619+D620+D621-an_rev</f>
        <v>0</v>
      </c>
    </row>
    <row r="624" customFormat="false" ht="17.15" hidden="false" customHeight="false" outlineLevel="0" collapsed="false">
      <c r="A624" s="0" t="s">
        <v>460</v>
      </c>
      <c r="B624" s="0" t="s">
        <v>199</v>
      </c>
      <c r="C624" s="11" t="n">
        <f aca="false">a25_gp/a25_rev</f>
        <v>0.487833192329385</v>
      </c>
      <c r="D624" s="11" t="n">
        <f aca="false">an_gp/an_rev</f>
        <v>0.500418584303089</v>
      </c>
      <c r="E624" s="11" t="n">
        <f aca="false">1-(cF+cv*E622)/E622</f>
        <v>0.510472270404997</v>
      </c>
      <c r="F624" s="11" t="n">
        <f aca="false">1-(cF+cv*F622)/F622</f>
        <v>0.516373550758896</v>
      </c>
      <c r="G624" s="11" t="n">
        <f aca="false">1-(cF+cv*G622)/G622</f>
        <v>0.519679134737399</v>
      </c>
      <c r="H624" s="5" t="s">
        <v>572</v>
      </c>
    </row>
    <row r="625" customFormat="false" ht="17.15" hidden="false" customHeight="false" outlineLevel="0" collapsed="false">
      <c r="A625" s="0" t="s">
        <v>463</v>
      </c>
      <c r="B625" s="0" t="s">
        <v>252</v>
      </c>
      <c r="C625" s="9" t="n">
        <f aca="false">C622*C624</f>
        <v>13838.852</v>
      </c>
      <c r="D625" s="9" t="n">
        <f aca="false">D622*D624</f>
        <v>17157.852</v>
      </c>
      <c r="E625" s="9" t="n">
        <f aca="false">E622*E624</f>
        <v>21003.3601185406</v>
      </c>
      <c r="F625" s="9" t="n">
        <f aca="false">F622*F624</f>
        <v>24072.3841340353</v>
      </c>
      <c r="G625" s="9" t="n">
        <f aca="false">G622*G624</f>
        <v>26176.9861094673</v>
      </c>
    </row>
    <row r="626" customFormat="false" ht="17.15" hidden="false" customHeight="false" outlineLevel="0" collapsed="false">
      <c r="A626" s="0" t="s">
        <v>573</v>
      </c>
      <c r="B626" s="0" t="s">
        <v>252</v>
      </c>
      <c r="C626" s="9" t="n">
        <f aca="false">opex25</f>
        <v>5276.852</v>
      </c>
      <c r="D626" s="9" t="n">
        <f aca="false">opex26</f>
        <v>5832.852</v>
      </c>
      <c r="E626" s="9" t="n">
        <f aca="false">oF+ov*E622</f>
        <v>6477.05281768863</v>
      </c>
      <c r="F626" s="9" t="n">
        <f aca="false">oF+ov*F622</f>
        <v>6991.17675640966</v>
      </c>
      <c r="G626" s="9" t="n">
        <f aca="false">oF+ov*G622</f>
        <v>7343.74038953415</v>
      </c>
      <c r="H626" s="5" t="s">
        <v>574</v>
      </c>
    </row>
    <row r="627" customFormat="false" ht="17.15" hidden="false" customHeight="false" outlineLevel="0" collapsed="false">
      <c r="A627" s="0" t="s">
        <v>465</v>
      </c>
      <c r="B627" s="0" t="s">
        <v>252</v>
      </c>
      <c r="C627" s="9" t="n">
        <f aca="false">C625-C626</f>
        <v>8562</v>
      </c>
      <c r="D627" s="9" t="n">
        <f aca="false">D625-D626</f>
        <v>11325</v>
      </c>
      <c r="E627" s="9" t="n">
        <f aca="false">E625-E626</f>
        <v>14526.3073008519</v>
      </c>
      <c r="F627" s="9" t="n">
        <f aca="false">F625-F626</f>
        <v>17081.2073776257</v>
      </c>
      <c r="G627" s="9" t="n">
        <f aca="false">G625-G626</f>
        <v>18833.2457199332</v>
      </c>
    </row>
    <row r="628" customFormat="false" ht="17.15" hidden="false" customHeight="false" outlineLevel="0" collapsed="false">
      <c r="A628" s="0" t="s">
        <v>544</v>
      </c>
      <c r="B628" s="0" t="s">
        <v>199</v>
      </c>
      <c r="C628" s="11" t="n">
        <f aca="false">C627/C622</f>
        <v>0.301818950930626</v>
      </c>
      <c r="D628" s="11" t="n">
        <f aca="false">D627/D622</f>
        <v>0.330300113745735</v>
      </c>
      <c r="E628" s="11" t="n">
        <f aca="false">E627/E622</f>
        <v>0.353051941528193</v>
      </c>
      <c r="F628" s="11" t="n">
        <f aca="false">F627/F622</f>
        <v>0.366406736271828</v>
      </c>
      <c r="G628" s="11" t="n">
        <f aca="false">G627/G622</f>
        <v>0.373887383333713</v>
      </c>
    </row>
    <row r="629" customFormat="false" ht="17.15" hidden="false" customHeight="false" outlineLevel="0" collapsed="false">
      <c r="A629" s="0" t="s">
        <v>470</v>
      </c>
      <c r="B629" s="0" t="s">
        <v>252</v>
      </c>
      <c r="C629" s="9" t="n">
        <f aca="false">a25_ni</f>
        <v>7607</v>
      </c>
      <c r="D629" s="9" t="n">
        <f aca="false">an_ni</f>
        <v>10179.92</v>
      </c>
      <c r="E629" s="9" t="n">
        <f aca="false">E627*nioi</f>
        <v>12906.0522818945</v>
      </c>
      <c r="F629" s="9" t="n">
        <f aca="false">F627*nioi</f>
        <v>15175.9804393364</v>
      </c>
      <c r="G629" s="9" t="n">
        <f aca="false">G627*nioi</f>
        <v>16732.597546313</v>
      </c>
    </row>
    <row r="630" customFormat="false" ht="15" hidden="false" customHeight="false" outlineLevel="0" collapsed="false">
      <c r="A630" s="5" t="s">
        <v>575</v>
      </c>
      <c r="B630" s="5" t="s">
        <v>328</v>
      </c>
      <c r="C630" s="23" t="n">
        <f aca="false">a25_sh</f>
        <v>808</v>
      </c>
      <c r="D630" s="23" t="n">
        <f aca="false">an_sh</f>
        <v>797.799373040752</v>
      </c>
      <c r="E630" s="23" t="n">
        <f aca="false">$D630*(1-bb_hi)^1</f>
        <v>777.854388714734</v>
      </c>
      <c r="F630" s="23" t="n">
        <f aca="false">$D630*(1-bb_hi)^2</f>
        <v>758.408028996865</v>
      </c>
      <c r="G630" s="23" t="n">
        <f aca="false">$D630*(1-bb_hi)^3</f>
        <v>739.447828271944</v>
      </c>
    </row>
    <row r="631" customFormat="false" ht="17.15" hidden="false" customHeight="false" outlineLevel="0" collapsed="false">
      <c r="A631" s="0" t="s">
        <v>576</v>
      </c>
      <c r="B631" s="0" t="s">
        <v>341</v>
      </c>
      <c r="C631" s="14" t="n">
        <f aca="false">a25_eps</f>
        <v>9.42</v>
      </c>
      <c r="D631" s="14" t="n">
        <f aca="false">an_eps</f>
        <v>12.76</v>
      </c>
      <c r="E631" s="14" t="n">
        <f aca="false">E629/E630</f>
        <v>16.591861496365</v>
      </c>
      <c r="F631" s="14" t="n">
        <f aca="false">F629/F630</f>
        <v>20.0103108868843</v>
      </c>
      <c r="G631" s="14" t="n">
        <f aca="false">G629/G630</f>
        <v>22.6285031973335</v>
      </c>
      <c r="H631" s="8" t="s">
        <v>577</v>
      </c>
    </row>
    <row r="632" customFormat="false" ht="17.15" hidden="false" customHeight="false" outlineLevel="0" collapsed="false">
      <c r="A632" s="5" t="s">
        <v>578</v>
      </c>
      <c r="B632" s="0" t="s">
        <v>199</v>
      </c>
      <c r="D632" s="11" t="n">
        <f aca="false">D616/1000/(D611+D612+D613)</f>
        <v>0.170398285527431</v>
      </c>
      <c r="E632" s="11" t="n">
        <f aca="false">E616/1000/(E611+E612+E613)</f>
        <v>0.170159646735473</v>
      </c>
      <c r="F632" s="11" t="n">
        <f aca="false">F616/1000/(F611+F612+F613)</f>
        <v>0.170084890448361</v>
      </c>
      <c r="G632" s="11" t="n">
        <f aca="false">G616/1000/(G611+G612+G613)</f>
        <v>0.169996548109528</v>
      </c>
      <c r="H632" s="5" t="s">
        <v>579</v>
      </c>
    </row>
    <row r="636" customFormat="false" ht="17.15" hidden="false" customHeight="false" outlineLevel="0" collapsed="false">
      <c r="A636" s="3" t="s">
        <v>933</v>
      </c>
    </row>
    <row r="637" customFormat="false" ht="15" hidden="false" customHeight="false" outlineLevel="0" collapsed="false">
      <c r="A637" s="6" t="s">
        <v>19</v>
      </c>
      <c r="B637" s="6" t="s">
        <v>20</v>
      </c>
      <c r="C637" s="15" t="s">
        <v>513</v>
      </c>
      <c r="D637" s="15" t="s">
        <v>514</v>
      </c>
      <c r="E637" s="15" t="s">
        <v>515</v>
      </c>
      <c r="F637" s="15" t="s">
        <v>516</v>
      </c>
      <c r="G637" s="15" t="s">
        <v>517</v>
      </c>
      <c r="H637" s="6" t="s">
        <v>518</v>
      </c>
    </row>
    <row r="638" customFormat="false" ht="17.15" hidden="false" customHeight="false" outlineLevel="0" collapsed="false">
      <c r="A638" s="1" t="s">
        <v>549</v>
      </c>
    </row>
    <row r="639" customFormat="false" ht="17.15" hidden="false" customHeight="false" outlineLevel="0" collapsed="false">
      <c r="A639" s="5" t="s">
        <v>550</v>
      </c>
      <c r="B639" s="0" t="s">
        <v>30</v>
      </c>
      <c r="C639" s="22" t="n">
        <f aca="false">laA_25+loA_25+ofA_25</f>
        <v>78.3481206981793</v>
      </c>
      <c r="D639" s="22" t="n">
        <f aca="false">laA_26+loA_26+ofA_26</f>
        <v>99.7111533272534</v>
      </c>
      <c r="E639" s="22" t="n">
        <f aca="false">laA_27+loA_27+ofA_27</f>
        <v>116.288709321091</v>
      </c>
      <c r="F639" s="22" t="n">
        <f aca="false">laA_28+loA_28+ofA_28</f>
        <v>130.886404842261</v>
      </c>
      <c r="G639" s="22" t="n">
        <f aca="false">laA_29+loA_29+ofA_29</f>
        <v>139.398079992203</v>
      </c>
    </row>
    <row r="640" customFormat="false" ht="17.15" hidden="false" customHeight="false" outlineLevel="0" collapsed="false">
      <c r="A640" s="0" t="s">
        <v>551</v>
      </c>
      <c r="B640" s="0" t="s">
        <v>30</v>
      </c>
      <c r="C640" s="22" t="n">
        <f aca="false">drA_25</f>
        <v>26.3761091658243</v>
      </c>
      <c r="D640" s="22" t="n">
        <f aca="false">drA_26</f>
        <v>41.8742847275048</v>
      </c>
      <c r="E640" s="22" t="n">
        <f aca="false">drA_27</f>
        <v>53.2587328153375</v>
      </c>
      <c r="F640" s="22" t="n">
        <f aca="false">drA_28</f>
        <v>59.5608998372386</v>
      </c>
      <c r="G640" s="22" t="n">
        <f aca="false">drA_29</f>
        <v>61.8312930912183</v>
      </c>
    </row>
    <row r="641" customFormat="false" ht="15" hidden="false" customHeight="false" outlineLevel="0" collapsed="false">
      <c r="A641" s="0" t="s">
        <v>552</v>
      </c>
      <c r="B641" s="0" t="s">
        <v>30</v>
      </c>
      <c r="C641" s="22" t="n">
        <f aca="false">ndA_25</f>
        <v>12.1726019800256</v>
      </c>
      <c r="D641" s="22" t="n">
        <f aca="false">ndA_26</f>
        <v>18.4595763045422</v>
      </c>
      <c r="E641" s="22" t="n">
        <f aca="false">ndA_27</f>
        <v>23.2480272411321</v>
      </c>
      <c r="F641" s="22" t="n">
        <f aca="false">ndA_28</f>
        <v>26.181321629459</v>
      </c>
      <c r="G641" s="22" t="n">
        <f aca="false">ndA_29</f>
        <v>27.674312771805</v>
      </c>
    </row>
    <row r="642" customFormat="false" ht="17.15" hidden="false" customHeight="false" outlineLevel="0" collapsed="false">
      <c r="A642" s="1" t="s">
        <v>553</v>
      </c>
    </row>
    <row r="643" customFormat="false" ht="17.15" hidden="false" customHeight="false" outlineLevel="0" collapsed="false">
      <c r="A643" s="5" t="s">
        <v>554</v>
      </c>
      <c r="B643" s="0" t="s">
        <v>30</v>
      </c>
      <c r="D643" s="22" t="n">
        <f aca="false">fyw*C639+(1-fyw)*D639</f>
        <v>96.1506478890744</v>
      </c>
      <c r="E643" s="22" t="n">
        <f aca="false">fyw*D639+(1-fyw)*E639</f>
        <v>113.525783322118</v>
      </c>
      <c r="F643" s="22" t="n">
        <f aca="false">fyw*E639+(1-fyw)*F639</f>
        <v>128.453455588732</v>
      </c>
      <c r="G643" s="22" t="n">
        <f aca="false">fyw*F639+(1-fyw)*G639</f>
        <v>137.979467467212</v>
      </c>
    </row>
    <row r="644" customFormat="false" ht="17.15" hidden="false" customHeight="false" outlineLevel="0" collapsed="false">
      <c r="A644" s="0" t="s">
        <v>555</v>
      </c>
      <c r="B644" s="0" t="s">
        <v>30</v>
      </c>
      <c r="D644" s="22" t="n">
        <f aca="false">fyw*C640+(1-fyw)*D640</f>
        <v>39.2912554672247</v>
      </c>
      <c r="E644" s="22" t="n">
        <f aca="false">fyw*D640+(1-fyw)*E640</f>
        <v>51.3613248006987</v>
      </c>
      <c r="F644" s="22" t="n">
        <f aca="false">fyw*E640+(1-fyw)*F640</f>
        <v>58.5105386669218</v>
      </c>
      <c r="G644" s="22" t="n">
        <f aca="false">fyw*F640+(1-fyw)*G640</f>
        <v>61.452894215555</v>
      </c>
    </row>
    <row r="645" customFormat="false" ht="15" hidden="false" customHeight="false" outlineLevel="0" collapsed="false">
      <c r="A645" s="0" t="s">
        <v>556</v>
      </c>
      <c r="B645" s="0" t="s">
        <v>30</v>
      </c>
      <c r="D645" s="22" t="n">
        <f aca="false">fyw*C641+(1-fyw)*D641</f>
        <v>17.4117472504561</v>
      </c>
      <c r="E645" s="22" t="n">
        <f aca="false">fyw*D641+(1-fyw)*E641</f>
        <v>22.4499520850338</v>
      </c>
      <c r="F645" s="22" t="n">
        <f aca="false">fyw*E641+(1-fyw)*F641</f>
        <v>25.6924392314045</v>
      </c>
      <c r="G645" s="22" t="n">
        <f aca="false">fyw*F641+(1-fyw)*G641</f>
        <v>27.4254809147473</v>
      </c>
    </row>
    <row r="646" customFormat="false" ht="17.15" hidden="false" customHeight="false" outlineLevel="0" collapsed="false">
      <c r="A646" s="5" t="s">
        <v>557</v>
      </c>
      <c r="B646" s="0" t="s">
        <v>246</v>
      </c>
      <c r="D646" s="21" t="n">
        <f aca="false">m_fl*D643/$D643+m_dr*D644/$D644+m_nd*D645/$D645</f>
        <v>1</v>
      </c>
      <c r="E646" s="21" t="n">
        <f aca="false">m_fl*E643/$D643+m_dr*E644/$D644+m_nd*E645/$D645</f>
        <v>1.22388113282</v>
      </c>
      <c r="F646" s="21" t="n">
        <f aca="false">m_fl*F643/$D643+m_dr*F644/$D644+m_nd*F645/$D645</f>
        <v>1.3886833368957</v>
      </c>
      <c r="G646" s="21" t="n">
        <f aca="false">m_fl*G643/$D643+m_dr*G644/$D644+m_nd*G645/$D645</f>
        <v>1.48065154546388</v>
      </c>
      <c r="H646" s="8" t="s">
        <v>558</v>
      </c>
    </row>
    <row r="647" customFormat="false" ht="17.15" hidden="false" customHeight="false" outlineLevel="0" collapsed="false">
      <c r="A647" s="1" t="s">
        <v>559</v>
      </c>
    </row>
    <row r="648" customFormat="false" ht="17.15" hidden="false" customHeight="false" outlineLevel="0" collapsed="false">
      <c r="A648" s="5" t="s">
        <v>560</v>
      </c>
      <c r="B648" s="0" t="s">
        <v>252</v>
      </c>
      <c r="C648" s="9" t="n">
        <f aca="false">a25_ss</f>
        <v>21438.5432098765</v>
      </c>
      <c r="D648" s="9" t="n">
        <f aca="false">an_ss</f>
        <v>26046</v>
      </c>
      <c r="E648" s="9" t="n">
        <f aca="false">$D648*E646*sf</f>
        <v>31877.2079854298</v>
      </c>
      <c r="F648" s="9" t="n">
        <f aca="false">$D648*F646*sf</f>
        <v>36169.6461927855</v>
      </c>
      <c r="G648" s="9" t="n">
        <f aca="false">$D648*G646*sf</f>
        <v>38565.0501531522</v>
      </c>
      <c r="H648" s="8" t="s">
        <v>561</v>
      </c>
    </row>
    <row r="649" customFormat="false" ht="17.15" hidden="false" customHeight="false" outlineLevel="0" collapsed="false">
      <c r="A649" s="0" t="s">
        <v>562</v>
      </c>
      <c r="B649" s="0" t="s">
        <v>252</v>
      </c>
      <c r="C649" s="9" t="n">
        <f aca="false">a25_ags</f>
        <v>5744.19672131148</v>
      </c>
      <c r="D649" s="9" t="n">
        <f aca="false">an_ags</f>
        <v>6845</v>
      </c>
      <c r="E649" s="9" t="n">
        <f aca="false">D649*(1+g_ags_A)</f>
        <v>7871.75</v>
      </c>
      <c r="F649" s="9" t="n">
        <f aca="false">E649*(1+g_ags_A)</f>
        <v>9052.5125</v>
      </c>
      <c r="G649" s="9" t="n">
        <f aca="false">F649*(1+g_ags_A)</f>
        <v>10410.389375</v>
      </c>
    </row>
    <row r="650" customFormat="false" ht="17.15" hidden="false" customHeight="false" outlineLevel="0" collapsed="false">
      <c r="A650" s="5" t="s">
        <v>563</v>
      </c>
      <c r="B650" s="0" t="s">
        <v>252</v>
      </c>
      <c r="C650" s="9" t="n">
        <v>0</v>
      </c>
      <c r="D650" s="9" t="n">
        <v>0</v>
      </c>
      <c r="E650" s="9" t="n">
        <f aca="false">-aff_hit*1-0*cn_sh*(E648+E649)</f>
        <v>-600</v>
      </c>
      <c r="F650" s="9" t="n">
        <f aca="false">-aff_hit*1-0*cn_sh*(F648+F649)</f>
        <v>-600</v>
      </c>
      <c r="G650" s="9" t="n">
        <f aca="false">-aff_hit*1-0*cn_sh*(G648+G649)</f>
        <v>-600</v>
      </c>
      <c r="H650" s="5" t="s">
        <v>564</v>
      </c>
    </row>
    <row r="651" customFormat="false" ht="17.15" hidden="false" customHeight="false" outlineLevel="0" collapsed="false">
      <c r="A651" s="5" t="s">
        <v>565</v>
      </c>
      <c r="B651" s="0" t="s">
        <v>252</v>
      </c>
      <c r="C651" s="9" t="n">
        <f aca="false">C648+C650*C648/(C648+C649)</f>
        <v>21438.5432098765</v>
      </c>
      <c r="D651" s="9" t="n">
        <f aca="false">D648+D650*D648/(D648+D649)</f>
        <v>26046</v>
      </c>
      <c r="E651" s="9" t="n">
        <f aca="false">E648+E650*E648/(E648+E649)</f>
        <v>31396.029968178</v>
      </c>
      <c r="F651" s="9" t="n">
        <f aca="false">F648+F650*F648/(F648+F649)</f>
        <v>35689.75340697</v>
      </c>
      <c r="G651" s="9" t="n">
        <f aca="false">G648+G650*G648/(G648+G649)</f>
        <v>38092.5882352027</v>
      </c>
      <c r="H651" s="5" t="s">
        <v>566</v>
      </c>
    </row>
    <row r="652" customFormat="false" ht="17.15" hidden="false" customHeight="false" outlineLevel="0" collapsed="false">
      <c r="A652" s="0" t="s">
        <v>567</v>
      </c>
      <c r="B652" s="0" t="s">
        <v>252</v>
      </c>
      <c r="C652" s="9" t="n">
        <f aca="false">C649+C650*C649/(C648+C649)</f>
        <v>5744.19672131148</v>
      </c>
      <c r="D652" s="9" t="n">
        <f aca="false">D649+D650*D649/(D648+D649)</f>
        <v>6845</v>
      </c>
      <c r="E652" s="9" t="n">
        <f aca="false">E649+E650*E649/(E648+E649)</f>
        <v>7752.92801725189</v>
      </c>
      <c r="F652" s="9" t="n">
        <f aca="false">F649+F650*F649/(F648+F649)</f>
        <v>8932.4052858155</v>
      </c>
      <c r="G652" s="9" t="n">
        <f aca="false">G649+G650*G649/(G648+G649)</f>
        <v>10282.8512929495</v>
      </c>
      <c r="H652" s="5" t="s">
        <v>568</v>
      </c>
    </row>
    <row r="653" customFormat="false" ht="17.15" hidden="false" customHeight="false" outlineLevel="0" collapsed="false">
      <c r="A653" s="5" t="s">
        <v>569</v>
      </c>
      <c r="B653" s="0" t="s">
        <v>252</v>
      </c>
      <c r="C653" s="9" t="n">
        <f aca="false">a25_oth</f>
        <v>1185.26006881198</v>
      </c>
      <c r="D653" s="9" t="n">
        <f aca="false">an_oth</f>
        <v>1396</v>
      </c>
      <c r="E653" s="9" t="n">
        <f aca="false">D653*(1+g_oth_A)</f>
        <v>1396</v>
      </c>
      <c r="F653" s="9" t="n">
        <f aca="false">E653*(1+g_oth_A)</f>
        <v>1396</v>
      </c>
      <c r="G653" s="9" t="n">
        <f aca="false">F653*(1+g_oth_A)</f>
        <v>1396</v>
      </c>
      <c r="H653" s="5" t="s">
        <v>570</v>
      </c>
    </row>
    <row r="654" customFormat="false" ht="15" hidden="false" customHeight="false" outlineLevel="0" collapsed="false">
      <c r="A654" s="5" t="s">
        <v>454</v>
      </c>
      <c r="B654" s="0" t="s">
        <v>252</v>
      </c>
      <c r="C654" s="9" t="n">
        <f aca="false">C651+C652+C653</f>
        <v>28368</v>
      </c>
      <c r="D654" s="9" t="n">
        <f aca="false">D651+D652+D653</f>
        <v>34287</v>
      </c>
      <c r="E654" s="9" t="n">
        <f aca="false">E651+E652+E653</f>
        <v>40544.9579854298</v>
      </c>
      <c r="F654" s="9" t="n">
        <f aca="false">F651+F652+F653</f>
        <v>46018.1586927855</v>
      </c>
      <c r="G654" s="9" t="n">
        <f aca="false">G651+G652+G653</f>
        <v>49771.4395281522</v>
      </c>
    </row>
    <row r="655" customFormat="false" ht="17.15" hidden="false" customHeight="false" outlineLevel="0" collapsed="false">
      <c r="A655" s="5" t="s">
        <v>571</v>
      </c>
      <c r="B655" s="0" t="s">
        <v>252</v>
      </c>
      <c r="C655" s="23" t="n">
        <f aca="false">C651+C652+C653-a25_rev</f>
        <v>0</v>
      </c>
      <c r="D655" s="23" t="n">
        <f aca="false">D651+D652+D653-an_rev</f>
        <v>0</v>
      </c>
    </row>
    <row r="656" customFormat="false" ht="17.15" hidden="false" customHeight="false" outlineLevel="0" collapsed="false">
      <c r="A656" s="0" t="s">
        <v>460</v>
      </c>
      <c r="B656" s="0" t="s">
        <v>199</v>
      </c>
      <c r="C656" s="11" t="n">
        <f aca="false">a25_gp/a25_rev</f>
        <v>0.487833192329385</v>
      </c>
      <c r="D656" s="11" t="n">
        <f aca="false">an_gp/an_rev</f>
        <v>0.500418584303089</v>
      </c>
      <c r="E656" s="11" t="n">
        <f aca="false">1-(cF+cv*E654)/E654</f>
        <v>0.509728439216018</v>
      </c>
      <c r="F656" s="11" t="n">
        <f aca="false">1-(cF+cv*F654)/F654</f>
        <v>0.515795130482005</v>
      </c>
      <c r="G656" s="11" t="n">
        <f aca="false">1-(cF+cv*G654)/G654</f>
        <v>0.519184182492908</v>
      </c>
      <c r="H656" s="5" t="s">
        <v>572</v>
      </c>
    </row>
    <row r="657" customFormat="false" ht="17.15" hidden="false" customHeight="false" outlineLevel="0" collapsed="false">
      <c r="A657" s="0" t="s">
        <v>463</v>
      </c>
      <c r="B657" s="0" t="s">
        <v>252</v>
      </c>
      <c r="C657" s="9" t="n">
        <f aca="false">C654*C656</f>
        <v>13838.852</v>
      </c>
      <c r="D657" s="9" t="n">
        <f aca="false">D654*D656</f>
        <v>17157.852</v>
      </c>
      <c r="E657" s="9" t="n">
        <f aca="false">E654*E656</f>
        <v>20666.9181519922</v>
      </c>
      <c r="F657" s="9" t="n">
        <f aca="false">F654*F656</f>
        <v>23735.9421674869</v>
      </c>
      <c r="G657" s="9" t="n">
        <f aca="false">G654*G656</f>
        <v>25840.5441429189</v>
      </c>
    </row>
    <row r="658" customFormat="false" ht="17.15" hidden="false" customHeight="false" outlineLevel="0" collapsed="false">
      <c r="A658" s="0" t="s">
        <v>573</v>
      </c>
      <c r="B658" s="0" t="s">
        <v>252</v>
      </c>
      <c r="C658" s="9" t="n">
        <f aca="false">opex25</f>
        <v>5276.852</v>
      </c>
      <c r="D658" s="9" t="n">
        <f aca="false">opex26</f>
        <v>5832.852</v>
      </c>
      <c r="E658" s="9" t="n">
        <f aca="false">oF+ov*E654</f>
        <v>6420.69194591975</v>
      </c>
      <c r="F658" s="9" t="n">
        <f aca="false">oF+ov*F654</f>
        <v>6934.81588464078</v>
      </c>
      <c r="G658" s="9" t="n">
        <f aca="false">oF+ov*G654</f>
        <v>7287.37951776527</v>
      </c>
      <c r="H658" s="5" t="s">
        <v>574</v>
      </c>
    </row>
    <row r="659" customFormat="false" ht="17.15" hidden="false" customHeight="false" outlineLevel="0" collapsed="false">
      <c r="A659" s="0" t="s">
        <v>465</v>
      </c>
      <c r="B659" s="0" t="s">
        <v>252</v>
      </c>
      <c r="C659" s="9" t="n">
        <f aca="false">C657-C658</f>
        <v>8562</v>
      </c>
      <c r="D659" s="9" t="n">
        <f aca="false">D657-D658</f>
        <v>11325</v>
      </c>
      <c r="E659" s="9" t="n">
        <f aca="false">E657-E658</f>
        <v>14246.2262060724</v>
      </c>
      <c r="F659" s="9" t="n">
        <f aca="false">F657-F658</f>
        <v>16801.1262828462</v>
      </c>
      <c r="G659" s="9" t="n">
        <f aca="false">G657-G658</f>
        <v>18553.1646251536</v>
      </c>
    </row>
    <row r="660" customFormat="false" ht="17.15" hidden="false" customHeight="false" outlineLevel="0" collapsed="false">
      <c r="A660" s="0" t="s">
        <v>544</v>
      </c>
      <c r="B660" s="0" t="s">
        <v>199</v>
      </c>
      <c r="C660" s="11" t="n">
        <f aca="false">C659/C654</f>
        <v>0.301818950930626</v>
      </c>
      <c r="D660" s="11" t="n">
        <f aca="false">D659/D654</f>
        <v>0.330300113745735</v>
      </c>
      <c r="E660" s="11" t="n">
        <f aca="false">E659/E654</f>
        <v>0.351368626678363</v>
      </c>
      <c r="F660" s="11" t="n">
        <f aca="false">F659/F654</f>
        <v>0.365097751846385</v>
      </c>
      <c r="G660" s="11" t="n">
        <f aca="false">G659/G654</f>
        <v>0.372767289856253</v>
      </c>
    </row>
    <row r="661" customFormat="false" ht="17.15" hidden="false" customHeight="false" outlineLevel="0" collapsed="false">
      <c r="A661" s="0" t="s">
        <v>470</v>
      </c>
      <c r="B661" s="0" t="s">
        <v>252</v>
      </c>
      <c r="C661" s="9" t="n">
        <f aca="false">a25_ni</f>
        <v>7607</v>
      </c>
      <c r="D661" s="9" t="n">
        <f aca="false">an_ni</f>
        <v>10179.92</v>
      </c>
      <c r="E661" s="9" t="n">
        <f aca="false">E659*nioi</f>
        <v>12657.2112531643</v>
      </c>
      <c r="F661" s="9" t="n">
        <f aca="false">F659*nioi</f>
        <v>14927.1394106062</v>
      </c>
      <c r="G661" s="9" t="n">
        <f aca="false">G659*nioi</f>
        <v>16483.7565175828</v>
      </c>
    </row>
    <row r="662" customFormat="false" ht="15" hidden="false" customHeight="false" outlineLevel="0" collapsed="false">
      <c r="A662" s="5" t="s">
        <v>575</v>
      </c>
      <c r="B662" s="5" t="s">
        <v>328</v>
      </c>
      <c r="C662" s="23" t="n">
        <f aca="false">a25_sh</f>
        <v>808</v>
      </c>
      <c r="D662" s="23" t="n">
        <f aca="false">an_sh</f>
        <v>797.799373040752</v>
      </c>
      <c r="E662" s="23" t="n">
        <f aca="false">$D662*(1-bb)^1</f>
        <v>789.821379310345</v>
      </c>
      <c r="F662" s="23" t="n">
        <f aca="false">$D662*(1-bb)^2</f>
        <v>781.923165517241</v>
      </c>
      <c r="G662" s="23" t="n">
        <f aca="false">$D662*(1-bb)^3</f>
        <v>774.103933862069</v>
      </c>
    </row>
    <row r="663" customFormat="false" ht="17.15" hidden="false" customHeight="false" outlineLevel="0" collapsed="false">
      <c r="A663" s="0" t="s">
        <v>576</v>
      </c>
      <c r="B663" s="0" t="s">
        <v>341</v>
      </c>
      <c r="C663" s="14" t="n">
        <f aca="false">a25_eps</f>
        <v>9.42</v>
      </c>
      <c r="D663" s="14" t="n">
        <f aca="false">an_eps</f>
        <v>12.76</v>
      </c>
      <c r="E663" s="14" t="n">
        <f aca="false">E661/E662</f>
        <v>16.0254097758361</v>
      </c>
      <c r="F663" s="14" t="n">
        <f aca="false">F661/F662</f>
        <v>19.0902892622857</v>
      </c>
      <c r="G663" s="14" t="n">
        <f aca="false">G661/G662</f>
        <v>21.2939836584268</v>
      </c>
      <c r="H663" s="8" t="s">
        <v>577</v>
      </c>
    </row>
    <row r="664" customFormat="false" ht="17.15" hidden="false" customHeight="false" outlineLevel="0" collapsed="false">
      <c r="A664" s="5" t="s">
        <v>578</v>
      </c>
      <c r="B664" s="0" t="s">
        <v>199</v>
      </c>
      <c r="D664" s="11" t="n">
        <f aca="false">D648/1000/(D643+D644+D645)</f>
        <v>0.170398285527431</v>
      </c>
      <c r="E664" s="11" t="n">
        <f aca="false">E648/1000/(E643+E644+E645)</f>
        <v>0.170159646735473</v>
      </c>
      <c r="F664" s="11" t="n">
        <f aca="false">F648/1000/(F643+F644+F645)</f>
        <v>0.170084890448361</v>
      </c>
      <c r="G664" s="11" t="n">
        <f aca="false">G648/1000/(G643+G644+G645)</f>
        <v>0.169996548109528</v>
      </c>
      <c r="H664" s="5" t="s">
        <v>579</v>
      </c>
    </row>
    <row r="668" customFormat="false" ht="17.15" hidden="false" customHeight="false" outlineLevel="0" collapsed="false">
      <c r="A668" s="3" t="s">
        <v>934</v>
      </c>
    </row>
    <row r="669" customFormat="false" ht="15" hidden="false" customHeight="false" outlineLevel="0" collapsed="false">
      <c r="A669" s="6" t="s">
        <v>19</v>
      </c>
      <c r="B669" s="6" t="s">
        <v>20</v>
      </c>
      <c r="C669" s="15" t="s">
        <v>513</v>
      </c>
      <c r="D669" s="15" t="s">
        <v>514</v>
      </c>
      <c r="E669" s="15" t="s">
        <v>515</v>
      </c>
      <c r="F669" s="15" t="s">
        <v>516</v>
      </c>
      <c r="G669" s="15" t="s">
        <v>517</v>
      </c>
      <c r="H669" s="6" t="s">
        <v>518</v>
      </c>
    </row>
    <row r="670" customFormat="false" ht="17.15" hidden="false" customHeight="false" outlineLevel="0" collapsed="false">
      <c r="A670" s="1" t="s">
        <v>549</v>
      </c>
    </row>
    <row r="671" customFormat="false" ht="17.15" hidden="false" customHeight="false" outlineLevel="0" collapsed="false">
      <c r="A671" s="5" t="s">
        <v>550</v>
      </c>
      <c r="B671" s="0" t="s">
        <v>30</v>
      </c>
      <c r="C671" s="22" t="n">
        <f aca="false">laA_25+loA_25+ofA_25</f>
        <v>78.3481206981793</v>
      </c>
      <c r="D671" s="22" t="n">
        <f aca="false">laA_26+loA_26+ofA_26</f>
        <v>99.7111533272534</v>
      </c>
      <c r="E671" s="22" t="n">
        <f aca="false">laA_27+loA_27+ofA_27</f>
        <v>116.288709321091</v>
      </c>
      <c r="F671" s="22" t="n">
        <f aca="false">laA_28+loA_28+ofA_28</f>
        <v>130.886404842261</v>
      </c>
      <c r="G671" s="22" t="n">
        <f aca="false">laA_29+loA_29+ofA_29</f>
        <v>139.398079992203</v>
      </c>
    </row>
    <row r="672" customFormat="false" ht="17.15" hidden="false" customHeight="false" outlineLevel="0" collapsed="false">
      <c r="A672" s="0" t="s">
        <v>551</v>
      </c>
      <c r="B672" s="0" t="s">
        <v>30</v>
      </c>
      <c r="C672" s="22" t="n">
        <f aca="false">drA_25</f>
        <v>26.3761091658243</v>
      </c>
      <c r="D672" s="22" t="n">
        <f aca="false">drA_26</f>
        <v>41.8742847275048</v>
      </c>
      <c r="E672" s="22" t="n">
        <f aca="false">drA_27</f>
        <v>53.2587328153375</v>
      </c>
      <c r="F672" s="22" t="n">
        <f aca="false">drA_28</f>
        <v>59.5608998372386</v>
      </c>
      <c r="G672" s="22" t="n">
        <f aca="false">drA_29</f>
        <v>61.8312930912183</v>
      </c>
    </row>
    <row r="673" customFormat="false" ht="15" hidden="false" customHeight="false" outlineLevel="0" collapsed="false">
      <c r="A673" s="0" t="s">
        <v>552</v>
      </c>
      <c r="B673" s="0" t="s">
        <v>30</v>
      </c>
      <c r="C673" s="22" t="n">
        <f aca="false">ndA_25</f>
        <v>12.1726019800256</v>
      </c>
      <c r="D673" s="22" t="n">
        <f aca="false">ndA_26</f>
        <v>18.4595763045422</v>
      </c>
      <c r="E673" s="22" t="n">
        <f aca="false">ndA_27</f>
        <v>23.2480272411321</v>
      </c>
      <c r="F673" s="22" t="n">
        <f aca="false">ndA_28</f>
        <v>26.181321629459</v>
      </c>
      <c r="G673" s="22" t="n">
        <f aca="false">ndA_29</f>
        <v>27.674312771805</v>
      </c>
    </row>
    <row r="674" customFormat="false" ht="17.15" hidden="false" customHeight="false" outlineLevel="0" collapsed="false">
      <c r="A674" s="1" t="s">
        <v>553</v>
      </c>
    </row>
    <row r="675" customFormat="false" ht="17.15" hidden="false" customHeight="false" outlineLevel="0" collapsed="false">
      <c r="A675" s="5" t="s">
        <v>554</v>
      </c>
      <c r="B675" s="0" t="s">
        <v>30</v>
      </c>
      <c r="D675" s="22" t="n">
        <f aca="false">fyw*C671+(1-fyw)*D671</f>
        <v>96.1506478890744</v>
      </c>
      <c r="E675" s="22" t="n">
        <f aca="false">fyw*D671+(1-fyw)*E671</f>
        <v>113.525783322118</v>
      </c>
      <c r="F675" s="22" t="n">
        <f aca="false">fyw*E671+(1-fyw)*F671</f>
        <v>128.453455588732</v>
      </c>
      <c r="G675" s="22" t="n">
        <f aca="false">fyw*F671+(1-fyw)*G671</f>
        <v>137.979467467212</v>
      </c>
    </row>
    <row r="676" customFormat="false" ht="17.15" hidden="false" customHeight="false" outlineLevel="0" collapsed="false">
      <c r="A676" s="0" t="s">
        <v>555</v>
      </c>
      <c r="B676" s="0" t="s">
        <v>30</v>
      </c>
      <c r="D676" s="22" t="n">
        <f aca="false">fyw*C672+(1-fyw)*D672</f>
        <v>39.2912554672247</v>
      </c>
      <c r="E676" s="22" t="n">
        <f aca="false">fyw*D672+(1-fyw)*E672</f>
        <v>51.3613248006987</v>
      </c>
      <c r="F676" s="22" t="n">
        <f aca="false">fyw*E672+(1-fyw)*F672</f>
        <v>58.5105386669218</v>
      </c>
      <c r="G676" s="22" t="n">
        <f aca="false">fyw*F672+(1-fyw)*G672</f>
        <v>61.452894215555</v>
      </c>
    </row>
    <row r="677" customFormat="false" ht="15" hidden="false" customHeight="false" outlineLevel="0" collapsed="false">
      <c r="A677" s="0" t="s">
        <v>556</v>
      </c>
      <c r="B677" s="0" t="s">
        <v>30</v>
      </c>
      <c r="D677" s="22" t="n">
        <f aca="false">fyw*C673+(1-fyw)*D673</f>
        <v>17.4117472504561</v>
      </c>
      <c r="E677" s="22" t="n">
        <f aca="false">fyw*D673+(1-fyw)*E673</f>
        <v>22.4499520850338</v>
      </c>
      <c r="F677" s="22" t="n">
        <f aca="false">fyw*E673+(1-fyw)*F673</f>
        <v>25.6924392314045</v>
      </c>
      <c r="G677" s="22" t="n">
        <f aca="false">fyw*F673+(1-fyw)*G673</f>
        <v>27.4254809147473</v>
      </c>
    </row>
    <row r="678" customFormat="false" ht="17.15" hidden="false" customHeight="false" outlineLevel="0" collapsed="false">
      <c r="A678" s="5" t="s">
        <v>557</v>
      </c>
      <c r="B678" s="0" t="s">
        <v>246</v>
      </c>
      <c r="D678" s="21" t="n">
        <f aca="false">m_fl*D675/$D675+m_dr*D676/$D676+m_nd*D677/$D677</f>
        <v>1</v>
      </c>
      <c r="E678" s="21" t="n">
        <f aca="false">m_fl*E675/$D675+m_dr*E676/$D676+m_nd*E677/$D677</f>
        <v>1.22388113282</v>
      </c>
      <c r="F678" s="21" t="n">
        <f aca="false">m_fl*F675/$D675+m_dr*F676/$D676+m_nd*F677/$D677</f>
        <v>1.3886833368957</v>
      </c>
      <c r="G678" s="21" t="n">
        <f aca="false">m_fl*G675/$D675+m_dr*G676/$D676+m_nd*G677/$D677</f>
        <v>1.48065154546388</v>
      </c>
      <c r="H678" s="8" t="s">
        <v>558</v>
      </c>
    </row>
    <row r="679" customFormat="false" ht="17.15" hidden="false" customHeight="false" outlineLevel="0" collapsed="false">
      <c r="A679" s="1" t="s">
        <v>559</v>
      </c>
    </row>
    <row r="680" customFormat="false" ht="17.15" hidden="false" customHeight="false" outlineLevel="0" collapsed="false">
      <c r="A680" s="5" t="s">
        <v>560</v>
      </c>
      <c r="B680" s="0" t="s">
        <v>252</v>
      </c>
      <c r="C680" s="9" t="n">
        <f aca="false">a25_ss</f>
        <v>21438.5432098765</v>
      </c>
      <c r="D680" s="9" t="n">
        <f aca="false">an_ss</f>
        <v>26046</v>
      </c>
      <c r="E680" s="9" t="n">
        <f aca="false">$D680*E678*sf</f>
        <v>31877.2079854298</v>
      </c>
      <c r="F680" s="9" t="n">
        <f aca="false">$D680*F678*sf</f>
        <v>36169.6461927855</v>
      </c>
      <c r="G680" s="9" t="n">
        <f aca="false">$D680*G678*sf</f>
        <v>38565.0501531522</v>
      </c>
      <c r="H680" s="8" t="s">
        <v>561</v>
      </c>
    </row>
    <row r="681" customFormat="false" ht="17.15" hidden="false" customHeight="false" outlineLevel="0" collapsed="false">
      <c r="A681" s="0" t="s">
        <v>562</v>
      </c>
      <c r="B681" s="0" t="s">
        <v>252</v>
      </c>
      <c r="C681" s="9" t="n">
        <f aca="false">a25_ags</f>
        <v>5744.19672131148</v>
      </c>
      <c r="D681" s="9" t="n">
        <f aca="false">an_ags</f>
        <v>6845</v>
      </c>
      <c r="E681" s="9" t="n">
        <f aca="false">D681*(1+g_ags_A)</f>
        <v>7871.75</v>
      </c>
      <c r="F681" s="9" t="n">
        <f aca="false">E681*(1+g_ags_A)</f>
        <v>9052.5125</v>
      </c>
      <c r="G681" s="9" t="n">
        <f aca="false">F681*(1+g_ags_A)</f>
        <v>10410.389375</v>
      </c>
    </row>
    <row r="682" customFormat="false" ht="17.15" hidden="false" customHeight="false" outlineLevel="0" collapsed="false">
      <c r="A682" s="5" t="s">
        <v>563</v>
      </c>
      <c r="B682" s="0" t="s">
        <v>252</v>
      </c>
      <c r="C682" s="9" t="n">
        <v>0</v>
      </c>
      <c r="D682" s="9" t="n">
        <v>0</v>
      </c>
      <c r="E682" s="9" t="n">
        <f aca="false">-aff_hit_hi*1-0*cn_sh*(E680+E681)</f>
        <v>-900</v>
      </c>
      <c r="F682" s="9" t="n">
        <f aca="false">-aff_hit_hi*1-0*cn_sh*(F680+F681)</f>
        <v>-900</v>
      </c>
      <c r="G682" s="9" t="n">
        <f aca="false">-aff_hit_hi*1-0*cn_sh*(G680+G681)</f>
        <v>-900</v>
      </c>
      <c r="H682" s="5" t="s">
        <v>564</v>
      </c>
    </row>
    <row r="683" customFormat="false" ht="17.15" hidden="false" customHeight="false" outlineLevel="0" collapsed="false">
      <c r="A683" s="5" t="s">
        <v>565</v>
      </c>
      <c r="B683" s="0" t="s">
        <v>252</v>
      </c>
      <c r="C683" s="9" t="n">
        <f aca="false">C680+C682*C680/(C680+C681)</f>
        <v>21438.5432098765</v>
      </c>
      <c r="D683" s="9" t="n">
        <f aca="false">D680+D682*D680/(D680+D681)</f>
        <v>26046</v>
      </c>
      <c r="E683" s="9" t="n">
        <f aca="false">E680+E682*E680/(E680+E681)</f>
        <v>31155.440959552</v>
      </c>
      <c r="F683" s="9" t="n">
        <f aca="false">F680+F682*F680/(F680+F681)</f>
        <v>35449.8070140623</v>
      </c>
      <c r="G683" s="9" t="n">
        <f aca="false">G680+G682*G680/(G680+G681)</f>
        <v>37856.3572762279</v>
      </c>
      <c r="H683" s="5" t="s">
        <v>566</v>
      </c>
    </row>
    <row r="684" customFormat="false" ht="17.15" hidden="false" customHeight="false" outlineLevel="0" collapsed="false">
      <c r="A684" s="0" t="s">
        <v>567</v>
      </c>
      <c r="B684" s="0" t="s">
        <v>252</v>
      </c>
      <c r="C684" s="9" t="n">
        <f aca="false">C681+C682*C681/(C680+C681)</f>
        <v>5744.19672131148</v>
      </c>
      <c r="D684" s="9" t="n">
        <f aca="false">D681+D682*D681/(D680+D681)</f>
        <v>6845</v>
      </c>
      <c r="E684" s="9" t="n">
        <f aca="false">E681+E682*E681/(E680+E681)</f>
        <v>7693.51702587784</v>
      </c>
      <c r="F684" s="9" t="n">
        <f aca="false">F681+F682*F681/(F680+F681)</f>
        <v>8872.35167872324</v>
      </c>
      <c r="G684" s="9" t="n">
        <f aca="false">G681+G682*G681/(G680+G681)</f>
        <v>10219.0822519243</v>
      </c>
      <c r="H684" s="5" t="s">
        <v>568</v>
      </c>
    </row>
    <row r="685" customFormat="false" ht="17.15" hidden="false" customHeight="false" outlineLevel="0" collapsed="false">
      <c r="A685" s="5" t="s">
        <v>569</v>
      </c>
      <c r="B685" s="0" t="s">
        <v>252</v>
      </c>
      <c r="C685" s="9" t="n">
        <f aca="false">a25_oth</f>
        <v>1185.26006881198</v>
      </c>
      <c r="D685" s="9" t="n">
        <f aca="false">an_oth</f>
        <v>1396</v>
      </c>
      <c r="E685" s="9" t="n">
        <f aca="false">D685*(1+g_oth_A)</f>
        <v>1396</v>
      </c>
      <c r="F685" s="9" t="n">
        <f aca="false">E685*(1+g_oth_A)</f>
        <v>1396</v>
      </c>
      <c r="G685" s="9" t="n">
        <f aca="false">F685*(1+g_oth_A)</f>
        <v>1396</v>
      </c>
      <c r="H685" s="5" t="s">
        <v>570</v>
      </c>
    </row>
    <row r="686" customFormat="false" ht="15" hidden="false" customHeight="false" outlineLevel="0" collapsed="false">
      <c r="A686" s="5" t="s">
        <v>454</v>
      </c>
      <c r="B686" s="0" t="s">
        <v>252</v>
      </c>
      <c r="C686" s="9" t="n">
        <f aca="false">C683+C684+C685</f>
        <v>28368</v>
      </c>
      <c r="D686" s="9" t="n">
        <f aca="false">D683+D684+D685</f>
        <v>34287</v>
      </c>
      <c r="E686" s="9" t="n">
        <f aca="false">E683+E684+E685</f>
        <v>40244.9579854298</v>
      </c>
      <c r="F686" s="9" t="n">
        <f aca="false">F683+F684+F685</f>
        <v>45718.1586927855</v>
      </c>
      <c r="G686" s="9" t="n">
        <f aca="false">G683+G684+G685</f>
        <v>49471.4395281522</v>
      </c>
    </row>
    <row r="687" customFormat="false" ht="17.15" hidden="false" customHeight="false" outlineLevel="0" collapsed="false">
      <c r="A687" s="5" t="s">
        <v>571</v>
      </c>
      <c r="B687" s="0" t="s">
        <v>252</v>
      </c>
      <c r="C687" s="23" t="n">
        <f aca="false">C683+C684+C685-a25_rev</f>
        <v>0</v>
      </c>
      <c r="D687" s="23" t="n">
        <f aca="false">D683+D684+D685-an_rev</f>
        <v>0</v>
      </c>
    </row>
    <row r="688" customFormat="false" ht="17.15" hidden="false" customHeight="false" outlineLevel="0" collapsed="false">
      <c r="A688" s="0" t="s">
        <v>460</v>
      </c>
      <c r="B688" s="0" t="s">
        <v>199</v>
      </c>
      <c r="C688" s="11" t="n">
        <f aca="false">a25_gp/a25_rev</f>
        <v>0.487833192329385</v>
      </c>
      <c r="D688" s="11" t="n">
        <f aca="false">an_gp/an_rev</f>
        <v>0.500418584303089</v>
      </c>
      <c r="E688" s="11" t="n">
        <f aca="false">1-(cF+cv*E686)/E686</f>
        <v>0.509348206454564</v>
      </c>
      <c r="F688" s="11" t="n">
        <f aca="false">1-(cF+cv*F686)/F686</f>
        <v>0.515500227001307</v>
      </c>
      <c r="G688" s="11" t="n">
        <f aca="false">1-(cF+cv*G686)/G686</f>
        <v>0.51893220420715</v>
      </c>
      <c r="H688" s="5" t="s">
        <v>572</v>
      </c>
    </row>
    <row r="689" customFormat="false" ht="17.15" hidden="false" customHeight="false" outlineLevel="0" collapsed="false">
      <c r="A689" s="0" t="s">
        <v>463</v>
      </c>
      <c r="B689" s="0" t="s">
        <v>252</v>
      </c>
      <c r="C689" s="9" t="n">
        <f aca="false">C686*C688</f>
        <v>13838.852</v>
      </c>
      <c r="D689" s="9" t="n">
        <f aca="false">D686*D688</f>
        <v>17157.852</v>
      </c>
      <c r="E689" s="9" t="n">
        <f aca="false">E686*E688</f>
        <v>20498.697168718</v>
      </c>
      <c r="F689" s="9" t="n">
        <f aca="false">F686*F688</f>
        <v>23567.7211842127</v>
      </c>
      <c r="G689" s="9" t="n">
        <f aca="false">G686*G688</f>
        <v>25672.3231596447</v>
      </c>
    </row>
    <row r="690" customFormat="false" ht="17.15" hidden="false" customHeight="false" outlineLevel="0" collapsed="false">
      <c r="A690" s="0" t="s">
        <v>573</v>
      </c>
      <c r="B690" s="0" t="s">
        <v>252</v>
      </c>
      <c r="C690" s="9" t="n">
        <f aca="false">opex25</f>
        <v>5276.852</v>
      </c>
      <c r="D690" s="9" t="n">
        <f aca="false">opex26</f>
        <v>5832.852</v>
      </c>
      <c r="E690" s="9" t="n">
        <f aca="false">oF+ov*E686</f>
        <v>6392.51151003531</v>
      </c>
      <c r="F690" s="9" t="n">
        <f aca="false">oF+ov*F686</f>
        <v>6906.63544875634</v>
      </c>
      <c r="G690" s="9" t="n">
        <f aca="false">oF+ov*G686</f>
        <v>7259.19908188083</v>
      </c>
      <c r="H690" s="5" t="s">
        <v>574</v>
      </c>
    </row>
    <row r="691" customFormat="false" ht="17.15" hidden="false" customHeight="false" outlineLevel="0" collapsed="false">
      <c r="A691" s="0" t="s">
        <v>465</v>
      </c>
      <c r="B691" s="0" t="s">
        <v>252</v>
      </c>
      <c r="C691" s="9" t="n">
        <f aca="false">C689-C690</f>
        <v>8562</v>
      </c>
      <c r="D691" s="9" t="n">
        <f aca="false">D689-D690</f>
        <v>11325</v>
      </c>
      <c r="E691" s="9" t="n">
        <f aca="false">E689-E690</f>
        <v>14106.1856586827</v>
      </c>
      <c r="F691" s="9" t="n">
        <f aca="false">F689-F690</f>
        <v>16661.0857354564</v>
      </c>
      <c r="G691" s="9" t="n">
        <f aca="false">G689-G690</f>
        <v>18413.1240777639</v>
      </c>
    </row>
    <row r="692" customFormat="false" ht="17.15" hidden="false" customHeight="false" outlineLevel="0" collapsed="false">
      <c r="A692" s="0" t="s">
        <v>544</v>
      </c>
      <c r="B692" s="0" t="s">
        <v>199</v>
      </c>
      <c r="C692" s="11" t="n">
        <f aca="false">C691/C686</f>
        <v>0.301818950930626</v>
      </c>
      <c r="D692" s="11" t="n">
        <f aca="false">D691/D686</f>
        <v>0.330300113745735</v>
      </c>
      <c r="E692" s="11" t="n">
        <f aca="false">E691/E686</f>
        <v>0.350508147226532</v>
      </c>
      <c r="F692" s="11" t="n">
        <f aca="false">F691/F686</f>
        <v>0.364430375409794</v>
      </c>
      <c r="G692" s="11" t="n">
        <f aca="false">G691/G686</f>
        <v>0.372197054570966</v>
      </c>
    </row>
    <row r="693" customFormat="false" ht="17.15" hidden="false" customHeight="false" outlineLevel="0" collapsed="false">
      <c r="A693" s="0" t="s">
        <v>470</v>
      </c>
      <c r="B693" s="0" t="s">
        <v>252</v>
      </c>
      <c r="C693" s="9" t="n">
        <f aca="false">a25_ni</f>
        <v>7607</v>
      </c>
      <c r="D693" s="9" t="n">
        <f aca="false">an_ni</f>
        <v>10179.92</v>
      </c>
      <c r="E693" s="9" t="n">
        <f aca="false">E691*nioi</f>
        <v>12532.7907387992</v>
      </c>
      <c r="F693" s="9" t="n">
        <f aca="false">F691*nioi</f>
        <v>14802.7188962411</v>
      </c>
      <c r="G693" s="9" t="n">
        <f aca="false">G691*nioi</f>
        <v>16359.3360032177</v>
      </c>
    </row>
    <row r="694" customFormat="false" ht="15" hidden="false" customHeight="false" outlineLevel="0" collapsed="false">
      <c r="A694" s="5" t="s">
        <v>575</v>
      </c>
      <c r="B694" s="5" t="s">
        <v>328</v>
      </c>
      <c r="C694" s="23" t="n">
        <f aca="false">a25_sh</f>
        <v>808</v>
      </c>
      <c r="D694" s="23" t="n">
        <f aca="false">an_sh</f>
        <v>797.799373040752</v>
      </c>
      <c r="E694" s="23" t="n">
        <f aca="false">$D694*(1-bb)^1</f>
        <v>789.821379310345</v>
      </c>
      <c r="F694" s="23" t="n">
        <f aca="false">$D694*(1-bb)^2</f>
        <v>781.923165517241</v>
      </c>
      <c r="G694" s="23" t="n">
        <f aca="false">$D694*(1-bb)^3</f>
        <v>774.103933862069</v>
      </c>
    </row>
    <row r="695" customFormat="false" ht="17.15" hidden="false" customHeight="false" outlineLevel="0" collapsed="false">
      <c r="A695" s="0" t="s">
        <v>576</v>
      </c>
      <c r="B695" s="0" t="s">
        <v>341</v>
      </c>
      <c r="C695" s="14" t="n">
        <f aca="false">a25_eps</f>
        <v>9.42</v>
      </c>
      <c r="D695" s="14" t="n">
        <f aca="false">an_eps</f>
        <v>12.76</v>
      </c>
      <c r="E695" s="14" t="n">
        <f aca="false">E693/E694</f>
        <v>15.8678798359986</v>
      </c>
      <c r="F695" s="14" t="n">
        <f aca="false">F693/F694</f>
        <v>18.9311681109347</v>
      </c>
      <c r="G695" s="14" t="n">
        <f aca="false">G693/G694</f>
        <v>21.1332552227187</v>
      </c>
      <c r="H695" s="8" t="s">
        <v>577</v>
      </c>
    </row>
    <row r="696" customFormat="false" ht="17.15" hidden="false" customHeight="false" outlineLevel="0" collapsed="false">
      <c r="A696" s="5" t="s">
        <v>578</v>
      </c>
      <c r="B696" s="0" t="s">
        <v>199</v>
      </c>
      <c r="D696" s="11" t="n">
        <f aca="false">D680/1000/(D675+D676+D677)</f>
        <v>0.170398285527431</v>
      </c>
      <c r="E696" s="11" t="n">
        <f aca="false">E680/1000/(E675+E676+E677)</f>
        <v>0.170159646735473</v>
      </c>
      <c r="F696" s="11" t="n">
        <f aca="false">F680/1000/(F675+F676+F677)</f>
        <v>0.170084890448361</v>
      </c>
      <c r="G696" s="11" t="n">
        <f aca="false">G680/1000/(G675+G676+G677)</f>
        <v>0.169996548109528</v>
      </c>
      <c r="H696" s="5" t="s">
        <v>579</v>
      </c>
    </row>
    <row r="700" customFormat="false" ht="17.15" hidden="false" customHeight="false" outlineLevel="0" collapsed="false">
      <c r="A700" s="3" t="s">
        <v>935</v>
      </c>
    </row>
    <row r="701" customFormat="false" ht="15" hidden="false" customHeight="false" outlineLevel="0" collapsed="false">
      <c r="A701" s="6" t="s">
        <v>19</v>
      </c>
      <c r="B701" s="6" t="s">
        <v>20</v>
      </c>
      <c r="C701" s="15" t="s">
        <v>513</v>
      </c>
      <c r="D701" s="15" t="s">
        <v>514</v>
      </c>
      <c r="E701" s="15" t="s">
        <v>515</v>
      </c>
      <c r="F701" s="15" t="s">
        <v>516</v>
      </c>
      <c r="G701" s="15" t="s">
        <v>517</v>
      </c>
      <c r="H701" s="6" t="s">
        <v>518</v>
      </c>
    </row>
    <row r="702" customFormat="false" ht="17.15" hidden="false" customHeight="false" outlineLevel="0" collapsed="false">
      <c r="A702" s="1" t="s">
        <v>549</v>
      </c>
    </row>
    <row r="703" customFormat="false" ht="17.15" hidden="false" customHeight="false" outlineLevel="0" collapsed="false">
      <c r="A703" s="5" t="s">
        <v>550</v>
      </c>
      <c r="B703" s="0" t="s">
        <v>30</v>
      </c>
      <c r="C703" s="22" t="n">
        <f aca="false">laA_25+loA_25+ofA_25</f>
        <v>78.3481206981793</v>
      </c>
      <c r="D703" s="22" t="n">
        <f aca="false">laA_26+loA_26+ofA_26</f>
        <v>99.7111533272534</v>
      </c>
      <c r="E703" s="22" t="n">
        <f aca="false">laA_27+loA_27+ofA_27</f>
        <v>116.288709321091</v>
      </c>
      <c r="F703" s="22" t="n">
        <f aca="false">laA_28+loA_28+ofA_28</f>
        <v>130.886404842261</v>
      </c>
      <c r="G703" s="22" t="n">
        <f aca="false">laA_29+loA_29+ofA_29</f>
        <v>139.398079992203</v>
      </c>
    </row>
    <row r="704" customFormat="false" ht="17.15" hidden="false" customHeight="false" outlineLevel="0" collapsed="false">
      <c r="A704" s="0" t="s">
        <v>551</v>
      </c>
      <c r="B704" s="0" t="s">
        <v>30</v>
      </c>
      <c r="C704" s="22" t="n">
        <f aca="false">drA_25</f>
        <v>26.3761091658243</v>
      </c>
      <c r="D704" s="22" t="n">
        <f aca="false">drA_26</f>
        <v>41.8742847275048</v>
      </c>
      <c r="E704" s="22" t="n">
        <f aca="false">drA_27</f>
        <v>53.2587328153375</v>
      </c>
      <c r="F704" s="22" t="n">
        <f aca="false">drA_28</f>
        <v>59.5608998372386</v>
      </c>
      <c r="G704" s="22" t="n">
        <f aca="false">drA_29</f>
        <v>61.8312930912183</v>
      </c>
    </row>
    <row r="705" customFormat="false" ht="15" hidden="false" customHeight="false" outlineLevel="0" collapsed="false">
      <c r="A705" s="0" t="s">
        <v>552</v>
      </c>
      <c r="B705" s="0" t="s">
        <v>30</v>
      </c>
      <c r="C705" s="22" t="n">
        <f aca="false">ndA_25</f>
        <v>12.1726019800256</v>
      </c>
      <c r="D705" s="22" t="n">
        <f aca="false">ndA_26</f>
        <v>18.4595763045422</v>
      </c>
      <c r="E705" s="22" t="n">
        <f aca="false">ndA_27</f>
        <v>23.2480272411321</v>
      </c>
      <c r="F705" s="22" t="n">
        <f aca="false">ndA_28</f>
        <v>26.181321629459</v>
      </c>
      <c r="G705" s="22" t="n">
        <f aca="false">ndA_29</f>
        <v>27.674312771805</v>
      </c>
    </row>
    <row r="706" customFormat="false" ht="17.15" hidden="false" customHeight="false" outlineLevel="0" collapsed="false">
      <c r="A706" s="1" t="s">
        <v>553</v>
      </c>
    </row>
    <row r="707" customFormat="false" ht="17.15" hidden="false" customHeight="false" outlineLevel="0" collapsed="false">
      <c r="A707" s="5" t="s">
        <v>554</v>
      </c>
      <c r="B707" s="0" t="s">
        <v>30</v>
      </c>
      <c r="D707" s="22" t="n">
        <f aca="false">fyw*C703+(1-fyw)*D703</f>
        <v>96.1506478890744</v>
      </c>
      <c r="E707" s="22" t="n">
        <f aca="false">fyw*D703+(1-fyw)*E703</f>
        <v>113.525783322118</v>
      </c>
      <c r="F707" s="22" t="n">
        <f aca="false">fyw*E703+(1-fyw)*F703</f>
        <v>128.453455588732</v>
      </c>
      <c r="G707" s="22" t="n">
        <f aca="false">fyw*F703+(1-fyw)*G703</f>
        <v>137.979467467212</v>
      </c>
    </row>
    <row r="708" customFormat="false" ht="17.15" hidden="false" customHeight="false" outlineLevel="0" collapsed="false">
      <c r="A708" s="0" t="s">
        <v>555</v>
      </c>
      <c r="B708" s="0" t="s">
        <v>30</v>
      </c>
      <c r="D708" s="22" t="n">
        <f aca="false">fyw*C704+(1-fyw)*D704</f>
        <v>39.2912554672247</v>
      </c>
      <c r="E708" s="22" t="n">
        <f aca="false">fyw*D704+(1-fyw)*E704</f>
        <v>51.3613248006987</v>
      </c>
      <c r="F708" s="22" t="n">
        <f aca="false">fyw*E704+(1-fyw)*F704</f>
        <v>58.5105386669218</v>
      </c>
      <c r="G708" s="22" t="n">
        <f aca="false">fyw*F704+(1-fyw)*G704</f>
        <v>61.452894215555</v>
      </c>
    </row>
    <row r="709" customFormat="false" ht="15" hidden="false" customHeight="false" outlineLevel="0" collapsed="false">
      <c r="A709" s="0" t="s">
        <v>556</v>
      </c>
      <c r="B709" s="0" t="s">
        <v>30</v>
      </c>
      <c r="D709" s="22" t="n">
        <f aca="false">fyw*C705+(1-fyw)*D705</f>
        <v>17.4117472504561</v>
      </c>
      <c r="E709" s="22" t="n">
        <f aca="false">fyw*D705+(1-fyw)*E705</f>
        <v>22.4499520850338</v>
      </c>
      <c r="F709" s="22" t="n">
        <f aca="false">fyw*E705+(1-fyw)*F705</f>
        <v>25.6924392314045</v>
      </c>
      <c r="G709" s="22" t="n">
        <f aca="false">fyw*F705+(1-fyw)*G705</f>
        <v>27.4254809147473</v>
      </c>
    </row>
    <row r="710" customFormat="false" ht="17.15" hidden="false" customHeight="false" outlineLevel="0" collapsed="false">
      <c r="A710" s="5" t="s">
        <v>557</v>
      </c>
      <c r="B710" s="0" t="s">
        <v>246</v>
      </c>
      <c r="D710" s="21" t="n">
        <f aca="false">m_fl*D707/$D707+m_dr*D708/$D708+m_nd*D709/$D709</f>
        <v>1</v>
      </c>
      <c r="E710" s="21" t="n">
        <f aca="false">m_fl*E707/$D707+m_dr*E708/$D708+m_nd*E709/$D709</f>
        <v>1.22388113282</v>
      </c>
      <c r="F710" s="21" t="n">
        <f aca="false">m_fl*F707/$D707+m_dr*F708/$D708+m_nd*F709/$D709</f>
        <v>1.3886833368957</v>
      </c>
      <c r="G710" s="21" t="n">
        <f aca="false">m_fl*G707/$D707+m_dr*G708/$D708+m_nd*G709/$D709</f>
        <v>1.48065154546388</v>
      </c>
      <c r="H710" s="8" t="s">
        <v>558</v>
      </c>
    </row>
    <row r="711" customFormat="false" ht="17.15" hidden="false" customHeight="false" outlineLevel="0" collapsed="false">
      <c r="A711" s="1" t="s">
        <v>559</v>
      </c>
    </row>
    <row r="712" customFormat="false" ht="17.15" hidden="false" customHeight="false" outlineLevel="0" collapsed="false">
      <c r="A712" s="5" t="s">
        <v>560</v>
      </c>
      <c r="B712" s="0" t="s">
        <v>252</v>
      </c>
      <c r="C712" s="9" t="n">
        <f aca="false">a25_ss</f>
        <v>21438.5432098765</v>
      </c>
      <c r="D712" s="9" t="n">
        <f aca="false">an_ss</f>
        <v>26046</v>
      </c>
      <c r="E712" s="9" t="n">
        <f aca="false">$D712*E710*sf</f>
        <v>31877.2079854298</v>
      </c>
      <c r="F712" s="9" t="n">
        <f aca="false">$D712*F710*sf</f>
        <v>36169.6461927855</v>
      </c>
      <c r="G712" s="9" t="n">
        <f aca="false">$D712*G710*sf</f>
        <v>38565.0501531522</v>
      </c>
      <c r="H712" s="8" t="s">
        <v>561</v>
      </c>
    </row>
    <row r="713" customFormat="false" ht="17.15" hidden="false" customHeight="false" outlineLevel="0" collapsed="false">
      <c r="A713" s="0" t="s">
        <v>562</v>
      </c>
      <c r="B713" s="0" t="s">
        <v>252</v>
      </c>
      <c r="C713" s="9" t="n">
        <f aca="false">a25_ags</f>
        <v>5744.19672131148</v>
      </c>
      <c r="D713" s="9" t="n">
        <f aca="false">an_ags</f>
        <v>6845</v>
      </c>
      <c r="E713" s="9" t="n">
        <f aca="false">D713*(1+g_ags_A)</f>
        <v>7871.75</v>
      </c>
      <c r="F713" s="9" t="n">
        <f aca="false">E713*(1+g_ags_A)</f>
        <v>9052.5125</v>
      </c>
      <c r="G713" s="9" t="n">
        <f aca="false">F713*(1+g_ags_A)</f>
        <v>10410.389375</v>
      </c>
    </row>
    <row r="714" customFormat="false" ht="17.15" hidden="false" customHeight="false" outlineLevel="0" collapsed="false">
      <c r="A714" s="5" t="s">
        <v>563</v>
      </c>
      <c r="B714" s="0" t="s">
        <v>252</v>
      </c>
      <c r="C714" s="9" t="n">
        <v>0</v>
      </c>
      <c r="D714" s="9" t="n">
        <v>0</v>
      </c>
      <c r="E714" s="9" t="n">
        <f aca="false">-aff_hit*aff_A-0.2*cn_sh*(E712+E713)</f>
        <v>-2211.93186343183</v>
      </c>
      <c r="F714" s="9" t="n">
        <f aca="false">-aff_hit*aff_A-0.2*cn_sh*(F712+F713)</f>
        <v>-2516.50203717061</v>
      </c>
      <c r="G714" s="9" t="n">
        <f aca="false">-aff_hit*aff_A-0.2*cn_sh*(G712+G713)</f>
        <v>-2725.36289523885</v>
      </c>
      <c r="H714" s="5" t="s">
        <v>564</v>
      </c>
    </row>
    <row r="715" customFormat="false" ht="17.15" hidden="false" customHeight="false" outlineLevel="0" collapsed="false">
      <c r="A715" s="5" t="s">
        <v>565</v>
      </c>
      <c r="B715" s="0" t="s">
        <v>252</v>
      </c>
      <c r="C715" s="9" t="n">
        <f aca="false">C712+C714*C712/(C712+C713)</f>
        <v>21438.5432098765</v>
      </c>
      <c r="D715" s="9" t="n">
        <f aca="false">D712+D714*D712/(D712+D713)</f>
        <v>26046</v>
      </c>
      <c r="E715" s="9" t="n">
        <f aca="false">E712+E714*E712/(E712+E713)</f>
        <v>30103.3196715258</v>
      </c>
      <c r="F715" s="9" t="n">
        <f aca="false">F712+F714*F712/(F712+F713)</f>
        <v>34156.8942375719</v>
      </c>
      <c r="G715" s="9" t="n">
        <f aca="false">G712+G714*G712/(G712+G713)</f>
        <v>36418.9998521638</v>
      </c>
      <c r="H715" s="5" t="s">
        <v>566</v>
      </c>
    </row>
    <row r="716" customFormat="false" ht="17.15" hidden="false" customHeight="false" outlineLevel="0" collapsed="false">
      <c r="A716" s="0" t="s">
        <v>567</v>
      </c>
      <c r="B716" s="0" t="s">
        <v>252</v>
      </c>
      <c r="C716" s="9" t="n">
        <f aca="false">C713+C714*C713/(C712+C713)</f>
        <v>5744.19672131148</v>
      </c>
      <c r="D716" s="9" t="n">
        <f aca="false">D713+D714*D713/(D712+D713)</f>
        <v>6845</v>
      </c>
      <c r="E716" s="9" t="n">
        <f aca="false">E713+E714*E713/(E712+E713)</f>
        <v>7433.70645047219</v>
      </c>
      <c r="F716" s="9" t="n">
        <f aca="false">F713+F714*F713/(F712+F713)</f>
        <v>8548.76241804302</v>
      </c>
      <c r="G716" s="9" t="n">
        <f aca="false">G713+G714*G713/(G712+G713)</f>
        <v>9831.07678074947</v>
      </c>
      <c r="H716" s="5" t="s">
        <v>568</v>
      </c>
    </row>
    <row r="717" customFormat="false" ht="17.15" hidden="false" customHeight="false" outlineLevel="0" collapsed="false">
      <c r="A717" s="5" t="s">
        <v>569</v>
      </c>
      <c r="B717" s="0" t="s">
        <v>252</v>
      </c>
      <c r="C717" s="9" t="n">
        <f aca="false">a25_oth</f>
        <v>1185.26006881198</v>
      </c>
      <c r="D717" s="9" t="n">
        <f aca="false">an_oth</f>
        <v>1396</v>
      </c>
      <c r="E717" s="9" t="n">
        <f aca="false">D717*(1+g_oth_A)</f>
        <v>1396</v>
      </c>
      <c r="F717" s="9" t="n">
        <f aca="false">E717*(1+g_oth_A)</f>
        <v>1396</v>
      </c>
      <c r="G717" s="9" t="n">
        <f aca="false">F717*(1+g_oth_A)</f>
        <v>1396</v>
      </c>
      <c r="H717" s="5" t="s">
        <v>570</v>
      </c>
    </row>
    <row r="718" customFormat="false" ht="15" hidden="false" customHeight="false" outlineLevel="0" collapsed="false">
      <c r="A718" s="5" t="s">
        <v>454</v>
      </c>
      <c r="B718" s="0" t="s">
        <v>252</v>
      </c>
      <c r="C718" s="9" t="n">
        <f aca="false">C715+C716+C717</f>
        <v>28368</v>
      </c>
      <c r="D718" s="9" t="n">
        <f aca="false">D715+D716+D717</f>
        <v>34287</v>
      </c>
      <c r="E718" s="9" t="n">
        <f aca="false">E715+E716+E717</f>
        <v>38933.026121998</v>
      </c>
      <c r="F718" s="9" t="n">
        <f aca="false">F715+F716+F717</f>
        <v>44101.6566556149</v>
      </c>
      <c r="G718" s="9" t="n">
        <f aca="false">G715+G716+G717</f>
        <v>47646.0766329133</v>
      </c>
    </row>
    <row r="719" customFormat="false" ht="17.15" hidden="false" customHeight="false" outlineLevel="0" collapsed="false">
      <c r="A719" s="5" t="s">
        <v>571</v>
      </c>
      <c r="B719" s="0" t="s">
        <v>252</v>
      </c>
      <c r="C719" s="23" t="n">
        <f aca="false">C715+C716+C717-a25_rev</f>
        <v>0</v>
      </c>
      <c r="D719" s="23" t="n">
        <f aca="false">D715+D716+D717-an_rev</f>
        <v>0</v>
      </c>
    </row>
    <row r="720" customFormat="false" ht="17.15" hidden="false" customHeight="false" outlineLevel="0" collapsed="false">
      <c r="A720" s="0" t="s">
        <v>460</v>
      </c>
      <c r="B720" s="0" t="s">
        <v>199</v>
      </c>
      <c r="C720" s="11" t="n">
        <f aca="false">a25_gp/a25_rev</f>
        <v>0.487833192329385</v>
      </c>
      <c r="D720" s="11" t="n">
        <f aca="false">an_gp/an_rev</f>
        <v>0.500418584303089</v>
      </c>
      <c r="E720" s="11" t="n">
        <f aca="false">1-(cF+cv*E718)/E718</f>
        <v>0.507616563889457</v>
      </c>
      <c r="F720" s="11" t="n">
        <f aca="false">1-(cF+cv*F718)/F718</f>
        <v>0.513842132673465</v>
      </c>
      <c r="G720" s="11" t="n">
        <f aca="false">1-(cF+cv*G718)/G718</f>
        <v>0.517330640799357</v>
      </c>
      <c r="H720" s="5" t="s">
        <v>572</v>
      </c>
    </row>
    <row r="721" customFormat="false" ht="17.15" hidden="false" customHeight="false" outlineLevel="0" collapsed="false">
      <c r="A721" s="0" t="s">
        <v>463</v>
      </c>
      <c r="B721" s="0" t="s">
        <v>252</v>
      </c>
      <c r="C721" s="9" t="n">
        <f aca="false">C718*C720</f>
        <v>13838.852</v>
      </c>
      <c r="D721" s="9" t="n">
        <f aca="false">D718*D720</f>
        <v>17157.852</v>
      </c>
      <c r="E721" s="9" t="n">
        <f aca="false">E718*E720</f>
        <v>19763.0489418671</v>
      </c>
      <c r="F721" s="9" t="n">
        <f aca="false">F718*F720</f>
        <v>22661.2893103541</v>
      </c>
      <c r="G721" s="9" t="n">
        <f aca="false">G718*G720</f>
        <v>24648.7753560803</v>
      </c>
    </row>
    <row r="722" customFormat="false" ht="17.15" hidden="false" customHeight="false" outlineLevel="0" collapsed="false">
      <c r="A722" s="0" t="s">
        <v>573</v>
      </c>
      <c r="B722" s="0" t="s">
        <v>252</v>
      </c>
      <c r="C722" s="9" t="n">
        <f aca="false">opex25</f>
        <v>5276.852</v>
      </c>
      <c r="D722" s="9" t="n">
        <f aca="false">opex26</f>
        <v>5832.852</v>
      </c>
      <c r="E722" s="9" t="n">
        <f aca="false">oF+ov*E718</f>
        <v>6269.27547082799</v>
      </c>
      <c r="F722" s="9" t="n">
        <f aca="false">oF+ov*F718</f>
        <v>6754.78967537116</v>
      </c>
      <c r="G722" s="9" t="n">
        <f aca="false">oF+ov*G718</f>
        <v>7087.73400843045</v>
      </c>
      <c r="H722" s="5" t="s">
        <v>574</v>
      </c>
    </row>
    <row r="723" customFormat="false" ht="17.15" hidden="false" customHeight="false" outlineLevel="0" collapsed="false">
      <c r="A723" s="0" t="s">
        <v>465</v>
      </c>
      <c r="B723" s="0" t="s">
        <v>252</v>
      </c>
      <c r="C723" s="9" t="n">
        <f aca="false">C721-C722</f>
        <v>8562</v>
      </c>
      <c r="D723" s="9" t="n">
        <f aca="false">D721-D722</f>
        <v>11325</v>
      </c>
      <c r="E723" s="9" t="n">
        <f aca="false">E721-E722</f>
        <v>13493.7734710391</v>
      </c>
      <c r="F723" s="9" t="n">
        <f aca="false">F721-F722</f>
        <v>15906.4996349829</v>
      </c>
      <c r="G723" s="9" t="n">
        <f aca="false">G721-G722</f>
        <v>17561.0413476499</v>
      </c>
    </row>
    <row r="724" customFormat="false" ht="17.15" hidden="false" customHeight="false" outlineLevel="0" collapsed="false">
      <c r="A724" s="0" t="s">
        <v>544</v>
      </c>
      <c r="B724" s="0" t="s">
        <v>199</v>
      </c>
      <c r="C724" s="11" t="n">
        <f aca="false">C723/C718</f>
        <v>0.301818950930626</v>
      </c>
      <c r="D724" s="11" t="n">
        <f aca="false">D723/D718</f>
        <v>0.330300113745735</v>
      </c>
      <c r="E724" s="11" t="n">
        <f aca="false">E723/E718</f>
        <v>0.346589382206148</v>
      </c>
      <c r="F724" s="11" t="n">
        <f aca="false">F723/F718</f>
        <v>0.360678052509344</v>
      </c>
      <c r="G724" s="11" t="n">
        <f aca="false">G723/G718</f>
        <v>0.368572663032635</v>
      </c>
    </row>
    <row r="725" customFormat="false" ht="17.15" hidden="false" customHeight="false" outlineLevel="0" collapsed="false">
      <c r="A725" s="0" t="s">
        <v>470</v>
      </c>
      <c r="B725" s="0" t="s">
        <v>252</v>
      </c>
      <c r="C725" s="9" t="n">
        <f aca="false">a25_ni</f>
        <v>7607</v>
      </c>
      <c r="D725" s="9" t="n">
        <f aca="false">an_ni</f>
        <v>10179.92</v>
      </c>
      <c r="E725" s="9" t="n">
        <f aca="false">E723*nioi</f>
        <v>11988.6866145988</v>
      </c>
      <c r="F725" s="9" t="n">
        <f aca="false">F723*nioi</f>
        <v>14132.2988464512</v>
      </c>
      <c r="G725" s="9" t="n">
        <f aca="false">G723*nioi</f>
        <v>15602.2940354558</v>
      </c>
    </row>
    <row r="726" customFormat="false" ht="15" hidden="false" customHeight="false" outlineLevel="0" collapsed="false">
      <c r="A726" s="5" t="s">
        <v>575</v>
      </c>
      <c r="B726" s="5" t="s">
        <v>328</v>
      </c>
      <c r="C726" s="23" t="n">
        <f aca="false">a25_sh</f>
        <v>808</v>
      </c>
      <c r="D726" s="23" t="n">
        <f aca="false">an_sh</f>
        <v>797.799373040752</v>
      </c>
      <c r="E726" s="23" t="n">
        <f aca="false">$D726*(1-bb)^1</f>
        <v>789.821379310345</v>
      </c>
      <c r="F726" s="23" t="n">
        <f aca="false">$D726*(1-bb)^2</f>
        <v>781.923165517241</v>
      </c>
      <c r="G726" s="23" t="n">
        <f aca="false">$D726*(1-bb)^3</f>
        <v>774.103933862069</v>
      </c>
    </row>
    <row r="727" customFormat="false" ht="17.15" hidden="false" customHeight="false" outlineLevel="0" collapsed="false">
      <c r="A727" s="0" t="s">
        <v>576</v>
      </c>
      <c r="B727" s="0" t="s">
        <v>341</v>
      </c>
      <c r="C727" s="14" t="n">
        <f aca="false">a25_eps</f>
        <v>9.42</v>
      </c>
      <c r="D727" s="14" t="n">
        <f aca="false">an_eps</f>
        <v>12.76</v>
      </c>
      <c r="E727" s="14" t="n">
        <f aca="false">E725/E726</f>
        <v>15.1789846776078</v>
      </c>
      <c r="F727" s="14" t="n">
        <f aca="false">F725/F726</f>
        <v>18.0737692265489</v>
      </c>
      <c r="G727" s="14" t="n">
        <f aca="false">G725/G726</f>
        <v>20.1552961468813</v>
      </c>
      <c r="H727" s="8" t="s">
        <v>577</v>
      </c>
    </row>
    <row r="728" customFormat="false" ht="17.15" hidden="false" customHeight="false" outlineLevel="0" collapsed="false">
      <c r="A728" s="5" t="s">
        <v>578</v>
      </c>
      <c r="B728" s="0" t="s">
        <v>199</v>
      </c>
      <c r="D728" s="11" t="n">
        <f aca="false">D712/1000/(D707+D708+D709)</f>
        <v>0.170398285527431</v>
      </c>
      <c r="E728" s="11" t="n">
        <f aca="false">E712/1000/(E707+E708+E709)</f>
        <v>0.170159646735473</v>
      </c>
      <c r="F728" s="11" t="n">
        <f aca="false">F712/1000/(F707+F708+F709)</f>
        <v>0.170084890448361</v>
      </c>
      <c r="G728" s="11" t="n">
        <f aca="false">G712/1000/(G707+G708+G709)</f>
        <v>0.169996548109528</v>
      </c>
      <c r="H728" s="5" t="s">
        <v>579</v>
      </c>
    </row>
    <row r="732" customFormat="false" ht="17.15" hidden="false" customHeight="false" outlineLevel="0" collapsed="false">
      <c r="A732" s="3" t="s">
        <v>936</v>
      </c>
    </row>
    <row r="733" customFormat="false" ht="15" hidden="false" customHeight="false" outlineLevel="0" collapsed="false">
      <c r="A733" s="6" t="s">
        <v>19</v>
      </c>
      <c r="B733" s="6" t="s">
        <v>20</v>
      </c>
      <c r="C733" s="15" t="s">
        <v>513</v>
      </c>
      <c r="D733" s="15" t="s">
        <v>514</v>
      </c>
      <c r="E733" s="15" t="s">
        <v>515</v>
      </c>
      <c r="F733" s="15" t="s">
        <v>516</v>
      </c>
      <c r="G733" s="15" t="s">
        <v>517</v>
      </c>
      <c r="H733" s="6" t="s">
        <v>518</v>
      </c>
    </row>
    <row r="734" customFormat="false" ht="17.15" hidden="false" customHeight="false" outlineLevel="0" collapsed="false">
      <c r="A734" s="1" t="s">
        <v>549</v>
      </c>
    </row>
    <row r="735" customFormat="false" ht="17.15" hidden="false" customHeight="false" outlineLevel="0" collapsed="false">
      <c r="A735" s="5" t="s">
        <v>550</v>
      </c>
      <c r="B735" s="0" t="s">
        <v>30</v>
      </c>
      <c r="C735" s="22" t="n">
        <f aca="false">laA_25+loA_25+ofA_25</f>
        <v>78.3481206981793</v>
      </c>
      <c r="D735" s="22" t="n">
        <f aca="false">laA_26+loA_26+ofA_26</f>
        <v>99.7111533272534</v>
      </c>
      <c r="E735" s="22" t="n">
        <f aca="false">laA_27+loA_27+ofA_27</f>
        <v>116.288709321091</v>
      </c>
      <c r="F735" s="22" t="n">
        <f aca="false">laA_28+loA_28+ofA_28</f>
        <v>130.886404842261</v>
      </c>
      <c r="G735" s="22" t="n">
        <f aca="false">laA_29+loA_29+ofA_29</f>
        <v>139.398079992203</v>
      </c>
    </row>
    <row r="736" customFormat="false" ht="17.15" hidden="false" customHeight="false" outlineLevel="0" collapsed="false">
      <c r="A736" s="0" t="s">
        <v>551</v>
      </c>
      <c r="B736" s="0" t="s">
        <v>30</v>
      </c>
      <c r="C736" s="22" t="n">
        <f aca="false">drA_25</f>
        <v>26.3761091658243</v>
      </c>
      <c r="D736" s="22" t="n">
        <f aca="false">drA_26</f>
        <v>41.8742847275048</v>
      </c>
      <c r="E736" s="22" t="n">
        <f aca="false">drA_27</f>
        <v>53.2587328153375</v>
      </c>
      <c r="F736" s="22" t="n">
        <f aca="false">drA_28</f>
        <v>59.5608998372386</v>
      </c>
      <c r="G736" s="22" t="n">
        <f aca="false">drA_29</f>
        <v>61.8312930912183</v>
      </c>
    </row>
    <row r="737" customFormat="false" ht="15" hidden="false" customHeight="false" outlineLevel="0" collapsed="false">
      <c r="A737" s="0" t="s">
        <v>552</v>
      </c>
      <c r="B737" s="0" t="s">
        <v>30</v>
      </c>
      <c r="C737" s="22" t="n">
        <f aca="false">ndA_25</f>
        <v>12.1726019800256</v>
      </c>
      <c r="D737" s="22" t="n">
        <f aca="false">ndA_26</f>
        <v>18.4595763045422</v>
      </c>
      <c r="E737" s="22" t="n">
        <f aca="false">ndA_27</f>
        <v>23.2480272411321</v>
      </c>
      <c r="F737" s="22" t="n">
        <f aca="false">ndA_28</f>
        <v>26.181321629459</v>
      </c>
      <c r="G737" s="22" t="n">
        <f aca="false">ndA_29</f>
        <v>27.674312771805</v>
      </c>
    </row>
    <row r="738" customFormat="false" ht="17.15" hidden="false" customHeight="false" outlineLevel="0" collapsed="false">
      <c r="A738" s="1" t="s">
        <v>553</v>
      </c>
    </row>
    <row r="739" customFormat="false" ht="17.15" hidden="false" customHeight="false" outlineLevel="0" collapsed="false">
      <c r="A739" s="5" t="s">
        <v>554</v>
      </c>
      <c r="B739" s="0" t="s">
        <v>30</v>
      </c>
      <c r="D739" s="22" t="n">
        <f aca="false">fyw*C735+(1-fyw)*D735</f>
        <v>96.1506478890744</v>
      </c>
      <c r="E739" s="22" t="n">
        <f aca="false">fyw*D735+(1-fyw)*E735</f>
        <v>113.525783322118</v>
      </c>
      <c r="F739" s="22" t="n">
        <f aca="false">fyw*E735+(1-fyw)*F735</f>
        <v>128.453455588732</v>
      </c>
      <c r="G739" s="22" t="n">
        <f aca="false">fyw*F735+(1-fyw)*G735</f>
        <v>137.979467467212</v>
      </c>
    </row>
    <row r="740" customFormat="false" ht="17.15" hidden="false" customHeight="false" outlineLevel="0" collapsed="false">
      <c r="A740" s="0" t="s">
        <v>555</v>
      </c>
      <c r="B740" s="0" t="s">
        <v>30</v>
      </c>
      <c r="D740" s="22" t="n">
        <f aca="false">fyw*C736+(1-fyw)*D736</f>
        <v>39.2912554672247</v>
      </c>
      <c r="E740" s="22" t="n">
        <f aca="false">fyw*D736+(1-fyw)*E736</f>
        <v>51.3613248006987</v>
      </c>
      <c r="F740" s="22" t="n">
        <f aca="false">fyw*E736+(1-fyw)*F736</f>
        <v>58.5105386669218</v>
      </c>
      <c r="G740" s="22" t="n">
        <f aca="false">fyw*F736+(1-fyw)*G736</f>
        <v>61.452894215555</v>
      </c>
    </row>
    <row r="741" customFormat="false" ht="15" hidden="false" customHeight="false" outlineLevel="0" collapsed="false">
      <c r="A741" s="0" t="s">
        <v>556</v>
      </c>
      <c r="B741" s="0" t="s">
        <v>30</v>
      </c>
      <c r="D741" s="22" t="n">
        <f aca="false">fyw*C737+(1-fyw)*D737</f>
        <v>17.4117472504561</v>
      </c>
      <c r="E741" s="22" t="n">
        <f aca="false">fyw*D737+(1-fyw)*E737</f>
        <v>22.4499520850338</v>
      </c>
      <c r="F741" s="22" t="n">
        <f aca="false">fyw*E737+(1-fyw)*F737</f>
        <v>25.6924392314045</v>
      </c>
      <c r="G741" s="22" t="n">
        <f aca="false">fyw*F737+(1-fyw)*G737</f>
        <v>27.4254809147473</v>
      </c>
    </row>
    <row r="742" customFormat="false" ht="17.15" hidden="false" customHeight="false" outlineLevel="0" collapsed="false">
      <c r="A742" s="5" t="s">
        <v>557</v>
      </c>
      <c r="B742" s="0" t="s">
        <v>246</v>
      </c>
      <c r="D742" s="21" t="n">
        <f aca="false">m_fl*D739/$D739+m_dr*D740/$D740+m_nd*D741/$D741</f>
        <v>1</v>
      </c>
      <c r="E742" s="21" t="n">
        <f aca="false">m_fl*E739/$D739+m_dr*E740/$D740+m_nd*E741/$D741</f>
        <v>1.22388113282</v>
      </c>
      <c r="F742" s="21" t="n">
        <f aca="false">m_fl*F739/$D739+m_dr*F740/$D740+m_nd*F741/$D741</f>
        <v>1.3886833368957</v>
      </c>
      <c r="G742" s="21" t="n">
        <f aca="false">m_fl*G739/$D739+m_dr*G740/$D740+m_nd*G741/$D741</f>
        <v>1.48065154546388</v>
      </c>
      <c r="H742" s="8" t="s">
        <v>558</v>
      </c>
    </row>
    <row r="743" customFormat="false" ht="17.15" hidden="false" customHeight="false" outlineLevel="0" collapsed="false">
      <c r="A743" s="1" t="s">
        <v>559</v>
      </c>
    </row>
    <row r="744" customFormat="false" ht="17.15" hidden="false" customHeight="false" outlineLevel="0" collapsed="false">
      <c r="A744" s="5" t="s">
        <v>560</v>
      </c>
      <c r="B744" s="0" t="s">
        <v>252</v>
      </c>
      <c r="C744" s="9" t="n">
        <f aca="false">a25_ss</f>
        <v>21438.5432098765</v>
      </c>
      <c r="D744" s="9" t="n">
        <f aca="false">an_ss</f>
        <v>26046</v>
      </c>
      <c r="E744" s="9" t="n">
        <f aca="false">$D744*E742*sf</f>
        <v>31877.2079854298</v>
      </c>
      <c r="F744" s="9" t="n">
        <f aca="false">$D744*F742*sf</f>
        <v>36169.6461927855</v>
      </c>
      <c r="G744" s="9" t="n">
        <f aca="false">$D744*G742*sf</f>
        <v>38565.0501531522</v>
      </c>
      <c r="H744" s="8" t="s">
        <v>561</v>
      </c>
    </row>
    <row r="745" customFormat="false" ht="17.15" hidden="false" customHeight="false" outlineLevel="0" collapsed="false">
      <c r="A745" s="0" t="s">
        <v>562</v>
      </c>
      <c r="B745" s="0" t="s">
        <v>252</v>
      </c>
      <c r="C745" s="9" t="n">
        <f aca="false">a25_ags</f>
        <v>5744.19672131148</v>
      </c>
      <c r="D745" s="9" t="n">
        <f aca="false">an_ags</f>
        <v>6845</v>
      </c>
      <c r="E745" s="9" t="n">
        <f aca="false">D745*(1+g_ags_A)</f>
        <v>7871.75</v>
      </c>
      <c r="F745" s="9" t="n">
        <f aca="false">E745*(1+g_ags_A)</f>
        <v>9052.5125</v>
      </c>
      <c r="G745" s="9" t="n">
        <f aca="false">F745*(1+g_ags_A)</f>
        <v>10410.389375</v>
      </c>
    </row>
    <row r="746" customFormat="false" ht="17.15" hidden="false" customHeight="false" outlineLevel="0" collapsed="false">
      <c r="A746" s="5" t="s">
        <v>563</v>
      </c>
      <c r="B746" s="0" t="s">
        <v>252</v>
      </c>
      <c r="C746" s="9" t="n">
        <v>0</v>
      </c>
      <c r="D746" s="9" t="n">
        <v>0</v>
      </c>
      <c r="E746" s="9" t="n">
        <f aca="false">-aff_hit*aff_A-cn_cut_hi*cn_sh*(E744+E745)</f>
        <v>-4423.86372686367</v>
      </c>
      <c r="F746" s="9" t="n">
        <f aca="false">-aff_hit*aff_A-cn_cut_hi*cn_sh*(F744+F745)</f>
        <v>-5033.00407434122</v>
      </c>
      <c r="G746" s="9" t="n">
        <f aca="false">-aff_hit*aff_A-cn_cut_hi*cn_sh*(G744+G745)</f>
        <v>-5450.72579047771</v>
      </c>
      <c r="H746" s="5" t="s">
        <v>564</v>
      </c>
    </row>
    <row r="747" customFormat="false" ht="17.15" hidden="false" customHeight="false" outlineLevel="0" collapsed="false">
      <c r="A747" s="5" t="s">
        <v>565</v>
      </c>
      <c r="B747" s="0" t="s">
        <v>252</v>
      </c>
      <c r="C747" s="9" t="n">
        <f aca="false">C744+C746*C744/(C744+C745)</f>
        <v>21438.5432098765</v>
      </c>
      <c r="D747" s="9" t="n">
        <f aca="false">D744+D746*D744/(D744+D745)</f>
        <v>26046</v>
      </c>
      <c r="E747" s="9" t="n">
        <f aca="false">E744+E746*E744/(E744+E745)</f>
        <v>28329.4313576218</v>
      </c>
      <c r="F747" s="9" t="n">
        <f aca="false">F744+F746*F744/(F744+F745)</f>
        <v>32144.1422823583</v>
      </c>
      <c r="G747" s="9" t="n">
        <f aca="false">G744+G746*G744/(G744+G745)</f>
        <v>34272.9495511755</v>
      </c>
      <c r="H747" s="5" t="s">
        <v>566</v>
      </c>
    </row>
    <row r="748" customFormat="false" ht="17.15" hidden="false" customHeight="false" outlineLevel="0" collapsed="false">
      <c r="A748" s="0" t="s">
        <v>567</v>
      </c>
      <c r="B748" s="0" t="s">
        <v>252</v>
      </c>
      <c r="C748" s="9" t="n">
        <f aca="false">C745+C746*C745/(C744+C745)</f>
        <v>5744.19672131148</v>
      </c>
      <c r="D748" s="9" t="n">
        <f aca="false">D745+D746*D745/(D744+D745)</f>
        <v>6845</v>
      </c>
      <c r="E748" s="9" t="n">
        <f aca="false">E745+E746*E745/(E744+E745)</f>
        <v>6995.66290094438</v>
      </c>
      <c r="F748" s="9" t="n">
        <f aca="false">F745+F746*F745/(F744+F745)</f>
        <v>8045.01233608603</v>
      </c>
      <c r="G748" s="9" t="n">
        <f aca="false">G745+G746*G745/(G744+G745)</f>
        <v>9251.76418649894</v>
      </c>
      <c r="H748" s="5" t="s">
        <v>568</v>
      </c>
    </row>
    <row r="749" customFormat="false" ht="17.15" hidden="false" customHeight="false" outlineLevel="0" collapsed="false">
      <c r="A749" s="5" t="s">
        <v>569</v>
      </c>
      <c r="B749" s="0" t="s">
        <v>252</v>
      </c>
      <c r="C749" s="9" t="n">
        <f aca="false">a25_oth</f>
        <v>1185.26006881198</v>
      </c>
      <c r="D749" s="9" t="n">
        <f aca="false">an_oth</f>
        <v>1396</v>
      </c>
      <c r="E749" s="9" t="n">
        <f aca="false">D749*(1+g_oth_A)</f>
        <v>1396</v>
      </c>
      <c r="F749" s="9" t="n">
        <f aca="false">E749*(1+g_oth_A)</f>
        <v>1396</v>
      </c>
      <c r="G749" s="9" t="n">
        <f aca="false">F749*(1+g_oth_A)</f>
        <v>1396</v>
      </c>
      <c r="H749" s="5" t="s">
        <v>570</v>
      </c>
    </row>
    <row r="750" customFormat="false" ht="15" hidden="false" customHeight="false" outlineLevel="0" collapsed="false">
      <c r="A750" s="5" t="s">
        <v>454</v>
      </c>
      <c r="B750" s="0" t="s">
        <v>252</v>
      </c>
      <c r="C750" s="9" t="n">
        <f aca="false">C747+C748+C749</f>
        <v>28368</v>
      </c>
      <c r="D750" s="9" t="n">
        <f aca="false">D747+D748+D749</f>
        <v>34287</v>
      </c>
      <c r="E750" s="9" t="n">
        <f aca="false">E747+E748+E749</f>
        <v>36721.0942585662</v>
      </c>
      <c r="F750" s="9" t="n">
        <f aca="false">F747+F748+F749</f>
        <v>41585.1546184443</v>
      </c>
      <c r="G750" s="9" t="n">
        <f aca="false">G747+G748+G749</f>
        <v>44920.7137376745</v>
      </c>
    </row>
    <row r="751" customFormat="false" ht="17.15" hidden="false" customHeight="false" outlineLevel="0" collapsed="false">
      <c r="A751" s="5" t="s">
        <v>571</v>
      </c>
      <c r="B751" s="0" t="s">
        <v>252</v>
      </c>
      <c r="C751" s="23" t="n">
        <f aca="false">C747+C748+C749-a25_rev</f>
        <v>0</v>
      </c>
      <c r="D751" s="23" t="n">
        <f aca="false">D747+D748+D749-an_rev</f>
        <v>0</v>
      </c>
    </row>
    <row r="752" customFormat="false" ht="17.15" hidden="false" customHeight="false" outlineLevel="0" collapsed="false">
      <c r="A752" s="0" t="s">
        <v>460</v>
      </c>
      <c r="B752" s="0" t="s">
        <v>199</v>
      </c>
      <c r="C752" s="11" t="n">
        <f aca="false">a25_gp/a25_rev</f>
        <v>0.487833192329385</v>
      </c>
      <c r="D752" s="11" t="n">
        <f aca="false">an_gp/an_rev</f>
        <v>0.500418584303089</v>
      </c>
      <c r="E752" s="11" t="n">
        <f aca="false">1-(cF+cv*E750)/E750</f>
        <v>0.504416824693962</v>
      </c>
      <c r="F752" s="11" t="n">
        <f aca="false">1-(cF+cv*F750)/F750</f>
        <v>0.511004339929705</v>
      </c>
      <c r="G752" s="11" t="n">
        <f aca="false">1-(cF+cv*G750)/G750</f>
        <v>0.514697178181796</v>
      </c>
      <c r="H752" s="5" t="s">
        <v>572</v>
      </c>
    </row>
    <row r="753" customFormat="false" ht="17.15" hidden="false" customHeight="false" outlineLevel="0" collapsed="false">
      <c r="A753" s="0" t="s">
        <v>463</v>
      </c>
      <c r="B753" s="0" t="s">
        <v>252</v>
      </c>
      <c r="C753" s="9" t="n">
        <f aca="false">C750*C752</f>
        <v>13838.852</v>
      </c>
      <c r="D753" s="9" t="n">
        <f aca="false">D750*D752</f>
        <v>17157.852</v>
      </c>
      <c r="E753" s="9" t="n">
        <f aca="false">E750*E752</f>
        <v>18522.7377651936</v>
      </c>
      <c r="F753" s="9" t="n">
        <f aca="false">F750*F752</f>
        <v>21250.1944866729</v>
      </c>
      <c r="G753" s="9" t="n">
        <f aca="false">G750*G752</f>
        <v>23120.5646026933</v>
      </c>
    </row>
    <row r="754" customFormat="false" ht="17.15" hidden="false" customHeight="false" outlineLevel="0" collapsed="false">
      <c r="A754" s="0" t="s">
        <v>573</v>
      </c>
      <c r="B754" s="0" t="s">
        <v>252</v>
      </c>
      <c r="C754" s="9" t="n">
        <f aca="false">opex25</f>
        <v>5276.852</v>
      </c>
      <c r="D754" s="9" t="n">
        <f aca="false">opex26</f>
        <v>5832.852</v>
      </c>
      <c r="E754" s="9" t="n">
        <f aca="false">oF+ov*E750</f>
        <v>6061.49812396736</v>
      </c>
      <c r="F754" s="9" t="n">
        <f aca="false">oF+ov*F750</f>
        <v>6518.40259433266</v>
      </c>
      <c r="G754" s="9" t="n">
        <f aca="false">oF+ov*G750</f>
        <v>6831.72762732675</v>
      </c>
      <c r="H754" s="5" t="s">
        <v>574</v>
      </c>
    </row>
    <row r="755" customFormat="false" ht="17.15" hidden="false" customHeight="false" outlineLevel="0" collapsed="false">
      <c r="A755" s="0" t="s">
        <v>465</v>
      </c>
      <c r="B755" s="0" t="s">
        <v>252</v>
      </c>
      <c r="C755" s="9" t="n">
        <f aca="false">C753-C754</f>
        <v>8562</v>
      </c>
      <c r="D755" s="9" t="n">
        <f aca="false">D753-D754</f>
        <v>11325</v>
      </c>
      <c r="E755" s="9" t="n">
        <f aca="false">E753-E754</f>
        <v>12461.2396412263</v>
      </c>
      <c r="F755" s="9" t="n">
        <f aca="false">F753-F754</f>
        <v>14731.7918923402</v>
      </c>
      <c r="G755" s="9" t="n">
        <f aca="false">G753-G754</f>
        <v>16288.8369753665</v>
      </c>
    </row>
    <row r="756" customFormat="false" ht="17.15" hidden="false" customHeight="false" outlineLevel="0" collapsed="false">
      <c r="A756" s="0" t="s">
        <v>544</v>
      </c>
      <c r="B756" s="0" t="s">
        <v>199</v>
      </c>
      <c r="C756" s="11" t="n">
        <f aca="false">C755/C750</f>
        <v>0.301818950930626</v>
      </c>
      <c r="D756" s="11" t="n">
        <f aca="false">D755/D750</f>
        <v>0.330300113745735</v>
      </c>
      <c r="E756" s="11" t="n">
        <f aca="false">E755/E750</f>
        <v>0.339348265427013</v>
      </c>
      <c r="F756" s="11" t="n">
        <f aca="false">F755/F750</f>
        <v>0.354256032651762</v>
      </c>
      <c r="G756" s="11" t="n">
        <f aca="false">G755/G750</f>
        <v>0.362613049082194</v>
      </c>
    </row>
    <row r="757" customFormat="false" ht="17.15" hidden="false" customHeight="false" outlineLevel="0" collapsed="false">
      <c r="A757" s="0" t="s">
        <v>470</v>
      </c>
      <c r="B757" s="0" t="s">
        <v>252</v>
      </c>
      <c r="C757" s="9" t="n">
        <f aca="false">a25_ni</f>
        <v>7607</v>
      </c>
      <c r="D757" s="9" t="n">
        <f aca="false">an_ni</f>
        <v>10179.92</v>
      </c>
      <c r="E757" s="9" t="n">
        <f aca="false">E755*nioi</f>
        <v>11071.320947303</v>
      </c>
      <c r="F757" s="9" t="n">
        <f aca="false">F755*nioi</f>
        <v>13088.617253566</v>
      </c>
      <c r="G757" s="9" t="n">
        <f aca="false">G755*nioi</f>
        <v>14471.9905245986</v>
      </c>
    </row>
    <row r="758" customFormat="false" ht="15" hidden="false" customHeight="false" outlineLevel="0" collapsed="false">
      <c r="A758" s="5" t="s">
        <v>575</v>
      </c>
      <c r="B758" s="5" t="s">
        <v>328</v>
      </c>
      <c r="C758" s="23" t="n">
        <f aca="false">a25_sh</f>
        <v>808</v>
      </c>
      <c r="D758" s="23" t="n">
        <f aca="false">an_sh</f>
        <v>797.799373040752</v>
      </c>
      <c r="E758" s="23" t="n">
        <f aca="false">$D758*(1-bb)^1</f>
        <v>789.821379310345</v>
      </c>
      <c r="F758" s="23" t="n">
        <f aca="false">$D758*(1-bb)^2</f>
        <v>781.923165517241</v>
      </c>
      <c r="G758" s="23" t="n">
        <f aca="false">$D758*(1-bb)^3</f>
        <v>774.103933862069</v>
      </c>
    </row>
    <row r="759" customFormat="false" ht="17.15" hidden="false" customHeight="false" outlineLevel="0" collapsed="false">
      <c r="A759" s="0" t="s">
        <v>576</v>
      </c>
      <c r="B759" s="0" t="s">
        <v>341</v>
      </c>
      <c r="C759" s="14" t="n">
        <f aca="false">a25_eps</f>
        <v>9.42</v>
      </c>
      <c r="D759" s="14" t="n">
        <f aca="false">an_eps</f>
        <v>12.76</v>
      </c>
      <c r="E759" s="14" t="n">
        <f aca="false">E757/E758</f>
        <v>14.0174996997046</v>
      </c>
      <c r="F759" s="14" t="n">
        <f aca="false">F757/F758</f>
        <v>16.7390068881101</v>
      </c>
      <c r="G759" s="14" t="n">
        <f aca="false">G757/G758</f>
        <v>18.6951517639197</v>
      </c>
      <c r="H759" s="8" t="s">
        <v>577</v>
      </c>
    </row>
    <row r="760" customFormat="false" ht="17.15" hidden="false" customHeight="false" outlineLevel="0" collapsed="false">
      <c r="A760" s="5" t="s">
        <v>578</v>
      </c>
      <c r="B760" s="0" t="s">
        <v>199</v>
      </c>
      <c r="D760" s="11" t="n">
        <f aca="false">D744/1000/(D739+D740+D741)</f>
        <v>0.170398285527431</v>
      </c>
      <c r="E760" s="11" t="n">
        <f aca="false">E744/1000/(E739+E740+E741)</f>
        <v>0.170159646735473</v>
      </c>
      <c r="F760" s="11" t="n">
        <f aca="false">F744/1000/(F739+F740+F741)</f>
        <v>0.170084890448361</v>
      </c>
      <c r="G760" s="11" t="n">
        <f aca="false">G744/1000/(G739+G740+G741)</f>
        <v>0.169996548109528</v>
      </c>
      <c r="H760" s="5" t="s">
        <v>579</v>
      </c>
    </row>
    <row r="763" customFormat="false" ht="17.15" hidden="false" customHeight="false" outlineLevel="0" collapsed="false">
      <c r="A763" s="3" t="s">
        <v>937</v>
      </c>
    </row>
    <row r="764" customFormat="false" ht="17.15" hidden="false" customHeight="false" outlineLevel="0" collapsed="false">
      <c r="A764" s="6" t="s">
        <v>861</v>
      </c>
      <c r="B764" s="6" t="s">
        <v>862</v>
      </c>
      <c r="C764" s="15" t="s">
        <v>938</v>
      </c>
      <c r="D764" s="15" t="s">
        <v>823</v>
      </c>
      <c r="E764" s="6" t="s">
        <v>939</v>
      </c>
      <c r="F764" s="6" t="s">
        <v>865</v>
      </c>
    </row>
    <row r="765" customFormat="false" ht="17.15" hidden="false" customHeight="false" outlineLevel="0" collapsed="false">
      <c r="A765" s="5" t="s">
        <v>22</v>
      </c>
      <c r="B765" s="0" t="s">
        <v>940</v>
      </c>
      <c r="C765" s="14" t="n">
        <f aca="false">(tp_wA*(Val!B106*(1-MIN(tp_g/tp_roe,0.8))/(1+tp_r)^1+Val!B107*(1-MIN(tp_g/tp_roe,0.8))/(1+tp_r)^2+Val!B108*(1-MIN(tp_g/tp_roe,0.8))/(1+tp_r)^3+Val!B109*(1-MIN(tp_g/tp_roe,0.8))/(1+tp_r)^4+Val!B110*(1-MIN(tp_g/tp_roe,0.8))/(1+tp_r)^5+Val!B111*(1-MIN(tp_g/tp_roe,0.8))/(1+tp_r)^6+Val!B111*(1-MIN(tp_g/tp_roe,0.8))*(1+tp_g)/(tp_r-tp_g)/(1+tp_r)^6)+tp_wB*(Val!C106*(1-MIN(tp_g/tp_roe,0.8))/(1+tp_r)^1+Val!C107*(1-MIN(tp_g/tp_roe,0.8))/(1+tp_r)^2+Val!C108*(1-MIN(tp_g/tp_roe,0.8))/(1+tp_r)^3+Val!C109*(1-MIN(tp_g/tp_roe,0.8))/(1+tp_r)^4+Val!C110*(1-MIN(tp_g/tp_roe,0.8))/(1+tp_r)^5+Val!C111*(1-MIN(tp_g/tp_roe,0.8))/(1+tp_r)^6+Val!C111*(1-MIN(tp_g/tp_roe,0.8))*(1+tp_g)/(tp_r-tp_g)/(1+tp_r)^6)+tp_wC*(Val!D106*(1-MIN(tp_g/tp_roe,0.8))/(1+tp_r)^1+Val!D107*(1-MIN(tp_g/tp_roe,0.8))/(1+tp_r)^2+Val!D108*(1-MIN(tp_g/tp_roe,0.8))/(1+tp_r)^3+Val!D109*(1-MIN(tp_g/tp_roe,0.8))/(1+tp_r)^4+Val!D110*(1-MIN(tp_g/tp_roe,0.8))/(1+tp_r)^5+Val!D111*(1-MIN(tp_g/tp_roe,0.8))/(1+tp_r)^6+Val!D111*(1-MIN(tp_g/tp_roe,0.8))*(1+tp_g)/(tp_r-tp_g)/(1+tp_r)^6))*(1+tp_r)</f>
        <v>247.848391154966</v>
      </c>
      <c r="D765" s="14" t="n">
        <f aca="false">tp_comp_adj</f>
        <v>367.955573443906</v>
      </c>
      <c r="E765" s="14" t="n">
        <f aca="false">tp_w_dcf*C765+(1-tp_w_dcf)*D765</f>
        <v>307.901982299436</v>
      </c>
      <c r="F765" s="11" t="n">
        <f aca="false">E765/E$765-1</f>
        <v>0</v>
      </c>
    </row>
    <row r="766" customFormat="false" ht="17.15" hidden="false" customHeight="false" outlineLevel="0" collapsed="false">
      <c r="A766" s="5" t="s">
        <v>941</v>
      </c>
      <c r="B766" s="0" t="s">
        <v>942</v>
      </c>
      <c r="C766" s="14" t="n">
        <f aca="false">(tp_wA*(Val!B106*(1-MIN(tp_g/tp_roe,0.8))/(1+(tp_r+0.01))^1+Val!B107*(1-MIN(tp_g/tp_roe,0.8))/(1+(tp_r+0.01))^2+Val!B108*(1-MIN(tp_g/tp_roe,0.8))/(1+(tp_r+0.01))^3+Val!B109*(1-MIN(tp_g/tp_roe,0.8))/(1+(tp_r+0.01))^4+Val!B110*(1-MIN(tp_g/tp_roe,0.8))/(1+(tp_r+0.01))^5+Val!B111*(1-MIN(tp_g/tp_roe,0.8))/(1+(tp_r+0.01))^6+Val!B111*(1-MIN(tp_g/tp_roe,0.8))*(1+tp_g)/((tp_r+0.01)-tp_g)/(1+(tp_r+0.01))^6)+tp_wB*(Val!C106*(1-MIN(tp_g/tp_roe,0.8))/(1+(tp_r+0.01))^1+Val!C107*(1-MIN(tp_g/tp_roe,0.8))/(1+(tp_r+0.01))^2+Val!C108*(1-MIN(tp_g/tp_roe,0.8))/(1+(tp_r+0.01))^3+Val!C109*(1-MIN(tp_g/tp_roe,0.8))/(1+(tp_r+0.01))^4+Val!C110*(1-MIN(tp_g/tp_roe,0.8))/(1+(tp_r+0.01))^5+Val!C111*(1-MIN(tp_g/tp_roe,0.8))/(1+(tp_r+0.01))^6+Val!C111*(1-MIN(tp_g/tp_roe,0.8))*(1+tp_g)/((tp_r+0.01)-tp_g)/(1+(tp_r+0.01))^6)+tp_wC*(Val!D106*(1-MIN(tp_g/tp_roe,0.8))/(1+(tp_r+0.01))^1+Val!D107*(1-MIN(tp_g/tp_roe,0.8))/(1+(tp_r+0.01))^2+Val!D108*(1-MIN(tp_g/tp_roe,0.8))/(1+(tp_r+0.01))^3+Val!D109*(1-MIN(tp_g/tp_roe,0.8))/(1+(tp_r+0.01))^4+Val!D110*(1-MIN(tp_g/tp_roe,0.8))/(1+(tp_r+0.01))^5+Val!D111*(1-MIN(tp_g/tp_roe,0.8))/(1+(tp_r+0.01))^6+Val!D111*(1-MIN(tp_g/tp_roe,0.8))*(1+tp_g)/((tp_r+0.01)-tp_g)/(1+(tp_r+0.01))^6))*(1+(tp_r+0.01))</f>
        <v>215.036534153663</v>
      </c>
      <c r="D766" s="14" t="n">
        <f aca="false">tp_comp_adj</f>
        <v>367.955573443906</v>
      </c>
      <c r="E766" s="14" t="n">
        <f aca="false">tp_w_dcf*C766+(1-tp_w_dcf)*D766</f>
        <v>291.496053798784</v>
      </c>
      <c r="F766" s="11" t="n">
        <f aca="false">E766/E$765-1</f>
        <v>-0.0532829583561979</v>
      </c>
    </row>
    <row r="767" customFormat="false" ht="17.15" hidden="false" customHeight="false" outlineLevel="0" collapsed="false">
      <c r="A767" s="5" t="s">
        <v>943</v>
      </c>
      <c r="B767" s="0" t="s">
        <v>944</v>
      </c>
      <c r="C767" s="14" t="n">
        <f aca="false">(tp_wA*(Val!B106*(1-MIN(tp_g/tp_roe,0.8))/(1+(tp_r-0.01))^1+Val!B107*(1-MIN(tp_g/tp_roe,0.8))/(1+(tp_r-0.01))^2+Val!B108*(1-MIN(tp_g/tp_roe,0.8))/(1+(tp_r-0.01))^3+Val!B109*(1-MIN(tp_g/tp_roe,0.8))/(1+(tp_r-0.01))^4+Val!B110*(1-MIN(tp_g/tp_roe,0.8))/(1+(tp_r-0.01))^5+Val!B111*(1-MIN(tp_g/tp_roe,0.8))/(1+(tp_r-0.01))^6+Val!B111*(1-MIN(tp_g/tp_roe,0.8))*(1+tp_g)/((tp_r-0.01)-tp_g)/(1+(tp_r-0.01))^6)+tp_wB*(Val!C106*(1-MIN(tp_g/tp_roe,0.8))/(1+(tp_r-0.01))^1+Val!C107*(1-MIN(tp_g/tp_roe,0.8))/(1+(tp_r-0.01))^2+Val!C108*(1-MIN(tp_g/tp_roe,0.8))/(1+(tp_r-0.01))^3+Val!C109*(1-MIN(tp_g/tp_roe,0.8))/(1+(tp_r-0.01))^4+Val!C110*(1-MIN(tp_g/tp_roe,0.8))/(1+(tp_r-0.01))^5+Val!C111*(1-MIN(tp_g/tp_roe,0.8))/(1+(tp_r-0.01))^6+Val!C111*(1-MIN(tp_g/tp_roe,0.8))*(1+tp_g)/((tp_r-0.01)-tp_g)/(1+(tp_r-0.01))^6)+tp_wC*(Val!D106*(1-MIN(tp_g/tp_roe,0.8))/(1+(tp_r-0.01))^1+Val!D107*(1-MIN(tp_g/tp_roe,0.8))/(1+(tp_r-0.01))^2+Val!D108*(1-MIN(tp_g/tp_roe,0.8))/(1+(tp_r-0.01))^3+Val!D109*(1-MIN(tp_g/tp_roe,0.8))/(1+(tp_r-0.01))^4+Val!D110*(1-MIN(tp_g/tp_roe,0.8))/(1+(tp_r-0.01))^5+Val!D111*(1-MIN(tp_g/tp_roe,0.8))/(1+(tp_r-0.01))^6+Val!D111*(1-MIN(tp_g/tp_roe,0.8))*(1+tp_g)/((tp_r-0.01)-tp_g)/(1+(tp_r-0.01))^6))*(1+(tp_r-0.01))</f>
        <v>293.758363021117</v>
      </c>
      <c r="D767" s="14" t="n">
        <f aca="false">tp_comp_adj</f>
        <v>367.955573443906</v>
      </c>
      <c r="E767" s="14" t="n">
        <f aca="false">tp_w_dcf*C767+(1-tp_w_dcf)*D767</f>
        <v>330.856968232511</v>
      </c>
      <c r="F767" s="11" t="n">
        <f aca="false">E767/E$765-1</f>
        <v>0.0745529007694128</v>
      </c>
    </row>
    <row r="768" customFormat="false" ht="17.15" hidden="false" customHeight="false" outlineLevel="0" collapsed="false">
      <c r="A768" s="5" t="s">
        <v>945</v>
      </c>
      <c r="B768" s="0" t="s">
        <v>946</v>
      </c>
      <c r="C768" s="14" t="n">
        <f aca="false">(tp_wA*(Val!B106*(1-MIN((tp_g+0.01)/tp_roe,0.8))/(1+tp_r)^1+Val!B107*(1-MIN((tp_g+0.01)/tp_roe,0.8))/(1+tp_r)^2+Val!B108*(1-MIN((tp_g+0.01)/tp_roe,0.8))/(1+tp_r)^3+Val!B109*(1-MIN((tp_g+0.01)/tp_roe,0.8))/(1+tp_r)^4+Val!B110*(1-MIN((tp_g+0.01)/tp_roe,0.8))/(1+tp_r)^5+Val!B111*(1-MIN((tp_g+0.01)/tp_roe,0.8))/(1+tp_r)^6+Val!B111*(1-MIN((tp_g+0.01)/tp_roe,0.8))*(1+(tp_g+0.01))/(tp_r-(tp_g+0.01))/(1+tp_r)^6)+tp_wB*(Val!C106*(1-MIN((tp_g+0.01)/tp_roe,0.8))/(1+tp_r)^1+Val!C107*(1-MIN((tp_g+0.01)/tp_roe,0.8))/(1+tp_r)^2+Val!C108*(1-MIN((tp_g+0.01)/tp_roe,0.8))/(1+tp_r)^3+Val!C109*(1-MIN((tp_g+0.01)/tp_roe,0.8))/(1+tp_r)^4+Val!C110*(1-MIN((tp_g+0.01)/tp_roe,0.8))/(1+tp_r)^5+Val!C111*(1-MIN((tp_g+0.01)/tp_roe,0.8))/(1+tp_r)^6+Val!C111*(1-MIN((tp_g+0.01)/tp_roe,0.8))*(1+(tp_g+0.01))/(tp_r-(tp_g+0.01))/(1+tp_r)^6)+tp_wC*(Val!D106*(1-MIN((tp_g+0.01)/tp_roe,0.8))/(1+tp_r)^1+Val!D107*(1-MIN((tp_g+0.01)/tp_roe,0.8))/(1+tp_r)^2+Val!D108*(1-MIN((tp_g+0.01)/tp_roe,0.8))/(1+tp_r)^3+Val!D109*(1-MIN((tp_g+0.01)/tp_roe,0.8))/(1+tp_r)^4+Val!D110*(1-MIN((tp_g+0.01)/tp_roe,0.8))/(1+tp_r)^5+Val!D111*(1-MIN((tp_g+0.01)/tp_roe,0.8))/(1+tp_r)^6+Val!D111*(1-MIN((tp_g+0.01)/tp_roe,0.8))*(1+(tp_g+0.01))/(tp_r-(tp_g+0.01))/(1+tp_r)^6))*(1+tp_r)</f>
        <v>276.863305377944</v>
      </c>
      <c r="D768" s="14" t="n">
        <f aca="false">tp_comp_adj</f>
        <v>367.955573443906</v>
      </c>
      <c r="E768" s="14" t="n">
        <f aca="false">tp_w_dcf*C768+(1-tp_w_dcf)*D768</f>
        <v>322.409439410925</v>
      </c>
      <c r="F768" s="11" t="n">
        <f aca="false">E768/E$765-1</f>
        <v>0.0471171280001061</v>
      </c>
    </row>
    <row r="769" customFormat="false" ht="17.15" hidden="false" customHeight="false" outlineLevel="0" collapsed="false">
      <c r="A769" s="5" t="s">
        <v>947</v>
      </c>
      <c r="B769" s="0" t="s">
        <v>948</v>
      </c>
      <c r="C769" s="14" t="n">
        <f aca="false">(tp_wA*(Val!B106*(1-MIN((tp_g-0.01)/tp_roe,0.8))/(1+tp_r)^1+Val!B107*(1-MIN((tp_g-0.01)/tp_roe,0.8))/(1+tp_r)^2+Val!B108*(1-MIN((tp_g-0.01)/tp_roe,0.8))/(1+tp_r)^3+Val!B109*(1-MIN((tp_g-0.01)/tp_roe,0.8))/(1+tp_r)^4+Val!B110*(1-MIN((tp_g-0.01)/tp_roe,0.8))/(1+tp_r)^5+Val!B111*(1-MIN((tp_g-0.01)/tp_roe,0.8))/(1+tp_r)^6+Val!B111*(1-MIN((tp_g-0.01)/tp_roe,0.8))*(1+(tp_g-0.01))/(tp_r-(tp_g-0.01))/(1+tp_r)^6)+tp_wB*(Val!C106*(1-MIN((tp_g-0.01)/tp_roe,0.8))/(1+tp_r)^1+Val!C107*(1-MIN((tp_g-0.01)/tp_roe,0.8))/(1+tp_r)^2+Val!C108*(1-MIN((tp_g-0.01)/tp_roe,0.8))/(1+tp_r)^3+Val!C109*(1-MIN((tp_g-0.01)/tp_roe,0.8))/(1+tp_r)^4+Val!C110*(1-MIN((tp_g-0.01)/tp_roe,0.8))/(1+tp_r)^5+Val!C111*(1-MIN((tp_g-0.01)/tp_roe,0.8))/(1+tp_r)^6+Val!C111*(1-MIN((tp_g-0.01)/tp_roe,0.8))*(1+(tp_g-0.01))/(tp_r-(tp_g-0.01))/(1+tp_r)^6)+tp_wC*(Val!D106*(1-MIN((tp_g-0.01)/tp_roe,0.8))/(1+tp_r)^1+Val!D107*(1-MIN((tp_g-0.01)/tp_roe,0.8))/(1+tp_r)^2+Val!D108*(1-MIN((tp_g-0.01)/tp_roe,0.8))/(1+tp_r)^3+Val!D109*(1-MIN((tp_g-0.01)/tp_roe,0.8))/(1+tp_r)^4+Val!D110*(1-MIN((tp_g-0.01)/tp_roe,0.8))/(1+tp_r)^5+Val!D111*(1-MIN((tp_g-0.01)/tp_roe,0.8))/(1+tp_r)^6+Val!D111*(1-MIN((tp_g-0.01)/tp_roe,0.8))*(1+(tp_g-0.01))/(tp_r-(tp_g-0.01))/(1+tp_r)^6))*(1+tp_r)</f>
        <v>227.618122363665</v>
      </c>
      <c r="D769" s="14" t="n">
        <f aca="false">tp_comp_adj</f>
        <v>367.955573443906</v>
      </c>
      <c r="E769" s="14" t="n">
        <f aca="false">tp_w_dcf*C769+(1-tp_w_dcf)*D769</f>
        <v>297.786847903785</v>
      </c>
      <c r="F769" s="11" t="n">
        <f aca="false">E769/E$765-1</f>
        <v>-0.0328518001739051</v>
      </c>
    </row>
    <row r="770" customFormat="false" ht="17.15" hidden="false" customHeight="false" outlineLevel="0" collapsed="false">
      <c r="A770" s="0" t="s">
        <v>949</v>
      </c>
      <c r="B770" s="0" t="s">
        <v>950</v>
      </c>
      <c r="C770" s="14" t="n">
        <f aca="false">(tp_wA*(Val!B106*(1-MIN(tp_g/tp_roe,0.8))/(1+tp_r)^1+Val!B107*(1-MIN(tp_g/tp_roe,0.8))/(1+tp_r)^2+Val!B108*(1-MIN(tp_g/tp_roe,0.8))/(1+tp_r)^3+Val!B109*(1-MIN(tp_g/tp_roe,0.8))/(1+tp_r)^4+Val!B110*(1-MIN(tp_g/tp_roe,0.8))/(1+tp_r)^5+Val!B111*(1-MIN(tp_g/tp_roe,0.8))/(1+tp_r)^6+Val!B111*(1-MIN(tp_g/tp_roe,0.8))*(1+tp_g)/(tp_r-tp_g)/(1+tp_r)^6)+tp_wB*(Val!C106*(1-MIN(tp_g/tp_roe,0.8))/(1+tp_r)^1+Val!C107*(1-MIN(tp_g/tp_roe,0.8))/(1+tp_r)^2+Val!C108*(1-MIN(tp_g/tp_roe,0.8))/(1+tp_r)^3+Val!C109*(1-MIN(tp_g/tp_roe,0.8))/(1+tp_r)^4+Val!C110*(1-MIN(tp_g/tp_roe,0.8))/(1+tp_r)^5+Val!C111*(1-MIN(tp_g/tp_roe,0.8))/(1+tp_r)^6+Val!C111*(1-MIN(tp_g/tp_roe,0.8))*(1+tp_g)/(tp_r-tp_g)/(1+tp_r)^6)+tp_wC*(Val!D106*(1-MIN(tp_g/tp_roe,0.8))/(1+tp_r)^1+Val!D107*(1-MIN(tp_g/tp_roe,0.8))/(1+tp_r)^2+Val!D108*(1-MIN(tp_g/tp_roe,0.8))/(1+tp_r)^3+Val!D109*(1-MIN(tp_g/tp_roe,0.8))/(1+tp_r)^4+Val!D110*(1-MIN(tp_g/tp_roe,0.8))/(1+tp_r)^5+Val!D111*(1-MIN(tp_g/tp_roe,0.8))/(1+tp_r)^6+Val!D111*(1-MIN(tp_g/tp_roe,0.8))*(1+tp_g)/(tp_r-tp_g)/(1+tp_r)^6))*(1+tp_r)</f>
        <v>247.848391154966</v>
      </c>
      <c r="D770" s="14" t="n">
        <f aca="false">tp_comp_adj</f>
        <v>367.955573443906</v>
      </c>
      <c r="E770" s="14" t="n">
        <f aca="false">0.4*C770+(1-0.4)*D770</f>
        <v>319.91270052833</v>
      </c>
      <c r="F770" s="11" t="n">
        <f aca="false">E770/E$765-1</f>
        <v>0.0390082523639408</v>
      </c>
    </row>
    <row r="771" customFormat="false" ht="17.15" hidden="false" customHeight="false" outlineLevel="0" collapsed="false">
      <c r="A771" s="0" t="s">
        <v>951</v>
      </c>
      <c r="B771" s="0" t="s">
        <v>952</v>
      </c>
      <c r="C771" s="14" t="n">
        <f aca="false">(tp_wA*(Val!B106*(1-MIN(tp_g/tp_roe,0.8))/(1+tp_r)^1+Val!B107*(1-MIN(tp_g/tp_roe,0.8))/(1+tp_r)^2+Val!B108*(1-MIN(tp_g/tp_roe,0.8))/(1+tp_r)^3+Val!B109*(1-MIN(tp_g/tp_roe,0.8))/(1+tp_r)^4+Val!B110*(1-MIN(tp_g/tp_roe,0.8))/(1+tp_r)^5+Val!B111*(1-MIN(tp_g/tp_roe,0.8))/(1+tp_r)^6+Val!B111*(1-MIN(tp_g/tp_roe,0.8))*(1+tp_g)/(tp_r-tp_g)/(1+tp_r)^6)+tp_wB*(Val!C106*(1-MIN(tp_g/tp_roe,0.8))/(1+tp_r)^1+Val!C107*(1-MIN(tp_g/tp_roe,0.8))/(1+tp_r)^2+Val!C108*(1-MIN(tp_g/tp_roe,0.8))/(1+tp_r)^3+Val!C109*(1-MIN(tp_g/tp_roe,0.8))/(1+tp_r)^4+Val!C110*(1-MIN(tp_g/tp_roe,0.8))/(1+tp_r)^5+Val!C111*(1-MIN(tp_g/tp_roe,0.8))/(1+tp_r)^6+Val!C111*(1-MIN(tp_g/tp_roe,0.8))*(1+tp_g)/(tp_r-tp_g)/(1+tp_r)^6)+tp_wC*(Val!D106*(1-MIN(tp_g/tp_roe,0.8))/(1+tp_r)^1+Val!D107*(1-MIN(tp_g/tp_roe,0.8))/(1+tp_r)^2+Val!D108*(1-MIN(tp_g/tp_roe,0.8))/(1+tp_r)^3+Val!D109*(1-MIN(tp_g/tp_roe,0.8))/(1+tp_r)^4+Val!D110*(1-MIN(tp_g/tp_roe,0.8))/(1+tp_r)^5+Val!D111*(1-MIN(tp_g/tp_roe,0.8))/(1+tp_r)^6+Val!D111*(1-MIN(tp_g/tp_roe,0.8))*(1+tp_g)/(tp_r-tp_g)/(1+tp_r)^6))*(1+tp_r)</f>
        <v>247.848391154966</v>
      </c>
      <c r="D771" s="14" t="n">
        <f aca="false">tp_comp_adj</f>
        <v>367.955573443906</v>
      </c>
      <c r="E771" s="14" t="n">
        <f aca="false">0.8*C771+(1-0.8)*D771</f>
        <v>271.869827612754</v>
      </c>
      <c r="F771" s="11" t="n">
        <f aca="false">E771/E$765-1</f>
        <v>-0.117024757091822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3" t="s">
        <v>953</v>
      </c>
    </row>
    <row r="2" customFormat="false" ht="17.15" hidden="false" customHeight="false" outlineLevel="0" collapsed="false">
      <c r="A2" s="5" t="s">
        <v>954</v>
      </c>
      <c r="B2" s="0" t="s">
        <v>955</v>
      </c>
    </row>
    <row r="3" customFormat="false" ht="17.15" hidden="false" customHeight="false" outlineLevel="0" collapsed="false">
      <c r="A3" s="5" t="s">
        <v>956</v>
      </c>
      <c r="B3" s="0" t="s">
        <v>957</v>
      </c>
    </row>
    <row r="4" customFormat="false" ht="17.15" hidden="false" customHeight="false" outlineLevel="0" collapsed="false">
      <c r="A4" s="5" t="s">
        <v>958</v>
      </c>
      <c r="B4" s="0" t="s">
        <v>959</v>
      </c>
    </row>
    <row r="5" customFormat="false" ht="17.15" hidden="false" customHeight="false" outlineLevel="0" collapsed="false">
      <c r="A5" s="5" t="s">
        <v>960</v>
      </c>
      <c r="B5" s="0" t="s">
        <v>961</v>
      </c>
    </row>
    <row r="6" customFormat="false" ht="17.15" hidden="false" customHeight="false" outlineLevel="0" collapsed="false">
      <c r="A6" s="5" t="s">
        <v>962</v>
      </c>
      <c r="B6" s="0" t="s">
        <v>963</v>
      </c>
    </row>
    <row r="7" customFormat="false" ht="17.15" hidden="false" customHeight="false" outlineLevel="0" collapsed="false">
      <c r="A7" s="5" t="s">
        <v>964</v>
      </c>
      <c r="B7" s="0" t="s">
        <v>965</v>
      </c>
    </row>
    <row r="8" customFormat="false" ht="17.15" hidden="false" customHeight="false" outlineLevel="0" collapsed="false">
      <c r="A8" s="5" t="s">
        <v>966</v>
      </c>
      <c r="B8" s="0" t="s">
        <v>967</v>
      </c>
    </row>
    <row r="9" customFormat="false" ht="17.15" hidden="false" customHeight="false" outlineLevel="0" collapsed="false">
      <c r="A9" s="5" t="s">
        <v>968</v>
      </c>
      <c r="B9" s="0" t="s">
        <v>969</v>
      </c>
    </row>
    <row r="10" customFormat="false" ht="17.15" hidden="false" customHeight="false" outlineLevel="0" collapsed="false">
      <c r="A10" s="5" t="s">
        <v>970</v>
      </c>
      <c r="B10" s="0" t="s">
        <v>971</v>
      </c>
    </row>
    <row r="11" customFormat="false" ht="17.15" hidden="false" customHeight="false" outlineLevel="0" collapsed="false">
      <c r="A11" s="5" t="s">
        <v>972</v>
      </c>
      <c r="B11" s="0" t="s">
        <v>973</v>
      </c>
    </row>
    <row r="12" customFormat="false" ht="17.15" hidden="false" customHeight="false" outlineLevel="0" collapsed="false">
      <c r="A12" s="5" t="s">
        <v>974</v>
      </c>
      <c r="B12" s="0" t="s">
        <v>975</v>
      </c>
    </row>
    <row r="13" customFormat="false" ht="17.15" hidden="false" customHeight="false" outlineLevel="0" collapsed="false">
      <c r="A13" s="5" t="s">
        <v>976</v>
      </c>
      <c r="B13" s="0" t="s">
        <v>977</v>
      </c>
    </row>
    <row r="14" customFormat="false" ht="17.15" hidden="false" customHeight="false" outlineLevel="0" collapsed="false">
      <c r="A14" s="0" t="s">
        <v>978</v>
      </c>
      <c r="B14" s="0" t="s">
        <v>979</v>
      </c>
    </row>
    <row r="15" customFormat="false" ht="17.15" hidden="false" customHeight="false" outlineLevel="0" collapsed="false">
      <c r="A15" s="0" t="s">
        <v>980</v>
      </c>
      <c r="B15" s="0" t="s">
        <v>981</v>
      </c>
    </row>
    <row r="16" customFormat="false" ht="17.15" hidden="false" customHeight="false" outlineLevel="0" collapsed="false">
      <c r="A16" s="0" t="s">
        <v>982</v>
      </c>
      <c r="B16" s="0" t="s">
        <v>983</v>
      </c>
    </row>
    <row r="17" customFormat="false" ht="17.15" hidden="false" customHeight="false" outlineLevel="0" collapsed="false">
      <c r="A17" s="0" t="s">
        <v>984</v>
      </c>
      <c r="B17" s="0" t="s">
        <v>985</v>
      </c>
    </row>
    <row r="18" customFormat="false" ht="17.15" hidden="false" customHeight="false" outlineLevel="0" collapsed="false">
      <c r="A18" s="0" t="s">
        <v>986</v>
      </c>
      <c r="B18" s="0" t="s">
        <v>987</v>
      </c>
    </row>
    <row r="19" customFormat="false" ht="17.15" hidden="false" customHeight="false" outlineLevel="0" collapsed="false">
      <c r="A19" s="0" t="s">
        <v>988</v>
      </c>
      <c r="B19" s="0" t="s">
        <v>989</v>
      </c>
    </row>
    <row r="20" customFormat="false" ht="17.15" hidden="false" customHeight="false" outlineLevel="0" collapsed="false">
      <c r="A20" s="0" t="s">
        <v>990</v>
      </c>
      <c r="B20" s="0" t="s">
        <v>991</v>
      </c>
    </row>
    <row r="21" customFormat="false" ht="17.15" hidden="false" customHeight="false" outlineLevel="0" collapsed="false">
      <c r="A21" s="0" t="s">
        <v>992</v>
      </c>
      <c r="B21" s="0" t="s">
        <v>993</v>
      </c>
    </row>
    <row r="22" customFormat="false" ht="17.15" hidden="false" customHeight="false" outlineLevel="0" collapsed="false">
      <c r="A22" s="0" t="s">
        <v>994</v>
      </c>
      <c r="B22" s="0" t="s">
        <v>995</v>
      </c>
    </row>
    <row r="23" customFormat="false" ht="17.15" hidden="false" customHeight="false" outlineLevel="0" collapsed="false">
      <c r="A23" s="0" t="s">
        <v>996</v>
      </c>
      <c r="B23" s="0" t="s">
        <v>997</v>
      </c>
    </row>
    <row r="24" customFormat="false" ht="17.15" hidden="false" customHeight="false" outlineLevel="0" collapsed="false">
      <c r="A24" s="0" t="s">
        <v>998</v>
      </c>
      <c r="B24" s="0" t="s">
        <v>999</v>
      </c>
    </row>
    <row r="25" customFormat="false" ht="17.15" hidden="false" customHeight="false" outlineLevel="0" collapsed="false">
      <c r="A25" s="0" t="s">
        <v>1000</v>
      </c>
      <c r="B25" s="0" t="s">
        <v>1001</v>
      </c>
    </row>
    <row r="26" customFormat="false" ht="17.15" hidden="false" customHeight="false" outlineLevel="0" collapsed="false">
      <c r="A26" s="5" t="s">
        <v>1002</v>
      </c>
    </row>
    <row r="27" customFormat="false" ht="15" hidden="false" customHeight="false" outlineLevel="0" collapsed="false">
      <c r="A27" s="0" t="s">
        <v>1003</v>
      </c>
      <c r="B27" s="5" t="s">
        <v>1004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2026-10-30T07:25:53Z</dcterms:created>
  <dc:creator>openpyxl</dc:creator>
  <dc:description/>
  <dc:language>en-US</dc:language>
  <cp:lastModifiedBy/>
  <dcterms:modified xsi:type="dcterms:W3CDTF">2026-10-30T07:25:54Z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