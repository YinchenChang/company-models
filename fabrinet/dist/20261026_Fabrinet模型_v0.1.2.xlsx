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o" vbProcedure="false">Q!$B$10</definedName>
    <definedName function="false" hidden="false" name="a25_aiop_in" vbProcedure="false">In!$E$101</definedName>
    <definedName function="false" hidden="false" name="a25_ci" vbProcedure="false">Q!$B$9</definedName>
    <definedName function="false" hidden="false" name="a25_cip_in" vbProcedure="false">In!$E$99</definedName>
    <definedName function="false" hidden="false" name="a25_dc" vbProcedure="false">Q!$B$5</definedName>
    <definedName function="false" hidden="false" name="a25_dci" vbProcedure="false">Q!$B$7</definedName>
    <definedName function="false" hidden="false" name="a25_dcp_in" vbProcedure="false">In!$E$97</definedName>
    <definedName function="false" hidden="false" name="a25_eps" vbProcedure="false">Q!$B$19</definedName>
    <definedName function="false" hidden="false" name="a25_eps_in" vbProcedure="false">In!$E$111</definedName>
    <definedName function="false" hidden="false" name="a25_gp" vbProcedure="false">Q!$B$11</definedName>
    <definedName function="false" hidden="false" name="a25_gp_in" vbProcedure="false">In!$E$103</definedName>
    <definedName function="false" hidden="false" name="a25_hpc" vbProcedure="false">Q!$B$8</definedName>
    <definedName function="false" hidden="false" name="a25_ni" vbProcedure="false">Q!$B$17</definedName>
    <definedName function="false" hidden="false" name="a25_ni_in" vbProcedure="false">In!$E$109</definedName>
    <definedName function="false" hidden="false" name="a25_op" vbProcedure="false">Q!$B$14</definedName>
    <definedName function="false" hidden="false" name="a25_opx" vbProcedure="false">Q!$B$13</definedName>
    <definedName function="false" hidden="false" name="a25_op_in" vbProcedure="false">In!$E$105</definedName>
    <definedName function="false" hidden="false" name="a25_oth" vbProcedure="false">Q!$B$15</definedName>
    <definedName function="false" hidden="false" name="a25_rev" vbProcedure="false">Q!$B$4</definedName>
    <definedName function="false" hidden="false" name="a25_rev_in" vbProcedure="false">In!$E$95</definedName>
    <definedName function="false" hidden="false" name="a25_sh" vbProcedure="false">Q!$B$18</definedName>
    <definedName function="false" hidden="false" name="a25_sh_in" vbProcedure="false">In!$E$113</definedName>
    <definedName function="false" hidden="false" name="a25_tax_in" vbProcedure="false">In!$E$107</definedName>
    <definedName function="false" hidden="false" name="a25_tr" vbProcedure="false">Q!$B$6</definedName>
    <definedName function="false" hidden="false" name="a26_aio" vbProcedure="false">Q!$C$10</definedName>
    <definedName function="false" hidden="false" name="a26_aiop_in" vbProcedure="false">In!$E$102</definedName>
    <definedName function="false" hidden="false" name="a26_ci" vbProcedure="false">Q!$C$9</definedName>
    <definedName function="false" hidden="false" name="a26_cip_in" vbProcedure="false">In!$E$100</definedName>
    <definedName function="false" hidden="false" name="a26_dc" vbProcedure="false">Q!$C$5</definedName>
    <definedName function="false" hidden="false" name="a26_dci" vbProcedure="false">Q!$C$7</definedName>
    <definedName function="false" hidden="false" name="a26_dcp_in" vbProcedure="false">In!$E$98</definedName>
    <definedName function="false" hidden="false" name="a26_eps" vbProcedure="false">Q!$C$19</definedName>
    <definedName function="false" hidden="false" name="a26_eps_in" vbProcedure="false">In!$E$112</definedName>
    <definedName function="false" hidden="false" name="a26_gp" vbProcedure="false">Q!$C$11</definedName>
    <definedName function="false" hidden="false" name="a26_gp_in" vbProcedure="false">In!$E$104</definedName>
    <definedName function="false" hidden="false" name="a26_hpc" vbProcedure="false">Q!$C$8</definedName>
    <definedName function="false" hidden="false" name="a26_ni" vbProcedure="false">Q!$C$17</definedName>
    <definedName function="false" hidden="false" name="a26_ni_in" vbProcedure="false">In!$E$110</definedName>
    <definedName function="false" hidden="false" name="a26_op" vbProcedure="false">Q!$C$14</definedName>
    <definedName function="false" hidden="false" name="a26_opx" vbProcedure="false">Q!$C$13</definedName>
    <definedName function="false" hidden="false" name="a26_op_in" vbProcedure="false">In!$E$106</definedName>
    <definedName function="false" hidden="false" name="a26_oth" vbProcedure="false">Q!$C$15</definedName>
    <definedName function="false" hidden="false" name="a26_rev" vbProcedure="false">Q!$C$4</definedName>
    <definedName function="false" hidden="false" name="a26_rev_in" vbProcedure="false">In!$E$96</definedName>
    <definedName function="false" hidden="false" name="a26_sh" vbProcedure="false">Q!$C$18</definedName>
    <definedName function="false" hidden="false" name="a26_sh_in" vbProcedure="false">In!$E$114</definedName>
    <definedName function="false" hidden="false" name="a26_tax_in" vbProcedure="false">In!$E$108</definedName>
    <definedName function="false" hidden="false" name="a26_tr" vbProcedure="false">Q!$C$6</definedName>
    <definedName function="false" hidden="false" name="cap_b10" vbProcedure="false">In!$E$122</definedName>
    <definedName function="false" hidden="false" name="cap_b10_hi" vbProcedure="false">In!$F$122</definedName>
    <definedName function="false" hidden="false" name="cap_b10_lo" vbProcedure="false">In!$D$122</definedName>
    <definedName function="false" hidden="false" name="cap_tot" vbProcedure="false">In!$E$123</definedName>
    <definedName function="false" hidden="false" name="cap_tot_hi" vbProcedure="false">In!$F$123</definedName>
    <definedName function="false" hidden="false" name="cap_tot_lo" vbProcedure="false">In!$D$123</definedName>
    <definedName function="false" hidden="false" name="cons_eps27" vbProcedure="false">In!$E$118</definedName>
    <definedName function="false" hidden="false" name="cons_eps27b" vbProcedure="false">In!$E$119</definedName>
    <definedName function="false" hidden="false" name="cons_eps28" vbProcedure="false">In!$E$120</definedName>
    <definedName function="false" hidden="false" name="cons_eps28b" vbProcedure="false">In!$E$121</definedName>
    <definedName function="false" hidden="false" name="cons_feps" vbProcedure="false">In!$E$146</definedName>
    <definedName function="false" hidden="false" name="cons_rev27" vbProcedure="false">In!$E$116</definedName>
    <definedName function="false" hidden="false" name="cons_rev28" vbProcedure="false">In!$E$117</definedName>
    <definedName function="false" hidden="false" name="cons_tp" vbProcedure="false">In!$E$145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i_q1" vbProcedure="false">In!$E$47</definedName>
    <definedName function="false" hidden="false" name="dci_q1_25" vbProcedure="false">In!$E$58</definedName>
    <definedName function="false" hidden="false" name="dci_q1_25_hi" vbProcedure="false">In!$F$58</definedName>
    <definedName function="false" hidden="false" name="dci_q1_25_lo" vbProcedure="false">In!$D$58</definedName>
    <definedName function="false" hidden="false" name="dci_q2" vbProcedure="false">In!$E$48</definedName>
    <definedName function="false" hidden="false" name="dci_q3" vbProcedure="false">In!$E$49</definedName>
    <definedName function="false" hidden="false" name="dci_q4" vbProcedure="false">In!$E$50</definedName>
    <definedName function="false" hidden="false" name="dci_q4_25" vbProcedure="false">In!$E$57</definedName>
    <definedName function="false" hidden="false" name="dci_y2" vbProcedure="false">In!$E$55</definedName>
    <definedName function="false" hidden="false" name="dci_y3" vbProcedure="false">In!$E$56</definedName>
    <definedName function="false" hidden="false" name="fade_gA" vbProcedure="false">In!$E$139</definedName>
    <definedName function="false" hidden="false" name="fade_gB" vbProcedure="false">In!$E$140</definedName>
    <definedName function="false" hidden="false" name="fade_gC" vbProcedure="false">In!$E$141</definedName>
    <definedName function="false" hidden="false" name="fade_mA" vbProcedure="false">In!$E$142</definedName>
    <definedName function="false" hidden="false" name="fade_mB" vbProcedure="false">In!$E$143</definedName>
    <definedName function="false" hidden="false" name="fade_mC" vbProcedure="false">In!$E$144</definedName>
    <definedName function="false" hidden="false" name="GDLO_28" vbProcedure="false">In!$D$71</definedName>
    <definedName function="false" hidden="false" name="GDLO_29" vbProcedure="false">In!$D$72</definedName>
    <definedName function="false" hidden="false" name="GHLO_28" vbProcedure="false">In!$D$74</definedName>
    <definedName function="false" hidden="false" name="GHLO_29" vbProcedure="false">In!$D$75</definedName>
    <definedName function="false" hidden="false" name="GMHI_27" vbProcedure="false">In!$F$83</definedName>
    <definedName function="false" hidden="false" name="GMHI_28" vbProcedure="false">In!$F$84</definedName>
    <definedName function="false" hidden="false" name="GMHI_29" vbProcedure="false">In!$F$85</definedName>
    <definedName function="false" hidden="false" name="GMLO_27" vbProcedure="false">In!$D$83</definedName>
    <definedName function="false" hidden="false" name="GMLO_28" vbProcedure="false">In!$D$84</definedName>
    <definedName function="false" hidden="false" name="GMLO_29" vbProcedure="false">In!$D$85</definedName>
    <definedName function="false" hidden="false" name="gm_27" vbProcedure="false">In!$E$83</definedName>
    <definedName function="false" hidden="false" name="gm_27_hi" vbProcedure="false">In!$F$83</definedName>
    <definedName function="false" hidden="false" name="gm_27_lo" vbProcedure="false">In!$D$83</definedName>
    <definedName function="false" hidden="false" name="gm_28" vbProcedure="false">In!$E$84</definedName>
    <definedName function="false" hidden="false" name="gm_28_hi" vbProcedure="false">In!$F$84</definedName>
    <definedName function="false" hidden="false" name="gm_28_lo" vbProcedure="false">In!$D$84</definedName>
    <definedName function="false" hidden="false" name="gm_29" vbProcedure="false">In!$E$85</definedName>
    <definedName function="false" hidden="false" name="gm_29_hi" vbProcedure="false">In!$F$85</definedName>
    <definedName function="false" hidden="false" name="gm_29_lo" vbProcedure="false">In!$D$85</definedName>
    <definedName function="false" hidden="false" name="g_aio_28" vbProcedure="false">In!$E$80</definedName>
    <definedName function="false" hidden="false" name="g_aio_28_hi" vbProcedure="false">In!$F$80</definedName>
    <definedName function="false" hidden="false" name="g_aio_28_lo" vbProcedure="false">In!$D$80</definedName>
    <definedName function="false" hidden="false" name="g_aio_29" vbProcedure="false">In!$E$81</definedName>
    <definedName function="false" hidden="false" name="g_aio_29_hi" vbProcedure="false">In!$F$81</definedName>
    <definedName function="false" hidden="false" name="g_aio_29_lo" vbProcedure="false">In!$D$81</definedName>
    <definedName function="false" hidden="false" name="g_ci_28" vbProcedure="false">In!$E$77</definedName>
    <definedName function="false" hidden="false" name="g_ci_28_hi" vbProcedure="false">In!$F$77</definedName>
    <definedName function="false" hidden="false" name="g_ci_28_lo" vbProcedure="false">In!$D$77</definedName>
    <definedName function="false" hidden="false" name="g_ci_29" vbProcedure="false">In!$E$78</definedName>
    <definedName function="false" hidden="false" name="g_ci_29_hi" vbProcedure="false">In!$F$78</definedName>
    <definedName function="false" hidden="false" name="g_ci_29_lo" vbProcedure="false">In!$D$78</definedName>
    <definedName function="false" hidden="false" name="g_dci_28" vbProcedure="false">In!$E$71</definedName>
    <definedName function="false" hidden="false" name="g_dci_28_hi" vbProcedure="false">In!$F$71</definedName>
    <definedName function="false" hidden="false" name="g_dci_28_lo" vbProcedure="false">In!$D$71</definedName>
    <definedName function="false" hidden="false" name="g_dci_29" vbProcedure="false">In!$E$72</definedName>
    <definedName function="false" hidden="false" name="g_dci_29_hi" vbProcedure="false">In!$F$72</definedName>
    <definedName function="false" hidden="false" name="g_dci_29_lo" vbProcedure="false">In!$D$72</definedName>
    <definedName function="false" hidden="false" name="g_hpc_28" vbProcedure="false">In!$E$74</definedName>
    <definedName function="false" hidden="false" name="g_hpc_28_hi" vbProcedure="false">In!$F$74</definedName>
    <definedName function="false" hidden="false" name="g_hpc_28_lo" vbProcedure="false">In!$D$74</definedName>
    <definedName function="false" hidden="false" name="g_hpc_29" vbProcedure="false">In!$E$75</definedName>
    <definedName function="false" hidden="false" name="g_hpc_29_hi" vbProcedure="false">In!$F$75</definedName>
    <definedName function="false" hidden="false" name="g_hpc_29_lo" vbProcedure="false">In!$D$75</definedName>
    <definedName function="false" hidden="false" name="h1aio" vbProcedure="false">Q!$B$34</definedName>
    <definedName function="false" hidden="false" name="h1ci" vbProcedure="false">Q!$B$33</definedName>
    <definedName function="false" hidden="false" name="h1dci" vbProcedure="false">Q!$B$31</definedName>
    <definedName function="false" hidden="false" name="h1hpc" vbProcedure="false">Q!$B$32</definedName>
    <definedName function="false" hidden="false" name="h1_27" vbProcedure="false">Q!$B$26</definedName>
    <definedName function="false" hidden="false" name="h2_aio" vbProcedure="false">In!$E$79</definedName>
    <definedName function="false" hidden="false" name="h2_aio_hi" vbProcedure="false">In!$F$79</definedName>
    <definedName function="false" hidden="false" name="h2_aio_lo" vbProcedure="false">In!$D$79</definedName>
    <definedName function="false" hidden="false" name="h2_ci" vbProcedure="false">In!$E$76</definedName>
    <definedName function="false" hidden="false" name="h2_ci_hi" vbProcedure="false">In!$F$76</definedName>
    <definedName function="false" hidden="false" name="h2_ci_lo" vbProcedure="false">In!$D$76</definedName>
    <definedName function="false" hidden="false" name="h2_dci" vbProcedure="false">In!$E$70</definedName>
    <definedName function="false" hidden="false" name="h2_dci_hi" vbProcedure="false">In!$F$70</definedName>
    <definedName function="false" hidden="false" name="h2_dci_lo" vbProcedure="false">In!$D$70</definedName>
    <definedName function="false" hidden="false" name="h2_hpc" vbProcedure="false">In!$E$73</definedName>
    <definedName function="false" hidden="false" name="h2_hpc_hi" vbProcedure="false">In!$F$73</definedName>
    <definedName function="false" hidden="false" name="h2_hpc_lo" vbProcedure="false">In!$D$73</definedName>
    <definedName function="false" hidden="false" name="hpc_q1" vbProcedure="false">In!$E$51</definedName>
    <definedName function="false" hidden="false" name="hpc_q2" vbProcedure="false">In!$E$52</definedName>
    <definedName function="false" hidden="false" name="hpc_q3" vbProcedure="false">In!$E$53</definedName>
    <definedName function="false" hidden="false" name="hpc_q4" vbProcedure="false">In!$E$54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In!$E$88</definedName>
    <definedName function="false" hidden="false" name="int_f_hi" vbProcedure="false">In!$F$88</definedName>
    <definedName function="false" hidden="false" name="int_f_lo" vbProcedure="false">In!$D$88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mcpB_26" vbProcedure="false">In!$E$157</definedName>
    <definedName function="false" hidden="false" name="mcpB_27" vbProcedure="false">In!$E$158</definedName>
    <definedName function="false" hidden="false" name="mcpB_28" vbProcedure="false">In!$E$159</definedName>
    <definedName function="false" hidden="false" name="mcpB_29" vbProcedure="false">In!$E$160</definedName>
    <definedName function="false" hidden="false" name="mcpC_26" vbProcedure="false">In!$E$161</definedName>
    <definedName function="false" hidden="false" name="mcpC_27" vbProcedure="false">In!$E$162</definedName>
    <definedName function="false" hidden="false" name="mcpC_28" vbProcedure="false">In!$E$163</definedName>
    <definedName function="false" hidden="false" name="mcpC_29" vbProcedure="false">In!$E$164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B_26" vbProcedure="false">In!$E$149</definedName>
    <definedName function="false" hidden="false" name="mplB_27" vbProcedure="false">In!$E$150</definedName>
    <definedName function="false" hidden="false" name="mplB_28" vbProcedure="false">In!$E$151</definedName>
    <definedName function="false" hidden="false" name="mplB_29" vbProcedure="false">In!$E$152</definedName>
    <definedName function="false" hidden="false" name="mplC_26" vbProcedure="false">In!$E$153</definedName>
    <definedName function="false" hidden="false" name="mplC_27" vbProcedure="false">In!$E$154</definedName>
    <definedName function="false" hidden="false" name="mplC_28" vbProcedure="false">In!$E$155</definedName>
    <definedName function="false" hidden="false" name="mplC_29" vbProcedure="false">In!$E$156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im10" vbProcedure="false">In!$E$138</definedName>
    <definedName function="false" hidden="false" name="nv26" vbProcedure="false">In!$E$59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2" vbProcedure="false">In!$E$90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In!$E$125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In!$E$126</definedName>
    <definedName function="false" hidden="false" name="q1_eps" vbProcedure="false">In!$E$62</definedName>
    <definedName function="false" hidden="false" name="q1_eps_hi" vbProcedure="false">In!$F$62</definedName>
    <definedName function="false" hidden="false" name="q1_eps_lo" vbProcedure="false">In!$D$62</definedName>
    <definedName function="false" hidden="false" name="q1_gm" vbProcedure="false">In!$E$63</definedName>
    <definedName function="false" hidden="false" name="q1_gm_hi" vbProcedure="false">In!$F$63</definedName>
    <definedName function="false" hidden="false" name="q1_gm_lo" vbProcedure="false">In!$D$63</definedName>
    <definedName function="false" hidden="false" name="q1_opx" vbProcedure="false">In!$E$64</definedName>
    <definedName function="false" hidden="false" name="q1_opx_hi" vbProcedure="false">In!$F$64</definedName>
    <definedName function="false" hidden="false" name="q1_opx_lo" vbProcedure="false">In!$D$64</definedName>
    <definedName function="false" hidden="false" name="q1_rev" vbProcedure="false">In!$E$61</definedName>
    <definedName function="false" hidden="false" name="q1_rev_hi" vbProcedure="false">In!$F$61</definedName>
    <definedName function="false" hidden="false" name="q1_rev_lo" vbProcedure="false">In!$D$61</definedName>
    <definedName function="false" hidden="false" name="q2_tg" vbProcedure="false">In!$E$38</definedName>
    <definedName function="false" hidden="false" name="q2_tg_hi" vbProcedure="false">In!$F$38</definedName>
    <definedName function="false" hidden="false" name="q2_tg_lo" vbProcedure="false">In!$D$38</definedName>
    <definedName function="false" hidden="false" name="q3_dc" vbProcedure="false">In!$E$42</definedName>
    <definedName function="false" hidden="false" name="q3_rev" vbProcedure="false">In!$E$40</definedName>
    <definedName function="false" hidden="false" name="q4_aio" vbProcedure="false">In!$E$45</definedName>
    <definedName function="false" hidden="false" name="q4_ci" vbProcedure="false">In!$E$44</definedName>
    <definedName function="false" hidden="false" name="q4_cig" vbProcedure="false">In!$E$46</definedName>
    <definedName function="false" hidden="false" name="q4_dc" vbProcedure="false">In!$E$43</definedName>
    <definedName function="false" hidden="false" name="q4_rev" vbProcedure="false">In!$E$41</definedName>
    <definedName function="false" hidden="false" name="q_aig" vbProcedure="false">In!$E$68</definedName>
    <definedName function="false" hidden="false" name="q_aig_hi" vbProcedure="false">In!$F$68</definedName>
    <definedName function="false" hidden="false" name="q_aig_lo" vbProcedure="false">In!$D$68</definedName>
    <definedName function="false" hidden="false" name="q_cig" vbProcedure="false">In!$E$67</definedName>
    <definedName function="false" hidden="false" name="q_cig_hi" vbProcedure="false">In!$F$67</definedName>
    <definedName function="false" hidden="false" name="q_cig_lo" vbProcedure="false">In!$D$67</definedName>
    <definedName function="false" hidden="false" name="q_dcig" vbProcedure="false">In!$E$65</definedName>
    <definedName function="false" hidden="false" name="q_dcig_hi" vbProcedure="false">In!$F$65</definedName>
    <definedName function="false" hidden="false" name="q_dcig_lo" vbProcedure="false">In!$D$65</definedName>
    <definedName function="false" hidden="false" name="q_hpg" vbProcedure="false">In!$E$66</definedName>
    <definedName function="false" hidden="false" name="q_hpg_hi" vbProcedure="false">In!$F$66</definedName>
    <definedName function="false" hidden="false" name="q_hpg_lo" vbProcedure="false">In!$D$66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oe_24" vbProcedure="false">In!$E$131</definedName>
    <definedName function="false" hidden="false" name="roe_25" vbProcedure="false">In!$E$132</definedName>
    <definedName function="false" hidden="false" name="roe_26" vbProcedure="false">In!$E$133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In!$E$91</definedName>
    <definedName function="false" hidden="false" name="tp_g" vbProcedure="false">In!$E$135</definedName>
    <definedName function="false" hidden="false" name="tp_r" vbProcedure="false">In!$E$134</definedName>
    <definedName function="false" hidden="false" name="tp_roe" vbProcedure="false">In!$E$136</definedName>
    <definedName function="false" hidden="false" name="tp_wA" vbProcedure="false">In!$E$127</definedName>
    <definedName function="false" hidden="false" name="tp_wB" vbProcedure="false">In!$E$128</definedName>
    <definedName function="false" hidden="false" name="tp_wC" vbProcedure="false">In!$E$129</definedName>
    <definedName function="false" hidden="false" name="tp_w_dcf" vbProcedure="false">In!$E$137</definedName>
    <definedName function="false" hidden="false" name="tr_cy26" vbProcedure="false">Q!$B$25</definedName>
    <definedName function="false" hidden="false" name="tx" vbProcedure="false">In!$E$89</definedName>
    <definedName function="false" hidden="false" name="tx_hi" vbProcedure="false">In!$F$89</definedName>
    <definedName function="false" hidden="false" name="tx_lo" vbProcedure="false">In!$D$89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<sst xmlns="http://schemas.openxmlformats.org/spreadsheetml/2006/main" count="2995" uniqueCount="988">
  <si>
    <r>
      <rPr>
        <b val="true"/>
        <sz val="11"/>
        <rFont val="Cambria"/>
        <family val="0"/>
        <charset val="1"/>
      </rPr>
      <t xml:space="preserve">Fabrinet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：網通次產業內複製——光模組與光元件代工，樣板 </t>
    </r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</si>
  <si>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的光模組有效份額口徑與中際旭創、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模型一致（光模組營收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頁檢查與中際旭創相加低於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</si>
  <si>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光模組有效份額（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等客戶代工）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份額＋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（乘同字母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情境係數）；通訊基礎設施、車用工業另依成長率推。股價自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749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315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），只約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光模組份額流失（占營收 </t>
    </r>
    <r>
      <rPr>
        <sz val="11"/>
        <rFont val="Cambria"/>
        <family val="0"/>
        <charset val="1"/>
      </rPr>
      <t xml:space="preserve">27.6% → 16.3%</t>
    </r>
    <r>
      <rPr>
        <sz val="11"/>
        <rFont val="Noto Sans CJK SC"/>
        <family val="2"/>
      </rPr>
      <t xml:space="preserve">）後，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與新客戶能否接上成長。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</si>
  <si>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份額下滑而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高成長——市場隱含的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要多低，光模組份額、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市場、毛利率三條路徑各要不利到什麼程度？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</si>
  <si>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月最後一個星期五結束）；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2026-06-26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指引推導＋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補充稅、非上市股權重估等）。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</si>
  <si>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</si>
  <si>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光模組與其他：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 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上半年推導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起年增，乘同字母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情境係數。</t>
    </r>
  </si>
  <si>
    <r>
      <rPr>
        <sz val="11"/>
        <rFont val="Noto Sans CJK SC"/>
        <family val="2"/>
      </rPr>
      <t xml:space="preserve">通訊基礎設施（電信系統、衛星通訊、電信元件）、車用工業與其他（</t>
    </r>
    <r>
      <rPr>
        <sz val="11"/>
        <rFont val="Cambria"/>
        <family val="0"/>
        <charset val="1"/>
      </rPr>
      <t xml:space="preserve">EV </t>
    </r>
    <r>
      <rPr>
        <sz val="11"/>
        <rFont val="Noto Sans CJK SC"/>
        <family val="2"/>
      </rPr>
      <t xml:space="preserve">充電、</t>
    </r>
    <r>
      <rPr>
        <sz val="11"/>
        <rFont val="Cambria"/>
        <family val="0"/>
        <charset val="1"/>
      </rPr>
      <t xml:space="preserve">LiDAR</t>
    </r>
    <r>
      <rPr>
        <sz val="11"/>
        <rFont val="Noto Sans CJK SC"/>
        <family val="2"/>
      </rPr>
      <t xml:space="preserve">、工業雷射）：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；各情境相同）。毛利率：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起輸入路徑（情境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（不含 </t>
    </r>
    <r>
      <rPr>
        <sz val="11"/>
        <rFont val="Cambria"/>
        <family val="0"/>
        <charset val="1"/>
      </rPr>
      <t xml:space="preserve">Pillar Two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</si>
  <si>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由法說會金額推導（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</si>
  <si>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；情境價值下限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（市場主流同業前瞻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</si>
  <si>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</si>
  <si>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光模組份額相對值、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金額為法說會轉述與推導，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季報（預估 </t>
    </r>
    <r>
      <rPr>
        <sz val="11"/>
        <rFont val="Cambria"/>
        <family val="0"/>
        <charset val="1"/>
      </rPr>
      <t xml:space="preserve">2026-11-02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代工營收含料件轉嫁，有效份額與模組廠出貨份額口徑不同；</t>
    </r>
    <r>
      <rPr>
        <sz val="11"/>
        <rFont val="Cambria"/>
        <family val="0"/>
        <charset val="1"/>
      </rPr>
      <t xml:space="preserve">(4) non-GAAP </t>
    </r>
    <r>
      <rPr>
        <sz val="11"/>
        <rFont val="Noto Sans CJK SC"/>
        <family val="2"/>
      </rPr>
      <t xml:space="preserve">排除 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補充稅（約每股 </t>
    </r>
    <r>
      <rPr>
        <sz val="11"/>
        <rFont val="Cambria"/>
        <family val="0"/>
        <charset val="1"/>
      </rPr>
      <t xml:space="preserve">1.6 </t>
    </r>
    <r>
      <rPr>
        <sz val="11"/>
        <rFont val="Noto Sans CJK SC"/>
        <family val="2"/>
      </rPr>
      <t xml:space="preserve">美元／年），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Building 10 </t>
    </r>
    <r>
      <rPr>
        <sz val="11"/>
        <rFont val="Noto Sans CJK SC"/>
        <family val="2"/>
      </rPr>
      <t xml:space="preserve">等資本支出使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自由現金流近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再投資率近似，未建資本支出；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</si>
  <si>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12.7–12.8%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12.3%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11.3–11.8%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</si>
  <si>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</si>
  <si>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396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314.94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18.5%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+25.9%</t>
    </r>
    <r>
      <rPr>
        <sz val="11"/>
        <color theme="1"/>
        <rFont val="Noto Sans CJK SC"/>
        <family val="2"/>
      </rPr>
      <t xml:space="preserve">。本模型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23.81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21.27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，但同業（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16.7 </t>
    </r>
    <r>
      <rPr>
        <sz val="11"/>
        <color theme="1"/>
        <rFont val="Noto Sans CJK SC"/>
        <family val="2"/>
      </rPr>
      <t xml:space="preserve">倍，遠低於共識目標價 </t>
    </r>
    <r>
      <rPr>
        <sz val="11"/>
        <color theme="1"/>
        <rFont val="Calibri"/>
        <family val="2"/>
        <charset val="1"/>
      </rPr>
      <t xml:space="preserve">687.78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32.3 </t>
    </r>
    <r>
      <rPr>
        <sz val="11"/>
        <color theme="1"/>
        <rFont val="Noto Sans CJK SC"/>
        <family val="2"/>
      </rPr>
      <t xml:space="preserve">倍（高 </t>
    </r>
    <r>
      <rPr>
        <sz val="11"/>
        <color theme="1"/>
        <rFont val="Calibri"/>
        <family val="2"/>
        <charset val="1"/>
      </rPr>
      <t xml:space="preserve">94.2%</t>
    </r>
    <r>
      <rPr>
        <sz val="11"/>
        <color theme="1"/>
        <rFont val="Noto Sans CJK SC"/>
        <family val="2"/>
      </rPr>
      <t xml:space="preserve">）；共識目標價比現價高 </t>
    </r>
    <r>
      <rPr>
        <sz val="11"/>
        <color theme="1"/>
        <rFont val="Calibri"/>
        <family val="2"/>
        <charset val="1"/>
      </rPr>
      <t xml:space="preserve">118.4%</t>
    </r>
    <r>
      <rPr>
        <sz val="11"/>
        <color theme="1"/>
        <rFont val="Noto Sans CJK SC"/>
        <family val="2"/>
      </rPr>
      <t xml:space="preserve">，與本模型的差距幾乎全在倍數。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</si>
  <si>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（含網通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情境、份額、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20.7%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164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564</t>
    </r>
    <r>
      <rPr>
        <sz val="11"/>
        <color theme="1"/>
        <rFont val="Noto Sans CJK SC"/>
        <family val="2"/>
      </rPr>
      <t xml:space="preserve">；單一變數中計入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、光模組份額流失 −</t>
    </r>
    <r>
      <rPr>
        <sz val="11"/>
        <color theme="1"/>
        <rFont val="Calibri"/>
        <family val="2"/>
        <charset val="1"/>
      </rPr>
      <t xml:space="preserve">7.7%</t>
    </r>
    <r>
      <rPr>
        <sz val="11"/>
        <color theme="1"/>
        <rFont val="Noto Sans CJK SC"/>
        <family val="2"/>
      </rPr>
      <t xml:space="preserve">、毛利率低（新廠爬坡）−</t>
    </r>
    <r>
      <rPr>
        <sz val="11"/>
        <color theme="1"/>
        <rFont val="Calibri"/>
        <family val="2"/>
        <charset val="1"/>
      </rPr>
      <t xml:space="preserve">6.9%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</si>
  <si>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）：資料中心內光模組、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金額為推導值，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光模組營收未揭露。網通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同時代工可插拔與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份額高值），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快淨為加分——情境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26.89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27.81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17.44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17.48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份額低／高時 </t>
    </r>
    <r>
      <rPr>
        <sz val="11"/>
        <color theme="1"/>
        <rFont val="Calibri"/>
        <family val="2"/>
        <charset val="1"/>
      </rPr>
      <t xml:space="preserve">FY2028 EPS −2.0%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</si>
  <si>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</si>
  <si>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</si>
  <si>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取公司特有變數的高值、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拆分以法說會揭露金額推導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</si>
  <si>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</si>
  <si>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</si>
  <si>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</si>
  <si>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</si>
  <si>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</si>
  <si>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</si>
  <si>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</si>
  <si>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</si>
  <si>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</si>
  <si>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</si>
  <si>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</si>
  <si>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</si>
  <si>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</si>
  <si>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</si>
  <si>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</si>
  <si>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</si>
  <si>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</si>
  <si>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</si>
  <si>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</si>
  <si>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</si>
  <si>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</si>
  <si>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</si>
  <si>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</si>
  <si>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</si>
  <si>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</si>
  <si>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</si>
  <si>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列（網通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滲透分三情境，替代速度為行業變數，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頁末，各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同字母顆數係數，不自訂）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</si>
  <si>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</si>
  <si>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</si>
  <si>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</si>
  <si>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</si>
  <si>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</si>
  <si>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</si>
  <si>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</si>
  <si>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</si>
  <si>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</si>
  <si>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</si>
  <si>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</si>
  <si>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</si>
  <si>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</si>
  <si>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</si>
  <si>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</si>
  <si>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</si>
  <si>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</si>
  <si>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</si>
  <si>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</si>
  <si>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innolight/dist/20261026_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</si>
  <si>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</si>
  <si>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</si>
  <si>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</si>
  <si>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</si>
  <si>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</si>
  <si>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</si>
  <si>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</si>
  <si>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</si>
  <si>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</si>
  <si>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</si>
  <si>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</si>
  <si>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</si>
  <si>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</si>
  <si>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</si>
  <si>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</si>
  <si>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</si>
  <si>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</si>
  <si>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</si>
  <si>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</si>
  <si>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</si>
  <si>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</si>
  <si>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</si>
  <si>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</si>
  <si>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</si>
  <si>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</si>
  <si>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</si>
  <si>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</si>
  <si>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</si>
  <si>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Fabrinet </t>
    </r>
    <r>
      <rPr>
        <b val="true"/>
        <sz val="11"/>
        <rFont val="Noto Sans CJK SC"/>
        <family val="2"/>
      </rPr>
      <t xml:space="preserve">光模組份額與單價（光模組有效份額＝資料中心光模組與其他營收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可插拔市場；代工營收含客供以外的料件；低＝情境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</si>
  <si>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</si>
  <si>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</si>
  <si>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：數個新光模組專案最快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起量，一個商用（</t>
    </r>
    <r>
      <rPr>
        <sz val="11"/>
        <color theme="1"/>
        <rFont val="Calibri"/>
        <family val="2"/>
        <charset val="1"/>
      </rPr>
      <t xml:space="preserve">merchant</t>
    </r>
    <r>
      <rPr>
        <sz val="11"/>
        <color theme="1"/>
        <rFont val="Noto Sans CJK SC"/>
        <family val="2"/>
      </rPr>
      <t xml:space="preserve">）專案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月季開始、其他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初（公司，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</si>
  <si>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FY2025 27.6% → FY2026 16.3%</t>
    </r>
    <r>
      <rPr>
        <sz val="11"/>
        <color theme="1"/>
        <rFont val="Noto Sans CJK SC"/>
        <family val="2"/>
      </rPr>
      <t xml:space="preserve">（客戶自建與多供應商分散；高值＝新客戶專案、低值＝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</si>
  <si>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rel_28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</si>
  <si>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</si>
  <si>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萬平方呎）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年初完工，產能由約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億美元增至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</si>
  <si>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</si>
  <si>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</si>
  <si>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</si>
  <si>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</si>
  <si>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</si>
  <si>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</si>
  <si>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</si>
  <si>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</si>
  <si>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</si>
  <si>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</si>
  <si>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</si>
  <si>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</si>
  <si>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</si>
  <si>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</si>
  <si>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</si>
  <si>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代工價格為成本加成；料件降價直接降營收（公司未揭露價格）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</si>
  <si>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</si>
  <si>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</si>
  <si>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同上（與中際旭創、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模型相同）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</si>
  <si>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</si>
  <si>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</si>
  <si>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</si>
  <si>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日曆年上半年占全年比重（光模組；會計年度換算用）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</si>
  <si>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</si>
  <si>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</si>
  <si>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q2_tg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</si>
  <si>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季）光模組季增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</si>
  <si>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：商用光模組專案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</si>
  <si>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：資料中心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預期光模組、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全面成長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</si>
  <si>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實績與新營收類別（公司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起改報資料中心、通訊基礎設施、車用工業與其他三類）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</si>
  <si>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</si>
  <si>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</si>
  <si>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</si>
  <si>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https://www.sec.gov/Archives/edgar/data/0001408710/000140871026000014/fn-2026504xex991q326.htm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1,214.3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</si>
  <si>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12.14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39.3%</t>
    </r>
    <r>
      <rPr>
        <sz val="11"/>
        <color theme="1"/>
        <rFont val="Noto Sans CJK SC"/>
        <family val="2"/>
      </rPr>
      <t xml:space="preserve">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</si>
  <si>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</si>
  <si>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</si>
  <si>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1,315,788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</si>
  <si>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13.16 </t>
    </r>
    <r>
      <rPr>
        <sz val="11"/>
        <color theme="1"/>
        <rFont val="Noto Sans CJK SC"/>
        <family val="2"/>
      </rPr>
      <t xml:space="preserve">億美元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</si>
  <si>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</si>
  <si>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資料中心營收（新分類）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</si>
  <si>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</si>
  <si>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5.920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的基期；公司簡報經媒體轉述）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</si>
  <si>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669 ÷ 1.13 ≈ 592</t>
    </r>
    <r>
      <rPr>
        <sz val="11"/>
        <color theme="1"/>
        <rFont val="Noto Sans CJK SC"/>
        <family val="2"/>
      </rPr>
      <t xml:space="preserve">）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</si>
  <si>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</si>
  <si>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</si>
  <si>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6.693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、占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</si>
  <si>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 </t>
    </r>
    <r>
      <rPr>
        <sz val="11"/>
        <color theme="1"/>
        <rFont val="Noto Sans CJK SC"/>
        <family val="2"/>
      </rPr>
      <t xml:space="preserve">億美元</t>
    </r>
  </si>
  <si>
    <t xml:space="preserve">q4_ci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</si>
  <si>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</si>
  <si>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4.129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</si>
  <si>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4.13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1%</t>
    </r>
  </si>
  <si>
    <t xml:space="preserve">q4_aio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</si>
  <si>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車用、工業與其他營收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</si>
  <si>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2.336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</si>
  <si>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2.34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）</t>
    </r>
  </si>
  <si>
    <t xml:space="preserve">q4_cig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</si>
  <si>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</si>
  <si>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</si>
  <si>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：同值</t>
    </r>
  </si>
  <si>
    <t xml:space="preserve">dci_q1</t>
  </si>
  <si>
    <r>
      <rPr>
        <sz val="11"/>
        <color theme="1"/>
        <rFont val="Calibri"/>
        <family val="2"/>
        <charset val="1"/>
      </rPr>
      <t xml:space="preserve">FY2026 Q1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</si>
  <si>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1.381 </t>
    </r>
    <r>
      <rPr>
        <sz val="11"/>
        <color theme="1"/>
        <rFont val="Noto Sans CJK SC"/>
        <family val="2"/>
      </rPr>
      <t xml:space="preserve">億美元（法說會）</t>
    </r>
  </si>
  <si>
    <t xml:space="preserve">dci_q2</t>
  </si>
  <si>
    <r>
      <rPr>
        <sz val="11"/>
        <color theme="1"/>
        <rFont val="Calibri"/>
        <family val="2"/>
        <charset val="1"/>
      </rPr>
      <t xml:space="preserve">FY2026 Q2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</si>
  <si>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1.422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</si>
  <si>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</si>
  <si>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dci_q3</t>
  </si>
  <si>
    <r>
      <rPr>
        <sz val="11"/>
        <color theme="1"/>
        <rFont val="Calibri"/>
        <family val="2"/>
        <charset val="1"/>
      </rPr>
      <t xml:space="preserve">FY2026 Q3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</si>
  <si>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</si>
  <si>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</si>
  <si>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</t>
  </si>
  <si>
    <r>
      <rPr>
        <sz val="11"/>
        <color theme="1"/>
        <rFont val="Calibri"/>
        <family val="2"/>
        <charset val="1"/>
      </rPr>
      <t xml:space="preserve">FY2026 Q4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</si>
  <si>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2.559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</si>
  <si>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</t>
    </r>
  </si>
  <si>
    <t xml:space="preserve">hpc_q1</t>
  </si>
  <si>
    <r>
      <rPr>
        <sz val="11"/>
        <color theme="1"/>
        <rFont val="Calibri"/>
        <family val="2"/>
        <charset val="1"/>
      </rPr>
      <t xml:space="preserve">FY2026 Q1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</si>
  <si>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0.154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</si>
  <si>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</t>
    </r>
  </si>
  <si>
    <t xml:space="preserve">hpc_q2</t>
  </si>
  <si>
    <r>
      <rPr>
        <sz val="11"/>
        <color theme="1"/>
        <rFont val="Calibri"/>
        <family val="2"/>
        <charset val="1"/>
      </rPr>
      <t xml:space="preserve">FY2026 Q2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</si>
  <si>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逐字稿（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0.86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</si>
  <si>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</t>
  </si>
  <si>
    <t xml:space="preserve">hpc_q3</t>
  </si>
  <si>
    <r>
      <rPr>
        <sz val="11"/>
        <color theme="1"/>
        <rFont val="Calibri"/>
        <family val="2"/>
        <charset val="1"/>
      </rPr>
      <t xml:space="preserve">FY2026 Q3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</si>
  <si>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1.067 </t>
    </r>
    <r>
      <rPr>
        <sz val="11"/>
        <color theme="1"/>
        <rFont val="Noto Sans CJK SC"/>
        <family val="2"/>
      </rPr>
      <t xml:space="preserve">億美元</t>
    </r>
  </si>
  <si>
    <t xml:space="preserve">hpc_q4</t>
  </si>
  <si>
    <r>
      <rPr>
        <sz val="11"/>
        <color theme="1"/>
        <rFont val="Calibri"/>
        <family val="2"/>
        <charset val="1"/>
      </rPr>
      <t xml:space="preserve">FY2026 Q4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</si>
  <si>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1.18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</si>
  <si>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第二來源：未找到（法說會只說優於預期）</t>
  </si>
  <si>
    <t xml:space="preserve">dci_y2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</si>
  <si>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</si>
  <si>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</si>
  <si>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dci_y3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</si>
  <si>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</si>
  <si>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</si>
  <si>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dci_q4_25</t>
  </si>
  <si>
    <r>
      <rPr>
        <sz val="11"/>
        <color theme="1"/>
        <rFont val="Calibri"/>
        <family val="2"/>
        <charset val="1"/>
      </rPr>
      <t xml:space="preserve">FY2025 Q4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</si>
  <si>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1.07 </t>
    </r>
    <r>
      <rPr>
        <sz val="11"/>
        <color theme="1"/>
        <rFont val="Noto Sans CJK SC"/>
        <family val="2"/>
      </rPr>
      <t xml:space="preserve">億美元</t>
    </r>
  </si>
  <si>
    <t xml:space="preserve">dci_q1_25</t>
  </si>
  <si>
    <r>
      <rPr>
        <sz val="11"/>
        <color theme="1"/>
        <rFont val="Calibri"/>
        <family val="2"/>
        <charset val="1"/>
      </rPr>
      <t xml:space="preserve">FY2025 Q1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</si>
  <si>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未找到；假設與 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回推值（約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億）相近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</si>
  <si>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</t>
    </r>
  </si>
  <si>
    <t xml:space="preserve">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</si>
  <si>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</si>
  <si>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27.6%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</si>
  <si>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Cisco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11%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</si>
  <si>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</si>
  <si>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</si>
  <si>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</si>
  <si>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13.75–14.25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</si>
  <si>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：中點年增 </t>
    </r>
    <r>
      <rPr>
        <sz val="11"/>
        <color theme="1"/>
        <rFont val="Calibri"/>
        <family val="2"/>
        <charset val="1"/>
      </rPr>
      <t xml:space="preserve">43%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</si>
  <si>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</si>
  <si>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</si>
  <si>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</si>
  <si>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4.10–4.25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</si>
  <si>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GAAP 3.39–3.54</t>
    </r>
    <r>
      <rPr>
        <sz val="11"/>
        <color theme="1"/>
        <rFont val="Noto Sans CJK SC"/>
        <family val="2"/>
      </rPr>
      <t xml:space="preserve">；差額含 </t>
    </r>
    <r>
      <rPr>
        <sz val="11"/>
        <color theme="1"/>
        <rFont val="Calibri"/>
        <family val="2"/>
        <charset val="1"/>
      </rPr>
      <t xml:space="preserve">Pillar Two 0.40 </t>
    </r>
    <r>
      <rPr>
        <sz val="11"/>
        <color theme="1"/>
        <rFont val="Noto Sans CJK SC"/>
        <family val="2"/>
      </rPr>
      <t xml:space="preserve">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</si>
  <si>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</si>
  <si>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</si>
  <si>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Q4 12.2%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（公司不指引毛利率）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</si>
  <si>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季節性費用增加，短暫壓利潤率（公司）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</si>
  <si>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</si>
  <si>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</si>
  <si>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0.175 </t>
    </r>
    <r>
      <rPr>
        <sz val="11"/>
        <color theme="1"/>
        <rFont val="Noto Sans CJK SC"/>
        <family val="2"/>
      </rPr>
      <t xml:space="preserve">億美元（毛利 − 營業利益）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</si>
  <si>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調薪季節性上升（公司）</t>
    </r>
  </si>
  <si>
    <t xml:space="preserve">q_dcig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</si>
  <si>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</si>
  <si>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DCI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</si>
  <si>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最大成長來源</t>
    </r>
  </si>
  <si>
    <t xml:space="preserve">q_hpg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</si>
  <si>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</si>
  <si>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</si>
  <si>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專案是第二供應商，非獨家（公司）</t>
    </r>
  </si>
  <si>
    <t xml:space="preserve">q_cig</t>
  </si>
  <si>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</si>
  <si>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：預期健康成長（公司）</t>
    </r>
  </si>
  <si>
    <t xml:space="preserve">q_aig</t>
  </si>
  <si>
    <r>
      <rPr>
        <sz val="11"/>
        <color theme="1"/>
        <rFont val="Noto Sans CJK SC"/>
        <family val="2"/>
      </rPr>
      <t xml:space="preserve">車用、工業與其他季增（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</si>
  <si>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：預期成長，未給數字（公司）</t>
    </r>
  </si>
  <si>
    <r>
      <rPr>
        <b val="true"/>
        <sz val="11"/>
        <rFont val="Cambria"/>
        <family val="0"/>
        <charset val="1"/>
      </rPr>
      <t xml:space="preserve">E. 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、通訊基礎設施、車用工業（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＝上半年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＋下半年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上半年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起年增；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另乘同字母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情境係數）</t>
    </r>
  </si>
  <si>
    <t xml:space="preserve">h2_dci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</si>
  <si>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</si>
  <si>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</si>
  <si>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g_dci_28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</si>
  <si>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</si>
  <si>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資料中心互連（</t>
    </r>
    <r>
      <rPr>
        <sz val="11"/>
        <color theme="1"/>
        <rFont val="Calibri"/>
        <family val="2"/>
        <charset val="1"/>
      </rPr>
      <t xml:space="preserve">800G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</si>
  <si>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t xml:space="preserve">g_dci_29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</si>
  <si>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</si>
  <si>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h2_hpc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</si>
  <si>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</si>
  <si>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專案（公司未具名）第二供應商；量能波動大</t>
    </r>
  </si>
  <si>
    <t xml:space="preserve">g_hpc_28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</si>
  <si>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</si>
  <si>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t xml:space="preserve">g_hpc_29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</si>
  <si>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</si>
  <si>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h2_ci</t>
  </si>
  <si>
    <r>
      <rPr>
        <sz val="11"/>
        <color theme="1"/>
        <rFont val="Noto Sans CJK SC"/>
        <family val="2"/>
      </rPr>
      <t xml:space="preserve">通訊基礎設施下半年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</si>
  <si>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：電信系統、衛星通訊、電信元件全面成長（公司）</t>
    </r>
  </si>
  <si>
    <t xml:space="preserve">g_ci_28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</si>
  <si>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</si>
  <si>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比重推導）；高基期後放緩</t>
    </r>
  </si>
  <si>
    <t xml:space="preserve">g_ci_29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</si>
  <si>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</si>
  <si>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h2_aio</t>
  </si>
  <si>
    <r>
      <rPr>
        <sz val="11"/>
        <color theme="1"/>
        <rFont val="Noto Sans CJK SC"/>
        <family val="2"/>
      </rPr>
      <t xml:space="preserve">車用、工業與其他下半年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</si>
  <si>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充電與 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（公司）</t>
    </r>
  </si>
  <si>
    <t xml:space="preserve">g_aio_28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</si>
  <si>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</si>
  <si>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</t>
    </r>
  </si>
  <si>
    <t xml:space="preserve">g_aio_29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</si>
  <si>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</si>
  <si>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；毛利率低＝情境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</si>
  <si>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</si>
  <si>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</si>
  <si>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12.4%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</si>
  <si>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12.2%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10bp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30bp</t>
    </r>
    <r>
      <rPr>
        <sz val="11"/>
        <color theme="1"/>
        <rFont val="Noto Sans CJK SC"/>
        <family val="2"/>
      </rPr>
      <t xml:space="preserve">）；規模帶來營業槓桿（公司）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</si>
  <si>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</si>
  <si>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</si>
  <si>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同上；新廠爬坡期壓毛利（低值）</t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</si>
  <si>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</si>
  <si>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</si>
  <si>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</si>
  <si>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</si>
  <si>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</si>
  <si>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：營業費用約占營收 </t>
    </r>
    <r>
      <rPr>
        <sz val="11"/>
        <color theme="1"/>
        <rFont val="Calibri"/>
        <family val="2"/>
        <charset val="1"/>
      </rPr>
      <t xml:space="preserve">1.3%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</si>
  <si>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</si>
  <si>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</si>
  <si>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</si>
  <si>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</si>
  <si>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+0.5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</si>
  <si>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</si>
  <si>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業外淨收益（利息、匯兌、其他；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</si>
  <si>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3,240 </t>
    </r>
    <r>
      <rPr>
        <sz val="11"/>
        <color theme="1"/>
        <rFont val="Noto Sans CJK SC"/>
        <family val="2"/>
      </rPr>
      <t xml:space="preserve">萬美元；現金與短期投資 </t>
    </r>
    <r>
      <rPr>
        <sz val="11"/>
        <color theme="1"/>
        <rFont val="Calibri"/>
        <family val="2"/>
        <charset val="1"/>
      </rPr>
      <t xml:space="preserve">8.75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</si>
  <si>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FY2026 2.53 </t>
    </r>
    <r>
      <rPr>
        <sz val="11"/>
        <color theme="1"/>
        <rFont val="Noto Sans CJK SC"/>
        <family val="2"/>
      </rPr>
      <t xml:space="preserve">億美元）使現金下降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</si>
  <si>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</si>
  <si>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稅率（不含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補充稅）</t>
    </r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</si>
  <si>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8,209 </t>
    </r>
    <r>
      <rPr>
        <sz val="11"/>
        <color theme="1"/>
        <rFont val="Noto Sans CJK SC"/>
        <family val="2"/>
      </rPr>
      <t xml:space="preserve">萬 − </t>
    </r>
    <r>
      <rPr>
        <sz val="11"/>
        <color theme="1"/>
        <rFont val="Calibri"/>
        <family val="2"/>
        <charset val="1"/>
      </rPr>
      <t xml:space="preserve">Pillar Two 5,745 </t>
    </r>
    <r>
      <rPr>
        <sz val="11"/>
        <color theme="1"/>
        <rFont val="Noto Sans CJK SC"/>
        <family val="2"/>
      </rPr>
      <t xml:space="preserve">萬）</t>
    </r>
  </si>
  <si>
    <r>
      <rPr>
        <sz val="11"/>
        <color theme="1"/>
        <rFont val="Noto Sans CJK SC"/>
        <family val="2"/>
      </rPr>
      <t xml:space="preserve">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租稅優惠；明細：未找到</t>
    </r>
  </si>
  <si>
    <t xml:space="preserve">p2</t>
  </si>
  <si>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補充稅占稅前（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</si>
  <si>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每股 </t>
    </r>
    <r>
      <rPr>
        <sz val="11"/>
        <color theme="1"/>
        <rFont val="Calibri"/>
        <family val="2"/>
        <charset val="1"/>
      </rPr>
      <t xml:space="preserve">0.40 </t>
    </r>
    <r>
      <rPr>
        <sz val="11"/>
        <color theme="1"/>
        <rFont val="Noto Sans CJK SC"/>
        <family val="2"/>
      </rPr>
      <t xml:space="preserve">美元（約 </t>
    </r>
    <r>
      <rPr>
        <sz val="11"/>
        <color theme="1"/>
        <rFont val="Calibri"/>
        <family val="2"/>
        <charset val="1"/>
      </rPr>
      <t xml:space="preserve">1,450 </t>
    </r>
    <r>
      <rPr>
        <sz val="11"/>
        <color theme="1"/>
        <rFont val="Noto Sans CJK SC"/>
        <family val="2"/>
      </rPr>
      <t xml:space="preserve">萬美元／季）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</si>
  <si>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：泰國 </t>
    </r>
    <r>
      <rPr>
        <sz val="11"/>
        <color theme="1"/>
        <rFont val="Calibri"/>
        <family val="2"/>
        <charset val="1"/>
      </rPr>
      <t xml:space="preserve">UTPR </t>
    </r>
    <r>
      <rPr>
        <sz val="11"/>
        <color theme="1"/>
        <rFont val="Noto Sans CJK SC"/>
        <family val="2"/>
      </rPr>
      <t xml:space="preserve">已立法；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認列 </t>
    </r>
    <r>
      <rPr>
        <sz val="11"/>
        <color theme="1"/>
        <rFont val="Calibri"/>
        <family val="2"/>
        <charset val="1"/>
      </rPr>
      <t xml:space="preserve">5,745 </t>
    </r>
    <r>
      <rPr>
        <sz val="11"/>
        <color theme="1"/>
        <rFont val="Noto Sans CJK SC"/>
        <family val="2"/>
      </rPr>
      <t xml:space="preserve">萬美元（現金尚未支付）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</si>
  <si>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</si>
  <si>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稀釋股數（指引）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</si>
  <si>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</si>
  <si>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3,630 </t>
    </r>
    <r>
      <rPr>
        <sz val="11"/>
        <color theme="1"/>
        <rFont val="Noto Sans CJK SC"/>
        <family val="2"/>
      </rPr>
      <t xml:space="preserve">萬股（公司指引）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</si>
  <si>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35,834,864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</si>
  <si>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</si>
  <si>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</si>
  <si>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520 </t>
    </r>
    <r>
      <rPr>
        <sz val="11"/>
        <color theme="1"/>
        <rFont val="Noto Sans CJK SC"/>
        <family val="2"/>
      </rPr>
      <t xml:space="preserve">萬美元（</t>
    </r>
    <r>
      <rPr>
        <sz val="11"/>
        <color theme="1"/>
        <rFont val="Calibri"/>
        <family val="2"/>
        <charset val="1"/>
      </rPr>
      <t xml:space="preserve">FY2025 1.26 </t>
    </r>
    <r>
      <rPr>
        <sz val="11"/>
        <color theme="1"/>
        <rFont val="Noto Sans CJK SC"/>
        <family val="2"/>
      </rPr>
      <t xml:space="preserve">億）；剩餘授權約 </t>
    </r>
    <r>
      <rPr>
        <sz val="11"/>
        <color theme="1"/>
        <rFont val="Calibri"/>
        <family val="2"/>
        <charset val="1"/>
      </rPr>
      <t xml:space="preserve">1.69 </t>
    </r>
    <r>
      <rPr>
        <sz val="11"/>
        <color theme="1"/>
        <rFont val="Noto Sans CJK SC"/>
        <family val="2"/>
      </rPr>
      <t xml:space="preserve">億</t>
    </r>
  </si>
  <si>
    <t xml:space="preserve">股票薪酬稀釋約抵回購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</si>
  <si>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</si>
  <si>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</si>
  <si>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</si>
  <si>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</si>
  <si>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</si>
  <si>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</si>
  <si>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</si>
  <si>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3,419,327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</si>
  <si>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3,419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</si>
  <si>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</si>
  <si>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</si>
  <si>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4,641,097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</si>
  <si>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4,641 </t>
    </r>
    <r>
      <rPr>
        <sz val="11"/>
        <color theme="1"/>
        <rFont val="Noto Sans CJK SC"/>
        <family val="2"/>
      </rPr>
      <t xml:space="preserve">百萬美元</t>
    </r>
  </si>
  <si>
    <t xml:space="preserve">a25_dcp_in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</si>
  <si>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</si>
  <si>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46.2%</t>
    </r>
  </si>
  <si>
    <t xml:space="preserve">a26_dcp_in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</si>
  <si>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</si>
  <si>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</si>
  <si>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51%</t>
    </r>
  </si>
  <si>
    <t xml:space="preserve">a25_cip_in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</si>
  <si>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</si>
  <si>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30.7%</t>
    </r>
  </si>
  <si>
    <t xml:space="preserve">a26_cip_in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</si>
  <si>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</si>
  <si>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33.3%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</si>
  <si>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a25_aiop_in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</si>
  <si>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</si>
  <si>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23.1%</t>
    </r>
  </si>
  <si>
    <t xml:space="preserve">a26_aiop_in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</si>
  <si>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</si>
  <si>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</si>
  <si>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</si>
  <si>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</si>
  <si>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423,805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</si>
  <si>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</si>
  <si>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</si>
  <si>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567,970</t>
    </r>
  </si>
  <si>
    <t xml:space="preserve">a25_op_in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</si>
  <si>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</si>
  <si>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360,712</t>
    </r>
  </si>
  <si>
    <t xml:space="preserve">a26_op_in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</si>
  <si>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</si>
  <si>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500,063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</si>
  <si>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</si>
  <si>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</si>
  <si>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22,653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</si>
  <si>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</si>
  <si>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</si>
  <si>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82,086 − 57,447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</si>
  <si>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</si>
  <si>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</si>
  <si>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368,792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</si>
  <si>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</si>
  <si>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</si>
  <si>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510,907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</si>
  <si>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</si>
  <si>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</si>
  <si>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10.17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</si>
  <si>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</si>
  <si>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</si>
  <si>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</si>
  <si>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美元（法說會）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</si>
  <si>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</si>
  <si>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</si>
  <si>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36,267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</si>
  <si>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</si>
  <si>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</si>
  <si>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36,252 </t>
    </r>
    <r>
      <rPr>
        <sz val="11"/>
        <color theme="1"/>
        <rFont val="Noto Sans CJK SC"/>
        <family val="2"/>
      </rPr>
      <t xml:space="preserve">千股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</si>
  <si>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</si>
  <si>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</si>
  <si>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</si>
  <si>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61.1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</si>
  <si>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；疑似未更新）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</si>
  <si>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</si>
  <si>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</si>
  <si>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65.8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值偏低，疑似未更新）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</si>
  <si>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</si>
  <si>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</si>
  <si>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17.48–19.20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</si>
  <si>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（本年度，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</si>
  <si>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</si>
  <si>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</si>
  <si>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未標年度，以本年度判讀）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</si>
  <si>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</si>
  <si>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</si>
  <si>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（下一年度，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</si>
  <si>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</si>
  <si>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t xml:space="preserve">cons_eps28b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</si>
  <si>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</si>
  <si>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</si>
  <si>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cap_b10</t>
  </si>
  <si>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Pinehurst </t>
    </r>
    <r>
      <rPr>
        <sz val="11"/>
        <color theme="1"/>
        <rFont val="Noto Sans CJK SC"/>
        <family val="2"/>
      </rPr>
      <t xml:space="preserve">轉換＋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；營收額）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</si>
  <si>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：現有約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增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億，合計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</si>
  <si>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Building 10 2027 </t>
    </r>
    <r>
      <rPr>
        <sz val="11"/>
        <color theme="1"/>
        <rFont val="Noto Sans CJK SC"/>
        <family val="2"/>
      </rPr>
      <t xml:space="preserve">年初完工</t>
    </r>
  </si>
  <si>
    <t xml:space="preserve">cap_tot</t>
  </si>
  <si>
    <r>
      <rPr>
        <sz val="11"/>
        <color theme="1"/>
        <rFont val="Noto Sans CJK SC"/>
        <family val="2"/>
      </rPr>
      <t xml:space="preserve">長期產能目標（再加兩座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廠等）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</si>
  <si>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：未來數年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</si>
  <si>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</si>
  <si>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</si>
  <si>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</si>
  <si>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314.94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0.86%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</si>
  <si>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315.09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</si>
  <si>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</si>
  <si>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</si>
  <si>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305.63–748.89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</si>
  <si>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週變動 −</t>
    </r>
    <r>
      <rPr>
        <sz val="11"/>
        <color theme="1"/>
        <rFont val="Calibri"/>
        <family val="2"/>
        <charset val="1"/>
      </rPr>
      <t xml:space="preserve">21.3%</t>
    </r>
    <r>
      <rPr>
        <sz val="11"/>
        <color theme="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</si>
  <si>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</si>
  <si>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</si>
  <si>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</si>
  <si>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</si>
  <si>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</si>
  <si>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</si>
  <si>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</si>
  <si>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</si>
  <si>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</si>
  <si>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roe_24</t>
  </si>
  <si>
    <r>
      <rPr>
        <sz val="11"/>
        <color theme="1"/>
        <rFont val="Calibri"/>
        <family val="2"/>
        <charset val="1"/>
      </rPr>
      <t xml:space="preserve">GAAP ROE FY2024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</si>
  <si>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296.2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</si>
  <si>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1,469 → 1,746 </t>
    </r>
    <r>
      <rPr>
        <sz val="11"/>
        <color theme="1"/>
        <rFont val="Noto Sans CJK SC"/>
        <family val="2"/>
      </rPr>
      <t xml:space="preserve">百萬美元</t>
    </r>
  </si>
  <si>
    <t xml:space="preserve">roe_25</t>
  </si>
  <si>
    <r>
      <rPr>
        <sz val="11"/>
        <color theme="1"/>
        <rFont val="Calibri"/>
        <family val="2"/>
        <charset val="1"/>
      </rPr>
      <t xml:space="preserve">GAAP ROE 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</si>
  <si>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332.5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</si>
  <si>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1,746 → 1,982 </t>
    </r>
    <r>
      <rPr>
        <sz val="11"/>
        <color theme="1"/>
        <rFont val="Noto Sans CJK SC"/>
        <family val="2"/>
      </rPr>
      <t xml:space="preserve">百萬美元</t>
    </r>
  </si>
  <si>
    <t xml:space="preserve">roe_26</t>
  </si>
  <si>
    <r>
      <rPr>
        <sz val="11"/>
        <color theme="1"/>
        <rFont val="Calibri"/>
        <family val="2"/>
        <charset val="1"/>
      </rPr>
      <t xml:space="preserve">GAAP ROE FY2026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</si>
  <si>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473.0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</si>
  <si>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1,982 → 2,454 </t>
    </r>
    <r>
      <rPr>
        <sz val="11"/>
        <color theme="1"/>
        <rFont val="Noto Sans CJK SC"/>
        <family val="2"/>
      </rPr>
      <t xml:space="preserve">百萬美元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</si>
  <si>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</si>
  <si>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</si>
  <si>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</si>
  <si>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</si>
  <si>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</si>
  <si>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</si>
  <si>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</si>
  <si>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</si>
  <si>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</si>
  <si>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roe_24–roe_26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調整項小，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重估利益與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約相抵）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</si>
  <si>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ROE 21.33%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</si>
  <si>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</si>
  <si>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</si>
  <si>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</si>
  <si>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</si>
  <si>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</si>
  <si>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7.36%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9.34%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</si>
  <si>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10.27%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9.72%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；比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</si>
  <si>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</si>
  <si>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</si>
  <si>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</si>
  <si>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</si>
  <si>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</si>
  <si>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</si>
  <si>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</si>
  <si>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</si>
  <si>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</si>
  <si>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</si>
  <si>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</si>
  <si>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</si>
  <si>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</si>
  <si>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</si>
  <si>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十年平均為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口徑，略低於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（偏保守）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</si>
  <si>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</si>
  <si>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</si>
  <si>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</si>
  <si>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</si>
  <si>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</si>
  <si>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</si>
  <si>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739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</si>
  <si>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</si>
  <si>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</si>
  <si>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</si>
  <si>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</si>
  <si>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</si>
  <si>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</si>
  <si>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</si>
  <si>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</si>
  <si>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</si>
  <si>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</si>
  <si>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</si>
  <si>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</si>
  <si>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</si>
  <si>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</si>
  <si>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</si>
  <si>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</si>
  <si>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</si>
  <si>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</si>
  <si>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</si>
  <si>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</si>
  <si>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</si>
  <si>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</si>
  <si>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</si>
  <si>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</si>
  <si>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</si>
  <si>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</si>
  <si>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</si>
  <si>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</si>
  <si>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</si>
  <si>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</si>
  <si>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</si>
  <si>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</si>
  <si>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</si>
  <si>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</si>
  <si>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</si>
  <si>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</si>
  <si>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</si>
  <si>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</si>
  <si>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</si>
  <si>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</si>
  <si>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</si>
  <si>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</si>
  <si>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</si>
  <si>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</si>
  <si>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</si>
  <si>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金額只在法說會揭露：光模組與其他＝資料中心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通訊基礎設施＝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），車用工業＝營收 − 其他兩類。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：各類別依季增假設，資料中心＝營收指引中點 − 通訊 − 車用工業；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</si>
  <si>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</si>
  <si>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</si>
  <si>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</si>
  <si>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</si>
  <si>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</si>
  <si>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</si>
  <si>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</si>
  <si>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</si>
  <si>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</si>
  <si>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</si>
  <si>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（比重）／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</si>
  <si>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10-K </t>
    </r>
    <r>
      <rPr>
        <sz val="11"/>
        <color theme="1"/>
        <rFont val="Noto Sans CJK SC"/>
        <family val="2"/>
      </rPr>
      <t xml:space="preserve">比重；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＝指引中點 − 通訊 − 車用工業</t>
    </r>
  </si>
  <si>
    <r>
      <rPr>
        <sz val="11"/>
        <color theme="1"/>
        <rFont val="Noto Sans CJK SC"/>
        <family val="2"/>
      </rPr>
      <t xml:space="preserve">  光模組與其他（資料中心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</si>
  <si>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</si>
  <si>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光模組代工與其他客戶光模組；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</t>
    </r>
  </si>
  <si>
    <r>
      <rPr>
        <sz val="11"/>
        <color theme="1"/>
        <rFont val="Calibri"/>
        <family val="2"/>
        <charset val="1"/>
      </rPr>
      <t xml:space="preserve">  DCI</t>
    </r>
    <r>
      <rPr>
        <sz val="11"/>
        <color theme="1"/>
        <rFont val="Noto Sans CJK SC"/>
        <family val="2"/>
      </rPr>
      <t xml:space="preserve">（資料中心互連）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</si>
  <si>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</si>
  <si>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假設＋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由年增率回推＋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</si>
  <si>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（高效能運算）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</si>
  <si>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起量，約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億美元）</t>
    </r>
  </si>
  <si>
    <t xml:space="preserve">通訊基礎設施（電信系統、衛星通訊、電信元件）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</si>
  <si>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</si>
  <si>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車用、工業與其他（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、工業雷射、醫療）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</si>
  <si>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</si>
  <si>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</si>
  <si>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</si>
  <si>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</si>
  <si>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業外淨收益（淨利＋稅 − 營業利益）</t>
    </r>
  </si>
  <si>
    <r>
      <rPr>
        <sz val="11"/>
        <color theme="1"/>
        <rFont val="Noto Sans CJK SC"/>
        <family val="2"/>
      </rPr>
      <t xml:space="preserve">利息收入、匯兌、其他；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排除非上市股權重估利益 </t>
    </r>
    <r>
      <rPr>
        <sz val="11"/>
        <color theme="1"/>
        <rFont val="Calibri"/>
        <family val="2"/>
        <charset val="1"/>
      </rPr>
      <t xml:space="preserve">5,674 </t>
    </r>
    <r>
      <rPr>
        <sz val="11"/>
        <color theme="1"/>
        <rFont val="Noto Sans CJK SC"/>
        <family val="2"/>
      </rPr>
      <t xml:space="preserve">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</si>
  <si>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</si>
  <si>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</si>
  <si>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</si>
  <si>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</si>
  <si>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4.175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</si>
  <si>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</si>
  <si>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</si>
  <si>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</si>
  <si>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</si>
  <si>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</si>
  <si>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下半年光模組與其他（＝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</si>
  <si>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上半年光模組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</si>
  <si>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</si>
  <si>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16.3% 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光模組與其他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</si>
  <si>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</si>
  <si>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</si>
  <si>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HPC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</si>
  <si>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上半年通訊基礎設施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</si>
  <si>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上半年車用、工業與其他</t>
    </r>
  </si>
  <si>
    <r>
      <rPr>
        <sz val="11"/>
        <color theme="1"/>
        <rFont val="Calibri"/>
        <family val="2"/>
        <charset val="1"/>
      </rPr>
      <t xml:space="preserve">Units — 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模型一致（光模組營收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可插拔市場），與中際旭創相加須低於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</si>
  <si>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</si>
  <si>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</si>
  <si>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</si>
  <si>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</si>
  <si>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</si>
  <si>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</si>
  <si>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</si>
  <si>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</si>
  <si>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下半年實績推導＋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指引推導＋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</si>
  <si>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</si>
  <si>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</si>
  <si>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</si>
  <si>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等分配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</si>
  <si>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光模組與其他營收（情境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</si>
  <si>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Fabrinet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</si>
  <si>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</si>
  <si>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資料中心光模組營收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</si>
  <si>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</si>
  <si>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</si>
  <si>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是代工廠，光模組營收含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等客戶自有品牌的模組，與中際旭創、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的出貨口徑不同，所以是「有效」份額；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占營收由 </t>
    </r>
    <r>
      <rPr>
        <b val="true"/>
        <sz val="11"/>
        <rFont val="Cambria"/>
        <family val="0"/>
        <charset val="1"/>
      </rPr>
      <t xml:space="preserve">27.6% </t>
    </r>
    <r>
      <rPr>
        <b val="true"/>
        <sz val="11"/>
        <rFont val="Noto Sans CJK SC"/>
        <family val="2"/>
      </rPr>
      <t xml:space="preserve">降到 </t>
    </r>
    <r>
      <rPr>
        <b val="true"/>
        <sz val="11"/>
        <rFont val="Cambria"/>
        <family val="0"/>
        <charset val="1"/>
      </rPr>
      <t xml:space="preserve">16.3%</t>
    </r>
    <r>
      <rPr>
        <b val="true"/>
        <sz val="11"/>
        <rFont val="Noto Sans CJK SC"/>
        <family val="2"/>
      </rPr>
      <t xml:space="preserve">，份額相對值與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</si>
  <si>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Fabrinet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的情境差異只來自公司特有變數（份額、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</si>
  <si>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</si>
  <si>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</si>
  <si>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</si>
  <si>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</si>
  <si>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</si>
  <si>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</si>
  <si>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</si>
  <si>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</si>
  <si>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</si>
  <si>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</si>
  <si>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</si>
  <si>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</si>
  <si>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  光模組與其他</t>
  </si>
  <si>
    <t xml:space="preserve">    DCI</t>
  </si>
  <si>
    <t xml:space="preserve">    HPC</t>
  </si>
  <si>
    <t xml:space="preserve">  通訊基礎設施</t>
  </si>
  <si>
    <t xml:space="preserve">  車用、工業與其他</t>
  </si>
  <si>
    <t xml:space="preserve">毛利率</t>
  </si>
  <si>
    <t xml:space="preserve">營業利益率</t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</si>
  <si>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</si>
  <si>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</si>
  <si>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</si>
  <si>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</si>
  <si>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</si>
  <si>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</si>
  <si>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</si>
  <si>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0.500063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</si>
  <si>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14.09</t>
    </r>
    <r>
      <rPr>
        <sz val="11"/>
        <color theme="1"/>
        <rFont val="Noto Sans CJK SC"/>
        <family val="2"/>
      </rPr>
      <t xml:space="preserve">；四捨五入差應小於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</si>
  <si>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</si>
  <si>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（替代快）；份額、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份額、毛利率取高值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</si>
  <si>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</si>
  <si>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</si>
  <si>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</si>
  <si>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</si>
  <si>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</si>
  <si>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；代工營收含料件，屬「有效」份額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</si>
  <si>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</si>
  <si>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光模組有效份額（日曆年）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</si>
  <si>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</si>
  <si>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</si>
  <si>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光模組與其他營收（日曆年）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</si>
  <si>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</si>
  <si>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情境係數（會計年度；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</si>
  <si>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同字母顆數係數依日曆年上半年比重換算；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</t>
    </r>
  </si>
  <si>
    <t xml:space="preserve">  光模組與其他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</si>
  <si>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</si>
  <si>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r>
      <rPr>
        <sz val="11"/>
        <color theme="1"/>
        <rFont val="Calibri"/>
        <family val="2"/>
        <charset val="1"/>
      </rPr>
      <t xml:space="preserve">  DCI </t>
    </r>
    <r>
      <rPr>
        <sz val="11"/>
        <color theme="1"/>
        <rFont val="Noto Sans CJK SC"/>
        <family val="2"/>
      </rPr>
      <t xml:space="preserve">基準路徑（未乘情境係數）</t>
    </r>
  </si>
  <si>
    <r>
      <rPr>
        <sz val="11"/>
        <color theme="1"/>
        <rFont val="Calibri"/>
        <family val="2"/>
        <charset val="1"/>
      </rPr>
      <t xml:space="preserve">  HPC </t>
    </r>
    <r>
      <rPr>
        <sz val="11"/>
        <color theme="1"/>
        <rFont val="Noto Sans CJK SC"/>
        <family val="2"/>
      </rPr>
      <t xml:space="preserve">基準路徑（未乘情境係數）</t>
    </r>
  </si>
  <si>
    <t xml:space="preserve">通訊基礎設施</t>
  </si>
  <si>
    <t xml:space="preserve">車用、工業與其他</t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</si>
  <si>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</si>
  <si>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</si>
  <si>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</si>
  <si>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起為輸入路徑（成本加成代工；新廠爬坡與料件占比）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</si>
  <si>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</si>
  <si>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</si>
  <si>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</si>
  <si>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</si>
  <si>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業外淨收益（利息、匯兌、其他）</t>
  </si>
  <si>
    <t xml:space="preserve">稅前利益</t>
  </si>
  <si>
    <t xml:space="preserve">淨利率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</si>
  <si>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</si>
  <si>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</si>
  <si>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（替代慢）；公司變數取低值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</si>
  <si>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每年皆獲利，十年皆列入）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</si>
  <si>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</si>
  <si>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</si>
  <si>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</si>
  <si>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</si>
  <si>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</si>
  <si>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</si>
  <si>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</si>
  <si>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</si>
  <si>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</si>
  <si>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</si>
  <si>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</si>
  <si>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</si>
  <si>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</si>
  <si>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</si>
  <si>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</si>
  <si>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</si>
  <si>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</si>
  <si>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</si>
  <si>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</si>
  <si>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</si>
  <si>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</si>
  <si>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</si>
  <si>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</si>
  <si>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</si>
  <si>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</si>
  <si>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</si>
  <si>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</si>
  <si>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</si>
  <si>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</si>
  <si>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</si>
  <si>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</si>
  <si>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</si>
  <si>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Lumentum</t>
  </si>
  <si>
    <t xml:space="preserve">LITE</t>
  </si>
  <si>
    <t xml:space="preserve">Jabil</t>
  </si>
  <si>
    <t xml:space="preserve">JBL</t>
  </si>
  <si>
    <t xml:space="preserve">Celestica</t>
  </si>
  <si>
    <t xml:space="preserve">CLS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</si>
  <si>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</si>
  <si>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</si>
  <si>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</si>
  <si>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）與電子代工（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）同業；不放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</si>
  <si>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</si>
  <si>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</si>
  <si>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</si>
  <si>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</si>
  <si>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</si>
  <si>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</si>
  <si>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</si>
  <si>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</si>
  <si>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</si>
  <si>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</si>
  <si>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MarketBeat 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</si>
  <si>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</si>
  <si>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</si>
  <si>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</si>
  <si>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</si>
  <si>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</si>
  <si>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</si>
  <si>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</si>
  <si>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</si>
  <si>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</si>
  <si>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</si>
  <si>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</si>
  <si>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平均（再投資率約兩成），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）。偏誤：會計年度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，比基準日早半年（偏高估）；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補充稅（偏高估約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）；資本支出高於折舊、未建模（偏高估）。情境對應：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</si>
  <si>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</si>
  <si>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</si>
  <si>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</si>
  <si>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</si>
  <si>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</si>
  <si>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</si>
  <si>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</si>
  <si>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</si>
  <si>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</si>
  <si>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</si>
  <si>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</si>
  <si>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</si>
  <si>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</si>
  <si>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</si>
  <si>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分位）。偏誤方向為小幅高估：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</si>
  <si>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</si>
  <si>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</si>
  <si>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</si>
  <si>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</si>
  <si>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</si>
  <si>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</si>
  <si>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</si>
  <si>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三情境差異來自公司特有變數與網通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</si>
  <si>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</si>
  <si>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</si>
  <si>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</si>
  <si>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</si>
  <si>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</si>
  <si>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4.175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</si>
  <si>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</si>
  <si>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</si>
  <si>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</si>
  <si>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</si>
  <si>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</si>
  <si>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</si>
  <si>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</si>
  <si>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</si>
  <si>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</si>
  <si>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</si>
  <si>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</si>
  <si>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</si>
  <si>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</si>
  <si>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</si>
  <si>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</si>
  <si>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</si>
  <si>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</si>
  <si>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</si>
  <si>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</si>
  <si>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</si>
  <si>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、光模組份額與毛利率低值）——市場定價接近「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光模組份額續降、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部署下修」的組合。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</si>
  <si>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</si>
  <si>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</si>
  <si>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約高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），偏誤方向為小幅高估；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光模組題材溢價；前瞻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</si>
  <si>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</si>
  <si>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</si>
  <si>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</si>
  <si>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</si>
  <si>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</si>
  <si>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</si>
  <si>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</si>
  <si>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</si>
  <si>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</si>
  <si>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</si>
  <si>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</si>
  <si>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</si>
  <si>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</si>
  <si>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</si>
  <si>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</si>
  <si>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</si>
  <si>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</si>
  <si>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</si>
  <si>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</si>
  <si>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</si>
  <si>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</si>
  <si>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</si>
  <si>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</si>
  <si>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</si>
  <si>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</si>
  <si>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</si>
  <si>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</si>
  <si>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</si>
  <si>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</si>
  <si>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</si>
  <si>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</si>
  <si>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</si>
  <si>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</si>
  <si>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</si>
  <si>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</si>
  <si>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</si>
  <si>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</si>
  <si>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</si>
  <si>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</si>
  <si>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</si>
  <si>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共識、公司指引與產能。只作事後對照，不為對上數字而調參數。共識來自彙整網站（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），各家年度與更新日不一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</si>
  <si>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</si>
  <si>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</si>
  <si>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</si>
  <si>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</si>
  <si>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</si>
  <si>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</si>
  <si>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</si>
  <si>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</si>
  <si>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</si>
  <si>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</si>
  <si>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</si>
  <si>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</si>
  <si>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</si>
  <si>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</si>
  <si>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</si>
  <si>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</si>
  <si>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位；疑似未更新）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</si>
  <si>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</si>
  <si>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</si>
  <si>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</si>
  <si>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</si>
  <si>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（模型，營收指引中點、毛利率與費用假設）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</si>
  <si>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</si>
  <si>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毛利率、費用、稅率為假設；股數取指引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</si>
  <si>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營收：資料中心＋通訊（回推）＋車用工業（推導）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</t>
    </r>
  </si>
  <si>
    <t xml:space="preserve">公司</t>
  </si>
  <si>
    <t xml:space="preserve">恆等（車用工業為差額）；僅確認拆分加總</t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</si>
  <si>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10-K 16.3%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光模組與其他</t>
    </r>
  </si>
  <si>
    <t xml:space="preserve">10-K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</si>
  <si>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營收低於光模組與其他：其餘為其他客戶光模組與資料中心零組件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</si>
  <si>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份額、市場與產能</t>
    </r>
  </si>
  <si>
    <r>
      <rPr>
        <sz val="11"/>
        <color theme="1"/>
        <rFont val="Calibri"/>
        <family val="2"/>
        <charset val="1"/>
      </rPr>
      <t xml:space="preserve">CY2026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</si>
  <si>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</si>
  <si>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</si>
  <si>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</si>
  <si>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</si>
  <si>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</si>
  <si>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</si>
  <si>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</si>
  <si>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）</t>
    </r>
  </si>
  <si>
    <t xml:space="preserve">公司（法說會）</t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</si>
  <si>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 0 </t>
    </r>
    <r>
      <rPr>
        <sz val="11"/>
        <color theme="1"/>
        <rFont val="Noto Sans CJK SC"/>
        <family val="2"/>
      </rPr>
      <t xml:space="preserve">表示需要 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以外的新產能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</si>
  <si>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長期產能目標</t>
    </r>
  </si>
  <si>
    <r>
      <rPr>
        <sz val="11"/>
        <color theme="1"/>
        <rFont val="Noto Sans CJK SC"/>
        <family val="2"/>
      </rPr>
      <t xml:space="preserve">長期目標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億美元的中點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</si>
  <si>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</si>
  <si>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</si>
  <si>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</si>
  <si>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指引推導，並更新資料中心內光模組、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</si>
  <si>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一次動一個輸入（以情境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為基準；有效份額在每個案例內依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</si>
  <si>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</si>
  <si>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</si>
  <si>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</si>
  <si>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</si>
  <si>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</si>
  <si>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</si>
  <si>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</si>
  <si>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</si>
  <si>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</si>
  <si>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</si>
  <si>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</si>
  <si>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</si>
  <si>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</si>
  <si>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</si>
  <si>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光模組份額相對值 </t>
    </r>
    <r>
      <rPr>
        <sz val="11"/>
        <color theme="1"/>
        <rFont val="Calibri"/>
        <family val="2"/>
        <charset val="1"/>
      </rPr>
      <t xml:space="preserve">CY2027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</si>
  <si>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</si>
  <si>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（新客戶光模組專案、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產能）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</si>
  <si>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</si>
  <si>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</si>
  <si>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低（新廠爬坡）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</si>
  <si>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11.8%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11.5%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11.3%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</si>
  <si>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</si>
  <si>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</si>
  <si>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</si>
  <si>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CY2027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</si>
  <si>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</si>
  <si>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25%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</si>
  <si>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</si>
  <si>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</si>
  <si>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</si>
  <si>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</si>
  <si>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</si>
  <si>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</si>
  <si>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</si>
  <si>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</si>
  <si>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</si>
  <si>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0%</t>
    </r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</si>
  <si>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成長 低（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專案流失）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</si>
  <si>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</si>
  <si>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</si>
  <si>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</si>
  <si>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</si>
  <si>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+9pt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排除、但為實際稅負）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</si>
  <si>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</si>
  <si>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</si>
  <si>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</si>
  <si>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＋公司變數低值</t>
    </r>
  </si>
  <si>
    <r>
      <rPr>
        <sz val="11"/>
        <color theme="1"/>
        <rFont val="Noto Sans CJK SC"/>
        <family val="2"/>
      </rPr>
      <t xml:space="preserve">讀法：顆數係數從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上半年＝指引推導＋假設，所以份額、市場等案例對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只影響下半年；「計入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」顯示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口徑排除的實際稅負。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</si>
  <si>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</si>
  <si>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</si>
  <si>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</si>
  <si>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</si>
  <si>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</si>
  <si>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</si>
  <si>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</si>
  <si>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</si>
  <si>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</si>
  <si>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</si>
  <si>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</si>
  <si>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</si>
  <si>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</si>
  <si>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</si>
  <si>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</si>
  <si>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</si>
  <si>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</si>
  <si>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</si>
  <si>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</si>
  <si>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</si>
  <si>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</si>
  <si>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低（新廠爬坡）（情境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</si>
  <si>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</si>
  <si>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</si>
  <si>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</si>
  <si>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</si>
  <si>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</si>
  <si>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</si>
  <si>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</si>
  <si>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DCI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</si>
  <si>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成長 低（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專案流失）（情境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</si>
  <si>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</si>
  <si>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案例區塊：計入 </t>
    </r>
    <r>
      <rPr>
        <b val="true"/>
        <sz val="11"/>
        <rFont val="Cambria"/>
        <family val="0"/>
        <charset val="1"/>
      </rPr>
      <t xml:space="preserve">Pillar Two </t>
    </r>
    <r>
      <rPr>
        <b val="true"/>
        <sz val="11"/>
        <rFont val="Noto Sans CJK SC"/>
        <family val="2"/>
      </rPr>
      <t xml:space="preserve">補充稅（情境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</si>
  <si>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</si>
  <si>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；損益、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指引、資產負債表）</t>
    </r>
  </si>
  <si>
    <t xml:space="preserve">https://www.sec.gov/Archives/edgar/data/0001408710/000140871026000026/fn-2026811xex991q426.htm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</si>
  <si>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</si>
  <si>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https://www.sec.gov/Archives/edgar/data/0001408710/000140871026000014/fn-2026504xex991q326.htm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</si>
  <si>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（三類營收比重、客戶集中度、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、股數）</t>
    </r>
  </si>
  <si>
    <t xml:space="preserve">https://www.sec.gov/Archives/edgar/data/0001408710/000140871026000028/fn-20260626.htm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</si>
  <si>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；類別營收、產能、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、客戶）</t>
    </r>
  </si>
  <si>
    <t xml:space="preserve">https://www.webull.com/news/15420495044125696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</si>
  <si>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法說會重點（類別定義：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屬資料中心）</t>
    </r>
  </si>
  <si>
    <t xml:space="preserve">https://www.nasdaq.com/articles/fabrinet-q4-earnings-call-highlights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</si>
  <si>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類別營收、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各季）</t>
    </r>
  </si>
  <si>
    <t xml:space="preserve">https://pulse2.com/fabrinet-data-center-revenue-jumps-68-to-669-million-and-becomes-51-of-quarterly-sales-as-dci-more-than-doubles/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</si>
  <si>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舊分類營收：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telecom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</si>
  <si>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t xml:space="preserve">https://www.tradingview.com/news/zacks:01f406102094b:0-fn-q3-earnings-beat-estimates-revenues-up-on-strong-telecom-hpc/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</si>
  <si>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第二供應商）</t>
    </r>
  </si>
  <si>
    <t xml:space="preserve">https://www.aol.com/articles/fabrinet-fn-q2-2026-earnings-232305108.html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</si>
  <si>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共識、目標價、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</si>
  <si>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https://stockanalysis.com/stocks/fn/forecast/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</si>
  <si>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週區間、目標價、下次財報估計日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</si>
  <si>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https://www.marketbeat.com/stocks/NYSE/FN/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</si>
  <si>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</si>
  <si>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https://www.tickflow.io/stock/FN/forecast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</si>
  <si>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損益表與資產負債表（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、淨利率）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</si>
  <si>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https://stockanalysis.com/stocks/fn/financials/balance-sheet/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</si>
  <si>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</si>
  <si>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https://companiesmarketcap.com/fabrinet/pe-ratio/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</si>
  <si>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、淨利率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</si>
  <si>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https://www.macrotrends.net/stocks/charts/FN/fabrinet/pe-ratio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</si>
  <si>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</si>
  <si>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https://stockanalysis.com/stocks/cohr/statistics/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https://stockanalysis.com/stocks/lite/statistics/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https://stockanalysis.com/stocks/jbl/statistics/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https://stockanalysis.com/stocks/cls/statistics/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https://stockanalysis.com/stocks/flex/statistics/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</si>
  <si>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（核對）</t>
    </r>
  </si>
  <si>
    <r>
      <rPr>
        <sz val="11"/>
        <color theme="1"/>
        <rFont val="Noto Sans CJK SC"/>
        <family val="2"/>
      </rPr>
      <t xml:space="preserve">待補（人工）：光模組（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）新分類金額；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營收；泰國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稅率明細；共識家數與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財報日期公司公告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</si>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</sst>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00"/>
    <numFmt numFmtId="168" formatCode="0.0000"/>
    <numFmt numFmtId="169" formatCode="0%"/>
    <numFmt numFmtId="170" formatCode="#,##0.0"/>
    <numFmt numFmtId="171" formatCode="#,##0.00"/>
    <numFmt numFmtId="172" formatCode="0.00%"/>
    <numFmt numFmtId="173" formatCode="0.000"/>
    <numFmt numFmtId="174" formatCode="0.0"/>
    <numFmt numFmtId="175" formatCode="@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投資建議：中立（依上檔空間固定規則）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6" t="n">
        <v>29.753262</v>
      </c>
      <c r="G5" s="7" t="s">
        <v>33</v>
      </c>
      <c r="H5" s="7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6" t="n">
        <v>53.560715</v>
      </c>
      <c r="G6" s="7" t="s">
        <v>33</v>
      </c>
      <c r="H6" s="7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6" t="n">
        <v>57.9915</v>
      </c>
      <c r="G7" s="7" t="s">
        <v>33</v>
      </c>
      <c r="H7" s="7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6" t="n">
        <v>72.9348</v>
      </c>
      <c r="G8" s="7" t="s">
        <v>33</v>
      </c>
      <c r="H8" s="7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32</v>
      </c>
      <c r="E9" s="6" t="n">
        <v>0.300538</v>
      </c>
      <c r="G9" s="7" t="s">
        <v>33</v>
      </c>
      <c r="H9" s="7" t="s">
        <v>45</v>
      </c>
      <c r="I9" s="4" t="s">
        <v>46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0" t="s">
        <v>32</v>
      </c>
      <c r="E10" s="6" t="n">
        <v>2.818985</v>
      </c>
      <c r="G10" s="7" t="s">
        <v>33</v>
      </c>
      <c r="H10" s="7" t="s">
        <v>45</v>
      </c>
      <c r="I10" s="4" t="s">
        <v>38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32</v>
      </c>
      <c r="E11" s="6" t="n">
        <v>6.4435</v>
      </c>
      <c r="G11" s="7" t="s">
        <v>33</v>
      </c>
      <c r="H11" s="7" t="s">
        <v>45</v>
      </c>
      <c r="I11" s="4" t="s">
        <v>38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32</v>
      </c>
      <c r="E12" s="6" t="n">
        <v>11.74736</v>
      </c>
      <c r="G12" s="7" t="s">
        <v>33</v>
      </c>
      <c r="H12" s="7" t="s">
        <v>45</v>
      </c>
      <c r="I12" s="4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0" t="s">
        <v>32</v>
      </c>
      <c r="E13" s="6" t="n">
        <v>781.872916666666</v>
      </c>
      <c r="G13" s="7" t="s">
        <v>33</v>
      </c>
      <c r="H13" s="7" t="s">
        <v>55</v>
      </c>
      <c r="I13" s="7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32</v>
      </c>
      <c r="E14" s="6" t="n">
        <v>1565.35</v>
      </c>
      <c r="G14" s="7" t="s">
        <v>33</v>
      </c>
      <c r="H14" s="7" t="s">
        <v>55</v>
      </c>
      <c r="I14" s="4" t="s">
        <v>38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32</v>
      </c>
      <c r="E15" s="6" t="n">
        <v>1984.26388888889</v>
      </c>
      <c r="G15" s="7" t="s">
        <v>33</v>
      </c>
      <c r="H15" s="7" t="s">
        <v>55</v>
      </c>
      <c r="I15" s="4" t="s">
        <v>38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32</v>
      </c>
      <c r="E16" s="6" t="n">
        <v>2260.39027777778</v>
      </c>
      <c r="G16" s="7" t="s">
        <v>33</v>
      </c>
      <c r="H16" s="7" t="s">
        <v>55</v>
      </c>
      <c r="I16" s="4" t="s">
        <v>38</v>
      </c>
    </row>
    <row r="17" customFormat="false" ht="17.15" hidden="false" customHeight="false" outlineLevel="0" collapsed="false">
      <c r="A17" s="0" t="s">
        <v>63</v>
      </c>
      <c r="B17" s="4" t="s">
        <v>64</v>
      </c>
      <c r="C17" s="0" t="s">
        <v>65</v>
      </c>
      <c r="E17" s="6" t="n">
        <v>0.421833385510356</v>
      </c>
      <c r="G17" s="7" t="s">
        <v>33</v>
      </c>
      <c r="H17" s="7" t="s">
        <v>66</v>
      </c>
      <c r="I17" s="4" t="s">
        <v>67</v>
      </c>
    </row>
    <row r="18" customFormat="false" ht="17.15" hidden="false" customHeight="false" outlineLevel="0" collapsed="false">
      <c r="A18" s="0" t="s">
        <v>68</v>
      </c>
      <c r="B18" s="4" t="s">
        <v>69</v>
      </c>
      <c r="C18" s="0" t="s">
        <v>65</v>
      </c>
      <c r="E18" s="6" t="n">
        <v>0.400741716234838</v>
      </c>
      <c r="G18" s="7" t="s">
        <v>33</v>
      </c>
      <c r="H18" s="7" t="s">
        <v>66</v>
      </c>
      <c r="I18" s="4" t="s">
        <v>38</v>
      </c>
    </row>
    <row r="19" customFormat="false" ht="17.15" hidden="false" customHeight="false" outlineLevel="0" collapsed="false">
      <c r="A19" s="0" t="s">
        <v>70</v>
      </c>
      <c r="B19" s="4" t="s">
        <v>71</v>
      </c>
      <c r="C19" s="0" t="s">
        <v>65</v>
      </c>
      <c r="E19" s="6" t="n">
        <v>0.37965004695932</v>
      </c>
      <c r="G19" s="7" t="s">
        <v>33</v>
      </c>
      <c r="H19" s="7" t="s">
        <v>66</v>
      </c>
      <c r="I19" s="4" t="s">
        <v>38</v>
      </c>
    </row>
    <row r="20" customFormat="false" ht="17.15" hidden="false" customHeight="false" outlineLevel="0" collapsed="false">
      <c r="A20" s="0" t="s">
        <v>72</v>
      </c>
      <c r="B20" s="4" t="s">
        <v>73</v>
      </c>
      <c r="C20" s="0" t="s">
        <v>65</v>
      </c>
      <c r="E20" s="6" t="n">
        <v>0.358558377683802</v>
      </c>
      <c r="G20" s="7" t="s">
        <v>33</v>
      </c>
      <c r="H20" s="7" t="s">
        <v>66</v>
      </c>
      <c r="I20" s="4" t="s">
        <v>38</v>
      </c>
    </row>
    <row r="21" customFormat="false" ht="17.15" hidden="false" customHeight="false" outlineLevel="0" collapsed="false">
      <c r="A21" s="0" t="s">
        <v>74</v>
      </c>
      <c r="B21" s="4" t="s">
        <v>75</v>
      </c>
      <c r="C21" s="0" t="s">
        <v>76</v>
      </c>
      <c r="E21" s="6" t="n">
        <v>1</v>
      </c>
      <c r="G21" s="7" t="s">
        <v>77</v>
      </c>
      <c r="H21" s="7" t="s">
        <v>78</v>
      </c>
      <c r="I21" s="7" t="s">
        <v>79</v>
      </c>
    </row>
    <row r="22" customFormat="false" ht="17.15" hidden="false" customHeight="false" outlineLevel="0" collapsed="false">
      <c r="A22" s="0" t="s">
        <v>80</v>
      </c>
      <c r="B22" s="4" t="s">
        <v>81</v>
      </c>
      <c r="C22" s="0" t="s">
        <v>76</v>
      </c>
      <c r="E22" s="6" t="n">
        <v>1</v>
      </c>
      <c r="G22" s="7" t="s">
        <v>77</v>
      </c>
      <c r="H22" s="7" t="s">
        <v>82</v>
      </c>
      <c r="I22" s="4" t="s">
        <v>38</v>
      </c>
    </row>
    <row r="23" customFormat="false" ht="17.15" hidden="false" customHeight="false" outlineLevel="0" collapsed="false">
      <c r="A23" s="0" t="s">
        <v>83</v>
      </c>
      <c r="B23" s="4" t="s">
        <v>84</v>
      </c>
      <c r="C23" s="0" t="s">
        <v>76</v>
      </c>
      <c r="E23" s="6" t="n">
        <v>0.8</v>
      </c>
      <c r="G23" s="7" t="s">
        <v>77</v>
      </c>
      <c r="H23" s="7" t="s">
        <v>85</v>
      </c>
      <c r="I23" s="7" t="s">
        <v>79</v>
      </c>
    </row>
    <row r="24" customFormat="false" ht="17.15" hidden="false" customHeight="false" outlineLevel="0" collapsed="false">
      <c r="A24" s="0" t="s">
        <v>86</v>
      </c>
      <c r="B24" s="4" t="s">
        <v>87</v>
      </c>
      <c r="C24" s="0" t="s">
        <v>76</v>
      </c>
      <c r="E24" s="6" t="n">
        <v>0.85</v>
      </c>
      <c r="G24" s="7" t="s">
        <v>77</v>
      </c>
      <c r="H24" s="7" t="s">
        <v>88</v>
      </c>
      <c r="I24" s="4" t="s">
        <v>38</v>
      </c>
    </row>
    <row r="25" customFormat="false" ht="17.15" hidden="false" customHeight="false" outlineLevel="0" collapsed="false">
      <c r="A25" s="0" t="s">
        <v>89</v>
      </c>
      <c r="B25" s="4" t="s">
        <v>90</v>
      </c>
      <c r="C25" s="0" t="s">
        <v>76</v>
      </c>
      <c r="E25" s="6" t="n">
        <v>0.6</v>
      </c>
      <c r="G25" s="7" t="s">
        <v>77</v>
      </c>
      <c r="H25" s="7" t="s">
        <v>91</v>
      </c>
      <c r="I25" s="7" t="s">
        <v>79</v>
      </c>
    </row>
    <row r="26" customFormat="false" ht="17.15" hidden="false" customHeight="false" outlineLevel="0" collapsed="false">
      <c r="A26" s="0" t="s">
        <v>92</v>
      </c>
      <c r="B26" s="4" t="s">
        <v>93</v>
      </c>
      <c r="C26" s="0" t="s">
        <v>76</v>
      </c>
      <c r="E26" s="6" t="n">
        <v>0.6</v>
      </c>
      <c r="G26" s="7" t="s">
        <v>77</v>
      </c>
      <c r="H26" s="7" t="s">
        <v>94</v>
      </c>
      <c r="I26" s="4" t="s">
        <v>38</v>
      </c>
    </row>
    <row r="27" customFormat="false" ht="17.15" hidden="false" customHeight="false" outlineLevel="0" collapsed="false">
      <c r="A27" s="1" t="s">
        <v>95</v>
      </c>
    </row>
    <row r="28" customFormat="false" ht="17.15" hidden="false" customHeight="false" outlineLevel="0" collapsed="false">
      <c r="A28" s="0" t="s">
        <v>96</v>
      </c>
      <c r="B28" s="4" t="s">
        <v>97</v>
      </c>
      <c r="C28" s="0" t="s">
        <v>76</v>
      </c>
      <c r="D28" s="6" t="n">
        <v>0.8</v>
      </c>
      <c r="E28" s="6" t="n">
        <v>1</v>
      </c>
      <c r="F28" s="6" t="n">
        <v>1.15</v>
      </c>
      <c r="G28" s="7" t="s">
        <v>77</v>
      </c>
      <c r="H28" s="7" t="s">
        <v>98</v>
      </c>
      <c r="I28" s="7" t="s">
        <v>99</v>
      </c>
    </row>
    <row r="29" customFormat="false" ht="17.15" hidden="false" customHeight="false" outlineLevel="0" collapsed="false">
      <c r="A29" s="0" t="s">
        <v>100</v>
      </c>
      <c r="B29" s="4" t="s">
        <v>101</v>
      </c>
      <c r="C29" s="0" t="s">
        <v>76</v>
      </c>
      <c r="D29" s="6" t="n">
        <v>0.7</v>
      </c>
      <c r="E29" s="6" t="n">
        <v>1</v>
      </c>
      <c r="F29" s="6" t="n">
        <v>1.25</v>
      </c>
      <c r="G29" s="7" t="s">
        <v>77</v>
      </c>
      <c r="H29" s="4" t="s">
        <v>102</v>
      </c>
      <c r="I29" s="7" t="s">
        <v>103</v>
      </c>
    </row>
    <row r="30" customFormat="false" ht="17.15" hidden="false" customHeight="false" outlineLevel="0" collapsed="false">
      <c r="A30" s="0" t="s">
        <v>104</v>
      </c>
      <c r="B30" s="4" t="s">
        <v>105</v>
      </c>
      <c r="C30" s="0" t="s">
        <v>76</v>
      </c>
      <c r="D30" s="6" t="n">
        <v>0.6</v>
      </c>
      <c r="E30" s="6" t="n">
        <v>0.95</v>
      </c>
      <c r="F30" s="6" t="n">
        <v>1.3</v>
      </c>
      <c r="G30" s="7" t="s">
        <v>77</v>
      </c>
      <c r="H30" s="4" t="s">
        <v>38</v>
      </c>
      <c r="I30" s="7" t="s">
        <v>103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65</v>
      </c>
      <c r="D31" s="6" t="n">
        <v>0</v>
      </c>
      <c r="E31" s="6" t="n">
        <v>0.05</v>
      </c>
      <c r="F31" s="6" t="n">
        <v>0.15</v>
      </c>
      <c r="G31" s="7" t="s">
        <v>77</v>
      </c>
      <c r="H31" s="7" t="s">
        <v>108</v>
      </c>
      <c r="I31" s="7" t="s">
        <v>109</v>
      </c>
    </row>
    <row r="32" customFormat="false" ht="17.15" hidden="false" customHeight="false" outlineLevel="0" collapsed="false">
      <c r="A32" s="0" t="s">
        <v>110</v>
      </c>
      <c r="B32" s="0" t="s">
        <v>111</v>
      </c>
      <c r="C32" s="0" t="s">
        <v>65</v>
      </c>
      <c r="D32" s="6" t="n">
        <v>0.02</v>
      </c>
      <c r="E32" s="6" t="n">
        <v>0.1</v>
      </c>
      <c r="F32" s="6" t="n">
        <v>0.2</v>
      </c>
      <c r="G32" s="7" t="s">
        <v>77</v>
      </c>
      <c r="H32" s="4" t="s">
        <v>38</v>
      </c>
      <c r="I32" s="4" t="s">
        <v>112</v>
      </c>
    </row>
    <row r="33" customFormat="false" ht="17.15" hidden="false" customHeight="false" outlineLevel="0" collapsed="false">
      <c r="A33" s="0" t="s">
        <v>113</v>
      </c>
      <c r="B33" s="0" t="s">
        <v>114</v>
      </c>
      <c r="C33" s="0" t="s">
        <v>65</v>
      </c>
      <c r="D33" s="6" t="n">
        <v>0.05</v>
      </c>
      <c r="E33" s="6" t="n">
        <v>0.15</v>
      </c>
      <c r="F33" s="6" t="n">
        <v>0.25</v>
      </c>
      <c r="G33" s="7" t="s">
        <v>77</v>
      </c>
      <c r="H33" s="4" t="s">
        <v>38</v>
      </c>
      <c r="I33" s="7" t="s">
        <v>103</v>
      </c>
    </row>
    <row r="34" customFormat="false" ht="17.15" hidden="false" customHeight="false" outlineLevel="0" collapsed="false">
      <c r="A34" s="0" t="s">
        <v>115</v>
      </c>
      <c r="B34" s="4" t="s">
        <v>116</v>
      </c>
      <c r="C34" s="0" t="s">
        <v>76</v>
      </c>
      <c r="D34" s="6" t="n">
        <v>0.9</v>
      </c>
      <c r="E34" s="6" t="n">
        <v>1</v>
      </c>
      <c r="F34" s="6" t="n">
        <v>1.05</v>
      </c>
      <c r="G34" s="7" t="s">
        <v>77</v>
      </c>
      <c r="H34" s="4" t="s">
        <v>117</v>
      </c>
      <c r="I34" s="4" t="s">
        <v>118</v>
      </c>
    </row>
    <row r="35" customFormat="false" ht="17.15" hidden="false" customHeight="false" outlineLevel="0" collapsed="false">
      <c r="A35" s="0" t="s">
        <v>119</v>
      </c>
      <c r="B35" s="4" t="s">
        <v>120</v>
      </c>
      <c r="C35" s="0" t="s">
        <v>76</v>
      </c>
      <c r="D35" s="6" t="n">
        <v>0.8</v>
      </c>
      <c r="E35" s="6" t="n">
        <v>1</v>
      </c>
      <c r="F35" s="6" t="n">
        <v>1.05</v>
      </c>
      <c r="G35" s="7" t="s">
        <v>77</v>
      </c>
      <c r="H35" s="4" t="s">
        <v>121</v>
      </c>
      <c r="I35" s="7" t="s">
        <v>103</v>
      </c>
    </row>
    <row r="36" customFormat="false" ht="17.15" hidden="false" customHeight="false" outlineLevel="0" collapsed="false">
      <c r="A36" s="0" t="s">
        <v>122</v>
      </c>
      <c r="B36" s="4" t="s">
        <v>123</v>
      </c>
      <c r="C36" s="0" t="s">
        <v>76</v>
      </c>
      <c r="D36" s="6" t="n">
        <v>0.72</v>
      </c>
      <c r="E36" s="6" t="n">
        <v>1</v>
      </c>
      <c r="F36" s="6" t="n">
        <v>1.05</v>
      </c>
      <c r="G36" s="7" t="s">
        <v>77</v>
      </c>
      <c r="H36" s="4" t="s">
        <v>38</v>
      </c>
      <c r="I36" s="7" t="s">
        <v>103</v>
      </c>
    </row>
    <row r="37" customFormat="false" ht="17.15" hidden="false" customHeight="false" outlineLevel="0" collapsed="false">
      <c r="A37" s="0" t="s">
        <v>124</v>
      </c>
      <c r="B37" s="4" t="s">
        <v>125</v>
      </c>
      <c r="C37" s="0" t="s">
        <v>65</v>
      </c>
      <c r="D37" s="6" t="n">
        <v>0.42</v>
      </c>
      <c r="E37" s="6" t="n">
        <v>0.46</v>
      </c>
      <c r="F37" s="6" t="n">
        <v>0.5</v>
      </c>
      <c r="G37" s="7" t="s">
        <v>77</v>
      </c>
      <c r="H37" s="7" t="s">
        <v>126</v>
      </c>
      <c r="I37" s="4" t="s">
        <v>127</v>
      </c>
    </row>
    <row r="38" customFormat="false" ht="17.15" hidden="false" customHeight="false" outlineLevel="0" collapsed="false">
      <c r="A38" s="0" t="s">
        <v>128</v>
      </c>
      <c r="B38" s="0" t="s">
        <v>129</v>
      </c>
      <c r="C38" s="0" t="s">
        <v>65</v>
      </c>
      <c r="D38" s="6" t="n">
        <v>0.03</v>
      </c>
      <c r="E38" s="6" t="n">
        <v>0.08</v>
      </c>
      <c r="F38" s="6" t="n">
        <v>0.15</v>
      </c>
      <c r="G38" s="7" t="s">
        <v>77</v>
      </c>
      <c r="H38" s="7" t="s">
        <v>130</v>
      </c>
      <c r="I38" s="7" t="s">
        <v>131</v>
      </c>
    </row>
    <row r="39" customFormat="false" ht="17.15" hidden="false" customHeight="false" outlineLevel="0" collapsed="false">
      <c r="A39" s="1" t="s">
        <v>132</v>
      </c>
    </row>
    <row r="40" customFormat="false" ht="17.15" hidden="false" customHeight="false" outlineLevel="0" collapsed="false">
      <c r="A40" s="0" t="s">
        <v>133</v>
      </c>
      <c r="B40" s="0" t="s">
        <v>134</v>
      </c>
      <c r="C40" s="0" t="s">
        <v>32</v>
      </c>
      <c r="E40" s="6" t="n">
        <v>1.2143</v>
      </c>
      <c r="G40" s="7" t="s">
        <v>135</v>
      </c>
      <c r="H40" s="7" t="s">
        <v>136</v>
      </c>
      <c r="I40" s="7" t="s">
        <v>137</v>
      </c>
    </row>
    <row r="41" customFormat="false" ht="17.15" hidden="false" customHeight="false" outlineLevel="0" collapsed="false">
      <c r="A41" s="0" t="s">
        <v>138</v>
      </c>
      <c r="B41" s="0" t="s">
        <v>139</v>
      </c>
      <c r="C41" s="0" t="s">
        <v>32</v>
      </c>
      <c r="E41" s="6" t="n">
        <v>1.315788</v>
      </c>
      <c r="G41" s="7" t="s">
        <v>135</v>
      </c>
      <c r="H41" s="7" t="s">
        <v>140</v>
      </c>
      <c r="I41" s="7" t="s">
        <v>141</v>
      </c>
    </row>
    <row r="42" customFormat="false" ht="17.15" hidden="false" customHeight="false" outlineLevel="0" collapsed="false">
      <c r="A42" s="0" t="s">
        <v>142</v>
      </c>
      <c r="B42" s="0" t="s">
        <v>143</v>
      </c>
      <c r="C42" s="0" t="s">
        <v>32</v>
      </c>
      <c r="E42" s="6" t="n">
        <v>0.592</v>
      </c>
      <c r="G42" s="7" t="s">
        <v>144</v>
      </c>
      <c r="H42" s="7" t="s">
        <v>145</v>
      </c>
      <c r="I42" s="7" t="s">
        <v>146</v>
      </c>
    </row>
    <row r="43" customFormat="false" ht="17.15" hidden="false" customHeight="false" outlineLevel="0" collapsed="false">
      <c r="A43" s="0" t="s">
        <v>147</v>
      </c>
      <c r="B43" s="0" t="s">
        <v>148</v>
      </c>
      <c r="C43" s="0" t="s">
        <v>32</v>
      </c>
      <c r="E43" s="6" t="n">
        <v>0.6693</v>
      </c>
      <c r="G43" s="7" t="s">
        <v>144</v>
      </c>
      <c r="H43" s="7" t="s">
        <v>149</v>
      </c>
      <c r="I43" s="7" t="s">
        <v>150</v>
      </c>
    </row>
    <row r="44" customFormat="false" ht="17.15" hidden="false" customHeight="false" outlineLevel="0" collapsed="false">
      <c r="A44" s="0" t="s">
        <v>151</v>
      </c>
      <c r="B44" s="0" t="s">
        <v>152</v>
      </c>
      <c r="C44" s="0" t="s">
        <v>32</v>
      </c>
      <c r="E44" s="6" t="n">
        <v>0.4129</v>
      </c>
      <c r="G44" s="7" t="s">
        <v>144</v>
      </c>
      <c r="H44" s="7" t="s">
        <v>153</v>
      </c>
      <c r="I44" s="7" t="s">
        <v>154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32</v>
      </c>
      <c r="E45" s="6" t="n">
        <v>0.2336</v>
      </c>
      <c r="G45" s="7" t="s">
        <v>144</v>
      </c>
      <c r="H45" s="7" t="s">
        <v>157</v>
      </c>
      <c r="I45" s="7" t="s">
        <v>158</v>
      </c>
    </row>
    <row r="46" customFormat="false" ht="17.15" hidden="false" customHeight="false" outlineLevel="0" collapsed="false">
      <c r="A46" s="0" t="s">
        <v>159</v>
      </c>
      <c r="B46" s="0" t="s">
        <v>160</v>
      </c>
      <c r="C46" s="0" t="s">
        <v>65</v>
      </c>
      <c r="E46" s="6" t="n">
        <v>0.01</v>
      </c>
      <c r="G46" s="7" t="s">
        <v>144</v>
      </c>
      <c r="H46" s="7" t="s">
        <v>161</v>
      </c>
      <c r="I46" s="7" t="s">
        <v>162</v>
      </c>
    </row>
    <row r="47" customFormat="false" ht="17.15" hidden="false" customHeight="false" outlineLevel="0" collapsed="false">
      <c r="A47" s="0" t="s">
        <v>163</v>
      </c>
      <c r="B47" s="0" t="s">
        <v>164</v>
      </c>
      <c r="C47" s="0" t="s">
        <v>32</v>
      </c>
      <c r="E47" s="6" t="n">
        <v>0.1381</v>
      </c>
      <c r="G47" s="7" t="s">
        <v>144</v>
      </c>
      <c r="H47" s="7" t="s">
        <v>165</v>
      </c>
      <c r="I47" s="7" t="s">
        <v>103</v>
      </c>
    </row>
    <row r="48" customFormat="false" ht="17.15" hidden="false" customHeight="false" outlineLevel="0" collapsed="false">
      <c r="A48" s="0" t="s">
        <v>166</v>
      </c>
      <c r="B48" s="0" t="s">
        <v>167</v>
      </c>
      <c r="C48" s="0" t="s">
        <v>32</v>
      </c>
      <c r="E48" s="6" t="n">
        <v>0.1422</v>
      </c>
      <c r="G48" s="7" t="s">
        <v>144</v>
      </c>
      <c r="H48" s="7" t="s">
        <v>168</v>
      </c>
      <c r="I48" s="7" t="s">
        <v>169</v>
      </c>
    </row>
    <row r="49" customFormat="false" ht="17.15" hidden="false" customHeight="false" outlineLevel="0" collapsed="false">
      <c r="A49" s="0" t="s">
        <v>170</v>
      </c>
      <c r="B49" s="0" t="s">
        <v>171</v>
      </c>
      <c r="C49" s="0" t="s">
        <v>32</v>
      </c>
      <c r="E49" s="6" t="n">
        <v>0.1969</v>
      </c>
      <c r="G49" s="7" t="s">
        <v>144</v>
      </c>
      <c r="H49" s="7" t="s">
        <v>172</v>
      </c>
      <c r="I49" s="7" t="s">
        <v>173</v>
      </c>
    </row>
    <row r="50" customFormat="false" ht="17.15" hidden="false" customHeight="false" outlineLevel="0" collapsed="false">
      <c r="A50" s="0" t="s">
        <v>174</v>
      </c>
      <c r="B50" s="0" t="s">
        <v>175</v>
      </c>
      <c r="C50" s="0" t="s">
        <v>32</v>
      </c>
      <c r="E50" s="6" t="n">
        <v>0.2559</v>
      </c>
      <c r="G50" s="7" t="s">
        <v>144</v>
      </c>
      <c r="H50" s="7" t="s">
        <v>176</v>
      </c>
      <c r="I50" s="7" t="s">
        <v>177</v>
      </c>
    </row>
    <row r="51" customFormat="false" ht="17.15" hidden="false" customHeight="false" outlineLevel="0" collapsed="false">
      <c r="A51" s="0" t="s">
        <v>178</v>
      </c>
      <c r="B51" s="0" t="s">
        <v>179</v>
      </c>
      <c r="C51" s="0" t="s">
        <v>32</v>
      </c>
      <c r="E51" s="6" t="n">
        <v>0.0154</v>
      </c>
      <c r="G51" s="7" t="s">
        <v>144</v>
      </c>
      <c r="H51" s="7" t="s">
        <v>180</v>
      </c>
      <c r="I51" s="7" t="s">
        <v>181</v>
      </c>
    </row>
    <row r="52" customFormat="false" ht="17.15" hidden="false" customHeight="false" outlineLevel="0" collapsed="false">
      <c r="A52" s="0" t="s">
        <v>182</v>
      </c>
      <c r="B52" s="0" t="s">
        <v>183</v>
      </c>
      <c r="C52" s="0" t="s">
        <v>32</v>
      </c>
      <c r="E52" s="6" t="n">
        <v>0.086</v>
      </c>
      <c r="G52" s="7" t="s">
        <v>144</v>
      </c>
      <c r="H52" s="7" t="s">
        <v>184</v>
      </c>
      <c r="I52" s="4" t="s">
        <v>185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0" t="s">
        <v>32</v>
      </c>
      <c r="E53" s="6" t="n">
        <v>0.1067</v>
      </c>
      <c r="G53" s="7" t="s">
        <v>144</v>
      </c>
      <c r="H53" s="7" t="s">
        <v>188</v>
      </c>
      <c r="I53" s="4" t="s">
        <v>185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0" t="s">
        <v>32</v>
      </c>
      <c r="E54" s="6" t="n">
        <v>0.118</v>
      </c>
      <c r="G54" s="7" t="s">
        <v>144</v>
      </c>
      <c r="H54" s="7" t="s">
        <v>191</v>
      </c>
      <c r="I54" s="4" t="s">
        <v>192</v>
      </c>
    </row>
    <row r="55" customFormat="false" ht="17.15" hidden="false" customHeight="false" outlineLevel="0" collapsed="false">
      <c r="A55" s="0" t="s">
        <v>193</v>
      </c>
      <c r="B55" s="0" t="s">
        <v>194</v>
      </c>
      <c r="C55" s="0" t="s">
        <v>65</v>
      </c>
      <c r="E55" s="6" t="n">
        <v>0.42</v>
      </c>
      <c r="G55" s="7" t="s">
        <v>144</v>
      </c>
      <c r="H55" s="7" t="s">
        <v>195</v>
      </c>
      <c r="I55" s="7" t="s">
        <v>103</v>
      </c>
    </row>
    <row r="56" customFormat="false" ht="17.15" hidden="false" customHeight="false" outlineLevel="0" collapsed="false">
      <c r="A56" s="0" t="s">
        <v>196</v>
      </c>
      <c r="B56" s="0" t="s">
        <v>197</v>
      </c>
      <c r="C56" s="0" t="s">
        <v>65</v>
      </c>
      <c r="E56" s="6" t="n">
        <v>0.904</v>
      </c>
      <c r="G56" s="7" t="s">
        <v>144</v>
      </c>
      <c r="H56" s="7" t="s">
        <v>198</v>
      </c>
      <c r="I56" s="7" t="s">
        <v>103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0" t="s">
        <v>32</v>
      </c>
      <c r="E57" s="6" t="n">
        <v>0.107</v>
      </c>
      <c r="G57" s="7" t="s">
        <v>144</v>
      </c>
      <c r="H57" s="7" t="s">
        <v>201</v>
      </c>
      <c r="I57" s="7" t="s">
        <v>103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0" t="s">
        <v>32</v>
      </c>
      <c r="D58" s="6" t="n">
        <v>0.08</v>
      </c>
      <c r="E58" s="6" t="n">
        <v>0.1</v>
      </c>
      <c r="F58" s="6" t="n">
        <v>0.11</v>
      </c>
      <c r="G58" s="7" t="s">
        <v>77</v>
      </c>
      <c r="H58" s="4" t="s">
        <v>204</v>
      </c>
      <c r="I58" s="4" t="s">
        <v>205</v>
      </c>
    </row>
    <row r="59" customFormat="false" ht="17.15" hidden="false" customHeight="false" outlineLevel="0" collapsed="false">
      <c r="A59" s="0" t="s">
        <v>206</v>
      </c>
      <c r="B59" s="0" t="s">
        <v>207</v>
      </c>
      <c r="C59" s="0" t="s">
        <v>65</v>
      </c>
      <c r="E59" s="6" t="n">
        <v>0.163</v>
      </c>
      <c r="G59" s="7" t="s">
        <v>135</v>
      </c>
      <c r="H59" s="7" t="s">
        <v>208</v>
      </c>
      <c r="I59" s="7" t="s">
        <v>209</v>
      </c>
    </row>
    <row r="60" customFormat="false" ht="17.15" hidden="false" customHeight="false" outlineLevel="0" collapsed="false">
      <c r="A60" s="1" t="s">
        <v>210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32</v>
      </c>
      <c r="D61" s="6" t="n">
        <v>1.375</v>
      </c>
      <c r="E61" s="6" t="n">
        <v>1.4</v>
      </c>
      <c r="F61" s="6" t="n">
        <v>1.425</v>
      </c>
      <c r="G61" s="7" t="s">
        <v>144</v>
      </c>
      <c r="H61" s="7" t="s">
        <v>213</v>
      </c>
      <c r="I61" s="7" t="s">
        <v>214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217</v>
      </c>
      <c r="D62" s="6" t="n">
        <v>4.1</v>
      </c>
      <c r="E62" s="6" t="n">
        <v>4.175</v>
      </c>
      <c r="F62" s="6" t="n">
        <v>4.25</v>
      </c>
      <c r="G62" s="7" t="s">
        <v>144</v>
      </c>
      <c r="H62" s="7" t="s">
        <v>218</v>
      </c>
      <c r="I62" s="7" t="s">
        <v>219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0" t="s">
        <v>65</v>
      </c>
      <c r="D63" s="6" t="n">
        <v>0.12</v>
      </c>
      <c r="E63" s="6" t="n">
        <v>0.122</v>
      </c>
      <c r="F63" s="6" t="n">
        <v>0.124</v>
      </c>
      <c r="G63" s="7" t="s">
        <v>77</v>
      </c>
      <c r="H63" s="7" t="s">
        <v>222</v>
      </c>
      <c r="I63" s="7" t="s">
        <v>223</v>
      </c>
    </row>
    <row r="64" customFormat="false" ht="17.15" hidden="false" customHeight="false" outlineLevel="0" collapsed="false">
      <c r="A64" s="0" t="s">
        <v>224</v>
      </c>
      <c r="B64" s="0" t="s">
        <v>225</v>
      </c>
      <c r="C64" s="0" t="s">
        <v>32</v>
      </c>
      <c r="D64" s="6" t="n">
        <v>0.018</v>
      </c>
      <c r="E64" s="6" t="n">
        <v>0.0195</v>
      </c>
      <c r="F64" s="6" t="n">
        <v>0.021</v>
      </c>
      <c r="G64" s="7" t="s">
        <v>77</v>
      </c>
      <c r="H64" s="7" t="s">
        <v>226</v>
      </c>
      <c r="I64" s="7" t="s">
        <v>227</v>
      </c>
    </row>
    <row r="65" customFormat="false" ht="17.15" hidden="false" customHeight="false" outlineLevel="0" collapsed="false">
      <c r="A65" s="0" t="s">
        <v>228</v>
      </c>
      <c r="B65" s="0" t="s">
        <v>229</v>
      </c>
      <c r="C65" s="0" t="s">
        <v>65</v>
      </c>
      <c r="D65" s="6" t="n">
        <v>0.05</v>
      </c>
      <c r="E65" s="6" t="n">
        <v>0.1</v>
      </c>
      <c r="F65" s="6" t="n">
        <v>0.15</v>
      </c>
      <c r="G65" s="7" t="s">
        <v>77</v>
      </c>
      <c r="H65" s="7" t="s">
        <v>230</v>
      </c>
      <c r="I65" s="7" t="s">
        <v>231</v>
      </c>
    </row>
    <row r="66" customFormat="false" ht="17.15" hidden="false" customHeight="false" outlineLevel="0" collapsed="false">
      <c r="A66" s="0" t="s">
        <v>232</v>
      </c>
      <c r="B66" s="0" t="s">
        <v>233</v>
      </c>
      <c r="C66" s="0" t="s">
        <v>65</v>
      </c>
      <c r="D66" s="6" t="n">
        <v>0</v>
      </c>
      <c r="E66" s="6" t="n">
        <v>0.1</v>
      </c>
      <c r="F66" s="6" t="n">
        <v>0.2</v>
      </c>
      <c r="G66" s="7" t="s">
        <v>77</v>
      </c>
      <c r="H66" s="7" t="s">
        <v>234</v>
      </c>
      <c r="I66" s="7" t="s">
        <v>235</v>
      </c>
    </row>
    <row r="67" customFormat="false" ht="17.15" hidden="false" customHeight="false" outlineLevel="0" collapsed="false">
      <c r="A67" s="0" t="s">
        <v>236</v>
      </c>
      <c r="B67" s="4" t="s">
        <v>237</v>
      </c>
      <c r="C67" s="0" t="s">
        <v>65</v>
      </c>
      <c r="D67" s="6" t="n">
        <v>0</v>
      </c>
      <c r="E67" s="6" t="n">
        <v>0.03</v>
      </c>
      <c r="F67" s="6" t="n">
        <v>0.05</v>
      </c>
      <c r="G67" s="7" t="s">
        <v>77</v>
      </c>
      <c r="H67" s="7" t="s">
        <v>238</v>
      </c>
      <c r="I67" s="7" t="s">
        <v>103</v>
      </c>
    </row>
    <row r="68" customFormat="false" ht="17.15" hidden="false" customHeight="false" outlineLevel="0" collapsed="false">
      <c r="A68" s="0" t="s">
        <v>239</v>
      </c>
      <c r="B68" s="4" t="s">
        <v>240</v>
      </c>
      <c r="C68" s="0" t="s">
        <v>65</v>
      </c>
      <c r="D68" s="6" t="n">
        <v>0</v>
      </c>
      <c r="E68" s="6" t="n">
        <v>0.02</v>
      </c>
      <c r="F68" s="6" t="n">
        <v>0.05</v>
      </c>
      <c r="G68" s="7" t="s">
        <v>77</v>
      </c>
      <c r="H68" s="7" t="s">
        <v>241</v>
      </c>
      <c r="I68" s="7" t="s">
        <v>103</v>
      </c>
    </row>
    <row r="69" customFormat="false" ht="17.15" hidden="false" customHeight="false" outlineLevel="0" collapsed="false">
      <c r="A69" s="1" t="s">
        <v>242</v>
      </c>
    </row>
    <row r="70" customFormat="false" ht="17.15" hidden="false" customHeight="false" outlineLevel="0" collapsed="false">
      <c r="A70" s="0" t="s">
        <v>243</v>
      </c>
      <c r="B70" s="0" t="s">
        <v>244</v>
      </c>
      <c r="C70" s="0" t="s">
        <v>65</v>
      </c>
      <c r="D70" s="6" t="n">
        <v>0</v>
      </c>
      <c r="E70" s="6" t="n">
        <v>0.12</v>
      </c>
      <c r="F70" s="6" t="n">
        <v>0.25</v>
      </c>
      <c r="G70" s="7" t="s">
        <v>77</v>
      </c>
      <c r="H70" s="7" t="s">
        <v>245</v>
      </c>
      <c r="I70" s="7" t="s">
        <v>103</v>
      </c>
    </row>
    <row r="71" customFormat="false" ht="17.15" hidden="false" customHeight="false" outlineLevel="0" collapsed="false">
      <c r="A71" s="0" t="s">
        <v>246</v>
      </c>
      <c r="B71" s="0" t="s">
        <v>247</v>
      </c>
      <c r="C71" s="0" t="s">
        <v>65</v>
      </c>
      <c r="D71" s="6" t="n">
        <v>0.05</v>
      </c>
      <c r="E71" s="6" t="n">
        <v>0.2</v>
      </c>
      <c r="F71" s="6" t="n">
        <v>0.3</v>
      </c>
      <c r="G71" s="7" t="s">
        <v>77</v>
      </c>
      <c r="H71" s="7" t="s">
        <v>248</v>
      </c>
      <c r="I71" s="7" t="s">
        <v>103</v>
      </c>
    </row>
    <row r="72" customFormat="false" ht="17.15" hidden="false" customHeight="false" outlineLevel="0" collapsed="false">
      <c r="A72" s="0" t="s">
        <v>249</v>
      </c>
      <c r="B72" s="0" t="s">
        <v>250</v>
      </c>
      <c r="C72" s="0" t="s">
        <v>65</v>
      </c>
      <c r="D72" s="6" t="n">
        <v>0</v>
      </c>
      <c r="E72" s="6" t="n">
        <v>0.1</v>
      </c>
      <c r="F72" s="6" t="n">
        <v>0.2</v>
      </c>
      <c r="G72" s="7" t="s">
        <v>77</v>
      </c>
      <c r="H72" s="4" t="s">
        <v>38</v>
      </c>
      <c r="I72" s="7" t="s">
        <v>103</v>
      </c>
    </row>
    <row r="73" customFormat="false" ht="17.15" hidden="false" customHeight="false" outlineLevel="0" collapsed="false">
      <c r="A73" s="0" t="s">
        <v>251</v>
      </c>
      <c r="B73" s="0" t="s">
        <v>252</v>
      </c>
      <c r="C73" s="0" t="s">
        <v>65</v>
      </c>
      <c r="D73" s="6" t="n">
        <v>-0.1</v>
      </c>
      <c r="E73" s="6" t="n">
        <v>0.08</v>
      </c>
      <c r="F73" s="6" t="n">
        <v>0.2</v>
      </c>
      <c r="G73" s="7" t="s">
        <v>77</v>
      </c>
      <c r="H73" s="7" t="s">
        <v>253</v>
      </c>
      <c r="I73" s="7" t="s">
        <v>103</v>
      </c>
    </row>
    <row r="74" customFormat="false" ht="17.15" hidden="false" customHeight="false" outlineLevel="0" collapsed="false">
      <c r="A74" s="0" t="s">
        <v>254</v>
      </c>
      <c r="B74" s="0" t="s">
        <v>255</v>
      </c>
      <c r="C74" s="0" t="s">
        <v>65</v>
      </c>
      <c r="D74" s="6" t="n">
        <v>-0.1</v>
      </c>
      <c r="E74" s="6" t="n">
        <v>0.15</v>
      </c>
      <c r="F74" s="6" t="n">
        <v>0.3</v>
      </c>
      <c r="G74" s="7" t="s">
        <v>77</v>
      </c>
      <c r="H74" s="4" t="s">
        <v>38</v>
      </c>
      <c r="I74" s="7" t="s">
        <v>103</v>
      </c>
    </row>
    <row r="75" customFormat="false" ht="17.15" hidden="false" customHeight="false" outlineLevel="0" collapsed="false">
      <c r="A75" s="0" t="s">
        <v>256</v>
      </c>
      <c r="B75" s="0" t="s">
        <v>257</v>
      </c>
      <c r="C75" s="0" t="s">
        <v>65</v>
      </c>
      <c r="D75" s="6" t="n">
        <v>-0.1</v>
      </c>
      <c r="E75" s="6" t="n">
        <v>0.1</v>
      </c>
      <c r="F75" s="6" t="n">
        <v>0.2</v>
      </c>
      <c r="G75" s="7" t="s">
        <v>77</v>
      </c>
      <c r="H75" s="4" t="s">
        <v>38</v>
      </c>
      <c r="I75" s="7" t="s">
        <v>103</v>
      </c>
    </row>
    <row r="76" customFormat="false" ht="17.15" hidden="false" customHeight="false" outlineLevel="0" collapsed="false">
      <c r="A76" s="0" t="s">
        <v>258</v>
      </c>
      <c r="B76" s="4" t="s">
        <v>259</v>
      </c>
      <c r="C76" s="0" t="s">
        <v>65</v>
      </c>
      <c r="D76" s="6" t="n">
        <v>0</v>
      </c>
      <c r="E76" s="6" t="n">
        <v>0.04</v>
      </c>
      <c r="F76" s="6" t="n">
        <v>0.06</v>
      </c>
      <c r="G76" s="7" t="s">
        <v>77</v>
      </c>
      <c r="H76" s="7" t="s">
        <v>260</v>
      </c>
      <c r="I76" s="7" t="s">
        <v>103</v>
      </c>
    </row>
    <row r="77" customFormat="false" ht="17.15" hidden="false" customHeight="false" outlineLevel="0" collapsed="false">
      <c r="A77" s="0" t="s">
        <v>261</v>
      </c>
      <c r="B77" s="4" t="s">
        <v>262</v>
      </c>
      <c r="C77" s="0" t="s">
        <v>65</v>
      </c>
      <c r="D77" s="6" t="n">
        <v>0</v>
      </c>
      <c r="E77" s="6" t="n">
        <v>0.06</v>
      </c>
      <c r="F77" s="6" t="n">
        <v>0.1</v>
      </c>
      <c r="G77" s="7" t="s">
        <v>77</v>
      </c>
      <c r="H77" s="7" t="s">
        <v>263</v>
      </c>
      <c r="I77" s="7" t="s">
        <v>103</v>
      </c>
    </row>
    <row r="78" customFormat="false" ht="17.15" hidden="false" customHeight="false" outlineLevel="0" collapsed="false">
      <c r="A78" s="0" t="s">
        <v>264</v>
      </c>
      <c r="B78" s="4" t="s">
        <v>265</v>
      </c>
      <c r="C78" s="0" t="s">
        <v>65</v>
      </c>
      <c r="D78" s="6" t="n">
        <v>-0.03</v>
      </c>
      <c r="E78" s="6" t="n">
        <v>0.05</v>
      </c>
      <c r="F78" s="6" t="n">
        <v>0.08</v>
      </c>
      <c r="G78" s="7" t="s">
        <v>77</v>
      </c>
      <c r="H78" s="4" t="s">
        <v>38</v>
      </c>
      <c r="I78" s="7" t="s">
        <v>103</v>
      </c>
    </row>
    <row r="79" customFormat="false" ht="17.15" hidden="false" customHeight="false" outlineLevel="0" collapsed="false">
      <c r="A79" s="0" t="s">
        <v>266</v>
      </c>
      <c r="B79" s="4" t="s">
        <v>267</v>
      </c>
      <c r="C79" s="0" t="s">
        <v>65</v>
      </c>
      <c r="D79" s="6" t="n">
        <v>-0.02</v>
      </c>
      <c r="E79" s="6" t="n">
        <v>0.02</v>
      </c>
      <c r="F79" s="6" t="n">
        <v>0.05</v>
      </c>
      <c r="G79" s="7" t="s">
        <v>77</v>
      </c>
      <c r="H79" s="7" t="s">
        <v>268</v>
      </c>
      <c r="I79" s="7" t="s">
        <v>103</v>
      </c>
    </row>
    <row r="80" customFormat="false" ht="17.15" hidden="false" customHeight="false" outlineLevel="0" collapsed="false">
      <c r="A80" s="0" t="s">
        <v>269</v>
      </c>
      <c r="B80" s="4" t="s">
        <v>270</v>
      </c>
      <c r="C80" s="0" t="s">
        <v>65</v>
      </c>
      <c r="D80" s="6" t="n">
        <v>0</v>
      </c>
      <c r="E80" s="6" t="n">
        <v>0.05</v>
      </c>
      <c r="F80" s="6" t="n">
        <v>0.08</v>
      </c>
      <c r="G80" s="7" t="s">
        <v>77</v>
      </c>
      <c r="H80" s="7" t="s">
        <v>271</v>
      </c>
      <c r="I80" s="7" t="s">
        <v>103</v>
      </c>
    </row>
    <row r="81" customFormat="false" ht="17.15" hidden="false" customHeight="false" outlineLevel="0" collapsed="false">
      <c r="A81" s="0" t="s">
        <v>272</v>
      </c>
      <c r="B81" s="4" t="s">
        <v>273</v>
      </c>
      <c r="C81" s="0" t="s">
        <v>65</v>
      </c>
      <c r="D81" s="6" t="n">
        <v>0</v>
      </c>
      <c r="E81" s="6" t="n">
        <v>0.05</v>
      </c>
      <c r="F81" s="6" t="n">
        <v>0.08</v>
      </c>
      <c r="G81" s="7" t="s">
        <v>77</v>
      </c>
      <c r="H81" s="4" t="s">
        <v>38</v>
      </c>
      <c r="I81" s="7" t="s">
        <v>103</v>
      </c>
    </row>
    <row r="82" customFormat="false" ht="17.15" hidden="false" customHeight="false" outlineLevel="0" collapsed="false">
      <c r="A82" s="1" t="s">
        <v>274</v>
      </c>
    </row>
    <row r="83" customFormat="false" ht="17.15" hidden="false" customHeight="false" outlineLevel="0" collapsed="false">
      <c r="A83" s="0" t="s">
        <v>275</v>
      </c>
      <c r="B83" s="0" t="s">
        <v>276</v>
      </c>
      <c r="C83" s="0" t="s">
        <v>65</v>
      </c>
      <c r="D83" s="6" t="n">
        <v>0.118</v>
      </c>
      <c r="E83" s="6" t="n">
        <v>0.123</v>
      </c>
      <c r="F83" s="6" t="n">
        <v>0.127</v>
      </c>
      <c r="G83" s="7" t="s">
        <v>77</v>
      </c>
      <c r="H83" s="7" t="s">
        <v>277</v>
      </c>
      <c r="I83" s="7" t="s">
        <v>278</v>
      </c>
    </row>
    <row r="84" customFormat="false" ht="17.15" hidden="false" customHeight="false" outlineLevel="0" collapsed="false">
      <c r="A84" s="0" t="s">
        <v>279</v>
      </c>
      <c r="B84" s="0" t="s">
        <v>280</v>
      </c>
      <c r="C84" s="0" t="s">
        <v>65</v>
      </c>
      <c r="D84" s="6" t="n">
        <v>0.115</v>
      </c>
      <c r="E84" s="6" t="n">
        <v>0.123</v>
      </c>
      <c r="F84" s="6" t="n">
        <v>0.128</v>
      </c>
      <c r="G84" s="7" t="s">
        <v>77</v>
      </c>
      <c r="H84" s="4" t="s">
        <v>281</v>
      </c>
      <c r="I84" s="7" t="s">
        <v>103</v>
      </c>
    </row>
    <row r="85" customFormat="false" ht="17.15" hidden="false" customHeight="false" outlineLevel="0" collapsed="false">
      <c r="A85" s="0" t="s">
        <v>282</v>
      </c>
      <c r="B85" s="0" t="s">
        <v>283</v>
      </c>
      <c r="C85" s="0" t="s">
        <v>65</v>
      </c>
      <c r="D85" s="6" t="n">
        <v>0.113</v>
      </c>
      <c r="E85" s="6" t="n">
        <v>0.123</v>
      </c>
      <c r="F85" s="6" t="n">
        <v>0.128</v>
      </c>
      <c r="G85" s="7" t="s">
        <v>77</v>
      </c>
      <c r="H85" s="4" t="s">
        <v>38</v>
      </c>
      <c r="I85" s="7" t="s">
        <v>103</v>
      </c>
    </row>
    <row r="86" customFormat="false" ht="17.15" hidden="false" customHeight="false" outlineLevel="0" collapsed="false">
      <c r="A86" s="0" t="s">
        <v>284</v>
      </c>
      <c r="B86" s="4" t="s">
        <v>285</v>
      </c>
      <c r="C86" s="0" t="s">
        <v>76</v>
      </c>
      <c r="D86" s="6" t="n">
        <v>0.1</v>
      </c>
      <c r="E86" s="8" t="n">
        <f aca="false">Q!B24</f>
        <v>0.213538450198988</v>
      </c>
      <c r="F86" s="6" t="n">
        <v>0.6</v>
      </c>
      <c r="G86" s="7" t="s">
        <v>33</v>
      </c>
      <c r="H86" s="7" t="s">
        <v>286</v>
      </c>
      <c r="I86" s="7" t="s">
        <v>287</v>
      </c>
    </row>
    <row r="87" customFormat="false" ht="17.15" hidden="false" customHeight="false" outlineLevel="0" collapsed="false">
      <c r="A87" s="0" t="s">
        <v>288</v>
      </c>
      <c r="B87" s="4" t="s">
        <v>289</v>
      </c>
      <c r="C87" s="0" t="s">
        <v>290</v>
      </c>
      <c r="D87" s="6" t="n">
        <v>-0.002</v>
      </c>
      <c r="E87" s="6" t="n">
        <v>0</v>
      </c>
      <c r="F87" s="6" t="n">
        <v>0.005</v>
      </c>
      <c r="G87" s="7" t="s">
        <v>77</v>
      </c>
      <c r="H87" s="4" t="s">
        <v>291</v>
      </c>
      <c r="I87" s="7" t="s">
        <v>292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32</v>
      </c>
      <c r="D88" s="6" t="n">
        <v>0.02</v>
      </c>
      <c r="E88" s="6" t="n">
        <v>0.03</v>
      </c>
      <c r="F88" s="6" t="n">
        <v>0.04</v>
      </c>
      <c r="G88" s="7" t="s">
        <v>77</v>
      </c>
      <c r="H88" s="7" t="s">
        <v>295</v>
      </c>
      <c r="I88" s="4" t="s">
        <v>296</v>
      </c>
    </row>
    <row r="89" customFormat="false" ht="17.15" hidden="false" customHeight="false" outlineLevel="0" collapsed="false">
      <c r="A89" s="0" t="s">
        <v>297</v>
      </c>
      <c r="B89" s="0" t="s">
        <v>298</v>
      </c>
      <c r="C89" s="0" t="s">
        <v>65</v>
      </c>
      <c r="D89" s="6" t="n">
        <v>0.04</v>
      </c>
      <c r="E89" s="6" t="n">
        <v>0.05</v>
      </c>
      <c r="F89" s="6" t="n">
        <v>0.06</v>
      </c>
      <c r="G89" s="7" t="s">
        <v>77</v>
      </c>
      <c r="H89" s="7" t="s">
        <v>299</v>
      </c>
      <c r="I89" s="4" t="s">
        <v>300</v>
      </c>
    </row>
    <row r="90" customFormat="false" ht="17.15" hidden="false" customHeight="false" outlineLevel="0" collapsed="false">
      <c r="A90" s="0" t="s">
        <v>301</v>
      </c>
      <c r="B90" s="0" t="s">
        <v>302</v>
      </c>
      <c r="C90" s="0" t="s">
        <v>290</v>
      </c>
      <c r="E90" s="6" t="n">
        <v>0.09</v>
      </c>
      <c r="G90" s="7" t="s">
        <v>33</v>
      </c>
      <c r="H90" s="7" t="s">
        <v>303</v>
      </c>
      <c r="I90" s="7" t="s">
        <v>304</v>
      </c>
    </row>
    <row r="91" customFormat="false" ht="17.15" hidden="false" customHeight="false" outlineLevel="0" collapsed="false">
      <c r="A91" s="0" t="s">
        <v>305</v>
      </c>
      <c r="B91" s="0" t="s">
        <v>306</v>
      </c>
      <c r="C91" s="4" t="s">
        <v>307</v>
      </c>
      <c r="E91" s="6" t="n">
        <v>0.0363</v>
      </c>
      <c r="G91" s="7" t="s">
        <v>144</v>
      </c>
      <c r="H91" s="7" t="s">
        <v>308</v>
      </c>
      <c r="I91" s="7" t="s">
        <v>309</v>
      </c>
    </row>
    <row r="92" customFormat="false" ht="17.15" hidden="false" customHeight="false" outlineLevel="0" collapsed="false">
      <c r="A92" s="0" t="s">
        <v>310</v>
      </c>
      <c r="B92" s="4" t="s">
        <v>311</v>
      </c>
      <c r="C92" s="0" t="s">
        <v>65</v>
      </c>
      <c r="D92" s="6" t="n">
        <v>-0.01</v>
      </c>
      <c r="E92" s="6" t="n">
        <v>0</v>
      </c>
      <c r="F92" s="6" t="n">
        <v>0.01</v>
      </c>
      <c r="G92" s="7" t="s">
        <v>77</v>
      </c>
      <c r="H92" s="7" t="s">
        <v>312</v>
      </c>
      <c r="I92" s="4" t="s">
        <v>313</v>
      </c>
    </row>
    <row r="93" customFormat="false" ht="17.15" hidden="false" customHeight="false" outlineLevel="0" collapsed="false">
      <c r="A93" s="0" t="s">
        <v>314</v>
      </c>
      <c r="B93" s="0" t="s">
        <v>315</v>
      </c>
      <c r="C93" s="0" t="s">
        <v>76</v>
      </c>
      <c r="D93" s="6" t="n">
        <v>0.8</v>
      </c>
      <c r="E93" s="6" t="n">
        <v>1</v>
      </c>
      <c r="F93" s="6" t="n">
        <v>1.2</v>
      </c>
      <c r="G93" s="7" t="s">
        <v>77</v>
      </c>
      <c r="H93" s="4" t="s">
        <v>316</v>
      </c>
      <c r="I93" s="7" t="s">
        <v>317</v>
      </c>
    </row>
    <row r="94" customFormat="false" ht="17.15" hidden="false" customHeight="false" outlineLevel="0" collapsed="false">
      <c r="A94" s="1" t="s">
        <v>318</v>
      </c>
    </row>
    <row r="95" customFormat="false" ht="17.15" hidden="false" customHeight="false" outlineLevel="0" collapsed="false">
      <c r="A95" s="0" t="s">
        <v>319</v>
      </c>
      <c r="B95" s="0" t="s">
        <v>320</v>
      </c>
      <c r="C95" s="0" t="s">
        <v>32</v>
      </c>
      <c r="E95" s="6" t="n">
        <v>3.419327</v>
      </c>
      <c r="G95" s="7" t="s">
        <v>135</v>
      </c>
      <c r="H95" s="7" t="s">
        <v>321</v>
      </c>
      <c r="I95" s="7" t="s">
        <v>322</v>
      </c>
    </row>
    <row r="96" customFormat="false" ht="17.15" hidden="false" customHeight="false" outlineLevel="0" collapsed="false">
      <c r="A96" s="0" t="s">
        <v>323</v>
      </c>
      <c r="B96" s="0" t="s">
        <v>324</v>
      </c>
      <c r="C96" s="0" t="s">
        <v>32</v>
      </c>
      <c r="E96" s="6" t="n">
        <v>4.641097</v>
      </c>
      <c r="G96" s="7" t="s">
        <v>135</v>
      </c>
      <c r="H96" s="7" t="s">
        <v>325</v>
      </c>
      <c r="I96" s="7" t="s">
        <v>326</v>
      </c>
    </row>
    <row r="97" customFormat="false" ht="17.15" hidden="false" customHeight="false" outlineLevel="0" collapsed="false">
      <c r="A97" s="0" t="s">
        <v>327</v>
      </c>
      <c r="B97" s="0" t="s">
        <v>328</v>
      </c>
      <c r="C97" s="0" t="s">
        <v>65</v>
      </c>
      <c r="E97" s="6" t="n">
        <v>0.462</v>
      </c>
      <c r="G97" s="7" t="s">
        <v>135</v>
      </c>
      <c r="H97" s="7" t="s">
        <v>329</v>
      </c>
      <c r="I97" s="7" t="s">
        <v>103</v>
      </c>
    </row>
    <row r="98" customFormat="false" ht="17.15" hidden="false" customHeight="false" outlineLevel="0" collapsed="false">
      <c r="A98" s="0" t="s">
        <v>330</v>
      </c>
      <c r="B98" s="0" t="s">
        <v>331</v>
      </c>
      <c r="C98" s="0" t="s">
        <v>65</v>
      </c>
      <c r="E98" s="6" t="n">
        <v>0.479</v>
      </c>
      <c r="G98" s="7" t="s">
        <v>135</v>
      </c>
      <c r="H98" s="7" t="s">
        <v>332</v>
      </c>
      <c r="I98" s="7" t="s">
        <v>333</v>
      </c>
    </row>
    <row r="99" customFormat="false" ht="17.15" hidden="false" customHeight="false" outlineLevel="0" collapsed="false">
      <c r="A99" s="0" t="s">
        <v>334</v>
      </c>
      <c r="B99" s="0" t="s">
        <v>335</v>
      </c>
      <c r="C99" s="0" t="s">
        <v>65</v>
      </c>
      <c r="E99" s="6" t="n">
        <v>0.307</v>
      </c>
      <c r="G99" s="7" t="s">
        <v>135</v>
      </c>
      <c r="H99" s="7" t="s">
        <v>336</v>
      </c>
      <c r="I99" s="7" t="s">
        <v>103</v>
      </c>
    </row>
    <row r="100" customFormat="false" ht="17.15" hidden="false" customHeight="false" outlineLevel="0" collapsed="false">
      <c r="A100" s="0" t="s">
        <v>337</v>
      </c>
      <c r="B100" s="0" t="s">
        <v>338</v>
      </c>
      <c r="C100" s="0" t="s">
        <v>65</v>
      </c>
      <c r="E100" s="6" t="n">
        <v>0.333</v>
      </c>
      <c r="G100" s="7" t="s">
        <v>135</v>
      </c>
      <c r="H100" s="7" t="s">
        <v>339</v>
      </c>
      <c r="I100" s="7" t="s">
        <v>103</v>
      </c>
    </row>
    <row r="101" customFormat="false" ht="17.15" hidden="false" customHeight="false" outlineLevel="0" collapsed="false">
      <c r="A101" s="0" t="s">
        <v>340</v>
      </c>
      <c r="B101" s="0" t="s">
        <v>341</v>
      </c>
      <c r="C101" s="0" t="s">
        <v>65</v>
      </c>
      <c r="E101" s="6" t="n">
        <v>0.231</v>
      </c>
      <c r="G101" s="7" t="s">
        <v>135</v>
      </c>
      <c r="H101" s="7" t="s">
        <v>342</v>
      </c>
      <c r="I101" s="7" t="s">
        <v>103</v>
      </c>
    </row>
    <row r="102" customFormat="false" ht="17.15" hidden="false" customHeight="false" outlineLevel="0" collapsed="false">
      <c r="A102" s="0" t="s">
        <v>343</v>
      </c>
      <c r="B102" s="0" t="s">
        <v>344</v>
      </c>
      <c r="C102" s="0" t="s">
        <v>65</v>
      </c>
      <c r="E102" s="6" t="n">
        <v>0.188</v>
      </c>
      <c r="G102" s="7" t="s">
        <v>135</v>
      </c>
      <c r="H102" s="7" t="s">
        <v>345</v>
      </c>
      <c r="I102" s="7" t="s">
        <v>103</v>
      </c>
    </row>
    <row r="103" customFormat="false" ht="17.15" hidden="false" customHeight="false" outlineLevel="0" collapsed="false">
      <c r="A103" s="0" t="s">
        <v>346</v>
      </c>
      <c r="B103" s="0" t="s">
        <v>347</v>
      </c>
      <c r="C103" s="0" t="s">
        <v>65</v>
      </c>
      <c r="E103" s="6" t="n">
        <v>0.423805</v>
      </c>
      <c r="G103" s="7" t="s">
        <v>135</v>
      </c>
      <c r="H103" s="7" t="s">
        <v>348</v>
      </c>
      <c r="I103" s="7" t="s">
        <v>103</v>
      </c>
    </row>
    <row r="104" customFormat="false" ht="17.15" hidden="false" customHeight="false" outlineLevel="0" collapsed="false">
      <c r="A104" s="0" t="s">
        <v>349</v>
      </c>
      <c r="B104" s="0" t="s">
        <v>350</v>
      </c>
      <c r="C104" s="0" t="s">
        <v>65</v>
      </c>
      <c r="E104" s="6" t="n">
        <v>0.56797</v>
      </c>
      <c r="G104" s="7" t="s">
        <v>135</v>
      </c>
      <c r="H104" s="7" t="s">
        <v>351</v>
      </c>
      <c r="I104" s="7" t="s">
        <v>103</v>
      </c>
    </row>
    <row r="105" customFormat="false" ht="17.15" hidden="false" customHeight="false" outlineLevel="0" collapsed="false">
      <c r="A105" s="0" t="s">
        <v>352</v>
      </c>
      <c r="B105" s="0" t="s">
        <v>353</v>
      </c>
      <c r="C105" s="0" t="s">
        <v>65</v>
      </c>
      <c r="E105" s="6" t="n">
        <v>0.360712</v>
      </c>
      <c r="G105" s="7" t="s">
        <v>135</v>
      </c>
      <c r="H105" s="7" t="s">
        <v>354</v>
      </c>
      <c r="I105" s="7" t="s">
        <v>103</v>
      </c>
    </row>
    <row r="106" customFormat="false" ht="17.15" hidden="false" customHeight="false" outlineLevel="0" collapsed="false">
      <c r="A106" s="0" t="s">
        <v>355</v>
      </c>
      <c r="B106" s="0" t="s">
        <v>356</v>
      </c>
      <c r="C106" s="0" t="s">
        <v>65</v>
      </c>
      <c r="E106" s="6" t="n">
        <v>0.500063</v>
      </c>
      <c r="G106" s="7" t="s">
        <v>135</v>
      </c>
      <c r="H106" s="7" t="s">
        <v>357</v>
      </c>
      <c r="I106" s="7" t="s">
        <v>103</v>
      </c>
    </row>
    <row r="107" customFormat="false" ht="17.15" hidden="false" customHeight="false" outlineLevel="0" collapsed="false">
      <c r="A107" s="0" t="s">
        <v>358</v>
      </c>
      <c r="B107" s="0" t="s">
        <v>359</v>
      </c>
      <c r="C107" s="0" t="s">
        <v>32</v>
      </c>
      <c r="E107" s="6" t="n">
        <v>0.022653</v>
      </c>
      <c r="G107" s="7" t="s">
        <v>135</v>
      </c>
      <c r="H107" s="7" t="s">
        <v>360</v>
      </c>
      <c r="I107" s="7" t="s">
        <v>103</v>
      </c>
    </row>
    <row r="108" customFormat="false" ht="17.15" hidden="false" customHeight="false" outlineLevel="0" collapsed="false">
      <c r="A108" s="0" t="s">
        <v>361</v>
      </c>
      <c r="B108" s="0" t="s">
        <v>362</v>
      </c>
      <c r="C108" s="0" t="s">
        <v>32</v>
      </c>
      <c r="E108" s="0" t="n">
        <f aca="false">0.082086-0.057447</f>
        <v>0.024639</v>
      </c>
      <c r="G108" s="0" t="s">
        <v>135</v>
      </c>
      <c r="H108" s="0" t="s">
        <v>363</v>
      </c>
      <c r="I108" s="0" t="s">
        <v>103</v>
      </c>
    </row>
    <row r="109" customFormat="false" ht="17.15" hidden="false" customHeight="false" outlineLevel="0" collapsed="false">
      <c r="A109" s="0" t="s">
        <v>364</v>
      </c>
      <c r="B109" s="0" t="s">
        <v>365</v>
      </c>
      <c r="C109" s="0" t="s">
        <v>32</v>
      </c>
      <c r="E109" s="6" t="n">
        <v>0.368792</v>
      </c>
      <c r="G109" s="7" t="s">
        <v>135</v>
      </c>
      <c r="H109" s="7" t="s">
        <v>366</v>
      </c>
      <c r="I109" s="7" t="s">
        <v>103</v>
      </c>
    </row>
    <row r="110" customFormat="false" ht="17.15" hidden="false" customHeight="false" outlineLevel="0" collapsed="false">
      <c r="A110" s="0" t="s">
        <v>367</v>
      </c>
      <c r="B110" s="0" t="s">
        <v>368</v>
      </c>
      <c r="C110" s="0" t="s">
        <v>32</v>
      </c>
      <c r="E110" s="6" t="n">
        <v>0.510907</v>
      </c>
      <c r="G110" s="7" t="s">
        <v>135</v>
      </c>
      <c r="H110" s="7" t="s">
        <v>369</v>
      </c>
      <c r="I110" s="7" t="s">
        <v>103</v>
      </c>
    </row>
    <row r="111" customFormat="false" ht="17.15" hidden="false" customHeight="false" outlineLevel="0" collapsed="false">
      <c r="A111" s="0" t="s">
        <v>370</v>
      </c>
      <c r="B111" s="0" t="s">
        <v>371</v>
      </c>
      <c r="C111" s="0" t="s">
        <v>217</v>
      </c>
      <c r="E111" s="6" t="n">
        <v>10.17</v>
      </c>
      <c r="G111" s="7" t="s">
        <v>135</v>
      </c>
      <c r="H111" s="7" t="s">
        <v>372</v>
      </c>
      <c r="I111" s="7" t="s">
        <v>103</v>
      </c>
    </row>
    <row r="112" customFormat="false" ht="17.15" hidden="false" customHeight="false" outlineLevel="0" collapsed="false">
      <c r="A112" s="0" t="s">
        <v>373</v>
      </c>
      <c r="B112" s="0" t="s">
        <v>374</v>
      </c>
      <c r="C112" s="0" t="s">
        <v>217</v>
      </c>
      <c r="E112" s="6" t="n">
        <v>14.09</v>
      </c>
      <c r="G112" s="7" t="s">
        <v>135</v>
      </c>
      <c r="H112" s="7" t="s">
        <v>375</v>
      </c>
      <c r="I112" s="7" t="s">
        <v>376</v>
      </c>
    </row>
    <row r="113" customFormat="false" ht="17.15" hidden="false" customHeight="false" outlineLevel="0" collapsed="false">
      <c r="A113" s="0" t="s">
        <v>377</v>
      </c>
      <c r="B113" s="0" t="s">
        <v>378</v>
      </c>
      <c r="C113" s="4" t="s">
        <v>307</v>
      </c>
      <c r="E113" s="6" t="n">
        <v>0.036267</v>
      </c>
      <c r="G113" s="7" t="s">
        <v>135</v>
      </c>
      <c r="H113" s="7" t="s">
        <v>379</v>
      </c>
      <c r="I113" s="7" t="s">
        <v>103</v>
      </c>
    </row>
    <row r="114" customFormat="false" ht="17.15" hidden="false" customHeight="false" outlineLevel="0" collapsed="false">
      <c r="A114" s="0" t="s">
        <v>380</v>
      </c>
      <c r="B114" s="0" t="s">
        <v>381</v>
      </c>
      <c r="C114" s="4" t="s">
        <v>307</v>
      </c>
      <c r="E114" s="6" t="n">
        <v>0.036252</v>
      </c>
      <c r="G114" s="7" t="s">
        <v>135</v>
      </c>
      <c r="H114" s="7" t="s">
        <v>382</v>
      </c>
      <c r="I114" s="7" t="s">
        <v>103</v>
      </c>
    </row>
    <row r="115" customFormat="false" ht="17.15" hidden="false" customHeight="false" outlineLevel="0" collapsed="false">
      <c r="A115" s="1" t="s">
        <v>383</v>
      </c>
    </row>
    <row r="116" customFormat="false" ht="17.15" hidden="false" customHeight="false" outlineLevel="0" collapsed="false">
      <c r="A116" s="0" t="s">
        <v>384</v>
      </c>
      <c r="B116" s="4" t="s">
        <v>385</v>
      </c>
      <c r="C116" s="0" t="s">
        <v>32</v>
      </c>
      <c r="E116" s="6" t="n">
        <v>6.11</v>
      </c>
      <c r="G116" s="7" t="s">
        <v>144</v>
      </c>
      <c r="H116" s="7" t="s">
        <v>386</v>
      </c>
      <c r="I116" s="7" t="s">
        <v>387</v>
      </c>
    </row>
    <row r="117" customFormat="false" ht="17.15" hidden="false" customHeight="false" outlineLevel="0" collapsed="false">
      <c r="A117" s="0" t="s">
        <v>388</v>
      </c>
      <c r="B117" s="4" t="s">
        <v>389</v>
      </c>
      <c r="C117" s="0" t="s">
        <v>32</v>
      </c>
      <c r="E117" s="6" t="n">
        <v>6.58</v>
      </c>
      <c r="G117" s="7" t="s">
        <v>144</v>
      </c>
      <c r="H117" s="7" t="s">
        <v>390</v>
      </c>
      <c r="I117" s="4" t="s">
        <v>185</v>
      </c>
    </row>
    <row r="118" customFormat="false" ht="17.15" hidden="false" customHeight="false" outlineLevel="0" collapsed="false">
      <c r="A118" s="0" t="s">
        <v>391</v>
      </c>
      <c r="B118" s="4" t="s">
        <v>392</v>
      </c>
      <c r="C118" s="0" t="s">
        <v>217</v>
      </c>
      <c r="E118" s="6" t="n">
        <v>18.23</v>
      </c>
      <c r="G118" s="7" t="s">
        <v>144</v>
      </c>
      <c r="H118" s="7" t="s">
        <v>393</v>
      </c>
      <c r="I118" s="7" t="s">
        <v>394</v>
      </c>
    </row>
    <row r="119" customFormat="false" ht="17.15" hidden="false" customHeight="false" outlineLevel="0" collapsed="false">
      <c r="A119" s="0" t="s">
        <v>395</v>
      </c>
      <c r="B119" s="4" t="s">
        <v>396</v>
      </c>
      <c r="C119" s="0" t="s">
        <v>217</v>
      </c>
      <c r="E119" s="6" t="n">
        <v>17.5</v>
      </c>
      <c r="G119" s="7" t="s">
        <v>144</v>
      </c>
      <c r="H119" s="7" t="s">
        <v>397</v>
      </c>
      <c r="I119" s="7" t="s">
        <v>103</v>
      </c>
    </row>
    <row r="120" customFormat="false" ht="17.15" hidden="false" customHeight="false" outlineLevel="0" collapsed="false">
      <c r="A120" s="0" t="s">
        <v>398</v>
      </c>
      <c r="B120" s="4" t="s">
        <v>399</v>
      </c>
      <c r="C120" s="0" t="s">
        <v>217</v>
      </c>
      <c r="E120" s="6" t="n">
        <v>21.27</v>
      </c>
      <c r="G120" s="7" t="s">
        <v>144</v>
      </c>
      <c r="H120" s="7" t="s">
        <v>400</v>
      </c>
      <c r="I120" s="7" t="s">
        <v>401</v>
      </c>
    </row>
    <row r="121" customFormat="false" ht="17.15" hidden="false" customHeight="false" outlineLevel="0" collapsed="false">
      <c r="A121" s="0" t="s">
        <v>402</v>
      </c>
      <c r="B121" s="4" t="s">
        <v>403</v>
      </c>
      <c r="C121" s="0" t="s">
        <v>217</v>
      </c>
      <c r="E121" s="6" t="n">
        <v>20.14</v>
      </c>
      <c r="G121" s="7" t="s">
        <v>144</v>
      </c>
      <c r="H121" s="7" t="s">
        <v>404</v>
      </c>
      <c r="I121" s="7" t="s">
        <v>103</v>
      </c>
    </row>
    <row r="122" customFormat="false" ht="17.15" hidden="false" customHeight="false" outlineLevel="0" collapsed="false">
      <c r="A122" s="0" t="s">
        <v>405</v>
      </c>
      <c r="B122" s="4" t="s">
        <v>406</v>
      </c>
      <c r="C122" s="0" t="s">
        <v>32</v>
      </c>
      <c r="D122" s="6" t="n">
        <v>8.5</v>
      </c>
      <c r="E122" s="6" t="n">
        <v>8.9</v>
      </c>
      <c r="F122" s="6" t="n">
        <v>9.3</v>
      </c>
      <c r="G122" s="7" t="s">
        <v>144</v>
      </c>
      <c r="H122" s="7" t="s">
        <v>407</v>
      </c>
      <c r="I122" s="7" t="s">
        <v>408</v>
      </c>
    </row>
    <row r="123" customFormat="false" ht="17.15" hidden="false" customHeight="false" outlineLevel="0" collapsed="false">
      <c r="A123" s="0" t="s">
        <v>409</v>
      </c>
      <c r="B123" s="4" t="s">
        <v>410</v>
      </c>
      <c r="C123" s="0" t="s">
        <v>32</v>
      </c>
      <c r="D123" s="6" t="n">
        <v>12.5</v>
      </c>
      <c r="E123" s="6" t="n">
        <v>13.25</v>
      </c>
      <c r="F123" s="6" t="n">
        <v>14</v>
      </c>
      <c r="G123" s="7" t="s">
        <v>144</v>
      </c>
      <c r="H123" s="7" t="s">
        <v>411</v>
      </c>
      <c r="I123" s="7" t="s">
        <v>103</v>
      </c>
    </row>
    <row r="124" customFormat="false" ht="17.15" hidden="false" customHeight="false" outlineLevel="0" collapsed="false">
      <c r="A124" s="1" t="s">
        <v>412</v>
      </c>
    </row>
    <row r="125" customFormat="false" ht="17.15" hidden="false" customHeight="false" outlineLevel="0" collapsed="false">
      <c r="A125" s="0" t="s">
        <v>413</v>
      </c>
      <c r="B125" s="4" t="s">
        <v>414</v>
      </c>
      <c r="C125" s="0" t="s">
        <v>217</v>
      </c>
      <c r="E125" s="6" t="n">
        <v>314.94</v>
      </c>
      <c r="G125" s="7" t="s">
        <v>144</v>
      </c>
      <c r="H125" s="7" t="s">
        <v>415</v>
      </c>
      <c r="I125" s="7" t="s">
        <v>416</v>
      </c>
    </row>
    <row r="126" customFormat="false" ht="17.15" hidden="false" customHeight="false" outlineLevel="0" collapsed="false">
      <c r="A126" s="0" t="s">
        <v>417</v>
      </c>
      <c r="B126" s="0" t="s">
        <v>418</v>
      </c>
      <c r="C126" s="0" t="s">
        <v>217</v>
      </c>
      <c r="E126" s="6" t="n">
        <v>748.89</v>
      </c>
      <c r="G126" s="7" t="s">
        <v>144</v>
      </c>
      <c r="H126" s="7" t="s">
        <v>419</v>
      </c>
      <c r="I126" s="4" t="s">
        <v>420</v>
      </c>
    </row>
    <row r="127" customFormat="false" ht="17.15" hidden="false" customHeight="false" outlineLevel="0" collapsed="false">
      <c r="A127" s="9" t="s">
        <v>421</v>
      </c>
      <c r="B127" s="10" t="s">
        <v>422</v>
      </c>
      <c r="C127" s="9" t="s">
        <v>65</v>
      </c>
      <c r="D127" s="9"/>
      <c r="E127" s="11" t="n">
        <v>0.3</v>
      </c>
      <c r="F127" s="9"/>
      <c r="G127" s="9" t="s">
        <v>77</v>
      </c>
      <c r="H127" s="9" t="s">
        <v>423</v>
      </c>
      <c r="I127" s="10" t="s">
        <v>424</v>
      </c>
    </row>
    <row r="128" customFormat="false" ht="17.15" hidden="false" customHeight="false" outlineLevel="0" collapsed="false">
      <c r="A128" s="9" t="s">
        <v>425</v>
      </c>
      <c r="B128" s="10" t="s">
        <v>426</v>
      </c>
      <c r="C128" s="9" t="s">
        <v>65</v>
      </c>
      <c r="D128" s="9"/>
      <c r="E128" s="11" t="n">
        <v>0.5</v>
      </c>
      <c r="F128" s="9"/>
      <c r="G128" s="9" t="s">
        <v>77</v>
      </c>
      <c r="H128" s="9" t="s">
        <v>423</v>
      </c>
      <c r="I128" s="10" t="s">
        <v>424</v>
      </c>
    </row>
    <row r="129" customFormat="false" ht="17.15" hidden="false" customHeight="false" outlineLevel="0" collapsed="false">
      <c r="A129" s="9" t="s">
        <v>427</v>
      </c>
      <c r="B129" s="10" t="s">
        <v>428</v>
      </c>
      <c r="C129" s="9" t="s">
        <v>65</v>
      </c>
      <c r="D129" s="9"/>
      <c r="E129" s="11" t="n">
        <v>0.2</v>
      </c>
      <c r="F129" s="9"/>
      <c r="G129" s="9" t="s">
        <v>77</v>
      </c>
      <c r="H129" s="9" t="s">
        <v>423</v>
      </c>
      <c r="I129" s="10" t="s">
        <v>424</v>
      </c>
    </row>
    <row r="130" customFormat="false" ht="17.15" hidden="false" customHeight="false" outlineLevel="0" collapsed="false">
      <c r="A130" s="1" t="s">
        <v>429</v>
      </c>
    </row>
    <row r="131" customFormat="false" ht="17.15" hidden="false" customHeight="false" outlineLevel="0" collapsed="false">
      <c r="A131" s="9" t="s">
        <v>430</v>
      </c>
      <c r="B131" s="9" t="s">
        <v>431</v>
      </c>
      <c r="C131" s="9" t="s">
        <v>65</v>
      </c>
      <c r="D131" s="9"/>
      <c r="E131" s="9" t="n">
        <f aca="false">0.29618/((1.469+1.746)/2)</f>
        <v>0.184248833592535</v>
      </c>
      <c r="F131" s="9"/>
      <c r="G131" s="9" t="s">
        <v>33</v>
      </c>
      <c r="H131" s="9" t="s">
        <v>432</v>
      </c>
      <c r="I131" s="9" t="s">
        <v>433</v>
      </c>
    </row>
    <row r="132" customFormat="false" ht="17.15" hidden="false" customHeight="false" outlineLevel="0" collapsed="false">
      <c r="A132" s="9" t="s">
        <v>434</v>
      </c>
      <c r="B132" s="9" t="s">
        <v>435</v>
      </c>
      <c r="C132" s="9" t="s">
        <v>65</v>
      </c>
      <c r="D132" s="9"/>
      <c r="E132" s="9" t="n">
        <f aca="false">0.332527/((1.746+1.981812)/2)</f>
        <v>0.178403310038167</v>
      </c>
      <c r="F132" s="9"/>
      <c r="G132" s="9" t="s">
        <v>33</v>
      </c>
      <c r="H132" s="9" t="s">
        <v>436</v>
      </c>
      <c r="I132" s="9" t="s">
        <v>437</v>
      </c>
    </row>
    <row r="133" customFormat="false" ht="17.15" hidden="false" customHeight="false" outlineLevel="0" collapsed="false">
      <c r="A133" s="9" t="s">
        <v>438</v>
      </c>
      <c r="B133" s="9" t="s">
        <v>439</v>
      </c>
      <c r="C133" s="9" t="s">
        <v>65</v>
      </c>
      <c r="D133" s="9"/>
      <c r="E133" s="9" t="n">
        <f aca="false">0.473027/((1.981812+2.454256)/2)</f>
        <v>0.213264088828215</v>
      </c>
      <c r="F133" s="9"/>
      <c r="G133" s="9" t="s">
        <v>33</v>
      </c>
      <c r="H133" s="9" t="s">
        <v>440</v>
      </c>
      <c r="I133" s="9" t="s">
        <v>441</v>
      </c>
    </row>
    <row r="134" customFormat="false" ht="17.15" hidden="false" customHeight="false" outlineLevel="0" collapsed="false">
      <c r="A134" s="9" t="s">
        <v>442</v>
      </c>
      <c r="B134" s="10" t="s">
        <v>443</v>
      </c>
      <c r="C134" s="9" t="s">
        <v>65</v>
      </c>
      <c r="D134" s="9"/>
      <c r="E134" s="11" t="n">
        <v>0.1</v>
      </c>
      <c r="F134" s="9"/>
      <c r="G134" s="9" t="s">
        <v>77</v>
      </c>
      <c r="H134" s="9" t="s">
        <v>444</v>
      </c>
      <c r="I134" s="9" t="s">
        <v>445</v>
      </c>
    </row>
    <row r="135" customFormat="false" ht="17.15" hidden="false" customHeight="false" outlineLevel="0" collapsed="false">
      <c r="A135" s="9" t="s">
        <v>446</v>
      </c>
      <c r="B135" s="10" t="s">
        <v>447</v>
      </c>
      <c r="C135" s="9" t="s">
        <v>65</v>
      </c>
      <c r="D135" s="9"/>
      <c r="E135" s="11" t="n">
        <v>0.04</v>
      </c>
      <c r="F135" s="9"/>
      <c r="G135" s="9" t="s">
        <v>77</v>
      </c>
      <c r="H135" s="9" t="s">
        <v>448</v>
      </c>
      <c r="I135" s="9" t="s">
        <v>103</v>
      </c>
    </row>
    <row r="136" customFormat="false" ht="17.15" hidden="false" customHeight="false" outlineLevel="0" collapsed="false">
      <c r="A136" s="9" t="s">
        <v>449</v>
      </c>
      <c r="B136" s="9" t="s">
        <v>450</v>
      </c>
      <c r="C136" s="9" t="s">
        <v>65</v>
      </c>
      <c r="D136" s="9"/>
      <c r="E136" s="9" t="n">
        <f aca="false">AVERAGE(roe_24,roe_25,roe_26)</f>
        <v>0.191972077486306</v>
      </c>
      <c r="F136" s="9"/>
      <c r="G136" s="9" t="s">
        <v>33</v>
      </c>
      <c r="H136" s="9" t="s">
        <v>451</v>
      </c>
      <c r="I136" s="9" t="s">
        <v>452</v>
      </c>
    </row>
    <row r="137" customFormat="false" ht="17.15" hidden="false" customHeight="false" outlineLevel="0" collapsed="false">
      <c r="A137" s="9" t="s">
        <v>453</v>
      </c>
      <c r="B137" s="10" t="s">
        <v>454</v>
      </c>
      <c r="C137" s="9" t="s">
        <v>65</v>
      </c>
      <c r="D137" s="9"/>
      <c r="E137" s="11" t="n">
        <v>0.5</v>
      </c>
      <c r="F137" s="9"/>
      <c r="G137" s="9" t="s">
        <v>77</v>
      </c>
      <c r="H137" s="9" t="s">
        <v>455</v>
      </c>
      <c r="I137" s="9" t="s">
        <v>103</v>
      </c>
    </row>
    <row r="138" customFormat="false" ht="17.15" hidden="false" customHeight="false" outlineLevel="0" collapsed="false">
      <c r="A138" s="9" t="s">
        <v>456</v>
      </c>
      <c r="B138" s="10" t="s">
        <v>457</v>
      </c>
      <c r="C138" s="9" t="s">
        <v>65</v>
      </c>
      <c r="D138" s="9"/>
      <c r="E138" s="9" t="n">
        <f aca="false">AVERAGE(0.0736,0.0622,0.0714,0.0731,0.0726,0.0824,0.0949,0.0934,0.1027,0.0972)</f>
        <v>0.08235</v>
      </c>
      <c r="F138" s="9"/>
      <c r="G138" s="9" t="s">
        <v>33</v>
      </c>
      <c r="H138" s="9" t="s">
        <v>458</v>
      </c>
      <c r="I138" s="9" t="s">
        <v>459</v>
      </c>
    </row>
    <row r="139" customFormat="false" ht="17.15" hidden="false" customHeight="false" outlineLevel="0" collapsed="false">
      <c r="A139" s="9" t="s">
        <v>460</v>
      </c>
      <c r="B139" s="10" t="s">
        <v>461</v>
      </c>
      <c r="C139" s="9" t="s">
        <v>65</v>
      </c>
      <c r="D139" s="9"/>
      <c r="E139" s="9" t="n">
        <f aca="false">tp_g+0.02</f>
        <v>0.06</v>
      </c>
      <c r="F139" s="9"/>
      <c r="G139" s="9" t="s">
        <v>77</v>
      </c>
      <c r="H139" s="10" t="s">
        <v>462</v>
      </c>
      <c r="I139" s="9" t="s">
        <v>463</v>
      </c>
    </row>
    <row r="140" customFormat="false" ht="17.15" hidden="false" customHeight="false" outlineLevel="0" collapsed="false">
      <c r="A140" s="9" t="s">
        <v>464</v>
      </c>
      <c r="B140" s="10" t="s">
        <v>465</v>
      </c>
      <c r="C140" s="9" t="s">
        <v>65</v>
      </c>
      <c r="D140" s="9"/>
      <c r="E140" s="9" t="n">
        <f aca="false">tp_g</f>
        <v>0.04</v>
      </c>
      <c r="F140" s="9"/>
      <c r="G140" s="9" t="s">
        <v>77</v>
      </c>
      <c r="H140" s="10" t="s">
        <v>38</v>
      </c>
      <c r="I140" s="9" t="s">
        <v>103</v>
      </c>
    </row>
    <row r="141" customFormat="false" ht="17.15" hidden="false" customHeight="false" outlineLevel="0" collapsed="false">
      <c r="A141" s="9" t="s">
        <v>466</v>
      </c>
      <c r="B141" s="10" t="s">
        <v>467</v>
      </c>
      <c r="C141" s="9" t="s">
        <v>65</v>
      </c>
      <c r="D141" s="9"/>
      <c r="E141" s="9" t="n">
        <f aca="false">tp_g-0.02</f>
        <v>0.02</v>
      </c>
      <c r="F141" s="9"/>
      <c r="G141" s="9" t="s">
        <v>77</v>
      </c>
      <c r="H141" s="10" t="s">
        <v>38</v>
      </c>
      <c r="I141" s="9" t="s">
        <v>103</v>
      </c>
    </row>
    <row r="142" customFormat="false" ht="17.15" hidden="false" customHeight="false" outlineLevel="0" collapsed="false">
      <c r="A142" s="9" t="s">
        <v>468</v>
      </c>
      <c r="B142" s="10" t="s">
        <v>469</v>
      </c>
      <c r="C142" s="9" t="s">
        <v>65</v>
      </c>
      <c r="D142" s="9"/>
      <c r="E142" s="12" t="n">
        <f aca="false">PL!$G$94</f>
        <v>0.1169661692919</v>
      </c>
      <c r="F142" s="9"/>
      <c r="G142" s="9" t="s">
        <v>33</v>
      </c>
      <c r="H142" s="9" t="s">
        <v>470</v>
      </c>
      <c r="I142" s="9" t="s">
        <v>103</v>
      </c>
    </row>
    <row r="143" customFormat="false" ht="17.15" hidden="false" customHeight="false" outlineLevel="0" collapsed="false">
      <c r="A143" s="9" t="s">
        <v>471</v>
      </c>
      <c r="B143" s="10" t="s">
        <v>472</v>
      </c>
      <c r="C143" s="9" t="s">
        <v>65</v>
      </c>
      <c r="D143" s="9"/>
      <c r="E143" s="9" t="n">
        <f aca="false">(PL!$G$134+nim10)/2</f>
        <v>0.0967637918068231</v>
      </c>
      <c r="F143" s="9"/>
      <c r="G143" s="9" t="s">
        <v>33</v>
      </c>
      <c r="H143" s="10" t="s">
        <v>473</v>
      </c>
      <c r="I143" s="10" t="s">
        <v>474</v>
      </c>
    </row>
    <row r="144" customFormat="false" ht="17.15" hidden="false" customHeight="false" outlineLevel="0" collapsed="false">
      <c r="A144" s="9" t="s">
        <v>475</v>
      </c>
      <c r="B144" s="10" t="s">
        <v>476</v>
      </c>
      <c r="C144" s="9" t="s">
        <v>65</v>
      </c>
      <c r="D144" s="9"/>
      <c r="E144" s="9" t="n">
        <f aca="false">nim10</f>
        <v>0.08235</v>
      </c>
      <c r="F144" s="9"/>
      <c r="G144" s="9" t="s">
        <v>33</v>
      </c>
      <c r="H144" s="10" t="s">
        <v>477</v>
      </c>
      <c r="I144" s="9" t="s">
        <v>478</v>
      </c>
    </row>
    <row r="145" customFormat="false" ht="17.15" hidden="false" customHeight="false" outlineLevel="0" collapsed="false">
      <c r="A145" s="9" t="s">
        <v>479</v>
      </c>
      <c r="B145" s="10" t="s">
        <v>480</v>
      </c>
      <c r="C145" s="9" t="s">
        <v>217</v>
      </c>
      <c r="D145" s="9"/>
      <c r="E145" s="11" t="n">
        <v>687.78</v>
      </c>
      <c r="F145" s="9"/>
      <c r="G145" s="9" t="s">
        <v>144</v>
      </c>
      <c r="H145" s="9" t="s">
        <v>481</v>
      </c>
      <c r="I145" s="9" t="s">
        <v>482</v>
      </c>
    </row>
    <row r="146" customFormat="false" ht="17.15" hidden="false" customHeight="false" outlineLevel="0" collapsed="false">
      <c r="A146" s="9" t="s">
        <v>483</v>
      </c>
      <c r="B146" s="10" t="s">
        <v>484</v>
      </c>
      <c r="C146" s="9" t="s">
        <v>217</v>
      </c>
      <c r="D146" s="9"/>
      <c r="E146" s="9" t="n">
        <f aca="false">cons_eps28</f>
        <v>21.27</v>
      </c>
      <c r="F146" s="9"/>
      <c r="G146" s="9" t="s">
        <v>33</v>
      </c>
      <c r="H146" s="9" t="s">
        <v>485</v>
      </c>
      <c r="I146" s="10" t="s">
        <v>486</v>
      </c>
    </row>
    <row r="148" customFormat="false" ht="17.15" hidden="false" customHeight="false" outlineLevel="0" collapsed="false">
      <c r="A148" s="3" t="s">
        <v>487</v>
      </c>
    </row>
    <row r="149" customFormat="false" ht="17.15" hidden="false" customHeight="false" outlineLevel="0" collapsed="false">
      <c r="A149" s="0" t="s">
        <v>488</v>
      </c>
      <c r="B149" s="4" t="s">
        <v>489</v>
      </c>
      <c r="C149" s="0" t="s">
        <v>32</v>
      </c>
      <c r="E149" s="6" t="n">
        <v>29.753262</v>
      </c>
      <c r="G149" s="7" t="s">
        <v>33</v>
      </c>
      <c r="H149" s="7" t="s">
        <v>490</v>
      </c>
      <c r="I149" s="4" t="s">
        <v>491</v>
      </c>
    </row>
    <row r="150" customFormat="false" ht="17.15" hidden="false" customHeight="false" outlineLevel="0" collapsed="false">
      <c r="A150" s="0" t="s">
        <v>492</v>
      </c>
      <c r="B150" s="4" t="s">
        <v>493</v>
      </c>
      <c r="C150" s="0" t="s">
        <v>32</v>
      </c>
      <c r="E150" s="6" t="n">
        <v>54.688309</v>
      </c>
      <c r="G150" s="7" t="s">
        <v>33</v>
      </c>
      <c r="H150" s="7" t="s">
        <v>490</v>
      </c>
      <c r="I150" s="4" t="s">
        <v>38</v>
      </c>
    </row>
    <row r="151" customFormat="false" ht="17.15" hidden="false" customHeight="false" outlineLevel="0" collapsed="false">
      <c r="A151" s="0" t="s">
        <v>494</v>
      </c>
      <c r="B151" s="4" t="s">
        <v>495</v>
      </c>
      <c r="C151" s="0" t="s">
        <v>32</v>
      </c>
      <c r="E151" s="6" t="n">
        <v>61.21325</v>
      </c>
      <c r="G151" s="7" t="s">
        <v>33</v>
      </c>
      <c r="H151" s="7" t="s">
        <v>490</v>
      </c>
      <c r="I151" s="4" t="s">
        <v>38</v>
      </c>
    </row>
    <row r="152" customFormat="false" ht="17.15" hidden="false" customHeight="false" outlineLevel="0" collapsed="false">
      <c r="A152" s="0" t="s">
        <v>496</v>
      </c>
      <c r="B152" s="4" t="s">
        <v>497</v>
      </c>
      <c r="C152" s="0" t="s">
        <v>32</v>
      </c>
      <c r="E152" s="6" t="n">
        <v>78.80848</v>
      </c>
      <c r="G152" s="7" t="s">
        <v>33</v>
      </c>
      <c r="H152" s="7" t="s">
        <v>490</v>
      </c>
      <c r="I152" s="4" t="s">
        <v>38</v>
      </c>
    </row>
    <row r="153" customFormat="false" ht="17.15" hidden="false" customHeight="false" outlineLevel="0" collapsed="false">
      <c r="A153" s="0" t="s">
        <v>498</v>
      </c>
      <c r="B153" s="4" t="s">
        <v>499</v>
      </c>
      <c r="C153" s="0" t="s">
        <v>32</v>
      </c>
      <c r="E153" s="6" t="n">
        <v>29.753262</v>
      </c>
      <c r="G153" s="7" t="s">
        <v>33</v>
      </c>
      <c r="H153" s="7" t="s">
        <v>500</v>
      </c>
      <c r="I153" s="4" t="s">
        <v>501</v>
      </c>
    </row>
    <row r="154" customFormat="false" ht="17.15" hidden="false" customHeight="false" outlineLevel="0" collapsed="false">
      <c r="A154" s="0" t="s">
        <v>502</v>
      </c>
      <c r="B154" s="4" t="s">
        <v>503</v>
      </c>
      <c r="C154" s="0" t="s">
        <v>32</v>
      </c>
      <c r="E154" s="6" t="n">
        <v>55.252106</v>
      </c>
      <c r="G154" s="7" t="s">
        <v>33</v>
      </c>
      <c r="H154" s="7" t="s">
        <v>500</v>
      </c>
      <c r="I154" s="4" t="s">
        <v>38</v>
      </c>
    </row>
    <row r="155" customFormat="false" ht="17.15" hidden="false" customHeight="false" outlineLevel="0" collapsed="false">
      <c r="A155" s="0" t="s">
        <v>504</v>
      </c>
      <c r="B155" s="4" t="s">
        <v>505</v>
      </c>
      <c r="C155" s="0" t="s">
        <v>32</v>
      </c>
      <c r="E155" s="6" t="n">
        <v>62.50195</v>
      </c>
      <c r="G155" s="7" t="s">
        <v>33</v>
      </c>
      <c r="H155" s="7" t="s">
        <v>500</v>
      </c>
      <c r="I155" s="4" t="s">
        <v>38</v>
      </c>
    </row>
    <row r="156" customFormat="false" ht="17.15" hidden="false" customHeight="false" outlineLevel="0" collapsed="false">
      <c r="A156" s="0" t="s">
        <v>506</v>
      </c>
      <c r="B156" s="4" t="s">
        <v>507</v>
      </c>
      <c r="C156" s="0" t="s">
        <v>32</v>
      </c>
      <c r="E156" s="6" t="n">
        <v>81.01111</v>
      </c>
      <c r="G156" s="7" t="s">
        <v>33</v>
      </c>
      <c r="H156" s="7" t="s">
        <v>500</v>
      </c>
      <c r="I156" s="4" t="s">
        <v>38</v>
      </c>
    </row>
    <row r="157" customFormat="false" ht="17.15" hidden="false" customHeight="false" outlineLevel="0" collapsed="false">
      <c r="A157" s="0" t="s">
        <v>508</v>
      </c>
      <c r="B157" s="4" t="s">
        <v>509</v>
      </c>
      <c r="C157" s="0" t="s">
        <v>32</v>
      </c>
      <c r="E157" s="6" t="n">
        <v>0.300538</v>
      </c>
      <c r="G157" s="7" t="s">
        <v>33</v>
      </c>
      <c r="H157" s="7" t="s">
        <v>510</v>
      </c>
      <c r="I157" s="4" t="s">
        <v>491</v>
      </c>
    </row>
    <row r="158" customFormat="false" ht="17.15" hidden="false" customHeight="false" outlineLevel="0" collapsed="false">
      <c r="A158" s="0" t="s">
        <v>511</v>
      </c>
      <c r="B158" s="4" t="s">
        <v>512</v>
      </c>
      <c r="C158" s="0" t="s">
        <v>32</v>
      </c>
      <c r="E158" s="6" t="n">
        <v>1.691391</v>
      </c>
      <c r="G158" s="7" t="s">
        <v>33</v>
      </c>
      <c r="H158" s="7" t="s">
        <v>510</v>
      </c>
      <c r="I158" s="4" t="s">
        <v>38</v>
      </c>
    </row>
    <row r="159" customFormat="false" ht="17.15" hidden="false" customHeight="false" outlineLevel="0" collapsed="false">
      <c r="A159" s="0" t="s">
        <v>513</v>
      </c>
      <c r="B159" s="4" t="s">
        <v>514</v>
      </c>
      <c r="C159" s="0" t="s">
        <v>32</v>
      </c>
      <c r="E159" s="6" t="n">
        <v>3.22175</v>
      </c>
      <c r="G159" s="7" t="s">
        <v>33</v>
      </c>
      <c r="H159" s="7" t="s">
        <v>510</v>
      </c>
      <c r="I159" s="4" t="s">
        <v>38</v>
      </c>
    </row>
    <row r="160" customFormat="false" ht="17.15" hidden="false" customHeight="false" outlineLevel="0" collapsed="false">
      <c r="A160" s="0" t="s">
        <v>515</v>
      </c>
      <c r="B160" s="4" t="s">
        <v>516</v>
      </c>
      <c r="C160" s="0" t="s">
        <v>32</v>
      </c>
      <c r="E160" s="6" t="n">
        <v>5.87368</v>
      </c>
      <c r="G160" s="7" t="s">
        <v>33</v>
      </c>
      <c r="H160" s="7" t="s">
        <v>510</v>
      </c>
      <c r="I160" s="4" t="s">
        <v>38</v>
      </c>
    </row>
    <row r="161" customFormat="false" ht="17.15" hidden="false" customHeight="false" outlineLevel="0" collapsed="false">
      <c r="A161" s="0" t="s">
        <v>517</v>
      </c>
      <c r="B161" s="4" t="s">
        <v>518</v>
      </c>
      <c r="C161" s="0" t="s">
        <v>32</v>
      </c>
      <c r="E161" s="6" t="n">
        <v>0.300538</v>
      </c>
      <c r="G161" s="7" t="s">
        <v>33</v>
      </c>
      <c r="H161" s="7" t="s">
        <v>519</v>
      </c>
      <c r="I161" s="4" t="s">
        <v>501</v>
      </c>
    </row>
    <row r="162" customFormat="false" ht="17.15" hidden="false" customHeight="false" outlineLevel="0" collapsed="false">
      <c r="A162" s="0" t="s">
        <v>520</v>
      </c>
      <c r="B162" s="4" t="s">
        <v>521</v>
      </c>
      <c r="C162" s="0" t="s">
        <v>32</v>
      </c>
      <c r="E162" s="6" t="n">
        <v>1.127594</v>
      </c>
      <c r="G162" s="7" t="s">
        <v>33</v>
      </c>
      <c r="H162" s="7" t="s">
        <v>519</v>
      </c>
      <c r="I162" s="4" t="s">
        <v>38</v>
      </c>
    </row>
    <row r="163" customFormat="false" ht="17.15" hidden="false" customHeight="false" outlineLevel="0" collapsed="false">
      <c r="A163" s="0" t="s">
        <v>522</v>
      </c>
      <c r="B163" s="4" t="s">
        <v>523</v>
      </c>
      <c r="C163" s="0" t="s">
        <v>32</v>
      </c>
      <c r="E163" s="6" t="n">
        <v>1.93305</v>
      </c>
      <c r="G163" s="7" t="s">
        <v>33</v>
      </c>
      <c r="H163" s="7" t="s">
        <v>519</v>
      </c>
      <c r="I163" s="4" t="s">
        <v>38</v>
      </c>
    </row>
    <row r="164" customFormat="false" ht="17.15" hidden="false" customHeight="false" outlineLevel="0" collapsed="false">
      <c r="A164" s="0" t="s">
        <v>524</v>
      </c>
      <c r="B164" s="4" t="s">
        <v>525</v>
      </c>
      <c r="C164" s="0" t="s">
        <v>32</v>
      </c>
      <c r="E164" s="6" t="n">
        <v>3.67105</v>
      </c>
      <c r="G164" s="7" t="s">
        <v>33</v>
      </c>
      <c r="H164" s="7" t="s">
        <v>519</v>
      </c>
      <c r="I164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526</v>
      </c>
    </row>
    <row r="2" customFormat="false" ht="17.15" hidden="false" customHeight="false" outlineLevel="0" collapsed="false">
      <c r="A2" s="4" t="s">
        <v>527</v>
      </c>
    </row>
    <row r="3" customFormat="false" ht="17.15" hidden="false" customHeight="false" outlineLevel="0" collapsed="false">
      <c r="A3" s="5" t="s">
        <v>21</v>
      </c>
      <c r="B3" s="13" t="s">
        <v>528</v>
      </c>
      <c r="C3" s="13" t="s">
        <v>529</v>
      </c>
      <c r="D3" s="13" t="s">
        <v>530</v>
      </c>
      <c r="E3" s="13" t="s">
        <v>531</v>
      </c>
      <c r="F3" s="13" t="s">
        <v>532</v>
      </c>
      <c r="G3" s="13" t="s">
        <v>533</v>
      </c>
      <c r="H3" s="5" t="s">
        <v>26</v>
      </c>
      <c r="I3" s="5" t="s">
        <v>534</v>
      </c>
    </row>
    <row r="4" customFormat="false" ht="17.15" hidden="false" customHeight="false" outlineLevel="0" collapsed="false">
      <c r="A4" s="4" t="s">
        <v>535</v>
      </c>
      <c r="B4" s="14" t="n">
        <f aca="false">a25_rev_in</f>
        <v>3.419327</v>
      </c>
      <c r="C4" s="14" t="n">
        <f aca="false">a26_rev_in</f>
        <v>4.641097</v>
      </c>
      <c r="D4" s="14" t="n">
        <f aca="false">q3_rev</f>
        <v>1.2143</v>
      </c>
      <c r="E4" s="14" t="n">
        <f aca="false">q4_rev</f>
        <v>1.315788</v>
      </c>
      <c r="F4" s="14" t="n">
        <f aca="false">q1_rev</f>
        <v>1.4</v>
      </c>
      <c r="G4" s="14" t="n">
        <f aca="false">G5+G9+G10</f>
        <v>1.48466513</v>
      </c>
      <c r="H4" s="7" t="s">
        <v>536</v>
      </c>
    </row>
    <row r="5" customFormat="false" ht="17.15" hidden="false" customHeight="false" outlineLevel="0" collapsed="false">
      <c r="A5" s="4" t="s">
        <v>537</v>
      </c>
      <c r="B5" s="14" t="n">
        <f aca="false">a25_rev_in*a25_dcp_in</f>
        <v>1.579729074</v>
      </c>
      <c r="C5" s="14" t="n">
        <f aca="false">a26_rev_in*a26_dcp_in</f>
        <v>2.223085463</v>
      </c>
      <c r="D5" s="14" t="n">
        <f aca="false">q3_dc</f>
        <v>0.592</v>
      </c>
      <c r="E5" s="14" t="n">
        <f aca="false">q4_dc</f>
        <v>0.6693</v>
      </c>
      <c r="F5" s="14" t="n">
        <f aca="false">F4-F9-F10</f>
        <v>0.736441</v>
      </c>
      <c r="G5" s="14" t="n">
        <f aca="false">G6+G7+G8</f>
        <v>0.80358208</v>
      </c>
      <c r="H5" s="7" t="s">
        <v>538</v>
      </c>
      <c r="I5" s="7" t="s">
        <v>539</v>
      </c>
    </row>
    <row r="6" customFormat="false" ht="17.15" hidden="false" customHeight="false" outlineLevel="0" collapsed="false">
      <c r="A6" s="4" t="s">
        <v>540</v>
      </c>
      <c r="B6" s="14" t="n">
        <f aca="false">B5-B7-B8</f>
        <v>1.16917436338336</v>
      </c>
      <c r="C6" s="14" t="n">
        <f aca="false">C5-C7-C8</f>
        <v>1.163885463</v>
      </c>
      <c r="D6" s="14" t="n">
        <f aca="false">D5-D7-D8</f>
        <v>0.2884</v>
      </c>
      <c r="E6" s="14" t="n">
        <f aca="false">E5-E7-E8</f>
        <v>0.2954</v>
      </c>
      <c r="F6" s="14" t="n">
        <f aca="false">F5-F7-F8</f>
        <v>0.325151</v>
      </c>
      <c r="G6" s="14" t="n">
        <f aca="false">F6*(1+q2_tg)</f>
        <v>0.35116308</v>
      </c>
      <c r="H6" s="7" t="s">
        <v>541</v>
      </c>
      <c r="I6" s="7" t="s">
        <v>542</v>
      </c>
    </row>
    <row r="7" customFormat="false" ht="17.15" hidden="false" customHeight="false" outlineLevel="0" collapsed="false">
      <c r="A7" s="0" t="s">
        <v>543</v>
      </c>
      <c r="B7" s="14" t="n">
        <f aca="false">dci_q1_25+dci_q2/(1+dci_y2)+dci_q3/(1+dci_y3)+dci_q4_25</f>
        <v>0.410554710616641</v>
      </c>
      <c r="C7" s="14" t="n">
        <f aca="false">dci_q1+dci_q2+dci_q3+dci_q4</f>
        <v>0.7331</v>
      </c>
      <c r="D7" s="14" t="n">
        <f aca="false">dci_q3</f>
        <v>0.1969</v>
      </c>
      <c r="E7" s="14" t="n">
        <f aca="false">dci_q4</f>
        <v>0.2559</v>
      </c>
      <c r="F7" s="14" t="n">
        <f aca="false">E7*(1+q_dcig)</f>
        <v>0.28149</v>
      </c>
      <c r="G7" s="14" t="n">
        <f aca="false">F7*(1+q_dcig)</f>
        <v>0.309639</v>
      </c>
      <c r="H7" s="7" t="s">
        <v>544</v>
      </c>
      <c r="I7" s="7" t="s">
        <v>545</v>
      </c>
    </row>
    <row r="8" customFormat="false" ht="17.15" hidden="false" customHeight="false" outlineLevel="0" collapsed="false">
      <c r="A8" s="0" t="s">
        <v>546</v>
      </c>
      <c r="B8" s="14" t="n">
        <f aca="false">0</f>
        <v>0</v>
      </c>
      <c r="C8" s="14" t="n">
        <f aca="false">hpc_q1+hpc_q2+hpc_q3+hpc_q4</f>
        <v>0.3261</v>
      </c>
      <c r="D8" s="14" t="n">
        <f aca="false">hpc_q3</f>
        <v>0.1067</v>
      </c>
      <c r="E8" s="14" t="n">
        <f aca="false">hpc_q4</f>
        <v>0.118</v>
      </c>
      <c r="F8" s="14" t="n">
        <f aca="false">E8*(1+q_hpg)</f>
        <v>0.1298</v>
      </c>
      <c r="G8" s="14" t="n">
        <f aca="false">F8*(1+q_hpg)</f>
        <v>0.14278</v>
      </c>
      <c r="H8" s="7" t="s">
        <v>544</v>
      </c>
      <c r="I8" s="7" t="s">
        <v>547</v>
      </c>
    </row>
    <row r="9" customFormat="false" ht="17.15" hidden="false" customHeight="false" outlineLevel="0" collapsed="false">
      <c r="A9" s="4" t="s">
        <v>548</v>
      </c>
      <c r="B9" s="14" t="n">
        <f aca="false">a25_rev_in*a25_cip_in</f>
        <v>1.049733389</v>
      </c>
      <c r="C9" s="14" t="n">
        <f aca="false">a26_rev_in*a26_cip_in</f>
        <v>1.545485301</v>
      </c>
      <c r="D9" s="14" t="n">
        <f aca="false">q4_ci/(1+q4_cig)</f>
        <v>0.408811881188119</v>
      </c>
      <c r="E9" s="14" t="n">
        <f aca="false">q4_ci</f>
        <v>0.4129</v>
      </c>
      <c r="F9" s="14" t="n">
        <f aca="false">E9*(1+q_cig)</f>
        <v>0.425287</v>
      </c>
      <c r="G9" s="14" t="n">
        <f aca="false">F9*(1+q_cig)</f>
        <v>0.43804561</v>
      </c>
      <c r="H9" s="7" t="s">
        <v>549</v>
      </c>
    </row>
    <row r="10" customFormat="false" ht="17.15" hidden="false" customHeight="false" outlineLevel="0" collapsed="false">
      <c r="A10" s="4" t="s">
        <v>550</v>
      </c>
      <c r="B10" s="14" t="n">
        <f aca="false">a25_rev_in*a25_aiop_in</f>
        <v>0.789864537</v>
      </c>
      <c r="C10" s="14" t="n">
        <f aca="false">a26_rev_in*a26_aiop_in</f>
        <v>0.872526236</v>
      </c>
      <c r="D10" s="14" t="n">
        <f aca="false">D4-D5-D9</f>
        <v>0.213488118811881</v>
      </c>
      <c r="E10" s="14" t="n">
        <f aca="false">q4_aio</f>
        <v>0.2336</v>
      </c>
      <c r="F10" s="14" t="n">
        <f aca="false">E10*(1+q_aig)</f>
        <v>0.238272</v>
      </c>
      <c r="G10" s="14" t="n">
        <f aca="false">F10*(1+q_aig)</f>
        <v>0.24303744</v>
      </c>
      <c r="H10" s="7" t="s">
        <v>549</v>
      </c>
    </row>
    <row r="11" customFormat="false" ht="17.15" hidden="false" customHeight="false" outlineLevel="0" collapsed="false">
      <c r="A11" s="0" t="s">
        <v>551</v>
      </c>
      <c r="B11" s="14" t="n">
        <f aca="false">a25_gp_in</f>
        <v>0.423805</v>
      </c>
      <c r="C11" s="14" t="n">
        <f aca="false">a26_gp_in</f>
        <v>0.56797</v>
      </c>
      <c r="F11" s="14" t="n">
        <f aca="false">F4*q1_gm</f>
        <v>0.1708</v>
      </c>
      <c r="H11" s="7" t="s">
        <v>135</v>
      </c>
    </row>
    <row r="12" customFormat="false" ht="17.15" hidden="false" customHeight="false" outlineLevel="0" collapsed="false">
      <c r="A12" s="0" t="s">
        <v>552</v>
      </c>
      <c r="B12" s="15" t="n">
        <f aca="false">B11/B4</f>
        <v>0.123943980789202</v>
      </c>
      <c r="C12" s="15" t="n">
        <f aca="false">C11/C4</f>
        <v>0.122378394590762</v>
      </c>
      <c r="F12" s="15" t="n">
        <f aca="false">F11/F4</f>
        <v>0.122</v>
      </c>
      <c r="H12" s="7" t="s">
        <v>33</v>
      </c>
    </row>
    <row r="13" customFormat="false" ht="17.15" hidden="false" customHeight="false" outlineLevel="0" collapsed="false">
      <c r="A13" s="0" t="s">
        <v>553</v>
      </c>
      <c r="B13" s="14" t="n">
        <f aca="false">a25_gp_in-a25_op_in</f>
        <v>0.063093</v>
      </c>
      <c r="C13" s="14" t="n">
        <f aca="false">a26_gp_in-a26_op_in</f>
        <v>0.0679069999999999</v>
      </c>
      <c r="F13" s="14" t="n">
        <f aca="false">q1_opx</f>
        <v>0.0195</v>
      </c>
      <c r="H13" s="7" t="s">
        <v>33</v>
      </c>
    </row>
    <row r="14" customFormat="false" ht="17.15" hidden="false" customHeight="false" outlineLevel="0" collapsed="false">
      <c r="A14" s="0" t="s">
        <v>554</v>
      </c>
      <c r="B14" s="14" t="n">
        <f aca="false">B11-B13</f>
        <v>0.360712</v>
      </c>
      <c r="C14" s="14" t="n">
        <f aca="false">C11-C13</f>
        <v>0.500063</v>
      </c>
      <c r="F14" s="14" t="n">
        <f aca="false">F11-F13</f>
        <v>0.1513</v>
      </c>
      <c r="H14" s="7" t="s">
        <v>33</v>
      </c>
    </row>
    <row r="15" customFormat="false" ht="17.15" hidden="false" customHeight="false" outlineLevel="0" collapsed="false">
      <c r="A15" s="0" t="s">
        <v>555</v>
      </c>
      <c r="B15" s="14" t="n">
        <f aca="false">a25_ni_in+a25_tax_in-a25_op_in</f>
        <v>0.030733</v>
      </c>
      <c r="C15" s="14" t="n">
        <f aca="false">a26_ni_in+a26_tax_in-a26_op_in</f>
        <v>0.0354829999999999</v>
      </c>
      <c r="F15" s="14" t="n">
        <f aca="false">int_f/4</f>
        <v>0.0075</v>
      </c>
      <c r="H15" s="7" t="s">
        <v>33</v>
      </c>
      <c r="I15" s="4" t="s">
        <v>556</v>
      </c>
    </row>
    <row r="16" customFormat="false" ht="17.15" hidden="false" customHeight="false" outlineLevel="0" collapsed="false">
      <c r="A16" s="0" t="s">
        <v>557</v>
      </c>
      <c r="B16" s="15" t="n">
        <f aca="false">a25_tax_in/(B14+B15)</f>
        <v>0.0578701988785142</v>
      </c>
      <c r="C16" s="15" t="n">
        <f aca="false">a26_tax_in/(C14+C15)</f>
        <v>0.0460072524115576</v>
      </c>
      <c r="F16" s="15" t="n">
        <f aca="false">tx</f>
        <v>0.05</v>
      </c>
      <c r="H16" s="7" t="s">
        <v>33</v>
      </c>
    </row>
    <row r="17" customFormat="false" ht="17.15" hidden="false" customHeight="false" outlineLevel="0" collapsed="false">
      <c r="A17" s="0" t="s">
        <v>558</v>
      </c>
      <c r="B17" s="14" t="n">
        <f aca="false">a25_ni_in</f>
        <v>0.368792</v>
      </c>
      <c r="C17" s="14" t="n">
        <f aca="false">a26_ni_in</f>
        <v>0.510907</v>
      </c>
      <c r="F17" s="14" t="n">
        <f aca="false">(F14+F15)*(1-F16)</f>
        <v>0.15086</v>
      </c>
      <c r="H17" s="7" t="s">
        <v>549</v>
      </c>
    </row>
    <row r="18" customFormat="false" ht="15" hidden="false" customHeight="false" outlineLevel="0" collapsed="false">
      <c r="A18" s="4" t="s">
        <v>559</v>
      </c>
      <c r="B18" s="16" t="n">
        <f aca="false">a25_sh_in</f>
        <v>0.036267</v>
      </c>
      <c r="C18" s="16" t="n">
        <f aca="false">a26_sh_in</f>
        <v>0.036252</v>
      </c>
      <c r="F18" s="16" t="n">
        <f aca="false">sh_q1</f>
        <v>0.0363</v>
      </c>
      <c r="H18" s="7" t="s">
        <v>135</v>
      </c>
    </row>
    <row r="19" customFormat="false" ht="17.15" hidden="false" customHeight="false" outlineLevel="0" collapsed="false">
      <c r="A19" s="0" t="s">
        <v>560</v>
      </c>
      <c r="B19" s="8" t="n">
        <f aca="false">B17/B18</f>
        <v>10.1688035955552</v>
      </c>
      <c r="C19" s="8" t="n">
        <f aca="false">C17/C18</f>
        <v>14.0932086505572</v>
      </c>
      <c r="F19" s="8" t="n">
        <f aca="false">F17/F18</f>
        <v>4.15592286501377</v>
      </c>
      <c r="H19" s="7" t="s">
        <v>33</v>
      </c>
      <c r="I19" s="7" t="s">
        <v>561</v>
      </c>
    </row>
    <row r="21" customFormat="false" ht="15" hidden="false" customHeight="false" outlineLevel="0" collapsed="false">
      <c r="A21" s="3" t="s">
        <v>562</v>
      </c>
    </row>
    <row r="22" customFormat="false" ht="17.15" hidden="false" customHeight="false" outlineLevel="0" collapsed="false">
      <c r="A22" s="0" t="s">
        <v>563</v>
      </c>
      <c r="B22" s="15" t="n">
        <f aca="false">C4/B4-1</f>
        <v>0.357313003406811</v>
      </c>
    </row>
    <row r="23" customFormat="false" ht="17.15" hidden="false" customHeight="false" outlineLevel="0" collapsed="false">
      <c r="A23" s="0" t="s">
        <v>564</v>
      </c>
      <c r="B23" s="15" t="n">
        <f aca="false">C13/B13-1</f>
        <v>0.076300064983436</v>
      </c>
    </row>
    <row r="24" customFormat="false" ht="17.15" hidden="false" customHeight="false" outlineLevel="0" collapsed="false">
      <c r="A24" s="4" t="s">
        <v>565</v>
      </c>
      <c r="B24" s="8" t="n">
        <f aca="false">B23/B22</f>
        <v>0.213538450198988</v>
      </c>
    </row>
    <row r="25" customFormat="false" ht="17.15" hidden="false" customHeight="false" outlineLevel="0" collapsed="false">
      <c r="A25" s="0" t="s">
        <v>566</v>
      </c>
      <c r="B25" s="14" t="n">
        <f aca="false">D6+E6+F6+G6</f>
        <v>1.26011408</v>
      </c>
    </row>
    <row r="26" customFormat="false" ht="17.15" hidden="false" customHeight="false" outlineLevel="0" collapsed="false">
      <c r="A26" s="0" t="s">
        <v>567</v>
      </c>
      <c r="B26" s="14" t="n">
        <f aca="false">F6+G6</f>
        <v>0.67631408</v>
      </c>
    </row>
    <row r="27" customFormat="false" ht="17.15" hidden="false" customHeight="false" outlineLevel="0" collapsed="false">
      <c r="A27" s="0" t="s">
        <v>568</v>
      </c>
      <c r="B27" s="15" t="n">
        <f aca="false">(D6+E6)/B25</f>
        <v>0.463291387078224</v>
      </c>
    </row>
    <row r="28" customFormat="false" ht="17.15" hidden="false" customHeight="false" outlineLevel="0" collapsed="false">
      <c r="A28" s="0" t="s">
        <v>569</v>
      </c>
      <c r="B28" s="15" t="n">
        <f aca="false">F19/q1_eps-1</f>
        <v>-0.00456937364939547</v>
      </c>
    </row>
    <row r="29" customFormat="false" ht="17.15" hidden="false" customHeight="false" outlineLevel="0" collapsed="false">
      <c r="A29" s="0" t="s">
        <v>570</v>
      </c>
      <c r="B29" s="17" t="n">
        <f aca="false">nv26*C4/C6</f>
        <v>0.649977025273663</v>
      </c>
    </row>
    <row r="30" customFormat="false" ht="17.15" hidden="false" customHeight="false" outlineLevel="0" collapsed="false">
      <c r="A30" s="0" t="s">
        <v>571</v>
      </c>
      <c r="B30" s="15" t="n">
        <f aca="false">C5/C4</f>
        <v>0.479</v>
      </c>
    </row>
    <row r="31" customFormat="false" ht="17.15" hidden="false" customHeight="false" outlineLevel="0" collapsed="false">
      <c r="A31" s="0" t="s">
        <v>572</v>
      </c>
      <c r="B31" s="14" t="n">
        <f aca="false">F7+G7</f>
        <v>0.591129</v>
      </c>
    </row>
    <row r="32" customFormat="false" ht="17.15" hidden="false" customHeight="false" outlineLevel="0" collapsed="false">
      <c r="A32" s="0" t="s">
        <v>573</v>
      </c>
      <c r="B32" s="14" t="n">
        <f aca="false">F8+G8</f>
        <v>0.27258</v>
      </c>
    </row>
    <row r="33" customFormat="false" ht="17.15" hidden="false" customHeight="false" outlineLevel="0" collapsed="false">
      <c r="A33" s="0" t="s">
        <v>574</v>
      </c>
      <c r="B33" s="14" t="n">
        <f aca="false">F9+G9</f>
        <v>0.86333261</v>
      </c>
    </row>
    <row r="34" customFormat="false" ht="17.15" hidden="false" customHeight="false" outlineLevel="0" collapsed="false">
      <c r="A34" s="0" t="s">
        <v>575</v>
      </c>
      <c r="B34" s="14" t="n">
        <f aca="false">F10+G10</f>
        <v>0.48130944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576</v>
      </c>
    </row>
    <row r="3" customFormat="false" ht="15" hidden="false" customHeight="false" outlineLevel="0" collapsed="false">
      <c r="A3" s="5" t="s">
        <v>21</v>
      </c>
      <c r="B3" s="5" t="s">
        <v>22</v>
      </c>
      <c r="C3" s="13" t="s">
        <v>577</v>
      </c>
      <c r="D3" s="13" t="s">
        <v>578</v>
      </c>
      <c r="E3" s="13" t="s">
        <v>579</v>
      </c>
      <c r="F3" s="13" t="s">
        <v>580</v>
      </c>
      <c r="G3" s="5" t="s">
        <v>534</v>
      </c>
    </row>
    <row r="4" customFormat="false" ht="17.15" hidden="false" customHeight="false" outlineLevel="0" collapsed="false">
      <c r="A4" s="0" t="s">
        <v>581</v>
      </c>
      <c r="B4" s="0" t="s">
        <v>32</v>
      </c>
      <c r="C4" s="18" t="n">
        <f aca="false">PL!D63</f>
        <v>29.753262</v>
      </c>
      <c r="D4" s="18" t="n">
        <f aca="false">PL!E63</f>
        <v>53.560715</v>
      </c>
      <c r="E4" s="18" t="n">
        <f aca="false">PL!F63</f>
        <v>57.9915</v>
      </c>
      <c r="F4" s="18" t="n">
        <f aca="false">PL!G63</f>
        <v>72.9348</v>
      </c>
      <c r="G4" s="7" t="s">
        <v>582</v>
      </c>
    </row>
    <row r="5" customFormat="false" ht="17.15" hidden="false" customHeight="false" outlineLevel="0" collapsed="false">
      <c r="A5" s="0" t="s">
        <v>583</v>
      </c>
      <c r="B5" s="0" t="s">
        <v>32</v>
      </c>
      <c r="C5" s="18" t="n">
        <f aca="false">PL!D64</f>
        <v>0.300538</v>
      </c>
      <c r="D5" s="18" t="n">
        <f aca="false">PL!E64</f>
        <v>2.818985</v>
      </c>
      <c r="E5" s="18" t="n">
        <f aca="false">PL!F64</f>
        <v>6.4435</v>
      </c>
      <c r="F5" s="18" t="n">
        <f aca="false">PL!G64</f>
        <v>11.74736</v>
      </c>
      <c r="G5" s="4" t="s">
        <v>38</v>
      </c>
    </row>
    <row r="6" customFormat="false" ht="17.15" hidden="false" customHeight="false" outlineLevel="0" collapsed="false">
      <c r="A6" s="0" t="s">
        <v>584</v>
      </c>
      <c r="B6" s="0" t="s">
        <v>65</v>
      </c>
      <c r="C6" s="15" t="n">
        <f aca="false">PL!D67</f>
        <v>0.0423521320116093</v>
      </c>
      <c r="D6" s="15" t="n">
        <f aca="false">PL!E67</f>
        <v>0.0487049518133507</v>
      </c>
      <c r="E6" s="15" t="n">
        <f aca="false">PL!F67</f>
        <v>0.0529401650145117</v>
      </c>
      <c r="F6" s="15" t="n">
        <f aca="false">PL!G67</f>
        <v>0.0550577716150921</v>
      </c>
      <c r="G6" s="7" t="s">
        <v>585</v>
      </c>
    </row>
    <row r="7" customFormat="false" ht="17.15" hidden="false" customHeight="false" outlineLevel="0" collapsed="false">
      <c r="A7" s="4" t="s">
        <v>586</v>
      </c>
      <c r="B7" s="0" t="s">
        <v>65</v>
      </c>
      <c r="C7" s="15" t="n">
        <f aca="false">inl_26</f>
        <v>0.421833385510356</v>
      </c>
      <c r="D7" s="15" t="n">
        <f aca="false">inl_27</f>
        <v>0.400741716234838</v>
      </c>
      <c r="E7" s="15" t="n">
        <f aca="false">inl_28</f>
        <v>0.37965004695932</v>
      </c>
      <c r="F7" s="15" t="n">
        <f aca="false">inl_29</f>
        <v>0.358558377683802</v>
      </c>
      <c r="G7" s="4" t="s">
        <v>587</v>
      </c>
    </row>
    <row r="8" customFormat="false" ht="17.15" hidden="false" customHeight="false" outlineLevel="0" collapsed="false">
      <c r="A8" s="4" t="s">
        <v>588</v>
      </c>
      <c r="B8" s="0" t="s">
        <v>65</v>
      </c>
      <c r="C8" s="15" t="n">
        <f aca="false">C6+C7</f>
        <v>0.464185517521965</v>
      </c>
      <c r="D8" s="15" t="n">
        <f aca="false">D6+D7</f>
        <v>0.449446668048189</v>
      </c>
      <c r="E8" s="15" t="n">
        <f aca="false">E6+E7</f>
        <v>0.432590211973832</v>
      </c>
      <c r="F8" s="15" t="n">
        <f aca="false">F6+F7</f>
        <v>0.413616149298894</v>
      </c>
      <c r="G8" s="4" t="s">
        <v>589</v>
      </c>
    </row>
    <row r="9" customFormat="false" ht="17.15" hidden="false" customHeight="false" outlineLevel="0" collapsed="false">
      <c r="A9" s="0" t="s">
        <v>590</v>
      </c>
      <c r="B9" s="0" t="s">
        <v>32</v>
      </c>
      <c r="C9" s="19" t="n">
        <f aca="false">PL!D70</f>
        <v>1.26011408</v>
      </c>
      <c r="D9" s="19" t="n">
        <f aca="false">PL!E70</f>
        <v>3.03151979316361</v>
      </c>
      <c r="E9" s="19" t="n">
        <f aca="false">PL!F70</f>
        <v>4.35877957943905</v>
      </c>
      <c r="F9" s="19" t="n">
        <f aca="false">PL!G70</f>
        <v>6.95246756119242</v>
      </c>
    </row>
    <row r="10" customFormat="false" ht="17.15" hidden="false" customHeight="false" outlineLevel="0" collapsed="false">
      <c r="A10" s="4" t="s">
        <v>591</v>
      </c>
      <c r="B10" s="0" t="s">
        <v>32</v>
      </c>
      <c r="C10" s="18" t="n">
        <f aca="false">C4+C5-C7*C4-C9</f>
        <v>16.2427666805634</v>
      </c>
      <c r="D10" s="18" t="n">
        <f aca="false">D4+D5-D7*D4-D9</f>
        <v>31.8841673549714</v>
      </c>
      <c r="E10" s="18" t="n">
        <f aca="false">E4+E5-E7*E4-E9</f>
        <v>38.0597447223195</v>
      </c>
      <c r="F10" s="18" t="n">
        <f aca="false">F4+F5-F7*F4-F9</f>
        <v>51.578308874115</v>
      </c>
      <c r="G10" s="4" t="s">
        <v>592</v>
      </c>
    </row>
    <row r="11" customFormat="false" ht="17.15" hidden="false" customHeight="false" outlineLevel="0" collapsed="false">
      <c r="A11" s="0" t="s">
        <v>593</v>
      </c>
      <c r="B11" s="0" t="s">
        <v>65</v>
      </c>
      <c r="C11" s="20" t="n">
        <f aca="false">PL!D70/itc_26</f>
        <v>0.00161166099136955</v>
      </c>
      <c r="D11" s="20" t="n">
        <f aca="false">PL!E70/itc_27</f>
        <v>0.00193664023583455</v>
      </c>
      <c r="E11" s="20" t="n">
        <f aca="false">PL!F70/itc_28</f>
        <v>0.00219667333757699</v>
      </c>
      <c r="F11" s="20" t="n">
        <f aca="false">PL!G70/itc_29</f>
        <v>0.00307578192560069</v>
      </c>
      <c r="G11" s="7" t="s">
        <v>594</v>
      </c>
    </row>
    <row r="12" customFormat="false" ht="17.15" hidden="false" customHeight="false" outlineLevel="0" collapsed="false">
      <c r="A12" s="4" t="s">
        <v>595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597</v>
      </c>
    </row>
    <row r="2" customFormat="false" ht="17.15" hidden="false" customHeight="false" outlineLevel="0" collapsed="false">
      <c r="A2" s="4" t="s">
        <v>598</v>
      </c>
    </row>
    <row r="3" customFormat="false" ht="17.15" hidden="false" customHeight="false" outlineLevel="0" collapsed="false">
      <c r="A3" s="5" t="s">
        <v>599</v>
      </c>
      <c r="B3" s="5" t="s">
        <v>22</v>
      </c>
      <c r="C3" s="13" t="s">
        <v>528</v>
      </c>
      <c r="D3" s="13" t="s">
        <v>600</v>
      </c>
      <c r="E3" s="13" t="s">
        <v>601</v>
      </c>
      <c r="F3" s="13" t="s">
        <v>602</v>
      </c>
      <c r="G3" s="13" t="s">
        <v>603</v>
      </c>
      <c r="H3" s="13" t="s">
        <v>604</v>
      </c>
      <c r="I3" s="13" t="s">
        <v>605</v>
      </c>
      <c r="J3" s="13" t="s">
        <v>606</v>
      </c>
      <c r="K3" s="5" t="s">
        <v>534</v>
      </c>
    </row>
    <row r="4" customFormat="false" ht="17.15" hidden="false" customHeight="false" outlineLevel="0" collapsed="false">
      <c r="A4" s="3" t="s">
        <v>607</v>
      </c>
    </row>
    <row r="5" customFormat="false" ht="15" hidden="false" customHeight="false" outlineLevel="0" collapsed="false">
      <c r="A5" s="4" t="s">
        <v>535</v>
      </c>
      <c r="B5" s="0" t="s">
        <v>32</v>
      </c>
      <c r="C5" s="19" t="n">
        <f aca="false">C81</f>
        <v>3.419327</v>
      </c>
      <c r="D5" s="19" t="n">
        <f aca="false">D81</f>
        <v>4.641097</v>
      </c>
      <c r="E5" s="19" t="n">
        <f aca="false">E81</f>
        <v>6.62441665805526</v>
      </c>
      <c r="F5" s="19" t="n">
        <f aca="false">F81</f>
        <v>8.68563058895432</v>
      </c>
      <c r="G5" s="19" t="n">
        <f aca="false">G81</f>
        <v>10.9554180866548</v>
      </c>
      <c r="H5" s="21" t="n">
        <f aca="false">H81</f>
        <v>13.0831555533216</v>
      </c>
      <c r="I5" s="21" t="n">
        <f aca="false">I81</f>
        <v>14.7461412241369</v>
      </c>
      <c r="J5" s="21" t="n">
        <f aca="false">J81</f>
        <v>15.6309096975851</v>
      </c>
    </row>
    <row r="6" customFormat="false" ht="15" hidden="false" customHeight="false" outlineLevel="0" collapsed="false">
      <c r="A6" s="4" t="s">
        <v>608</v>
      </c>
      <c r="B6" s="0" t="s">
        <v>65</v>
      </c>
      <c r="D6" s="15" t="n">
        <f aca="false">D82</f>
        <v>0.357313003406811</v>
      </c>
      <c r="E6" s="15" t="n">
        <f aca="false">E82</f>
        <v>0.42733854906615</v>
      </c>
      <c r="F6" s="15" t="n">
        <f aca="false">F82</f>
        <v>0.311154028693625</v>
      </c>
      <c r="G6" s="15" t="n">
        <f aca="false">G82</f>
        <v>0.261326736666307</v>
      </c>
      <c r="H6" s="22" t="n">
        <f aca="false">H82</f>
        <v>0.194217824444205</v>
      </c>
      <c r="I6" s="22" t="n">
        <f aca="false">I82</f>
        <v>0.127108912222102</v>
      </c>
      <c r="J6" s="22" t="n">
        <f aca="false">J82</f>
        <v>0.06</v>
      </c>
    </row>
    <row r="7" customFormat="false" ht="15" hidden="false" customHeight="false" outlineLevel="0" collapsed="false">
      <c r="A7" s="4" t="s">
        <v>609</v>
      </c>
      <c r="B7" s="0" t="s">
        <v>32</v>
      </c>
      <c r="C7" s="19" t="n">
        <f aca="false">C78</f>
        <v>1.579729074</v>
      </c>
      <c r="D7" s="19" t="n">
        <f aca="false">D78</f>
        <v>2.223085463</v>
      </c>
      <c r="E7" s="19" t="n">
        <f aca="false">E78</f>
        <v>3.89097306485526</v>
      </c>
      <c r="F7" s="19" t="n">
        <f aca="false">F78</f>
        <v>5.79790283085032</v>
      </c>
      <c r="G7" s="19" t="n">
        <f aca="false">G78</f>
        <v>7.9233039406456</v>
      </c>
    </row>
    <row r="8" customFormat="false" ht="15" hidden="false" customHeight="false" outlineLevel="0" collapsed="false">
      <c r="A8" s="4" t="s">
        <v>610</v>
      </c>
      <c r="B8" s="0" t="s">
        <v>32</v>
      </c>
      <c r="C8" s="19" t="n">
        <f aca="false">C73</f>
        <v>1.16917436338336</v>
      </c>
      <c r="D8" s="19" t="n">
        <f aca="false">D73</f>
        <v>1.163885463</v>
      </c>
      <c r="E8" s="19" t="n">
        <f aca="false">E73</f>
        <v>2.07081318485526</v>
      </c>
      <c r="F8" s="19" t="n">
        <f aca="false">F73</f>
        <v>3.64205929485032</v>
      </c>
      <c r="G8" s="19" t="n">
        <f aca="false">G73</f>
        <v>5.5518760510456</v>
      </c>
    </row>
    <row r="9" customFormat="false" ht="15" hidden="false" customHeight="false" outlineLevel="0" collapsed="false">
      <c r="A9" s="0" t="s">
        <v>611</v>
      </c>
      <c r="B9" s="0" t="s">
        <v>32</v>
      </c>
      <c r="C9" s="19" t="n">
        <f aca="false">C75</f>
        <v>0.410554710616641</v>
      </c>
      <c r="D9" s="19" t="n">
        <f aca="false">D75</f>
        <v>0.7331</v>
      </c>
      <c r="E9" s="19" t="n">
        <f aca="false">E75</f>
        <v>1.25319348</v>
      </c>
      <c r="F9" s="19" t="n">
        <f aca="false">F75</f>
        <v>1.503832176</v>
      </c>
      <c r="G9" s="19" t="n">
        <f aca="false">G75</f>
        <v>1.6542153936</v>
      </c>
    </row>
    <row r="10" customFormat="false" ht="15" hidden="false" customHeight="false" outlineLevel="0" collapsed="false">
      <c r="A10" s="0" t="s">
        <v>612</v>
      </c>
      <c r="B10" s="0" t="s">
        <v>32</v>
      </c>
      <c r="C10" s="19" t="n">
        <f aca="false">C77</f>
        <v>0</v>
      </c>
      <c r="D10" s="19" t="n">
        <f aca="false">D77</f>
        <v>0.3261</v>
      </c>
      <c r="E10" s="19" t="n">
        <f aca="false">E77</f>
        <v>0.5669664</v>
      </c>
      <c r="F10" s="19" t="n">
        <f aca="false">F77</f>
        <v>0.65201136</v>
      </c>
      <c r="G10" s="19" t="n">
        <f aca="false">G77</f>
        <v>0.717212496</v>
      </c>
    </row>
    <row r="11" customFormat="false" ht="15" hidden="false" customHeight="false" outlineLevel="0" collapsed="false">
      <c r="A11" s="4" t="s">
        <v>613</v>
      </c>
      <c r="B11" s="0" t="s">
        <v>32</v>
      </c>
      <c r="C11" s="19" t="n">
        <f aca="false">C79</f>
        <v>1.049733389</v>
      </c>
      <c r="D11" s="19" t="n">
        <f aca="false">D79</f>
        <v>1.545485301</v>
      </c>
      <c r="E11" s="19" t="n">
        <f aca="false">E79</f>
        <v>1.7611985244</v>
      </c>
      <c r="F11" s="19" t="n">
        <f aca="false">F79</f>
        <v>1.866870435864</v>
      </c>
      <c r="G11" s="19" t="n">
        <f aca="false">G79</f>
        <v>1.9602139576572</v>
      </c>
    </row>
    <row r="12" customFormat="false" ht="15" hidden="false" customHeight="false" outlineLevel="0" collapsed="false">
      <c r="A12" s="4" t="s">
        <v>614</v>
      </c>
      <c r="B12" s="0" t="s">
        <v>32</v>
      </c>
      <c r="C12" s="19" t="n">
        <f aca="false">C80</f>
        <v>0.789864537</v>
      </c>
      <c r="D12" s="19" t="n">
        <f aca="false">D80</f>
        <v>0.872526236</v>
      </c>
      <c r="E12" s="19" t="n">
        <f aca="false">E80</f>
        <v>0.9722450688</v>
      </c>
      <c r="F12" s="19" t="n">
        <f aca="false">F80</f>
        <v>1.02085732224</v>
      </c>
      <c r="G12" s="19" t="n">
        <f aca="false">G80</f>
        <v>1.071900188352</v>
      </c>
    </row>
    <row r="13" customFormat="false" ht="15" hidden="false" customHeight="false" outlineLevel="0" collapsed="false">
      <c r="A13" s="4" t="s">
        <v>615</v>
      </c>
      <c r="B13" s="0" t="s">
        <v>65</v>
      </c>
      <c r="C13" s="15" t="n">
        <f aca="false">C85</f>
        <v>0.123943980789202</v>
      </c>
      <c r="D13" s="15" t="n">
        <f aca="false">D85</f>
        <v>0.122378394590762</v>
      </c>
      <c r="E13" s="15" t="n">
        <f aca="false">E85</f>
        <v>0.127</v>
      </c>
      <c r="F13" s="15" t="n">
        <f aca="false">F85</f>
        <v>0.128</v>
      </c>
      <c r="G13" s="15" t="n">
        <f aca="false">G85</f>
        <v>0.128</v>
      </c>
    </row>
    <row r="14" customFormat="false" ht="15" hidden="false" customHeight="false" outlineLevel="0" collapsed="false">
      <c r="A14" s="4" t="s">
        <v>616</v>
      </c>
      <c r="B14" s="0" t="s">
        <v>65</v>
      </c>
      <c r="C14" s="15" t="n">
        <f aca="false">C90</f>
        <v>0.10549210414798</v>
      </c>
      <c r="D14" s="15" t="n">
        <f aca="false">D90</f>
        <v>0.107746724535169</v>
      </c>
      <c r="E14" s="15" t="n">
        <f aca="false">E90</f>
        <v>0.115813546058925</v>
      </c>
      <c r="F14" s="15" t="n">
        <f aca="false">F90</f>
        <v>0.118901359303364</v>
      </c>
      <c r="G14" s="15" t="n">
        <f aca="false">G90</f>
        <v>0.120383912390434</v>
      </c>
    </row>
    <row r="15" customFormat="false" ht="15" hidden="false" customHeight="false" outlineLevel="0" collapsed="false">
      <c r="A15" s="4" t="s">
        <v>617</v>
      </c>
      <c r="B15" s="0" t="s">
        <v>32</v>
      </c>
      <c r="C15" s="19" t="n">
        <f aca="false">C93</f>
        <v>0.368792</v>
      </c>
      <c r="D15" s="19" t="n">
        <f aca="false">D93</f>
        <v>0.510907</v>
      </c>
      <c r="E15" s="19" t="n">
        <f aca="false">E93</f>
        <v>0.757337324554131</v>
      </c>
      <c r="F15" s="19" t="n">
        <f aca="false">F93</f>
        <v>1.00959661926187</v>
      </c>
      <c r="G15" s="19" t="n">
        <f aca="false">G93</f>
        <v>1.28141328658721</v>
      </c>
      <c r="H15" s="21" t="n">
        <f aca="false">H93</f>
        <v>1.53028658732208</v>
      </c>
      <c r="I15" s="21" t="n">
        <f aca="false">I93</f>
        <v>1.72479965082466</v>
      </c>
      <c r="J15" s="21" t="n">
        <f aca="false">J93</f>
        <v>1.82828762987414</v>
      </c>
    </row>
    <row r="16" customFormat="false" ht="15" hidden="false" customHeight="false" outlineLevel="0" collapsed="false">
      <c r="A16" s="0" t="s">
        <v>618</v>
      </c>
      <c r="B16" s="0" t="s">
        <v>217</v>
      </c>
      <c r="C16" s="8" t="n">
        <f aca="false">C96</f>
        <v>10.1688035955552</v>
      </c>
      <c r="D16" s="8" t="n">
        <f aca="false">D96</f>
        <v>14.0932086505572</v>
      </c>
      <c r="E16" s="8" t="n">
        <f aca="false">E96</f>
        <v>20.8632871777998</v>
      </c>
      <c r="F16" s="8" t="n">
        <f aca="false">F96</f>
        <v>27.8125790430266</v>
      </c>
      <c r="G16" s="8" t="n">
        <f aca="false">G96</f>
        <v>35.3006415037799</v>
      </c>
      <c r="H16" s="23" t="n">
        <f aca="false">H96</f>
        <v>42.1566552981288</v>
      </c>
      <c r="I16" s="23" t="n">
        <f aca="false">I96</f>
        <v>47.5151418959961</v>
      </c>
      <c r="J16" s="23" t="n">
        <f aca="false">J96</f>
        <v>50.3660504097559</v>
      </c>
    </row>
    <row r="17" customFormat="false" ht="17.15" hidden="false" customHeight="false" outlineLevel="0" collapsed="false">
      <c r="A17" s="0" t="s">
        <v>619</v>
      </c>
      <c r="B17" s="0" t="s">
        <v>65</v>
      </c>
      <c r="D17" s="15" t="n">
        <f aca="false">D97</f>
        <v>0.385925936923139</v>
      </c>
      <c r="E17" s="15" t="n">
        <f aca="false">E97</f>
        <v>0.480378790601023</v>
      </c>
      <c r="F17" s="15" t="n">
        <f aca="false">F97</f>
        <v>0.333087102046963</v>
      </c>
      <c r="G17" s="15" t="n">
        <f aca="false">G97</f>
        <v>0.269232941294983</v>
      </c>
      <c r="H17" s="22" t="n">
        <f aca="false">H97</f>
        <v>0.194217824444205</v>
      </c>
      <c r="I17" s="22" t="n">
        <f aca="false">I97</f>
        <v>0.127108912222103</v>
      </c>
      <c r="J17" s="22" t="n">
        <f aca="false">J97</f>
        <v>0.0600000000000001</v>
      </c>
    </row>
    <row r="19" customFormat="false" ht="17.15" hidden="false" customHeight="false" outlineLevel="0" collapsed="false">
      <c r="A19" s="3" t="s">
        <v>620</v>
      </c>
    </row>
    <row r="20" customFormat="false" ht="15" hidden="false" customHeight="false" outlineLevel="0" collapsed="false">
      <c r="A20" s="4" t="s">
        <v>535</v>
      </c>
      <c r="B20" s="0" t="s">
        <v>32</v>
      </c>
      <c r="C20" s="19" t="n">
        <f aca="false">C121</f>
        <v>3.419327</v>
      </c>
      <c r="D20" s="19" t="n">
        <f aca="false">D121</f>
        <v>4.641097</v>
      </c>
      <c r="E20" s="19" t="n">
        <f aca="false">E121</f>
        <v>6.33425612803945</v>
      </c>
      <c r="F20" s="19" t="n">
        <f aca="false">F121</f>
        <v>7.21423583152058</v>
      </c>
      <c r="G20" s="19" t="n">
        <f aca="false">G121</f>
        <v>7.82722658207471</v>
      </c>
      <c r="H20" s="21" t="n">
        <f aca="false">H121</f>
        <v>8.37497382379013</v>
      </c>
      <c r="I20" s="21" t="n">
        <f aca="false">I121</f>
        <v>8.83551252452485</v>
      </c>
      <c r="J20" s="21" t="n">
        <f aca="false">J121</f>
        <v>9.18893302550584</v>
      </c>
    </row>
    <row r="21" customFormat="false" ht="15" hidden="false" customHeight="false" outlineLevel="0" collapsed="false">
      <c r="A21" s="4" t="s">
        <v>608</v>
      </c>
      <c r="B21" s="0" t="s">
        <v>65</v>
      </c>
      <c r="D21" s="15" t="n">
        <f aca="false">D122</f>
        <v>0.357313003406811</v>
      </c>
      <c r="E21" s="15" t="n">
        <f aca="false">E122</f>
        <v>0.36481873316577</v>
      </c>
      <c r="F21" s="15" t="n">
        <f aca="false">F122</f>
        <v>0.138923921877073</v>
      </c>
      <c r="G21" s="15" t="n">
        <f aca="false">G122</f>
        <v>0.084969602445742</v>
      </c>
      <c r="H21" s="22" t="n">
        <f aca="false">H122</f>
        <v>0.069979734963828</v>
      </c>
      <c r="I21" s="22" t="n">
        <f aca="false">I122</f>
        <v>0.054989867481914</v>
      </c>
      <c r="J21" s="22" t="n">
        <f aca="false">J122</f>
        <v>0.04</v>
      </c>
    </row>
    <row r="22" customFormat="false" ht="15" hidden="false" customHeight="false" outlineLevel="0" collapsed="false">
      <c r="A22" s="4" t="s">
        <v>609</v>
      </c>
      <c r="B22" s="0" t="s">
        <v>32</v>
      </c>
      <c r="C22" s="19" t="n">
        <f aca="false">C118</f>
        <v>1.579729074</v>
      </c>
      <c r="D22" s="19" t="n">
        <f aca="false">D118</f>
        <v>2.223085463</v>
      </c>
      <c r="E22" s="19" t="n">
        <f aca="false">E118</f>
        <v>3.60081253483945</v>
      </c>
      <c r="F22" s="19" t="n">
        <f aca="false">F118</f>
        <v>4.32650807341658</v>
      </c>
      <c r="G22" s="19" t="n">
        <f aca="false">G118</f>
        <v>4.79511243606551</v>
      </c>
    </row>
    <row r="23" customFormat="false" ht="15" hidden="false" customHeight="false" outlineLevel="0" collapsed="false">
      <c r="A23" s="4" t="s">
        <v>610</v>
      </c>
      <c r="B23" s="0" t="s">
        <v>32</v>
      </c>
      <c r="C23" s="19" t="n">
        <f aca="false">C113</f>
        <v>1.16917436338336</v>
      </c>
      <c r="D23" s="19" t="n">
        <f aca="false">D113</f>
        <v>1.163885463</v>
      </c>
      <c r="E23" s="19" t="n">
        <f aca="false">E113</f>
        <v>1.78065265483945</v>
      </c>
      <c r="F23" s="19" t="n">
        <f aca="false">F113</f>
        <v>2.36900214272858</v>
      </c>
      <c r="G23" s="19" t="n">
        <f aca="false">G113</f>
        <v>2.84342728292471</v>
      </c>
    </row>
    <row r="24" customFormat="false" ht="15" hidden="false" customHeight="false" outlineLevel="0" collapsed="false">
      <c r="A24" s="0" t="s">
        <v>611</v>
      </c>
      <c r="B24" s="0" t="s">
        <v>32</v>
      </c>
      <c r="C24" s="19" t="n">
        <f aca="false">C115</f>
        <v>0.410554710616641</v>
      </c>
      <c r="D24" s="19" t="n">
        <f aca="false">D115</f>
        <v>0.7331</v>
      </c>
      <c r="E24" s="19" t="n">
        <f aca="false">E115</f>
        <v>1.25319348</v>
      </c>
      <c r="F24" s="19" t="n">
        <f aca="false">F115</f>
        <v>1.365479615808</v>
      </c>
      <c r="G24" s="19" t="n">
        <f aca="false">G115</f>
        <v>1.3614192689328</v>
      </c>
    </row>
    <row r="25" customFormat="false" ht="15" hidden="false" customHeight="false" outlineLevel="0" collapsed="false">
      <c r="A25" s="0" t="s">
        <v>612</v>
      </c>
      <c r="B25" s="0" t="s">
        <v>32</v>
      </c>
      <c r="C25" s="19" t="n">
        <f aca="false">C117</f>
        <v>0</v>
      </c>
      <c r="D25" s="19" t="n">
        <f aca="false">D117</f>
        <v>0.3261</v>
      </c>
      <c r="E25" s="19" t="n">
        <f aca="false">E117</f>
        <v>0.5669664</v>
      </c>
      <c r="F25" s="19" t="n">
        <f aca="false">F117</f>
        <v>0.59202631488</v>
      </c>
      <c r="G25" s="19" t="n">
        <f aca="false">G117</f>
        <v>0.590265884208</v>
      </c>
    </row>
    <row r="26" customFormat="false" ht="15" hidden="false" customHeight="false" outlineLevel="0" collapsed="false">
      <c r="A26" s="4" t="s">
        <v>613</v>
      </c>
      <c r="B26" s="0" t="s">
        <v>32</v>
      </c>
      <c r="C26" s="19" t="n">
        <f aca="false">C119</f>
        <v>1.049733389</v>
      </c>
      <c r="D26" s="19" t="n">
        <f aca="false">D119</f>
        <v>1.545485301</v>
      </c>
      <c r="E26" s="19" t="n">
        <f aca="false">E119</f>
        <v>1.7611985244</v>
      </c>
      <c r="F26" s="19" t="n">
        <f aca="false">F119</f>
        <v>1.866870435864</v>
      </c>
      <c r="G26" s="19" t="n">
        <f aca="false">G119</f>
        <v>1.9602139576572</v>
      </c>
    </row>
    <row r="27" customFormat="false" ht="15" hidden="false" customHeight="false" outlineLevel="0" collapsed="false">
      <c r="A27" s="4" t="s">
        <v>614</v>
      </c>
      <c r="B27" s="0" t="s">
        <v>32</v>
      </c>
      <c r="C27" s="19" t="n">
        <f aca="false">C120</f>
        <v>0.789864537</v>
      </c>
      <c r="D27" s="19" t="n">
        <f aca="false">D120</f>
        <v>0.872526236</v>
      </c>
      <c r="E27" s="19" t="n">
        <f aca="false">E120</f>
        <v>0.9722450688</v>
      </c>
      <c r="F27" s="19" t="n">
        <f aca="false">F120</f>
        <v>1.02085732224</v>
      </c>
      <c r="G27" s="19" t="n">
        <f aca="false">G120</f>
        <v>1.071900188352</v>
      </c>
    </row>
    <row r="28" customFormat="false" ht="15" hidden="false" customHeight="false" outlineLevel="0" collapsed="false">
      <c r="A28" s="4" t="s">
        <v>615</v>
      </c>
      <c r="B28" s="0" t="s">
        <v>65</v>
      </c>
      <c r="C28" s="15" t="n">
        <f aca="false">C125</f>
        <v>0.123943980789202</v>
      </c>
      <c r="D28" s="15" t="n">
        <f aca="false">D125</f>
        <v>0.122378394590762</v>
      </c>
      <c r="E28" s="15" t="n">
        <f aca="false">E125</f>
        <v>0.123</v>
      </c>
      <c r="F28" s="15" t="n">
        <f aca="false">F125</f>
        <v>0.123</v>
      </c>
      <c r="G28" s="15" t="n">
        <f aca="false">G125</f>
        <v>0.123</v>
      </c>
    </row>
    <row r="29" customFormat="false" ht="15" hidden="false" customHeight="false" outlineLevel="0" collapsed="false">
      <c r="A29" s="4" t="s">
        <v>616</v>
      </c>
      <c r="B29" s="0" t="s">
        <v>65</v>
      </c>
      <c r="C29" s="15" t="n">
        <f aca="false">C130</f>
        <v>0.10549210414798</v>
      </c>
      <c r="D29" s="15" t="n">
        <f aca="false">D130</f>
        <v>0.107746724535169</v>
      </c>
      <c r="E29" s="15" t="n">
        <f aca="false">E130</f>
        <v>0.111444239420446</v>
      </c>
      <c r="F29" s="15" t="n">
        <f aca="false">F130</f>
        <v>0.112552797241165</v>
      </c>
      <c r="G29" s="15" t="n">
        <f aca="false">G130</f>
        <v>0.113196260173658</v>
      </c>
    </row>
    <row r="30" customFormat="false" ht="15" hidden="false" customHeight="false" outlineLevel="0" collapsed="false">
      <c r="A30" s="4" t="s">
        <v>617</v>
      </c>
      <c r="B30" s="0" t="s">
        <v>32</v>
      </c>
      <c r="C30" s="19" t="n">
        <f aca="false">C133</f>
        <v>0.368792</v>
      </c>
      <c r="D30" s="19" t="n">
        <f aca="false">D133</f>
        <v>0.510907</v>
      </c>
      <c r="E30" s="19" t="n">
        <f aca="false">E133</f>
        <v>0.699120538659474</v>
      </c>
      <c r="F30" s="19" t="n">
        <f aca="false">F133</f>
        <v>0.799883301655329</v>
      </c>
      <c r="G30" s="19" t="n">
        <f aca="false">G133</f>
        <v>0.870212137791565</v>
      </c>
      <c r="H30" s="21" t="n">
        <f aca="false">H133</f>
        <v>0.890870976195291</v>
      </c>
      <c r="I30" s="21" t="n">
        <f aca="false">I133</f>
        <v>0.897408773774727</v>
      </c>
      <c r="J30" s="21" t="n">
        <f aca="false">J133</f>
        <v>0.889156002206888</v>
      </c>
    </row>
    <row r="31" customFormat="false" ht="15" hidden="false" customHeight="false" outlineLevel="0" collapsed="false">
      <c r="A31" s="0" t="s">
        <v>618</v>
      </c>
      <c r="B31" s="0" t="s">
        <v>217</v>
      </c>
      <c r="C31" s="8" t="n">
        <f aca="false">C136</f>
        <v>10.1688035955552</v>
      </c>
      <c r="D31" s="8" t="n">
        <f aca="false">D136</f>
        <v>14.0932086505572</v>
      </c>
      <c r="E31" s="8" t="n">
        <f aca="false">E136</f>
        <v>19.2595189713354</v>
      </c>
      <c r="F31" s="8" t="n">
        <f aca="false">F136</f>
        <v>22.0353526626812</v>
      </c>
      <c r="G31" s="8" t="n">
        <f aca="false">G136</f>
        <v>23.9727861650569</v>
      </c>
      <c r="H31" s="23" t="n">
        <f aca="false">H136</f>
        <v>24.5419001706692</v>
      </c>
      <c r="I31" s="23" t="n">
        <f aca="false">I136</f>
        <v>24.7220047871826</v>
      </c>
      <c r="J31" s="23" t="n">
        <f aca="false">J136</f>
        <v>24.4946557081787</v>
      </c>
    </row>
    <row r="32" customFormat="false" ht="17.15" hidden="false" customHeight="false" outlineLevel="0" collapsed="false">
      <c r="A32" s="0" t="s">
        <v>619</v>
      </c>
      <c r="B32" s="0" t="s">
        <v>65</v>
      </c>
      <c r="D32" s="15" t="n">
        <f aca="false">D137</f>
        <v>0.385925936923139</v>
      </c>
      <c r="E32" s="15" t="n">
        <f aca="false">E137</f>
        <v>0.366581553489871</v>
      </c>
      <c r="F32" s="15" t="n">
        <f aca="false">F137</f>
        <v>0.144127882709701</v>
      </c>
      <c r="G32" s="15" t="n">
        <f aca="false">G137</f>
        <v>0.0879238708830314</v>
      </c>
      <c r="H32" s="22" t="n">
        <f aca="false">H137</f>
        <v>0.0237400025885108</v>
      </c>
      <c r="I32" s="22" t="n">
        <f aca="false">I137</f>
        <v>0.00733865818298107</v>
      </c>
      <c r="J32" s="22" t="n">
        <f aca="false">J137</f>
        <v>-0.00919622340343873</v>
      </c>
    </row>
    <row r="34" customFormat="false" ht="17.15" hidden="false" customHeight="false" outlineLevel="0" collapsed="false">
      <c r="A34" s="3" t="s">
        <v>621</v>
      </c>
    </row>
    <row r="35" customFormat="false" ht="15" hidden="false" customHeight="false" outlineLevel="0" collapsed="false">
      <c r="A35" s="4" t="s">
        <v>535</v>
      </c>
      <c r="B35" s="0" t="s">
        <v>32</v>
      </c>
      <c r="C35" s="19" t="n">
        <f aca="false">C161</f>
        <v>3.419327</v>
      </c>
      <c r="D35" s="19" t="n">
        <f aca="false">D161</f>
        <v>4.641097</v>
      </c>
      <c r="E35" s="19" t="n">
        <f aca="false">E161</f>
        <v>6.09105392450117</v>
      </c>
      <c r="F35" s="19" t="n">
        <f aca="false">F161</f>
        <v>6.17988368774638</v>
      </c>
      <c r="G35" s="19" t="n">
        <f aca="false">G161</f>
        <v>5.6866902137687</v>
      </c>
      <c r="H35" s="21" t="n">
        <f aca="false">H161</f>
        <v>5.42204578732268</v>
      </c>
      <c r="I35" s="21" t="n">
        <f aca="false">I161</f>
        <v>5.35010197884676</v>
      </c>
      <c r="J35" s="21" t="n">
        <f aca="false">J161</f>
        <v>5.4571040184237</v>
      </c>
    </row>
    <row r="36" customFormat="false" ht="15" hidden="false" customHeight="false" outlineLevel="0" collapsed="false">
      <c r="A36" s="4" t="s">
        <v>608</v>
      </c>
      <c r="B36" s="0" t="s">
        <v>65</v>
      </c>
      <c r="D36" s="15" t="n">
        <f aca="false">D162</f>
        <v>0.357313003406811</v>
      </c>
      <c r="E36" s="15" t="n">
        <f aca="false">E162</f>
        <v>0.312416854140555</v>
      </c>
      <c r="F36" s="15" t="n">
        <f aca="false">F162</f>
        <v>0.0145836442011935</v>
      </c>
      <c r="G36" s="15" t="n">
        <f aca="false">G162</f>
        <v>-0.0798062712661719</v>
      </c>
      <c r="H36" s="22" t="n">
        <f aca="false">H162</f>
        <v>-0.0465375141774479</v>
      </c>
      <c r="I36" s="22" t="n">
        <f aca="false">I162</f>
        <v>-0.013268757088724</v>
      </c>
      <c r="J36" s="22" t="n">
        <f aca="false">J162</f>
        <v>0.02</v>
      </c>
    </row>
    <row r="37" customFormat="false" ht="15" hidden="false" customHeight="false" outlineLevel="0" collapsed="false">
      <c r="A37" s="4" t="s">
        <v>609</v>
      </c>
      <c r="B37" s="0" t="s">
        <v>32</v>
      </c>
      <c r="C37" s="19" t="n">
        <f aca="false">C158</f>
        <v>1.579729074</v>
      </c>
      <c r="D37" s="19" t="n">
        <f aca="false">D158</f>
        <v>2.223085463</v>
      </c>
      <c r="E37" s="19" t="n">
        <f aca="false">E158</f>
        <v>3.35761033130117</v>
      </c>
      <c r="F37" s="19" t="n">
        <f aca="false">F158</f>
        <v>3.29215592964238</v>
      </c>
      <c r="G37" s="19" t="n">
        <f aca="false">G158</f>
        <v>2.6545760677595</v>
      </c>
    </row>
    <row r="38" customFormat="false" ht="15" hidden="false" customHeight="false" outlineLevel="0" collapsed="false">
      <c r="A38" s="4" t="s">
        <v>610</v>
      </c>
      <c r="B38" s="0" t="s">
        <v>32</v>
      </c>
      <c r="C38" s="19" t="n">
        <f aca="false">C153</f>
        <v>1.16917436338336</v>
      </c>
      <c r="D38" s="19" t="n">
        <f aca="false">D153</f>
        <v>1.163885463</v>
      </c>
      <c r="E38" s="19" t="n">
        <f aca="false">E153</f>
        <v>1.53745045130117</v>
      </c>
      <c r="F38" s="19" t="n">
        <f aca="false">F153</f>
        <v>1.53298760426638</v>
      </c>
      <c r="G38" s="19" t="n">
        <f aca="false">G153</f>
        <v>1.2317193339995</v>
      </c>
    </row>
    <row r="39" customFormat="false" ht="15" hidden="false" customHeight="false" outlineLevel="0" collapsed="false">
      <c r="A39" s="0" t="s">
        <v>611</v>
      </c>
      <c r="B39" s="0" t="s">
        <v>32</v>
      </c>
      <c r="C39" s="19" t="n">
        <f aca="false">C155</f>
        <v>0.410554710616641</v>
      </c>
      <c r="D39" s="19" t="n">
        <f aca="false">D155</f>
        <v>0.7331</v>
      </c>
      <c r="E39" s="19" t="n">
        <f aca="false">E155</f>
        <v>1.25319348</v>
      </c>
      <c r="F39" s="19" t="n">
        <f aca="false">F155</f>
        <v>1.227127055616</v>
      </c>
      <c r="G39" s="19" t="n">
        <f aca="false">G155</f>
        <v>0.99252923616</v>
      </c>
    </row>
    <row r="40" customFormat="false" ht="15" hidden="false" customHeight="false" outlineLevel="0" collapsed="false">
      <c r="A40" s="0" t="s">
        <v>612</v>
      </c>
      <c r="B40" s="0" t="s">
        <v>32</v>
      </c>
      <c r="C40" s="19" t="n">
        <f aca="false">C157</f>
        <v>0</v>
      </c>
      <c r="D40" s="19" t="n">
        <f aca="false">D157</f>
        <v>0.3261</v>
      </c>
      <c r="E40" s="19" t="n">
        <f aca="false">E157</f>
        <v>0.5669664</v>
      </c>
      <c r="F40" s="19" t="n">
        <f aca="false">F157</f>
        <v>0.53204126976</v>
      </c>
      <c r="G40" s="19" t="n">
        <f aca="false">G157</f>
        <v>0.4303274976</v>
      </c>
    </row>
    <row r="41" customFormat="false" ht="15" hidden="false" customHeight="false" outlineLevel="0" collapsed="false">
      <c r="A41" s="4" t="s">
        <v>613</v>
      </c>
      <c r="B41" s="0" t="s">
        <v>32</v>
      </c>
      <c r="C41" s="19" t="n">
        <f aca="false">C159</f>
        <v>1.049733389</v>
      </c>
      <c r="D41" s="19" t="n">
        <f aca="false">D159</f>
        <v>1.545485301</v>
      </c>
      <c r="E41" s="19" t="n">
        <f aca="false">E159</f>
        <v>1.7611985244</v>
      </c>
      <c r="F41" s="19" t="n">
        <f aca="false">F159</f>
        <v>1.866870435864</v>
      </c>
      <c r="G41" s="19" t="n">
        <f aca="false">G159</f>
        <v>1.9602139576572</v>
      </c>
    </row>
    <row r="42" customFormat="false" ht="15" hidden="false" customHeight="false" outlineLevel="0" collapsed="false">
      <c r="A42" s="4" t="s">
        <v>614</v>
      </c>
      <c r="B42" s="0" t="s">
        <v>32</v>
      </c>
      <c r="C42" s="19" t="n">
        <f aca="false">C160</f>
        <v>0.789864537</v>
      </c>
      <c r="D42" s="19" t="n">
        <f aca="false">D160</f>
        <v>0.872526236</v>
      </c>
      <c r="E42" s="19" t="n">
        <f aca="false">E160</f>
        <v>0.9722450688</v>
      </c>
      <c r="F42" s="19" t="n">
        <f aca="false">F160</f>
        <v>1.02085732224</v>
      </c>
      <c r="G42" s="19" t="n">
        <f aca="false">G160</f>
        <v>1.071900188352</v>
      </c>
    </row>
    <row r="43" customFormat="false" ht="15" hidden="false" customHeight="false" outlineLevel="0" collapsed="false">
      <c r="A43" s="4" t="s">
        <v>615</v>
      </c>
      <c r="B43" s="0" t="s">
        <v>65</v>
      </c>
      <c r="C43" s="15" t="n">
        <f aca="false">C165</f>
        <v>0.123943980789202</v>
      </c>
      <c r="D43" s="15" t="n">
        <f aca="false">D165</f>
        <v>0.122378394590762</v>
      </c>
      <c r="E43" s="15" t="n">
        <f aca="false">E165</f>
        <v>0.118</v>
      </c>
      <c r="F43" s="15" t="n">
        <f aca="false">F165</f>
        <v>0.115</v>
      </c>
      <c r="G43" s="15" t="n">
        <f aca="false">G165</f>
        <v>0.113</v>
      </c>
    </row>
    <row r="44" customFormat="false" ht="15" hidden="false" customHeight="false" outlineLevel="0" collapsed="false">
      <c r="A44" s="4" t="s">
        <v>616</v>
      </c>
      <c r="B44" s="0" t="s">
        <v>65</v>
      </c>
      <c r="C44" s="15" t="n">
        <f aca="false">C170</f>
        <v>0.10549210414798</v>
      </c>
      <c r="D44" s="15" t="n">
        <f aca="false">D170</f>
        <v>0.107746724535169</v>
      </c>
      <c r="E44" s="15" t="n">
        <f aca="false">E170</f>
        <v>0.106107594953911</v>
      </c>
      <c r="F44" s="15" t="n">
        <f aca="false">F170</f>
        <v>0.103242033990202</v>
      </c>
      <c r="G44" s="15" t="n">
        <f aca="false">G170</f>
        <v>0.100222292825255</v>
      </c>
    </row>
    <row r="45" customFormat="false" ht="15" hidden="false" customHeight="false" outlineLevel="0" collapsed="false">
      <c r="A45" s="4" t="s">
        <v>617</v>
      </c>
      <c r="B45" s="0" t="s">
        <v>32</v>
      </c>
      <c r="C45" s="19" t="n">
        <f aca="false">C173</f>
        <v>0.368792</v>
      </c>
      <c r="D45" s="19" t="n">
        <f aca="false">D173</f>
        <v>0.510907</v>
      </c>
      <c r="E45" s="19" t="n">
        <f aca="false">E173</f>
        <v>0.64249172853023</v>
      </c>
      <c r="F45" s="19" t="n">
        <f aca="false">F173</f>
        <v>0.634622573658518</v>
      </c>
      <c r="G45" s="19" t="n">
        <f aca="false">G173</f>
        <v>0.569936475220296</v>
      </c>
      <c r="H45" s="21" t="n">
        <f aca="false">H173</f>
        <v>0.511110522478332</v>
      </c>
      <c r="I45" s="21" t="n">
        <f aca="false">I173</f>
        <v>0.472454809534054</v>
      </c>
      <c r="J45" s="21" t="n">
        <f aca="false">J173</f>
        <v>0.449392515917191</v>
      </c>
    </row>
    <row r="46" customFormat="false" ht="15" hidden="false" customHeight="false" outlineLevel="0" collapsed="false">
      <c r="A46" s="0" t="s">
        <v>618</v>
      </c>
      <c r="B46" s="0" t="s">
        <v>217</v>
      </c>
      <c r="C46" s="8" t="n">
        <f aca="false">C176</f>
        <v>10.1688035955552</v>
      </c>
      <c r="D46" s="8" t="n">
        <f aca="false">D176</f>
        <v>14.0932086505572</v>
      </c>
      <c r="E46" s="8" t="n">
        <f aca="false">E176</f>
        <v>17.6994966537253</v>
      </c>
      <c r="F46" s="8" t="n">
        <f aca="false">F176</f>
        <v>17.4827155277829</v>
      </c>
      <c r="G46" s="8" t="n">
        <f aca="false">G176</f>
        <v>15.7007293449117</v>
      </c>
      <c r="H46" s="23" t="n">
        <f aca="false">H176</f>
        <v>14.0801796825987</v>
      </c>
      <c r="I46" s="23" t="n">
        <f aca="false">I176</f>
        <v>13.0152840092026</v>
      </c>
      <c r="J46" s="23" t="n">
        <f aca="false">J176</f>
        <v>12.3799591161761</v>
      </c>
    </row>
    <row r="47" customFormat="false" ht="17.15" hidden="false" customHeight="false" outlineLevel="0" collapsed="false">
      <c r="A47" s="0" t="s">
        <v>619</v>
      </c>
      <c r="B47" s="0" t="s">
        <v>65</v>
      </c>
      <c r="D47" s="15" t="n">
        <f aca="false">D177</f>
        <v>0.385925936923139</v>
      </c>
      <c r="E47" s="15" t="n">
        <f aca="false">E177</f>
        <v>0.255888356767183</v>
      </c>
      <c r="F47" s="15" t="n">
        <f aca="false">F177</f>
        <v>-0.0122478695402245</v>
      </c>
      <c r="G47" s="15" t="n">
        <f aca="false">G177</f>
        <v>-0.101928454995408</v>
      </c>
      <c r="H47" s="22" t="n">
        <f aca="false">H177</f>
        <v>-0.103214928855406</v>
      </c>
      <c r="I47" s="22" t="n">
        <f aca="false">I177</f>
        <v>-0.0756308298190388</v>
      </c>
      <c r="J47" s="22" t="n">
        <f aca="false">J177</f>
        <v>-0.0488137556258703</v>
      </c>
    </row>
    <row r="49" customFormat="false" ht="17.15" hidden="false" customHeight="false" outlineLevel="0" collapsed="false">
      <c r="A49" s="3" t="s">
        <v>622</v>
      </c>
    </row>
    <row r="50" customFormat="false" ht="17.15" hidden="false" customHeight="false" outlineLevel="0" collapsed="false">
      <c r="A50" s="4" t="s">
        <v>623</v>
      </c>
      <c r="D50" s="16" t="n">
        <f aca="false">D121-a26_rev_in</f>
        <v>0</v>
      </c>
    </row>
    <row r="51" customFormat="false" ht="17.15" hidden="false" customHeight="false" outlineLevel="0" collapsed="false">
      <c r="A51" s="4" t="s">
        <v>624</v>
      </c>
      <c r="D51" s="16" t="n">
        <f aca="false">D129-0.500063</f>
        <v>0</v>
      </c>
    </row>
    <row r="52" customFormat="false" ht="17.15" hidden="false" customHeight="false" outlineLevel="0" collapsed="false">
      <c r="A52" s="4" t="s">
        <v>625</v>
      </c>
      <c r="D52" s="16" t="n">
        <f aca="false">D136-a26_eps_in</f>
        <v>0.00320865055721065</v>
      </c>
    </row>
    <row r="53" customFormat="false" ht="17.15" hidden="false" customHeight="false" outlineLevel="0" collapsed="false">
      <c r="A53" s="4" t="s">
        <v>626</v>
      </c>
      <c r="D53" s="16" t="n">
        <f aca="false">D110-D103*D107</f>
        <v>0</v>
      </c>
    </row>
    <row r="60" customFormat="false" ht="17.15" hidden="false" customHeight="false" outlineLevel="0" collapsed="false">
      <c r="A60" s="3" t="s">
        <v>627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3" t="s">
        <v>528</v>
      </c>
      <c r="D61" s="13" t="s">
        <v>600</v>
      </c>
      <c r="E61" s="13" t="s">
        <v>601</v>
      </c>
      <c r="F61" s="13" t="s">
        <v>602</v>
      </c>
      <c r="G61" s="13" t="s">
        <v>603</v>
      </c>
      <c r="H61" s="13" t="s">
        <v>604</v>
      </c>
      <c r="I61" s="13" t="s">
        <v>605</v>
      </c>
      <c r="J61" s="13" t="s">
        <v>606</v>
      </c>
      <c r="K61" s="5" t="s">
        <v>534</v>
      </c>
    </row>
    <row r="62" customFormat="false" ht="17.15" hidden="false" customHeight="false" outlineLevel="0" collapsed="false">
      <c r="A62" s="1" t="s">
        <v>628</v>
      </c>
    </row>
    <row r="63" customFormat="false" ht="17.15" hidden="false" customHeight="false" outlineLevel="0" collapsed="false">
      <c r="A63" s="0" t="s">
        <v>629</v>
      </c>
      <c r="B63" s="0" t="s">
        <v>32</v>
      </c>
      <c r="D63" s="19" t="n">
        <f aca="false">mpl_26*1</f>
        <v>29.753262</v>
      </c>
      <c r="E63" s="19" t="n">
        <f aca="false">mpl_27*1*1</f>
        <v>53.560715</v>
      </c>
      <c r="F63" s="19" t="n">
        <f aca="false">mpl_28*um28_A*1</f>
        <v>57.9915</v>
      </c>
      <c r="G63" s="19" t="n">
        <f aca="false">mpl_29*um29_A*1</f>
        <v>72.9348</v>
      </c>
      <c r="H63" s="2"/>
      <c r="K63" s="4" t="s">
        <v>630</v>
      </c>
    </row>
    <row r="64" customFormat="false" ht="17.15" hidden="false" customHeight="false" outlineLevel="0" collapsed="false">
      <c r="A64" s="0" t="s">
        <v>631</v>
      </c>
      <c r="B64" s="0" t="s">
        <v>32</v>
      </c>
      <c r="D64" s="19" t="n">
        <f aca="false">mcp_26*1</f>
        <v>0.300538</v>
      </c>
      <c r="E64" s="19" t="n">
        <f aca="false">mcp_27*1</f>
        <v>2.818985</v>
      </c>
      <c r="F64" s="19" t="n">
        <f aca="false">mcp_28*um28_A</f>
        <v>6.4435</v>
      </c>
      <c r="G64" s="19" t="n">
        <f aca="false">mcp_29*um29_A</f>
        <v>11.74736</v>
      </c>
      <c r="H64" s="2"/>
    </row>
    <row r="65" customFormat="false" ht="17.15" hidden="false" customHeight="false" outlineLevel="0" collapsed="false">
      <c r="A65" s="0" t="s">
        <v>632</v>
      </c>
      <c r="B65" s="0" t="s">
        <v>65</v>
      </c>
      <c r="D65" s="15" t="n">
        <f aca="false">tr_cy26/D63</f>
        <v>0.0423521320116093</v>
      </c>
      <c r="H65" s="2"/>
      <c r="K65" s="7" t="s">
        <v>633</v>
      </c>
    </row>
    <row r="66" customFormat="false" ht="17.15" hidden="false" customHeight="false" outlineLevel="0" collapsed="false">
      <c r="A66" s="4" t="s">
        <v>634</v>
      </c>
      <c r="B66" s="0" t="s">
        <v>76</v>
      </c>
      <c r="D66" s="8" t="n">
        <f aca="false">1</f>
        <v>1</v>
      </c>
      <c r="E66" s="8" t="n">
        <f aca="false">RHI_27</f>
        <v>1.15</v>
      </c>
      <c r="F66" s="8" t="n">
        <f aca="false">RHI_28</f>
        <v>1.25</v>
      </c>
      <c r="G66" s="8" t="n">
        <f aca="false">RHI_29</f>
        <v>1.3</v>
      </c>
      <c r="H66" s="2"/>
    </row>
    <row r="67" customFormat="false" ht="15" hidden="false" customHeight="false" outlineLevel="0" collapsed="false">
      <c r="A67" s="4" t="s">
        <v>635</v>
      </c>
      <c r="B67" s="0" t="s">
        <v>65</v>
      </c>
      <c r="D67" s="15" t="n">
        <f aca="false">$D$65*D66</f>
        <v>0.0423521320116093</v>
      </c>
      <c r="E67" s="15" t="n">
        <f aca="false">$D$65*E66</f>
        <v>0.0487049518133507</v>
      </c>
      <c r="F67" s="15" t="n">
        <f aca="false">$D$65*F66</f>
        <v>0.0529401650145117</v>
      </c>
      <c r="G67" s="15" t="n">
        <f aca="false">$D$65*G66</f>
        <v>0.0550577716150921</v>
      </c>
      <c r="H67" s="2"/>
    </row>
    <row r="68" customFormat="false" ht="15" hidden="false" customHeight="false" outlineLevel="0" collapsed="false">
      <c r="A68" s="4" t="s">
        <v>636</v>
      </c>
      <c r="B68" s="0" t="s">
        <v>76</v>
      </c>
      <c r="D68" s="8" t="n">
        <f aca="false">1</f>
        <v>1</v>
      </c>
      <c r="E68" s="8" t="n">
        <f aca="false">pxr_27</f>
        <v>1</v>
      </c>
      <c r="F68" s="8" t="n">
        <f aca="false">pxr_28</f>
        <v>1</v>
      </c>
      <c r="G68" s="8" t="n">
        <f aca="false">pxr_29</f>
        <v>1</v>
      </c>
      <c r="H68" s="2"/>
    </row>
    <row r="69" customFormat="false" ht="17.15" hidden="false" customHeight="false" outlineLevel="0" collapsed="false">
      <c r="A69" s="0" t="s">
        <v>637</v>
      </c>
      <c r="B69" s="0" t="s">
        <v>65</v>
      </c>
      <c r="D69" s="15" t="n">
        <f aca="false">0</f>
        <v>0</v>
      </c>
      <c r="E69" s="15" t="n">
        <f aca="false">CPHI_27</f>
        <v>0.15</v>
      </c>
      <c r="F69" s="15" t="n">
        <f aca="false">CPHI_28</f>
        <v>0.2</v>
      </c>
      <c r="G69" s="15" t="n">
        <f aca="false">CPHI_29</f>
        <v>0.25</v>
      </c>
      <c r="H69" s="2"/>
    </row>
    <row r="70" customFormat="false" ht="15" hidden="false" customHeight="false" outlineLevel="0" collapsed="false">
      <c r="A70" s="4" t="s">
        <v>638</v>
      </c>
      <c r="B70" s="0" t="s">
        <v>32</v>
      </c>
      <c r="D70" s="19" t="n">
        <f aca="false">tr_cy26</f>
        <v>1.26011408</v>
      </c>
      <c r="E70" s="19" t="n">
        <f aca="false">E63*E67*E68+E64*E69</f>
        <v>3.03151979316361</v>
      </c>
      <c r="F70" s="19" t="n">
        <f aca="false">F63*F67*F68+F64*F69</f>
        <v>4.35877957943905</v>
      </c>
      <c r="G70" s="19" t="n">
        <f aca="false">G63*G67*G68+G64*G69</f>
        <v>6.95246756119242</v>
      </c>
      <c r="H70" s="2"/>
    </row>
    <row r="71" customFormat="false" ht="17.15" hidden="false" customHeight="false" outlineLevel="0" collapsed="false">
      <c r="A71" s="1" t="s">
        <v>639</v>
      </c>
    </row>
    <row r="72" customFormat="false" ht="17.15" hidden="false" customHeight="false" outlineLevel="0" collapsed="false">
      <c r="A72" s="0" t="s">
        <v>640</v>
      </c>
      <c r="B72" s="0" t="s">
        <v>76</v>
      </c>
      <c r="C72" s="24" t="n">
        <f aca="false">1</f>
        <v>1</v>
      </c>
      <c r="D72" s="24" t="n">
        <f aca="false">1</f>
        <v>1</v>
      </c>
      <c r="E72" s="24" t="n">
        <f aca="false">1</f>
        <v>1</v>
      </c>
      <c r="F72" s="24" t="n">
        <f aca="false">(1-hw)+hw*um28_A</f>
        <v>1</v>
      </c>
      <c r="G72" s="24" t="n">
        <f aca="false">(1-hw)*um28_A+hw*um29_A</f>
        <v>1</v>
      </c>
      <c r="H72" s="2"/>
      <c r="K72" s="4" t="s">
        <v>641</v>
      </c>
    </row>
    <row r="73" customFormat="false" ht="17.15" hidden="false" customHeight="false" outlineLevel="0" collapsed="false">
      <c r="A73" s="4" t="s">
        <v>642</v>
      </c>
      <c r="B73" s="0" t="s">
        <v>32</v>
      </c>
      <c r="C73" s="19" t="n">
        <f aca="false">a25_tr</f>
        <v>1.16917436338336</v>
      </c>
      <c r="D73" s="19" t="n">
        <f aca="false">a26_tr</f>
        <v>1.163885463</v>
      </c>
      <c r="E73" s="19" t="n">
        <f aca="false">h1_27+hw*E70</f>
        <v>2.07081318485526</v>
      </c>
      <c r="F73" s="19" t="n">
        <f aca="false">(1-hw)*E70+hw*F70</f>
        <v>3.64205929485032</v>
      </c>
      <c r="G73" s="19" t="n">
        <f aca="false">(1-hw)*F70+hw*G70</f>
        <v>5.5518760510456</v>
      </c>
      <c r="H73" s="2"/>
      <c r="K73" s="7" t="s">
        <v>643</v>
      </c>
    </row>
    <row r="74" customFormat="false" ht="17.15" hidden="false" customHeight="false" outlineLevel="0" collapsed="false">
      <c r="A74" s="0" t="s">
        <v>644</v>
      </c>
      <c r="B74" s="0" t="s">
        <v>32</v>
      </c>
      <c r="C74" s="19" t="n">
        <f aca="false">a25_dci</f>
        <v>0.410554710616641</v>
      </c>
      <c r="D74" s="19" t="n">
        <f aca="false">a26_dci</f>
        <v>0.7331</v>
      </c>
      <c r="E74" s="19" t="n">
        <f aca="false">h1dci*(2+h2_dci)</f>
        <v>1.25319348</v>
      </c>
      <c r="F74" s="19" t="n">
        <f aca="false">E74*(1+g_dci_28)</f>
        <v>1.503832176</v>
      </c>
      <c r="G74" s="19" t="n">
        <f aca="false">F74*(1+g_dci_29)</f>
        <v>1.6542153936</v>
      </c>
      <c r="H74" s="2"/>
    </row>
    <row r="75" customFormat="false" ht="17.15" hidden="false" customHeight="false" outlineLevel="0" collapsed="false">
      <c r="A75" s="0" t="s">
        <v>543</v>
      </c>
      <c r="B75" s="0" t="s">
        <v>32</v>
      </c>
      <c r="C75" s="19" t="n">
        <f aca="false">C74*C72</f>
        <v>0.410554710616641</v>
      </c>
      <c r="D75" s="19" t="n">
        <f aca="false">D74*D72</f>
        <v>0.7331</v>
      </c>
      <c r="E75" s="19" t="n">
        <f aca="false">E74*E72</f>
        <v>1.25319348</v>
      </c>
      <c r="F75" s="19" t="n">
        <f aca="false">F74*F72</f>
        <v>1.503832176</v>
      </c>
      <c r="G75" s="19" t="n">
        <f aca="false">G74*G72</f>
        <v>1.6542153936</v>
      </c>
      <c r="H75" s="2"/>
    </row>
    <row r="76" customFormat="false" ht="17.15" hidden="false" customHeight="false" outlineLevel="0" collapsed="false">
      <c r="A76" s="0" t="s">
        <v>645</v>
      </c>
      <c r="B76" s="0" t="s">
        <v>32</v>
      </c>
      <c r="C76" s="19" t="n">
        <f aca="false">a25_hpc</f>
        <v>0</v>
      </c>
      <c r="D76" s="19" t="n">
        <f aca="false">a26_hpc</f>
        <v>0.3261</v>
      </c>
      <c r="E76" s="19" t="n">
        <f aca="false">h1hpc*(2+h2_hpc)</f>
        <v>0.5669664</v>
      </c>
      <c r="F76" s="19" t="n">
        <f aca="false">E76*(1+g_hpc_28)</f>
        <v>0.65201136</v>
      </c>
      <c r="G76" s="19" t="n">
        <f aca="false">F76*(1+g_hpc_29)</f>
        <v>0.717212496</v>
      </c>
      <c r="H76" s="2"/>
    </row>
    <row r="77" customFormat="false" ht="17.15" hidden="false" customHeight="false" outlineLevel="0" collapsed="false">
      <c r="A77" s="0" t="s">
        <v>546</v>
      </c>
      <c r="B77" s="0" t="s">
        <v>32</v>
      </c>
      <c r="C77" s="19" t="n">
        <f aca="false">C76*C72</f>
        <v>0</v>
      </c>
      <c r="D77" s="19" t="n">
        <f aca="false">D76*D72</f>
        <v>0.3261</v>
      </c>
      <c r="E77" s="19" t="n">
        <f aca="false">E76*E72</f>
        <v>0.5669664</v>
      </c>
      <c r="F77" s="19" t="n">
        <f aca="false">F76*F72</f>
        <v>0.65201136</v>
      </c>
      <c r="G77" s="19" t="n">
        <f aca="false">G76*G72</f>
        <v>0.717212496</v>
      </c>
      <c r="H77" s="2"/>
    </row>
    <row r="78" customFormat="false" ht="15" hidden="false" customHeight="false" outlineLevel="0" collapsed="false">
      <c r="A78" s="4" t="s">
        <v>537</v>
      </c>
      <c r="B78" s="0" t="s">
        <v>32</v>
      </c>
      <c r="C78" s="19" t="n">
        <f aca="false">C73+C75+C77</f>
        <v>1.579729074</v>
      </c>
      <c r="D78" s="19" t="n">
        <f aca="false">D73+D75+D77</f>
        <v>2.223085463</v>
      </c>
      <c r="E78" s="19" t="n">
        <f aca="false">E73+E75+E77</f>
        <v>3.89097306485526</v>
      </c>
      <c r="F78" s="19" t="n">
        <f aca="false">F73+F75+F77</f>
        <v>5.79790283085032</v>
      </c>
      <c r="G78" s="19" t="n">
        <f aca="false">G73+G75+G77</f>
        <v>7.9233039406456</v>
      </c>
      <c r="H78" s="2"/>
    </row>
    <row r="79" customFormat="false" ht="15" hidden="false" customHeight="false" outlineLevel="0" collapsed="false">
      <c r="A79" s="4" t="s">
        <v>646</v>
      </c>
      <c r="B79" s="0" t="s">
        <v>32</v>
      </c>
      <c r="C79" s="19" t="n">
        <f aca="false">a25_ci</f>
        <v>1.049733389</v>
      </c>
      <c r="D79" s="19" t="n">
        <f aca="false">a26_ci</f>
        <v>1.545485301</v>
      </c>
      <c r="E79" s="19" t="n">
        <f aca="false">h1ci*(2+h2_ci)</f>
        <v>1.7611985244</v>
      </c>
      <c r="F79" s="19" t="n">
        <f aca="false">E79*(1+g_ci_28)</f>
        <v>1.866870435864</v>
      </c>
      <c r="G79" s="19" t="n">
        <f aca="false">F79*(1+g_ci_29)</f>
        <v>1.9602139576572</v>
      </c>
      <c r="H79" s="2"/>
    </row>
    <row r="80" customFormat="false" ht="15" hidden="false" customHeight="false" outlineLevel="0" collapsed="false">
      <c r="A80" s="4" t="s">
        <v>647</v>
      </c>
      <c r="B80" s="0" t="s">
        <v>32</v>
      </c>
      <c r="C80" s="19" t="n">
        <f aca="false">a25_aio</f>
        <v>0.789864537</v>
      </c>
      <c r="D80" s="19" t="n">
        <f aca="false">a26_aio</f>
        <v>0.872526236</v>
      </c>
      <c r="E80" s="19" t="n">
        <f aca="false">h1aio*(2+h2_aio)</f>
        <v>0.9722450688</v>
      </c>
      <c r="F80" s="19" t="n">
        <f aca="false">E80*(1+g_aio_28)</f>
        <v>1.02085732224</v>
      </c>
      <c r="G80" s="19" t="n">
        <f aca="false">F80*(1+g_aio_29)</f>
        <v>1.071900188352</v>
      </c>
      <c r="H80" s="2"/>
    </row>
    <row r="81" customFormat="false" ht="15" hidden="false" customHeight="false" outlineLevel="0" collapsed="false">
      <c r="A81" s="4" t="s">
        <v>535</v>
      </c>
      <c r="B81" s="0" t="s">
        <v>32</v>
      </c>
      <c r="C81" s="19" t="n">
        <f aca="false">C78+C79+C80</f>
        <v>3.419327</v>
      </c>
      <c r="D81" s="19" t="n">
        <f aca="false">D78+D79+D80</f>
        <v>4.641097</v>
      </c>
      <c r="E81" s="19" t="n">
        <f aca="false">E78+E79+E80</f>
        <v>6.62441665805526</v>
      </c>
      <c r="F81" s="19" t="n">
        <f aca="false">F78+F79+F80</f>
        <v>8.68563058895432</v>
      </c>
      <c r="G81" s="19" t="n">
        <f aca="false">G78+G79+G80</f>
        <v>10.9554180866548</v>
      </c>
      <c r="H81" s="25" t="n">
        <f aca="false">G81*(1+H82)</f>
        <v>13.0831555533216</v>
      </c>
      <c r="I81" s="21" t="n">
        <f aca="false">H81*(1+I82)</f>
        <v>14.7461412241369</v>
      </c>
      <c r="J81" s="21" t="n">
        <f aca="false">I81*(1+J82)</f>
        <v>15.6309096975851</v>
      </c>
    </row>
    <row r="82" customFormat="false" ht="15" hidden="false" customHeight="false" outlineLevel="0" collapsed="false">
      <c r="A82" s="4" t="s">
        <v>648</v>
      </c>
      <c r="B82" s="0" t="s">
        <v>65</v>
      </c>
      <c r="D82" s="15" t="n">
        <f aca="false">D81/C81-1</f>
        <v>0.357313003406811</v>
      </c>
      <c r="E82" s="15" t="n">
        <f aca="false">E81/D81-1</f>
        <v>0.42733854906615</v>
      </c>
      <c r="F82" s="15" t="n">
        <f aca="false">F81/E81-1</f>
        <v>0.311154028693625</v>
      </c>
      <c r="G82" s="15" t="n">
        <f aca="false">G81/F81-1</f>
        <v>0.261326736666307</v>
      </c>
      <c r="H82" s="26" t="n">
        <f aca="false">$G82+(fade_gA-$G82)*1/3</f>
        <v>0.194217824444205</v>
      </c>
      <c r="I82" s="22" t="n">
        <f aca="false">$G82+(fade_gA-$G82)*2/3</f>
        <v>0.127108912222102</v>
      </c>
      <c r="J82" s="22" t="n">
        <f aca="false">$G82+(fade_gA-$G82)*3/3</f>
        <v>0.06</v>
      </c>
    </row>
    <row r="83" customFormat="false" ht="17.15" hidden="false" customHeight="false" outlineLevel="0" collapsed="false">
      <c r="A83" s="4" t="s">
        <v>649</v>
      </c>
      <c r="B83" s="0" t="s">
        <v>65</v>
      </c>
      <c r="C83" s="15" t="n">
        <f aca="false">C78/C81</f>
        <v>0.462</v>
      </c>
      <c r="D83" s="15" t="n">
        <f aca="false">D78/D81</f>
        <v>0.479</v>
      </c>
      <c r="E83" s="15" t="n">
        <f aca="false">E78/E81</f>
        <v>0.58736840777125</v>
      </c>
      <c r="F83" s="15" t="n">
        <f aca="false">F78/F81</f>
        <v>0.66752813989391</v>
      </c>
      <c r="G83" s="15" t="n">
        <f aca="false">G78/G81</f>
        <v>0.723231544243599</v>
      </c>
      <c r="H83" s="2"/>
    </row>
    <row r="84" customFormat="false" ht="17.15" hidden="false" customHeight="false" outlineLevel="0" collapsed="false">
      <c r="A84" s="1" t="s">
        <v>650</v>
      </c>
    </row>
    <row r="85" customFormat="false" ht="17.15" hidden="false" customHeight="false" outlineLevel="0" collapsed="false">
      <c r="A85" s="4" t="s">
        <v>615</v>
      </c>
      <c r="B85" s="0" t="s">
        <v>65</v>
      </c>
      <c r="C85" s="15" t="n">
        <f aca="false">a25_gp/a25_rev</f>
        <v>0.123943980789202</v>
      </c>
      <c r="D85" s="15" t="n">
        <f aca="false">a26_gp/a26_rev</f>
        <v>0.122378394590762</v>
      </c>
      <c r="E85" s="15" t="n">
        <f aca="false">GMHI_27</f>
        <v>0.127</v>
      </c>
      <c r="F85" s="15" t="n">
        <f aca="false">GMHI_28</f>
        <v>0.128</v>
      </c>
      <c r="G85" s="15" t="n">
        <f aca="false">GMHI_29</f>
        <v>0.128</v>
      </c>
      <c r="H85" s="2"/>
      <c r="K85" s="7" t="s">
        <v>651</v>
      </c>
    </row>
    <row r="86" customFormat="false" ht="15" hidden="false" customHeight="false" outlineLevel="0" collapsed="false">
      <c r="A86" s="4" t="s">
        <v>652</v>
      </c>
      <c r="B86" s="0" t="s">
        <v>32</v>
      </c>
      <c r="C86" s="19" t="n">
        <f aca="false">C81*C85</f>
        <v>0.423805</v>
      </c>
      <c r="D86" s="19" t="n">
        <f aca="false">D81*D85</f>
        <v>0.56797</v>
      </c>
      <c r="E86" s="19" t="n">
        <f aca="false">E81*E85</f>
        <v>0.841300915573018</v>
      </c>
      <c r="F86" s="19" t="n">
        <f aca="false">F81*F85</f>
        <v>1.11176071538615</v>
      </c>
      <c r="G86" s="19" t="n">
        <f aca="false">G81*G85</f>
        <v>1.40229351509182</v>
      </c>
      <c r="H86" s="2"/>
    </row>
    <row r="87" customFormat="false" ht="15" hidden="false" customHeight="false" outlineLevel="0" collapsed="false">
      <c r="A87" s="4" t="s">
        <v>653</v>
      </c>
      <c r="B87" s="0" t="s">
        <v>32</v>
      </c>
      <c r="C87" s="19" t="n">
        <f aca="false">a25_opx</f>
        <v>0.063093</v>
      </c>
      <c r="D87" s="19" t="n">
        <f aca="false">a26_opx</f>
        <v>0.0679069999999999</v>
      </c>
      <c r="E87" s="19" t="n">
        <f aca="false">D87*(1+MAX(0,phi*E82))</f>
        <v>0.0741037318318276</v>
      </c>
      <c r="F87" s="19" t="n">
        <f aca="false">E87*(1+MAX(0,phi*F82))</f>
        <v>0.0790274319526086</v>
      </c>
      <c r="G87" s="19" t="n">
        <f aca="false">F87*(1+MAX(0,phi*G82))</f>
        <v>0.0834374239473829</v>
      </c>
      <c r="H87" s="2"/>
    </row>
    <row r="88" customFormat="false" ht="15" hidden="false" customHeight="false" outlineLevel="0" collapsed="false">
      <c r="A88" s="4" t="s">
        <v>654</v>
      </c>
      <c r="B88" s="0" t="s">
        <v>32</v>
      </c>
      <c r="C88" s="14" t="n">
        <f aca="false">C87</f>
        <v>0.063093</v>
      </c>
      <c r="D88" s="14" t="n">
        <f aca="false">D87</f>
        <v>0.0679069999999999</v>
      </c>
      <c r="E88" s="14" t="n">
        <f aca="false">E87+0*E81</f>
        <v>0.0741037318318276</v>
      </c>
      <c r="F88" s="14" t="n">
        <f aca="false">F87+0*F81</f>
        <v>0.0790274319526086</v>
      </c>
      <c r="G88" s="14" t="n">
        <f aca="false">G87+0*G81</f>
        <v>0.0834374239473829</v>
      </c>
      <c r="H88" s="2"/>
    </row>
    <row r="89" customFormat="false" ht="15" hidden="false" customHeight="false" outlineLevel="0" collapsed="false">
      <c r="A89" s="4" t="s">
        <v>655</v>
      </c>
      <c r="B89" s="0" t="s">
        <v>32</v>
      </c>
      <c r="C89" s="19" t="n">
        <f aca="false">C86-C88</f>
        <v>0.360712</v>
      </c>
      <c r="D89" s="19" t="n">
        <f aca="false">D86-D88</f>
        <v>0.500063</v>
      </c>
      <c r="E89" s="19" t="n">
        <f aca="false">E86-E88</f>
        <v>0.767197183741191</v>
      </c>
      <c r="F89" s="19" t="n">
        <f aca="false">F86-F88</f>
        <v>1.03273328343354</v>
      </c>
      <c r="G89" s="19" t="n">
        <f aca="false">G86-G88</f>
        <v>1.31885609114443</v>
      </c>
      <c r="H89" s="2"/>
    </row>
    <row r="90" customFormat="false" ht="15" hidden="false" customHeight="false" outlineLevel="0" collapsed="false">
      <c r="A90" s="4" t="s">
        <v>616</v>
      </c>
      <c r="B90" s="0" t="s">
        <v>65</v>
      </c>
      <c r="C90" s="15" t="n">
        <f aca="false">C89/C81</f>
        <v>0.10549210414798</v>
      </c>
      <c r="D90" s="15" t="n">
        <f aca="false">D89/D81</f>
        <v>0.107746724535169</v>
      </c>
      <c r="E90" s="15" t="n">
        <f aca="false">E89/E81</f>
        <v>0.115813546058925</v>
      </c>
      <c r="F90" s="15" t="n">
        <f aca="false">F89/F81</f>
        <v>0.118901359303364</v>
      </c>
      <c r="G90" s="15" t="n">
        <f aca="false">G89/G81</f>
        <v>0.120383912390434</v>
      </c>
      <c r="H90" s="2"/>
    </row>
    <row r="91" customFormat="false" ht="15" hidden="false" customHeight="false" outlineLevel="0" collapsed="false">
      <c r="A91" s="4" t="s">
        <v>656</v>
      </c>
      <c r="B91" s="0" t="s">
        <v>32</v>
      </c>
      <c r="C91" s="14" t="n">
        <f aca="false">a25_oth</f>
        <v>0.030733</v>
      </c>
      <c r="D91" s="14" t="n">
        <f aca="false">a26_oth</f>
        <v>0.0354829999999999</v>
      </c>
      <c r="E91" s="14" t="n">
        <f aca="false">int_f</f>
        <v>0.03</v>
      </c>
      <c r="F91" s="14" t="n">
        <f aca="false">int_f</f>
        <v>0.03</v>
      </c>
      <c r="G91" s="14" t="n">
        <f aca="false">int_f</f>
        <v>0.03</v>
      </c>
      <c r="H91" s="2"/>
    </row>
    <row r="92" customFormat="false" ht="15" hidden="false" customHeight="false" outlineLevel="0" collapsed="false">
      <c r="A92" s="4" t="s">
        <v>657</v>
      </c>
      <c r="B92" s="0" t="s">
        <v>32</v>
      </c>
      <c r="C92" s="19" t="n">
        <f aca="false">C89+C91</f>
        <v>0.391445</v>
      </c>
      <c r="D92" s="19" t="n">
        <f aca="false">D89+D91</f>
        <v>0.535546</v>
      </c>
      <c r="E92" s="19" t="n">
        <f aca="false">E89+E91</f>
        <v>0.797197183741191</v>
      </c>
      <c r="F92" s="19" t="n">
        <f aca="false">F89+F91</f>
        <v>1.06273328343354</v>
      </c>
      <c r="G92" s="19" t="n">
        <f aca="false">G89+G91</f>
        <v>1.34885609114443</v>
      </c>
      <c r="H92" s="2"/>
    </row>
    <row r="93" customFormat="false" ht="15" hidden="false" customHeight="false" outlineLevel="0" collapsed="false">
      <c r="A93" s="4" t="s">
        <v>617</v>
      </c>
      <c r="B93" s="0" t="s">
        <v>32</v>
      </c>
      <c r="C93" s="19" t="n">
        <f aca="false">a25_ni</f>
        <v>0.368792</v>
      </c>
      <c r="D93" s="19" t="n">
        <f aca="false">a26_ni</f>
        <v>0.510907</v>
      </c>
      <c r="E93" s="19" t="n">
        <f aca="false">E92*(1-(tx))</f>
        <v>0.757337324554131</v>
      </c>
      <c r="F93" s="19" t="n">
        <f aca="false">F92*(1-(tx))</f>
        <v>1.00959661926187</v>
      </c>
      <c r="G93" s="19" t="n">
        <f aca="false">G92*(1-(tx))</f>
        <v>1.28141328658721</v>
      </c>
      <c r="H93" s="25" t="n">
        <f aca="false">H81*H94</f>
        <v>1.53028658732208</v>
      </c>
      <c r="I93" s="21" t="n">
        <f aca="false">I81*I94</f>
        <v>1.72479965082466</v>
      </c>
      <c r="J93" s="21" t="n">
        <f aca="false">J81*J94</f>
        <v>1.82828762987414</v>
      </c>
    </row>
    <row r="94" customFormat="false" ht="15" hidden="false" customHeight="false" outlineLevel="0" collapsed="false">
      <c r="A94" s="4" t="s">
        <v>658</v>
      </c>
      <c r="B94" s="0" t="s">
        <v>65</v>
      </c>
      <c r="C94" s="15" t="n">
        <f aca="false">C93/C81</f>
        <v>0.107855142254602</v>
      </c>
      <c r="D94" s="15" t="n">
        <f aca="false">D93/D81</f>
        <v>0.110083241095801</v>
      </c>
      <c r="E94" s="15" t="n">
        <f aca="false">E93/E81</f>
        <v>0.114325134369864</v>
      </c>
      <c r="F94" s="15" t="n">
        <f aca="false">F93/F81</f>
        <v>0.116237572957085</v>
      </c>
      <c r="G94" s="15" t="n">
        <f aca="false">G93/G81</f>
        <v>0.1169661692919</v>
      </c>
      <c r="H94" s="26" t="n">
        <f aca="false">$G94+(fade_mA-$G94)*1/3</f>
        <v>0.1169661692919</v>
      </c>
      <c r="I94" s="22" t="n">
        <f aca="false">$G94+(fade_mA-$G94)*2/3</f>
        <v>0.1169661692919</v>
      </c>
      <c r="J94" s="22" t="n">
        <f aca="false">$G94+(fade_mA-$G94)*3/3</f>
        <v>0.1169661692919</v>
      </c>
    </row>
    <row r="95" customFormat="false" ht="15" hidden="false" customHeight="false" outlineLevel="0" collapsed="false">
      <c r="A95" s="4" t="s">
        <v>559</v>
      </c>
      <c r="B95" s="4" t="s">
        <v>307</v>
      </c>
      <c r="C95" s="16" t="n">
        <f aca="false">a25_sh</f>
        <v>0.036267</v>
      </c>
      <c r="D95" s="16" t="n">
        <f aca="false">a26_sh</f>
        <v>0.036252</v>
      </c>
      <c r="E95" s="16" t="n">
        <f aca="false">sh_q1*(1+sh_g)</f>
        <v>0.0363</v>
      </c>
      <c r="F95" s="16" t="n">
        <f aca="false">E95*(1+sh_g)</f>
        <v>0.0363</v>
      </c>
      <c r="G95" s="16" t="n">
        <f aca="false">F95*(1+sh_g)</f>
        <v>0.0363</v>
      </c>
      <c r="H95" s="27" t="n">
        <f aca="false">G95*(1+sh_g)</f>
        <v>0.0363</v>
      </c>
      <c r="I95" s="28" t="n">
        <f aca="false">H95*(1+sh_g)</f>
        <v>0.0363</v>
      </c>
      <c r="J95" s="28" t="n">
        <f aca="false">I95*(1+sh_g)</f>
        <v>0.0363</v>
      </c>
    </row>
    <row r="96" customFormat="false" ht="15" hidden="false" customHeight="false" outlineLevel="0" collapsed="false">
      <c r="A96" s="0" t="s">
        <v>618</v>
      </c>
      <c r="B96" s="0" t="s">
        <v>217</v>
      </c>
      <c r="C96" s="19" t="n">
        <f aca="false">C93/C95</f>
        <v>10.1688035955552</v>
      </c>
      <c r="D96" s="19" t="n">
        <f aca="false">D93/D95</f>
        <v>14.0932086505572</v>
      </c>
      <c r="E96" s="19" t="n">
        <f aca="false">E93/E95</f>
        <v>20.8632871777998</v>
      </c>
      <c r="F96" s="19" t="n">
        <f aca="false">F93/F95</f>
        <v>27.8125790430266</v>
      </c>
      <c r="G96" s="19" t="n">
        <f aca="false">G93/G95</f>
        <v>35.3006415037799</v>
      </c>
      <c r="H96" s="25" t="n">
        <f aca="false">H93/H95</f>
        <v>42.1566552981288</v>
      </c>
      <c r="I96" s="21" t="n">
        <f aca="false">I93/I95</f>
        <v>47.5151418959961</v>
      </c>
      <c r="J96" s="21" t="n">
        <f aca="false">J93/J95</f>
        <v>50.3660504097559</v>
      </c>
    </row>
    <row r="97" customFormat="false" ht="17.15" hidden="false" customHeight="false" outlineLevel="0" collapsed="false">
      <c r="A97" s="0" t="s">
        <v>659</v>
      </c>
      <c r="B97" s="0" t="s">
        <v>65</v>
      </c>
      <c r="D97" s="15" t="n">
        <f aca="false">D96/C96-1</f>
        <v>0.385925936923139</v>
      </c>
      <c r="E97" s="15" t="n">
        <f aca="false">E96/D96-1</f>
        <v>0.480378790601023</v>
      </c>
      <c r="F97" s="15" t="n">
        <f aca="false">F96/E96-1</f>
        <v>0.333087102046963</v>
      </c>
      <c r="G97" s="15" t="n">
        <f aca="false">G96/F96-1</f>
        <v>0.269232941294983</v>
      </c>
      <c r="H97" s="26" t="n">
        <f aca="false">H96/G96-1</f>
        <v>0.194217824444205</v>
      </c>
      <c r="I97" s="22" t="n">
        <f aca="false">I96/H96-1</f>
        <v>0.127108912222103</v>
      </c>
      <c r="J97" s="22" t="n">
        <f aca="false">J96/I96-1</f>
        <v>0.0600000000000001</v>
      </c>
    </row>
    <row r="100" customFormat="false" ht="17.15" hidden="false" customHeight="false" outlineLevel="0" collapsed="false">
      <c r="A100" s="3" t="s">
        <v>660</v>
      </c>
    </row>
    <row r="101" customFormat="false" ht="17.15" hidden="false" customHeight="false" outlineLevel="0" collapsed="false">
      <c r="A101" s="5" t="s">
        <v>21</v>
      </c>
      <c r="B101" s="5" t="s">
        <v>22</v>
      </c>
      <c r="C101" s="13" t="s">
        <v>528</v>
      </c>
      <c r="D101" s="13" t="s">
        <v>600</v>
      </c>
      <c r="E101" s="13" t="s">
        <v>601</v>
      </c>
      <c r="F101" s="13" t="s">
        <v>602</v>
      </c>
      <c r="G101" s="13" t="s">
        <v>603</v>
      </c>
      <c r="H101" s="13" t="s">
        <v>604</v>
      </c>
      <c r="I101" s="13" t="s">
        <v>605</v>
      </c>
      <c r="J101" s="13" t="s">
        <v>606</v>
      </c>
      <c r="K101" s="5" t="s">
        <v>534</v>
      </c>
    </row>
    <row r="102" customFormat="false" ht="17.15" hidden="false" customHeight="false" outlineLevel="0" collapsed="false">
      <c r="A102" s="1" t="s">
        <v>628</v>
      </c>
    </row>
    <row r="103" customFormat="false" ht="17.15" hidden="false" customHeight="false" outlineLevel="0" collapsed="false">
      <c r="A103" s="0" t="s">
        <v>629</v>
      </c>
      <c r="B103" s="0" t="s">
        <v>32</v>
      </c>
      <c r="D103" s="19" t="n">
        <f aca="false">mplB_26*1</f>
        <v>29.753262</v>
      </c>
      <c r="E103" s="19" t="n">
        <f aca="false">mplB_27*1*1</f>
        <v>54.688309</v>
      </c>
      <c r="F103" s="19" t="n">
        <f aca="false">mplB_28*um28_B*1</f>
        <v>48.9706</v>
      </c>
      <c r="G103" s="19" t="n">
        <f aca="false">mplB_29*um29_B*1</f>
        <v>66.987208</v>
      </c>
      <c r="H103" s="2"/>
      <c r="K103" s="4" t="s">
        <v>630</v>
      </c>
    </row>
    <row r="104" customFormat="false" ht="17.15" hidden="false" customHeight="false" outlineLevel="0" collapsed="false">
      <c r="A104" s="0" t="s">
        <v>631</v>
      </c>
      <c r="B104" s="0" t="s">
        <v>32</v>
      </c>
      <c r="D104" s="19" t="n">
        <f aca="false">mcpB_26*1</f>
        <v>0.300538</v>
      </c>
      <c r="E104" s="19" t="n">
        <f aca="false">mcpB_27*1</f>
        <v>1.691391</v>
      </c>
      <c r="F104" s="19" t="n">
        <f aca="false">mcpB_28*um28_B</f>
        <v>2.5774</v>
      </c>
      <c r="G104" s="19" t="n">
        <f aca="false">mcpB_29*um29_B</f>
        <v>4.992628</v>
      </c>
      <c r="H104" s="2"/>
    </row>
    <row r="105" customFormat="false" ht="17.15" hidden="false" customHeight="false" outlineLevel="0" collapsed="false">
      <c r="A105" s="0" t="s">
        <v>632</v>
      </c>
      <c r="B105" s="0" t="s">
        <v>65</v>
      </c>
      <c r="D105" s="15" t="n">
        <f aca="false">tr_cy26/D103</f>
        <v>0.0423521320116093</v>
      </c>
      <c r="H105" s="2"/>
      <c r="K105" s="7" t="s">
        <v>633</v>
      </c>
    </row>
    <row r="106" customFormat="false" ht="17.15" hidden="false" customHeight="false" outlineLevel="0" collapsed="false">
      <c r="A106" s="4" t="s">
        <v>634</v>
      </c>
      <c r="B106" s="0" t="s">
        <v>76</v>
      </c>
      <c r="D106" s="8" t="n">
        <f aca="false">1</f>
        <v>1</v>
      </c>
      <c r="E106" s="8" t="n">
        <f aca="false">rel_27</f>
        <v>1</v>
      </c>
      <c r="F106" s="8" t="n">
        <f aca="false">rel_28</f>
        <v>1</v>
      </c>
      <c r="G106" s="8" t="n">
        <f aca="false">rel_29</f>
        <v>0.95</v>
      </c>
      <c r="H106" s="2"/>
    </row>
    <row r="107" customFormat="false" ht="15" hidden="false" customHeight="false" outlineLevel="0" collapsed="false">
      <c r="A107" s="4" t="s">
        <v>635</v>
      </c>
      <c r="B107" s="0" t="s">
        <v>65</v>
      </c>
      <c r="D107" s="15" t="n">
        <f aca="false">$D$105*D106</f>
        <v>0.0423521320116093</v>
      </c>
      <c r="E107" s="15" t="n">
        <f aca="false">$D$105*E106</f>
        <v>0.0423521320116093</v>
      </c>
      <c r="F107" s="15" t="n">
        <f aca="false">$D$105*F106</f>
        <v>0.0423521320116093</v>
      </c>
      <c r="G107" s="15" t="n">
        <f aca="false">$D$105*G106</f>
        <v>0.0402345254110289</v>
      </c>
      <c r="H107" s="2"/>
    </row>
    <row r="108" customFormat="false" ht="15" hidden="false" customHeight="false" outlineLevel="0" collapsed="false">
      <c r="A108" s="4" t="s">
        <v>636</v>
      </c>
      <c r="B108" s="0" t="s">
        <v>76</v>
      </c>
      <c r="D108" s="8" t="n">
        <f aca="false">1</f>
        <v>1</v>
      </c>
      <c r="E108" s="8" t="n">
        <f aca="false">pxr_27</f>
        <v>1</v>
      </c>
      <c r="F108" s="8" t="n">
        <f aca="false">pxr_28</f>
        <v>1</v>
      </c>
      <c r="G108" s="8" t="n">
        <f aca="false">pxr_29</f>
        <v>1</v>
      </c>
      <c r="H108" s="2"/>
    </row>
    <row r="109" customFormat="false" ht="17.15" hidden="false" customHeight="false" outlineLevel="0" collapsed="false">
      <c r="A109" s="0" t="s">
        <v>637</v>
      </c>
      <c r="B109" s="0" t="s">
        <v>65</v>
      </c>
      <c r="D109" s="15" t="n">
        <f aca="false">0</f>
        <v>0</v>
      </c>
      <c r="E109" s="15" t="n">
        <f aca="false">cpo_27</f>
        <v>0.05</v>
      </c>
      <c r="F109" s="15" t="n">
        <f aca="false">cpo_28</f>
        <v>0.1</v>
      </c>
      <c r="G109" s="15" t="n">
        <f aca="false">cpo_29</f>
        <v>0.15</v>
      </c>
      <c r="H109" s="2"/>
    </row>
    <row r="110" customFormat="false" ht="15" hidden="false" customHeight="false" outlineLevel="0" collapsed="false">
      <c r="A110" s="4" t="s">
        <v>638</v>
      </c>
      <c r="B110" s="0" t="s">
        <v>32</v>
      </c>
      <c r="D110" s="19" t="n">
        <f aca="false">tr_cy26</f>
        <v>1.26011408</v>
      </c>
      <c r="E110" s="19" t="n">
        <f aca="false">E103*E107*E108+E104*E109</f>
        <v>2.40073603225968</v>
      </c>
      <c r="F110" s="19" t="n">
        <f aca="false">F103*F107*F108+F104*F109</f>
        <v>2.33174931588772</v>
      </c>
      <c r="G110" s="19" t="n">
        <f aca="false">G103*G107*G108+G104*G109</f>
        <v>3.44409272248988</v>
      </c>
      <c r="H110" s="2"/>
    </row>
    <row r="111" customFormat="false" ht="17.15" hidden="false" customHeight="false" outlineLevel="0" collapsed="false">
      <c r="A111" s="1" t="s">
        <v>639</v>
      </c>
    </row>
    <row r="112" customFormat="false" ht="17.15" hidden="false" customHeight="false" outlineLevel="0" collapsed="false">
      <c r="A112" s="0" t="s">
        <v>640</v>
      </c>
      <c r="B112" s="0" t="s">
        <v>76</v>
      </c>
      <c r="C112" s="24" t="n">
        <f aca="false">1</f>
        <v>1</v>
      </c>
      <c r="D112" s="24" t="n">
        <f aca="false">1</f>
        <v>1</v>
      </c>
      <c r="E112" s="24" t="n">
        <f aca="false">1</f>
        <v>1</v>
      </c>
      <c r="F112" s="24" t="n">
        <f aca="false">(1-hw)+hw*um28_B</f>
        <v>0.908</v>
      </c>
      <c r="G112" s="24" t="n">
        <f aca="false">(1-hw)*um28_B+hw*um29_B</f>
        <v>0.823</v>
      </c>
      <c r="H112" s="2"/>
      <c r="K112" s="4" t="s">
        <v>641</v>
      </c>
    </row>
    <row r="113" customFormat="false" ht="17.15" hidden="false" customHeight="false" outlineLevel="0" collapsed="false">
      <c r="A113" s="4" t="s">
        <v>642</v>
      </c>
      <c r="B113" s="0" t="s">
        <v>32</v>
      </c>
      <c r="C113" s="19" t="n">
        <f aca="false">a25_tr</f>
        <v>1.16917436338336</v>
      </c>
      <c r="D113" s="19" t="n">
        <f aca="false">a26_tr</f>
        <v>1.163885463</v>
      </c>
      <c r="E113" s="19" t="n">
        <f aca="false">h1_27+hw*E110</f>
        <v>1.78065265483945</v>
      </c>
      <c r="F113" s="19" t="n">
        <f aca="false">(1-hw)*E110+hw*F110</f>
        <v>2.36900214272858</v>
      </c>
      <c r="G113" s="19" t="n">
        <f aca="false">(1-hw)*F110+hw*G110</f>
        <v>2.84342728292471</v>
      </c>
      <c r="H113" s="2"/>
      <c r="K113" s="7" t="s">
        <v>643</v>
      </c>
    </row>
    <row r="114" customFormat="false" ht="17.15" hidden="false" customHeight="false" outlineLevel="0" collapsed="false">
      <c r="A114" s="0" t="s">
        <v>644</v>
      </c>
      <c r="B114" s="0" t="s">
        <v>32</v>
      </c>
      <c r="C114" s="19" t="n">
        <f aca="false">a25_dci</f>
        <v>0.410554710616641</v>
      </c>
      <c r="D114" s="19" t="n">
        <f aca="false">a26_dci</f>
        <v>0.7331</v>
      </c>
      <c r="E114" s="19" t="n">
        <f aca="false">h1dci*(2+h2_dci)</f>
        <v>1.25319348</v>
      </c>
      <c r="F114" s="19" t="n">
        <f aca="false">E114*(1+g_dci_28)</f>
        <v>1.503832176</v>
      </c>
      <c r="G114" s="19" t="n">
        <f aca="false">F114*(1+g_dci_29)</f>
        <v>1.6542153936</v>
      </c>
      <c r="H114" s="2"/>
    </row>
    <row r="115" customFormat="false" ht="17.15" hidden="false" customHeight="false" outlineLevel="0" collapsed="false">
      <c r="A115" s="0" t="s">
        <v>543</v>
      </c>
      <c r="B115" s="0" t="s">
        <v>32</v>
      </c>
      <c r="C115" s="19" t="n">
        <f aca="false">C114*C112</f>
        <v>0.410554710616641</v>
      </c>
      <c r="D115" s="19" t="n">
        <f aca="false">D114*D112</f>
        <v>0.7331</v>
      </c>
      <c r="E115" s="19" t="n">
        <f aca="false">E114*E112</f>
        <v>1.25319348</v>
      </c>
      <c r="F115" s="19" t="n">
        <f aca="false">F114*F112</f>
        <v>1.365479615808</v>
      </c>
      <c r="G115" s="19" t="n">
        <f aca="false">G114*G112</f>
        <v>1.3614192689328</v>
      </c>
      <c r="H115" s="2"/>
    </row>
    <row r="116" customFormat="false" ht="17.15" hidden="false" customHeight="false" outlineLevel="0" collapsed="false">
      <c r="A116" s="0" t="s">
        <v>645</v>
      </c>
      <c r="B116" s="0" t="s">
        <v>32</v>
      </c>
      <c r="C116" s="19" t="n">
        <f aca="false">a25_hpc</f>
        <v>0</v>
      </c>
      <c r="D116" s="19" t="n">
        <f aca="false">a26_hpc</f>
        <v>0.3261</v>
      </c>
      <c r="E116" s="19" t="n">
        <f aca="false">h1hpc*(2+h2_hpc)</f>
        <v>0.5669664</v>
      </c>
      <c r="F116" s="19" t="n">
        <f aca="false">E116*(1+g_hpc_28)</f>
        <v>0.65201136</v>
      </c>
      <c r="G116" s="19" t="n">
        <f aca="false">F116*(1+g_hpc_29)</f>
        <v>0.717212496</v>
      </c>
      <c r="H116" s="2"/>
    </row>
    <row r="117" customFormat="false" ht="17.15" hidden="false" customHeight="false" outlineLevel="0" collapsed="false">
      <c r="A117" s="0" t="s">
        <v>546</v>
      </c>
      <c r="B117" s="0" t="s">
        <v>32</v>
      </c>
      <c r="C117" s="19" t="n">
        <f aca="false">C116*C112</f>
        <v>0</v>
      </c>
      <c r="D117" s="19" t="n">
        <f aca="false">D116*D112</f>
        <v>0.3261</v>
      </c>
      <c r="E117" s="19" t="n">
        <f aca="false">E116*E112</f>
        <v>0.5669664</v>
      </c>
      <c r="F117" s="19" t="n">
        <f aca="false">F116*F112</f>
        <v>0.59202631488</v>
      </c>
      <c r="G117" s="19" t="n">
        <f aca="false">G116*G112</f>
        <v>0.590265884208</v>
      </c>
      <c r="H117" s="2"/>
    </row>
    <row r="118" customFormat="false" ht="15" hidden="false" customHeight="false" outlineLevel="0" collapsed="false">
      <c r="A118" s="4" t="s">
        <v>537</v>
      </c>
      <c r="B118" s="0" t="s">
        <v>32</v>
      </c>
      <c r="C118" s="19" t="n">
        <f aca="false">C113+C115+C117</f>
        <v>1.579729074</v>
      </c>
      <c r="D118" s="19" t="n">
        <f aca="false">D113+D115+D117</f>
        <v>2.223085463</v>
      </c>
      <c r="E118" s="19" t="n">
        <f aca="false">E113+E115+E117</f>
        <v>3.60081253483945</v>
      </c>
      <c r="F118" s="19" t="n">
        <f aca="false">F113+F115+F117</f>
        <v>4.32650807341658</v>
      </c>
      <c r="G118" s="19" t="n">
        <f aca="false">G113+G115+G117</f>
        <v>4.79511243606551</v>
      </c>
      <c r="H118" s="2"/>
    </row>
    <row r="119" customFormat="false" ht="15" hidden="false" customHeight="false" outlineLevel="0" collapsed="false">
      <c r="A119" s="4" t="s">
        <v>646</v>
      </c>
      <c r="B119" s="0" t="s">
        <v>32</v>
      </c>
      <c r="C119" s="19" t="n">
        <f aca="false">a25_ci</f>
        <v>1.049733389</v>
      </c>
      <c r="D119" s="19" t="n">
        <f aca="false">a26_ci</f>
        <v>1.545485301</v>
      </c>
      <c r="E119" s="19" t="n">
        <f aca="false">h1ci*(2+h2_ci)</f>
        <v>1.7611985244</v>
      </c>
      <c r="F119" s="19" t="n">
        <f aca="false">E119*(1+g_ci_28)</f>
        <v>1.866870435864</v>
      </c>
      <c r="G119" s="19" t="n">
        <f aca="false">F119*(1+g_ci_29)</f>
        <v>1.9602139576572</v>
      </c>
      <c r="H119" s="2"/>
    </row>
    <row r="120" customFormat="false" ht="15" hidden="false" customHeight="false" outlineLevel="0" collapsed="false">
      <c r="A120" s="4" t="s">
        <v>647</v>
      </c>
      <c r="B120" s="0" t="s">
        <v>32</v>
      </c>
      <c r="C120" s="19" t="n">
        <f aca="false">a25_aio</f>
        <v>0.789864537</v>
      </c>
      <c r="D120" s="19" t="n">
        <f aca="false">a26_aio</f>
        <v>0.872526236</v>
      </c>
      <c r="E120" s="19" t="n">
        <f aca="false">h1aio*(2+h2_aio)</f>
        <v>0.9722450688</v>
      </c>
      <c r="F120" s="19" t="n">
        <f aca="false">E120*(1+g_aio_28)</f>
        <v>1.02085732224</v>
      </c>
      <c r="G120" s="19" t="n">
        <f aca="false">F120*(1+g_aio_29)</f>
        <v>1.071900188352</v>
      </c>
      <c r="H120" s="2"/>
    </row>
    <row r="121" customFormat="false" ht="15" hidden="false" customHeight="false" outlineLevel="0" collapsed="false">
      <c r="A121" s="4" t="s">
        <v>535</v>
      </c>
      <c r="B121" s="0" t="s">
        <v>32</v>
      </c>
      <c r="C121" s="19" t="n">
        <f aca="false">C118+C119+C120</f>
        <v>3.419327</v>
      </c>
      <c r="D121" s="19" t="n">
        <f aca="false">D118+D119+D120</f>
        <v>4.641097</v>
      </c>
      <c r="E121" s="19" t="n">
        <f aca="false">E118+E119+E120</f>
        <v>6.33425612803945</v>
      </c>
      <c r="F121" s="19" t="n">
        <f aca="false">F118+F119+F120</f>
        <v>7.21423583152058</v>
      </c>
      <c r="G121" s="19" t="n">
        <f aca="false">G118+G119+G120</f>
        <v>7.82722658207471</v>
      </c>
      <c r="H121" s="25" t="n">
        <f aca="false">G121*(1+H122)</f>
        <v>8.37497382379013</v>
      </c>
      <c r="I121" s="21" t="n">
        <f aca="false">H121*(1+I122)</f>
        <v>8.83551252452485</v>
      </c>
      <c r="J121" s="21" t="n">
        <f aca="false">I121*(1+J122)</f>
        <v>9.18893302550584</v>
      </c>
    </row>
    <row r="122" customFormat="false" ht="15" hidden="false" customHeight="false" outlineLevel="0" collapsed="false">
      <c r="A122" s="4" t="s">
        <v>648</v>
      </c>
      <c r="B122" s="0" t="s">
        <v>65</v>
      </c>
      <c r="D122" s="15" t="n">
        <f aca="false">D121/C121-1</f>
        <v>0.357313003406811</v>
      </c>
      <c r="E122" s="15" t="n">
        <f aca="false">E121/D121-1</f>
        <v>0.36481873316577</v>
      </c>
      <c r="F122" s="15" t="n">
        <f aca="false">F121/E121-1</f>
        <v>0.138923921877073</v>
      </c>
      <c r="G122" s="15" t="n">
        <f aca="false">G121/F121-1</f>
        <v>0.084969602445742</v>
      </c>
      <c r="H122" s="26" t="n">
        <f aca="false">$G122+(fade_gB-$G122)*1/3</f>
        <v>0.069979734963828</v>
      </c>
      <c r="I122" s="22" t="n">
        <f aca="false">$G122+(fade_gB-$G122)*2/3</f>
        <v>0.054989867481914</v>
      </c>
      <c r="J122" s="22" t="n">
        <f aca="false">$G122+(fade_gB-$G122)*3/3</f>
        <v>0.04</v>
      </c>
    </row>
    <row r="123" customFormat="false" ht="17.15" hidden="false" customHeight="false" outlineLevel="0" collapsed="false">
      <c r="A123" s="4" t="s">
        <v>649</v>
      </c>
      <c r="B123" s="0" t="s">
        <v>65</v>
      </c>
      <c r="C123" s="15" t="n">
        <f aca="false">C118/C121</f>
        <v>0.462</v>
      </c>
      <c r="D123" s="15" t="n">
        <f aca="false">D118/D121</f>
        <v>0.479</v>
      </c>
      <c r="E123" s="15" t="n">
        <f aca="false">E118/E121</f>
        <v>0.568466519517574</v>
      </c>
      <c r="F123" s="15" t="n">
        <f aca="false">F118/F121</f>
        <v>0.599718137091266</v>
      </c>
      <c r="G123" s="15" t="n">
        <f aca="false">G118/G121</f>
        <v>0.612619602331034</v>
      </c>
      <c r="H123" s="2"/>
    </row>
    <row r="124" customFormat="false" ht="17.15" hidden="false" customHeight="false" outlineLevel="0" collapsed="false">
      <c r="A124" s="1" t="s">
        <v>650</v>
      </c>
    </row>
    <row r="125" customFormat="false" ht="17.15" hidden="false" customHeight="false" outlineLevel="0" collapsed="false">
      <c r="A125" s="4" t="s">
        <v>615</v>
      </c>
      <c r="B125" s="0" t="s">
        <v>65</v>
      </c>
      <c r="C125" s="15" t="n">
        <f aca="false">a25_gp/a25_rev</f>
        <v>0.123943980789202</v>
      </c>
      <c r="D125" s="15" t="n">
        <f aca="false">a26_gp/a26_rev</f>
        <v>0.122378394590762</v>
      </c>
      <c r="E125" s="15" t="n">
        <f aca="false">gm_27</f>
        <v>0.123</v>
      </c>
      <c r="F125" s="15" t="n">
        <f aca="false">gm_28</f>
        <v>0.123</v>
      </c>
      <c r="G125" s="15" t="n">
        <f aca="false">gm_29</f>
        <v>0.123</v>
      </c>
      <c r="H125" s="2"/>
      <c r="K125" s="7" t="s">
        <v>651</v>
      </c>
    </row>
    <row r="126" customFormat="false" ht="15" hidden="false" customHeight="false" outlineLevel="0" collapsed="false">
      <c r="A126" s="4" t="s">
        <v>652</v>
      </c>
      <c r="B126" s="0" t="s">
        <v>32</v>
      </c>
      <c r="C126" s="19" t="n">
        <f aca="false">C121*C125</f>
        <v>0.423805</v>
      </c>
      <c r="D126" s="19" t="n">
        <f aca="false">D121*D125</f>
        <v>0.56797</v>
      </c>
      <c r="E126" s="19" t="n">
        <f aca="false">E121*E125</f>
        <v>0.779113503748853</v>
      </c>
      <c r="F126" s="19" t="n">
        <f aca="false">F121*F125</f>
        <v>0.887351007277031</v>
      </c>
      <c r="G126" s="19" t="n">
        <f aca="false">G121*G125</f>
        <v>0.962748869595189</v>
      </c>
      <c r="H126" s="2"/>
    </row>
    <row r="127" customFormat="false" ht="15" hidden="false" customHeight="false" outlineLevel="0" collapsed="false">
      <c r="A127" s="4" t="s">
        <v>653</v>
      </c>
      <c r="B127" s="0" t="s">
        <v>32</v>
      </c>
      <c r="C127" s="19" t="n">
        <f aca="false">a25_opx</f>
        <v>0.063093</v>
      </c>
      <c r="D127" s="19" t="n">
        <f aca="false">a26_opx</f>
        <v>0.0679069999999999</v>
      </c>
      <c r="E127" s="19" t="n">
        <f aca="false">D127*(1+MAX(0,phi*E122))</f>
        <v>0.0731971472651966</v>
      </c>
      <c r="F127" s="19" t="n">
        <f aca="false">E127*(1+MAX(0,phi*F122))</f>
        <v>0.0753685844819478</v>
      </c>
      <c r="G127" s="19" t="n">
        <f aca="false">F127*(1+MAX(0,phi*G122))</f>
        <v>0.0767360929724889</v>
      </c>
      <c r="H127" s="2"/>
    </row>
    <row r="128" customFormat="false" ht="15" hidden="false" customHeight="false" outlineLevel="0" collapsed="false">
      <c r="A128" s="4" t="s">
        <v>654</v>
      </c>
      <c r="B128" s="0" t="s">
        <v>32</v>
      </c>
      <c r="C128" s="14" t="n">
        <f aca="false">C127</f>
        <v>0.063093</v>
      </c>
      <c r="D128" s="14" t="n">
        <f aca="false">D127</f>
        <v>0.0679069999999999</v>
      </c>
      <c r="E128" s="14" t="n">
        <f aca="false">E127+0*E121</f>
        <v>0.0731971472651966</v>
      </c>
      <c r="F128" s="14" t="n">
        <f aca="false">F127+0*F121</f>
        <v>0.0753685844819478</v>
      </c>
      <c r="G128" s="14" t="n">
        <f aca="false">G127+0*G121</f>
        <v>0.0767360929724889</v>
      </c>
      <c r="H128" s="2"/>
    </row>
    <row r="129" customFormat="false" ht="15" hidden="false" customHeight="false" outlineLevel="0" collapsed="false">
      <c r="A129" s="4" t="s">
        <v>655</v>
      </c>
      <c r="B129" s="0" t="s">
        <v>32</v>
      </c>
      <c r="C129" s="19" t="n">
        <f aca="false">C126-C128</f>
        <v>0.360712</v>
      </c>
      <c r="D129" s="19" t="n">
        <f aca="false">D126-D128</f>
        <v>0.500063</v>
      </c>
      <c r="E129" s="19" t="n">
        <f aca="false">E126-E128</f>
        <v>0.705916356483656</v>
      </c>
      <c r="F129" s="19" t="n">
        <f aca="false">F126-F128</f>
        <v>0.811982422795084</v>
      </c>
      <c r="G129" s="19" t="n">
        <f aca="false">G126-G128</f>
        <v>0.8860127766227</v>
      </c>
      <c r="H129" s="2"/>
    </row>
    <row r="130" customFormat="false" ht="15" hidden="false" customHeight="false" outlineLevel="0" collapsed="false">
      <c r="A130" s="4" t="s">
        <v>616</v>
      </c>
      <c r="B130" s="0" t="s">
        <v>65</v>
      </c>
      <c r="C130" s="15" t="n">
        <f aca="false">C129/C121</f>
        <v>0.10549210414798</v>
      </c>
      <c r="D130" s="15" t="n">
        <f aca="false">D129/D121</f>
        <v>0.107746724535169</v>
      </c>
      <c r="E130" s="15" t="n">
        <f aca="false">E129/E121</f>
        <v>0.111444239420446</v>
      </c>
      <c r="F130" s="15" t="n">
        <f aca="false">F129/F121</f>
        <v>0.112552797241165</v>
      </c>
      <c r="G130" s="15" t="n">
        <f aca="false">G129/G121</f>
        <v>0.113196260173658</v>
      </c>
      <c r="H130" s="2"/>
    </row>
    <row r="131" customFormat="false" ht="15" hidden="false" customHeight="false" outlineLevel="0" collapsed="false">
      <c r="A131" s="4" t="s">
        <v>656</v>
      </c>
      <c r="B131" s="0" t="s">
        <v>32</v>
      </c>
      <c r="C131" s="14" t="n">
        <f aca="false">a25_oth</f>
        <v>0.030733</v>
      </c>
      <c r="D131" s="14" t="n">
        <f aca="false">a26_oth</f>
        <v>0.0354829999999999</v>
      </c>
      <c r="E131" s="14" t="n">
        <f aca="false">int_f</f>
        <v>0.03</v>
      </c>
      <c r="F131" s="14" t="n">
        <f aca="false">int_f</f>
        <v>0.03</v>
      </c>
      <c r="G131" s="14" t="n">
        <f aca="false">int_f</f>
        <v>0.03</v>
      </c>
      <c r="H131" s="2"/>
    </row>
    <row r="132" customFormat="false" ht="15" hidden="false" customHeight="false" outlineLevel="0" collapsed="false">
      <c r="A132" s="4" t="s">
        <v>657</v>
      </c>
      <c r="B132" s="0" t="s">
        <v>32</v>
      </c>
      <c r="C132" s="19" t="n">
        <f aca="false">C129+C131</f>
        <v>0.391445</v>
      </c>
      <c r="D132" s="19" t="n">
        <f aca="false">D129+D131</f>
        <v>0.535546</v>
      </c>
      <c r="E132" s="19" t="n">
        <f aca="false">E129+E131</f>
        <v>0.735916356483656</v>
      </c>
      <c r="F132" s="19" t="n">
        <f aca="false">F129+F131</f>
        <v>0.841982422795084</v>
      </c>
      <c r="G132" s="19" t="n">
        <f aca="false">G129+G131</f>
        <v>0.9160127766227</v>
      </c>
      <c r="H132" s="2"/>
    </row>
    <row r="133" customFormat="false" ht="15" hidden="false" customHeight="false" outlineLevel="0" collapsed="false">
      <c r="A133" s="4" t="s">
        <v>617</v>
      </c>
      <c r="B133" s="0" t="s">
        <v>32</v>
      </c>
      <c r="C133" s="19" t="n">
        <f aca="false">a25_ni</f>
        <v>0.368792</v>
      </c>
      <c r="D133" s="19" t="n">
        <f aca="false">a26_ni</f>
        <v>0.510907</v>
      </c>
      <c r="E133" s="19" t="n">
        <f aca="false">E132*(1-(tx))</f>
        <v>0.699120538659474</v>
      </c>
      <c r="F133" s="19" t="n">
        <f aca="false">F132*(1-(tx))</f>
        <v>0.799883301655329</v>
      </c>
      <c r="G133" s="19" t="n">
        <f aca="false">G132*(1-(tx))</f>
        <v>0.870212137791565</v>
      </c>
      <c r="H133" s="25" t="n">
        <f aca="false">H121*H134</f>
        <v>0.890870976195291</v>
      </c>
      <c r="I133" s="21" t="n">
        <f aca="false">I121*I134</f>
        <v>0.897408773774727</v>
      </c>
      <c r="J133" s="21" t="n">
        <f aca="false">J121*J134</f>
        <v>0.889156002206888</v>
      </c>
    </row>
    <row r="134" customFormat="false" ht="15" hidden="false" customHeight="false" outlineLevel="0" collapsed="false">
      <c r="A134" s="4" t="s">
        <v>658</v>
      </c>
      <c r="B134" s="0" t="s">
        <v>65</v>
      </c>
      <c r="C134" s="15" t="n">
        <f aca="false">C133/C121</f>
        <v>0.107855142254602</v>
      </c>
      <c r="D134" s="15" t="n">
        <f aca="false">D133/D121</f>
        <v>0.110083241095801</v>
      </c>
      <c r="E134" s="15" t="n">
        <f aca="false">E133/E121</f>
        <v>0.110371371875021</v>
      </c>
      <c r="F134" s="15" t="n">
        <f aca="false">F133/F121</f>
        <v>0.110875679744272</v>
      </c>
      <c r="G134" s="15" t="n">
        <f aca="false">G133/G121</f>
        <v>0.111177583613646</v>
      </c>
      <c r="H134" s="26" t="n">
        <f aca="false">$G134+(fade_mB-$G134)*1/3</f>
        <v>0.106372986344705</v>
      </c>
      <c r="I134" s="22" t="n">
        <f aca="false">$G134+(fade_mB-$G134)*2/3</f>
        <v>0.101568389075764</v>
      </c>
      <c r="J134" s="22" t="n">
        <f aca="false">$G134+(fade_mB-$G134)*3/3</f>
        <v>0.0967637918068231</v>
      </c>
    </row>
    <row r="135" customFormat="false" ht="15" hidden="false" customHeight="false" outlineLevel="0" collapsed="false">
      <c r="A135" s="4" t="s">
        <v>559</v>
      </c>
      <c r="B135" s="4" t="s">
        <v>307</v>
      </c>
      <c r="C135" s="16" t="n">
        <f aca="false">a25_sh</f>
        <v>0.036267</v>
      </c>
      <c r="D135" s="16" t="n">
        <f aca="false">a26_sh</f>
        <v>0.036252</v>
      </c>
      <c r="E135" s="16" t="n">
        <f aca="false">sh_q1*(1+sh_g)</f>
        <v>0.0363</v>
      </c>
      <c r="F135" s="16" t="n">
        <f aca="false">E135*(1+sh_g)</f>
        <v>0.0363</v>
      </c>
      <c r="G135" s="16" t="n">
        <f aca="false">F135*(1+sh_g)</f>
        <v>0.0363</v>
      </c>
      <c r="H135" s="27" t="n">
        <f aca="false">G135*(1+sh_g)</f>
        <v>0.0363</v>
      </c>
      <c r="I135" s="28" t="n">
        <f aca="false">H135*(1+sh_g)</f>
        <v>0.0363</v>
      </c>
      <c r="J135" s="28" t="n">
        <f aca="false">I135*(1+sh_g)</f>
        <v>0.0363</v>
      </c>
    </row>
    <row r="136" customFormat="false" ht="15" hidden="false" customHeight="false" outlineLevel="0" collapsed="false">
      <c r="A136" s="0" t="s">
        <v>618</v>
      </c>
      <c r="B136" s="0" t="s">
        <v>217</v>
      </c>
      <c r="C136" s="19" t="n">
        <f aca="false">C133/C135</f>
        <v>10.1688035955552</v>
      </c>
      <c r="D136" s="19" t="n">
        <f aca="false">D133/D135</f>
        <v>14.0932086505572</v>
      </c>
      <c r="E136" s="19" t="n">
        <f aca="false">E133/E135</f>
        <v>19.2595189713354</v>
      </c>
      <c r="F136" s="19" t="n">
        <f aca="false">F133/F135</f>
        <v>22.0353526626812</v>
      </c>
      <c r="G136" s="19" t="n">
        <f aca="false">G133/G135</f>
        <v>23.9727861650569</v>
      </c>
      <c r="H136" s="25" t="n">
        <f aca="false">H133/H135</f>
        <v>24.5419001706692</v>
      </c>
      <c r="I136" s="21" t="n">
        <f aca="false">I133/I135</f>
        <v>24.7220047871826</v>
      </c>
      <c r="J136" s="21" t="n">
        <f aca="false">J133/J135</f>
        <v>24.4946557081787</v>
      </c>
    </row>
    <row r="137" customFormat="false" ht="17.15" hidden="false" customHeight="false" outlineLevel="0" collapsed="false">
      <c r="A137" s="0" t="s">
        <v>659</v>
      </c>
      <c r="B137" s="0" t="s">
        <v>65</v>
      </c>
      <c r="D137" s="15" t="n">
        <f aca="false">D136/C136-1</f>
        <v>0.385925936923139</v>
      </c>
      <c r="E137" s="15" t="n">
        <f aca="false">E136/D136-1</f>
        <v>0.366581553489871</v>
      </c>
      <c r="F137" s="15" t="n">
        <f aca="false">F136/E136-1</f>
        <v>0.144127882709701</v>
      </c>
      <c r="G137" s="15" t="n">
        <f aca="false">G136/F136-1</f>
        <v>0.0879238708830314</v>
      </c>
      <c r="H137" s="26" t="n">
        <f aca="false">H136/G136-1</f>
        <v>0.0237400025885108</v>
      </c>
      <c r="I137" s="22" t="n">
        <f aca="false">I136/H136-1</f>
        <v>0.00733865818298107</v>
      </c>
      <c r="J137" s="22" t="n">
        <f aca="false">J136/I136-1</f>
        <v>-0.00919622340343873</v>
      </c>
    </row>
    <row r="140" customFormat="false" ht="17.15" hidden="false" customHeight="false" outlineLevel="0" collapsed="false">
      <c r="A140" s="3" t="s">
        <v>661</v>
      </c>
    </row>
    <row r="141" customFormat="false" ht="17.15" hidden="false" customHeight="false" outlineLevel="0" collapsed="false">
      <c r="A141" s="5" t="s">
        <v>21</v>
      </c>
      <c r="B141" s="5" t="s">
        <v>22</v>
      </c>
      <c r="C141" s="13" t="s">
        <v>528</v>
      </c>
      <c r="D141" s="13" t="s">
        <v>600</v>
      </c>
      <c r="E141" s="13" t="s">
        <v>601</v>
      </c>
      <c r="F141" s="13" t="s">
        <v>602</v>
      </c>
      <c r="G141" s="13" t="s">
        <v>603</v>
      </c>
      <c r="H141" s="13" t="s">
        <v>604</v>
      </c>
      <c r="I141" s="13" t="s">
        <v>605</v>
      </c>
      <c r="J141" s="13" t="s">
        <v>606</v>
      </c>
      <c r="K141" s="5" t="s">
        <v>534</v>
      </c>
    </row>
    <row r="142" customFormat="false" ht="17.15" hidden="false" customHeight="false" outlineLevel="0" collapsed="false">
      <c r="A142" s="1" t="s">
        <v>628</v>
      </c>
    </row>
    <row r="143" customFormat="false" ht="17.15" hidden="false" customHeight="false" outlineLevel="0" collapsed="false">
      <c r="A143" s="0" t="s">
        <v>629</v>
      </c>
      <c r="B143" s="0" t="s">
        <v>32</v>
      </c>
      <c r="D143" s="19" t="n">
        <f aca="false">mplC_26*1</f>
        <v>29.753262</v>
      </c>
      <c r="E143" s="19" t="n">
        <f aca="false">mplC_27*1*1</f>
        <v>55.252106</v>
      </c>
      <c r="F143" s="19" t="n">
        <f aca="false">mplC_28*um28_C*1</f>
        <v>37.50117</v>
      </c>
      <c r="G143" s="19" t="n">
        <f aca="false">mplC_29*um29_C*1</f>
        <v>48.606666</v>
      </c>
      <c r="H143" s="2"/>
      <c r="K143" s="4" t="s">
        <v>630</v>
      </c>
    </row>
    <row r="144" customFormat="false" ht="17.15" hidden="false" customHeight="false" outlineLevel="0" collapsed="false">
      <c r="A144" s="0" t="s">
        <v>631</v>
      </c>
      <c r="B144" s="0" t="s">
        <v>32</v>
      </c>
      <c r="D144" s="19" t="n">
        <f aca="false">mcpC_26*1</f>
        <v>0.300538</v>
      </c>
      <c r="E144" s="19" t="n">
        <f aca="false">mcpC_27*1</f>
        <v>1.127594</v>
      </c>
      <c r="F144" s="19" t="n">
        <f aca="false">mcpC_28*um28_C</f>
        <v>1.15983</v>
      </c>
      <c r="G144" s="19" t="n">
        <f aca="false">mcpC_29*um29_C</f>
        <v>2.20263</v>
      </c>
      <c r="H144" s="2"/>
    </row>
    <row r="145" customFormat="false" ht="17.15" hidden="false" customHeight="false" outlineLevel="0" collapsed="false">
      <c r="A145" s="0" t="s">
        <v>632</v>
      </c>
      <c r="B145" s="0" t="s">
        <v>65</v>
      </c>
      <c r="D145" s="15" t="n">
        <f aca="false">tr_cy26/D143</f>
        <v>0.0423521320116093</v>
      </c>
      <c r="H145" s="2"/>
      <c r="K145" s="7" t="s">
        <v>633</v>
      </c>
    </row>
    <row r="146" customFormat="false" ht="17.15" hidden="false" customHeight="false" outlineLevel="0" collapsed="false">
      <c r="A146" s="4" t="s">
        <v>634</v>
      </c>
      <c r="B146" s="0" t="s">
        <v>76</v>
      </c>
      <c r="D146" s="8" t="n">
        <f aca="false">1</f>
        <v>1</v>
      </c>
      <c r="E146" s="8" t="n">
        <f aca="false">RLO_27</f>
        <v>0.8</v>
      </c>
      <c r="F146" s="8" t="n">
        <f aca="false">RLO_28</f>
        <v>0.7</v>
      </c>
      <c r="G146" s="8" t="n">
        <f aca="false">RLO_29</f>
        <v>0.6</v>
      </c>
      <c r="H146" s="2"/>
    </row>
    <row r="147" customFormat="false" ht="15" hidden="false" customHeight="false" outlineLevel="0" collapsed="false">
      <c r="A147" s="4" t="s">
        <v>635</v>
      </c>
      <c r="B147" s="0" t="s">
        <v>65</v>
      </c>
      <c r="D147" s="15" t="n">
        <f aca="false">$D$145*D146</f>
        <v>0.0423521320116093</v>
      </c>
      <c r="E147" s="15" t="n">
        <f aca="false">$D$145*E146</f>
        <v>0.0338817056092875</v>
      </c>
      <c r="F147" s="15" t="n">
        <f aca="false">$D$145*F146</f>
        <v>0.0296464924081265</v>
      </c>
      <c r="G147" s="15" t="n">
        <f aca="false">$D$145*G146</f>
        <v>0.0254112792069656</v>
      </c>
      <c r="H147" s="2"/>
    </row>
    <row r="148" customFormat="false" ht="15" hidden="false" customHeight="false" outlineLevel="0" collapsed="false">
      <c r="A148" s="4" t="s">
        <v>636</v>
      </c>
      <c r="B148" s="0" t="s">
        <v>76</v>
      </c>
      <c r="D148" s="8" t="n">
        <f aca="false">1</f>
        <v>1</v>
      </c>
      <c r="E148" s="8" t="n">
        <f aca="false">pxr_27</f>
        <v>1</v>
      </c>
      <c r="F148" s="8" t="n">
        <f aca="false">pxr_28</f>
        <v>1</v>
      </c>
      <c r="G148" s="8" t="n">
        <f aca="false">pxr_29</f>
        <v>1</v>
      </c>
      <c r="H148" s="2"/>
    </row>
    <row r="149" customFormat="false" ht="17.15" hidden="false" customHeight="false" outlineLevel="0" collapsed="false">
      <c r="A149" s="0" t="s">
        <v>637</v>
      </c>
      <c r="B149" s="0" t="s">
        <v>65</v>
      </c>
      <c r="D149" s="15" t="n">
        <f aca="false">0</f>
        <v>0</v>
      </c>
      <c r="E149" s="15" t="n">
        <f aca="false">CPLO_27</f>
        <v>0</v>
      </c>
      <c r="F149" s="15" t="n">
        <f aca="false">CPLO_28</f>
        <v>0.02</v>
      </c>
      <c r="G149" s="15" t="n">
        <f aca="false">CPLO_29</f>
        <v>0.05</v>
      </c>
      <c r="H149" s="2"/>
    </row>
    <row r="150" customFormat="false" ht="15" hidden="false" customHeight="false" outlineLevel="0" collapsed="false">
      <c r="A150" s="4" t="s">
        <v>638</v>
      </c>
      <c r="B150" s="0" t="s">
        <v>32</v>
      </c>
      <c r="D150" s="19" t="n">
        <f aca="false">tr_cy26</f>
        <v>1.26011408</v>
      </c>
      <c r="E150" s="19" t="n">
        <f aca="false">E143*E147*E148+E144*E149</f>
        <v>1.87203558978515</v>
      </c>
      <c r="F150" s="19" t="n">
        <f aca="false">F143*F147*F148+F144*F149</f>
        <v>1.13497475170086</v>
      </c>
      <c r="G150" s="19" t="n">
        <f aca="false">G143*G147*G148+G144*G149</f>
        <v>1.34528906104572</v>
      </c>
      <c r="H150" s="2"/>
    </row>
    <row r="151" customFormat="false" ht="17.15" hidden="false" customHeight="false" outlineLevel="0" collapsed="false">
      <c r="A151" s="1" t="s">
        <v>639</v>
      </c>
    </row>
    <row r="152" customFormat="false" ht="17.15" hidden="false" customHeight="false" outlineLevel="0" collapsed="false">
      <c r="A152" s="0" t="s">
        <v>640</v>
      </c>
      <c r="B152" s="0" t="s">
        <v>76</v>
      </c>
      <c r="C152" s="24" t="n">
        <f aca="false">1</f>
        <v>1</v>
      </c>
      <c r="D152" s="24" t="n">
        <f aca="false">1</f>
        <v>1</v>
      </c>
      <c r="E152" s="24" t="n">
        <f aca="false">1</f>
        <v>1</v>
      </c>
      <c r="F152" s="24" t="n">
        <f aca="false">(1-hw)+hw*um28_C</f>
        <v>0.816</v>
      </c>
      <c r="G152" s="24" t="n">
        <f aca="false">(1-hw)*um28_C+hw*um29_C</f>
        <v>0.6</v>
      </c>
      <c r="H152" s="2"/>
      <c r="K152" s="4" t="s">
        <v>641</v>
      </c>
    </row>
    <row r="153" customFormat="false" ht="17.15" hidden="false" customHeight="false" outlineLevel="0" collapsed="false">
      <c r="A153" s="4" t="s">
        <v>642</v>
      </c>
      <c r="B153" s="0" t="s">
        <v>32</v>
      </c>
      <c r="C153" s="19" t="n">
        <f aca="false">a25_tr</f>
        <v>1.16917436338336</v>
      </c>
      <c r="D153" s="19" t="n">
        <f aca="false">a26_tr</f>
        <v>1.163885463</v>
      </c>
      <c r="E153" s="19" t="n">
        <f aca="false">h1_27+hw*E150</f>
        <v>1.53745045130117</v>
      </c>
      <c r="F153" s="19" t="n">
        <f aca="false">(1-hw)*E150+hw*F150</f>
        <v>1.53298760426638</v>
      </c>
      <c r="G153" s="19" t="n">
        <f aca="false">(1-hw)*F150+hw*G150</f>
        <v>1.2317193339995</v>
      </c>
      <c r="H153" s="2"/>
      <c r="K153" s="7" t="s">
        <v>643</v>
      </c>
    </row>
    <row r="154" customFormat="false" ht="17.15" hidden="false" customHeight="false" outlineLevel="0" collapsed="false">
      <c r="A154" s="0" t="s">
        <v>644</v>
      </c>
      <c r="B154" s="0" t="s">
        <v>32</v>
      </c>
      <c r="C154" s="19" t="n">
        <f aca="false">a25_dci</f>
        <v>0.410554710616641</v>
      </c>
      <c r="D154" s="19" t="n">
        <f aca="false">a26_dci</f>
        <v>0.7331</v>
      </c>
      <c r="E154" s="19" t="n">
        <f aca="false">h1dci*(2+h2_dci)</f>
        <v>1.25319348</v>
      </c>
      <c r="F154" s="19" t="n">
        <f aca="false">E154*(1+g_dci_28)</f>
        <v>1.503832176</v>
      </c>
      <c r="G154" s="19" t="n">
        <f aca="false">F154*(1+g_dci_29)</f>
        <v>1.6542153936</v>
      </c>
      <c r="H154" s="2"/>
    </row>
    <row r="155" customFormat="false" ht="17.15" hidden="false" customHeight="false" outlineLevel="0" collapsed="false">
      <c r="A155" s="0" t="s">
        <v>543</v>
      </c>
      <c r="B155" s="0" t="s">
        <v>32</v>
      </c>
      <c r="C155" s="19" t="n">
        <f aca="false">C154*C152</f>
        <v>0.410554710616641</v>
      </c>
      <c r="D155" s="19" t="n">
        <f aca="false">D154*D152</f>
        <v>0.7331</v>
      </c>
      <c r="E155" s="19" t="n">
        <f aca="false">E154*E152</f>
        <v>1.25319348</v>
      </c>
      <c r="F155" s="19" t="n">
        <f aca="false">F154*F152</f>
        <v>1.227127055616</v>
      </c>
      <c r="G155" s="19" t="n">
        <f aca="false">G154*G152</f>
        <v>0.99252923616</v>
      </c>
      <c r="H155" s="2"/>
    </row>
    <row r="156" customFormat="false" ht="17.15" hidden="false" customHeight="false" outlineLevel="0" collapsed="false">
      <c r="A156" s="0" t="s">
        <v>645</v>
      </c>
      <c r="B156" s="0" t="s">
        <v>32</v>
      </c>
      <c r="C156" s="19" t="n">
        <f aca="false">a25_hpc</f>
        <v>0</v>
      </c>
      <c r="D156" s="19" t="n">
        <f aca="false">a26_hpc</f>
        <v>0.3261</v>
      </c>
      <c r="E156" s="19" t="n">
        <f aca="false">h1hpc*(2+h2_hpc)</f>
        <v>0.5669664</v>
      </c>
      <c r="F156" s="19" t="n">
        <f aca="false">E156*(1+g_hpc_28)</f>
        <v>0.65201136</v>
      </c>
      <c r="G156" s="19" t="n">
        <f aca="false">F156*(1+g_hpc_29)</f>
        <v>0.717212496</v>
      </c>
      <c r="H156" s="2"/>
    </row>
    <row r="157" customFormat="false" ht="17.15" hidden="false" customHeight="false" outlineLevel="0" collapsed="false">
      <c r="A157" s="0" t="s">
        <v>546</v>
      </c>
      <c r="B157" s="0" t="s">
        <v>32</v>
      </c>
      <c r="C157" s="19" t="n">
        <f aca="false">C156*C152</f>
        <v>0</v>
      </c>
      <c r="D157" s="19" t="n">
        <f aca="false">D156*D152</f>
        <v>0.3261</v>
      </c>
      <c r="E157" s="19" t="n">
        <f aca="false">E156*E152</f>
        <v>0.5669664</v>
      </c>
      <c r="F157" s="19" t="n">
        <f aca="false">F156*F152</f>
        <v>0.53204126976</v>
      </c>
      <c r="G157" s="19" t="n">
        <f aca="false">G156*G152</f>
        <v>0.4303274976</v>
      </c>
      <c r="H157" s="2"/>
    </row>
    <row r="158" customFormat="false" ht="15" hidden="false" customHeight="false" outlineLevel="0" collapsed="false">
      <c r="A158" s="4" t="s">
        <v>537</v>
      </c>
      <c r="B158" s="0" t="s">
        <v>32</v>
      </c>
      <c r="C158" s="19" t="n">
        <f aca="false">C153+C155+C157</f>
        <v>1.579729074</v>
      </c>
      <c r="D158" s="19" t="n">
        <f aca="false">D153+D155+D157</f>
        <v>2.223085463</v>
      </c>
      <c r="E158" s="19" t="n">
        <f aca="false">E153+E155+E157</f>
        <v>3.35761033130117</v>
      </c>
      <c r="F158" s="19" t="n">
        <f aca="false">F153+F155+F157</f>
        <v>3.29215592964238</v>
      </c>
      <c r="G158" s="19" t="n">
        <f aca="false">G153+G155+G157</f>
        <v>2.6545760677595</v>
      </c>
      <c r="H158" s="2"/>
    </row>
    <row r="159" customFormat="false" ht="15" hidden="false" customHeight="false" outlineLevel="0" collapsed="false">
      <c r="A159" s="4" t="s">
        <v>646</v>
      </c>
      <c r="B159" s="0" t="s">
        <v>32</v>
      </c>
      <c r="C159" s="19" t="n">
        <f aca="false">a25_ci</f>
        <v>1.049733389</v>
      </c>
      <c r="D159" s="19" t="n">
        <f aca="false">a26_ci</f>
        <v>1.545485301</v>
      </c>
      <c r="E159" s="19" t="n">
        <f aca="false">h1ci*(2+h2_ci)</f>
        <v>1.7611985244</v>
      </c>
      <c r="F159" s="19" t="n">
        <f aca="false">E159*(1+g_ci_28)</f>
        <v>1.866870435864</v>
      </c>
      <c r="G159" s="19" t="n">
        <f aca="false">F159*(1+g_ci_29)</f>
        <v>1.9602139576572</v>
      </c>
      <c r="H159" s="2"/>
    </row>
    <row r="160" customFormat="false" ht="15" hidden="false" customHeight="false" outlineLevel="0" collapsed="false">
      <c r="A160" s="4" t="s">
        <v>647</v>
      </c>
      <c r="B160" s="0" t="s">
        <v>32</v>
      </c>
      <c r="C160" s="19" t="n">
        <f aca="false">a25_aio</f>
        <v>0.789864537</v>
      </c>
      <c r="D160" s="19" t="n">
        <f aca="false">a26_aio</f>
        <v>0.872526236</v>
      </c>
      <c r="E160" s="19" t="n">
        <f aca="false">h1aio*(2+h2_aio)</f>
        <v>0.9722450688</v>
      </c>
      <c r="F160" s="19" t="n">
        <f aca="false">E160*(1+g_aio_28)</f>
        <v>1.02085732224</v>
      </c>
      <c r="G160" s="19" t="n">
        <f aca="false">F160*(1+g_aio_29)</f>
        <v>1.071900188352</v>
      </c>
      <c r="H160" s="2"/>
    </row>
    <row r="161" customFormat="false" ht="15" hidden="false" customHeight="false" outlineLevel="0" collapsed="false">
      <c r="A161" s="4" t="s">
        <v>535</v>
      </c>
      <c r="B161" s="0" t="s">
        <v>32</v>
      </c>
      <c r="C161" s="19" t="n">
        <f aca="false">C158+C159+C160</f>
        <v>3.419327</v>
      </c>
      <c r="D161" s="19" t="n">
        <f aca="false">D158+D159+D160</f>
        <v>4.641097</v>
      </c>
      <c r="E161" s="19" t="n">
        <f aca="false">E158+E159+E160</f>
        <v>6.09105392450117</v>
      </c>
      <c r="F161" s="19" t="n">
        <f aca="false">F158+F159+F160</f>
        <v>6.17988368774638</v>
      </c>
      <c r="G161" s="19" t="n">
        <f aca="false">G158+G159+G160</f>
        <v>5.6866902137687</v>
      </c>
      <c r="H161" s="25" t="n">
        <f aca="false">G161*(1+H162)</f>
        <v>5.42204578732268</v>
      </c>
      <c r="I161" s="21" t="n">
        <f aca="false">H161*(1+I162)</f>
        <v>5.35010197884676</v>
      </c>
      <c r="J161" s="21" t="n">
        <f aca="false">I161*(1+J162)</f>
        <v>5.4571040184237</v>
      </c>
    </row>
    <row r="162" customFormat="false" ht="15" hidden="false" customHeight="false" outlineLevel="0" collapsed="false">
      <c r="A162" s="4" t="s">
        <v>648</v>
      </c>
      <c r="B162" s="0" t="s">
        <v>65</v>
      </c>
      <c r="D162" s="15" t="n">
        <f aca="false">D161/C161-1</f>
        <v>0.357313003406811</v>
      </c>
      <c r="E162" s="15" t="n">
        <f aca="false">E161/D161-1</f>
        <v>0.312416854140555</v>
      </c>
      <c r="F162" s="15" t="n">
        <f aca="false">F161/E161-1</f>
        <v>0.0145836442011935</v>
      </c>
      <c r="G162" s="15" t="n">
        <f aca="false">G161/F161-1</f>
        <v>-0.0798062712661719</v>
      </c>
      <c r="H162" s="26" t="n">
        <f aca="false">$G162+(fade_gC-$G162)*1/3</f>
        <v>-0.0465375141774479</v>
      </c>
      <c r="I162" s="22" t="n">
        <f aca="false">$G162+(fade_gC-$G162)*2/3</f>
        <v>-0.013268757088724</v>
      </c>
      <c r="J162" s="22" t="n">
        <f aca="false">$G162+(fade_gC-$G162)*3/3</f>
        <v>0.02</v>
      </c>
    </row>
    <row r="163" customFormat="false" ht="17.15" hidden="false" customHeight="false" outlineLevel="0" collapsed="false">
      <c r="A163" s="4" t="s">
        <v>649</v>
      </c>
      <c r="B163" s="0" t="s">
        <v>65</v>
      </c>
      <c r="C163" s="15" t="n">
        <f aca="false">C158/C161</f>
        <v>0.462</v>
      </c>
      <c r="D163" s="15" t="n">
        <f aca="false">D158/D161</f>
        <v>0.479</v>
      </c>
      <c r="E163" s="15" t="n">
        <f aca="false">E158/E161</f>
        <v>0.551236349721882</v>
      </c>
      <c r="F163" s="15" t="n">
        <f aca="false">F158/F161</f>
        <v>0.53272134169291</v>
      </c>
      <c r="G163" s="15" t="n">
        <f aca="false">G158/G161</f>
        <v>0.466805112986848</v>
      </c>
      <c r="H163" s="2"/>
    </row>
    <row r="164" customFormat="false" ht="17.15" hidden="false" customHeight="false" outlineLevel="0" collapsed="false">
      <c r="A164" s="1" t="s">
        <v>650</v>
      </c>
    </row>
    <row r="165" customFormat="false" ht="17.15" hidden="false" customHeight="false" outlineLevel="0" collapsed="false">
      <c r="A165" s="4" t="s">
        <v>615</v>
      </c>
      <c r="B165" s="0" t="s">
        <v>65</v>
      </c>
      <c r="C165" s="15" t="n">
        <f aca="false">a25_gp/a25_rev</f>
        <v>0.123943980789202</v>
      </c>
      <c r="D165" s="15" t="n">
        <f aca="false">a26_gp/a26_rev</f>
        <v>0.122378394590762</v>
      </c>
      <c r="E165" s="15" t="n">
        <f aca="false">GMLO_27</f>
        <v>0.118</v>
      </c>
      <c r="F165" s="15" t="n">
        <f aca="false">GMLO_28</f>
        <v>0.115</v>
      </c>
      <c r="G165" s="15" t="n">
        <f aca="false">GMLO_29</f>
        <v>0.113</v>
      </c>
      <c r="H165" s="2"/>
      <c r="K165" s="7" t="s">
        <v>651</v>
      </c>
    </row>
    <row r="166" customFormat="false" ht="15" hidden="false" customHeight="false" outlineLevel="0" collapsed="false">
      <c r="A166" s="4" t="s">
        <v>652</v>
      </c>
      <c r="B166" s="0" t="s">
        <v>32</v>
      </c>
      <c r="C166" s="19" t="n">
        <f aca="false">C161*C165</f>
        <v>0.423805</v>
      </c>
      <c r="D166" s="19" t="n">
        <f aca="false">D161*D165</f>
        <v>0.56797</v>
      </c>
      <c r="E166" s="19" t="n">
        <f aca="false">E161*E165</f>
        <v>0.718744363091138</v>
      </c>
      <c r="F166" s="19" t="n">
        <f aca="false">F161*F165</f>
        <v>0.710686624090833</v>
      </c>
      <c r="G166" s="19" t="n">
        <f aca="false">G161*G165</f>
        <v>0.642595994155863</v>
      </c>
      <c r="H166" s="2"/>
    </row>
    <row r="167" customFormat="false" ht="15" hidden="false" customHeight="false" outlineLevel="0" collapsed="false">
      <c r="A167" s="4" t="s">
        <v>653</v>
      </c>
      <c r="B167" s="0" t="s">
        <v>32</v>
      </c>
      <c r="C167" s="19" t="n">
        <f aca="false">a25_opx</f>
        <v>0.063093</v>
      </c>
      <c r="D167" s="19" t="n">
        <f aca="false">a26_opx</f>
        <v>0.0679069999999999</v>
      </c>
      <c r="E167" s="19" t="n">
        <f aca="false">D167*(1+MAX(0,phi*E162))</f>
        <v>0.0724372804277377</v>
      </c>
      <c r="F167" s="19" t="n">
        <f aca="false">E167*(1+MAX(0,phi*F162))</f>
        <v>0.0726628623450246</v>
      </c>
      <c r="G167" s="19" t="n">
        <f aca="false">F167*(1+MAX(0,phi*G162))</f>
        <v>0.0726628623450246</v>
      </c>
      <c r="H167" s="2"/>
    </row>
    <row r="168" customFormat="false" ht="15" hidden="false" customHeight="false" outlineLevel="0" collapsed="false">
      <c r="A168" s="4" t="s">
        <v>654</v>
      </c>
      <c r="B168" s="0" t="s">
        <v>32</v>
      </c>
      <c r="C168" s="14" t="n">
        <f aca="false">C167</f>
        <v>0.063093</v>
      </c>
      <c r="D168" s="14" t="n">
        <f aca="false">D167</f>
        <v>0.0679069999999999</v>
      </c>
      <c r="E168" s="14" t="n">
        <f aca="false">E167+0*E161</f>
        <v>0.0724372804277377</v>
      </c>
      <c r="F168" s="14" t="n">
        <f aca="false">F167+0*F161</f>
        <v>0.0726628623450246</v>
      </c>
      <c r="G168" s="14" t="n">
        <f aca="false">G167+0*G161</f>
        <v>0.0726628623450246</v>
      </c>
      <c r="H168" s="2"/>
    </row>
    <row r="169" customFormat="false" ht="15" hidden="false" customHeight="false" outlineLevel="0" collapsed="false">
      <c r="A169" s="4" t="s">
        <v>655</v>
      </c>
      <c r="B169" s="0" t="s">
        <v>32</v>
      </c>
      <c r="C169" s="19" t="n">
        <f aca="false">C166-C168</f>
        <v>0.360712</v>
      </c>
      <c r="D169" s="19" t="n">
        <f aca="false">D166-D168</f>
        <v>0.500063</v>
      </c>
      <c r="E169" s="19" t="n">
        <f aca="false">E166-E168</f>
        <v>0.6463070826634</v>
      </c>
      <c r="F169" s="19" t="n">
        <f aca="false">F166-F168</f>
        <v>0.638023761745809</v>
      </c>
      <c r="G169" s="19" t="n">
        <f aca="false">G166-G168</f>
        <v>0.569933131810838</v>
      </c>
      <c r="H169" s="2"/>
    </row>
    <row r="170" customFormat="false" ht="15" hidden="false" customHeight="false" outlineLevel="0" collapsed="false">
      <c r="A170" s="4" t="s">
        <v>616</v>
      </c>
      <c r="B170" s="0" t="s">
        <v>65</v>
      </c>
      <c r="C170" s="15" t="n">
        <f aca="false">C169/C161</f>
        <v>0.10549210414798</v>
      </c>
      <c r="D170" s="15" t="n">
        <f aca="false">D169/D161</f>
        <v>0.107746724535169</v>
      </c>
      <c r="E170" s="15" t="n">
        <f aca="false">E169/E161</f>
        <v>0.106107594953911</v>
      </c>
      <c r="F170" s="15" t="n">
        <f aca="false">F169/F161</f>
        <v>0.103242033990202</v>
      </c>
      <c r="G170" s="15" t="n">
        <f aca="false">G169/G161</f>
        <v>0.100222292825255</v>
      </c>
      <c r="H170" s="2"/>
    </row>
    <row r="171" customFormat="false" ht="15" hidden="false" customHeight="false" outlineLevel="0" collapsed="false">
      <c r="A171" s="4" t="s">
        <v>656</v>
      </c>
      <c r="B171" s="0" t="s">
        <v>32</v>
      </c>
      <c r="C171" s="14" t="n">
        <f aca="false">a25_oth</f>
        <v>0.030733</v>
      </c>
      <c r="D171" s="14" t="n">
        <f aca="false">a26_oth</f>
        <v>0.0354829999999999</v>
      </c>
      <c r="E171" s="14" t="n">
        <f aca="false">int_f</f>
        <v>0.03</v>
      </c>
      <c r="F171" s="14" t="n">
        <f aca="false">int_f</f>
        <v>0.03</v>
      </c>
      <c r="G171" s="14" t="n">
        <f aca="false">int_f</f>
        <v>0.03</v>
      </c>
      <c r="H171" s="2"/>
    </row>
    <row r="172" customFormat="false" ht="15" hidden="false" customHeight="false" outlineLevel="0" collapsed="false">
      <c r="A172" s="4" t="s">
        <v>657</v>
      </c>
      <c r="B172" s="0" t="s">
        <v>32</v>
      </c>
      <c r="C172" s="19" t="n">
        <f aca="false">C169+C171</f>
        <v>0.391445</v>
      </c>
      <c r="D172" s="19" t="n">
        <f aca="false">D169+D171</f>
        <v>0.535546</v>
      </c>
      <c r="E172" s="19" t="n">
        <f aca="false">E169+E171</f>
        <v>0.6763070826634</v>
      </c>
      <c r="F172" s="19" t="n">
        <f aca="false">F169+F171</f>
        <v>0.668023761745809</v>
      </c>
      <c r="G172" s="19" t="n">
        <f aca="false">G169+G171</f>
        <v>0.599933131810838</v>
      </c>
      <c r="H172" s="2"/>
    </row>
    <row r="173" customFormat="false" ht="15" hidden="false" customHeight="false" outlineLevel="0" collapsed="false">
      <c r="A173" s="4" t="s">
        <v>617</v>
      </c>
      <c r="B173" s="0" t="s">
        <v>32</v>
      </c>
      <c r="C173" s="19" t="n">
        <f aca="false">a25_ni</f>
        <v>0.368792</v>
      </c>
      <c r="D173" s="19" t="n">
        <f aca="false">a26_ni</f>
        <v>0.510907</v>
      </c>
      <c r="E173" s="19" t="n">
        <f aca="false">E172*(1-(tx))</f>
        <v>0.64249172853023</v>
      </c>
      <c r="F173" s="19" t="n">
        <f aca="false">F172*(1-(tx))</f>
        <v>0.634622573658518</v>
      </c>
      <c r="G173" s="19" t="n">
        <f aca="false">G172*(1-(tx))</f>
        <v>0.569936475220296</v>
      </c>
      <c r="H173" s="25" t="n">
        <f aca="false">H161*H174</f>
        <v>0.511110522478332</v>
      </c>
      <c r="I173" s="21" t="n">
        <f aca="false">I161*I174</f>
        <v>0.472454809534054</v>
      </c>
      <c r="J173" s="21" t="n">
        <f aca="false">J161*J174</f>
        <v>0.449392515917191</v>
      </c>
    </row>
    <row r="174" customFormat="false" ht="15" hidden="false" customHeight="false" outlineLevel="0" collapsed="false">
      <c r="A174" s="4" t="s">
        <v>658</v>
      </c>
      <c r="B174" s="0" t="s">
        <v>65</v>
      </c>
      <c r="C174" s="15" t="n">
        <f aca="false">C173/C161</f>
        <v>0.107855142254602</v>
      </c>
      <c r="D174" s="15" t="n">
        <f aca="false">D173/D161</f>
        <v>0.110083241095801</v>
      </c>
      <c r="E174" s="15" t="n">
        <f aca="false">E173/E161</f>
        <v>0.105481208423688</v>
      </c>
      <c r="F174" s="15" t="n">
        <f aca="false">F173/F161</f>
        <v>0.102691669572498</v>
      </c>
      <c r="G174" s="15" t="n">
        <f aca="false">G173/G161</f>
        <v>0.100222880761178</v>
      </c>
      <c r="H174" s="26" t="n">
        <f aca="false">$G174+(fade_mC-$G174)*1/3</f>
        <v>0.0942652538407851</v>
      </c>
      <c r="I174" s="22" t="n">
        <f aca="false">$G174+(fade_mC-$G174)*2/3</f>
        <v>0.0883076269203926</v>
      </c>
      <c r="J174" s="22" t="n">
        <f aca="false">$G174+(fade_mC-$G174)*3/3</f>
        <v>0.08235</v>
      </c>
    </row>
    <row r="175" customFormat="false" ht="15" hidden="false" customHeight="false" outlineLevel="0" collapsed="false">
      <c r="A175" s="4" t="s">
        <v>559</v>
      </c>
      <c r="B175" s="4" t="s">
        <v>307</v>
      </c>
      <c r="C175" s="16" t="n">
        <f aca="false">a25_sh</f>
        <v>0.036267</v>
      </c>
      <c r="D175" s="16" t="n">
        <f aca="false">a26_sh</f>
        <v>0.036252</v>
      </c>
      <c r="E175" s="16" t="n">
        <f aca="false">sh_q1*(1+sh_g)</f>
        <v>0.0363</v>
      </c>
      <c r="F175" s="16" t="n">
        <f aca="false">E175*(1+sh_g)</f>
        <v>0.0363</v>
      </c>
      <c r="G175" s="16" t="n">
        <f aca="false">F175*(1+sh_g)</f>
        <v>0.0363</v>
      </c>
      <c r="H175" s="27" t="n">
        <f aca="false">G175*(1+sh_g)</f>
        <v>0.0363</v>
      </c>
      <c r="I175" s="28" t="n">
        <f aca="false">H175*(1+sh_g)</f>
        <v>0.0363</v>
      </c>
      <c r="J175" s="28" t="n">
        <f aca="false">I175*(1+sh_g)</f>
        <v>0.0363</v>
      </c>
    </row>
    <row r="176" customFormat="false" ht="15" hidden="false" customHeight="false" outlineLevel="0" collapsed="false">
      <c r="A176" s="0" t="s">
        <v>618</v>
      </c>
      <c r="B176" s="0" t="s">
        <v>217</v>
      </c>
      <c r="C176" s="19" t="n">
        <f aca="false">C173/C175</f>
        <v>10.1688035955552</v>
      </c>
      <c r="D176" s="19" t="n">
        <f aca="false">D173/D175</f>
        <v>14.0932086505572</v>
      </c>
      <c r="E176" s="19" t="n">
        <f aca="false">E173/E175</f>
        <v>17.6994966537253</v>
      </c>
      <c r="F176" s="19" t="n">
        <f aca="false">F173/F175</f>
        <v>17.4827155277829</v>
      </c>
      <c r="G176" s="19" t="n">
        <f aca="false">G173/G175</f>
        <v>15.7007293449117</v>
      </c>
      <c r="H176" s="25" t="n">
        <f aca="false">H173/H175</f>
        <v>14.0801796825987</v>
      </c>
      <c r="I176" s="21" t="n">
        <f aca="false">I173/I175</f>
        <v>13.0152840092026</v>
      </c>
      <c r="J176" s="21" t="n">
        <f aca="false">J173/J175</f>
        <v>12.3799591161761</v>
      </c>
    </row>
    <row r="177" customFormat="false" ht="17.15" hidden="false" customHeight="false" outlineLevel="0" collapsed="false">
      <c r="A177" s="0" t="s">
        <v>659</v>
      </c>
      <c r="B177" s="0" t="s">
        <v>65</v>
      </c>
      <c r="D177" s="15" t="n">
        <f aca="false">D176/C176-1</f>
        <v>0.385925936923139</v>
      </c>
      <c r="E177" s="15" t="n">
        <f aca="false">E176/D176-1</f>
        <v>0.255888356767183</v>
      </c>
      <c r="F177" s="15" t="n">
        <f aca="false">F176/E176-1</f>
        <v>-0.0122478695402245</v>
      </c>
      <c r="G177" s="15" t="n">
        <f aca="false">G176/F176-1</f>
        <v>-0.101928454995408</v>
      </c>
      <c r="H177" s="26" t="n">
        <f aca="false">H176/G176-1</f>
        <v>-0.103214928855406</v>
      </c>
      <c r="I177" s="22" t="n">
        <f aca="false">I176/H176-1</f>
        <v>-0.0756308298190388</v>
      </c>
      <c r="J177" s="22" t="n">
        <f aca="false">J176/I176-1</f>
        <v>-0.0488137556258703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662</v>
      </c>
    </row>
    <row r="2" customFormat="false" ht="17.15" hidden="false" customHeight="false" outlineLevel="0" collapsed="false">
      <c r="A2" s="4" t="s">
        <v>663</v>
      </c>
    </row>
    <row r="4" customFormat="false" ht="17.15" hidden="false" customHeight="false" outlineLevel="0" collapsed="false">
      <c r="A4" s="1" t="s">
        <v>664</v>
      </c>
    </row>
    <row r="5" customFormat="false" ht="17.15" hidden="false" customHeight="false" outlineLevel="0" collapsed="false">
      <c r="A5" s="1" t="s">
        <v>665</v>
      </c>
    </row>
    <row r="6" customFormat="false" ht="17.15" hidden="false" customHeight="false" outlineLevel="0" collapsed="false">
      <c r="A6" s="5" t="s">
        <v>21</v>
      </c>
      <c r="B6" s="13" t="s">
        <v>666</v>
      </c>
      <c r="C6" s="13" t="s">
        <v>667</v>
      </c>
      <c r="D6" s="13" t="s">
        <v>668</v>
      </c>
      <c r="E6" s="5" t="s">
        <v>534</v>
      </c>
    </row>
    <row r="7" customFormat="false" ht="17.15" hidden="false" customHeight="false" outlineLevel="0" collapsed="false">
      <c r="A7" s="4" t="s">
        <v>669</v>
      </c>
      <c r="E7" s="0" t="s">
        <v>670</v>
      </c>
    </row>
    <row r="8" customFormat="false" ht="15" hidden="false" customHeight="false" outlineLevel="0" collapsed="false">
      <c r="A8" s="0" t="s">
        <v>671</v>
      </c>
      <c r="B8" s="8" t="n">
        <f aca="false">PL!E16</f>
        <v>20.8632871777998</v>
      </c>
      <c r="C8" s="8" t="n">
        <f aca="false">PL!E31</f>
        <v>19.2595189713354</v>
      </c>
      <c r="D8" s="8" t="n">
        <f aca="false">PL!E46</f>
        <v>17.6994966537253</v>
      </c>
    </row>
    <row r="9" customFormat="false" ht="15" hidden="false" customHeight="false" outlineLevel="0" collapsed="false">
      <c r="A9" s="0" t="s">
        <v>672</v>
      </c>
      <c r="B9" s="8" t="n">
        <f aca="false">PL!F16</f>
        <v>27.8125790430266</v>
      </c>
      <c r="C9" s="8" t="n">
        <f aca="false">PL!F31</f>
        <v>22.0353526626812</v>
      </c>
      <c r="D9" s="8" t="n">
        <f aca="false">PL!F46</f>
        <v>17.4827155277829</v>
      </c>
    </row>
    <row r="10" customFormat="false" ht="15" hidden="false" customHeight="false" outlineLevel="0" collapsed="false">
      <c r="A10" s="0" t="s">
        <v>673</v>
      </c>
      <c r="B10" s="8" t="n">
        <f aca="false">PL!G16</f>
        <v>35.3006415037799</v>
      </c>
      <c r="C10" s="8" t="n">
        <f aca="false">PL!G31</f>
        <v>23.9727861650569</v>
      </c>
      <c r="D10" s="8" t="n">
        <f aca="false">PL!G46</f>
        <v>15.7007293449117</v>
      </c>
    </row>
    <row r="11" customFormat="false" ht="15" hidden="false" customHeight="false" outlineLevel="0" collapsed="false">
      <c r="A11" s="0" t="s">
        <v>674</v>
      </c>
      <c r="B11" s="8" t="n">
        <f aca="false">PL!H16</f>
        <v>42.1566552981288</v>
      </c>
      <c r="C11" s="8" t="n">
        <f aca="false">PL!H31</f>
        <v>24.5419001706692</v>
      </c>
      <c r="D11" s="8" t="n">
        <f aca="false">PL!H46</f>
        <v>14.0801796825987</v>
      </c>
    </row>
    <row r="12" customFormat="false" ht="15" hidden="false" customHeight="false" outlineLevel="0" collapsed="false">
      <c r="A12" s="0" t="s">
        <v>675</v>
      </c>
      <c r="B12" s="8" t="n">
        <f aca="false">PL!I16</f>
        <v>47.5151418959961</v>
      </c>
      <c r="C12" s="8" t="n">
        <f aca="false">PL!I31</f>
        <v>24.7220047871826</v>
      </c>
      <c r="D12" s="8" t="n">
        <f aca="false">PL!I46</f>
        <v>13.0152840092026</v>
      </c>
    </row>
    <row r="13" customFormat="false" ht="15" hidden="false" customHeight="false" outlineLevel="0" collapsed="false">
      <c r="A13" s="0" t="s">
        <v>676</v>
      </c>
      <c r="B13" s="8" t="n">
        <f aca="false">PL!J16</f>
        <v>50.3660504097559</v>
      </c>
      <c r="C13" s="8" t="n">
        <f aca="false">PL!J31</f>
        <v>24.4946557081787</v>
      </c>
      <c r="D13" s="8" t="n">
        <f aca="false">PL!J46</f>
        <v>12.3799591161761</v>
      </c>
    </row>
    <row r="14" customFormat="false" ht="17.15" hidden="false" customHeight="false" outlineLevel="0" collapsed="false">
      <c r="A14" s="4" t="s">
        <v>677</v>
      </c>
    </row>
    <row r="15" customFormat="false" ht="17.15" hidden="false" customHeight="false" outlineLevel="0" collapsed="false">
      <c r="A15" s="4" t="s">
        <v>678</v>
      </c>
      <c r="B15" s="15" t="n">
        <f aca="false">IF(tp_roe&lt;=tp_g,0.8,MIN(tp_g/tp_roe,0.8))</f>
        <v>0.208363635606608</v>
      </c>
      <c r="E15" s="7" t="s">
        <v>679</v>
      </c>
    </row>
    <row r="16" customFormat="false" ht="15" hidden="false" customHeight="false" outlineLevel="0" collapsed="false">
      <c r="A16" s="0" t="s">
        <v>671</v>
      </c>
      <c r="B16" s="8" t="n">
        <f aca="false">B8*(1-$B$15)</f>
        <v>16.5161368107287</v>
      </c>
      <c r="C16" s="8" t="n">
        <f aca="false">C8*(1-$B$15)</f>
        <v>15.2465355784335</v>
      </c>
      <c r="D16" s="8" t="n">
        <f aca="false">D8*(1-$B$15)</f>
        <v>14.0115651825481</v>
      </c>
    </row>
    <row r="17" customFormat="false" ht="15" hidden="false" customHeight="false" outlineLevel="0" collapsed="false">
      <c r="A17" s="0" t="s">
        <v>672</v>
      </c>
      <c r="B17" s="8" t="n">
        <f aca="false">B9*(1-$B$15)</f>
        <v>22.0174489580255</v>
      </c>
      <c r="C17" s="8" t="n">
        <f aca="false">C9*(1-$B$15)</f>
        <v>17.4439864700112</v>
      </c>
      <c r="D17" s="8" t="n">
        <f aca="false">D9*(1-$B$15)</f>
        <v>13.8399533601379</v>
      </c>
    </row>
    <row r="18" customFormat="false" ht="15" hidden="false" customHeight="false" outlineLevel="0" collapsed="false">
      <c r="A18" s="0" t="s">
        <v>673</v>
      </c>
      <c r="B18" s="8" t="n">
        <f aca="false">B10*(1-$B$15)</f>
        <v>27.9452715008068</v>
      </c>
      <c r="C18" s="8" t="n">
        <f aca="false">C10*(1-$B$15)</f>
        <v>18.9777292840859</v>
      </c>
      <c r="D18" s="8" t="n">
        <f aca="false">D10*(1-$B$15)</f>
        <v>12.4292682969306</v>
      </c>
    </row>
    <row r="19" customFormat="false" ht="15" hidden="false" customHeight="false" outlineLevel="0" collapsed="false">
      <c r="A19" s="0" t="s">
        <v>674</v>
      </c>
      <c r="B19" s="8" t="n">
        <f aca="false">B11*(1-$B$15)</f>
        <v>33.3727413351962</v>
      </c>
      <c r="C19" s="8" t="n">
        <f aca="false">C11*(1-$B$15)</f>
        <v>19.4282606264141</v>
      </c>
      <c r="D19" s="8" t="n">
        <f aca="false">D11*(1-$B$15)</f>
        <v>11.1463822539381</v>
      </c>
    </row>
    <row r="20" customFormat="false" ht="15" hidden="false" customHeight="false" outlineLevel="0" collapsed="false">
      <c r="A20" s="0" t="s">
        <v>675</v>
      </c>
      <c r="B20" s="8" t="n">
        <f aca="false">B12*(1-$B$15)</f>
        <v>37.6147141841825</v>
      </c>
      <c r="C20" s="8" t="n">
        <f aca="false">C12*(1-$B$15)</f>
        <v>19.5708379902412</v>
      </c>
      <c r="D20" s="8" t="n">
        <f aca="false">D12*(1-$B$15)</f>
        <v>10.3033721145926</v>
      </c>
    </row>
    <row r="21" customFormat="false" ht="15" hidden="false" customHeight="false" outlineLevel="0" collapsed="false">
      <c r="A21" s="0" t="s">
        <v>676</v>
      </c>
      <c r="B21" s="8" t="n">
        <f aca="false">B13*(1-$B$15)</f>
        <v>39.8715970352335</v>
      </c>
      <c r="C21" s="8" t="n">
        <f aca="false">C13*(1-$B$15)</f>
        <v>19.3908601918905</v>
      </c>
      <c r="D21" s="8" t="n">
        <f aca="false">D13*(1-$B$15)</f>
        <v>9.80042582606846</v>
      </c>
    </row>
    <row r="22" customFormat="false" ht="17.15" hidden="false" customHeight="false" outlineLevel="0" collapsed="false">
      <c r="A22" s="0" t="s">
        <v>680</v>
      </c>
      <c r="B22" s="19" t="n">
        <f aca="false">MAX(0,SUMPRODUCT(B16:B21,1/(1+tp_r)^{1;2;3;4;5;6})+B21*(1+tp_g)/(tp_r-tp_g)/(1+tp_r)^6)</f>
        <v>512.975160595393</v>
      </c>
      <c r="C22" s="19" t="n">
        <f aca="false">MAX(0,SUMPRODUCT(C16:C21,1/(1+tp_r)^{1;2;3;4;5;6})+C21*(1+tp_g)/(tp_r-tp_g)/(1+tp_r)^6)</f>
        <v>268.626943665786</v>
      </c>
      <c r="D22" s="19" t="n">
        <f aca="false">MAX(0,SUMPRODUCT(D16:D21,1/(1+tp_r)^{1;2;3;4;5;6})+D21*(1+tp_g)/(tp_r-tp_g)/(1+tp_r)^6)</f>
        <v>148.946326426906</v>
      </c>
      <c r="E22" s="7" t="s">
        <v>681</v>
      </c>
    </row>
    <row r="23" customFormat="false" ht="17.15" hidden="false" customHeight="false" outlineLevel="0" collapsed="false">
      <c r="A23" s="0" t="s">
        <v>682</v>
      </c>
      <c r="B23" s="19" t="n">
        <f aca="false">B22*(1+tp_r)</f>
        <v>564.272676654932</v>
      </c>
      <c r="C23" s="19" t="n">
        <f aca="false">C22*(1+tp_r)</f>
        <v>295.489638032364</v>
      </c>
      <c r="D23" s="19" t="n">
        <f aca="false">D22*(1+tp_r)</f>
        <v>163.840959069597</v>
      </c>
    </row>
    <row r="24" customFormat="false" ht="17.15" hidden="false" customHeight="false" outlineLevel="0" collapsed="false">
      <c r="A24" s="0" t="s">
        <v>683</v>
      </c>
      <c r="B24" s="29" t="n">
        <f aca="false">tp_wA*B23+tp_wB*C23+tp_wC*D23</f>
        <v>349.794813826581</v>
      </c>
      <c r="E24" s="7" t="s">
        <v>684</v>
      </c>
    </row>
    <row r="26" customFormat="false" ht="17.15" hidden="false" customHeight="false" outlineLevel="0" collapsed="false">
      <c r="A26" s="1" t="s">
        <v>685</v>
      </c>
    </row>
    <row r="27" customFormat="false" ht="17.15" hidden="false" customHeight="false" outlineLevel="0" collapsed="false">
      <c r="A27" s="5" t="s">
        <v>686</v>
      </c>
      <c r="B27" s="5" t="s">
        <v>687</v>
      </c>
      <c r="C27" s="5" t="s">
        <v>688</v>
      </c>
      <c r="D27" s="5" t="s">
        <v>689</v>
      </c>
      <c r="E27" s="5" t="s">
        <v>690</v>
      </c>
      <c r="F27" s="5" t="s">
        <v>26</v>
      </c>
    </row>
    <row r="28" customFormat="false" ht="17.15" hidden="false" customHeight="false" outlineLevel="0" collapsed="false">
      <c r="A28" s="0" t="s">
        <v>691</v>
      </c>
      <c r="B28" s="0" t="s">
        <v>692</v>
      </c>
      <c r="C28" s="30" t="n">
        <v>22.3</v>
      </c>
      <c r="D28" s="7" t="s">
        <v>693</v>
      </c>
      <c r="E28" s="7" t="s">
        <v>694</v>
      </c>
      <c r="F28" s="7" t="s">
        <v>144</v>
      </c>
    </row>
    <row r="29" customFormat="false" ht="17.15" hidden="false" customHeight="false" outlineLevel="0" collapsed="false">
      <c r="A29" s="0" t="s">
        <v>695</v>
      </c>
      <c r="B29" s="0" t="s">
        <v>696</v>
      </c>
      <c r="C29" s="30" t="n">
        <v>34.71</v>
      </c>
      <c r="D29" s="7" t="s">
        <v>693</v>
      </c>
      <c r="E29" s="7" t="s">
        <v>694</v>
      </c>
      <c r="F29" s="7" t="s">
        <v>144</v>
      </c>
    </row>
    <row r="30" customFormat="false" ht="17.15" hidden="false" customHeight="false" outlineLevel="0" collapsed="false">
      <c r="A30" s="0" t="s">
        <v>697</v>
      </c>
      <c r="B30" s="0" t="s">
        <v>698</v>
      </c>
      <c r="C30" s="30" t="n">
        <v>15.49</v>
      </c>
      <c r="D30" s="7" t="s">
        <v>693</v>
      </c>
      <c r="E30" s="7" t="s">
        <v>694</v>
      </c>
      <c r="F30" s="7" t="s">
        <v>144</v>
      </c>
    </row>
    <row r="31" customFormat="false" ht="17.15" hidden="false" customHeight="false" outlineLevel="0" collapsed="false">
      <c r="A31" s="0" t="s">
        <v>699</v>
      </c>
      <c r="B31" s="0" t="s">
        <v>700</v>
      </c>
      <c r="C31" s="30" t="n">
        <v>16.65</v>
      </c>
      <c r="D31" s="7" t="s">
        <v>693</v>
      </c>
      <c r="E31" s="7" t="s">
        <v>694</v>
      </c>
      <c r="F31" s="7" t="s">
        <v>144</v>
      </c>
    </row>
    <row r="32" customFormat="false" ht="17.15" hidden="false" customHeight="false" outlineLevel="0" collapsed="false">
      <c r="A32" s="0" t="s">
        <v>701</v>
      </c>
      <c r="B32" s="0" t="s">
        <v>702</v>
      </c>
      <c r="C32" s="30" t="n">
        <v>14.74</v>
      </c>
      <c r="D32" s="7" t="s">
        <v>693</v>
      </c>
      <c r="E32" s="7" t="s">
        <v>694</v>
      </c>
      <c r="F32" s="7" t="s">
        <v>144</v>
      </c>
    </row>
    <row r="33" customFormat="false" ht="17.15" hidden="false" customHeight="false" outlineLevel="0" collapsed="false">
      <c r="A33" s="4" t="s">
        <v>703</v>
      </c>
      <c r="B33" s="31" t="n">
        <f aca="false">MEDIAN(C28:C32)</f>
        <v>16.65</v>
      </c>
      <c r="E33" s="4" t="s">
        <v>704</v>
      </c>
    </row>
    <row r="34" customFormat="false" ht="17.15" hidden="false" customHeight="false" outlineLevel="0" collapsed="false">
      <c r="A34" s="0" t="s">
        <v>705</v>
      </c>
      <c r="B34" s="8" t="n">
        <f aca="false">tp_wA*(8/12*B9+4/12*B10)+tp_wB*(8/12*C9+4/12*C10)+tp_wC*(8/12*D9+4/12*D10)</f>
        <v>23.8109059007517</v>
      </c>
      <c r="E34" s="4" t="s">
        <v>706</v>
      </c>
    </row>
    <row r="35" customFormat="false" ht="17.15" hidden="false" customHeight="false" outlineLevel="0" collapsed="false">
      <c r="A35" s="0" t="s">
        <v>707</v>
      </c>
      <c r="B35" s="29" t="n">
        <f aca="false">B33*B34</f>
        <v>396.451583247516</v>
      </c>
      <c r="E35" s="4" t="s">
        <v>708</v>
      </c>
    </row>
    <row r="37" customFormat="false" ht="17.15" hidden="false" customHeight="false" outlineLevel="0" collapsed="false">
      <c r="A37" s="1" t="s">
        <v>709</v>
      </c>
    </row>
    <row r="38" customFormat="false" ht="15" hidden="false" customHeight="false" outlineLevel="0" collapsed="false">
      <c r="A38" s="5" t="s">
        <v>21</v>
      </c>
      <c r="B38" s="5" t="s">
        <v>710</v>
      </c>
      <c r="C38" s="13"/>
      <c r="D38" s="13"/>
      <c r="E38" s="5" t="s">
        <v>534</v>
      </c>
    </row>
    <row r="39" customFormat="false" ht="17.15" hidden="false" customHeight="false" outlineLevel="0" collapsed="false">
      <c r="A39" s="4" t="s">
        <v>711</v>
      </c>
      <c r="B39" s="29" t="n">
        <f aca="false">tp_w_dcf*B24+(1-tp_w_dcf)*B35</f>
        <v>373.123198537049</v>
      </c>
      <c r="E39" s="7" t="s">
        <v>712</v>
      </c>
    </row>
    <row r="40" customFormat="false" ht="17.15" hidden="false" customHeight="false" outlineLevel="0" collapsed="false">
      <c r="A40" s="0" t="s">
        <v>713</v>
      </c>
      <c r="B40" s="19" t="n">
        <f aca="false">B35</f>
        <v>396.451583247516</v>
      </c>
    </row>
    <row r="41" customFormat="false" ht="17.15" hidden="false" customHeight="false" outlineLevel="0" collapsed="false">
      <c r="A41" s="4" t="s">
        <v>714</v>
      </c>
      <c r="B41" s="19" t="n">
        <f aca="false">cons_tp</f>
        <v>687.78</v>
      </c>
      <c r="E41" s="7" t="s">
        <v>715</v>
      </c>
    </row>
    <row r="42" customFormat="false" ht="17.15" hidden="false" customHeight="false" outlineLevel="0" collapsed="false">
      <c r="A42" s="4" t="s">
        <v>716</v>
      </c>
      <c r="B42" s="15" t="n">
        <f aca="false">B39/px-1</f>
        <v>0.184743756071152</v>
      </c>
      <c r="E42" s="4" t="s">
        <v>717</v>
      </c>
    </row>
    <row r="43" customFormat="false" ht="17.15" hidden="false" customHeight="false" outlineLevel="0" collapsed="false">
      <c r="A43" s="4" t="s">
        <v>718</v>
      </c>
      <c r="B43" s="15" t="n">
        <f aca="false">B40/px-1</f>
        <v>0.258816229273881</v>
      </c>
    </row>
    <row r="44" customFormat="false" ht="17.15" hidden="false" customHeight="false" outlineLevel="0" collapsed="false">
      <c r="A44" s="4" t="s">
        <v>719</v>
      </c>
      <c r="B44" s="15" t="n">
        <f aca="false">B34/cons_feps-1</f>
        <v>0.119459609814373</v>
      </c>
      <c r="E44" s="4" t="s">
        <v>720</v>
      </c>
    </row>
    <row r="45" customFormat="false" ht="17.15" hidden="false" customHeight="false" outlineLevel="0" collapsed="false">
      <c r="A45" s="4" t="s">
        <v>721</v>
      </c>
      <c r="B45" s="15" t="n">
        <f aca="false">(cons_tp/cons_feps)/B33-1</f>
        <v>0.942083126850405</v>
      </c>
      <c r="E45" s="0" t="str">
        <f aca="false">"共識目標價隱含 "&amp;TEXT(cons_tp/cons_feps,"0.0")&amp;"x，同業中位數 "&amp;TEXT(B33,"0.0")&amp;"x"</f>
        <v>共識目標價隱含 32.3x，同業中位數 16.7x</v>
      </c>
    </row>
    <row r="46" customFormat="false" ht="17.15" hidden="false" customHeight="false" outlineLevel="0" collapsed="false">
      <c r="A46" s="4" t="s">
        <v>722</v>
      </c>
      <c r="B46" s="32" t="str">
        <f aca="false">TEXT(D23,"#,##0.00")&amp;"～"&amp;TEXT(B23,"#,##0.00")</f>
        <v>163.84～564.27</v>
      </c>
      <c r="E46" s="7" t="s">
        <v>723</v>
      </c>
    </row>
    <row r="47" customFormat="false" ht="17.15" hidden="false" customHeight="false" outlineLevel="0" collapsed="false">
      <c r="A47" s="4" t="s">
        <v>724</v>
      </c>
      <c r="B47" s="17" t="n">
        <f aca="false">IF(px/B9&gt;MAX($B$102:$C$111),1,IF(px/B9&lt;MIN($B$102:$C$111),0,PERCENTRANK($B$102:$C$111,px/B9)))</f>
        <v>0</v>
      </c>
      <c r="C47" s="17" t="n">
        <f aca="false">IF(px/C9&gt;MAX($B$102:$C$111),1,IF(px/C9&lt;MIN($B$102:$C$111),0,PERCENTRANK($B$102:$C$111,px/C9)))</f>
        <v>0.0881</v>
      </c>
      <c r="D47" s="17" t="n">
        <f aca="false">IF(px/D9&gt;MAX($B$102:$C$111),1,IF(px/D9&lt;MIN($B$102:$C$111),0,PERCENTRANK($B$102:$C$111,px/D9)))</f>
        <v>0.222</v>
      </c>
      <c r="E47" s="4" t="s">
        <v>725</v>
      </c>
    </row>
    <row r="48" customFormat="false" ht="17.15" hidden="false" customHeight="false" outlineLevel="0" collapsed="false">
      <c r="A48" s="4" t="s">
        <v>726</v>
      </c>
      <c r="B48" s="0" t="s">
        <v>727</v>
      </c>
    </row>
    <row r="49" customFormat="false" ht="17.15" hidden="false" customHeight="false" outlineLevel="0" collapsed="false">
      <c r="A49" s="4" t="s">
        <v>728</v>
      </c>
      <c r="B49" s="32" t="str">
        <f aca="false">IF(B42&gt;0.5,"大於 50%",IF(B42&gt;0.25,"25%–50%",IF(B42&gt;=0,"0%–25%",IF(B42&gt;=-0.25,"0%～−25%",IF(B42&gt;=-0.5,"−25%～−50%","小於 −50%")))))</f>
        <v>0%–25%</v>
      </c>
      <c r="E49" s="4" t="s">
        <v>729</v>
      </c>
    </row>
    <row r="50" customFormat="false" ht="17.15" hidden="false" customHeight="false" outlineLevel="0" collapsed="false">
      <c r="A50" s="4" t="s">
        <v>730</v>
      </c>
      <c r="B50" s="32" t="str">
        <f aca="false">IF(B42&gt;0.5,"強力買進",IF(B42&gt;0.25,"買進",IF(B42&gt;=-0.25,"中立",IF(B42&gt;=-0.5,"放空","強力放空"))))</f>
        <v>中立</v>
      </c>
      <c r="E50" s="4" t="s">
        <v>731</v>
      </c>
    </row>
    <row r="51" customFormat="false" ht="15" hidden="false" customHeight="false" outlineLevel="0" collapsed="false">
      <c r="A51" s="3" t="s">
        <v>732</v>
      </c>
    </row>
    <row r="52" customFormat="false" ht="15" hidden="false" customHeight="false" outlineLevel="0" collapsed="false">
      <c r="A52" s="5" t="s">
        <v>21</v>
      </c>
      <c r="B52" s="5" t="s">
        <v>710</v>
      </c>
      <c r="C52" s="13"/>
      <c r="D52" s="13"/>
      <c r="E52" s="5" t="s">
        <v>534</v>
      </c>
    </row>
    <row r="53" customFormat="false" ht="17.15" hidden="false" customHeight="false" outlineLevel="0" collapsed="false">
      <c r="A53" s="10" t="s">
        <v>733</v>
      </c>
      <c r="B53" s="33" t="n">
        <f aca="false">tp_wA*D81+tp_wB*D82+tp_wC*D83</f>
        <v>408.001544364806</v>
      </c>
      <c r="E53" s="4" t="s">
        <v>734</v>
      </c>
    </row>
    <row r="54" customFormat="false" ht="17.15" hidden="false" customHeight="false" outlineLevel="0" collapsed="false">
      <c r="A54" s="4" t="s">
        <v>735</v>
      </c>
      <c r="B54" s="15" t="n">
        <f aca="false">B53/px-1</f>
        <v>0.295489757937405</v>
      </c>
      <c r="E54" s="4" t="s">
        <v>736</v>
      </c>
    </row>
    <row r="55" customFormat="false" ht="17.15" hidden="false" customHeight="false" outlineLevel="0" collapsed="false">
      <c r="A55" s="4" t="s">
        <v>737</v>
      </c>
      <c r="B55" s="34" t="n">
        <f aca="false">D81</f>
        <v>438.129030733795</v>
      </c>
      <c r="E55" s="0" t="str">
        <f aca="false">"FY2027 EPS "&amp;TEXT(B81,"0.00")&amp;" × "&amp;C75&amp;" 判定倍數 "&amp;TEXT(C81,"0.0")&amp;"x"</f>
        <v>FY2027 EPS 20.86 × 中段 判定倍數 21.0x</v>
      </c>
    </row>
    <row r="56" customFormat="false" ht="17.15" hidden="false" customHeight="false" outlineLevel="0" collapsed="false">
      <c r="A56" s="4" t="s">
        <v>738</v>
      </c>
      <c r="B56" s="34" t="n">
        <f aca="false">D82</f>
        <v>404.449898398043</v>
      </c>
      <c r="E56" s="0" t="str">
        <f aca="false">"FY2027 EPS "&amp;TEXT(B82,"0.00")&amp;" × "&amp;C76&amp;" 判定倍數 "&amp;TEXT(C82,"0.0")&amp;"x"</f>
        <v>FY2027 EPS 19.26 × 中段 判定倍數 21.0x</v>
      </c>
    </row>
    <row r="57" customFormat="false" ht="17.15" hidden="false" customHeight="false" outlineLevel="0" collapsed="false">
      <c r="A57" s="4" t="s">
        <v>739</v>
      </c>
      <c r="B57" s="34" t="n">
        <f aca="false">D83</f>
        <v>371.689429728232</v>
      </c>
      <c r="E57" s="0" t="str">
        <f aca="false">"FY2027 EPS "&amp;TEXT(B83,"0.00")&amp;" × "&amp;C77&amp;" 判定倍數 "&amp;TEXT(C83,"0.0")&amp;"x"</f>
        <v>FY2027 EPS 17.70 × 中段 判定倍數 21.0x</v>
      </c>
    </row>
    <row r="58" customFormat="false" ht="17.15" hidden="false" customHeight="false" outlineLevel="0" collapsed="false">
      <c r="A58" s="4" t="s">
        <v>740</v>
      </c>
      <c r="B58" s="17" t="n">
        <f aca="false">tp_wA</f>
        <v>0.3</v>
      </c>
      <c r="C58" s="17" t="n">
        <f aca="false">tp_wB</f>
        <v>0.5</v>
      </c>
      <c r="D58" s="17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741</v>
      </c>
      <c r="B59" s="0" t="s">
        <v>742</v>
      </c>
    </row>
    <row r="62" customFormat="false" ht="17.15" hidden="false" customHeight="false" outlineLevel="0" collapsed="false">
      <c r="A62" s="1" t="s">
        <v>743</v>
      </c>
    </row>
    <row r="63" customFormat="false" ht="15" hidden="false" customHeight="false" outlineLevel="0" collapsed="false">
      <c r="A63" s="5" t="s">
        <v>21</v>
      </c>
      <c r="B63" s="13" t="s">
        <v>744</v>
      </c>
      <c r="C63" s="13" t="s">
        <v>745</v>
      </c>
      <c r="D63" s="13" t="s">
        <v>746</v>
      </c>
      <c r="E63" s="5" t="s">
        <v>534</v>
      </c>
    </row>
    <row r="64" customFormat="false" ht="17.15" hidden="false" customHeight="false" outlineLevel="0" collapsed="false">
      <c r="A64" s="4" t="s">
        <v>747</v>
      </c>
      <c r="B64" s="8" t="n">
        <f aca="false">px</f>
        <v>314.94</v>
      </c>
    </row>
    <row r="65" customFormat="false" ht="17.15" hidden="false" customHeight="false" outlineLevel="0" collapsed="false">
      <c r="A65" s="4" t="s">
        <v>748</v>
      </c>
      <c r="B65" s="31" t="n">
        <f aca="false">px/PL!D16</f>
        <v>22.3469337472378</v>
      </c>
      <c r="C65" s="31" t="n">
        <f aca="false">px/PL!D31</f>
        <v>22.3469337472378</v>
      </c>
      <c r="D65" s="31" t="n">
        <f aca="false">px/PL!D46</f>
        <v>22.3469337472378</v>
      </c>
    </row>
    <row r="66" customFormat="false" ht="17.15" hidden="false" customHeight="false" outlineLevel="0" collapsed="false">
      <c r="A66" s="4" t="s">
        <v>749</v>
      </c>
      <c r="B66" s="31" t="n">
        <f aca="false">px/PL!E16</f>
        <v>15.0954160442714</v>
      </c>
      <c r="C66" s="31" t="n">
        <f aca="false">px/PL!E31</f>
        <v>16.352433332771</v>
      </c>
      <c r="D66" s="31" t="n">
        <f aca="false">px/PL!E46</f>
        <v>17.7937263506142</v>
      </c>
      <c r="E66" s="7" t="s">
        <v>750</v>
      </c>
    </row>
    <row r="67" customFormat="false" ht="17.15" hidden="false" customHeight="false" outlineLevel="0" collapsed="false">
      <c r="A67" s="4" t="s">
        <v>751</v>
      </c>
      <c r="B67" s="31" t="n">
        <f aca="false">px/PL!F16</f>
        <v>11.3236532114761</v>
      </c>
      <c r="C67" s="31" t="n">
        <f aca="false">px/PL!F31</f>
        <v>14.2924873870241</v>
      </c>
      <c r="D67" s="31" t="n">
        <f aca="false">px/PL!F46</f>
        <v>18.0143639298774</v>
      </c>
    </row>
    <row r="68" customFormat="false" ht="17.15" hidden="false" customHeight="false" outlineLevel="0" collapsed="false">
      <c r="A68" s="4" t="s">
        <v>752</v>
      </c>
      <c r="B68" s="31" t="n">
        <f aca="false">px/PL!G16</f>
        <v>8.92165089878826</v>
      </c>
      <c r="C68" s="31" t="n">
        <f aca="false">px/PL!G31</f>
        <v>13.1373966226363</v>
      </c>
      <c r="D68" s="31" t="n">
        <f aca="false">px/PL!G46</f>
        <v>20.0589407715677</v>
      </c>
    </row>
    <row r="69" customFormat="false" ht="17.15" hidden="false" customHeight="false" outlineLevel="0" collapsed="false">
      <c r="A69" s="4" t="s">
        <v>753</v>
      </c>
      <c r="B69" s="31" t="n">
        <f aca="false">px/(cons_eps27*9/12+cons_eps28*3/12)</f>
        <v>16.5845181674566</v>
      </c>
    </row>
    <row r="70" customFormat="false" ht="17.15" hidden="false" customHeight="false" outlineLevel="0" collapsed="false">
      <c r="A70" s="4" t="s">
        <v>754</v>
      </c>
      <c r="B70" s="17" t="n">
        <f aca="false">px/px_hi-1</f>
        <v>-0.579457597243921</v>
      </c>
    </row>
    <row r="71" customFormat="false" ht="17.15" hidden="false" customHeight="false" outlineLevel="0" collapsed="false">
      <c r="A71" s="4" t="s">
        <v>755</v>
      </c>
      <c r="B71" s="31" t="n">
        <f aca="false">px/(q1_eps*4)</f>
        <v>18.8586826347305</v>
      </c>
      <c r="E71" s="7" t="s">
        <v>756</v>
      </c>
    </row>
    <row r="73" customFormat="false" ht="17.15" hidden="false" customHeight="false" outlineLevel="0" collapsed="false">
      <c r="A73" s="1" t="s">
        <v>757</v>
      </c>
    </row>
    <row r="74" customFormat="false" ht="17.15" hidden="false" customHeight="false" outlineLevel="0" collapsed="false">
      <c r="A74" s="5" t="s">
        <v>758</v>
      </c>
      <c r="B74" s="5" t="s">
        <v>759</v>
      </c>
      <c r="C74" s="13" t="s">
        <v>760</v>
      </c>
      <c r="D74" s="5" t="s">
        <v>761</v>
      </c>
      <c r="E74" s="5" t="s">
        <v>762</v>
      </c>
      <c r="F74" s="5" t="s">
        <v>534</v>
      </c>
    </row>
    <row r="75" customFormat="false" ht="17.15" hidden="false" customHeight="false" outlineLevel="0" collapsed="false">
      <c r="A75" s="0" t="s">
        <v>744</v>
      </c>
      <c r="B75" s="0" t="n">
        <f aca="false">INDEX({2026,2027,2028,2029},MATCH(MAX(PL!D81:G81),PL!D81:G81,0))</f>
        <v>2029</v>
      </c>
      <c r="C75" s="0" t="str">
        <f aca="false">IF(B75=2029,"中段",IF(2027&lt;B75,"中段",IF(2027=B75,"見頂","谷底")))</f>
        <v>中段</v>
      </c>
      <c r="D75" s="31" t="n">
        <f aca="false">IF(C75="見頂",pe_peak,IF(C75="谷底",pe_trough,pe_mid))</f>
        <v>21</v>
      </c>
      <c r="E75" s="0" t="str">
        <f aca="false">IF(B75=2029,"是：營收到觀測期末仍在增加","否")</f>
        <v>是：營收到觀測期末仍在增加</v>
      </c>
      <c r="F75" s="7" t="s">
        <v>763</v>
      </c>
    </row>
    <row r="76" customFormat="false" ht="15" hidden="false" customHeight="false" outlineLevel="0" collapsed="false">
      <c r="A76" s="0" t="s">
        <v>745</v>
      </c>
      <c r="B76" s="0" t="n">
        <f aca="false">INDEX({2026,2027,2028,2029},MATCH(MAX(PL!D121:G121),PL!D121:G121,0))</f>
        <v>2029</v>
      </c>
      <c r="C76" s="0" t="str">
        <f aca="false">IF(B76=2029,"中段",IF(2027&lt;B76,"中段",IF(2027=B76,"見頂","谷底")))</f>
        <v>中段</v>
      </c>
      <c r="D76" s="31" t="n">
        <f aca="false">IF(C76="見頂",pe_peak,IF(C76="谷底",pe_trough,pe_mid))</f>
        <v>21</v>
      </c>
      <c r="E76" s="0" t="str">
        <f aca="false">IF(B76=2029,"是：營收到觀測期末仍在增加","否")</f>
        <v>是：營收到觀測期末仍在增加</v>
      </c>
      <c r="F76" s="4" t="s">
        <v>38</v>
      </c>
    </row>
    <row r="77" customFormat="false" ht="15" hidden="false" customHeight="false" outlineLevel="0" collapsed="false">
      <c r="A77" s="0" t="s">
        <v>746</v>
      </c>
      <c r="B77" s="0" t="n">
        <f aca="false">INDEX({2026,2027,2028,2029},MATCH(MAX(PL!D161:G161),PL!D161:G161,0))</f>
        <v>2028</v>
      </c>
      <c r="C77" s="0" t="str">
        <f aca="false">IF(B77=2029,"中段",IF(2027&lt;B77,"中段",IF(2027=B77,"見頂","谷底")))</f>
        <v>中段</v>
      </c>
      <c r="D77" s="31" t="n">
        <f aca="false">IF(C77="見頂",pe_peak,IF(C77="谷底",pe_trough,pe_mid))</f>
        <v>21</v>
      </c>
      <c r="E77" s="0" t="str">
        <f aca="false">IF(B77=2029,"是：營收到觀測期末仍在增加","否")</f>
        <v>否</v>
      </c>
      <c r="F77" s="4" t="s">
        <v>38</v>
      </c>
    </row>
    <row r="79" customFormat="false" ht="17.15" hidden="false" customHeight="false" outlineLevel="0" collapsed="false">
      <c r="A79" s="1" t="s">
        <v>764</v>
      </c>
    </row>
    <row r="80" customFormat="false" ht="17.15" hidden="false" customHeight="false" outlineLevel="0" collapsed="false">
      <c r="A80" s="5" t="s">
        <v>758</v>
      </c>
      <c r="B80" s="13" t="s">
        <v>765</v>
      </c>
      <c r="C80" s="5" t="s">
        <v>766</v>
      </c>
      <c r="D80" s="5" t="s">
        <v>767</v>
      </c>
      <c r="E80" s="5" t="s">
        <v>768</v>
      </c>
      <c r="F80" s="5" t="s">
        <v>769</v>
      </c>
    </row>
    <row r="81" customFormat="false" ht="15" hidden="false" customHeight="false" outlineLevel="0" collapsed="false">
      <c r="A81" s="9" t="s">
        <v>744</v>
      </c>
      <c r="B81" s="35" t="n">
        <f aca="false">PL!E16</f>
        <v>20.8632871777998</v>
      </c>
      <c r="C81" s="36" t="n">
        <f aca="false">D75</f>
        <v>21</v>
      </c>
      <c r="D81" s="33" t="n">
        <f aca="false">B81*C81</f>
        <v>438.129030733795</v>
      </c>
      <c r="E81" s="37" t="n">
        <f aca="false">D81/px-1</f>
        <v>0.391150792956738</v>
      </c>
      <c r="F81" s="36" t="n">
        <f aca="false">px/B81</f>
        <v>15.0954160442714</v>
      </c>
    </row>
    <row r="82" customFormat="false" ht="15" hidden="false" customHeight="false" outlineLevel="0" collapsed="false">
      <c r="A82" s="9" t="s">
        <v>745</v>
      </c>
      <c r="B82" s="35" t="n">
        <f aca="false">PL!E31</f>
        <v>19.2595189713354</v>
      </c>
      <c r="C82" s="36" t="n">
        <f aca="false">D76</f>
        <v>21</v>
      </c>
      <c r="D82" s="33" t="n">
        <f aca="false">B82*C82</f>
        <v>404.449898398043</v>
      </c>
      <c r="E82" s="37" t="n">
        <f aca="false">D82/px-1</f>
        <v>0.284212543335374</v>
      </c>
      <c r="F82" s="36" t="n">
        <f aca="false">px/B82</f>
        <v>16.352433332771</v>
      </c>
    </row>
    <row r="83" customFormat="false" ht="15" hidden="false" customHeight="false" outlineLevel="0" collapsed="false">
      <c r="A83" s="9" t="s">
        <v>746</v>
      </c>
      <c r="B83" s="35" t="n">
        <f aca="false">PL!E46</f>
        <v>17.6994966537253</v>
      </c>
      <c r="C83" s="36" t="n">
        <f aca="false">D77</f>
        <v>21</v>
      </c>
      <c r="D83" s="33" t="n">
        <f aca="false">B83*C83</f>
        <v>371.689429728232</v>
      </c>
      <c r="E83" s="37" t="n">
        <f aca="false">D83/px-1</f>
        <v>0.180191241913483</v>
      </c>
      <c r="F83" s="36" t="n">
        <f aca="false">px/B83</f>
        <v>17.7937263506142</v>
      </c>
    </row>
    <row r="85" customFormat="false" ht="17.15" hidden="false" customHeight="false" outlineLevel="0" collapsed="false">
      <c r="A85" s="1" t="s">
        <v>770</v>
      </c>
    </row>
    <row r="86" customFormat="false" ht="17.15" hidden="false" customHeight="false" outlineLevel="0" collapsed="false">
      <c r="A86" s="5" t="s">
        <v>771</v>
      </c>
      <c r="B86" s="5" t="s">
        <v>772</v>
      </c>
      <c r="C86" s="5" t="s">
        <v>773</v>
      </c>
      <c r="D86" s="5" t="s">
        <v>774</v>
      </c>
      <c r="E86" s="5" t="s">
        <v>775</v>
      </c>
      <c r="F86" s="5" t="s">
        <v>776</v>
      </c>
    </row>
    <row r="87" customFormat="false" ht="15" hidden="false" customHeight="false" outlineLevel="0" collapsed="false">
      <c r="A87" s="30" t="n">
        <v>10</v>
      </c>
      <c r="B87" s="8" t="n">
        <f aca="false">px/A87</f>
        <v>31.494</v>
      </c>
      <c r="C87" s="8" t="n">
        <f aca="false">PL!F31</f>
        <v>22.0353526626812</v>
      </c>
      <c r="D87" s="17" t="n">
        <f aca="false">B87/C87-1</f>
        <v>0.429248738702412</v>
      </c>
      <c r="E87" s="8" t="n">
        <f aca="false">PL!F46</f>
        <v>17.4827155277829</v>
      </c>
      <c r="F87" s="17" t="n">
        <f aca="false">B87/E87-1</f>
        <v>0.801436392987744</v>
      </c>
    </row>
    <row r="88" customFormat="false" ht="15" hidden="false" customHeight="false" outlineLevel="0" collapsed="false">
      <c r="A88" s="30" t="n">
        <v>15</v>
      </c>
      <c r="B88" s="8" t="n">
        <f aca="false">px/A88</f>
        <v>20.996</v>
      </c>
      <c r="C88" s="8" t="n">
        <f aca="false">PL!F31</f>
        <v>22.0353526626812</v>
      </c>
      <c r="D88" s="17" t="n">
        <f aca="false">B88/C88-1</f>
        <v>-0.0471675075317257</v>
      </c>
      <c r="E88" s="8" t="n">
        <f aca="false">PL!F46</f>
        <v>17.4827155277829</v>
      </c>
      <c r="F88" s="17" t="n">
        <f aca="false">B88/E88-1</f>
        <v>0.200957595325162</v>
      </c>
    </row>
    <row r="89" customFormat="false" ht="15" hidden="false" customHeight="false" outlineLevel="0" collapsed="false">
      <c r="A89" s="30" t="n">
        <v>20</v>
      </c>
      <c r="B89" s="8" t="n">
        <f aca="false">px/A89</f>
        <v>15.747</v>
      </c>
      <c r="C89" s="8" t="n">
        <f aca="false">PL!F31</f>
        <v>22.0353526626812</v>
      </c>
      <c r="D89" s="17" t="n">
        <f aca="false">B89/C89-1</f>
        <v>-0.285375630648794</v>
      </c>
      <c r="E89" s="8" t="n">
        <f aca="false">PL!F46</f>
        <v>17.4827155277829</v>
      </c>
      <c r="F89" s="17" t="n">
        <f aca="false">B89/E89-1</f>
        <v>-0.0992818035061283</v>
      </c>
    </row>
    <row r="90" customFormat="false" ht="15" hidden="false" customHeight="false" outlineLevel="0" collapsed="false">
      <c r="A90" s="31" t="n">
        <f aca="false">pe_peak</f>
        <v>18.51</v>
      </c>
      <c r="B90" s="8" t="n">
        <f aca="false">px/A90</f>
        <v>17.0145867098865</v>
      </c>
      <c r="C90" s="8" t="n">
        <f aca="false">PL!F31</f>
        <v>22.0353526626812</v>
      </c>
      <c r="D90" s="17" t="n">
        <f aca="false">B90/C90-1</f>
        <v>-0.227850492327168</v>
      </c>
      <c r="E90" s="8" t="n">
        <f aca="false">PL!F46</f>
        <v>17.4827155277829</v>
      </c>
      <c r="F90" s="17" t="n">
        <f aca="false">B90/E90-1</f>
        <v>-0.0267766650525426</v>
      </c>
    </row>
    <row r="91" customFormat="false" ht="17.15" hidden="false" customHeight="false" outlineLevel="0" collapsed="false">
      <c r="A91" s="4" t="s">
        <v>777</v>
      </c>
    </row>
    <row r="93" customFormat="false" ht="17.15" hidden="false" customHeight="false" outlineLevel="0" collapsed="false">
      <c r="A93" s="4" t="s">
        <v>778</v>
      </c>
    </row>
    <row r="97" customFormat="false" ht="17.15" hidden="false" customHeight="false" outlineLevel="0" collapsed="false">
      <c r="A97" s="1" t="s">
        <v>779</v>
      </c>
    </row>
    <row r="98" customFormat="false" ht="17.15" hidden="false" customHeight="false" outlineLevel="0" collapsed="false">
      <c r="A98" s="4" t="s">
        <v>780</v>
      </c>
    </row>
    <row r="100" customFormat="false" ht="17.15" hidden="false" customHeight="false" outlineLevel="0" collapsed="false">
      <c r="A100" s="1" t="s">
        <v>781</v>
      </c>
    </row>
    <row r="101" customFormat="false" ht="17.15" hidden="false" customHeight="false" outlineLevel="0" collapsed="false">
      <c r="A101" s="5" t="s">
        <v>782</v>
      </c>
      <c r="B101" s="13" t="s">
        <v>783</v>
      </c>
      <c r="C101" s="13" t="s">
        <v>784</v>
      </c>
      <c r="D101" s="5" t="s">
        <v>785</v>
      </c>
    </row>
    <row r="102" customFormat="false" ht="17.15" hidden="false" customHeight="false" outlineLevel="0" collapsed="false">
      <c r="A102" s="0" t="s">
        <v>786</v>
      </c>
      <c r="B102" s="38" t="n">
        <v>16.4</v>
      </c>
      <c r="C102" s="38" t="n">
        <v>17</v>
      </c>
      <c r="D102" s="7" t="s">
        <v>787</v>
      </c>
    </row>
    <row r="103" customFormat="false" ht="15" hidden="false" customHeight="false" outlineLevel="0" collapsed="false">
      <c r="A103" s="0" t="s">
        <v>788</v>
      </c>
      <c r="B103" s="38" t="n">
        <v>12</v>
      </c>
      <c r="C103" s="38" t="n">
        <v>12.21</v>
      </c>
    </row>
    <row r="104" customFormat="false" ht="15" hidden="false" customHeight="false" outlineLevel="0" collapsed="false">
      <c r="A104" s="0" t="s">
        <v>789</v>
      </c>
      <c r="B104" s="38" t="n">
        <v>18.3</v>
      </c>
      <c r="C104" s="38" t="n">
        <v>18.73</v>
      </c>
    </row>
    <row r="105" customFormat="false" ht="15" hidden="false" customHeight="false" outlineLevel="0" collapsed="false">
      <c r="A105" s="0" t="s">
        <v>790</v>
      </c>
      <c r="B105" s="38" t="n">
        <v>20.2</v>
      </c>
      <c r="C105" s="38" t="n">
        <v>20.52</v>
      </c>
    </row>
    <row r="106" customFormat="false" ht="15" hidden="false" customHeight="false" outlineLevel="0" collapsed="false">
      <c r="A106" s="0" t="s">
        <v>791</v>
      </c>
      <c r="B106" s="38" t="n">
        <v>23</v>
      </c>
      <c r="C106" s="38" t="n">
        <v>23.37</v>
      </c>
    </row>
    <row r="107" customFormat="false" ht="15" hidden="false" customHeight="false" outlineLevel="0" collapsed="false">
      <c r="A107" s="0" t="s">
        <v>792</v>
      </c>
      <c r="B107" s="38" t="n">
        <v>25.2</v>
      </c>
      <c r="C107" s="38" t="n">
        <v>25.59</v>
      </c>
    </row>
    <row r="108" customFormat="false" ht="15" hidden="false" customHeight="false" outlineLevel="0" collapsed="false">
      <c r="A108" s="0" t="s">
        <v>793</v>
      </c>
      <c r="B108" s="38" t="n">
        <v>20</v>
      </c>
      <c r="C108" s="38" t="n">
        <v>20.26</v>
      </c>
    </row>
    <row r="109" customFormat="false" ht="15" hidden="false" customHeight="false" outlineLevel="0" collapsed="false">
      <c r="A109" s="0" t="s">
        <v>794</v>
      </c>
      <c r="B109" s="38" t="n">
        <v>27.2</v>
      </c>
      <c r="C109" s="38" t="n">
        <v>27.5</v>
      </c>
    </row>
    <row r="110" customFormat="false" ht="15" hidden="false" customHeight="false" outlineLevel="0" collapsed="false">
      <c r="A110" s="0" t="s">
        <v>795</v>
      </c>
      <c r="B110" s="38" t="n">
        <v>24.4</v>
      </c>
    </row>
    <row r="111" customFormat="false" ht="15" hidden="false" customHeight="false" outlineLevel="0" collapsed="false">
      <c r="A111" s="0" t="s">
        <v>796</v>
      </c>
      <c r="B111" s="38" t="n">
        <v>43.3</v>
      </c>
    </row>
    <row r="112" customFormat="false" ht="17.15" hidden="false" customHeight="false" outlineLevel="0" collapsed="false">
      <c r="A112" s="0" t="s">
        <v>797</v>
      </c>
      <c r="B112" s="8" t="n">
        <f aca="false">PERCENTILE(B102:B111,0.25)</f>
        <v>18.725</v>
      </c>
      <c r="C112" s="8" t="n">
        <f aca="false">PERCENTILE(C102:C111,0.25)</f>
        <v>18.2975</v>
      </c>
    </row>
    <row r="113" customFormat="false" ht="15" hidden="false" customHeight="false" outlineLevel="0" collapsed="false">
      <c r="A113" s="4" t="s">
        <v>798</v>
      </c>
      <c r="B113" s="8" t="n">
        <f aca="false">MEDIAN(B102:B111)</f>
        <v>21.6</v>
      </c>
      <c r="C113" s="8" t="n">
        <f aca="false">MEDIAN(C102:C111)</f>
        <v>20.39</v>
      </c>
    </row>
    <row r="114" customFormat="false" ht="17.15" hidden="false" customHeight="false" outlineLevel="0" collapsed="false">
      <c r="A114" s="0" t="s">
        <v>799</v>
      </c>
      <c r="B114" s="8" t="n">
        <f aca="false">PERCENTILE(B102:B111,0.75)</f>
        <v>25</v>
      </c>
      <c r="C114" s="8" t="n">
        <f aca="false">PERCENTILE(C102:C111,0.75)</f>
        <v>23.925</v>
      </c>
    </row>
    <row r="115" customFormat="false" ht="15" hidden="false" customHeight="false" outlineLevel="0" collapsed="false">
      <c r="A115" s="4" t="s">
        <v>800</v>
      </c>
      <c r="B115" s="8" t="n">
        <f aca="false">MIN(B102:B111)</f>
        <v>12</v>
      </c>
      <c r="C115" s="8" t="n">
        <f aca="false">MIN(C102:C111)</f>
        <v>12.21</v>
      </c>
    </row>
    <row r="116" customFormat="false" ht="15" hidden="false" customHeight="false" outlineLevel="0" collapsed="false">
      <c r="A116" s="4" t="s">
        <v>801</v>
      </c>
      <c r="B116" s="8" t="n">
        <f aca="false">MAX(B102:B111)</f>
        <v>43.3</v>
      </c>
      <c r="C116" s="8" t="n">
        <f aca="false">MAX(C102:C111)</f>
        <v>27.5</v>
      </c>
    </row>
    <row r="117" customFormat="false" ht="17.15" hidden="false" customHeight="false" outlineLevel="0" collapsed="false">
      <c r="A117" s="3" t="s">
        <v>802</v>
      </c>
      <c r="B117" s="8" t="n">
        <f aca="false">ROUND(AVERAGE(B112,C112),2)</f>
        <v>18.51</v>
      </c>
    </row>
    <row r="118" customFormat="false" ht="17.15" hidden="false" customHeight="false" outlineLevel="0" collapsed="false">
      <c r="A118" s="3" t="s">
        <v>803</v>
      </c>
      <c r="B118" s="8" t="n">
        <f aca="false">ROUND(AVERAGE(B113,C113),2)</f>
        <v>21</v>
      </c>
    </row>
    <row r="119" customFormat="false" ht="17.15" hidden="false" customHeight="false" outlineLevel="0" collapsed="false">
      <c r="A119" s="3" t="s">
        <v>804</v>
      </c>
      <c r="B119" s="8" t="n">
        <f aca="false">ROUND(AVERAGE(B114,C114),2)</f>
        <v>24.46</v>
      </c>
    </row>
    <row r="120" customFormat="false" ht="17.15" hidden="false" customHeight="false" outlineLevel="0" collapsed="false">
      <c r="A120" s="3" t="s">
        <v>805</v>
      </c>
      <c r="B120" s="8" t="n">
        <f aca="false">ROUND(MIN(B115,C115),2)</f>
        <v>12</v>
      </c>
    </row>
    <row r="121" customFormat="false" ht="17.15" hidden="false" customHeight="false" outlineLevel="0" collapsed="false">
      <c r="A121" s="3" t="s">
        <v>806</v>
      </c>
      <c r="B121" s="8" t="n">
        <f aca="false">ROUND(MAX(B116,C116),2)</f>
        <v>43.3</v>
      </c>
    </row>
    <row r="123" customFormat="false" ht="17.15" hidden="false" customHeight="false" outlineLevel="0" collapsed="false">
      <c r="A123" s="1" t="s">
        <v>807</v>
      </c>
    </row>
    <row r="124" customFormat="false" ht="17.15" hidden="false" customHeight="false" outlineLevel="0" collapsed="false">
      <c r="A124" s="5" t="s">
        <v>808</v>
      </c>
      <c r="B124" s="5" t="s">
        <v>809</v>
      </c>
      <c r="C124" s="5" t="s">
        <v>810</v>
      </c>
      <c r="D124" s="5" t="s">
        <v>24</v>
      </c>
      <c r="E124" s="5" t="s">
        <v>811</v>
      </c>
      <c r="F124" s="5" t="s">
        <v>767</v>
      </c>
      <c r="G124" s="5" t="s">
        <v>812</v>
      </c>
      <c r="H124" s="5" t="s">
        <v>813</v>
      </c>
    </row>
    <row r="125" customFormat="false" ht="17.15" hidden="false" customHeight="false" outlineLevel="0" collapsed="false">
      <c r="A125" s="4" t="s">
        <v>814</v>
      </c>
      <c r="B125" s="0" t="s">
        <v>815</v>
      </c>
      <c r="C125" s="8" t="n">
        <f aca="false">B117</f>
        <v>18.51</v>
      </c>
      <c r="D125" s="7" t="s">
        <v>816</v>
      </c>
      <c r="E125" s="19" t="n">
        <f aca="false">B82</f>
        <v>19.2595189713354</v>
      </c>
      <c r="F125" s="18" t="n">
        <f aca="false">C125*E125</f>
        <v>356.493696159418</v>
      </c>
      <c r="G125" s="15" t="n">
        <f aca="false">F125/px-1</f>
        <v>0.131941627482751</v>
      </c>
      <c r="H125" s="8" t="n">
        <f aca="false">px/E125</f>
        <v>16.352433332771</v>
      </c>
    </row>
    <row r="126" customFormat="false" ht="17.15" hidden="false" customHeight="false" outlineLevel="0" collapsed="false">
      <c r="A126" s="4" t="s">
        <v>817</v>
      </c>
      <c r="B126" s="4" t="s">
        <v>818</v>
      </c>
      <c r="C126" s="8" t="n">
        <f aca="false">B118</f>
        <v>21</v>
      </c>
      <c r="D126" s="7" t="s">
        <v>816</v>
      </c>
      <c r="E126" s="19" t="n">
        <f aca="false">B82</f>
        <v>19.2595189713354</v>
      </c>
      <c r="F126" s="18" t="n">
        <f aca="false">C126*E126</f>
        <v>404.449898398043</v>
      </c>
      <c r="G126" s="15" t="n">
        <f aca="false">F126/px-1</f>
        <v>0.284212543335374</v>
      </c>
      <c r="H126" s="8" t="n">
        <f aca="false">px/E126</f>
        <v>16.352433332771</v>
      </c>
    </row>
    <row r="127" customFormat="false" ht="17.15" hidden="false" customHeight="false" outlineLevel="0" collapsed="false">
      <c r="A127" s="4" t="s">
        <v>819</v>
      </c>
      <c r="B127" s="0" t="s">
        <v>820</v>
      </c>
      <c r="C127" s="8" t="n">
        <f aca="false">B119</f>
        <v>24.46</v>
      </c>
      <c r="D127" s="7" t="s">
        <v>816</v>
      </c>
      <c r="E127" s="19" t="n">
        <f aca="false">B82</f>
        <v>19.2595189713354</v>
      </c>
      <c r="F127" s="18" t="n">
        <f aca="false">C127*E127</f>
        <v>471.087834038863</v>
      </c>
      <c r="G127" s="15" t="n">
        <f aca="false">F127/px-1</f>
        <v>0.49580184809444</v>
      </c>
      <c r="H127" s="8" t="n">
        <f aca="false">px/E127</f>
        <v>16.352433332771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821</v>
      </c>
    </row>
    <row r="3" customFormat="false" ht="17.15" hidden="false" customHeight="false" outlineLevel="0" collapsed="false">
      <c r="A3" s="5" t="s">
        <v>21</v>
      </c>
      <c r="B3" s="5" t="s">
        <v>822</v>
      </c>
      <c r="C3" s="5" t="s">
        <v>823</v>
      </c>
      <c r="D3" s="5" t="s">
        <v>824</v>
      </c>
      <c r="E3" s="5" t="s">
        <v>825</v>
      </c>
      <c r="F3" s="5" t="s">
        <v>826</v>
      </c>
      <c r="G3" s="5" t="s">
        <v>827</v>
      </c>
      <c r="H3" s="5" t="s">
        <v>828</v>
      </c>
      <c r="I3" s="5" t="s">
        <v>829</v>
      </c>
      <c r="J3" s="5" t="s">
        <v>534</v>
      </c>
    </row>
    <row r="4" customFormat="false" ht="17.15" hidden="false" customHeight="false" outlineLevel="0" collapsed="false">
      <c r="A4" s="1" t="s">
        <v>830</v>
      </c>
    </row>
    <row r="5" customFormat="false" ht="17.15" hidden="false" customHeight="false" outlineLevel="0" collapsed="false">
      <c r="A5" s="0" t="s">
        <v>831</v>
      </c>
      <c r="B5" s="19" t="n">
        <f aca="false">cons_rev27</f>
        <v>6.11</v>
      </c>
      <c r="C5" s="19" t="n">
        <f aca="false">PL!E81</f>
        <v>6.62441665805526</v>
      </c>
      <c r="D5" s="15" t="n">
        <f aca="false">C5/B5-1</f>
        <v>0.0841925790597808</v>
      </c>
      <c r="E5" s="19" t="n">
        <f aca="false">PL!E121</f>
        <v>6.33425612803945</v>
      </c>
      <c r="F5" s="15" t="n">
        <f aca="false">E5/B5-1</f>
        <v>0.036703130612022</v>
      </c>
      <c r="G5" s="19" t="n">
        <f aca="false">PL!E161</f>
        <v>6.09105392450117</v>
      </c>
      <c r="H5" s="15" t="n">
        <f aca="false">G5/B5-1</f>
        <v>-0.00310083068720668</v>
      </c>
      <c r="I5" s="7" t="s">
        <v>832</v>
      </c>
    </row>
    <row r="6" customFormat="false" ht="17.15" hidden="false" customHeight="false" outlineLevel="0" collapsed="false">
      <c r="A6" s="0" t="s">
        <v>833</v>
      </c>
      <c r="B6" s="19" t="n">
        <f aca="false">cons_eps27</f>
        <v>18.23</v>
      </c>
      <c r="C6" s="19" t="n">
        <f aca="false">PL!E96</f>
        <v>20.8632871777998</v>
      </c>
      <c r="D6" s="15" t="n">
        <f aca="false">C6/B6-1</f>
        <v>0.144448007558955</v>
      </c>
      <c r="E6" s="19" t="n">
        <f aca="false">PL!E136</f>
        <v>19.2595189713354</v>
      </c>
      <c r="F6" s="15" t="n">
        <f aca="false">E6/B6-1</f>
        <v>0.0564738876212485</v>
      </c>
      <c r="G6" s="19" t="n">
        <f aca="false">PL!E176</f>
        <v>17.6994966537253</v>
      </c>
      <c r="H6" s="15" t="n">
        <f aca="false">G6/B6-1</f>
        <v>-0.0291005675411221</v>
      </c>
      <c r="I6" s="7" t="s">
        <v>834</v>
      </c>
    </row>
    <row r="7" customFormat="false" ht="17.15" hidden="false" customHeight="false" outlineLevel="0" collapsed="false">
      <c r="A7" s="0" t="s">
        <v>835</v>
      </c>
      <c r="B7" s="19" t="n">
        <f aca="false">cons_eps27b</f>
        <v>17.5</v>
      </c>
      <c r="C7" s="19" t="n">
        <f aca="false">PL!E96</f>
        <v>20.8632871777998</v>
      </c>
      <c r="D7" s="15" t="n">
        <f aca="false">C7/B7-1</f>
        <v>0.192187838731415</v>
      </c>
      <c r="E7" s="19" t="n">
        <f aca="false">PL!E136</f>
        <v>19.2595189713354</v>
      </c>
      <c r="F7" s="15" t="n">
        <f aca="false">E7/B7-1</f>
        <v>0.100543941219164</v>
      </c>
      <c r="G7" s="19" t="n">
        <f aca="false">PL!E176</f>
        <v>17.6994966537253</v>
      </c>
      <c r="H7" s="15" t="n">
        <f aca="false">G7/B7-1</f>
        <v>0.0113998087843055</v>
      </c>
      <c r="I7" s="7" t="s">
        <v>836</v>
      </c>
    </row>
    <row r="8" customFormat="false" ht="17.15" hidden="false" customHeight="false" outlineLevel="0" collapsed="false">
      <c r="A8" s="0" t="s">
        <v>837</v>
      </c>
      <c r="B8" s="19" t="n">
        <f aca="false">cons_rev28</f>
        <v>6.58</v>
      </c>
      <c r="C8" s="19" t="n">
        <f aca="false">PL!F81</f>
        <v>8.68563058895432</v>
      </c>
      <c r="D8" s="15" t="n">
        <f aca="false">C8/B8-1</f>
        <v>0.320004648777252</v>
      </c>
      <c r="E8" s="19" t="n">
        <f aca="false">PL!F121</f>
        <v>7.21423583152058</v>
      </c>
      <c r="F8" s="15" t="n">
        <f aca="false">E8/B8-1</f>
        <v>0.0963884242432491</v>
      </c>
      <c r="G8" s="19" t="n">
        <f aca="false">PL!F161</f>
        <v>6.17988368774638</v>
      </c>
      <c r="H8" s="15" t="n">
        <f aca="false">G8/B8-1</f>
        <v>-0.0608079501905203</v>
      </c>
      <c r="I8" s="7" t="s">
        <v>838</v>
      </c>
    </row>
    <row r="9" customFormat="false" ht="17.15" hidden="false" customHeight="false" outlineLevel="0" collapsed="false">
      <c r="A9" s="0" t="s">
        <v>839</v>
      </c>
      <c r="B9" s="19" t="n">
        <f aca="false">cons_eps28</f>
        <v>21.27</v>
      </c>
      <c r="C9" s="19" t="n">
        <f aca="false">PL!F96</f>
        <v>27.8125790430266</v>
      </c>
      <c r="D9" s="15" t="n">
        <f aca="false">C9/B9-1</f>
        <v>0.307596569958939</v>
      </c>
      <c r="E9" s="19" t="n">
        <f aca="false">PL!F136</f>
        <v>22.0353526626812</v>
      </c>
      <c r="F9" s="15" t="n">
        <f aca="false">E9/B9-1</f>
        <v>0.0359827297922544</v>
      </c>
      <c r="G9" s="19" t="n">
        <f aca="false">PL!F176</f>
        <v>17.4827155277829</v>
      </c>
      <c r="H9" s="15" t="n">
        <f aca="false">G9/B9-1</f>
        <v>-0.178057568040297</v>
      </c>
      <c r="I9" s="7" t="s">
        <v>836</v>
      </c>
    </row>
    <row r="10" customFormat="false" ht="17.15" hidden="false" customHeight="false" outlineLevel="0" collapsed="false">
      <c r="A10" s="0" t="s">
        <v>840</v>
      </c>
      <c r="B10" s="19" t="n">
        <f aca="false">cons_eps28b</f>
        <v>20.14</v>
      </c>
      <c r="C10" s="19" t="n">
        <f aca="false">PL!F96</f>
        <v>27.8125790430266</v>
      </c>
      <c r="D10" s="15" t="n">
        <f aca="false">C10/B10-1</f>
        <v>0.380962216634887</v>
      </c>
      <c r="E10" s="19" t="n">
        <f aca="false">PL!F136</f>
        <v>22.0353526626812</v>
      </c>
      <c r="F10" s="15" t="n">
        <f aca="false">E10/B10-1</f>
        <v>0.0941088710368048</v>
      </c>
      <c r="G10" s="19" t="n">
        <f aca="false">PL!F176</f>
        <v>17.4827155277829</v>
      </c>
      <c r="H10" s="15" t="n">
        <f aca="false">G10/B10-1</f>
        <v>-0.131940639136898</v>
      </c>
      <c r="I10" s="7" t="s">
        <v>841</v>
      </c>
    </row>
    <row r="11" customFormat="false" ht="17.15" hidden="false" customHeight="false" outlineLevel="0" collapsed="false">
      <c r="A11" s="1" t="s">
        <v>842</v>
      </c>
    </row>
    <row r="12" customFormat="false" ht="17.15" hidden="false" customHeight="false" outlineLevel="0" collapsed="false">
      <c r="A12" s="0" t="s">
        <v>843</v>
      </c>
      <c r="B12" s="19" t="n">
        <f aca="false">q1_eps</f>
        <v>4.175</v>
      </c>
      <c r="C12" s="19" t="n">
        <f aca="false">Q!F19</f>
        <v>4.15592286501377</v>
      </c>
      <c r="D12" s="15" t="n">
        <f aca="false">C12/B12-1</f>
        <v>-0.00456937364939547</v>
      </c>
      <c r="E12" s="19" t="n">
        <f aca="false">Q!F19</f>
        <v>4.15592286501377</v>
      </c>
      <c r="F12" s="15" t="n">
        <f aca="false">E12/B12-1</f>
        <v>-0.00456937364939547</v>
      </c>
      <c r="G12" s="19" t="n">
        <f aca="false">Q!F19</f>
        <v>4.15592286501377</v>
      </c>
      <c r="H12" s="15" t="n">
        <f aca="false">G12/B12-1</f>
        <v>-0.00456937364939547</v>
      </c>
      <c r="I12" s="4" t="s">
        <v>844</v>
      </c>
      <c r="J12" s="4" t="s">
        <v>845</v>
      </c>
    </row>
    <row r="13" customFormat="false" ht="17.15" hidden="false" customHeight="false" outlineLevel="0" collapsed="false">
      <c r="A13" s="0" t="s">
        <v>846</v>
      </c>
      <c r="B13" s="14" t="n">
        <f aca="false">q3_rev</f>
        <v>1.2143</v>
      </c>
      <c r="C13" s="14" t="n">
        <f aca="false">Q!D5+Q!D9+Q!D10</f>
        <v>1.2143</v>
      </c>
      <c r="D13" s="15" t="n">
        <f aca="false">C13/B13-1</f>
        <v>0</v>
      </c>
      <c r="E13" s="14" t="n">
        <f aca="false">Q!D5+Q!D9+Q!D10</f>
        <v>1.2143</v>
      </c>
      <c r="F13" s="15" t="n">
        <f aca="false">E13/B13-1</f>
        <v>0</v>
      </c>
      <c r="G13" s="14" t="n">
        <f aca="false">Q!D5+Q!D9+Q!D10</f>
        <v>1.2143</v>
      </c>
      <c r="H13" s="15" t="n">
        <f aca="false">G13/B13-1</f>
        <v>0</v>
      </c>
      <c r="I13" s="4" t="s">
        <v>847</v>
      </c>
      <c r="J13" s="4" t="s">
        <v>848</v>
      </c>
    </row>
    <row r="14" customFormat="false" ht="17.15" hidden="false" customHeight="false" outlineLevel="0" collapsed="false">
      <c r="A14" s="0" t="s">
        <v>849</v>
      </c>
      <c r="B14" s="14" t="n">
        <f aca="false">nv26*a26_rev_in</f>
        <v>0.756498811</v>
      </c>
      <c r="C14" s="14" t="n">
        <f aca="false">PL!D73</f>
        <v>1.163885463</v>
      </c>
      <c r="D14" s="15" t="n">
        <f aca="false">C14/B14-1</f>
        <v>0.53851591843414</v>
      </c>
      <c r="E14" s="14" t="n">
        <f aca="false">PL!D113</f>
        <v>1.163885463</v>
      </c>
      <c r="F14" s="15" t="n">
        <f aca="false">E14/B14-1</f>
        <v>0.53851591843414</v>
      </c>
      <c r="G14" s="14" t="n">
        <f aca="false">PL!D153</f>
        <v>1.163885463</v>
      </c>
      <c r="H14" s="15" t="n">
        <f aca="false">G14/B14-1</f>
        <v>0.53851591843414</v>
      </c>
      <c r="I14" s="7" t="s">
        <v>850</v>
      </c>
      <c r="J14" s="7" t="s">
        <v>851</v>
      </c>
    </row>
    <row r="15" customFormat="false" ht="17.15" hidden="false" customHeight="false" outlineLevel="0" collapsed="false">
      <c r="A15" s="1" t="s">
        <v>852</v>
      </c>
    </row>
    <row r="16" customFormat="false" ht="17.15" hidden="false" customHeight="false" outlineLevel="0" collapsed="false">
      <c r="A16" s="0" t="s">
        <v>853</v>
      </c>
      <c r="C16" s="15" t="n">
        <f aca="false">Units!C8</f>
        <v>0.464185517521965</v>
      </c>
      <c r="E16" s="15" t="n">
        <f aca="false">Units!C8</f>
        <v>0.464185517521965</v>
      </c>
      <c r="G16" s="15" t="n">
        <f aca="false">Units!C8</f>
        <v>0.464185517521965</v>
      </c>
      <c r="I16" s="7" t="s">
        <v>854</v>
      </c>
      <c r="J16" s="4" t="s">
        <v>855</v>
      </c>
    </row>
    <row r="17" customFormat="false" ht="17.15" hidden="false" customHeight="false" outlineLevel="0" collapsed="false">
      <c r="A17" s="0" t="s">
        <v>856</v>
      </c>
      <c r="C17" s="15" t="n">
        <f aca="false">Units!E8</f>
        <v>0.432590211973832</v>
      </c>
      <c r="E17" s="15" t="n">
        <f aca="false">Units!E8</f>
        <v>0.432590211973832</v>
      </c>
      <c r="G17" s="15" t="n">
        <f aca="false">Units!E8</f>
        <v>0.432590211973832</v>
      </c>
      <c r="I17" s="7" t="s">
        <v>857</v>
      </c>
    </row>
    <row r="18" customFormat="false" ht="17.15" hidden="false" customHeight="false" outlineLevel="0" collapsed="false">
      <c r="A18" s="0" t="s">
        <v>858</v>
      </c>
      <c r="C18" s="20" t="n">
        <f aca="false">PL!E78/itc_27</f>
        <v>0.00248568886501758</v>
      </c>
      <c r="E18" s="20" t="n">
        <f aca="false">PL!E118/itc_27</f>
        <v>0.00230032423090009</v>
      </c>
      <c r="G18" s="20" t="n">
        <f aca="false">PL!E158/itc_27</f>
        <v>0.00214495820826088</v>
      </c>
      <c r="I18" s="7" t="s">
        <v>859</v>
      </c>
      <c r="J18" s="4" t="s">
        <v>860</v>
      </c>
    </row>
    <row r="19" customFormat="false" ht="17.15" hidden="false" customHeight="false" outlineLevel="0" collapsed="false">
      <c r="A19" s="0" t="s">
        <v>861</v>
      </c>
      <c r="B19" s="19" t="n">
        <f aca="false">cap_b10</f>
        <v>8.9</v>
      </c>
      <c r="C19" s="19" t="n">
        <f aca="false">PL!F81</f>
        <v>8.68563058895432</v>
      </c>
      <c r="D19" s="15" t="n">
        <f aca="false">C19/B19-1</f>
        <v>-0.0240864506792904</v>
      </c>
      <c r="E19" s="19" t="n">
        <f aca="false">PL!F121</f>
        <v>7.21423583152058</v>
      </c>
      <c r="F19" s="15" t="n">
        <f aca="false">E19/B19-1</f>
        <v>-0.18941170432353</v>
      </c>
      <c r="G19" s="19" t="n">
        <f aca="false">PL!F161</f>
        <v>6.17988368774638</v>
      </c>
      <c r="H19" s="15" t="n">
        <f aca="false">G19/B19-1</f>
        <v>-0.305631046320632</v>
      </c>
      <c r="I19" s="4" t="s">
        <v>862</v>
      </c>
      <c r="J19" s="4" t="s">
        <v>863</v>
      </c>
    </row>
    <row r="20" customFormat="false" ht="17.15" hidden="false" customHeight="false" outlineLevel="0" collapsed="false">
      <c r="A20" s="0" t="s">
        <v>864</v>
      </c>
      <c r="B20" s="19" t="n">
        <f aca="false">cap_tot</f>
        <v>13.25</v>
      </c>
      <c r="C20" s="19" t="n">
        <f aca="false">PL!G81</f>
        <v>10.9554180866548</v>
      </c>
      <c r="D20" s="15" t="n">
        <f aca="false">C20/B20-1</f>
        <v>-0.173175993460015</v>
      </c>
      <c r="E20" s="19" t="n">
        <f aca="false">PL!G121</f>
        <v>7.82722658207471</v>
      </c>
      <c r="F20" s="15" t="n">
        <f aca="false">E20/B20-1</f>
        <v>-0.409265918333984</v>
      </c>
      <c r="G20" s="19" t="n">
        <f aca="false">PL!G161</f>
        <v>5.6866902137687</v>
      </c>
      <c r="H20" s="15" t="n">
        <f aca="false">G20/B20-1</f>
        <v>-0.570815832923117</v>
      </c>
      <c r="I20" s="4" t="s">
        <v>862</v>
      </c>
      <c r="J20" s="4" t="s">
        <v>865</v>
      </c>
    </row>
    <row r="21" customFormat="false" ht="17.15" hidden="false" customHeight="false" outlineLevel="0" collapsed="false">
      <c r="A21" s="1" t="s">
        <v>866</v>
      </c>
    </row>
    <row r="22" customFormat="false" ht="17.15" hidden="false" customHeight="false" outlineLevel="0" collapsed="false">
      <c r="A22" s="0" t="s">
        <v>867</v>
      </c>
      <c r="J22" s="4" t="s">
        <v>868</v>
      </c>
    </row>
    <row r="23" customFormat="false" ht="17.15" hidden="false" customHeight="false" outlineLevel="0" collapsed="false">
      <c r="A23" s="0" t="s">
        <v>869</v>
      </c>
      <c r="J23" s="4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870</v>
      </c>
    </row>
    <row r="3" customFormat="false" ht="17.15" hidden="false" customHeight="false" outlineLevel="0" collapsed="false">
      <c r="A3" s="5" t="s">
        <v>871</v>
      </c>
      <c r="B3" s="5" t="s">
        <v>872</v>
      </c>
      <c r="C3" s="13" t="s">
        <v>873</v>
      </c>
      <c r="D3" s="13" t="s">
        <v>874</v>
      </c>
      <c r="E3" s="13" t="s">
        <v>875</v>
      </c>
      <c r="F3" s="13" t="s">
        <v>765</v>
      </c>
      <c r="G3" s="13" t="s">
        <v>876</v>
      </c>
      <c r="H3" s="13" t="s">
        <v>877</v>
      </c>
      <c r="I3" s="13" t="s">
        <v>878</v>
      </c>
      <c r="J3" s="13" t="s">
        <v>879</v>
      </c>
      <c r="K3" s="13" t="s">
        <v>880</v>
      </c>
      <c r="L3" s="13" t="s">
        <v>881</v>
      </c>
    </row>
    <row r="4" customFormat="false" ht="17.15" hidden="false" customHeight="false" outlineLevel="0" collapsed="false">
      <c r="A4" s="4" t="s">
        <v>882</v>
      </c>
      <c r="B4" s="0" t="s">
        <v>883</v>
      </c>
      <c r="C4" s="19" t="n">
        <f aca="false">PL!E121</f>
        <v>6.33425612803945</v>
      </c>
      <c r="D4" s="19" t="n">
        <f aca="false">PL!E118</f>
        <v>3.60081253483945</v>
      </c>
      <c r="E4" s="15" t="n">
        <f aca="false">PL!E125</f>
        <v>0.123</v>
      </c>
      <c r="F4" s="8" t="n">
        <f aca="false">PL!E136</f>
        <v>19.2595189713354</v>
      </c>
      <c r="G4" s="15" t="n">
        <f aca="false">F4/F$4-1</f>
        <v>0</v>
      </c>
      <c r="H4" s="19" t="n">
        <f aca="false">PL!F121</f>
        <v>7.21423583152058</v>
      </c>
      <c r="I4" s="19" t="n">
        <f aca="false">PL!F118</f>
        <v>4.32650807341658</v>
      </c>
      <c r="J4" s="15" t="n">
        <f aca="false">PL!F125</f>
        <v>0.123</v>
      </c>
      <c r="K4" s="8" t="n">
        <f aca="false">PL!F136</f>
        <v>22.0353526626812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884</v>
      </c>
      <c r="B5" s="4" t="s">
        <v>885</v>
      </c>
      <c r="C5" s="19" t="n">
        <f aca="false">E61</f>
        <v>6.12116881167156</v>
      </c>
      <c r="D5" s="19" t="n">
        <f aca="false">E58</f>
        <v>3.38772521847156</v>
      </c>
      <c r="E5" s="15" t="n">
        <f aca="false">E65</f>
        <v>0.123</v>
      </c>
      <c r="F5" s="8" t="n">
        <f aca="false">E76</f>
        <v>18.5910130066345</v>
      </c>
      <c r="G5" s="15" t="n">
        <f aca="false">F5/F$4-1</f>
        <v>-0.0347104185569674</v>
      </c>
      <c r="H5" s="19" t="n">
        <f aca="false">F61</f>
        <v>6.67787656584403</v>
      </c>
      <c r="I5" s="19" t="n">
        <f aca="false">F58</f>
        <v>3.79014880774003</v>
      </c>
      <c r="J5" s="15" t="n">
        <f aca="false">F65</f>
        <v>0.123</v>
      </c>
      <c r="K5" s="8" t="n">
        <f aca="false">F76</f>
        <v>20.3461950689244</v>
      </c>
      <c r="L5" s="15" t="n">
        <f aca="false">K5/K$4-1</f>
        <v>-0.0766567079553759</v>
      </c>
    </row>
    <row r="6" customFormat="false" ht="17.15" hidden="false" customHeight="false" outlineLevel="0" collapsed="false">
      <c r="A6" s="4" t="s">
        <v>886</v>
      </c>
      <c r="B6" s="4" t="s">
        <v>887</v>
      </c>
      <c r="C6" s="19" t="n">
        <f aca="false">E101</f>
        <v>6.49407161531537</v>
      </c>
      <c r="D6" s="19" t="n">
        <f aca="false">E98</f>
        <v>3.76062802211537</v>
      </c>
      <c r="E6" s="15" t="n">
        <f aca="false">E105</f>
        <v>0.123</v>
      </c>
      <c r="F6" s="8" t="n">
        <f aca="false">E116</f>
        <v>19.760898444861</v>
      </c>
      <c r="G6" s="15" t="n">
        <f aca="false">F6/F$4-1</f>
        <v>0.0260328139177253</v>
      </c>
      <c r="H6" s="19" t="n">
        <f aca="false">F101</f>
        <v>7.6403563879107</v>
      </c>
      <c r="I6" s="19" t="n">
        <f aca="false">F98</f>
        <v>4.7526286298067</v>
      </c>
      <c r="J6" s="15" t="n">
        <f aca="false">F105</f>
        <v>0.123</v>
      </c>
      <c r="K6" s="8" t="n">
        <f aca="false">F116</f>
        <v>23.3781018081651</v>
      </c>
      <c r="L6" s="15" t="n">
        <f aca="false">K6/K$4-1</f>
        <v>0.0609361314084131</v>
      </c>
    </row>
    <row r="7" customFormat="false" ht="17.15" hidden="false" customHeight="false" outlineLevel="0" collapsed="false">
      <c r="A7" s="4" t="s">
        <v>888</v>
      </c>
      <c r="B7" s="4" t="s">
        <v>889</v>
      </c>
      <c r="C7" s="19" t="n">
        <f aca="false">E141</f>
        <v>6.22771246985551</v>
      </c>
      <c r="D7" s="19" t="n">
        <f aca="false">E138</f>
        <v>3.49426887665551</v>
      </c>
      <c r="E7" s="15" t="n">
        <f aca="false">E145</f>
        <v>0.123</v>
      </c>
      <c r="F7" s="8" t="n">
        <f aca="false">E156</f>
        <v>18.9252659889849</v>
      </c>
      <c r="G7" s="15" t="n">
        <f aca="false">F7/F$4-1</f>
        <v>-0.0173552092784838</v>
      </c>
      <c r="H7" s="19" t="n">
        <f aca="false">F141</f>
        <v>6.89835398441689</v>
      </c>
      <c r="I7" s="19" t="n">
        <f aca="false">F138</f>
        <v>4.01062622631289</v>
      </c>
      <c r="J7" s="15" t="n">
        <f aca="false">F145</f>
        <v>0.123</v>
      </c>
      <c r="K7" s="8" t="n">
        <f aca="false">F156</f>
        <v>21.0402165762948</v>
      </c>
      <c r="L7" s="15" t="n">
        <f aca="false">K7/K$4-1</f>
        <v>-0.0451608876708285</v>
      </c>
    </row>
    <row r="8" customFormat="false" ht="17.15" hidden="false" customHeight="false" outlineLevel="0" collapsed="false">
      <c r="A8" s="4" t="s">
        <v>890</v>
      </c>
      <c r="B8" s="4" t="s">
        <v>891</v>
      </c>
      <c r="C8" s="19" t="n">
        <f aca="false">E181</f>
        <v>6.33425612803945</v>
      </c>
      <c r="D8" s="19" t="n">
        <f aca="false">E178</f>
        <v>3.60081253483945</v>
      </c>
      <c r="E8" s="15" t="n">
        <f aca="false">E185</f>
        <v>0.118</v>
      </c>
      <c r="F8" s="8" t="n">
        <f aca="false">E196</f>
        <v>18.4306562548564</v>
      </c>
      <c r="G8" s="15" t="n">
        <f aca="false">F8/F$4-1</f>
        <v>-0.0430365222367506</v>
      </c>
      <c r="H8" s="19" t="n">
        <f aca="false">F181</f>
        <v>7.21423583152058</v>
      </c>
      <c r="I8" s="19" t="n">
        <f aca="false">F178</f>
        <v>4.32650807341658</v>
      </c>
      <c r="J8" s="15" t="n">
        <f aca="false">F185</f>
        <v>0.115</v>
      </c>
      <c r="K8" s="8" t="n">
        <f aca="false">F196</f>
        <v>20.5249341414814</v>
      </c>
      <c r="L8" s="15" t="n">
        <f aca="false">K8/K$4-1</f>
        <v>-0.0685452392943963</v>
      </c>
    </row>
    <row r="9" customFormat="false" ht="17.15" hidden="false" customHeight="false" outlineLevel="0" collapsed="false">
      <c r="A9" s="4" t="s">
        <v>892</v>
      </c>
      <c r="B9" s="4" t="s">
        <v>893</v>
      </c>
      <c r="C9" s="19" t="n">
        <f aca="false">E221</f>
        <v>6.33425612803945</v>
      </c>
      <c r="D9" s="19" t="n">
        <f aca="false">E218</f>
        <v>3.60081253483945</v>
      </c>
      <c r="E9" s="15" t="n">
        <f aca="false">E225</f>
        <v>0.127</v>
      </c>
      <c r="F9" s="8" t="n">
        <f aca="false">E236</f>
        <v>19.9226091445186</v>
      </c>
      <c r="G9" s="15" t="n">
        <f aca="false">F9/F$4-1</f>
        <v>0.0344292177894003</v>
      </c>
      <c r="H9" s="19" t="n">
        <f aca="false">F221</f>
        <v>7.21423583152058</v>
      </c>
      <c r="I9" s="19" t="n">
        <f aca="false">F218</f>
        <v>4.32650807341658</v>
      </c>
      <c r="J9" s="15" t="n">
        <f aca="false">F225</f>
        <v>0.128</v>
      </c>
      <c r="K9" s="8" t="n">
        <f aca="false">F236</f>
        <v>22.9793642384312</v>
      </c>
      <c r="L9" s="15" t="n">
        <f aca="false">K9/K$4-1</f>
        <v>0.0428407745589978</v>
      </c>
    </row>
    <row r="10" customFormat="false" ht="17.15" hidden="false" customHeight="false" outlineLevel="0" collapsed="false">
      <c r="A10" s="0" t="s">
        <v>894</v>
      </c>
      <c r="B10" s="0" t="s">
        <v>895</v>
      </c>
      <c r="C10" s="19" t="n">
        <f aca="false">E261</f>
        <v>6.29535413503946</v>
      </c>
      <c r="D10" s="19" t="n">
        <f aca="false">E258</f>
        <v>3.56191054183945</v>
      </c>
      <c r="E10" s="15" t="n">
        <f aca="false">E265</f>
        <v>0.123</v>
      </c>
      <c r="F10" s="8" t="n">
        <f aca="false">E276</f>
        <v>19.1374740988271</v>
      </c>
      <c r="G10" s="15" t="n">
        <f aca="false">F10/F$4-1</f>
        <v>-0.0063368598504423</v>
      </c>
      <c r="H10" s="19" t="n">
        <f aca="false">F261</f>
        <v>7.07371995452058</v>
      </c>
      <c r="I10" s="19" t="n">
        <f aca="false">F258</f>
        <v>4.18599219641658</v>
      </c>
      <c r="J10" s="15" t="n">
        <f aca="false">F265</f>
        <v>0.123</v>
      </c>
      <c r="K10" s="8" t="n">
        <f aca="false">F276</f>
        <v>21.5925473512029</v>
      </c>
      <c r="L10" s="15" t="n">
        <f aca="false">K10/K$4-1</f>
        <v>-0.0200952223573112</v>
      </c>
    </row>
    <row r="11" customFormat="false" ht="17.15" hidden="false" customHeight="false" outlineLevel="0" collapsed="false">
      <c r="A11" s="0" t="s">
        <v>896</v>
      </c>
      <c r="B11" s="0" t="s">
        <v>897</v>
      </c>
      <c r="C11" s="19" t="n">
        <f aca="false">E301</f>
        <v>6.41206011403946</v>
      </c>
      <c r="D11" s="19" t="n">
        <f aca="false">E298</f>
        <v>3.67861652083945</v>
      </c>
      <c r="E11" s="15" t="n">
        <f aca="false">E305</f>
        <v>0.123</v>
      </c>
      <c r="F11" s="8" t="n">
        <f aca="false">E316</f>
        <v>19.5036087163519</v>
      </c>
      <c r="G11" s="15" t="n">
        <f aca="false">F11/F$4-1</f>
        <v>0.0126737197008848</v>
      </c>
      <c r="H11" s="19" t="n">
        <f aca="false">F301</f>
        <v>7.42413134552058</v>
      </c>
      <c r="I11" s="19" t="n">
        <f aca="false">F298</f>
        <v>4.53640358741658</v>
      </c>
      <c r="J11" s="15" t="n">
        <f aca="false">F305</f>
        <v>0.123</v>
      </c>
      <c r="K11" s="8" t="n">
        <f aca="false">F316</f>
        <v>22.6966944187582</v>
      </c>
      <c r="L11" s="15" t="n">
        <f aca="false">K11/K$4-1</f>
        <v>0.0300127602312898</v>
      </c>
    </row>
    <row r="12" customFormat="false" ht="17.15" hidden="false" customHeight="false" outlineLevel="0" collapsed="false">
      <c r="A12" s="0" t="s">
        <v>898</v>
      </c>
      <c r="B12" s="0" t="s">
        <v>899</v>
      </c>
      <c r="C12" s="19" t="n">
        <f aca="false">E341</f>
        <v>6.12116881167156</v>
      </c>
      <c r="D12" s="19" t="n">
        <f aca="false">E338</f>
        <v>3.38772521847156</v>
      </c>
      <c r="E12" s="15" t="n">
        <f aca="false">E345</f>
        <v>0.123</v>
      </c>
      <c r="F12" s="8" t="n">
        <f aca="false">E356</f>
        <v>18.5910130066345</v>
      </c>
      <c r="G12" s="15" t="n">
        <f aca="false">F12/F$4-1</f>
        <v>-0.0347104185569674</v>
      </c>
      <c r="H12" s="19" t="n">
        <f aca="false">F341</f>
        <v>6.77328099437486</v>
      </c>
      <c r="I12" s="19" t="n">
        <f aca="false">F338</f>
        <v>3.88555323627086</v>
      </c>
      <c r="J12" s="15" t="n">
        <f aca="false">F345</f>
        <v>0.123</v>
      </c>
      <c r="K12" s="8" t="n">
        <f aca="false">F356</f>
        <v>20.6469850981009</v>
      </c>
      <c r="L12" s="15" t="n">
        <f aca="false">K12/K$4-1</f>
        <v>-0.0630063691665646</v>
      </c>
    </row>
    <row r="13" customFormat="false" ht="17.15" hidden="false" customHeight="false" outlineLevel="0" collapsed="false">
      <c r="A13" s="0" t="s">
        <v>900</v>
      </c>
      <c r="B13" s="0" t="s">
        <v>901</v>
      </c>
      <c r="C13" s="19" t="n">
        <f aca="false">E381</f>
        <v>6.54734344440735</v>
      </c>
      <c r="D13" s="19" t="n">
        <f aca="false">E378</f>
        <v>3.81389985120734</v>
      </c>
      <c r="E13" s="15" t="n">
        <f aca="false">E385</f>
        <v>0.123</v>
      </c>
      <c r="F13" s="8" t="n">
        <f aca="false">E396</f>
        <v>19.9280249360363</v>
      </c>
      <c r="G13" s="15" t="n">
        <f aca="false">F13/F$4-1</f>
        <v>0.0347104185569671</v>
      </c>
      <c r="H13" s="19" t="n">
        <f aca="false">F381</f>
        <v>7.6551906686663</v>
      </c>
      <c r="I13" s="19" t="n">
        <f aca="false">F378</f>
        <v>4.7674629105623</v>
      </c>
      <c r="J13" s="15" t="n">
        <f aca="false">F385</f>
        <v>0.123</v>
      </c>
      <c r="K13" s="8" t="n">
        <f aca="false">F396</f>
        <v>23.4243494702567</v>
      </c>
      <c r="L13" s="15" t="n">
        <f aca="false">K13/K$4-1</f>
        <v>0.0630349252330229</v>
      </c>
    </row>
    <row r="14" customFormat="false" ht="17.15" hidden="false" customHeight="false" outlineLevel="0" collapsed="false">
      <c r="A14" s="4" t="s">
        <v>902</v>
      </c>
      <c r="B14" s="4" t="s">
        <v>903</v>
      </c>
      <c r="C14" s="19" t="n">
        <f aca="false">E421</f>
        <v>6.23822668674907</v>
      </c>
      <c r="D14" s="19" t="n">
        <f aca="false">E418</f>
        <v>3.50478309354907</v>
      </c>
      <c r="E14" s="15" t="n">
        <f aca="false">E425</f>
        <v>0.123</v>
      </c>
      <c r="F14" s="8" t="n">
        <f aca="false">E436</f>
        <v>18.9582516064647</v>
      </c>
      <c r="G14" s="15" t="n">
        <f aca="false">F14/F$4-1</f>
        <v>-0.0156425176204591</v>
      </c>
      <c r="H14" s="19" t="n">
        <f aca="false">F421</f>
        <v>7.23424204846346</v>
      </c>
      <c r="I14" s="19" t="n">
        <f aca="false">F418</f>
        <v>4.34651429035946</v>
      </c>
      <c r="J14" s="15" t="n">
        <f aca="false">F425</f>
        <v>0.123</v>
      </c>
      <c r="K14" s="8" t="n">
        <f aca="false">F436</f>
        <v>22.0993891339346</v>
      </c>
      <c r="L14" s="15" t="n">
        <f aca="false">K14/K$4-1</f>
        <v>0.00290607880135196</v>
      </c>
    </row>
    <row r="15" customFormat="false" ht="17.15" hidden="false" customHeight="false" outlineLevel="0" collapsed="false">
      <c r="A15" s="4" t="s">
        <v>904</v>
      </c>
      <c r="B15" s="0" t="s">
        <v>905</v>
      </c>
      <c r="C15" s="19" t="n">
        <f aca="false">E461</f>
        <v>6.43028556932984</v>
      </c>
      <c r="D15" s="19" t="n">
        <f aca="false">E458</f>
        <v>3.69684197612984</v>
      </c>
      <c r="E15" s="15" t="n">
        <f aca="false">E465</f>
        <v>0.123</v>
      </c>
      <c r="F15" s="8" t="n">
        <f aca="false">E476</f>
        <v>19.560786336206</v>
      </c>
      <c r="G15" s="15" t="n">
        <f aca="false">F15/F$4-1</f>
        <v>0.0156425176204591</v>
      </c>
      <c r="H15" s="19" t="n">
        <f aca="false">F461</f>
        <v>7.1942296145777</v>
      </c>
      <c r="I15" s="19" t="n">
        <f aca="false">F458</f>
        <v>4.3065018564737</v>
      </c>
      <c r="J15" s="15" t="n">
        <f aca="false">F465</f>
        <v>0.123</v>
      </c>
      <c r="K15" s="8" t="n">
        <f aca="false">F476</f>
        <v>21.9711313142496</v>
      </c>
      <c r="L15" s="15" t="n">
        <f aca="false">K15/K$4-1</f>
        <v>-0.00291446882719459</v>
      </c>
    </row>
    <row r="16" customFormat="false" ht="17.15" hidden="false" customHeight="false" outlineLevel="0" collapsed="false">
      <c r="A16" s="0" t="s">
        <v>906</v>
      </c>
      <c r="B16" s="0" t="s">
        <v>907</v>
      </c>
      <c r="C16" s="19" t="n">
        <f aca="false">E501</f>
        <v>6.26332064803945</v>
      </c>
      <c r="D16" s="19" t="n">
        <f aca="false">E498</f>
        <v>3.52987705483945</v>
      </c>
      <c r="E16" s="15" t="n">
        <f aca="false">E505</f>
        <v>0.123</v>
      </c>
      <c r="F16" s="8" t="n">
        <f aca="false">E516</f>
        <v>19.0369773752553</v>
      </c>
      <c r="G16" s="15" t="n">
        <f aca="false">F16/F$4-1</f>
        <v>-0.0115548885935963</v>
      </c>
      <c r="H16" s="19" t="n">
        <f aca="false">F501</f>
        <v>6.97592099291258</v>
      </c>
      <c r="I16" s="19" t="n">
        <f aca="false">F498</f>
        <v>4.08819323480858</v>
      </c>
      <c r="J16" s="15" t="n">
        <f aca="false">F505</f>
        <v>0.123</v>
      </c>
      <c r="K16" s="8" t="n">
        <f aca="false">F516</f>
        <v>21.2844444546368</v>
      </c>
      <c r="L16" s="15" t="n">
        <f aca="false">K16/K$4-1</f>
        <v>-0.0340774309147403</v>
      </c>
    </row>
    <row r="17" customFormat="false" ht="17.15" hidden="false" customHeight="false" outlineLevel="0" collapsed="false">
      <c r="A17" s="0" t="s">
        <v>908</v>
      </c>
      <c r="B17" s="0" t="s">
        <v>909</v>
      </c>
      <c r="C17" s="19" t="n">
        <f aca="false">E541</f>
        <v>6.28519172803946</v>
      </c>
      <c r="D17" s="19" t="n">
        <f aca="false">E538</f>
        <v>3.55174813483945</v>
      </c>
      <c r="E17" s="15" t="n">
        <f aca="false">E545</f>
        <v>0.123</v>
      </c>
      <c r="F17" s="8" t="n">
        <f aca="false">E556</f>
        <v>19.105592193273</v>
      </c>
      <c r="G17" s="15" t="n">
        <f aca="false">F17/F$4-1</f>
        <v>-0.00799224416204192</v>
      </c>
      <c r="H17" s="19" t="n">
        <f aca="false">F541</f>
        <v>7.04543903104058</v>
      </c>
      <c r="I17" s="19" t="n">
        <f aca="false">F538</f>
        <v>4.15771127293658</v>
      </c>
      <c r="J17" s="15" t="n">
        <f aca="false">F545</f>
        <v>0.123</v>
      </c>
      <c r="K17" s="8" t="n">
        <f aca="false">F556</f>
        <v>21.5034588662155</v>
      </c>
      <c r="L17" s="15" t="n">
        <f aca="false">K17/K$4-1</f>
        <v>-0.0241382021249212</v>
      </c>
    </row>
    <row r="18" customFormat="false" ht="17.15" hidden="false" customHeight="false" outlineLevel="0" collapsed="false">
      <c r="A18" s="4" t="s">
        <v>910</v>
      </c>
      <c r="B18" s="4" t="s">
        <v>911</v>
      </c>
      <c r="C18" s="19" t="n">
        <f aca="false">E581</f>
        <v>6.33425612803945</v>
      </c>
      <c r="D18" s="19" t="n">
        <f aca="false">E578</f>
        <v>3.60081253483945</v>
      </c>
      <c r="E18" s="15" t="n">
        <f aca="false">E585</f>
        <v>0.123</v>
      </c>
      <c r="F18" s="8" t="n">
        <f aca="false">E596</f>
        <v>18.4306562548564</v>
      </c>
      <c r="G18" s="15" t="n">
        <f aca="false">F18/F$4-1</f>
        <v>-0.0430365222367506</v>
      </c>
      <c r="H18" s="19" t="n">
        <f aca="false">F581</f>
        <v>7.21423583152058</v>
      </c>
      <c r="I18" s="19" t="n">
        <f aca="false">F578</f>
        <v>4.32650807341658</v>
      </c>
      <c r="J18" s="15" t="n">
        <f aca="false">F585</f>
        <v>0.123</v>
      </c>
      <c r="K18" s="8" t="n">
        <f aca="false">F596</f>
        <v>21.0913410869313</v>
      </c>
      <c r="L18" s="15" t="n">
        <f aca="false">K18/K$4-1</f>
        <v>-0.0428407745589977</v>
      </c>
    </row>
    <row r="19" customFormat="false" ht="17.15" hidden="false" customHeight="false" outlineLevel="0" collapsed="false">
      <c r="A19" s="4" t="s">
        <v>912</v>
      </c>
      <c r="B19" s="4" t="s">
        <v>913</v>
      </c>
      <c r="C19" s="19" t="n">
        <f aca="false">E621</f>
        <v>6.33425612803945</v>
      </c>
      <c r="D19" s="19" t="n">
        <f aca="false">E618</f>
        <v>3.60081253483945</v>
      </c>
      <c r="E19" s="15" t="n">
        <f aca="false">E625</f>
        <v>0.123</v>
      </c>
      <c r="F19" s="8" t="n">
        <f aca="false">E636</f>
        <v>17.4349329635246</v>
      </c>
      <c r="G19" s="15" t="n">
        <f aca="false">F19/F$4-1</f>
        <v>-0.0947368421052632</v>
      </c>
      <c r="H19" s="19" t="n">
        <f aca="false">F621</f>
        <v>7.21423583152058</v>
      </c>
      <c r="I19" s="19" t="n">
        <f aca="false">F618</f>
        <v>4.32650807341658</v>
      </c>
      <c r="J19" s="15" t="n">
        <f aca="false">F625</f>
        <v>0.123</v>
      </c>
      <c r="K19" s="8" t="n">
        <f aca="false">F636</f>
        <v>19.947792936743</v>
      </c>
      <c r="L19" s="15" t="n">
        <f aca="false">K19/K$4-1</f>
        <v>-0.0947368421052632</v>
      </c>
    </row>
    <row r="20" customFormat="false" ht="17.15" hidden="false" customHeight="false" outlineLevel="0" collapsed="false">
      <c r="A20" s="4" t="s">
        <v>914</v>
      </c>
      <c r="B20" s="4" t="s">
        <v>915</v>
      </c>
      <c r="C20" s="19" t="n">
        <f aca="false">PL!E81</f>
        <v>6.62441665805526</v>
      </c>
      <c r="D20" s="19" t="n">
        <f aca="false">PL!E78</f>
        <v>3.89097306485526</v>
      </c>
      <c r="E20" s="15" t="n">
        <f aca="false">PL!E85</f>
        <v>0.127</v>
      </c>
      <c r="F20" s="8" t="n">
        <f aca="false">PL!E96</f>
        <v>20.8632871777998</v>
      </c>
      <c r="G20" s="15" t="n">
        <f aca="false">F20/F$4-1</f>
        <v>0.0832714570312654</v>
      </c>
      <c r="H20" s="19" t="n">
        <f aca="false">PL!F81</f>
        <v>8.68563058895432</v>
      </c>
      <c r="I20" s="19" t="n">
        <f aca="false">PL!F78</f>
        <v>5.79790283085032</v>
      </c>
      <c r="J20" s="15" t="n">
        <f aca="false">PL!F85</f>
        <v>0.128</v>
      </c>
      <c r="K20" s="8" t="n">
        <f aca="false">PL!F96</f>
        <v>27.8125790430266</v>
      </c>
      <c r="L20" s="15" t="n">
        <f aca="false">K20/K$4-1</f>
        <v>0.262179891957419</v>
      </c>
    </row>
    <row r="21" customFormat="false" ht="17.15" hidden="false" customHeight="false" outlineLevel="0" collapsed="false">
      <c r="A21" s="4" t="s">
        <v>916</v>
      </c>
      <c r="B21" s="0" t="s">
        <v>917</v>
      </c>
      <c r="C21" s="19" t="n">
        <f aca="false">PL!E161</f>
        <v>6.09105392450117</v>
      </c>
      <c r="D21" s="19" t="n">
        <f aca="false">PL!E158</f>
        <v>3.35761033130117</v>
      </c>
      <c r="E21" s="15" t="n">
        <f aca="false">PL!E165</f>
        <v>0.118</v>
      </c>
      <c r="F21" s="8" t="n">
        <f aca="false">PL!E176</f>
        <v>17.6994966537253</v>
      </c>
      <c r="G21" s="15" t="n">
        <f aca="false">F21/F$4-1</f>
        <v>-0.0810000665090263</v>
      </c>
      <c r="H21" s="19" t="n">
        <f aca="false">PL!F161</f>
        <v>6.17988368774638</v>
      </c>
      <c r="I21" s="19" t="n">
        <f aca="false">PL!F158</f>
        <v>3.29215592964238</v>
      </c>
      <c r="J21" s="15" t="n">
        <f aca="false">PL!F165</f>
        <v>0.115</v>
      </c>
      <c r="K21" s="8" t="n">
        <f aca="false">PL!F176</f>
        <v>17.4827155277829</v>
      </c>
      <c r="L21" s="15" t="n">
        <f aca="false">K21/K$4-1</f>
        <v>-0.206606048225797</v>
      </c>
    </row>
    <row r="23" customFormat="false" ht="17.15" hidden="false" customHeight="false" outlineLevel="0" collapsed="false">
      <c r="A23" s="4" t="s">
        <v>918</v>
      </c>
    </row>
    <row r="25" customFormat="false" ht="17.15" hidden="false" customHeight="false" outlineLevel="0" collapsed="false">
      <c r="A25" s="3" t="s">
        <v>919</v>
      </c>
    </row>
    <row r="26" customFormat="false" ht="17.15" hidden="false" customHeight="false" outlineLevel="0" collapsed="false">
      <c r="A26" s="5" t="s">
        <v>871</v>
      </c>
      <c r="B26" s="5" t="s">
        <v>872</v>
      </c>
      <c r="C26" s="13" t="s">
        <v>920</v>
      </c>
      <c r="D26" s="13" t="s">
        <v>921</v>
      </c>
      <c r="E26" s="5" t="s">
        <v>922</v>
      </c>
      <c r="F26" s="5" t="s">
        <v>923</v>
      </c>
    </row>
    <row r="27" customFormat="false" ht="17.15" hidden="false" customHeight="false" outlineLevel="0" collapsed="false">
      <c r="A27" s="4" t="s">
        <v>24</v>
      </c>
      <c r="B27" s="0" t="s">
        <v>924</v>
      </c>
      <c r="C27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27" s="8" t="n">
        <f aca="false">Val!B35</f>
        <v>396.451583247516</v>
      </c>
      <c r="E27" s="8" t="n">
        <f aca="false">tp_w_dcf*C27+(1-tp_w_dcf)*D27</f>
        <v>373.123198537049</v>
      </c>
      <c r="F27" s="15" t="n">
        <f aca="false">E27/E$27-1</f>
        <v>0</v>
      </c>
    </row>
    <row r="28" customFormat="false" ht="17.15" hidden="false" customHeight="false" outlineLevel="0" collapsed="false">
      <c r="A28" s="4" t="s">
        <v>925</v>
      </c>
      <c r="B28" s="0" t="s">
        <v>926</v>
      </c>
      <c r="C28" s="8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301.742296845059</v>
      </c>
      <c r="D28" s="8" t="n">
        <f aca="false">Val!B35</f>
        <v>396.451583247516</v>
      </c>
      <c r="E28" s="8" t="n">
        <f aca="false">tp_w_dcf*C28+(1-tp_w_dcf)*D28</f>
        <v>349.096940046288</v>
      </c>
      <c r="F28" s="15" t="n">
        <f aca="false">E28/E$27-1</f>
        <v>-0.0643922934434626</v>
      </c>
    </row>
    <row r="29" customFormat="false" ht="17.15" hidden="false" customHeight="false" outlineLevel="0" collapsed="false">
      <c r="A29" s="4" t="s">
        <v>927</v>
      </c>
      <c r="B29" s="0" t="s">
        <v>928</v>
      </c>
      <c r="C29" s="8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417.073897936076</v>
      </c>
      <c r="D29" s="8" t="n">
        <f aca="false">Val!B35</f>
        <v>396.451583247516</v>
      </c>
      <c r="E29" s="8" t="n">
        <f aca="false">tp_w_dcf*C29+(1-tp_w_dcf)*D29</f>
        <v>406.762740591796</v>
      </c>
      <c r="F29" s="15" t="n">
        <f aca="false">E29/E$27-1</f>
        <v>0.0901566618924854</v>
      </c>
    </row>
    <row r="30" customFormat="false" ht="17.15" hidden="false" customHeight="false" outlineLevel="0" collapsed="false">
      <c r="A30" s="4" t="s">
        <v>929</v>
      </c>
      <c r="B30" s="0" t="s">
        <v>930</v>
      </c>
      <c r="C30" s="8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377.008762355398</v>
      </c>
      <c r="D30" s="8" t="n">
        <f aca="false">Val!B35</f>
        <v>396.451583247516</v>
      </c>
      <c r="E30" s="8" t="n">
        <f aca="false">tp_w_dcf*C30+(1-tp_w_dcf)*D30</f>
        <v>386.730172801457</v>
      </c>
      <c r="F30" s="15" t="n">
        <f aca="false">E30/E$27-1</f>
        <v>0.0364677787866283</v>
      </c>
    </row>
    <row r="31" customFormat="false" ht="17.15" hidden="false" customHeight="false" outlineLevel="0" collapsed="false">
      <c r="A31" s="4" t="s">
        <v>931</v>
      </c>
      <c r="B31" s="0" t="s">
        <v>932</v>
      </c>
      <c r="C31" s="8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331.878163965853</v>
      </c>
      <c r="D31" s="8" t="n">
        <f aca="false">Val!B35</f>
        <v>396.451583247516</v>
      </c>
      <c r="E31" s="8" t="n">
        <f aca="false">tp_w_dcf*C31+(1-tp_w_dcf)*D31</f>
        <v>364.164873606684</v>
      </c>
      <c r="F31" s="15" t="n">
        <f aca="false">E31/E$27-1</f>
        <v>-0.0240090269527283</v>
      </c>
    </row>
    <row r="32" customFormat="false" ht="17.15" hidden="false" customHeight="false" outlineLevel="0" collapsed="false">
      <c r="A32" s="0" t="s">
        <v>933</v>
      </c>
      <c r="B32" s="0" t="s">
        <v>934</v>
      </c>
      <c r="C32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32" s="8" t="n">
        <f aca="false">Val!B35</f>
        <v>396.451583247516</v>
      </c>
      <c r="E32" s="8" t="n">
        <f aca="false">0.3*C32+(1-0.3)*D32</f>
        <v>382.454552421236</v>
      </c>
      <c r="F32" s="15" t="n">
        <f aca="false">E32/E$27-1</f>
        <v>0.0250087743693601</v>
      </c>
    </row>
    <row r="33" customFormat="false" ht="17.15" hidden="false" customHeight="false" outlineLevel="0" collapsed="false">
      <c r="A33" s="0" t="s">
        <v>935</v>
      </c>
      <c r="B33" s="0" t="s">
        <v>936</v>
      </c>
      <c r="C33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33" s="8" t="n">
        <f aca="false">Val!B35</f>
        <v>396.451583247516</v>
      </c>
      <c r="E33" s="8" t="n">
        <f aca="false">0.7*C33+(1-0.7)*D33</f>
        <v>363.791844652862</v>
      </c>
      <c r="F33" s="15" t="n">
        <f aca="false">E33/E$27-1</f>
        <v>-0.02500877436936</v>
      </c>
    </row>
    <row r="40" customFormat="false" ht="17.15" hidden="false" customHeight="false" outlineLevel="0" collapsed="false">
      <c r="A40" s="3" t="s">
        <v>937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3" t="s">
        <v>528</v>
      </c>
      <c r="D41" s="13" t="s">
        <v>600</v>
      </c>
      <c r="E41" s="13" t="s">
        <v>601</v>
      </c>
      <c r="F41" s="13" t="s">
        <v>602</v>
      </c>
      <c r="G41" s="13" t="s">
        <v>603</v>
      </c>
      <c r="H41" s="5" t="s">
        <v>534</v>
      </c>
    </row>
    <row r="42" customFormat="false" ht="17.15" hidden="false" customHeight="false" outlineLevel="0" collapsed="false">
      <c r="A42" s="1" t="s">
        <v>628</v>
      </c>
    </row>
    <row r="43" customFormat="false" ht="17.15" hidden="false" customHeight="false" outlineLevel="0" collapsed="false">
      <c r="A43" s="0" t="s">
        <v>629</v>
      </c>
      <c r="B43" s="0" t="s">
        <v>32</v>
      </c>
      <c r="D43" s="19" t="n">
        <f aca="false">mplB_26*1</f>
        <v>29.753262</v>
      </c>
      <c r="E43" s="19" t="n">
        <f aca="false">mplB_27*1*1</f>
        <v>54.688309</v>
      </c>
      <c r="F43" s="19" t="n">
        <f aca="false">mplB_28*um28_B*1</f>
        <v>48.9706</v>
      </c>
      <c r="G43" s="19" t="n">
        <f aca="false">mplB_29*um29_B*1</f>
        <v>66.987208</v>
      </c>
      <c r="H43" s="4" t="s">
        <v>630</v>
      </c>
    </row>
    <row r="44" customFormat="false" ht="17.15" hidden="false" customHeight="false" outlineLevel="0" collapsed="false">
      <c r="A44" s="0" t="s">
        <v>631</v>
      </c>
      <c r="B44" s="0" t="s">
        <v>32</v>
      </c>
      <c r="D44" s="19" t="n">
        <f aca="false">mcpB_26*1</f>
        <v>0.300538</v>
      </c>
      <c r="E44" s="19" t="n">
        <f aca="false">mcpB_27*1</f>
        <v>1.691391</v>
      </c>
      <c r="F44" s="19" t="n">
        <f aca="false">mcpB_28*um28_B</f>
        <v>2.5774</v>
      </c>
      <c r="G44" s="19" t="n">
        <f aca="false">mcpB_29*um29_B</f>
        <v>4.992628</v>
      </c>
    </row>
    <row r="45" customFormat="false" ht="17.15" hidden="false" customHeight="false" outlineLevel="0" collapsed="false">
      <c r="A45" s="0" t="s">
        <v>632</v>
      </c>
      <c r="B45" s="0" t="s">
        <v>65</v>
      </c>
      <c r="D45" s="15" t="n">
        <f aca="false">tr_cy26/D43</f>
        <v>0.0423521320116093</v>
      </c>
      <c r="H45" s="7" t="s">
        <v>633</v>
      </c>
    </row>
    <row r="46" customFormat="false" ht="17.15" hidden="false" customHeight="false" outlineLevel="0" collapsed="false">
      <c r="A46" s="4" t="s">
        <v>634</v>
      </c>
      <c r="B46" s="0" t="s">
        <v>76</v>
      </c>
      <c r="D46" s="8" t="n">
        <f aca="false">1</f>
        <v>1</v>
      </c>
      <c r="E46" s="8" t="n">
        <f aca="false">RLO_27</f>
        <v>0.8</v>
      </c>
      <c r="F46" s="8" t="n">
        <f aca="false">RLO_28</f>
        <v>0.7</v>
      </c>
      <c r="G46" s="8" t="n">
        <f aca="false">RLO_29</f>
        <v>0.6</v>
      </c>
    </row>
    <row r="47" customFormat="false" ht="15" hidden="false" customHeight="false" outlineLevel="0" collapsed="false">
      <c r="A47" s="4" t="s">
        <v>635</v>
      </c>
      <c r="B47" s="0" t="s">
        <v>65</v>
      </c>
      <c r="D47" s="15" t="n">
        <f aca="false">$D$45*D46</f>
        <v>0.0423521320116093</v>
      </c>
      <c r="E47" s="15" t="n">
        <f aca="false">$D$45*E46</f>
        <v>0.0338817056092875</v>
      </c>
      <c r="F47" s="15" t="n">
        <f aca="false">$D$45*F46</f>
        <v>0.0296464924081265</v>
      </c>
      <c r="G47" s="15" t="n">
        <f aca="false">$D$45*G46</f>
        <v>0.0254112792069656</v>
      </c>
    </row>
    <row r="48" customFormat="false" ht="15" hidden="false" customHeight="false" outlineLevel="0" collapsed="false">
      <c r="A48" s="4" t="s">
        <v>636</v>
      </c>
      <c r="B48" s="0" t="s">
        <v>76</v>
      </c>
      <c r="D48" s="8" t="n">
        <f aca="false">1</f>
        <v>1</v>
      </c>
      <c r="E48" s="8" t="n">
        <f aca="false">pxr_27</f>
        <v>1</v>
      </c>
      <c r="F48" s="8" t="n">
        <f aca="false">pxr_28</f>
        <v>1</v>
      </c>
      <c r="G48" s="8" t="n">
        <f aca="false">pxr_29</f>
        <v>1</v>
      </c>
    </row>
    <row r="49" customFormat="false" ht="17.15" hidden="false" customHeight="false" outlineLevel="0" collapsed="false">
      <c r="A49" s="0" t="s">
        <v>637</v>
      </c>
      <c r="B49" s="0" t="s">
        <v>65</v>
      </c>
      <c r="D49" s="15" t="n">
        <f aca="false">0</f>
        <v>0</v>
      </c>
      <c r="E49" s="15" t="n">
        <f aca="false">cpo_27</f>
        <v>0.05</v>
      </c>
      <c r="F49" s="15" t="n">
        <f aca="false">cpo_28</f>
        <v>0.1</v>
      </c>
      <c r="G49" s="15" t="n">
        <f aca="false">cpo_29</f>
        <v>0.15</v>
      </c>
    </row>
    <row r="50" customFormat="false" ht="15" hidden="false" customHeight="false" outlineLevel="0" collapsed="false">
      <c r="A50" s="4" t="s">
        <v>638</v>
      </c>
      <c r="B50" s="0" t="s">
        <v>32</v>
      </c>
      <c r="D50" s="19" t="n">
        <f aca="false">tr_cy26</f>
        <v>1.26011408</v>
      </c>
      <c r="E50" s="19" t="n">
        <f aca="false">E43*E47*E48+E44*E49</f>
        <v>1.93750273580775</v>
      </c>
      <c r="F50" s="19" t="n">
        <f aca="false">F43*F47*F48+F44*F49</f>
        <v>1.7095465211214</v>
      </c>
      <c r="G50" s="19" t="n">
        <f aca="false">G43*G47*G48+G44*G49</f>
        <v>2.45112484578308</v>
      </c>
    </row>
    <row r="51" customFormat="false" ht="17.15" hidden="false" customHeight="false" outlineLevel="0" collapsed="false">
      <c r="A51" s="1" t="s">
        <v>639</v>
      </c>
    </row>
    <row r="52" customFormat="false" ht="17.15" hidden="false" customHeight="false" outlineLevel="0" collapsed="false">
      <c r="A52" s="0" t="s">
        <v>640</v>
      </c>
      <c r="B52" s="0" t="s">
        <v>76</v>
      </c>
      <c r="C52" s="24" t="n">
        <f aca="false">1</f>
        <v>1</v>
      </c>
      <c r="D52" s="24" t="n">
        <f aca="false">1</f>
        <v>1</v>
      </c>
      <c r="E52" s="24" t="n">
        <f aca="false">1</f>
        <v>1</v>
      </c>
      <c r="F52" s="24" t="n">
        <f aca="false">(1-hw)+hw*um28_B</f>
        <v>0.908</v>
      </c>
      <c r="G52" s="24" t="n">
        <f aca="false">(1-hw)*um28_B+hw*um29_B</f>
        <v>0.823</v>
      </c>
      <c r="H52" s="4" t="s">
        <v>641</v>
      </c>
    </row>
    <row r="53" customFormat="false" ht="17.15" hidden="false" customHeight="false" outlineLevel="0" collapsed="false">
      <c r="A53" s="4" t="s">
        <v>642</v>
      </c>
      <c r="B53" s="0" t="s">
        <v>32</v>
      </c>
      <c r="C53" s="19" t="n">
        <f aca="false">a25_tr</f>
        <v>1.16917436338336</v>
      </c>
      <c r="D53" s="19" t="n">
        <f aca="false">a26_tr</f>
        <v>1.163885463</v>
      </c>
      <c r="E53" s="19" t="n">
        <f aca="false">h1_27+hw*E50</f>
        <v>1.56756533847156</v>
      </c>
      <c r="F53" s="19" t="n">
        <f aca="false">(1-hw)*E50+hw*F50</f>
        <v>1.83264287705203</v>
      </c>
      <c r="G53" s="19" t="n">
        <f aca="false">(1-hw)*F50+hw*G50</f>
        <v>2.05067255046577</v>
      </c>
      <c r="H53" s="7" t="s">
        <v>643</v>
      </c>
    </row>
    <row r="54" customFormat="false" ht="17.15" hidden="false" customHeight="false" outlineLevel="0" collapsed="false">
      <c r="A54" s="0" t="s">
        <v>644</v>
      </c>
      <c r="B54" s="0" t="s">
        <v>32</v>
      </c>
      <c r="C54" s="19" t="n">
        <f aca="false">a25_dci</f>
        <v>0.410554710616641</v>
      </c>
      <c r="D54" s="19" t="n">
        <f aca="false">a26_dci</f>
        <v>0.7331</v>
      </c>
      <c r="E54" s="19" t="n">
        <f aca="false">h1dci*(2+h2_dci)</f>
        <v>1.25319348</v>
      </c>
      <c r="F54" s="19" t="n">
        <f aca="false">E54*(1+g_dci_28)</f>
        <v>1.503832176</v>
      </c>
      <c r="G54" s="19" t="n">
        <f aca="false">F54*(1+g_dci_29)</f>
        <v>1.6542153936</v>
      </c>
    </row>
    <row r="55" customFormat="false" ht="17.15" hidden="false" customHeight="false" outlineLevel="0" collapsed="false">
      <c r="A55" s="0" t="s">
        <v>543</v>
      </c>
      <c r="B55" s="0" t="s">
        <v>32</v>
      </c>
      <c r="C55" s="19" t="n">
        <f aca="false">C54*C52</f>
        <v>0.410554710616641</v>
      </c>
      <c r="D55" s="19" t="n">
        <f aca="false">D54*D52</f>
        <v>0.7331</v>
      </c>
      <c r="E55" s="19" t="n">
        <f aca="false">E54*E52</f>
        <v>1.25319348</v>
      </c>
      <c r="F55" s="19" t="n">
        <f aca="false">F54*F52</f>
        <v>1.365479615808</v>
      </c>
      <c r="G55" s="19" t="n">
        <f aca="false">G54*G52</f>
        <v>1.3614192689328</v>
      </c>
    </row>
    <row r="56" customFormat="false" ht="17.15" hidden="false" customHeight="false" outlineLevel="0" collapsed="false">
      <c r="A56" s="0" t="s">
        <v>645</v>
      </c>
      <c r="B56" s="0" t="s">
        <v>32</v>
      </c>
      <c r="C56" s="19" t="n">
        <f aca="false">a25_hpc</f>
        <v>0</v>
      </c>
      <c r="D56" s="19" t="n">
        <f aca="false">a26_hpc</f>
        <v>0.3261</v>
      </c>
      <c r="E56" s="19" t="n">
        <f aca="false">h1hpc*(2+h2_hpc)</f>
        <v>0.5669664</v>
      </c>
      <c r="F56" s="19" t="n">
        <f aca="false">E56*(1+g_hpc_28)</f>
        <v>0.65201136</v>
      </c>
      <c r="G56" s="19" t="n">
        <f aca="false">F56*(1+g_hpc_29)</f>
        <v>0.717212496</v>
      </c>
    </row>
    <row r="57" customFormat="false" ht="17.15" hidden="false" customHeight="false" outlineLevel="0" collapsed="false">
      <c r="A57" s="0" t="s">
        <v>546</v>
      </c>
      <c r="B57" s="0" t="s">
        <v>32</v>
      </c>
      <c r="C57" s="19" t="n">
        <f aca="false">C56*C52</f>
        <v>0</v>
      </c>
      <c r="D57" s="19" t="n">
        <f aca="false">D56*D52</f>
        <v>0.3261</v>
      </c>
      <c r="E57" s="19" t="n">
        <f aca="false">E56*E52</f>
        <v>0.5669664</v>
      </c>
      <c r="F57" s="19" t="n">
        <f aca="false">F56*F52</f>
        <v>0.59202631488</v>
      </c>
      <c r="G57" s="19" t="n">
        <f aca="false">G56*G52</f>
        <v>0.590265884208</v>
      </c>
    </row>
    <row r="58" customFormat="false" ht="15" hidden="false" customHeight="false" outlineLevel="0" collapsed="false">
      <c r="A58" s="4" t="s">
        <v>537</v>
      </c>
      <c r="B58" s="0" t="s">
        <v>32</v>
      </c>
      <c r="C58" s="19" t="n">
        <f aca="false">C53+C55+C57</f>
        <v>1.579729074</v>
      </c>
      <c r="D58" s="19" t="n">
        <f aca="false">D53+D55+D57</f>
        <v>2.223085463</v>
      </c>
      <c r="E58" s="19" t="n">
        <f aca="false">E53+E55+E57</f>
        <v>3.38772521847156</v>
      </c>
      <c r="F58" s="19" t="n">
        <f aca="false">F53+F55+F57</f>
        <v>3.79014880774003</v>
      </c>
      <c r="G58" s="19" t="n">
        <f aca="false">G53+G55+G57</f>
        <v>4.00235770360657</v>
      </c>
    </row>
    <row r="59" customFormat="false" ht="15" hidden="false" customHeight="false" outlineLevel="0" collapsed="false">
      <c r="A59" s="4" t="s">
        <v>646</v>
      </c>
      <c r="B59" s="0" t="s">
        <v>32</v>
      </c>
      <c r="C59" s="19" t="n">
        <f aca="false">a25_ci</f>
        <v>1.049733389</v>
      </c>
      <c r="D59" s="19" t="n">
        <f aca="false">a26_ci</f>
        <v>1.545485301</v>
      </c>
      <c r="E59" s="19" t="n">
        <f aca="false">h1ci*(2+h2_ci)</f>
        <v>1.7611985244</v>
      </c>
      <c r="F59" s="19" t="n">
        <f aca="false">E59*(1+g_ci_28)</f>
        <v>1.866870435864</v>
      </c>
      <c r="G59" s="19" t="n">
        <f aca="false">F59*(1+g_ci_29)</f>
        <v>1.9602139576572</v>
      </c>
    </row>
    <row r="60" customFormat="false" ht="15" hidden="false" customHeight="false" outlineLevel="0" collapsed="false">
      <c r="A60" s="4" t="s">
        <v>647</v>
      </c>
      <c r="B60" s="0" t="s">
        <v>32</v>
      </c>
      <c r="C60" s="19" t="n">
        <f aca="false">a25_aio</f>
        <v>0.789864537</v>
      </c>
      <c r="D60" s="19" t="n">
        <f aca="false">a26_aio</f>
        <v>0.872526236</v>
      </c>
      <c r="E60" s="19" t="n">
        <f aca="false">h1aio*(2+h2_aio)</f>
        <v>0.9722450688</v>
      </c>
      <c r="F60" s="19" t="n">
        <f aca="false">E60*(1+g_aio_28)</f>
        <v>1.02085732224</v>
      </c>
      <c r="G60" s="19" t="n">
        <f aca="false">F60*(1+g_aio_29)</f>
        <v>1.071900188352</v>
      </c>
    </row>
    <row r="61" customFormat="false" ht="15" hidden="false" customHeight="false" outlineLevel="0" collapsed="false">
      <c r="A61" s="4" t="s">
        <v>535</v>
      </c>
      <c r="B61" s="0" t="s">
        <v>32</v>
      </c>
      <c r="C61" s="19" t="n">
        <f aca="false">C58+C59+C60</f>
        <v>3.419327</v>
      </c>
      <c r="D61" s="19" t="n">
        <f aca="false">D58+D59+D60</f>
        <v>4.641097</v>
      </c>
      <c r="E61" s="19" t="n">
        <f aca="false">E58+E59+E60</f>
        <v>6.12116881167156</v>
      </c>
      <c r="F61" s="19" t="n">
        <f aca="false">F58+F59+F60</f>
        <v>6.67787656584403</v>
      </c>
      <c r="G61" s="19" t="n">
        <f aca="false">G58+G59+G60</f>
        <v>7.03447184961577</v>
      </c>
    </row>
    <row r="62" customFormat="false" ht="15" hidden="false" customHeight="false" outlineLevel="0" collapsed="false">
      <c r="A62" s="4" t="s">
        <v>648</v>
      </c>
      <c r="B62" s="0" t="s">
        <v>65</v>
      </c>
      <c r="D62" s="15" t="n">
        <f aca="false">D61/C61-1</f>
        <v>0.357313003406811</v>
      </c>
      <c r="E62" s="15" t="n">
        <f aca="false">E61/D61-1</f>
        <v>0.318905597463609</v>
      </c>
      <c r="F62" s="15" t="n">
        <f aca="false">F61/E61-1</f>
        <v>0.0909479498606478</v>
      </c>
      <c r="G62" s="15" t="n">
        <f aca="false">G61/F61-1</f>
        <v>0.0533995021105445</v>
      </c>
    </row>
    <row r="63" customFormat="false" ht="17.15" hidden="false" customHeight="false" outlineLevel="0" collapsed="false">
      <c r="A63" s="4" t="s">
        <v>649</v>
      </c>
      <c r="B63" s="0" t="s">
        <v>65</v>
      </c>
      <c r="C63" s="15" t="n">
        <f aca="false">C58/C61</f>
        <v>0.462</v>
      </c>
      <c r="D63" s="15" t="n">
        <f aca="false">D58/D61</f>
        <v>0.479</v>
      </c>
      <c r="E63" s="15" t="n">
        <f aca="false">E58/E61</f>
        <v>0.553444174258355</v>
      </c>
      <c r="F63" s="15" t="n">
        <f aca="false">F58/F61</f>
        <v>0.567567964212736</v>
      </c>
      <c r="G63" s="15" t="n">
        <f aca="false">G58/G61</f>
        <v>0.568963497071239</v>
      </c>
    </row>
    <row r="64" customFormat="false" ht="17.15" hidden="false" customHeight="false" outlineLevel="0" collapsed="false">
      <c r="A64" s="1" t="s">
        <v>650</v>
      </c>
    </row>
    <row r="65" customFormat="false" ht="17.15" hidden="false" customHeight="false" outlineLevel="0" collapsed="false">
      <c r="A65" s="4" t="s">
        <v>615</v>
      </c>
      <c r="B65" s="0" t="s">
        <v>65</v>
      </c>
      <c r="C65" s="15" t="n">
        <f aca="false">a25_gp/a25_rev</f>
        <v>0.123943980789202</v>
      </c>
      <c r="D65" s="15" t="n">
        <f aca="false">a26_gp/a26_rev</f>
        <v>0.122378394590762</v>
      </c>
      <c r="E65" s="15" t="n">
        <f aca="false">gm_27</f>
        <v>0.123</v>
      </c>
      <c r="F65" s="15" t="n">
        <f aca="false">gm_28</f>
        <v>0.123</v>
      </c>
      <c r="G65" s="15" t="n">
        <f aca="false">gm_29</f>
        <v>0.123</v>
      </c>
      <c r="H65" s="7" t="s">
        <v>651</v>
      </c>
    </row>
    <row r="66" customFormat="false" ht="15" hidden="false" customHeight="false" outlineLevel="0" collapsed="false">
      <c r="A66" s="4" t="s">
        <v>652</v>
      </c>
      <c r="B66" s="0" t="s">
        <v>32</v>
      </c>
      <c r="C66" s="19" t="n">
        <f aca="false">C61*C65</f>
        <v>0.423805</v>
      </c>
      <c r="D66" s="19" t="n">
        <f aca="false">D61*D65</f>
        <v>0.56797</v>
      </c>
      <c r="E66" s="19" t="n">
        <f aca="false">E61*E65</f>
        <v>0.752903763835602</v>
      </c>
      <c r="F66" s="19" t="n">
        <f aca="false">F61*F65</f>
        <v>0.821378817598816</v>
      </c>
      <c r="G66" s="19" t="n">
        <f aca="false">G61*G65</f>
        <v>0.86524003750274</v>
      </c>
    </row>
    <row r="67" customFormat="false" ht="15" hidden="false" customHeight="false" outlineLevel="0" collapsed="false">
      <c r="A67" s="4" t="s">
        <v>653</v>
      </c>
      <c r="B67" s="0" t="s">
        <v>32</v>
      </c>
      <c r="C67" s="19" t="n">
        <f aca="false">a25_opx</f>
        <v>0.063093</v>
      </c>
      <c r="D67" s="19" t="n">
        <f aca="false">a26_opx</f>
        <v>0.0679069999999999</v>
      </c>
      <c r="E67" s="19" t="n">
        <f aca="false">D67*(1+MAX(0,phi*E62))</f>
        <v>0.072531372108412</v>
      </c>
      <c r="F67" s="19" t="n">
        <f aca="false">E67*(1+MAX(0,phi*F62))</f>
        <v>0.0739399954914948</v>
      </c>
      <c r="G67" s="19" t="n">
        <f aca="false">F67*(1+MAX(0,phi*G62))</f>
        <v>0.0747831219415038</v>
      </c>
    </row>
    <row r="68" customFormat="false" ht="15" hidden="false" customHeight="false" outlineLevel="0" collapsed="false">
      <c r="A68" s="4" t="s">
        <v>654</v>
      </c>
      <c r="B68" s="0" t="s">
        <v>32</v>
      </c>
      <c r="C68" s="14" t="n">
        <f aca="false">C67</f>
        <v>0.063093</v>
      </c>
      <c r="D68" s="14" t="n">
        <f aca="false">D67</f>
        <v>0.0679069999999999</v>
      </c>
      <c r="E68" s="14" t="n">
        <f aca="false">E67+0*E61</f>
        <v>0.072531372108412</v>
      </c>
      <c r="F68" s="14" t="n">
        <f aca="false">F67+0*F61</f>
        <v>0.0739399954914948</v>
      </c>
      <c r="G68" s="14" t="n">
        <f aca="false">G67+0*G61</f>
        <v>0.0747831219415038</v>
      </c>
    </row>
    <row r="69" customFormat="false" ht="15" hidden="false" customHeight="false" outlineLevel="0" collapsed="false">
      <c r="A69" s="4" t="s">
        <v>655</v>
      </c>
      <c r="B69" s="0" t="s">
        <v>32</v>
      </c>
      <c r="C69" s="19" t="n">
        <f aca="false">C66-C68</f>
        <v>0.360712</v>
      </c>
      <c r="D69" s="19" t="n">
        <f aca="false">D66-D68</f>
        <v>0.500063</v>
      </c>
      <c r="E69" s="19" t="n">
        <f aca="false">E66-E68</f>
        <v>0.68037239172719</v>
      </c>
      <c r="F69" s="19" t="n">
        <f aca="false">F66-F68</f>
        <v>0.747438822107321</v>
      </c>
      <c r="G69" s="19" t="n">
        <f aca="false">G66-G68</f>
        <v>0.790456915561236</v>
      </c>
    </row>
    <row r="70" customFormat="false" ht="15" hidden="false" customHeight="false" outlineLevel="0" collapsed="false">
      <c r="A70" s="4" t="s">
        <v>616</v>
      </c>
      <c r="B70" s="0" t="s">
        <v>65</v>
      </c>
      <c r="C70" s="15" t="n">
        <f aca="false">C69/C61</f>
        <v>0.10549210414798</v>
      </c>
      <c r="D70" s="15" t="n">
        <f aca="false">D69/D61</f>
        <v>0.107746724535169</v>
      </c>
      <c r="E70" s="15" t="n">
        <f aca="false">E69/E61</f>
        <v>0.111150731610258</v>
      </c>
      <c r="F70" s="15" t="n">
        <f aca="false">F69/F61</f>
        <v>0.11192761871795</v>
      </c>
      <c r="G70" s="15" t="n">
        <f aca="false">G69/G61</f>
        <v>0.112369049512141</v>
      </c>
    </row>
    <row r="71" customFormat="false" ht="15" hidden="false" customHeight="false" outlineLevel="0" collapsed="false">
      <c r="A71" s="4" t="s">
        <v>656</v>
      </c>
      <c r="B71" s="0" t="s">
        <v>32</v>
      </c>
      <c r="C71" s="14" t="n">
        <f aca="false">a25_oth</f>
        <v>0.030733</v>
      </c>
      <c r="D71" s="14" t="n">
        <f aca="false">a26_oth</f>
        <v>0.0354829999999999</v>
      </c>
      <c r="E71" s="14" t="n">
        <f aca="false">int_f</f>
        <v>0.03</v>
      </c>
      <c r="F71" s="14" t="n">
        <f aca="false">int_f</f>
        <v>0.03</v>
      </c>
      <c r="G71" s="14" t="n">
        <f aca="false">int_f</f>
        <v>0.03</v>
      </c>
    </row>
    <row r="72" customFormat="false" ht="15" hidden="false" customHeight="false" outlineLevel="0" collapsed="false">
      <c r="A72" s="4" t="s">
        <v>657</v>
      </c>
      <c r="B72" s="0" t="s">
        <v>32</v>
      </c>
      <c r="C72" s="19" t="n">
        <f aca="false">C69+C71</f>
        <v>0.391445</v>
      </c>
      <c r="D72" s="19" t="n">
        <f aca="false">D69+D71</f>
        <v>0.535546</v>
      </c>
      <c r="E72" s="19" t="n">
        <f aca="false">E69+E71</f>
        <v>0.71037239172719</v>
      </c>
      <c r="F72" s="19" t="n">
        <f aca="false">F69+F71</f>
        <v>0.777438822107321</v>
      </c>
      <c r="G72" s="19" t="n">
        <f aca="false">G69+G71</f>
        <v>0.820456915561237</v>
      </c>
    </row>
    <row r="73" customFormat="false" ht="15" hidden="false" customHeight="false" outlineLevel="0" collapsed="false">
      <c r="A73" s="4" t="s">
        <v>617</v>
      </c>
      <c r="B73" s="0" t="s">
        <v>32</v>
      </c>
      <c r="C73" s="19" t="n">
        <f aca="false">a25_ni</f>
        <v>0.368792</v>
      </c>
      <c r="D73" s="19" t="n">
        <f aca="false">a26_ni</f>
        <v>0.510907</v>
      </c>
      <c r="E73" s="19" t="n">
        <f aca="false">E72*(1-(tx))</f>
        <v>0.674853772140831</v>
      </c>
      <c r="F73" s="19" t="n">
        <f aca="false">F72*(1-(tx))</f>
        <v>0.738566881001955</v>
      </c>
      <c r="G73" s="19" t="n">
        <f aca="false">G72*(1-(tx))</f>
        <v>0.779434069783175</v>
      </c>
    </row>
    <row r="74" customFormat="false" ht="15" hidden="false" customHeight="false" outlineLevel="0" collapsed="false">
      <c r="A74" s="4" t="s">
        <v>658</v>
      </c>
      <c r="B74" s="0" t="s">
        <v>65</v>
      </c>
      <c r="C74" s="15" t="n">
        <f aca="false">C73/C61</f>
        <v>0.107855142254602</v>
      </c>
      <c r="D74" s="15" t="n">
        <f aca="false">D73/D61</f>
        <v>0.110083241095801</v>
      </c>
      <c r="E74" s="15" t="n">
        <f aca="false">E73/E61</f>
        <v>0.110249168566312</v>
      </c>
      <c r="F74" s="15" t="n">
        <f aca="false">F73/F61</f>
        <v>0.110599061501013</v>
      </c>
      <c r="G74" s="15" t="n">
        <f aca="false">G73/G61</f>
        <v>0.110802073907759</v>
      </c>
    </row>
    <row r="75" customFormat="false" ht="15" hidden="false" customHeight="false" outlineLevel="0" collapsed="false">
      <c r="A75" s="4" t="s">
        <v>559</v>
      </c>
      <c r="B75" s="4" t="s">
        <v>307</v>
      </c>
      <c r="C75" s="16" t="n">
        <f aca="false">a25_sh</f>
        <v>0.036267</v>
      </c>
      <c r="D75" s="16" t="n">
        <f aca="false">a26_sh</f>
        <v>0.036252</v>
      </c>
      <c r="E75" s="16" t="n">
        <f aca="false">sh_q1*(1+sh_g)</f>
        <v>0.0363</v>
      </c>
      <c r="F75" s="16" t="n">
        <f aca="false">E75*(1+sh_g)</f>
        <v>0.0363</v>
      </c>
      <c r="G75" s="16" t="n">
        <f aca="false">F75*(1+sh_g)</f>
        <v>0.0363</v>
      </c>
    </row>
    <row r="76" customFormat="false" ht="15" hidden="false" customHeight="false" outlineLevel="0" collapsed="false">
      <c r="A76" s="0" t="s">
        <v>618</v>
      </c>
      <c r="B76" s="0" t="s">
        <v>217</v>
      </c>
      <c r="C76" s="19" t="n">
        <f aca="false">C73/C75</f>
        <v>10.1688035955552</v>
      </c>
      <c r="D76" s="19" t="n">
        <f aca="false">D73/D75</f>
        <v>14.0932086505572</v>
      </c>
      <c r="E76" s="19" t="n">
        <f aca="false">E73/E75</f>
        <v>18.5910130066345</v>
      </c>
      <c r="F76" s="19" t="n">
        <f aca="false">F73/F75</f>
        <v>20.3461950689244</v>
      </c>
      <c r="G76" s="19" t="n">
        <f aca="false">G73/G75</f>
        <v>21.4720129416853</v>
      </c>
    </row>
    <row r="77" customFormat="false" ht="17.15" hidden="false" customHeight="false" outlineLevel="0" collapsed="false">
      <c r="A77" s="0" t="s">
        <v>659</v>
      </c>
      <c r="B77" s="0" t="s">
        <v>65</v>
      </c>
      <c r="D77" s="15" t="n">
        <f aca="false">D76/C76-1</f>
        <v>0.385925936923139</v>
      </c>
      <c r="E77" s="15" t="n">
        <f aca="false">E76/D76-1</f>
        <v>0.319146935776007</v>
      </c>
      <c r="F77" s="15" t="n">
        <f aca="false">F76/E76-1</f>
        <v>0.0944102433613252</v>
      </c>
      <c r="G77" s="15" t="n">
        <f aca="false">G76/F76-1</f>
        <v>0.0553330914673273</v>
      </c>
    </row>
    <row r="80" customFormat="false" ht="17.15" hidden="false" customHeight="false" outlineLevel="0" collapsed="false">
      <c r="A80" s="3" t="s">
        <v>938</v>
      </c>
    </row>
    <row r="81" customFormat="false" ht="17.15" hidden="false" customHeight="false" outlineLevel="0" collapsed="false">
      <c r="A81" s="5" t="s">
        <v>21</v>
      </c>
      <c r="B81" s="5" t="s">
        <v>22</v>
      </c>
      <c r="C81" s="13" t="s">
        <v>528</v>
      </c>
      <c r="D81" s="13" t="s">
        <v>600</v>
      </c>
      <c r="E81" s="13" t="s">
        <v>601</v>
      </c>
      <c r="F81" s="13" t="s">
        <v>602</v>
      </c>
      <c r="G81" s="13" t="s">
        <v>603</v>
      </c>
      <c r="H81" s="5" t="s">
        <v>534</v>
      </c>
    </row>
    <row r="82" customFormat="false" ht="17.15" hidden="false" customHeight="false" outlineLevel="0" collapsed="false">
      <c r="A82" s="1" t="s">
        <v>628</v>
      </c>
    </row>
    <row r="83" customFormat="false" ht="17.15" hidden="false" customHeight="false" outlineLevel="0" collapsed="false">
      <c r="A83" s="0" t="s">
        <v>629</v>
      </c>
      <c r="B83" s="0" t="s">
        <v>32</v>
      </c>
      <c r="D83" s="19" t="n">
        <f aca="false">mplB_26*1</f>
        <v>29.753262</v>
      </c>
      <c r="E83" s="19" t="n">
        <f aca="false">mplB_27*1*1</f>
        <v>54.688309</v>
      </c>
      <c r="F83" s="19" t="n">
        <f aca="false">mplB_28*um28_B*1</f>
        <v>48.9706</v>
      </c>
      <c r="G83" s="19" t="n">
        <f aca="false">mplB_29*um29_B*1</f>
        <v>66.987208</v>
      </c>
      <c r="H83" s="4" t="s">
        <v>630</v>
      </c>
    </row>
    <row r="84" customFormat="false" ht="17.15" hidden="false" customHeight="false" outlineLevel="0" collapsed="false">
      <c r="A84" s="0" t="s">
        <v>631</v>
      </c>
      <c r="B84" s="0" t="s">
        <v>32</v>
      </c>
      <c r="D84" s="19" t="n">
        <f aca="false">mcpB_26*1</f>
        <v>0.300538</v>
      </c>
      <c r="E84" s="19" t="n">
        <f aca="false">mcpB_27*1</f>
        <v>1.691391</v>
      </c>
      <c r="F84" s="19" t="n">
        <f aca="false">mcpB_28*um28_B</f>
        <v>2.5774</v>
      </c>
      <c r="G84" s="19" t="n">
        <f aca="false">mcpB_29*um29_B</f>
        <v>4.992628</v>
      </c>
    </row>
    <row r="85" customFormat="false" ht="17.15" hidden="false" customHeight="false" outlineLevel="0" collapsed="false">
      <c r="A85" s="0" t="s">
        <v>632</v>
      </c>
      <c r="B85" s="0" t="s">
        <v>65</v>
      </c>
      <c r="D85" s="15" t="n">
        <f aca="false">tr_cy26/D83</f>
        <v>0.0423521320116093</v>
      </c>
      <c r="H85" s="7" t="s">
        <v>633</v>
      </c>
    </row>
    <row r="86" customFormat="false" ht="17.15" hidden="false" customHeight="false" outlineLevel="0" collapsed="false">
      <c r="A86" s="4" t="s">
        <v>634</v>
      </c>
      <c r="B86" s="0" t="s">
        <v>76</v>
      </c>
      <c r="D86" s="8" t="n">
        <f aca="false">1</f>
        <v>1</v>
      </c>
      <c r="E86" s="8" t="n">
        <f aca="false">RHI_27</f>
        <v>1.15</v>
      </c>
      <c r="F86" s="8" t="n">
        <f aca="false">RHI_28</f>
        <v>1.25</v>
      </c>
      <c r="G86" s="8" t="n">
        <f aca="false">RHI_29</f>
        <v>1.3</v>
      </c>
    </row>
    <row r="87" customFormat="false" ht="15" hidden="false" customHeight="false" outlineLevel="0" collapsed="false">
      <c r="A87" s="4" t="s">
        <v>635</v>
      </c>
      <c r="B87" s="0" t="s">
        <v>65</v>
      </c>
      <c r="D87" s="15" t="n">
        <f aca="false">$D$85*D86</f>
        <v>0.0423521320116093</v>
      </c>
      <c r="E87" s="15" t="n">
        <f aca="false">$D$85*E86</f>
        <v>0.0487049518133507</v>
      </c>
      <c r="F87" s="15" t="n">
        <f aca="false">$D$85*F86</f>
        <v>0.0529401650145117</v>
      </c>
      <c r="G87" s="15" t="n">
        <f aca="false">$D$85*G86</f>
        <v>0.0550577716150921</v>
      </c>
    </row>
    <row r="88" customFormat="false" ht="15" hidden="false" customHeight="false" outlineLevel="0" collapsed="false">
      <c r="A88" s="4" t="s">
        <v>636</v>
      </c>
      <c r="B88" s="0" t="s">
        <v>76</v>
      </c>
      <c r="D88" s="8" t="n">
        <f aca="false">1</f>
        <v>1</v>
      </c>
      <c r="E88" s="8" t="n">
        <f aca="false">pxr_27</f>
        <v>1</v>
      </c>
      <c r="F88" s="8" t="n">
        <f aca="false">pxr_28</f>
        <v>1</v>
      </c>
      <c r="G88" s="8" t="n">
        <f aca="false">pxr_29</f>
        <v>1</v>
      </c>
    </row>
    <row r="89" customFormat="false" ht="17.15" hidden="false" customHeight="false" outlineLevel="0" collapsed="false">
      <c r="A89" s="0" t="s">
        <v>637</v>
      </c>
      <c r="B89" s="0" t="s">
        <v>65</v>
      </c>
      <c r="D89" s="15" t="n">
        <f aca="false">0</f>
        <v>0</v>
      </c>
      <c r="E89" s="15" t="n">
        <f aca="false">cpo_27</f>
        <v>0.05</v>
      </c>
      <c r="F89" s="15" t="n">
        <f aca="false">cpo_28</f>
        <v>0.1</v>
      </c>
      <c r="G89" s="15" t="n">
        <f aca="false">cpo_29</f>
        <v>0.15</v>
      </c>
    </row>
    <row r="90" customFormat="false" ht="15" hidden="false" customHeight="false" outlineLevel="0" collapsed="false">
      <c r="A90" s="4" t="s">
        <v>638</v>
      </c>
      <c r="B90" s="0" t="s">
        <v>32</v>
      </c>
      <c r="D90" s="19" t="n">
        <f aca="false">tr_cy26</f>
        <v>1.26011408</v>
      </c>
      <c r="E90" s="19" t="n">
        <f aca="false">E83*E87*E88+E84*E89</f>
        <v>2.74816100459864</v>
      </c>
      <c r="F90" s="19" t="n">
        <f aca="false">F83*F87*F88+F84*F89</f>
        <v>2.85025164485965</v>
      </c>
      <c r="G90" s="19" t="n">
        <f aca="false">G83*G87*G88+G84*G89</f>
        <v>4.43706059919667</v>
      </c>
    </row>
    <row r="91" customFormat="false" ht="17.15" hidden="false" customHeight="false" outlineLevel="0" collapsed="false">
      <c r="A91" s="1" t="s">
        <v>639</v>
      </c>
    </row>
    <row r="92" customFormat="false" ht="17.15" hidden="false" customHeight="false" outlineLevel="0" collapsed="false">
      <c r="A92" s="0" t="s">
        <v>640</v>
      </c>
      <c r="B92" s="0" t="s">
        <v>76</v>
      </c>
      <c r="C92" s="24" t="n">
        <f aca="false">1</f>
        <v>1</v>
      </c>
      <c r="D92" s="24" t="n">
        <f aca="false">1</f>
        <v>1</v>
      </c>
      <c r="E92" s="24" t="n">
        <f aca="false">1</f>
        <v>1</v>
      </c>
      <c r="F92" s="24" t="n">
        <f aca="false">(1-hw)+hw*um28_B</f>
        <v>0.908</v>
      </c>
      <c r="G92" s="24" t="n">
        <f aca="false">(1-hw)*um28_B+hw*um29_B</f>
        <v>0.823</v>
      </c>
      <c r="H92" s="4" t="s">
        <v>641</v>
      </c>
    </row>
    <row r="93" customFormat="false" ht="17.15" hidden="false" customHeight="false" outlineLevel="0" collapsed="false">
      <c r="A93" s="4" t="s">
        <v>642</v>
      </c>
      <c r="B93" s="0" t="s">
        <v>32</v>
      </c>
      <c r="C93" s="19" t="n">
        <f aca="false">a25_tr</f>
        <v>1.16917436338336</v>
      </c>
      <c r="D93" s="19" t="n">
        <f aca="false">a26_tr</f>
        <v>1.163885463</v>
      </c>
      <c r="E93" s="19" t="n">
        <f aca="false">h1_27+hw*E90</f>
        <v>1.94046814211537</v>
      </c>
      <c r="F93" s="19" t="n">
        <f aca="false">(1-hw)*E90+hw*F90</f>
        <v>2.7951226991187</v>
      </c>
      <c r="G93" s="19" t="n">
        <f aca="false">(1-hw)*F90+hw*G90</f>
        <v>3.58018376385468</v>
      </c>
      <c r="H93" s="7" t="s">
        <v>643</v>
      </c>
    </row>
    <row r="94" customFormat="false" ht="17.15" hidden="false" customHeight="false" outlineLevel="0" collapsed="false">
      <c r="A94" s="0" t="s">
        <v>644</v>
      </c>
      <c r="B94" s="0" t="s">
        <v>32</v>
      </c>
      <c r="C94" s="19" t="n">
        <f aca="false">a25_dci</f>
        <v>0.410554710616641</v>
      </c>
      <c r="D94" s="19" t="n">
        <f aca="false">a26_dci</f>
        <v>0.7331</v>
      </c>
      <c r="E94" s="19" t="n">
        <f aca="false">h1dci*(2+h2_dci)</f>
        <v>1.25319348</v>
      </c>
      <c r="F94" s="19" t="n">
        <f aca="false">E94*(1+g_dci_28)</f>
        <v>1.503832176</v>
      </c>
      <c r="G94" s="19" t="n">
        <f aca="false">F94*(1+g_dci_29)</f>
        <v>1.6542153936</v>
      </c>
    </row>
    <row r="95" customFormat="false" ht="17.15" hidden="false" customHeight="false" outlineLevel="0" collapsed="false">
      <c r="A95" s="0" t="s">
        <v>543</v>
      </c>
      <c r="B95" s="0" t="s">
        <v>32</v>
      </c>
      <c r="C95" s="19" t="n">
        <f aca="false">C94*C92</f>
        <v>0.410554710616641</v>
      </c>
      <c r="D95" s="19" t="n">
        <f aca="false">D94*D92</f>
        <v>0.7331</v>
      </c>
      <c r="E95" s="19" t="n">
        <f aca="false">E94*E92</f>
        <v>1.25319348</v>
      </c>
      <c r="F95" s="19" t="n">
        <f aca="false">F94*F92</f>
        <v>1.365479615808</v>
      </c>
      <c r="G95" s="19" t="n">
        <f aca="false">G94*G92</f>
        <v>1.3614192689328</v>
      </c>
    </row>
    <row r="96" customFormat="false" ht="17.15" hidden="false" customHeight="false" outlineLevel="0" collapsed="false">
      <c r="A96" s="0" t="s">
        <v>645</v>
      </c>
      <c r="B96" s="0" t="s">
        <v>32</v>
      </c>
      <c r="C96" s="19" t="n">
        <f aca="false">a25_hpc</f>
        <v>0</v>
      </c>
      <c r="D96" s="19" t="n">
        <f aca="false">a26_hpc</f>
        <v>0.3261</v>
      </c>
      <c r="E96" s="19" t="n">
        <f aca="false">h1hpc*(2+h2_hpc)</f>
        <v>0.5669664</v>
      </c>
      <c r="F96" s="19" t="n">
        <f aca="false">E96*(1+g_hpc_28)</f>
        <v>0.65201136</v>
      </c>
      <c r="G96" s="19" t="n">
        <f aca="false">F96*(1+g_hpc_29)</f>
        <v>0.717212496</v>
      </c>
    </row>
    <row r="97" customFormat="false" ht="17.15" hidden="false" customHeight="false" outlineLevel="0" collapsed="false">
      <c r="A97" s="0" t="s">
        <v>546</v>
      </c>
      <c r="B97" s="0" t="s">
        <v>32</v>
      </c>
      <c r="C97" s="19" t="n">
        <f aca="false">C96*C92</f>
        <v>0</v>
      </c>
      <c r="D97" s="19" t="n">
        <f aca="false">D96*D92</f>
        <v>0.3261</v>
      </c>
      <c r="E97" s="19" t="n">
        <f aca="false">E96*E92</f>
        <v>0.5669664</v>
      </c>
      <c r="F97" s="19" t="n">
        <f aca="false">F96*F92</f>
        <v>0.59202631488</v>
      </c>
      <c r="G97" s="19" t="n">
        <f aca="false">G96*G92</f>
        <v>0.590265884208</v>
      </c>
    </row>
    <row r="98" customFormat="false" ht="15" hidden="false" customHeight="false" outlineLevel="0" collapsed="false">
      <c r="A98" s="4" t="s">
        <v>537</v>
      </c>
      <c r="B98" s="0" t="s">
        <v>32</v>
      </c>
      <c r="C98" s="19" t="n">
        <f aca="false">C93+C95+C97</f>
        <v>1.579729074</v>
      </c>
      <c r="D98" s="19" t="n">
        <f aca="false">D93+D95+D97</f>
        <v>2.223085463</v>
      </c>
      <c r="E98" s="19" t="n">
        <f aca="false">E93+E95+E97</f>
        <v>3.76062802211537</v>
      </c>
      <c r="F98" s="19" t="n">
        <f aca="false">F93+F95+F97</f>
        <v>4.7526286298067</v>
      </c>
      <c r="G98" s="19" t="n">
        <f aca="false">G93+G95+G97</f>
        <v>5.53186891699548</v>
      </c>
    </row>
    <row r="99" customFormat="false" ht="15" hidden="false" customHeight="false" outlineLevel="0" collapsed="false">
      <c r="A99" s="4" t="s">
        <v>646</v>
      </c>
      <c r="B99" s="0" t="s">
        <v>32</v>
      </c>
      <c r="C99" s="19" t="n">
        <f aca="false">a25_ci</f>
        <v>1.049733389</v>
      </c>
      <c r="D99" s="19" t="n">
        <f aca="false">a26_ci</f>
        <v>1.545485301</v>
      </c>
      <c r="E99" s="19" t="n">
        <f aca="false">h1ci*(2+h2_ci)</f>
        <v>1.7611985244</v>
      </c>
      <c r="F99" s="19" t="n">
        <f aca="false">E99*(1+g_ci_28)</f>
        <v>1.866870435864</v>
      </c>
      <c r="G99" s="19" t="n">
        <f aca="false">F99*(1+g_ci_29)</f>
        <v>1.9602139576572</v>
      </c>
    </row>
    <row r="100" customFormat="false" ht="15" hidden="false" customHeight="false" outlineLevel="0" collapsed="false">
      <c r="A100" s="4" t="s">
        <v>647</v>
      </c>
      <c r="B100" s="0" t="s">
        <v>32</v>
      </c>
      <c r="C100" s="19" t="n">
        <f aca="false">a25_aio</f>
        <v>0.789864537</v>
      </c>
      <c r="D100" s="19" t="n">
        <f aca="false">a26_aio</f>
        <v>0.872526236</v>
      </c>
      <c r="E100" s="19" t="n">
        <f aca="false">h1aio*(2+h2_aio)</f>
        <v>0.9722450688</v>
      </c>
      <c r="F100" s="19" t="n">
        <f aca="false">E100*(1+g_aio_28)</f>
        <v>1.02085732224</v>
      </c>
      <c r="G100" s="19" t="n">
        <f aca="false">F100*(1+g_aio_29)</f>
        <v>1.071900188352</v>
      </c>
    </row>
    <row r="101" customFormat="false" ht="15" hidden="false" customHeight="false" outlineLevel="0" collapsed="false">
      <c r="A101" s="4" t="s">
        <v>535</v>
      </c>
      <c r="B101" s="0" t="s">
        <v>32</v>
      </c>
      <c r="C101" s="19" t="n">
        <f aca="false">C98+C99+C100</f>
        <v>3.419327</v>
      </c>
      <c r="D101" s="19" t="n">
        <f aca="false">D98+D99+D100</f>
        <v>4.641097</v>
      </c>
      <c r="E101" s="19" t="n">
        <f aca="false">E98+E99+E100</f>
        <v>6.49407161531537</v>
      </c>
      <c r="F101" s="19" t="n">
        <f aca="false">F98+F99+F100</f>
        <v>7.6403563879107</v>
      </c>
      <c r="G101" s="19" t="n">
        <f aca="false">G98+G99+G100</f>
        <v>8.56398306300468</v>
      </c>
    </row>
    <row r="102" customFormat="false" ht="15" hidden="false" customHeight="false" outlineLevel="0" collapsed="false">
      <c r="A102" s="4" t="s">
        <v>648</v>
      </c>
      <c r="B102" s="0" t="s">
        <v>65</v>
      </c>
      <c r="D102" s="15" t="n">
        <f aca="false">D101/C101-1</f>
        <v>0.357313003406811</v>
      </c>
      <c r="E102" s="15" t="n">
        <f aca="false">E101/D101-1</f>
        <v>0.39925358494239</v>
      </c>
      <c r="F102" s="15" t="n">
        <f aca="false">F101/E101-1</f>
        <v>0.176512493316516</v>
      </c>
      <c r="G102" s="15" t="n">
        <f aca="false">G101/F101-1</f>
        <v>0.12088790472594</v>
      </c>
    </row>
    <row r="103" customFormat="false" ht="17.15" hidden="false" customHeight="false" outlineLevel="0" collapsed="false">
      <c r="A103" s="4" t="s">
        <v>649</v>
      </c>
      <c r="B103" s="0" t="s">
        <v>65</v>
      </c>
      <c r="C103" s="15" t="n">
        <f aca="false">C98/C101</f>
        <v>0.462</v>
      </c>
      <c r="D103" s="15" t="n">
        <f aca="false">D98/D101</f>
        <v>0.479</v>
      </c>
      <c r="E103" s="15" t="n">
        <f aca="false">E98/E101</f>
        <v>0.579086318242387</v>
      </c>
      <c r="F103" s="15" t="n">
        <f aca="false">F98/F101</f>
        <v>0.622042793360629</v>
      </c>
      <c r="G103" s="15" t="n">
        <f aca="false">G98/G101</f>
        <v>0.645945803056577</v>
      </c>
    </row>
    <row r="104" customFormat="false" ht="17.15" hidden="false" customHeight="false" outlineLevel="0" collapsed="false">
      <c r="A104" s="1" t="s">
        <v>650</v>
      </c>
    </row>
    <row r="105" customFormat="false" ht="17.15" hidden="false" customHeight="false" outlineLevel="0" collapsed="false">
      <c r="A105" s="4" t="s">
        <v>615</v>
      </c>
      <c r="B105" s="0" t="s">
        <v>65</v>
      </c>
      <c r="C105" s="15" t="n">
        <f aca="false">a25_gp/a25_rev</f>
        <v>0.123943980789202</v>
      </c>
      <c r="D105" s="15" t="n">
        <f aca="false">a26_gp/a26_rev</f>
        <v>0.122378394590762</v>
      </c>
      <c r="E105" s="15" t="n">
        <f aca="false">gm_27</f>
        <v>0.123</v>
      </c>
      <c r="F105" s="15" t="n">
        <f aca="false">gm_28</f>
        <v>0.123</v>
      </c>
      <c r="G105" s="15" t="n">
        <f aca="false">gm_29</f>
        <v>0.123</v>
      </c>
      <c r="H105" s="7" t="s">
        <v>651</v>
      </c>
    </row>
    <row r="106" customFormat="false" ht="15" hidden="false" customHeight="false" outlineLevel="0" collapsed="false">
      <c r="A106" s="4" t="s">
        <v>652</v>
      </c>
      <c r="B106" s="0" t="s">
        <v>32</v>
      </c>
      <c r="C106" s="19" t="n">
        <f aca="false">C101*C105</f>
        <v>0.423805</v>
      </c>
      <c r="D106" s="19" t="n">
        <f aca="false">D101*D105</f>
        <v>0.56797</v>
      </c>
      <c r="E106" s="19" t="n">
        <f aca="false">E101*E105</f>
        <v>0.798770808683791</v>
      </c>
      <c r="F106" s="19" t="n">
        <f aca="false">F101*F105</f>
        <v>0.939763835713016</v>
      </c>
      <c r="G106" s="19" t="n">
        <f aca="false">G101*G105</f>
        <v>1.05336991674958</v>
      </c>
    </row>
    <row r="107" customFormat="false" ht="15" hidden="false" customHeight="false" outlineLevel="0" collapsed="false">
      <c r="A107" s="4" t="s">
        <v>653</v>
      </c>
      <c r="B107" s="0" t="s">
        <v>32</v>
      </c>
      <c r="C107" s="19" t="n">
        <f aca="false">a25_opx</f>
        <v>0.063093</v>
      </c>
      <c r="D107" s="19" t="n">
        <f aca="false">a26_opx</f>
        <v>0.0679069999999999</v>
      </c>
      <c r="E107" s="19" t="n">
        <f aca="false">D107*(1+MAX(0,phi*E102))</f>
        <v>0.073696478632785</v>
      </c>
      <c r="F107" s="19" t="n">
        <f aca="false">E107*(1+MAX(0,phi*F102))</f>
        <v>0.0764742613589176</v>
      </c>
      <c r="G107" s="19" t="n">
        <f aca="false">F107*(1+MAX(0,phi*G102))</f>
        <v>0.0784483844465397</v>
      </c>
    </row>
    <row r="108" customFormat="false" ht="15" hidden="false" customHeight="false" outlineLevel="0" collapsed="false">
      <c r="A108" s="4" t="s">
        <v>654</v>
      </c>
      <c r="B108" s="0" t="s">
        <v>32</v>
      </c>
      <c r="C108" s="14" t="n">
        <f aca="false">C107</f>
        <v>0.063093</v>
      </c>
      <c r="D108" s="14" t="n">
        <f aca="false">D107</f>
        <v>0.0679069999999999</v>
      </c>
      <c r="E108" s="14" t="n">
        <f aca="false">E107+0*E101</f>
        <v>0.073696478632785</v>
      </c>
      <c r="F108" s="14" t="n">
        <f aca="false">F107+0*F101</f>
        <v>0.0764742613589176</v>
      </c>
      <c r="G108" s="14" t="n">
        <f aca="false">G107+0*G101</f>
        <v>0.0784483844465397</v>
      </c>
    </row>
    <row r="109" customFormat="false" ht="15" hidden="false" customHeight="false" outlineLevel="0" collapsed="false">
      <c r="A109" s="4" t="s">
        <v>655</v>
      </c>
      <c r="B109" s="0" t="s">
        <v>32</v>
      </c>
      <c r="C109" s="19" t="n">
        <f aca="false">C106-C108</f>
        <v>0.360712</v>
      </c>
      <c r="D109" s="19" t="n">
        <f aca="false">D106-D108</f>
        <v>0.500063</v>
      </c>
      <c r="E109" s="19" t="n">
        <f aca="false">E106-E108</f>
        <v>0.725074330051006</v>
      </c>
      <c r="F109" s="19" t="n">
        <f aca="false">F106-F108</f>
        <v>0.863289574354099</v>
      </c>
      <c r="G109" s="19" t="n">
        <f aca="false">G106-G108</f>
        <v>0.974921532303036</v>
      </c>
    </row>
    <row r="110" customFormat="false" ht="15" hidden="false" customHeight="false" outlineLevel="0" collapsed="false">
      <c r="A110" s="4" t="s">
        <v>616</v>
      </c>
      <c r="B110" s="0" t="s">
        <v>65</v>
      </c>
      <c r="C110" s="15" t="n">
        <f aca="false">C109/C101</f>
        <v>0.10549210414798</v>
      </c>
      <c r="D110" s="15" t="n">
        <f aca="false">D109/D101</f>
        <v>0.107746724535169</v>
      </c>
      <c r="E110" s="15" t="n">
        <f aca="false">E109/E101</f>
        <v>0.111651729916408</v>
      </c>
      <c r="F110" s="15" t="n">
        <f aca="false">F109/F101</f>
        <v>0.112990746834804</v>
      </c>
      <c r="G110" s="15" t="n">
        <f aca="false">G109/G101</f>
        <v>0.113839731481321</v>
      </c>
    </row>
    <row r="111" customFormat="false" ht="15" hidden="false" customHeight="false" outlineLevel="0" collapsed="false">
      <c r="A111" s="4" t="s">
        <v>656</v>
      </c>
      <c r="B111" s="0" t="s">
        <v>32</v>
      </c>
      <c r="C111" s="14" t="n">
        <f aca="false">a25_oth</f>
        <v>0.030733</v>
      </c>
      <c r="D111" s="14" t="n">
        <f aca="false">a26_oth</f>
        <v>0.0354829999999999</v>
      </c>
      <c r="E111" s="14" t="n">
        <f aca="false">int_f</f>
        <v>0.03</v>
      </c>
      <c r="F111" s="14" t="n">
        <f aca="false">int_f</f>
        <v>0.03</v>
      </c>
      <c r="G111" s="14" t="n">
        <f aca="false">int_f</f>
        <v>0.03</v>
      </c>
    </row>
    <row r="112" customFormat="false" ht="15" hidden="false" customHeight="false" outlineLevel="0" collapsed="false">
      <c r="A112" s="4" t="s">
        <v>657</v>
      </c>
      <c r="B112" s="0" t="s">
        <v>32</v>
      </c>
      <c r="C112" s="19" t="n">
        <f aca="false">C109+C111</f>
        <v>0.391445</v>
      </c>
      <c r="D112" s="19" t="n">
        <f aca="false">D109+D111</f>
        <v>0.535546</v>
      </c>
      <c r="E112" s="19" t="n">
        <f aca="false">E109+E111</f>
        <v>0.755074330051006</v>
      </c>
      <c r="F112" s="19" t="n">
        <f aca="false">F109+F111</f>
        <v>0.893289574354099</v>
      </c>
      <c r="G112" s="19" t="n">
        <f aca="false">G109+G111</f>
        <v>1.00492153230304</v>
      </c>
    </row>
    <row r="113" customFormat="false" ht="15" hidden="false" customHeight="false" outlineLevel="0" collapsed="false">
      <c r="A113" s="4" t="s">
        <v>617</v>
      </c>
      <c r="B113" s="0" t="s">
        <v>32</v>
      </c>
      <c r="C113" s="19" t="n">
        <f aca="false">a25_ni</f>
        <v>0.368792</v>
      </c>
      <c r="D113" s="19" t="n">
        <f aca="false">a26_ni</f>
        <v>0.510907</v>
      </c>
      <c r="E113" s="19" t="n">
        <f aca="false">E112*(1-(tx))</f>
        <v>0.717320613548456</v>
      </c>
      <c r="F113" s="19" t="n">
        <f aca="false">F112*(1-(tx))</f>
        <v>0.848625095636394</v>
      </c>
      <c r="G113" s="19" t="n">
        <f aca="false">G112*(1-(tx))</f>
        <v>0.954675455687884</v>
      </c>
    </row>
    <row r="114" customFormat="false" ht="15" hidden="false" customHeight="false" outlineLevel="0" collapsed="false">
      <c r="A114" s="4" t="s">
        <v>658</v>
      </c>
      <c r="B114" s="0" t="s">
        <v>65</v>
      </c>
      <c r="C114" s="15" t="n">
        <f aca="false">C113/C101</f>
        <v>0.107855142254602</v>
      </c>
      <c r="D114" s="15" t="n">
        <f aca="false">D113/D101</f>
        <v>0.110083241095801</v>
      </c>
      <c r="E114" s="15" t="n">
        <f aca="false">E113/E101</f>
        <v>0.110457761484606</v>
      </c>
      <c r="F114" s="15" t="n">
        <f aca="false">F113/F101</f>
        <v>0.111071401980563</v>
      </c>
      <c r="G114" s="15" t="n">
        <f aca="false">G113/G101</f>
        <v>0.111475635655091</v>
      </c>
    </row>
    <row r="115" customFormat="false" ht="15" hidden="false" customHeight="false" outlineLevel="0" collapsed="false">
      <c r="A115" s="4" t="s">
        <v>559</v>
      </c>
      <c r="B115" s="4" t="s">
        <v>307</v>
      </c>
      <c r="C115" s="16" t="n">
        <f aca="false">a25_sh</f>
        <v>0.036267</v>
      </c>
      <c r="D115" s="16" t="n">
        <f aca="false">a26_sh</f>
        <v>0.036252</v>
      </c>
      <c r="E115" s="16" t="n">
        <f aca="false">sh_q1*(1+sh_g)</f>
        <v>0.0363</v>
      </c>
      <c r="F115" s="16" t="n">
        <f aca="false">E115*(1+sh_g)</f>
        <v>0.0363</v>
      </c>
      <c r="G115" s="16" t="n">
        <f aca="false">F115*(1+sh_g)</f>
        <v>0.0363</v>
      </c>
    </row>
    <row r="116" customFormat="false" ht="15" hidden="false" customHeight="false" outlineLevel="0" collapsed="false">
      <c r="A116" s="0" t="s">
        <v>618</v>
      </c>
      <c r="B116" s="0" t="s">
        <v>217</v>
      </c>
      <c r="C116" s="19" t="n">
        <f aca="false">C113/C115</f>
        <v>10.1688035955552</v>
      </c>
      <c r="D116" s="19" t="n">
        <f aca="false">D113/D115</f>
        <v>14.0932086505572</v>
      </c>
      <c r="E116" s="19" t="n">
        <f aca="false">E113/E115</f>
        <v>19.760898444861</v>
      </c>
      <c r="F116" s="19" t="n">
        <f aca="false">F113/F115</f>
        <v>23.3781018081651</v>
      </c>
      <c r="G116" s="19" t="n">
        <f aca="false">G113/G115</f>
        <v>26.2995993302447</v>
      </c>
    </row>
    <row r="117" customFormat="false" ht="17.15" hidden="false" customHeight="false" outlineLevel="0" collapsed="false">
      <c r="A117" s="0" t="s">
        <v>659</v>
      </c>
      <c r="B117" s="0" t="s">
        <v>65</v>
      </c>
      <c r="D117" s="15" t="n">
        <f aca="false">D116/C116-1</f>
        <v>0.385925936923139</v>
      </c>
      <c r="E117" s="15" t="n">
        <f aca="false">E116/D116-1</f>
        <v>0.402157516775269</v>
      </c>
      <c r="F117" s="15" t="n">
        <f aca="false">F116/E116-1</f>
        <v>0.183048527545303</v>
      </c>
      <c r="G117" s="15" t="n">
        <f aca="false">G116/F116-1</f>
        <v>0.124967268345938</v>
      </c>
    </row>
    <row r="120" customFormat="false" ht="17.15" hidden="false" customHeight="false" outlineLevel="0" collapsed="false">
      <c r="A120" s="3" t="s">
        <v>939</v>
      </c>
    </row>
    <row r="121" customFormat="false" ht="17.15" hidden="false" customHeight="false" outlineLevel="0" collapsed="false">
      <c r="A121" s="5" t="s">
        <v>21</v>
      </c>
      <c r="B121" s="5" t="s">
        <v>22</v>
      </c>
      <c r="C121" s="13" t="s">
        <v>528</v>
      </c>
      <c r="D121" s="13" t="s">
        <v>600</v>
      </c>
      <c r="E121" s="13" t="s">
        <v>601</v>
      </c>
      <c r="F121" s="13" t="s">
        <v>602</v>
      </c>
      <c r="G121" s="13" t="s">
        <v>603</v>
      </c>
      <c r="H121" s="5" t="s">
        <v>534</v>
      </c>
    </row>
    <row r="122" customFormat="false" ht="17.15" hidden="false" customHeight="false" outlineLevel="0" collapsed="false">
      <c r="A122" s="1" t="s">
        <v>628</v>
      </c>
    </row>
    <row r="123" customFormat="false" ht="17.15" hidden="false" customHeight="false" outlineLevel="0" collapsed="false">
      <c r="A123" s="0" t="s">
        <v>629</v>
      </c>
      <c r="B123" s="0" t="s">
        <v>32</v>
      </c>
      <c r="D123" s="19" t="n">
        <f aca="false">mplB_26*1</f>
        <v>29.753262</v>
      </c>
      <c r="E123" s="19" t="n">
        <f aca="false">mplB_27*1*1</f>
        <v>54.688309</v>
      </c>
      <c r="F123" s="19" t="n">
        <f aca="false">mplB_28*um28_B*1</f>
        <v>48.9706</v>
      </c>
      <c r="G123" s="19" t="n">
        <f aca="false">mplB_29*um29_B*1</f>
        <v>66.987208</v>
      </c>
      <c r="H123" s="4" t="s">
        <v>630</v>
      </c>
    </row>
    <row r="124" customFormat="false" ht="17.15" hidden="false" customHeight="false" outlineLevel="0" collapsed="false">
      <c r="A124" s="0" t="s">
        <v>631</v>
      </c>
      <c r="B124" s="0" t="s">
        <v>32</v>
      </c>
      <c r="D124" s="19" t="n">
        <f aca="false">mcpB_26*1</f>
        <v>0.300538</v>
      </c>
      <c r="E124" s="19" t="n">
        <f aca="false">mcpB_27*1</f>
        <v>1.691391</v>
      </c>
      <c r="F124" s="19" t="n">
        <f aca="false">mcpB_28*um28_B</f>
        <v>2.5774</v>
      </c>
      <c r="G124" s="19" t="n">
        <f aca="false">mcpB_29*um29_B</f>
        <v>4.992628</v>
      </c>
    </row>
    <row r="125" customFormat="false" ht="17.15" hidden="false" customHeight="false" outlineLevel="0" collapsed="false">
      <c r="A125" s="0" t="s">
        <v>632</v>
      </c>
      <c r="B125" s="0" t="s">
        <v>65</v>
      </c>
      <c r="D125" s="15" t="n">
        <f aca="false">tr_cy26/D123</f>
        <v>0.0423521320116093</v>
      </c>
      <c r="H125" s="7" t="s">
        <v>633</v>
      </c>
    </row>
    <row r="126" customFormat="false" ht="17.15" hidden="false" customHeight="false" outlineLevel="0" collapsed="false">
      <c r="A126" s="4" t="s">
        <v>634</v>
      </c>
      <c r="B126" s="0" t="s">
        <v>76</v>
      </c>
      <c r="D126" s="8" t="n">
        <f aca="false">1</f>
        <v>1</v>
      </c>
      <c r="E126" s="8" t="n">
        <f aca="false">rel_27</f>
        <v>1</v>
      </c>
      <c r="F126" s="8" t="n">
        <f aca="false">rel_28</f>
        <v>1</v>
      </c>
      <c r="G126" s="8" t="n">
        <f aca="false">rel_29</f>
        <v>0.95</v>
      </c>
    </row>
    <row r="127" customFormat="false" ht="15" hidden="false" customHeight="false" outlineLevel="0" collapsed="false">
      <c r="A127" s="4" t="s">
        <v>635</v>
      </c>
      <c r="B127" s="0" t="s">
        <v>65</v>
      </c>
      <c r="D127" s="15" t="n">
        <f aca="false">$D$125*D126</f>
        <v>0.0423521320116093</v>
      </c>
      <c r="E127" s="15" t="n">
        <f aca="false">$D$125*E126</f>
        <v>0.0423521320116093</v>
      </c>
      <c r="F127" s="15" t="n">
        <f aca="false">$D$125*F126</f>
        <v>0.0423521320116093</v>
      </c>
      <c r="G127" s="15" t="n">
        <f aca="false">$D$125*G126</f>
        <v>0.0402345254110289</v>
      </c>
    </row>
    <row r="128" customFormat="false" ht="15" hidden="false" customHeight="false" outlineLevel="0" collapsed="false">
      <c r="A128" s="4" t="s">
        <v>636</v>
      </c>
      <c r="B128" s="0" t="s">
        <v>76</v>
      </c>
      <c r="D128" s="8" t="n">
        <f aca="false">1</f>
        <v>1</v>
      </c>
      <c r="E128" s="8" t="n">
        <f aca="false">PXLO_27</f>
        <v>0.9</v>
      </c>
      <c r="F128" s="8" t="n">
        <f aca="false">PXLO_28</f>
        <v>0.8</v>
      </c>
      <c r="G128" s="8" t="n">
        <f aca="false">PXLO_29</f>
        <v>0.72</v>
      </c>
    </row>
    <row r="129" customFormat="false" ht="17.15" hidden="false" customHeight="false" outlineLevel="0" collapsed="false">
      <c r="A129" s="0" t="s">
        <v>637</v>
      </c>
      <c r="B129" s="0" t="s">
        <v>65</v>
      </c>
      <c r="D129" s="15" t="n">
        <f aca="false">0</f>
        <v>0</v>
      </c>
      <c r="E129" s="15" t="n">
        <f aca="false">cpo_27</f>
        <v>0.05</v>
      </c>
      <c r="F129" s="15" t="n">
        <f aca="false">cpo_28</f>
        <v>0.1</v>
      </c>
      <c r="G129" s="15" t="n">
        <f aca="false">cpo_29</f>
        <v>0.15</v>
      </c>
    </row>
    <row r="130" customFormat="false" ht="15" hidden="false" customHeight="false" outlineLevel="0" collapsed="false">
      <c r="A130" s="4" t="s">
        <v>638</v>
      </c>
      <c r="B130" s="0" t="s">
        <v>32</v>
      </c>
      <c r="D130" s="19" t="n">
        <f aca="false">tr_cy26</f>
        <v>1.26011408</v>
      </c>
      <c r="E130" s="19" t="n">
        <f aca="false">E123*E127*E128+E124*E129</f>
        <v>2.16911938403371</v>
      </c>
      <c r="F130" s="19" t="n">
        <f aca="false">F123*F127*F128+F124*F129</f>
        <v>1.91694745271017</v>
      </c>
      <c r="G130" s="19" t="n">
        <f aca="false">G123*G127*G128+G124*G129</f>
        <v>2.68943713619271</v>
      </c>
    </row>
    <row r="131" customFormat="false" ht="17.15" hidden="false" customHeight="false" outlineLevel="0" collapsed="false">
      <c r="A131" s="1" t="s">
        <v>639</v>
      </c>
    </row>
    <row r="132" customFormat="false" ht="17.15" hidden="false" customHeight="false" outlineLevel="0" collapsed="false">
      <c r="A132" s="0" t="s">
        <v>640</v>
      </c>
      <c r="B132" s="0" t="s">
        <v>76</v>
      </c>
      <c r="C132" s="24" t="n">
        <f aca="false">1</f>
        <v>1</v>
      </c>
      <c r="D132" s="24" t="n">
        <f aca="false">1</f>
        <v>1</v>
      </c>
      <c r="E132" s="24" t="n">
        <f aca="false">1</f>
        <v>1</v>
      </c>
      <c r="F132" s="24" t="n">
        <f aca="false">(1-hw)+hw*um28_B</f>
        <v>0.908</v>
      </c>
      <c r="G132" s="24" t="n">
        <f aca="false">(1-hw)*um28_B+hw*um29_B</f>
        <v>0.823</v>
      </c>
      <c r="H132" s="4" t="s">
        <v>641</v>
      </c>
    </row>
    <row r="133" customFormat="false" ht="17.15" hidden="false" customHeight="false" outlineLevel="0" collapsed="false">
      <c r="A133" s="4" t="s">
        <v>642</v>
      </c>
      <c r="B133" s="0" t="s">
        <v>32</v>
      </c>
      <c r="C133" s="19" t="n">
        <f aca="false">a25_tr</f>
        <v>1.16917436338336</v>
      </c>
      <c r="D133" s="19" t="n">
        <f aca="false">a26_tr</f>
        <v>1.163885463</v>
      </c>
      <c r="E133" s="19" t="n">
        <f aca="false">h1_27+hw*E130</f>
        <v>1.67410899665551</v>
      </c>
      <c r="F133" s="19" t="n">
        <f aca="false">(1-hw)*E130+hw*F130</f>
        <v>2.05312029562489</v>
      </c>
      <c r="G133" s="19" t="n">
        <f aca="false">(1-hw)*F130+hw*G130</f>
        <v>2.27229270711214</v>
      </c>
      <c r="H133" s="7" t="s">
        <v>643</v>
      </c>
    </row>
    <row r="134" customFormat="false" ht="17.15" hidden="false" customHeight="false" outlineLevel="0" collapsed="false">
      <c r="A134" s="0" t="s">
        <v>644</v>
      </c>
      <c r="B134" s="0" t="s">
        <v>32</v>
      </c>
      <c r="C134" s="19" t="n">
        <f aca="false">a25_dci</f>
        <v>0.410554710616641</v>
      </c>
      <c r="D134" s="19" t="n">
        <f aca="false">a26_dci</f>
        <v>0.7331</v>
      </c>
      <c r="E134" s="19" t="n">
        <f aca="false">h1dci*(2+h2_dci)</f>
        <v>1.25319348</v>
      </c>
      <c r="F134" s="19" t="n">
        <f aca="false">E134*(1+g_dci_28)</f>
        <v>1.503832176</v>
      </c>
      <c r="G134" s="19" t="n">
        <f aca="false">F134*(1+g_dci_29)</f>
        <v>1.6542153936</v>
      </c>
    </row>
    <row r="135" customFormat="false" ht="17.15" hidden="false" customHeight="false" outlineLevel="0" collapsed="false">
      <c r="A135" s="0" t="s">
        <v>543</v>
      </c>
      <c r="B135" s="0" t="s">
        <v>32</v>
      </c>
      <c r="C135" s="19" t="n">
        <f aca="false">C134*C132</f>
        <v>0.410554710616641</v>
      </c>
      <c r="D135" s="19" t="n">
        <f aca="false">D134*D132</f>
        <v>0.7331</v>
      </c>
      <c r="E135" s="19" t="n">
        <f aca="false">E134*E132</f>
        <v>1.25319348</v>
      </c>
      <c r="F135" s="19" t="n">
        <f aca="false">F134*F132</f>
        <v>1.365479615808</v>
      </c>
      <c r="G135" s="19" t="n">
        <f aca="false">G134*G132</f>
        <v>1.3614192689328</v>
      </c>
    </row>
    <row r="136" customFormat="false" ht="17.15" hidden="false" customHeight="false" outlineLevel="0" collapsed="false">
      <c r="A136" s="0" t="s">
        <v>645</v>
      </c>
      <c r="B136" s="0" t="s">
        <v>32</v>
      </c>
      <c r="C136" s="19" t="n">
        <f aca="false">a25_hpc</f>
        <v>0</v>
      </c>
      <c r="D136" s="19" t="n">
        <f aca="false">a26_hpc</f>
        <v>0.3261</v>
      </c>
      <c r="E136" s="19" t="n">
        <f aca="false">h1hpc*(2+h2_hpc)</f>
        <v>0.5669664</v>
      </c>
      <c r="F136" s="19" t="n">
        <f aca="false">E136*(1+g_hpc_28)</f>
        <v>0.65201136</v>
      </c>
      <c r="G136" s="19" t="n">
        <f aca="false">F136*(1+g_hpc_29)</f>
        <v>0.717212496</v>
      </c>
    </row>
    <row r="137" customFormat="false" ht="17.15" hidden="false" customHeight="false" outlineLevel="0" collapsed="false">
      <c r="A137" s="0" t="s">
        <v>546</v>
      </c>
      <c r="B137" s="0" t="s">
        <v>32</v>
      </c>
      <c r="C137" s="19" t="n">
        <f aca="false">C136*C132</f>
        <v>0</v>
      </c>
      <c r="D137" s="19" t="n">
        <f aca="false">D136*D132</f>
        <v>0.3261</v>
      </c>
      <c r="E137" s="19" t="n">
        <f aca="false">E136*E132</f>
        <v>0.5669664</v>
      </c>
      <c r="F137" s="19" t="n">
        <f aca="false">F136*F132</f>
        <v>0.59202631488</v>
      </c>
      <c r="G137" s="19" t="n">
        <f aca="false">G136*G132</f>
        <v>0.590265884208</v>
      </c>
    </row>
    <row r="138" customFormat="false" ht="15" hidden="false" customHeight="false" outlineLevel="0" collapsed="false">
      <c r="A138" s="4" t="s">
        <v>537</v>
      </c>
      <c r="B138" s="0" t="s">
        <v>32</v>
      </c>
      <c r="C138" s="19" t="n">
        <f aca="false">C133+C135+C137</f>
        <v>1.579729074</v>
      </c>
      <c r="D138" s="19" t="n">
        <f aca="false">D133+D135+D137</f>
        <v>2.223085463</v>
      </c>
      <c r="E138" s="19" t="n">
        <f aca="false">E133+E135+E137</f>
        <v>3.49426887665551</v>
      </c>
      <c r="F138" s="19" t="n">
        <f aca="false">F133+F135+F137</f>
        <v>4.01062622631289</v>
      </c>
      <c r="G138" s="19" t="n">
        <f aca="false">G133+G135+G137</f>
        <v>4.22397786025294</v>
      </c>
    </row>
    <row r="139" customFormat="false" ht="15" hidden="false" customHeight="false" outlineLevel="0" collapsed="false">
      <c r="A139" s="4" t="s">
        <v>646</v>
      </c>
      <c r="B139" s="0" t="s">
        <v>32</v>
      </c>
      <c r="C139" s="19" t="n">
        <f aca="false">a25_ci</f>
        <v>1.049733389</v>
      </c>
      <c r="D139" s="19" t="n">
        <f aca="false">a26_ci</f>
        <v>1.545485301</v>
      </c>
      <c r="E139" s="19" t="n">
        <f aca="false">h1ci*(2+h2_ci)</f>
        <v>1.7611985244</v>
      </c>
      <c r="F139" s="19" t="n">
        <f aca="false">E139*(1+g_ci_28)</f>
        <v>1.866870435864</v>
      </c>
      <c r="G139" s="19" t="n">
        <f aca="false">F139*(1+g_ci_29)</f>
        <v>1.9602139576572</v>
      </c>
    </row>
    <row r="140" customFormat="false" ht="15" hidden="false" customHeight="false" outlineLevel="0" collapsed="false">
      <c r="A140" s="4" t="s">
        <v>647</v>
      </c>
      <c r="B140" s="0" t="s">
        <v>32</v>
      </c>
      <c r="C140" s="19" t="n">
        <f aca="false">a25_aio</f>
        <v>0.789864537</v>
      </c>
      <c r="D140" s="19" t="n">
        <f aca="false">a26_aio</f>
        <v>0.872526236</v>
      </c>
      <c r="E140" s="19" t="n">
        <f aca="false">h1aio*(2+h2_aio)</f>
        <v>0.9722450688</v>
      </c>
      <c r="F140" s="19" t="n">
        <f aca="false">E140*(1+g_aio_28)</f>
        <v>1.02085732224</v>
      </c>
      <c r="G140" s="19" t="n">
        <f aca="false">F140*(1+g_aio_29)</f>
        <v>1.071900188352</v>
      </c>
    </row>
    <row r="141" customFormat="false" ht="15" hidden="false" customHeight="false" outlineLevel="0" collapsed="false">
      <c r="A141" s="4" t="s">
        <v>535</v>
      </c>
      <c r="B141" s="0" t="s">
        <v>32</v>
      </c>
      <c r="C141" s="19" t="n">
        <f aca="false">C138+C139+C140</f>
        <v>3.419327</v>
      </c>
      <c r="D141" s="19" t="n">
        <f aca="false">D138+D139+D140</f>
        <v>4.641097</v>
      </c>
      <c r="E141" s="19" t="n">
        <f aca="false">E138+E139+E140</f>
        <v>6.22771246985551</v>
      </c>
      <c r="F141" s="19" t="n">
        <f aca="false">F138+F139+F140</f>
        <v>6.89835398441689</v>
      </c>
      <c r="G141" s="19" t="n">
        <f aca="false">G138+G139+G140</f>
        <v>7.25609200626214</v>
      </c>
    </row>
    <row r="142" customFormat="false" ht="15" hidden="false" customHeight="false" outlineLevel="0" collapsed="false">
      <c r="A142" s="4" t="s">
        <v>648</v>
      </c>
      <c r="B142" s="0" t="s">
        <v>65</v>
      </c>
      <c r="D142" s="15" t="n">
        <f aca="false">D141/C141-1</f>
        <v>0.357313003406811</v>
      </c>
      <c r="E142" s="15" t="n">
        <f aca="false">E141/D141-1</f>
        <v>0.341862165314689</v>
      </c>
      <c r="F142" s="15" t="n">
        <f aca="false">F141/E141-1</f>
        <v>0.107686653455428</v>
      </c>
      <c r="G142" s="15" t="n">
        <f aca="false">G141/F141-1</f>
        <v>0.0518584611130959</v>
      </c>
    </row>
    <row r="143" customFormat="false" ht="17.15" hidden="false" customHeight="false" outlineLevel="0" collapsed="false">
      <c r="A143" s="4" t="s">
        <v>649</v>
      </c>
      <c r="B143" s="0" t="s">
        <v>65</v>
      </c>
      <c r="C143" s="15" t="n">
        <f aca="false">C138/C141</f>
        <v>0.462</v>
      </c>
      <c r="D143" s="15" t="n">
        <f aca="false">D138/D141</f>
        <v>0.479</v>
      </c>
      <c r="E143" s="15" t="n">
        <f aca="false">E138/E141</f>
        <v>0.561083847972927</v>
      </c>
      <c r="F143" s="15" t="n">
        <f aca="false">F138/F141</f>
        <v>0.581388869775708</v>
      </c>
      <c r="G143" s="15" t="n">
        <f aca="false">G138/G141</f>
        <v>0.582128486878001</v>
      </c>
    </row>
    <row r="144" customFormat="false" ht="17.15" hidden="false" customHeight="false" outlineLevel="0" collapsed="false">
      <c r="A144" s="1" t="s">
        <v>650</v>
      </c>
    </row>
    <row r="145" customFormat="false" ht="17.15" hidden="false" customHeight="false" outlineLevel="0" collapsed="false">
      <c r="A145" s="4" t="s">
        <v>615</v>
      </c>
      <c r="B145" s="0" t="s">
        <v>65</v>
      </c>
      <c r="C145" s="15" t="n">
        <f aca="false">a25_gp/a25_rev</f>
        <v>0.123943980789202</v>
      </c>
      <c r="D145" s="15" t="n">
        <f aca="false">a26_gp/a26_rev</f>
        <v>0.122378394590762</v>
      </c>
      <c r="E145" s="15" t="n">
        <f aca="false">gm_27</f>
        <v>0.123</v>
      </c>
      <c r="F145" s="15" t="n">
        <f aca="false">gm_28</f>
        <v>0.123</v>
      </c>
      <c r="G145" s="15" t="n">
        <f aca="false">gm_29</f>
        <v>0.123</v>
      </c>
      <c r="H145" s="7" t="s">
        <v>651</v>
      </c>
    </row>
    <row r="146" customFormat="false" ht="15" hidden="false" customHeight="false" outlineLevel="0" collapsed="false">
      <c r="A146" s="4" t="s">
        <v>652</v>
      </c>
      <c r="B146" s="0" t="s">
        <v>32</v>
      </c>
      <c r="C146" s="19" t="n">
        <f aca="false">C141*C145</f>
        <v>0.423805</v>
      </c>
      <c r="D146" s="19" t="n">
        <f aca="false">D141*D145</f>
        <v>0.56797</v>
      </c>
      <c r="E146" s="19" t="n">
        <f aca="false">E141*E145</f>
        <v>0.766008633792228</v>
      </c>
      <c r="F146" s="19" t="n">
        <f aca="false">F141*F145</f>
        <v>0.848497540083277</v>
      </c>
      <c r="G146" s="19" t="n">
        <f aca="false">G141*G145</f>
        <v>0.892499316770243</v>
      </c>
    </row>
    <row r="147" customFormat="false" ht="15" hidden="false" customHeight="false" outlineLevel="0" collapsed="false">
      <c r="A147" s="4" t="s">
        <v>653</v>
      </c>
      <c r="B147" s="0" t="s">
        <v>32</v>
      </c>
      <c r="C147" s="19" t="n">
        <f aca="false">a25_opx</f>
        <v>0.063093</v>
      </c>
      <c r="D147" s="19" t="n">
        <f aca="false">a26_opx</f>
        <v>0.0679069999999999</v>
      </c>
      <c r="E147" s="19" t="n">
        <f aca="false">D147*(1+MAX(0,phi*E142))</f>
        <v>0.0728642596868043</v>
      </c>
      <c r="F147" s="19" t="n">
        <f aca="false">E147*(1+MAX(0,phi*F142))</f>
        <v>0.0745397909048543</v>
      </c>
      <c r="G147" s="19" t="n">
        <f aca="false">F147*(1+MAX(0,phi*G142))</f>
        <v>0.075365227808875</v>
      </c>
    </row>
    <row r="148" customFormat="false" ht="15" hidden="false" customHeight="false" outlineLevel="0" collapsed="false">
      <c r="A148" s="4" t="s">
        <v>654</v>
      </c>
      <c r="B148" s="0" t="s">
        <v>32</v>
      </c>
      <c r="C148" s="14" t="n">
        <f aca="false">C147</f>
        <v>0.063093</v>
      </c>
      <c r="D148" s="14" t="n">
        <f aca="false">D147</f>
        <v>0.0679069999999999</v>
      </c>
      <c r="E148" s="14" t="n">
        <f aca="false">E147+0*E141</f>
        <v>0.0728642596868043</v>
      </c>
      <c r="F148" s="14" t="n">
        <f aca="false">F147+0*F141</f>
        <v>0.0745397909048543</v>
      </c>
      <c r="G148" s="14" t="n">
        <f aca="false">G147+0*G141</f>
        <v>0.075365227808875</v>
      </c>
    </row>
    <row r="149" customFormat="false" ht="15" hidden="false" customHeight="false" outlineLevel="0" collapsed="false">
      <c r="A149" s="4" t="s">
        <v>655</v>
      </c>
      <c r="B149" s="0" t="s">
        <v>32</v>
      </c>
      <c r="C149" s="19" t="n">
        <f aca="false">C146-C148</f>
        <v>0.360712</v>
      </c>
      <c r="D149" s="19" t="n">
        <f aca="false">D146-D148</f>
        <v>0.500063</v>
      </c>
      <c r="E149" s="19" t="n">
        <f aca="false">E146-E148</f>
        <v>0.693144374105423</v>
      </c>
      <c r="F149" s="19" t="n">
        <f aca="false">F146-F148</f>
        <v>0.773957749178423</v>
      </c>
      <c r="G149" s="19" t="n">
        <f aca="false">G146-G148</f>
        <v>0.817134088961368</v>
      </c>
    </row>
    <row r="150" customFormat="false" ht="15" hidden="false" customHeight="false" outlineLevel="0" collapsed="false">
      <c r="A150" s="4" t="s">
        <v>616</v>
      </c>
      <c r="B150" s="0" t="s">
        <v>65</v>
      </c>
      <c r="C150" s="15" t="n">
        <f aca="false">C149/C141</f>
        <v>0.10549210414798</v>
      </c>
      <c r="D150" s="15" t="n">
        <f aca="false">D149/D141</f>
        <v>0.107746724535169</v>
      </c>
      <c r="E150" s="15" t="n">
        <f aca="false">E149/E141</f>
        <v>0.111299996180059</v>
      </c>
      <c r="F150" s="15" t="n">
        <f aca="false">F149/F141</f>
        <v>0.112194554081563</v>
      </c>
      <c r="G150" s="15" t="n">
        <f aca="false">G149/G141</f>
        <v>0.112613523678609</v>
      </c>
    </row>
    <row r="151" customFormat="false" ht="15" hidden="false" customHeight="false" outlineLevel="0" collapsed="false">
      <c r="A151" s="4" t="s">
        <v>656</v>
      </c>
      <c r="B151" s="0" t="s">
        <v>32</v>
      </c>
      <c r="C151" s="14" t="n">
        <f aca="false">a25_oth</f>
        <v>0.030733</v>
      </c>
      <c r="D151" s="14" t="n">
        <f aca="false">a26_oth</f>
        <v>0.0354829999999999</v>
      </c>
      <c r="E151" s="14" t="n">
        <f aca="false">int_f</f>
        <v>0.03</v>
      </c>
      <c r="F151" s="14" t="n">
        <f aca="false">int_f</f>
        <v>0.03</v>
      </c>
      <c r="G151" s="14" t="n">
        <f aca="false">int_f</f>
        <v>0.03</v>
      </c>
    </row>
    <row r="152" customFormat="false" ht="15" hidden="false" customHeight="false" outlineLevel="0" collapsed="false">
      <c r="A152" s="4" t="s">
        <v>657</v>
      </c>
      <c r="B152" s="0" t="s">
        <v>32</v>
      </c>
      <c r="C152" s="19" t="n">
        <f aca="false">C149+C151</f>
        <v>0.391445</v>
      </c>
      <c r="D152" s="19" t="n">
        <f aca="false">D149+D151</f>
        <v>0.535546</v>
      </c>
      <c r="E152" s="19" t="n">
        <f aca="false">E149+E151</f>
        <v>0.723144374105423</v>
      </c>
      <c r="F152" s="19" t="n">
        <f aca="false">F149+F151</f>
        <v>0.803957749178423</v>
      </c>
      <c r="G152" s="19" t="n">
        <f aca="false">G149+G151</f>
        <v>0.847134088961368</v>
      </c>
    </row>
    <row r="153" customFormat="false" ht="15" hidden="false" customHeight="false" outlineLevel="0" collapsed="false">
      <c r="A153" s="4" t="s">
        <v>617</v>
      </c>
      <c r="B153" s="0" t="s">
        <v>32</v>
      </c>
      <c r="C153" s="19" t="n">
        <f aca="false">a25_ni</f>
        <v>0.368792</v>
      </c>
      <c r="D153" s="19" t="n">
        <f aca="false">a26_ni</f>
        <v>0.510907</v>
      </c>
      <c r="E153" s="19" t="n">
        <f aca="false">E152*(1-(tx))</f>
        <v>0.686987155400152</v>
      </c>
      <c r="F153" s="19" t="n">
        <f aca="false">F152*(1-(tx))</f>
        <v>0.763759861719502</v>
      </c>
      <c r="G153" s="19" t="n">
        <f aca="false">G152*(1-(tx))</f>
        <v>0.8047773845133</v>
      </c>
    </row>
    <row r="154" customFormat="false" ht="15" hidden="false" customHeight="false" outlineLevel="0" collapsed="false">
      <c r="A154" s="4" t="s">
        <v>658</v>
      </c>
      <c r="B154" s="0" t="s">
        <v>65</v>
      </c>
      <c r="C154" s="15" t="n">
        <f aca="false">C153/C141</f>
        <v>0.107855142254602</v>
      </c>
      <c r="D154" s="15" t="n">
        <f aca="false">D153/D141</f>
        <v>0.110083241095801</v>
      </c>
      <c r="E154" s="15" t="n">
        <f aca="false">E153/E141</f>
        <v>0.110311315547311</v>
      </c>
      <c r="F154" s="15" t="n">
        <f aca="false">F153/F141</f>
        <v>0.110716246722741</v>
      </c>
      <c r="G154" s="15" t="n">
        <f aca="false">G153/G141</f>
        <v>0.110910581593889</v>
      </c>
    </row>
    <row r="155" customFormat="false" ht="15" hidden="false" customHeight="false" outlineLevel="0" collapsed="false">
      <c r="A155" s="4" t="s">
        <v>559</v>
      </c>
      <c r="B155" s="4" t="s">
        <v>307</v>
      </c>
      <c r="C155" s="16" t="n">
        <f aca="false">a25_sh</f>
        <v>0.036267</v>
      </c>
      <c r="D155" s="16" t="n">
        <f aca="false">a26_sh</f>
        <v>0.036252</v>
      </c>
      <c r="E155" s="16" t="n">
        <f aca="false">sh_q1*(1+sh_g)</f>
        <v>0.0363</v>
      </c>
      <c r="F155" s="16" t="n">
        <f aca="false">E155*(1+sh_g)</f>
        <v>0.0363</v>
      </c>
      <c r="G155" s="16" t="n">
        <f aca="false">F155*(1+sh_g)</f>
        <v>0.0363</v>
      </c>
    </row>
    <row r="156" customFormat="false" ht="15" hidden="false" customHeight="false" outlineLevel="0" collapsed="false">
      <c r="A156" s="0" t="s">
        <v>618</v>
      </c>
      <c r="B156" s="0" t="s">
        <v>217</v>
      </c>
      <c r="C156" s="19" t="n">
        <f aca="false">C153/C155</f>
        <v>10.1688035955552</v>
      </c>
      <c r="D156" s="19" t="n">
        <f aca="false">D153/D155</f>
        <v>14.0932086505572</v>
      </c>
      <c r="E156" s="19" t="n">
        <f aca="false">E153/E155</f>
        <v>18.9252659889849</v>
      </c>
      <c r="F156" s="19" t="n">
        <f aca="false">F153/F155</f>
        <v>21.0402165762948</v>
      </c>
      <c r="G156" s="19" t="n">
        <f aca="false">G153/G155</f>
        <v>22.1701758819091</v>
      </c>
    </row>
    <row r="157" customFormat="false" ht="17.15" hidden="false" customHeight="false" outlineLevel="0" collapsed="false">
      <c r="A157" s="0" t="s">
        <v>659</v>
      </c>
      <c r="B157" s="0" t="s">
        <v>65</v>
      </c>
      <c r="D157" s="15" t="n">
        <f aca="false">D156/C156-1</f>
        <v>0.385925936923139</v>
      </c>
      <c r="E157" s="15" t="n">
        <f aca="false">E156/D156-1</f>
        <v>0.342864244632939</v>
      </c>
      <c r="F157" s="15" t="n">
        <f aca="false">F156/E156-1</f>
        <v>0.111752753622637</v>
      </c>
      <c r="G157" s="15" t="n">
        <f aca="false">G156/F156-1</f>
        <v>0.0537047373783861</v>
      </c>
    </row>
    <row r="160" customFormat="false" ht="17.15" hidden="false" customHeight="false" outlineLevel="0" collapsed="false">
      <c r="A160" s="3" t="s">
        <v>940</v>
      </c>
    </row>
    <row r="161" customFormat="false" ht="17.15" hidden="false" customHeight="false" outlineLevel="0" collapsed="false">
      <c r="A161" s="5" t="s">
        <v>21</v>
      </c>
      <c r="B161" s="5" t="s">
        <v>22</v>
      </c>
      <c r="C161" s="13" t="s">
        <v>528</v>
      </c>
      <c r="D161" s="13" t="s">
        <v>600</v>
      </c>
      <c r="E161" s="13" t="s">
        <v>601</v>
      </c>
      <c r="F161" s="13" t="s">
        <v>602</v>
      </c>
      <c r="G161" s="13" t="s">
        <v>603</v>
      </c>
      <c r="H161" s="5" t="s">
        <v>534</v>
      </c>
    </row>
    <row r="162" customFormat="false" ht="17.15" hidden="false" customHeight="false" outlineLevel="0" collapsed="false">
      <c r="A162" s="1" t="s">
        <v>628</v>
      </c>
    </row>
    <row r="163" customFormat="false" ht="17.15" hidden="false" customHeight="false" outlineLevel="0" collapsed="false">
      <c r="A163" s="0" t="s">
        <v>629</v>
      </c>
      <c r="B163" s="0" t="s">
        <v>32</v>
      </c>
      <c r="D163" s="19" t="n">
        <f aca="false">mplB_26*1</f>
        <v>29.753262</v>
      </c>
      <c r="E163" s="19" t="n">
        <f aca="false">mplB_27*1*1</f>
        <v>54.688309</v>
      </c>
      <c r="F163" s="19" t="n">
        <f aca="false">mplB_28*um28_B*1</f>
        <v>48.9706</v>
      </c>
      <c r="G163" s="19" t="n">
        <f aca="false">mplB_29*um29_B*1</f>
        <v>66.987208</v>
      </c>
      <c r="H163" s="4" t="s">
        <v>630</v>
      </c>
    </row>
    <row r="164" customFormat="false" ht="17.15" hidden="false" customHeight="false" outlineLevel="0" collapsed="false">
      <c r="A164" s="0" t="s">
        <v>631</v>
      </c>
      <c r="B164" s="0" t="s">
        <v>32</v>
      </c>
      <c r="D164" s="19" t="n">
        <f aca="false">mcpB_26*1</f>
        <v>0.300538</v>
      </c>
      <c r="E164" s="19" t="n">
        <f aca="false">mcpB_27*1</f>
        <v>1.691391</v>
      </c>
      <c r="F164" s="19" t="n">
        <f aca="false">mcpB_28*um28_B</f>
        <v>2.5774</v>
      </c>
      <c r="G164" s="19" t="n">
        <f aca="false">mcpB_29*um29_B</f>
        <v>4.992628</v>
      </c>
    </row>
    <row r="165" customFormat="false" ht="17.15" hidden="false" customHeight="false" outlineLevel="0" collapsed="false">
      <c r="A165" s="0" t="s">
        <v>632</v>
      </c>
      <c r="B165" s="0" t="s">
        <v>65</v>
      </c>
      <c r="D165" s="15" t="n">
        <f aca="false">tr_cy26/D163</f>
        <v>0.0423521320116093</v>
      </c>
      <c r="H165" s="7" t="s">
        <v>633</v>
      </c>
    </row>
    <row r="166" customFormat="false" ht="17.15" hidden="false" customHeight="false" outlineLevel="0" collapsed="false">
      <c r="A166" s="4" t="s">
        <v>634</v>
      </c>
      <c r="B166" s="0" t="s">
        <v>76</v>
      </c>
      <c r="D166" s="8" t="n">
        <f aca="false">1</f>
        <v>1</v>
      </c>
      <c r="E166" s="8" t="n">
        <f aca="false">rel_27</f>
        <v>1</v>
      </c>
      <c r="F166" s="8" t="n">
        <f aca="false">rel_28</f>
        <v>1</v>
      </c>
      <c r="G166" s="8" t="n">
        <f aca="false">rel_29</f>
        <v>0.95</v>
      </c>
    </row>
    <row r="167" customFormat="false" ht="15" hidden="false" customHeight="false" outlineLevel="0" collapsed="false">
      <c r="A167" s="4" t="s">
        <v>635</v>
      </c>
      <c r="B167" s="0" t="s">
        <v>65</v>
      </c>
      <c r="D167" s="15" t="n">
        <f aca="false">$D$165*D166</f>
        <v>0.0423521320116093</v>
      </c>
      <c r="E167" s="15" t="n">
        <f aca="false">$D$165*E166</f>
        <v>0.0423521320116093</v>
      </c>
      <c r="F167" s="15" t="n">
        <f aca="false">$D$165*F166</f>
        <v>0.0423521320116093</v>
      </c>
      <c r="G167" s="15" t="n">
        <f aca="false">$D$165*G166</f>
        <v>0.0402345254110289</v>
      </c>
    </row>
    <row r="168" customFormat="false" ht="15" hidden="false" customHeight="false" outlineLevel="0" collapsed="false">
      <c r="A168" s="4" t="s">
        <v>636</v>
      </c>
      <c r="B168" s="0" t="s">
        <v>76</v>
      </c>
      <c r="D168" s="8" t="n">
        <f aca="false">1</f>
        <v>1</v>
      </c>
      <c r="E168" s="8" t="n">
        <f aca="false">pxr_27</f>
        <v>1</v>
      </c>
      <c r="F168" s="8" t="n">
        <f aca="false">pxr_28</f>
        <v>1</v>
      </c>
      <c r="G168" s="8" t="n">
        <f aca="false">pxr_29</f>
        <v>1</v>
      </c>
    </row>
    <row r="169" customFormat="false" ht="17.15" hidden="false" customHeight="false" outlineLevel="0" collapsed="false">
      <c r="A169" s="0" t="s">
        <v>637</v>
      </c>
      <c r="B169" s="0" t="s">
        <v>65</v>
      </c>
      <c r="D169" s="15" t="n">
        <f aca="false">0</f>
        <v>0</v>
      </c>
      <c r="E169" s="15" t="n">
        <f aca="false">cpo_27</f>
        <v>0.05</v>
      </c>
      <c r="F169" s="15" t="n">
        <f aca="false">cpo_28</f>
        <v>0.1</v>
      </c>
      <c r="G169" s="15" t="n">
        <f aca="false">cpo_29</f>
        <v>0.15</v>
      </c>
    </row>
    <row r="170" customFormat="false" ht="15" hidden="false" customHeight="false" outlineLevel="0" collapsed="false">
      <c r="A170" s="4" t="s">
        <v>638</v>
      </c>
      <c r="B170" s="0" t="s">
        <v>32</v>
      </c>
      <c r="D170" s="19" t="n">
        <f aca="false">tr_cy26</f>
        <v>1.26011408</v>
      </c>
      <c r="E170" s="19" t="n">
        <f aca="false">E163*E167*E168+E164*E169</f>
        <v>2.40073603225968</v>
      </c>
      <c r="F170" s="19" t="n">
        <f aca="false">F163*F167*F168+F164*F169</f>
        <v>2.33174931588772</v>
      </c>
      <c r="G170" s="19" t="n">
        <f aca="false">G163*G167*G168+G164*G169</f>
        <v>3.44409272248988</v>
      </c>
    </row>
    <row r="171" customFormat="false" ht="17.15" hidden="false" customHeight="false" outlineLevel="0" collapsed="false">
      <c r="A171" s="1" t="s">
        <v>639</v>
      </c>
    </row>
    <row r="172" customFormat="false" ht="17.15" hidden="false" customHeight="false" outlineLevel="0" collapsed="false">
      <c r="A172" s="0" t="s">
        <v>640</v>
      </c>
      <c r="B172" s="0" t="s">
        <v>76</v>
      </c>
      <c r="C172" s="24" t="n">
        <f aca="false">1</f>
        <v>1</v>
      </c>
      <c r="D172" s="24" t="n">
        <f aca="false">1</f>
        <v>1</v>
      </c>
      <c r="E172" s="24" t="n">
        <f aca="false">1</f>
        <v>1</v>
      </c>
      <c r="F172" s="24" t="n">
        <f aca="false">(1-hw)+hw*um28_B</f>
        <v>0.908</v>
      </c>
      <c r="G172" s="24" t="n">
        <f aca="false">(1-hw)*um28_B+hw*um29_B</f>
        <v>0.823</v>
      </c>
      <c r="H172" s="4" t="s">
        <v>641</v>
      </c>
    </row>
    <row r="173" customFormat="false" ht="17.15" hidden="false" customHeight="false" outlineLevel="0" collapsed="false">
      <c r="A173" s="4" t="s">
        <v>642</v>
      </c>
      <c r="B173" s="0" t="s">
        <v>32</v>
      </c>
      <c r="C173" s="19" t="n">
        <f aca="false">a25_tr</f>
        <v>1.16917436338336</v>
      </c>
      <c r="D173" s="19" t="n">
        <f aca="false">a26_tr</f>
        <v>1.163885463</v>
      </c>
      <c r="E173" s="19" t="n">
        <f aca="false">h1_27+hw*E170</f>
        <v>1.78065265483945</v>
      </c>
      <c r="F173" s="19" t="n">
        <f aca="false">(1-hw)*E170+hw*F170</f>
        <v>2.36900214272858</v>
      </c>
      <c r="G173" s="19" t="n">
        <f aca="false">(1-hw)*F170+hw*G170</f>
        <v>2.84342728292471</v>
      </c>
      <c r="H173" s="7" t="s">
        <v>643</v>
      </c>
    </row>
    <row r="174" customFormat="false" ht="17.15" hidden="false" customHeight="false" outlineLevel="0" collapsed="false">
      <c r="A174" s="0" t="s">
        <v>644</v>
      </c>
      <c r="B174" s="0" t="s">
        <v>32</v>
      </c>
      <c r="C174" s="19" t="n">
        <f aca="false">a25_dci</f>
        <v>0.410554710616641</v>
      </c>
      <c r="D174" s="19" t="n">
        <f aca="false">a26_dci</f>
        <v>0.7331</v>
      </c>
      <c r="E174" s="19" t="n">
        <f aca="false">h1dci*(2+h2_dci)</f>
        <v>1.25319348</v>
      </c>
      <c r="F174" s="19" t="n">
        <f aca="false">E174*(1+g_dci_28)</f>
        <v>1.503832176</v>
      </c>
      <c r="G174" s="19" t="n">
        <f aca="false">F174*(1+g_dci_29)</f>
        <v>1.6542153936</v>
      </c>
    </row>
    <row r="175" customFormat="false" ht="17.15" hidden="false" customHeight="false" outlineLevel="0" collapsed="false">
      <c r="A175" s="0" t="s">
        <v>543</v>
      </c>
      <c r="B175" s="0" t="s">
        <v>32</v>
      </c>
      <c r="C175" s="19" t="n">
        <f aca="false">C174*C172</f>
        <v>0.410554710616641</v>
      </c>
      <c r="D175" s="19" t="n">
        <f aca="false">D174*D172</f>
        <v>0.7331</v>
      </c>
      <c r="E175" s="19" t="n">
        <f aca="false">E174*E172</f>
        <v>1.25319348</v>
      </c>
      <c r="F175" s="19" t="n">
        <f aca="false">F174*F172</f>
        <v>1.365479615808</v>
      </c>
      <c r="G175" s="19" t="n">
        <f aca="false">G174*G172</f>
        <v>1.3614192689328</v>
      </c>
    </row>
    <row r="176" customFormat="false" ht="17.15" hidden="false" customHeight="false" outlineLevel="0" collapsed="false">
      <c r="A176" s="0" t="s">
        <v>645</v>
      </c>
      <c r="B176" s="0" t="s">
        <v>32</v>
      </c>
      <c r="C176" s="19" t="n">
        <f aca="false">a25_hpc</f>
        <v>0</v>
      </c>
      <c r="D176" s="19" t="n">
        <f aca="false">a26_hpc</f>
        <v>0.3261</v>
      </c>
      <c r="E176" s="19" t="n">
        <f aca="false">h1hpc*(2+h2_hpc)</f>
        <v>0.5669664</v>
      </c>
      <c r="F176" s="19" t="n">
        <f aca="false">E176*(1+g_hpc_28)</f>
        <v>0.65201136</v>
      </c>
      <c r="G176" s="19" t="n">
        <f aca="false">F176*(1+g_hpc_29)</f>
        <v>0.717212496</v>
      </c>
    </row>
    <row r="177" customFormat="false" ht="17.15" hidden="false" customHeight="false" outlineLevel="0" collapsed="false">
      <c r="A177" s="0" t="s">
        <v>546</v>
      </c>
      <c r="B177" s="0" t="s">
        <v>32</v>
      </c>
      <c r="C177" s="19" t="n">
        <f aca="false">C176*C172</f>
        <v>0</v>
      </c>
      <c r="D177" s="19" t="n">
        <f aca="false">D176*D172</f>
        <v>0.3261</v>
      </c>
      <c r="E177" s="19" t="n">
        <f aca="false">E176*E172</f>
        <v>0.5669664</v>
      </c>
      <c r="F177" s="19" t="n">
        <f aca="false">F176*F172</f>
        <v>0.59202631488</v>
      </c>
      <c r="G177" s="19" t="n">
        <f aca="false">G176*G172</f>
        <v>0.590265884208</v>
      </c>
    </row>
    <row r="178" customFormat="false" ht="15" hidden="false" customHeight="false" outlineLevel="0" collapsed="false">
      <c r="A178" s="4" t="s">
        <v>537</v>
      </c>
      <c r="B178" s="0" t="s">
        <v>32</v>
      </c>
      <c r="C178" s="19" t="n">
        <f aca="false">C173+C175+C177</f>
        <v>1.579729074</v>
      </c>
      <c r="D178" s="19" t="n">
        <f aca="false">D173+D175+D177</f>
        <v>2.223085463</v>
      </c>
      <c r="E178" s="19" t="n">
        <f aca="false">E173+E175+E177</f>
        <v>3.60081253483945</v>
      </c>
      <c r="F178" s="19" t="n">
        <f aca="false">F173+F175+F177</f>
        <v>4.32650807341658</v>
      </c>
      <c r="G178" s="19" t="n">
        <f aca="false">G173+G175+G177</f>
        <v>4.79511243606551</v>
      </c>
    </row>
    <row r="179" customFormat="false" ht="15" hidden="false" customHeight="false" outlineLevel="0" collapsed="false">
      <c r="A179" s="4" t="s">
        <v>646</v>
      </c>
      <c r="B179" s="0" t="s">
        <v>32</v>
      </c>
      <c r="C179" s="19" t="n">
        <f aca="false">a25_ci</f>
        <v>1.049733389</v>
      </c>
      <c r="D179" s="19" t="n">
        <f aca="false">a26_ci</f>
        <v>1.545485301</v>
      </c>
      <c r="E179" s="19" t="n">
        <f aca="false">h1ci*(2+h2_ci)</f>
        <v>1.7611985244</v>
      </c>
      <c r="F179" s="19" t="n">
        <f aca="false">E179*(1+g_ci_28)</f>
        <v>1.866870435864</v>
      </c>
      <c r="G179" s="19" t="n">
        <f aca="false">F179*(1+g_ci_29)</f>
        <v>1.9602139576572</v>
      </c>
    </row>
    <row r="180" customFormat="false" ht="15" hidden="false" customHeight="false" outlineLevel="0" collapsed="false">
      <c r="A180" s="4" t="s">
        <v>647</v>
      </c>
      <c r="B180" s="0" t="s">
        <v>32</v>
      </c>
      <c r="C180" s="19" t="n">
        <f aca="false">a25_aio</f>
        <v>0.789864537</v>
      </c>
      <c r="D180" s="19" t="n">
        <f aca="false">a26_aio</f>
        <v>0.872526236</v>
      </c>
      <c r="E180" s="19" t="n">
        <f aca="false">h1aio*(2+h2_aio)</f>
        <v>0.9722450688</v>
      </c>
      <c r="F180" s="19" t="n">
        <f aca="false">E180*(1+g_aio_28)</f>
        <v>1.02085732224</v>
      </c>
      <c r="G180" s="19" t="n">
        <f aca="false">F180*(1+g_aio_29)</f>
        <v>1.071900188352</v>
      </c>
    </row>
    <row r="181" customFormat="false" ht="15" hidden="false" customHeight="false" outlineLevel="0" collapsed="false">
      <c r="A181" s="4" t="s">
        <v>535</v>
      </c>
      <c r="B181" s="0" t="s">
        <v>32</v>
      </c>
      <c r="C181" s="19" t="n">
        <f aca="false">C178+C179+C180</f>
        <v>3.419327</v>
      </c>
      <c r="D181" s="19" t="n">
        <f aca="false">D178+D179+D180</f>
        <v>4.641097</v>
      </c>
      <c r="E181" s="19" t="n">
        <f aca="false">E178+E179+E180</f>
        <v>6.33425612803945</v>
      </c>
      <c r="F181" s="19" t="n">
        <f aca="false">F178+F179+F180</f>
        <v>7.21423583152058</v>
      </c>
      <c r="G181" s="19" t="n">
        <f aca="false">G178+G179+G180</f>
        <v>7.82722658207471</v>
      </c>
    </row>
    <row r="182" customFormat="false" ht="15" hidden="false" customHeight="false" outlineLevel="0" collapsed="false">
      <c r="A182" s="4" t="s">
        <v>648</v>
      </c>
      <c r="B182" s="0" t="s">
        <v>65</v>
      </c>
      <c r="D182" s="15" t="n">
        <f aca="false">D181/C181-1</f>
        <v>0.357313003406811</v>
      </c>
      <c r="E182" s="15" t="n">
        <f aca="false">E181/D181-1</f>
        <v>0.36481873316577</v>
      </c>
      <c r="F182" s="15" t="n">
        <f aca="false">F181/E181-1</f>
        <v>0.138923921877073</v>
      </c>
      <c r="G182" s="15" t="n">
        <f aca="false">G181/F181-1</f>
        <v>0.084969602445742</v>
      </c>
    </row>
    <row r="183" customFormat="false" ht="17.15" hidden="false" customHeight="false" outlineLevel="0" collapsed="false">
      <c r="A183" s="4" t="s">
        <v>649</v>
      </c>
      <c r="B183" s="0" t="s">
        <v>65</v>
      </c>
      <c r="C183" s="15" t="n">
        <f aca="false">C178/C181</f>
        <v>0.462</v>
      </c>
      <c r="D183" s="15" t="n">
        <f aca="false">D178/D181</f>
        <v>0.479</v>
      </c>
      <c r="E183" s="15" t="n">
        <f aca="false">E178/E181</f>
        <v>0.568466519517574</v>
      </c>
      <c r="F183" s="15" t="n">
        <f aca="false">F178/F181</f>
        <v>0.599718137091266</v>
      </c>
      <c r="G183" s="15" t="n">
        <f aca="false">G178/G181</f>
        <v>0.612619602331034</v>
      </c>
    </row>
    <row r="184" customFormat="false" ht="17.15" hidden="false" customHeight="false" outlineLevel="0" collapsed="false">
      <c r="A184" s="1" t="s">
        <v>650</v>
      </c>
    </row>
    <row r="185" customFormat="false" ht="17.15" hidden="false" customHeight="false" outlineLevel="0" collapsed="false">
      <c r="A185" s="4" t="s">
        <v>615</v>
      </c>
      <c r="B185" s="0" t="s">
        <v>65</v>
      </c>
      <c r="C185" s="15" t="n">
        <f aca="false">a25_gp/a25_rev</f>
        <v>0.123943980789202</v>
      </c>
      <c r="D185" s="15" t="n">
        <f aca="false">a26_gp/a26_rev</f>
        <v>0.122378394590762</v>
      </c>
      <c r="E185" s="15" t="n">
        <f aca="false">GMLO_27</f>
        <v>0.118</v>
      </c>
      <c r="F185" s="15" t="n">
        <f aca="false">GMLO_28</f>
        <v>0.115</v>
      </c>
      <c r="G185" s="15" t="n">
        <f aca="false">GMLO_29</f>
        <v>0.113</v>
      </c>
      <c r="H185" s="7" t="s">
        <v>651</v>
      </c>
    </row>
    <row r="186" customFormat="false" ht="15" hidden="false" customHeight="false" outlineLevel="0" collapsed="false">
      <c r="A186" s="4" t="s">
        <v>652</v>
      </c>
      <c r="B186" s="0" t="s">
        <v>32</v>
      </c>
      <c r="C186" s="19" t="n">
        <f aca="false">C181*C185</f>
        <v>0.423805</v>
      </c>
      <c r="D186" s="19" t="n">
        <f aca="false">D181*D185</f>
        <v>0.56797</v>
      </c>
      <c r="E186" s="19" t="n">
        <f aca="false">E181*E185</f>
        <v>0.747442223108656</v>
      </c>
      <c r="F186" s="19" t="n">
        <f aca="false">F181*F185</f>
        <v>0.829637120624867</v>
      </c>
      <c r="G186" s="19" t="n">
        <f aca="false">G181*G185</f>
        <v>0.884476603774442</v>
      </c>
    </row>
    <row r="187" customFormat="false" ht="15" hidden="false" customHeight="false" outlineLevel="0" collapsed="false">
      <c r="A187" s="4" t="s">
        <v>653</v>
      </c>
      <c r="B187" s="0" t="s">
        <v>32</v>
      </c>
      <c r="C187" s="19" t="n">
        <f aca="false">a25_opx</f>
        <v>0.063093</v>
      </c>
      <c r="D187" s="19" t="n">
        <f aca="false">a26_opx</f>
        <v>0.0679069999999999</v>
      </c>
      <c r="E187" s="19" t="n">
        <f aca="false">D187*(1+MAX(0,phi*E182))</f>
        <v>0.0731971472651966</v>
      </c>
      <c r="F187" s="19" t="n">
        <f aca="false">E187*(1+MAX(0,phi*F182))</f>
        <v>0.0753685844819478</v>
      </c>
      <c r="G187" s="19" t="n">
        <f aca="false">F187*(1+MAX(0,phi*G182))</f>
        <v>0.0767360929724889</v>
      </c>
    </row>
    <row r="188" customFormat="false" ht="15" hidden="false" customHeight="false" outlineLevel="0" collapsed="false">
      <c r="A188" s="4" t="s">
        <v>654</v>
      </c>
      <c r="B188" s="0" t="s">
        <v>32</v>
      </c>
      <c r="C188" s="14" t="n">
        <f aca="false">C187</f>
        <v>0.063093</v>
      </c>
      <c r="D188" s="14" t="n">
        <f aca="false">D187</f>
        <v>0.0679069999999999</v>
      </c>
      <c r="E188" s="14" t="n">
        <f aca="false">E187+0*E181</f>
        <v>0.0731971472651966</v>
      </c>
      <c r="F188" s="14" t="n">
        <f aca="false">F187+0*F181</f>
        <v>0.0753685844819478</v>
      </c>
      <c r="G188" s="14" t="n">
        <f aca="false">G187+0*G181</f>
        <v>0.0767360929724889</v>
      </c>
    </row>
    <row r="189" customFormat="false" ht="15" hidden="false" customHeight="false" outlineLevel="0" collapsed="false">
      <c r="A189" s="4" t="s">
        <v>655</v>
      </c>
      <c r="B189" s="0" t="s">
        <v>32</v>
      </c>
      <c r="C189" s="19" t="n">
        <f aca="false">C186-C188</f>
        <v>0.360712</v>
      </c>
      <c r="D189" s="19" t="n">
        <f aca="false">D186-D188</f>
        <v>0.500063</v>
      </c>
      <c r="E189" s="19" t="n">
        <f aca="false">E186-E188</f>
        <v>0.674245075843459</v>
      </c>
      <c r="F189" s="19" t="n">
        <f aca="false">F186-F188</f>
        <v>0.754268536142919</v>
      </c>
      <c r="G189" s="19" t="n">
        <f aca="false">G186-G188</f>
        <v>0.807740510801953</v>
      </c>
    </row>
    <row r="190" customFormat="false" ht="15" hidden="false" customHeight="false" outlineLevel="0" collapsed="false">
      <c r="A190" s="4" t="s">
        <v>616</v>
      </c>
      <c r="B190" s="0" t="s">
        <v>65</v>
      </c>
      <c r="C190" s="15" t="n">
        <f aca="false">C189/C181</f>
        <v>0.10549210414798</v>
      </c>
      <c r="D190" s="15" t="n">
        <f aca="false">D189/D181</f>
        <v>0.107746724535169</v>
      </c>
      <c r="E190" s="15" t="n">
        <f aca="false">E189/E181</f>
        <v>0.106444239420446</v>
      </c>
      <c r="F190" s="15" t="n">
        <f aca="false">F189/F181</f>
        <v>0.104552797241165</v>
      </c>
      <c r="G190" s="15" t="n">
        <f aca="false">G189/G181</f>
        <v>0.103196260173658</v>
      </c>
    </row>
    <row r="191" customFormat="false" ht="15" hidden="false" customHeight="false" outlineLevel="0" collapsed="false">
      <c r="A191" s="4" t="s">
        <v>656</v>
      </c>
      <c r="B191" s="0" t="s">
        <v>32</v>
      </c>
      <c r="C191" s="14" t="n">
        <f aca="false">a25_oth</f>
        <v>0.030733</v>
      </c>
      <c r="D191" s="14" t="n">
        <f aca="false">a26_oth</f>
        <v>0.0354829999999999</v>
      </c>
      <c r="E191" s="14" t="n">
        <f aca="false">int_f</f>
        <v>0.03</v>
      </c>
      <c r="F191" s="14" t="n">
        <f aca="false">int_f</f>
        <v>0.03</v>
      </c>
      <c r="G191" s="14" t="n">
        <f aca="false">int_f</f>
        <v>0.03</v>
      </c>
    </row>
    <row r="192" customFormat="false" ht="15" hidden="false" customHeight="false" outlineLevel="0" collapsed="false">
      <c r="A192" s="4" t="s">
        <v>657</v>
      </c>
      <c r="B192" s="0" t="s">
        <v>32</v>
      </c>
      <c r="C192" s="19" t="n">
        <f aca="false">C189+C191</f>
        <v>0.391445</v>
      </c>
      <c r="D192" s="19" t="n">
        <f aca="false">D189+D191</f>
        <v>0.535546</v>
      </c>
      <c r="E192" s="19" t="n">
        <f aca="false">E189+E191</f>
        <v>0.704245075843459</v>
      </c>
      <c r="F192" s="19" t="n">
        <f aca="false">F189+F191</f>
        <v>0.784268536142919</v>
      </c>
      <c r="G192" s="19" t="n">
        <f aca="false">G189+G191</f>
        <v>0.837740510801953</v>
      </c>
    </row>
    <row r="193" customFormat="false" ht="15" hidden="false" customHeight="false" outlineLevel="0" collapsed="false">
      <c r="A193" s="4" t="s">
        <v>617</v>
      </c>
      <c r="B193" s="0" t="s">
        <v>32</v>
      </c>
      <c r="C193" s="19" t="n">
        <f aca="false">a25_ni</f>
        <v>0.368792</v>
      </c>
      <c r="D193" s="19" t="n">
        <f aca="false">a26_ni</f>
        <v>0.510907</v>
      </c>
      <c r="E193" s="19" t="n">
        <f aca="false">E192*(1-(tx))</f>
        <v>0.669032822051286</v>
      </c>
      <c r="F193" s="19" t="n">
        <f aca="false">F192*(1-(tx))</f>
        <v>0.745055109335773</v>
      </c>
      <c r="G193" s="19" t="n">
        <f aca="false">G192*(1-(tx))</f>
        <v>0.795853485261856</v>
      </c>
    </row>
    <row r="194" customFormat="false" ht="15" hidden="false" customHeight="false" outlineLevel="0" collapsed="false">
      <c r="A194" s="4" t="s">
        <v>658</v>
      </c>
      <c r="B194" s="0" t="s">
        <v>65</v>
      </c>
      <c r="C194" s="15" t="n">
        <f aca="false">C193/C181</f>
        <v>0.107855142254602</v>
      </c>
      <c r="D194" s="15" t="n">
        <f aca="false">D193/D181</f>
        <v>0.110083241095801</v>
      </c>
      <c r="E194" s="15" t="n">
        <f aca="false">E193/E181</f>
        <v>0.105621371875021</v>
      </c>
      <c r="F194" s="15" t="n">
        <f aca="false">F193/F181</f>
        <v>0.103275679744272</v>
      </c>
      <c r="G194" s="15" t="n">
        <f aca="false">G193/G181</f>
        <v>0.101677583613646</v>
      </c>
    </row>
    <row r="195" customFormat="false" ht="15" hidden="false" customHeight="false" outlineLevel="0" collapsed="false">
      <c r="A195" s="4" t="s">
        <v>559</v>
      </c>
      <c r="B195" s="4" t="s">
        <v>307</v>
      </c>
      <c r="C195" s="16" t="n">
        <f aca="false">a25_sh</f>
        <v>0.036267</v>
      </c>
      <c r="D195" s="16" t="n">
        <f aca="false">a26_sh</f>
        <v>0.036252</v>
      </c>
      <c r="E195" s="16" t="n">
        <f aca="false">sh_q1*(1+sh_g)</f>
        <v>0.0363</v>
      </c>
      <c r="F195" s="16" t="n">
        <f aca="false">E195*(1+sh_g)</f>
        <v>0.0363</v>
      </c>
      <c r="G195" s="16" t="n">
        <f aca="false">F195*(1+sh_g)</f>
        <v>0.0363</v>
      </c>
    </row>
    <row r="196" customFormat="false" ht="15" hidden="false" customHeight="false" outlineLevel="0" collapsed="false">
      <c r="A196" s="0" t="s">
        <v>618</v>
      </c>
      <c r="B196" s="0" t="s">
        <v>217</v>
      </c>
      <c r="C196" s="19" t="n">
        <f aca="false">C193/C195</f>
        <v>10.1688035955552</v>
      </c>
      <c r="D196" s="19" t="n">
        <f aca="false">D193/D195</f>
        <v>14.0932086505572</v>
      </c>
      <c r="E196" s="19" t="n">
        <f aca="false">E193/E195</f>
        <v>18.4306562548564</v>
      </c>
      <c r="F196" s="19" t="n">
        <f aca="false">F193/F195</f>
        <v>20.5249341414814</v>
      </c>
      <c r="G196" s="19" t="n">
        <f aca="false">G193/G195</f>
        <v>21.9243384369657</v>
      </c>
    </row>
    <row r="197" customFormat="false" ht="17.15" hidden="false" customHeight="false" outlineLevel="0" collapsed="false">
      <c r="A197" s="0" t="s">
        <v>659</v>
      </c>
      <c r="B197" s="0" t="s">
        <v>65</v>
      </c>
      <c r="D197" s="15" t="n">
        <f aca="false">D196/C196-1</f>
        <v>0.385925936923139</v>
      </c>
      <c r="E197" s="15" t="n">
        <f aca="false">E196/D196-1</f>
        <v>0.307768636074771</v>
      </c>
      <c r="F197" s="15" t="n">
        <f aca="false">F196/E196-1</f>
        <v>0.11363013110687</v>
      </c>
      <c r="G197" s="15" t="n">
        <f aca="false">G196/F196-1</f>
        <v>0.0681806960177351</v>
      </c>
    </row>
    <row r="200" customFormat="false" ht="17.15" hidden="false" customHeight="false" outlineLevel="0" collapsed="false">
      <c r="A200" s="3" t="s">
        <v>941</v>
      </c>
    </row>
    <row r="201" customFormat="false" ht="17.15" hidden="false" customHeight="false" outlineLevel="0" collapsed="false">
      <c r="A201" s="5" t="s">
        <v>21</v>
      </c>
      <c r="B201" s="5" t="s">
        <v>22</v>
      </c>
      <c r="C201" s="13" t="s">
        <v>528</v>
      </c>
      <c r="D201" s="13" t="s">
        <v>600</v>
      </c>
      <c r="E201" s="13" t="s">
        <v>601</v>
      </c>
      <c r="F201" s="13" t="s">
        <v>602</v>
      </c>
      <c r="G201" s="13" t="s">
        <v>603</v>
      </c>
      <c r="H201" s="5" t="s">
        <v>534</v>
      </c>
    </row>
    <row r="202" customFormat="false" ht="17.15" hidden="false" customHeight="false" outlineLevel="0" collapsed="false">
      <c r="A202" s="1" t="s">
        <v>628</v>
      </c>
    </row>
    <row r="203" customFormat="false" ht="17.15" hidden="false" customHeight="false" outlineLevel="0" collapsed="false">
      <c r="A203" s="0" t="s">
        <v>629</v>
      </c>
      <c r="B203" s="0" t="s">
        <v>32</v>
      </c>
      <c r="D203" s="19" t="n">
        <f aca="false">mplB_26*1</f>
        <v>29.753262</v>
      </c>
      <c r="E203" s="19" t="n">
        <f aca="false">mplB_27*1*1</f>
        <v>54.688309</v>
      </c>
      <c r="F203" s="19" t="n">
        <f aca="false">mplB_28*um28_B*1</f>
        <v>48.9706</v>
      </c>
      <c r="G203" s="19" t="n">
        <f aca="false">mplB_29*um29_B*1</f>
        <v>66.987208</v>
      </c>
      <c r="H203" s="4" t="s">
        <v>630</v>
      </c>
    </row>
    <row r="204" customFormat="false" ht="17.15" hidden="false" customHeight="false" outlineLevel="0" collapsed="false">
      <c r="A204" s="0" t="s">
        <v>631</v>
      </c>
      <c r="B204" s="0" t="s">
        <v>32</v>
      </c>
      <c r="D204" s="19" t="n">
        <f aca="false">mcpB_26*1</f>
        <v>0.300538</v>
      </c>
      <c r="E204" s="19" t="n">
        <f aca="false">mcpB_27*1</f>
        <v>1.691391</v>
      </c>
      <c r="F204" s="19" t="n">
        <f aca="false">mcpB_28*um28_B</f>
        <v>2.5774</v>
      </c>
      <c r="G204" s="19" t="n">
        <f aca="false">mcpB_29*um29_B</f>
        <v>4.992628</v>
      </c>
    </row>
    <row r="205" customFormat="false" ht="17.15" hidden="false" customHeight="false" outlineLevel="0" collapsed="false">
      <c r="A205" s="0" t="s">
        <v>632</v>
      </c>
      <c r="B205" s="0" t="s">
        <v>65</v>
      </c>
      <c r="D205" s="15" t="n">
        <f aca="false">tr_cy26/D203</f>
        <v>0.0423521320116093</v>
      </c>
      <c r="H205" s="7" t="s">
        <v>633</v>
      </c>
    </row>
    <row r="206" customFormat="false" ht="17.15" hidden="false" customHeight="false" outlineLevel="0" collapsed="false">
      <c r="A206" s="4" t="s">
        <v>634</v>
      </c>
      <c r="B206" s="0" t="s">
        <v>76</v>
      </c>
      <c r="D206" s="8" t="n">
        <f aca="false">1</f>
        <v>1</v>
      </c>
      <c r="E206" s="8" t="n">
        <f aca="false">rel_27</f>
        <v>1</v>
      </c>
      <c r="F206" s="8" t="n">
        <f aca="false">rel_28</f>
        <v>1</v>
      </c>
      <c r="G206" s="8" t="n">
        <f aca="false">rel_29</f>
        <v>0.95</v>
      </c>
    </row>
    <row r="207" customFormat="false" ht="15" hidden="false" customHeight="false" outlineLevel="0" collapsed="false">
      <c r="A207" s="4" t="s">
        <v>635</v>
      </c>
      <c r="B207" s="0" t="s">
        <v>65</v>
      </c>
      <c r="D207" s="15" t="n">
        <f aca="false">$D$205*D206</f>
        <v>0.0423521320116093</v>
      </c>
      <c r="E207" s="15" t="n">
        <f aca="false">$D$205*E206</f>
        <v>0.0423521320116093</v>
      </c>
      <c r="F207" s="15" t="n">
        <f aca="false">$D$205*F206</f>
        <v>0.0423521320116093</v>
      </c>
      <c r="G207" s="15" t="n">
        <f aca="false">$D$205*G206</f>
        <v>0.0402345254110289</v>
      </c>
    </row>
    <row r="208" customFormat="false" ht="15" hidden="false" customHeight="false" outlineLevel="0" collapsed="false">
      <c r="A208" s="4" t="s">
        <v>636</v>
      </c>
      <c r="B208" s="0" t="s">
        <v>76</v>
      </c>
      <c r="D208" s="8" t="n">
        <f aca="false">1</f>
        <v>1</v>
      </c>
      <c r="E208" s="8" t="n">
        <f aca="false">pxr_27</f>
        <v>1</v>
      </c>
      <c r="F208" s="8" t="n">
        <f aca="false">pxr_28</f>
        <v>1</v>
      </c>
      <c r="G208" s="8" t="n">
        <f aca="false">pxr_29</f>
        <v>1</v>
      </c>
    </row>
    <row r="209" customFormat="false" ht="17.15" hidden="false" customHeight="false" outlineLevel="0" collapsed="false">
      <c r="A209" s="0" t="s">
        <v>637</v>
      </c>
      <c r="B209" s="0" t="s">
        <v>65</v>
      </c>
      <c r="D209" s="15" t="n">
        <f aca="false">0</f>
        <v>0</v>
      </c>
      <c r="E209" s="15" t="n">
        <f aca="false">cpo_27</f>
        <v>0.05</v>
      </c>
      <c r="F209" s="15" t="n">
        <f aca="false">cpo_28</f>
        <v>0.1</v>
      </c>
      <c r="G209" s="15" t="n">
        <f aca="false">cpo_29</f>
        <v>0.15</v>
      </c>
    </row>
    <row r="210" customFormat="false" ht="15" hidden="false" customHeight="false" outlineLevel="0" collapsed="false">
      <c r="A210" s="4" t="s">
        <v>638</v>
      </c>
      <c r="B210" s="0" t="s">
        <v>32</v>
      </c>
      <c r="D210" s="19" t="n">
        <f aca="false">tr_cy26</f>
        <v>1.26011408</v>
      </c>
      <c r="E210" s="19" t="n">
        <f aca="false">E203*E207*E208+E204*E209</f>
        <v>2.40073603225968</v>
      </c>
      <c r="F210" s="19" t="n">
        <f aca="false">F203*F207*F208+F204*F209</f>
        <v>2.33174931588772</v>
      </c>
      <c r="G210" s="19" t="n">
        <f aca="false">G203*G207*G208+G204*G209</f>
        <v>3.44409272248988</v>
      </c>
    </row>
    <row r="211" customFormat="false" ht="17.15" hidden="false" customHeight="false" outlineLevel="0" collapsed="false">
      <c r="A211" s="1" t="s">
        <v>639</v>
      </c>
    </row>
    <row r="212" customFormat="false" ht="17.15" hidden="false" customHeight="false" outlineLevel="0" collapsed="false">
      <c r="A212" s="0" t="s">
        <v>640</v>
      </c>
      <c r="B212" s="0" t="s">
        <v>76</v>
      </c>
      <c r="C212" s="24" t="n">
        <f aca="false">1</f>
        <v>1</v>
      </c>
      <c r="D212" s="24" t="n">
        <f aca="false">1</f>
        <v>1</v>
      </c>
      <c r="E212" s="24" t="n">
        <f aca="false">1</f>
        <v>1</v>
      </c>
      <c r="F212" s="24" t="n">
        <f aca="false">(1-hw)+hw*um28_B</f>
        <v>0.908</v>
      </c>
      <c r="G212" s="24" t="n">
        <f aca="false">(1-hw)*um28_B+hw*um29_B</f>
        <v>0.823</v>
      </c>
      <c r="H212" s="4" t="s">
        <v>641</v>
      </c>
    </row>
    <row r="213" customFormat="false" ht="17.15" hidden="false" customHeight="false" outlineLevel="0" collapsed="false">
      <c r="A213" s="4" t="s">
        <v>642</v>
      </c>
      <c r="B213" s="0" t="s">
        <v>32</v>
      </c>
      <c r="C213" s="19" t="n">
        <f aca="false">a25_tr</f>
        <v>1.16917436338336</v>
      </c>
      <c r="D213" s="19" t="n">
        <f aca="false">a26_tr</f>
        <v>1.163885463</v>
      </c>
      <c r="E213" s="19" t="n">
        <f aca="false">h1_27+hw*E210</f>
        <v>1.78065265483945</v>
      </c>
      <c r="F213" s="19" t="n">
        <f aca="false">(1-hw)*E210+hw*F210</f>
        <v>2.36900214272858</v>
      </c>
      <c r="G213" s="19" t="n">
        <f aca="false">(1-hw)*F210+hw*G210</f>
        <v>2.84342728292471</v>
      </c>
      <c r="H213" s="7" t="s">
        <v>643</v>
      </c>
    </row>
    <row r="214" customFormat="false" ht="17.15" hidden="false" customHeight="false" outlineLevel="0" collapsed="false">
      <c r="A214" s="0" t="s">
        <v>644</v>
      </c>
      <c r="B214" s="0" t="s">
        <v>32</v>
      </c>
      <c r="C214" s="19" t="n">
        <f aca="false">a25_dci</f>
        <v>0.410554710616641</v>
      </c>
      <c r="D214" s="19" t="n">
        <f aca="false">a26_dci</f>
        <v>0.7331</v>
      </c>
      <c r="E214" s="19" t="n">
        <f aca="false">h1dci*(2+h2_dci)</f>
        <v>1.25319348</v>
      </c>
      <c r="F214" s="19" t="n">
        <f aca="false">E214*(1+g_dci_28)</f>
        <v>1.503832176</v>
      </c>
      <c r="G214" s="19" t="n">
        <f aca="false">F214*(1+g_dci_29)</f>
        <v>1.6542153936</v>
      </c>
    </row>
    <row r="215" customFormat="false" ht="17.15" hidden="false" customHeight="false" outlineLevel="0" collapsed="false">
      <c r="A215" s="0" t="s">
        <v>543</v>
      </c>
      <c r="B215" s="0" t="s">
        <v>32</v>
      </c>
      <c r="C215" s="19" t="n">
        <f aca="false">C214*C212</f>
        <v>0.410554710616641</v>
      </c>
      <c r="D215" s="19" t="n">
        <f aca="false">D214*D212</f>
        <v>0.7331</v>
      </c>
      <c r="E215" s="19" t="n">
        <f aca="false">E214*E212</f>
        <v>1.25319348</v>
      </c>
      <c r="F215" s="19" t="n">
        <f aca="false">F214*F212</f>
        <v>1.365479615808</v>
      </c>
      <c r="G215" s="19" t="n">
        <f aca="false">G214*G212</f>
        <v>1.3614192689328</v>
      </c>
    </row>
    <row r="216" customFormat="false" ht="17.15" hidden="false" customHeight="false" outlineLevel="0" collapsed="false">
      <c r="A216" s="0" t="s">
        <v>645</v>
      </c>
      <c r="B216" s="0" t="s">
        <v>32</v>
      </c>
      <c r="C216" s="19" t="n">
        <f aca="false">a25_hpc</f>
        <v>0</v>
      </c>
      <c r="D216" s="19" t="n">
        <f aca="false">a26_hpc</f>
        <v>0.3261</v>
      </c>
      <c r="E216" s="19" t="n">
        <f aca="false">h1hpc*(2+h2_hpc)</f>
        <v>0.5669664</v>
      </c>
      <c r="F216" s="19" t="n">
        <f aca="false">E216*(1+g_hpc_28)</f>
        <v>0.65201136</v>
      </c>
      <c r="G216" s="19" t="n">
        <f aca="false">F216*(1+g_hpc_29)</f>
        <v>0.717212496</v>
      </c>
    </row>
    <row r="217" customFormat="false" ht="17.15" hidden="false" customHeight="false" outlineLevel="0" collapsed="false">
      <c r="A217" s="0" t="s">
        <v>546</v>
      </c>
      <c r="B217" s="0" t="s">
        <v>32</v>
      </c>
      <c r="C217" s="19" t="n">
        <f aca="false">C216*C212</f>
        <v>0</v>
      </c>
      <c r="D217" s="19" t="n">
        <f aca="false">D216*D212</f>
        <v>0.3261</v>
      </c>
      <c r="E217" s="19" t="n">
        <f aca="false">E216*E212</f>
        <v>0.5669664</v>
      </c>
      <c r="F217" s="19" t="n">
        <f aca="false">F216*F212</f>
        <v>0.59202631488</v>
      </c>
      <c r="G217" s="19" t="n">
        <f aca="false">G216*G212</f>
        <v>0.590265884208</v>
      </c>
    </row>
    <row r="218" customFormat="false" ht="15" hidden="false" customHeight="false" outlineLevel="0" collapsed="false">
      <c r="A218" s="4" t="s">
        <v>537</v>
      </c>
      <c r="B218" s="0" t="s">
        <v>32</v>
      </c>
      <c r="C218" s="19" t="n">
        <f aca="false">C213+C215+C217</f>
        <v>1.579729074</v>
      </c>
      <c r="D218" s="19" t="n">
        <f aca="false">D213+D215+D217</f>
        <v>2.223085463</v>
      </c>
      <c r="E218" s="19" t="n">
        <f aca="false">E213+E215+E217</f>
        <v>3.60081253483945</v>
      </c>
      <c r="F218" s="19" t="n">
        <f aca="false">F213+F215+F217</f>
        <v>4.32650807341658</v>
      </c>
      <c r="G218" s="19" t="n">
        <f aca="false">G213+G215+G217</f>
        <v>4.79511243606551</v>
      </c>
    </row>
    <row r="219" customFormat="false" ht="15" hidden="false" customHeight="false" outlineLevel="0" collapsed="false">
      <c r="A219" s="4" t="s">
        <v>646</v>
      </c>
      <c r="B219" s="0" t="s">
        <v>32</v>
      </c>
      <c r="C219" s="19" t="n">
        <f aca="false">a25_ci</f>
        <v>1.049733389</v>
      </c>
      <c r="D219" s="19" t="n">
        <f aca="false">a26_ci</f>
        <v>1.545485301</v>
      </c>
      <c r="E219" s="19" t="n">
        <f aca="false">h1ci*(2+h2_ci)</f>
        <v>1.7611985244</v>
      </c>
      <c r="F219" s="19" t="n">
        <f aca="false">E219*(1+g_ci_28)</f>
        <v>1.866870435864</v>
      </c>
      <c r="G219" s="19" t="n">
        <f aca="false">F219*(1+g_ci_29)</f>
        <v>1.9602139576572</v>
      </c>
    </row>
    <row r="220" customFormat="false" ht="15" hidden="false" customHeight="false" outlineLevel="0" collapsed="false">
      <c r="A220" s="4" t="s">
        <v>647</v>
      </c>
      <c r="B220" s="0" t="s">
        <v>32</v>
      </c>
      <c r="C220" s="19" t="n">
        <f aca="false">a25_aio</f>
        <v>0.789864537</v>
      </c>
      <c r="D220" s="19" t="n">
        <f aca="false">a26_aio</f>
        <v>0.872526236</v>
      </c>
      <c r="E220" s="19" t="n">
        <f aca="false">h1aio*(2+h2_aio)</f>
        <v>0.9722450688</v>
      </c>
      <c r="F220" s="19" t="n">
        <f aca="false">E220*(1+g_aio_28)</f>
        <v>1.02085732224</v>
      </c>
      <c r="G220" s="19" t="n">
        <f aca="false">F220*(1+g_aio_29)</f>
        <v>1.071900188352</v>
      </c>
    </row>
    <row r="221" customFormat="false" ht="15" hidden="false" customHeight="false" outlineLevel="0" collapsed="false">
      <c r="A221" s="4" t="s">
        <v>535</v>
      </c>
      <c r="B221" s="0" t="s">
        <v>32</v>
      </c>
      <c r="C221" s="19" t="n">
        <f aca="false">C218+C219+C220</f>
        <v>3.419327</v>
      </c>
      <c r="D221" s="19" t="n">
        <f aca="false">D218+D219+D220</f>
        <v>4.641097</v>
      </c>
      <c r="E221" s="19" t="n">
        <f aca="false">E218+E219+E220</f>
        <v>6.33425612803945</v>
      </c>
      <c r="F221" s="19" t="n">
        <f aca="false">F218+F219+F220</f>
        <v>7.21423583152058</v>
      </c>
      <c r="G221" s="19" t="n">
        <f aca="false">G218+G219+G220</f>
        <v>7.82722658207471</v>
      </c>
    </row>
    <row r="222" customFormat="false" ht="15" hidden="false" customHeight="false" outlineLevel="0" collapsed="false">
      <c r="A222" s="4" t="s">
        <v>648</v>
      </c>
      <c r="B222" s="0" t="s">
        <v>65</v>
      </c>
      <c r="D222" s="15" t="n">
        <f aca="false">D221/C221-1</f>
        <v>0.357313003406811</v>
      </c>
      <c r="E222" s="15" t="n">
        <f aca="false">E221/D221-1</f>
        <v>0.36481873316577</v>
      </c>
      <c r="F222" s="15" t="n">
        <f aca="false">F221/E221-1</f>
        <v>0.138923921877073</v>
      </c>
      <c r="G222" s="15" t="n">
        <f aca="false">G221/F221-1</f>
        <v>0.084969602445742</v>
      </c>
    </row>
    <row r="223" customFormat="false" ht="17.15" hidden="false" customHeight="false" outlineLevel="0" collapsed="false">
      <c r="A223" s="4" t="s">
        <v>649</v>
      </c>
      <c r="B223" s="0" t="s">
        <v>65</v>
      </c>
      <c r="C223" s="15" t="n">
        <f aca="false">C218/C221</f>
        <v>0.462</v>
      </c>
      <c r="D223" s="15" t="n">
        <f aca="false">D218/D221</f>
        <v>0.479</v>
      </c>
      <c r="E223" s="15" t="n">
        <f aca="false">E218/E221</f>
        <v>0.568466519517574</v>
      </c>
      <c r="F223" s="15" t="n">
        <f aca="false">F218/F221</f>
        <v>0.599718137091266</v>
      </c>
      <c r="G223" s="15" t="n">
        <f aca="false">G218/G221</f>
        <v>0.612619602331034</v>
      </c>
    </row>
    <row r="224" customFormat="false" ht="17.15" hidden="false" customHeight="false" outlineLevel="0" collapsed="false">
      <c r="A224" s="1" t="s">
        <v>650</v>
      </c>
    </row>
    <row r="225" customFormat="false" ht="17.15" hidden="false" customHeight="false" outlineLevel="0" collapsed="false">
      <c r="A225" s="4" t="s">
        <v>615</v>
      </c>
      <c r="B225" s="0" t="s">
        <v>65</v>
      </c>
      <c r="C225" s="15" t="n">
        <f aca="false">a25_gp/a25_rev</f>
        <v>0.123943980789202</v>
      </c>
      <c r="D225" s="15" t="n">
        <f aca="false">a26_gp/a26_rev</f>
        <v>0.122378394590762</v>
      </c>
      <c r="E225" s="15" t="n">
        <f aca="false">GMHI_27</f>
        <v>0.127</v>
      </c>
      <c r="F225" s="15" t="n">
        <f aca="false">GMHI_28</f>
        <v>0.128</v>
      </c>
      <c r="G225" s="15" t="n">
        <f aca="false">GMHI_29</f>
        <v>0.128</v>
      </c>
      <c r="H225" s="7" t="s">
        <v>651</v>
      </c>
    </row>
    <row r="226" customFormat="false" ht="15" hidden="false" customHeight="false" outlineLevel="0" collapsed="false">
      <c r="A226" s="4" t="s">
        <v>652</v>
      </c>
      <c r="B226" s="0" t="s">
        <v>32</v>
      </c>
      <c r="C226" s="19" t="n">
        <f aca="false">C221*C225</f>
        <v>0.423805</v>
      </c>
      <c r="D226" s="19" t="n">
        <f aca="false">D221*D225</f>
        <v>0.56797</v>
      </c>
      <c r="E226" s="19" t="n">
        <f aca="false">E221*E225</f>
        <v>0.804450528261011</v>
      </c>
      <c r="F226" s="19" t="n">
        <f aca="false">F221*F225</f>
        <v>0.923422186434634</v>
      </c>
      <c r="G226" s="19" t="n">
        <f aca="false">G221*G225</f>
        <v>1.00188500250556</v>
      </c>
    </row>
    <row r="227" customFormat="false" ht="15" hidden="false" customHeight="false" outlineLevel="0" collapsed="false">
      <c r="A227" s="4" t="s">
        <v>653</v>
      </c>
      <c r="B227" s="0" t="s">
        <v>32</v>
      </c>
      <c r="C227" s="19" t="n">
        <f aca="false">a25_opx</f>
        <v>0.063093</v>
      </c>
      <c r="D227" s="19" t="n">
        <f aca="false">a26_opx</f>
        <v>0.0679069999999999</v>
      </c>
      <c r="E227" s="19" t="n">
        <f aca="false">D227*(1+MAX(0,phi*E222))</f>
        <v>0.0731971472651966</v>
      </c>
      <c r="F227" s="19" t="n">
        <f aca="false">E227*(1+MAX(0,phi*F222))</f>
        <v>0.0753685844819478</v>
      </c>
      <c r="G227" s="19" t="n">
        <f aca="false">F227*(1+MAX(0,phi*G222))</f>
        <v>0.0767360929724889</v>
      </c>
    </row>
    <row r="228" customFormat="false" ht="15" hidden="false" customHeight="false" outlineLevel="0" collapsed="false">
      <c r="A228" s="4" t="s">
        <v>654</v>
      </c>
      <c r="B228" s="0" t="s">
        <v>32</v>
      </c>
      <c r="C228" s="14" t="n">
        <f aca="false">C227</f>
        <v>0.063093</v>
      </c>
      <c r="D228" s="14" t="n">
        <f aca="false">D227</f>
        <v>0.0679069999999999</v>
      </c>
      <c r="E228" s="14" t="n">
        <f aca="false">E227+0*E221</f>
        <v>0.0731971472651966</v>
      </c>
      <c r="F228" s="14" t="n">
        <f aca="false">F227+0*F221</f>
        <v>0.0753685844819478</v>
      </c>
      <c r="G228" s="14" t="n">
        <f aca="false">G227+0*G221</f>
        <v>0.0767360929724889</v>
      </c>
    </row>
    <row r="229" customFormat="false" ht="15" hidden="false" customHeight="false" outlineLevel="0" collapsed="false">
      <c r="A229" s="4" t="s">
        <v>655</v>
      </c>
      <c r="B229" s="0" t="s">
        <v>32</v>
      </c>
      <c r="C229" s="19" t="n">
        <f aca="false">C226-C228</f>
        <v>0.360712</v>
      </c>
      <c r="D229" s="19" t="n">
        <f aca="false">D226-D228</f>
        <v>0.500063</v>
      </c>
      <c r="E229" s="19" t="n">
        <f aca="false">E226-E228</f>
        <v>0.731253380995814</v>
      </c>
      <c r="F229" s="19" t="n">
        <f aca="false">F226-F228</f>
        <v>0.848053601952686</v>
      </c>
      <c r="G229" s="19" t="n">
        <f aca="false">G226-G228</f>
        <v>0.925148909533074</v>
      </c>
    </row>
    <row r="230" customFormat="false" ht="15" hidden="false" customHeight="false" outlineLevel="0" collapsed="false">
      <c r="A230" s="4" t="s">
        <v>616</v>
      </c>
      <c r="B230" s="0" t="s">
        <v>65</v>
      </c>
      <c r="C230" s="15" t="n">
        <f aca="false">C229/C221</f>
        <v>0.10549210414798</v>
      </c>
      <c r="D230" s="15" t="n">
        <f aca="false">D229/D221</f>
        <v>0.107746724535169</v>
      </c>
      <c r="E230" s="15" t="n">
        <f aca="false">E229/E221</f>
        <v>0.115444239420446</v>
      </c>
      <c r="F230" s="15" t="n">
        <f aca="false">F229/F221</f>
        <v>0.117552797241165</v>
      </c>
      <c r="G230" s="15" t="n">
        <f aca="false">G229/G221</f>
        <v>0.118196260173658</v>
      </c>
    </row>
    <row r="231" customFormat="false" ht="15" hidden="false" customHeight="false" outlineLevel="0" collapsed="false">
      <c r="A231" s="4" t="s">
        <v>656</v>
      </c>
      <c r="B231" s="0" t="s">
        <v>32</v>
      </c>
      <c r="C231" s="14" t="n">
        <f aca="false">a25_oth</f>
        <v>0.030733</v>
      </c>
      <c r="D231" s="14" t="n">
        <f aca="false">a26_oth</f>
        <v>0.0354829999999999</v>
      </c>
      <c r="E231" s="14" t="n">
        <f aca="false">int_f</f>
        <v>0.03</v>
      </c>
      <c r="F231" s="14" t="n">
        <f aca="false">int_f</f>
        <v>0.03</v>
      </c>
      <c r="G231" s="14" t="n">
        <f aca="false">int_f</f>
        <v>0.03</v>
      </c>
    </row>
    <row r="232" customFormat="false" ht="15" hidden="false" customHeight="false" outlineLevel="0" collapsed="false">
      <c r="A232" s="4" t="s">
        <v>657</v>
      </c>
      <c r="B232" s="0" t="s">
        <v>32</v>
      </c>
      <c r="C232" s="19" t="n">
        <f aca="false">C229+C231</f>
        <v>0.391445</v>
      </c>
      <c r="D232" s="19" t="n">
        <f aca="false">D229+D231</f>
        <v>0.535546</v>
      </c>
      <c r="E232" s="19" t="n">
        <f aca="false">E229+E231</f>
        <v>0.761253380995814</v>
      </c>
      <c r="F232" s="19" t="n">
        <f aca="false">F229+F231</f>
        <v>0.878053601952686</v>
      </c>
      <c r="G232" s="19" t="n">
        <f aca="false">G229+G231</f>
        <v>0.955148909533074</v>
      </c>
    </row>
    <row r="233" customFormat="false" ht="15" hidden="false" customHeight="false" outlineLevel="0" collapsed="false">
      <c r="A233" s="4" t="s">
        <v>617</v>
      </c>
      <c r="B233" s="0" t="s">
        <v>32</v>
      </c>
      <c r="C233" s="19" t="n">
        <f aca="false">a25_ni</f>
        <v>0.368792</v>
      </c>
      <c r="D233" s="19" t="n">
        <f aca="false">a26_ni</f>
        <v>0.510907</v>
      </c>
      <c r="E233" s="19" t="n">
        <f aca="false">E232*(1-(tx))</f>
        <v>0.723190711946024</v>
      </c>
      <c r="F233" s="19" t="n">
        <f aca="false">F232*(1-(tx))</f>
        <v>0.834150921855052</v>
      </c>
      <c r="G233" s="19" t="n">
        <f aca="false">G232*(1-(tx))</f>
        <v>0.90739146405642</v>
      </c>
    </row>
    <row r="234" customFormat="false" ht="15" hidden="false" customHeight="false" outlineLevel="0" collapsed="false">
      <c r="A234" s="4" t="s">
        <v>658</v>
      </c>
      <c r="B234" s="0" t="s">
        <v>65</v>
      </c>
      <c r="C234" s="15" t="n">
        <f aca="false">C233/C221</f>
        <v>0.107855142254602</v>
      </c>
      <c r="D234" s="15" t="n">
        <f aca="false">D233/D221</f>
        <v>0.110083241095801</v>
      </c>
      <c r="E234" s="15" t="n">
        <f aca="false">E233/E221</f>
        <v>0.114171371875021</v>
      </c>
      <c r="F234" s="15" t="n">
        <f aca="false">F233/F221</f>
        <v>0.115625679744272</v>
      </c>
      <c r="G234" s="15" t="n">
        <f aca="false">G233/G221</f>
        <v>0.115927583613646</v>
      </c>
    </row>
    <row r="235" customFormat="false" ht="15" hidden="false" customHeight="false" outlineLevel="0" collapsed="false">
      <c r="A235" s="4" t="s">
        <v>559</v>
      </c>
      <c r="B235" s="4" t="s">
        <v>307</v>
      </c>
      <c r="C235" s="16" t="n">
        <f aca="false">a25_sh</f>
        <v>0.036267</v>
      </c>
      <c r="D235" s="16" t="n">
        <f aca="false">a26_sh</f>
        <v>0.036252</v>
      </c>
      <c r="E235" s="16" t="n">
        <f aca="false">sh_q1*(1+sh_g)</f>
        <v>0.0363</v>
      </c>
      <c r="F235" s="16" t="n">
        <f aca="false">E235*(1+sh_g)</f>
        <v>0.0363</v>
      </c>
      <c r="G235" s="16" t="n">
        <f aca="false">F235*(1+sh_g)</f>
        <v>0.0363</v>
      </c>
    </row>
    <row r="236" customFormat="false" ht="15" hidden="false" customHeight="false" outlineLevel="0" collapsed="false">
      <c r="A236" s="0" t="s">
        <v>618</v>
      </c>
      <c r="B236" s="0" t="s">
        <v>217</v>
      </c>
      <c r="C236" s="19" t="n">
        <f aca="false">C233/C235</f>
        <v>10.1688035955552</v>
      </c>
      <c r="D236" s="19" t="n">
        <f aca="false">D233/D235</f>
        <v>14.0932086505572</v>
      </c>
      <c r="E236" s="19" t="n">
        <f aca="false">E233/E235</f>
        <v>19.9226091445186</v>
      </c>
      <c r="F236" s="19" t="n">
        <f aca="false">F233/F235</f>
        <v>22.9793642384312</v>
      </c>
      <c r="G236" s="19" t="n">
        <f aca="false">G233/G235</f>
        <v>24.9970100291025</v>
      </c>
    </row>
    <row r="237" customFormat="false" ht="17.15" hidden="false" customHeight="false" outlineLevel="0" collapsed="false">
      <c r="A237" s="0" t="s">
        <v>659</v>
      </c>
      <c r="B237" s="0" t="s">
        <v>65</v>
      </c>
      <c r="D237" s="15" t="n">
        <f aca="false">D236/C236-1</f>
        <v>0.385925936923139</v>
      </c>
      <c r="E237" s="15" t="n">
        <f aca="false">E236/D236-1</f>
        <v>0.413631887421951</v>
      </c>
      <c r="F237" s="15" t="n">
        <f aca="false">F236/E236-1</f>
        <v>0.153431464309667</v>
      </c>
      <c r="G237" s="15" t="n">
        <f aca="false">G236/F236-1</f>
        <v>0.0878025070553061</v>
      </c>
    </row>
    <row r="240" customFormat="false" ht="17.15" hidden="false" customHeight="false" outlineLevel="0" collapsed="false">
      <c r="A240" s="3" t="s">
        <v>942</v>
      </c>
    </row>
    <row r="241" customFormat="false" ht="17.15" hidden="false" customHeight="false" outlineLevel="0" collapsed="false">
      <c r="A241" s="5" t="s">
        <v>21</v>
      </c>
      <c r="B241" s="5" t="s">
        <v>22</v>
      </c>
      <c r="C241" s="13" t="s">
        <v>528</v>
      </c>
      <c r="D241" s="13" t="s">
        <v>600</v>
      </c>
      <c r="E241" s="13" t="s">
        <v>601</v>
      </c>
      <c r="F241" s="13" t="s">
        <v>602</v>
      </c>
      <c r="G241" s="13" t="s">
        <v>603</v>
      </c>
      <c r="H241" s="5" t="s">
        <v>534</v>
      </c>
    </row>
    <row r="242" customFormat="false" ht="17.15" hidden="false" customHeight="false" outlineLevel="0" collapsed="false">
      <c r="A242" s="1" t="s">
        <v>628</v>
      </c>
    </row>
    <row r="243" customFormat="false" ht="17.15" hidden="false" customHeight="false" outlineLevel="0" collapsed="false">
      <c r="A243" s="0" t="s">
        <v>629</v>
      </c>
      <c r="B243" s="0" t="s">
        <v>32</v>
      </c>
      <c r="D243" s="19" t="n">
        <f aca="false">mplB_26*1</f>
        <v>29.753262</v>
      </c>
      <c r="E243" s="19" t="n">
        <f aca="false">mplB_27*1*1</f>
        <v>54.688309</v>
      </c>
      <c r="F243" s="19" t="n">
        <f aca="false">mplB_28*um28_B*1</f>
        <v>48.9706</v>
      </c>
      <c r="G243" s="19" t="n">
        <f aca="false">mplB_29*um29_B*1</f>
        <v>66.987208</v>
      </c>
      <c r="H243" s="4" t="s">
        <v>630</v>
      </c>
    </row>
    <row r="244" customFormat="false" ht="17.15" hidden="false" customHeight="false" outlineLevel="0" collapsed="false">
      <c r="A244" s="0" t="s">
        <v>631</v>
      </c>
      <c r="B244" s="0" t="s">
        <v>32</v>
      </c>
      <c r="D244" s="19" t="n">
        <f aca="false">mcpB_26*1</f>
        <v>0.300538</v>
      </c>
      <c r="E244" s="19" t="n">
        <f aca="false">mcpB_27*1</f>
        <v>1.691391</v>
      </c>
      <c r="F244" s="19" t="n">
        <f aca="false">mcpB_28*um28_B</f>
        <v>2.5774</v>
      </c>
      <c r="G244" s="19" t="n">
        <f aca="false">mcpB_29*um29_B</f>
        <v>4.992628</v>
      </c>
    </row>
    <row r="245" customFormat="false" ht="17.15" hidden="false" customHeight="false" outlineLevel="0" collapsed="false">
      <c r="A245" s="0" t="s">
        <v>632</v>
      </c>
      <c r="B245" s="0" t="s">
        <v>65</v>
      </c>
      <c r="D245" s="15" t="n">
        <f aca="false">tr_cy26/D243</f>
        <v>0.0423521320116093</v>
      </c>
      <c r="H245" s="7" t="s">
        <v>633</v>
      </c>
    </row>
    <row r="246" customFormat="false" ht="17.15" hidden="false" customHeight="false" outlineLevel="0" collapsed="false">
      <c r="A246" s="4" t="s">
        <v>634</v>
      </c>
      <c r="B246" s="0" t="s">
        <v>76</v>
      </c>
      <c r="D246" s="8" t="n">
        <f aca="false">1</f>
        <v>1</v>
      </c>
      <c r="E246" s="8" t="n">
        <f aca="false">rel_27</f>
        <v>1</v>
      </c>
      <c r="F246" s="8" t="n">
        <f aca="false">rel_28</f>
        <v>1</v>
      </c>
      <c r="G246" s="8" t="n">
        <f aca="false">rel_29</f>
        <v>0.95</v>
      </c>
    </row>
    <row r="247" customFormat="false" ht="15" hidden="false" customHeight="false" outlineLevel="0" collapsed="false">
      <c r="A247" s="4" t="s">
        <v>635</v>
      </c>
      <c r="B247" s="0" t="s">
        <v>65</v>
      </c>
      <c r="D247" s="15" t="n">
        <f aca="false">$D$245*D246</f>
        <v>0.0423521320116093</v>
      </c>
      <c r="E247" s="15" t="n">
        <f aca="false">$D$245*E246</f>
        <v>0.0423521320116093</v>
      </c>
      <c r="F247" s="15" t="n">
        <f aca="false">$D$245*F246</f>
        <v>0.0423521320116093</v>
      </c>
      <c r="G247" s="15" t="n">
        <f aca="false">$D$245*G246</f>
        <v>0.0402345254110289</v>
      </c>
    </row>
    <row r="248" customFormat="false" ht="15" hidden="false" customHeight="false" outlineLevel="0" collapsed="false">
      <c r="A248" s="4" t="s">
        <v>636</v>
      </c>
      <c r="B248" s="0" t="s">
        <v>76</v>
      </c>
      <c r="D248" s="8" t="n">
        <f aca="false">1</f>
        <v>1</v>
      </c>
      <c r="E248" s="8" t="n">
        <f aca="false">pxr_27</f>
        <v>1</v>
      </c>
      <c r="F248" s="8" t="n">
        <f aca="false">pxr_28</f>
        <v>1</v>
      </c>
      <c r="G248" s="8" t="n">
        <f aca="false">pxr_29</f>
        <v>1</v>
      </c>
    </row>
    <row r="249" customFormat="false" ht="17.15" hidden="false" customHeight="false" outlineLevel="0" collapsed="false">
      <c r="A249" s="0" t="s">
        <v>637</v>
      </c>
      <c r="B249" s="0" t="s">
        <v>65</v>
      </c>
      <c r="D249" s="15" t="n">
        <f aca="false">0</f>
        <v>0</v>
      </c>
      <c r="E249" s="15" t="n">
        <f aca="false">CPLO_27</f>
        <v>0</v>
      </c>
      <c r="F249" s="15" t="n">
        <f aca="false">CPLO_28</f>
        <v>0.02</v>
      </c>
      <c r="G249" s="15" t="n">
        <f aca="false">CPLO_29</f>
        <v>0.05</v>
      </c>
    </row>
    <row r="250" customFormat="false" ht="15" hidden="false" customHeight="false" outlineLevel="0" collapsed="false">
      <c r="A250" s="4" t="s">
        <v>638</v>
      </c>
      <c r="B250" s="0" t="s">
        <v>32</v>
      </c>
      <c r="D250" s="19" t="n">
        <f aca="false">tr_cy26</f>
        <v>1.26011408</v>
      </c>
      <c r="E250" s="19" t="n">
        <f aca="false">E243*E247*E248+E244*E249</f>
        <v>2.31616648225968</v>
      </c>
      <c r="F250" s="19" t="n">
        <f aca="false">F243*F247*F248+F244*F249</f>
        <v>2.12555731588772</v>
      </c>
      <c r="G250" s="19" t="n">
        <f aca="false">G243*G247*G248+G244*G249</f>
        <v>2.94482992248988</v>
      </c>
    </row>
    <row r="251" customFormat="false" ht="17.15" hidden="false" customHeight="false" outlineLevel="0" collapsed="false">
      <c r="A251" s="1" t="s">
        <v>639</v>
      </c>
    </row>
    <row r="252" customFormat="false" ht="17.15" hidden="false" customHeight="false" outlineLevel="0" collapsed="false">
      <c r="A252" s="0" t="s">
        <v>640</v>
      </c>
      <c r="B252" s="0" t="s">
        <v>76</v>
      </c>
      <c r="C252" s="24" t="n">
        <f aca="false">1</f>
        <v>1</v>
      </c>
      <c r="D252" s="24" t="n">
        <f aca="false">1</f>
        <v>1</v>
      </c>
      <c r="E252" s="24" t="n">
        <f aca="false">1</f>
        <v>1</v>
      </c>
      <c r="F252" s="24" t="n">
        <f aca="false">(1-hw)+hw*um28_B</f>
        <v>0.908</v>
      </c>
      <c r="G252" s="24" t="n">
        <f aca="false">(1-hw)*um28_B+hw*um29_B</f>
        <v>0.823</v>
      </c>
      <c r="H252" s="4" t="s">
        <v>641</v>
      </c>
    </row>
    <row r="253" customFormat="false" ht="17.15" hidden="false" customHeight="false" outlineLevel="0" collapsed="false">
      <c r="A253" s="4" t="s">
        <v>642</v>
      </c>
      <c r="B253" s="0" t="s">
        <v>32</v>
      </c>
      <c r="C253" s="19" t="n">
        <f aca="false">a25_tr</f>
        <v>1.16917436338336</v>
      </c>
      <c r="D253" s="19" t="n">
        <f aca="false">a26_tr</f>
        <v>1.163885463</v>
      </c>
      <c r="E253" s="19" t="n">
        <f aca="false">h1_27+hw*E250</f>
        <v>1.74175066183945</v>
      </c>
      <c r="F253" s="19" t="n">
        <f aca="false">(1-hw)*E250+hw*F250</f>
        <v>2.22848626572858</v>
      </c>
      <c r="G253" s="19" t="n">
        <f aca="false">(1-hw)*F250+hw*G250</f>
        <v>2.50242271492471</v>
      </c>
      <c r="H253" s="7" t="s">
        <v>643</v>
      </c>
    </row>
    <row r="254" customFormat="false" ht="17.15" hidden="false" customHeight="false" outlineLevel="0" collapsed="false">
      <c r="A254" s="0" t="s">
        <v>644</v>
      </c>
      <c r="B254" s="0" t="s">
        <v>32</v>
      </c>
      <c r="C254" s="19" t="n">
        <f aca="false">a25_dci</f>
        <v>0.410554710616641</v>
      </c>
      <c r="D254" s="19" t="n">
        <f aca="false">a26_dci</f>
        <v>0.7331</v>
      </c>
      <c r="E254" s="19" t="n">
        <f aca="false">h1dci*(2+h2_dci)</f>
        <v>1.25319348</v>
      </c>
      <c r="F254" s="19" t="n">
        <f aca="false">E254*(1+g_dci_28)</f>
        <v>1.503832176</v>
      </c>
      <c r="G254" s="19" t="n">
        <f aca="false">F254*(1+g_dci_29)</f>
        <v>1.6542153936</v>
      </c>
    </row>
    <row r="255" customFormat="false" ht="17.15" hidden="false" customHeight="false" outlineLevel="0" collapsed="false">
      <c r="A255" s="0" t="s">
        <v>543</v>
      </c>
      <c r="B255" s="0" t="s">
        <v>32</v>
      </c>
      <c r="C255" s="19" t="n">
        <f aca="false">C254*C252</f>
        <v>0.410554710616641</v>
      </c>
      <c r="D255" s="19" t="n">
        <f aca="false">D254*D252</f>
        <v>0.7331</v>
      </c>
      <c r="E255" s="19" t="n">
        <f aca="false">E254*E252</f>
        <v>1.25319348</v>
      </c>
      <c r="F255" s="19" t="n">
        <f aca="false">F254*F252</f>
        <v>1.365479615808</v>
      </c>
      <c r="G255" s="19" t="n">
        <f aca="false">G254*G252</f>
        <v>1.3614192689328</v>
      </c>
    </row>
    <row r="256" customFormat="false" ht="17.15" hidden="false" customHeight="false" outlineLevel="0" collapsed="false">
      <c r="A256" s="0" t="s">
        <v>645</v>
      </c>
      <c r="B256" s="0" t="s">
        <v>32</v>
      </c>
      <c r="C256" s="19" t="n">
        <f aca="false">a25_hpc</f>
        <v>0</v>
      </c>
      <c r="D256" s="19" t="n">
        <f aca="false">a26_hpc</f>
        <v>0.3261</v>
      </c>
      <c r="E256" s="19" t="n">
        <f aca="false">h1hpc*(2+h2_hpc)</f>
        <v>0.5669664</v>
      </c>
      <c r="F256" s="19" t="n">
        <f aca="false">E256*(1+g_hpc_28)</f>
        <v>0.65201136</v>
      </c>
      <c r="G256" s="19" t="n">
        <f aca="false">F256*(1+g_hpc_29)</f>
        <v>0.717212496</v>
      </c>
    </row>
    <row r="257" customFormat="false" ht="17.15" hidden="false" customHeight="false" outlineLevel="0" collapsed="false">
      <c r="A257" s="0" t="s">
        <v>546</v>
      </c>
      <c r="B257" s="0" t="s">
        <v>32</v>
      </c>
      <c r="C257" s="19" t="n">
        <f aca="false">C256*C252</f>
        <v>0</v>
      </c>
      <c r="D257" s="19" t="n">
        <f aca="false">D256*D252</f>
        <v>0.3261</v>
      </c>
      <c r="E257" s="19" t="n">
        <f aca="false">E256*E252</f>
        <v>0.5669664</v>
      </c>
      <c r="F257" s="19" t="n">
        <f aca="false">F256*F252</f>
        <v>0.59202631488</v>
      </c>
      <c r="G257" s="19" t="n">
        <f aca="false">G256*G252</f>
        <v>0.590265884208</v>
      </c>
    </row>
    <row r="258" customFormat="false" ht="15" hidden="false" customHeight="false" outlineLevel="0" collapsed="false">
      <c r="A258" s="4" t="s">
        <v>537</v>
      </c>
      <c r="B258" s="0" t="s">
        <v>32</v>
      </c>
      <c r="C258" s="19" t="n">
        <f aca="false">C253+C255+C257</f>
        <v>1.579729074</v>
      </c>
      <c r="D258" s="19" t="n">
        <f aca="false">D253+D255+D257</f>
        <v>2.223085463</v>
      </c>
      <c r="E258" s="19" t="n">
        <f aca="false">E253+E255+E257</f>
        <v>3.56191054183945</v>
      </c>
      <c r="F258" s="19" t="n">
        <f aca="false">F253+F255+F257</f>
        <v>4.18599219641658</v>
      </c>
      <c r="G258" s="19" t="n">
        <f aca="false">G253+G255+G257</f>
        <v>4.45410786806551</v>
      </c>
    </row>
    <row r="259" customFormat="false" ht="15" hidden="false" customHeight="false" outlineLevel="0" collapsed="false">
      <c r="A259" s="4" t="s">
        <v>646</v>
      </c>
      <c r="B259" s="0" t="s">
        <v>32</v>
      </c>
      <c r="C259" s="19" t="n">
        <f aca="false">a25_ci</f>
        <v>1.049733389</v>
      </c>
      <c r="D259" s="19" t="n">
        <f aca="false">a26_ci</f>
        <v>1.545485301</v>
      </c>
      <c r="E259" s="19" t="n">
        <f aca="false">h1ci*(2+h2_ci)</f>
        <v>1.7611985244</v>
      </c>
      <c r="F259" s="19" t="n">
        <f aca="false">E259*(1+g_ci_28)</f>
        <v>1.866870435864</v>
      </c>
      <c r="G259" s="19" t="n">
        <f aca="false">F259*(1+g_ci_29)</f>
        <v>1.9602139576572</v>
      </c>
    </row>
    <row r="260" customFormat="false" ht="15" hidden="false" customHeight="false" outlineLevel="0" collapsed="false">
      <c r="A260" s="4" t="s">
        <v>647</v>
      </c>
      <c r="B260" s="0" t="s">
        <v>32</v>
      </c>
      <c r="C260" s="19" t="n">
        <f aca="false">a25_aio</f>
        <v>0.789864537</v>
      </c>
      <c r="D260" s="19" t="n">
        <f aca="false">a26_aio</f>
        <v>0.872526236</v>
      </c>
      <c r="E260" s="19" t="n">
        <f aca="false">h1aio*(2+h2_aio)</f>
        <v>0.9722450688</v>
      </c>
      <c r="F260" s="19" t="n">
        <f aca="false">E260*(1+g_aio_28)</f>
        <v>1.02085732224</v>
      </c>
      <c r="G260" s="19" t="n">
        <f aca="false">F260*(1+g_aio_29)</f>
        <v>1.071900188352</v>
      </c>
    </row>
    <row r="261" customFormat="false" ht="15" hidden="false" customHeight="false" outlineLevel="0" collapsed="false">
      <c r="A261" s="4" t="s">
        <v>535</v>
      </c>
      <c r="B261" s="0" t="s">
        <v>32</v>
      </c>
      <c r="C261" s="19" t="n">
        <f aca="false">C258+C259+C260</f>
        <v>3.419327</v>
      </c>
      <c r="D261" s="19" t="n">
        <f aca="false">D258+D259+D260</f>
        <v>4.641097</v>
      </c>
      <c r="E261" s="19" t="n">
        <f aca="false">E258+E259+E260</f>
        <v>6.29535413503946</v>
      </c>
      <c r="F261" s="19" t="n">
        <f aca="false">F258+F259+F260</f>
        <v>7.07371995452058</v>
      </c>
      <c r="G261" s="19" t="n">
        <f aca="false">G258+G259+G260</f>
        <v>7.48622201407471</v>
      </c>
    </row>
    <row r="262" customFormat="false" ht="15" hidden="false" customHeight="false" outlineLevel="0" collapsed="false">
      <c r="A262" s="4" t="s">
        <v>648</v>
      </c>
      <c r="B262" s="0" t="s">
        <v>65</v>
      </c>
      <c r="D262" s="15" t="n">
        <f aca="false">D261/C261-1</f>
        <v>0.357313003406811</v>
      </c>
      <c r="E262" s="15" t="n">
        <f aca="false">E261/D261-1</f>
        <v>0.356436664659122</v>
      </c>
      <c r="F262" s="15" t="n">
        <f aca="false">F261/E261-1</f>
        <v>0.123641307984375</v>
      </c>
      <c r="G262" s="15" t="n">
        <f aca="false">G261/F261-1</f>
        <v>0.058314728630233</v>
      </c>
    </row>
    <row r="263" customFormat="false" ht="17.15" hidden="false" customHeight="false" outlineLevel="0" collapsed="false">
      <c r="A263" s="4" t="s">
        <v>649</v>
      </c>
      <c r="B263" s="0" t="s">
        <v>65</v>
      </c>
      <c r="C263" s="15" t="n">
        <f aca="false">C258/C261</f>
        <v>0.462</v>
      </c>
      <c r="D263" s="15" t="n">
        <f aca="false">D258/D261</f>
        <v>0.479</v>
      </c>
      <c r="E263" s="15" t="n">
        <f aca="false">E258/E261</f>
        <v>0.565799868511628</v>
      </c>
      <c r="F263" s="15" t="n">
        <f aca="false">F258/F261</f>
        <v>0.591766739894962</v>
      </c>
      <c r="G263" s="15" t="n">
        <f aca="false">G258/G261</f>
        <v>0.59497405496276</v>
      </c>
    </row>
    <row r="264" customFormat="false" ht="17.15" hidden="false" customHeight="false" outlineLevel="0" collapsed="false">
      <c r="A264" s="1" t="s">
        <v>650</v>
      </c>
    </row>
    <row r="265" customFormat="false" ht="17.15" hidden="false" customHeight="false" outlineLevel="0" collapsed="false">
      <c r="A265" s="4" t="s">
        <v>615</v>
      </c>
      <c r="B265" s="0" t="s">
        <v>65</v>
      </c>
      <c r="C265" s="15" t="n">
        <f aca="false">a25_gp/a25_rev</f>
        <v>0.123943980789202</v>
      </c>
      <c r="D265" s="15" t="n">
        <f aca="false">a26_gp/a26_rev</f>
        <v>0.122378394590762</v>
      </c>
      <c r="E265" s="15" t="n">
        <f aca="false">gm_27</f>
        <v>0.123</v>
      </c>
      <c r="F265" s="15" t="n">
        <f aca="false">gm_28</f>
        <v>0.123</v>
      </c>
      <c r="G265" s="15" t="n">
        <f aca="false">gm_29</f>
        <v>0.123</v>
      </c>
      <c r="H265" s="7" t="s">
        <v>651</v>
      </c>
    </row>
    <row r="266" customFormat="false" ht="15" hidden="false" customHeight="false" outlineLevel="0" collapsed="false">
      <c r="A266" s="4" t="s">
        <v>652</v>
      </c>
      <c r="B266" s="0" t="s">
        <v>32</v>
      </c>
      <c r="C266" s="19" t="n">
        <f aca="false">C261*C265</f>
        <v>0.423805</v>
      </c>
      <c r="D266" s="19" t="n">
        <f aca="false">D261*D265</f>
        <v>0.56797</v>
      </c>
      <c r="E266" s="19" t="n">
        <f aca="false">E261*E265</f>
        <v>0.774328558609853</v>
      </c>
      <c r="F266" s="19" t="n">
        <f aca="false">F261*F265</f>
        <v>0.870067554406031</v>
      </c>
      <c r="G266" s="19" t="n">
        <f aca="false">G261*G265</f>
        <v>0.92080530773119</v>
      </c>
    </row>
    <row r="267" customFormat="false" ht="15" hidden="false" customHeight="false" outlineLevel="0" collapsed="false">
      <c r="A267" s="4" t="s">
        <v>653</v>
      </c>
      <c r="B267" s="0" t="s">
        <v>32</v>
      </c>
      <c r="C267" s="19" t="n">
        <f aca="false">a25_opx</f>
        <v>0.063093</v>
      </c>
      <c r="D267" s="19" t="n">
        <f aca="false">a26_opx</f>
        <v>0.0679069999999999</v>
      </c>
      <c r="E267" s="19" t="n">
        <f aca="false">D267*(1+MAX(0,phi*E262))</f>
        <v>0.0730756009388817</v>
      </c>
      <c r="F267" s="19" t="n">
        <f aca="false">E267*(1+MAX(0,phi*F262))</f>
        <v>0.0750049556179626</v>
      </c>
      <c r="G267" s="19" t="n">
        <f aca="false">F267*(1+MAX(0,phi*G262))</f>
        <v>0.0759389500856425</v>
      </c>
    </row>
    <row r="268" customFormat="false" ht="15" hidden="false" customHeight="false" outlineLevel="0" collapsed="false">
      <c r="A268" s="4" t="s">
        <v>654</v>
      </c>
      <c r="B268" s="0" t="s">
        <v>32</v>
      </c>
      <c r="C268" s="14" t="n">
        <f aca="false">C267</f>
        <v>0.063093</v>
      </c>
      <c r="D268" s="14" t="n">
        <f aca="false">D267</f>
        <v>0.0679069999999999</v>
      </c>
      <c r="E268" s="14" t="n">
        <f aca="false">E267+0*E261</f>
        <v>0.0730756009388817</v>
      </c>
      <c r="F268" s="14" t="n">
        <f aca="false">F267+0*F261</f>
        <v>0.0750049556179626</v>
      </c>
      <c r="G268" s="14" t="n">
        <f aca="false">G267+0*G261</f>
        <v>0.0759389500856425</v>
      </c>
    </row>
    <row r="269" customFormat="false" ht="15" hidden="false" customHeight="false" outlineLevel="0" collapsed="false">
      <c r="A269" s="4" t="s">
        <v>655</v>
      </c>
      <c r="B269" s="0" t="s">
        <v>32</v>
      </c>
      <c r="C269" s="19" t="n">
        <f aca="false">C266-C268</f>
        <v>0.360712</v>
      </c>
      <c r="D269" s="19" t="n">
        <f aca="false">D266-D268</f>
        <v>0.500063</v>
      </c>
      <c r="E269" s="19" t="n">
        <f aca="false">E266-E268</f>
        <v>0.701252957670971</v>
      </c>
      <c r="F269" s="19" t="n">
        <f aca="false">F266-F268</f>
        <v>0.795062598788069</v>
      </c>
      <c r="G269" s="19" t="n">
        <f aca="false">G266-G268</f>
        <v>0.844866357645547</v>
      </c>
    </row>
    <row r="270" customFormat="false" ht="15" hidden="false" customHeight="false" outlineLevel="0" collapsed="false">
      <c r="A270" s="4" t="s">
        <v>616</v>
      </c>
      <c r="B270" s="0" t="s">
        <v>65</v>
      </c>
      <c r="C270" s="15" t="n">
        <f aca="false">C269/C261</f>
        <v>0.10549210414798</v>
      </c>
      <c r="D270" s="15" t="n">
        <f aca="false">D269/D261</f>
        <v>0.107746724535169</v>
      </c>
      <c r="E270" s="15" t="n">
        <f aca="false">E269/E261</f>
        <v>0.111392138175016</v>
      </c>
      <c r="F270" s="15" t="n">
        <f aca="false">F269/F261</f>
        <v>0.112396674437185</v>
      </c>
      <c r="G270" s="15" t="n">
        <f aca="false">G269/G261</f>
        <v>0.112856171785599</v>
      </c>
    </row>
    <row r="271" customFormat="false" ht="15" hidden="false" customHeight="false" outlineLevel="0" collapsed="false">
      <c r="A271" s="4" t="s">
        <v>656</v>
      </c>
      <c r="B271" s="0" t="s">
        <v>32</v>
      </c>
      <c r="C271" s="14" t="n">
        <f aca="false">a25_oth</f>
        <v>0.030733</v>
      </c>
      <c r="D271" s="14" t="n">
        <f aca="false">a26_oth</f>
        <v>0.0354829999999999</v>
      </c>
      <c r="E271" s="14" t="n">
        <f aca="false">int_f</f>
        <v>0.03</v>
      </c>
      <c r="F271" s="14" t="n">
        <f aca="false">int_f</f>
        <v>0.03</v>
      </c>
      <c r="G271" s="14" t="n">
        <f aca="false">int_f</f>
        <v>0.03</v>
      </c>
    </row>
    <row r="272" customFormat="false" ht="15" hidden="false" customHeight="false" outlineLevel="0" collapsed="false">
      <c r="A272" s="4" t="s">
        <v>657</v>
      </c>
      <c r="B272" s="0" t="s">
        <v>32</v>
      </c>
      <c r="C272" s="19" t="n">
        <f aca="false">C269+C271</f>
        <v>0.391445</v>
      </c>
      <c r="D272" s="19" t="n">
        <f aca="false">D269+D271</f>
        <v>0.535546</v>
      </c>
      <c r="E272" s="19" t="n">
        <f aca="false">E269+E271</f>
        <v>0.731252957670971</v>
      </c>
      <c r="F272" s="19" t="n">
        <f aca="false">F269+F271</f>
        <v>0.825062598788069</v>
      </c>
      <c r="G272" s="19" t="n">
        <f aca="false">G269+G271</f>
        <v>0.874866357645547</v>
      </c>
    </row>
    <row r="273" customFormat="false" ht="15" hidden="false" customHeight="false" outlineLevel="0" collapsed="false">
      <c r="A273" s="4" t="s">
        <v>617</v>
      </c>
      <c r="B273" s="0" t="s">
        <v>32</v>
      </c>
      <c r="C273" s="19" t="n">
        <f aca="false">a25_ni</f>
        <v>0.368792</v>
      </c>
      <c r="D273" s="19" t="n">
        <f aca="false">a26_ni</f>
        <v>0.510907</v>
      </c>
      <c r="E273" s="19" t="n">
        <f aca="false">E272*(1-(tx))</f>
        <v>0.694690309787423</v>
      </c>
      <c r="F273" s="19" t="n">
        <f aca="false">F272*(1-(tx))</f>
        <v>0.783809468848665</v>
      </c>
      <c r="G273" s="19" t="n">
        <f aca="false">G272*(1-(tx))</f>
        <v>0.83112303976327</v>
      </c>
    </row>
    <row r="274" customFormat="false" ht="15" hidden="false" customHeight="false" outlineLevel="0" collapsed="false">
      <c r="A274" s="4" t="s">
        <v>658</v>
      </c>
      <c r="B274" s="0" t="s">
        <v>65</v>
      </c>
      <c r="C274" s="15" t="n">
        <f aca="false">C273/C261</f>
        <v>0.107855142254602</v>
      </c>
      <c r="D274" s="15" t="n">
        <f aca="false">D273/D261</f>
        <v>0.110083241095801</v>
      </c>
      <c r="E274" s="15" t="n">
        <f aca="false">E273/E261</f>
        <v>0.110349679285051</v>
      </c>
      <c r="F274" s="15" t="n">
        <f aca="false">F273/F261</f>
        <v>0.110805838213564</v>
      </c>
      <c r="G274" s="15" t="n">
        <f aca="false">G273/G261</f>
        <v>0.11102035689039</v>
      </c>
    </row>
    <row r="275" customFormat="false" ht="15" hidden="false" customHeight="false" outlineLevel="0" collapsed="false">
      <c r="A275" s="4" t="s">
        <v>559</v>
      </c>
      <c r="B275" s="4" t="s">
        <v>307</v>
      </c>
      <c r="C275" s="16" t="n">
        <f aca="false">a25_sh</f>
        <v>0.036267</v>
      </c>
      <c r="D275" s="16" t="n">
        <f aca="false">a26_sh</f>
        <v>0.036252</v>
      </c>
      <c r="E275" s="16" t="n">
        <f aca="false">sh_q1*(1+sh_g)</f>
        <v>0.0363</v>
      </c>
      <c r="F275" s="16" t="n">
        <f aca="false">E275*(1+sh_g)</f>
        <v>0.0363</v>
      </c>
      <c r="G275" s="16" t="n">
        <f aca="false">F275*(1+sh_g)</f>
        <v>0.0363</v>
      </c>
    </row>
    <row r="276" customFormat="false" ht="15" hidden="false" customHeight="false" outlineLevel="0" collapsed="false">
      <c r="A276" s="0" t="s">
        <v>618</v>
      </c>
      <c r="B276" s="0" t="s">
        <v>217</v>
      </c>
      <c r="C276" s="19" t="n">
        <f aca="false">C273/C275</f>
        <v>10.1688035955552</v>
      </c>
      <c r="D276" s="19" t="n">
        <f aca="false">D273/D275</f>
        <v>14.0932086505572</v>
      </c>
      <c r="E276" s="19" t="n">
        <f aca="false">E273/E275</f>
        <v>19.1374740988271</v>
      </c>
      <c r="F276" s="19" t="n">
        <f aca="false">F273/F275</f>
        <v>21.5925473512029</v>
      </c>
      <c r="G276" s="19" t="n">
        <f aca="false">G273/G275</f>
        <v>22.89595150863</v>
      </c>
    </row>
    <row r="277" customFormat="false" ht="17.15" hidden="false" customHeight="false" outlineLevel="0" collapsed="false">
      <c r="A277" s="0" t="s">
        <v>659</v>
      </c>
      <c r="B277" s="0" t="s">
        <v>65</v>
      </c>
      <c r="D277" s="15" t="n">
        <f aca="false">D276/C276-1</f>
        <v>0.385925936923139</v>
      </c>
      <c r="E277" s="15" t="n">
        <f aca="false">E276/D276-1</f>
        <v>0.357921717711206</v>
      </c>
      <c r="F277" s="15" t="n">
        <f aca="false">F276/E276-1</f>
        <v>0.128286169830861</v>
      </c>
      <c r="G277" s="15" t="n">
        <f aca="false">G276/F276-1</f>
        <v>0.0603636123254585</v>
      </c>
    </row>
    <row r="280" customFormat="false" ht="17.15" hidden="false" customHeight="false" outlineLevel="0" collapsed="false">
      <c r="A280" s="3" t="s">
        <v>943</v>
      </c>
    </row>
    <row r="281" customFormat="false" ht="17.15" hidden="false" customHeight="false" outlineLevel="0" collapsed="false">
      <c r="A281" s="5" t="s">
        <v>21</v>
      </c>
      <c r="B281" s="5" t="s">
        <v>22</v>
      </c>
      <c r="C281" s="13" t="s">
        <v>528</v>
      </c>
      <c r="D281" s="13" t="s">
        <v>600</v>
      </c>
      <c r="E281" s="13" t="s">
        <v>601</v>
      </c>
      <c r="F281" s="13" t="s">
        <v>602</v>
      </c>
      <c r="G281" s="13" t="s">
        <v>603</v>
      </c>
      <c r="H281" s="5" t="s">
        <v>534</v>
      </c>
    </row>
    <row r="282" customFormat="false" ht="17.15" hidden="false" customHeight="false" outlineLevel="0" collapsed="false">
      <c r="A282" s="1" t="s">
        <v>628</v>
      </c>
    </row>
    <row r="283" customFormat="false" ht="17.15" hidden="false" customHeight="false" outlineLevel="0" collapsed="false">
      <c r="A283" s="0" t="s">
        <v>629</v>
      </c>
      <c r="B283" s="0" t="s">
        <v>32</v>
      </c>
      <c r="D283" s="19" t="n">
        <f aca="false">mplB_26*1</f>
        <v>29.753262</v>
      </c>
      <c r="E283" s="19" t="n">
        <f aca="false">mplB_27*1*1</f>
        <v>54.688309</v>
      </c>
      <c r="F283" s="19" t="n">
        <f aca="false">mplB_28*um28_B*1</f>
        <v>48.9706</v>
      </c>
      <c r="G283" s="19" t="n">
        <f aca="false">mplB_29*um29_B*1</f>
        <v>66.987208</v>
      </c>
      <c r="H283" s="4" t="s">
        <v>630</v>
      </c>
    </row>
    <row r="284" customFormat="false" ht="17.15" hidden="false" customHeight="false" outlineLevel="0" collapsed="false">
      <c r="A284" s="0" t="s">
        <v>631</v>
      </c>
      <c r="B284" s="0" t="s">
        <v>32</v>
      </c>
      <c r="D284" s="19" t="n">
        <f aca="false">mcpB_26*1</f>
        <v>0.300538</v>
      </c>
      <c r="E284" s="19" t="n">
        <f aca="false">mcpB_27*1</f>
        <v>1.691391</v>
      </c>
      <c r="F284" s="19" t="n">
        <f aca="false">mcpB_28*um28_B</f>
        <v>2.5774</v>
      </c>
      <c r="G284" s="19" t="n">
        <f aca="false">mcpB_29*um29_B</f>
        <v>4.992628</v>
      </c>
    </row>
    <row r="285" customFormat="false" ht="17.15" hidden="false" customHeight="false" outlineLevel="0" collapsed="false">
      <c r="A285" s="0" t="s">
        <v>632</v>
      </c>
      <c r="B285" s="0" t="s">
        <v>65</v>
      </c>
      <c r="D285" s="15" t="n">
        <f aca="false">tr_cy26/D283</f>
        <v>0.0423521320116093</v>
      </c>
      <c r="H285" s="7" t="s">
        <v>633</v>
      </c>
    </row>
    <row r="286" customFormat="false" ht="17.15" hidden="false" customHeight="false" outlineLevel="0" collapsed="false">
      <c r="A286" s="4" t="s">
        <v>634</v>
      </c>
      <c r="B286" s="0" t="s">
        <v>76</v>
      </c>
      <c r="D286" s="8" t="n">
        <f aca="false">1</f>
        <v>1</v>
      </c>
      <c r="E286" s="8" t="n">
        <f aca="false">rel_27</f>
        <v>1</v>
      </c>
      <c r="F286" s="8" t="n">
        <f aca="false">rel_28</f>
        <v>1</v>
      </c>
      <c r="G286" s="8" t="n">
        <f aca="false">rel_29</f>
        <v>0.95</v>
      </c>
    </row>
    <row r="287" customFormat="false" ht="15" hidden="false" customHeight="false" outlineLevel="0" collapsed="false">
      <c r="A287" s="4" t="s">
        <v>635</v>
      </c>
      <c r="B287" s="0" t="s">
        <v>65</v>
      </c>
      <c r="D287" s="15" t="n">
        <f aca="false">$D$285*D286</f>
        <v>0.0423521320116093</v>
      </c>
      <c r="E287" s="15" t="n">
        <f aca="false">$D$285*E286</f>
        <v>0.0423521320116093</v>
      </c>
      <c r="F287" s="15" t="n">
        <f aca="false">$D$285*F286</f>
        <v>0.0423521320116093</v>
      </c>
      <c r="G287" s="15" t="n">
        <f aca="false">$D$285*G286</f>
        <v>0.0402345254110289</v>
      </c>
    </row>
    <row r="288" customFormat="false" ht="15" hidden="false" customHeight="false" outlineLevel="0" collapsed="false">
      <c r="A288" s="4" t="s">
        <v>636</v>
      </c>
      <c r="B288" s="0" t="s">
        <v>76</v>
      </c>
      <c r="D288" s="8" t="n">
        <f aca="false">1</f>
        <v>1</v>
      </c>
      <c r="E288" s="8" t="n">
        <f aca="false">pxr_27</f>
        <v>1</v>
      </c>
      <c r="F288" s="8" t="n">
        <f aca="false">pxr_28</f>
        <v>1</v>
      </c>
      <c r="G288" s="8" t="n">
        <f aca="false">pxr_29</f>
        <v>1</v>
      </c>
    </row>
    <row r="289" customFormat="false" ht="17.15" hidden="false" customHeight="false" outlineLevel="0" collapsed="false">
      <c r="A289" s="0" t="s">
        <v>637</v>
      </c>
      <c r="B289" s="0" t="s">
        <v>65</v>
      </c>
      <c r="D289" s="15" t="n">
        <f aca="false">0</f>
        <v>0</v>
      </c>
      <c r="E289" s="15" t="n">
        <f aca="false">CPHI_27</f>
        <v>0.15</v>
      </c>
      <c r="F289" s="15" t="n">
        <f aca="false">CPHI_28</f>
        <v>0.2</v>
      </c>
      <c r="G289" s="15" t="n">
        <f aca="false">CPHI_29</f>
        <v>0.25</v>
      </c>
    </row>
    <row r="290" customFormat="false" ht="15" hidden="false" customHeight="false" outlineLevel="0" collapsed="false">
      <c r="A290" s="4" t="s">
        <v>638</v>
      </c>
      <c r="B290" s="0" t="s">
        <v>32</v>
      </c>
      <c r="D290" s="19" t="n">
        <f aca="false">tr_cy26</f>
        <v>1.26011408</v>
      </c>
      <c r="E290" s="19" t="n">
        <f aca="false">E283*E287*E288+E284*E289</f>
        <v>2.56987513225968</v>
      </c>
      <c r="F290" s="19" t="n">
        <f aca="false">F283*F287*F288+F284*F289</f>
        <v>2.58948931588772</v>
      </c>
      <c r="G290" s="19" t="n">
        <f aca="false">G283*G287*G288+G284*G289</f>
        <v>3.94335552248988</v>
      </c>
    </row>
    <row r="291" customFormat="false" ht="17.15" hidden="false" customHeight="false" outlineLevel="0" collapsed="false">
      <c r="A291" s="1" t="s">
        <v>639</v>
      </c>
    </row>
    <row r="292" customFormat="false" ht="17.15" hidden="false" customHeight="false" outlineLevel="0" collapsed="false">
      <c r="A292" s="0" t="s">
        <v>640</v>
      </c>
      <c r="B292" s="0" t="s">
        <v>76</v>
      </c>
      <c r="C292" s="24" t="n">
        <f aca="false">1</f>
        <v>1</v>
      </c>
      <c r="D292" s="24" t="n">
        <f aca="false">1</f>
        <v>1</v>
      </c>
      <c r="E292" s="24" t="n">
        <f aca="false">1</f>
        <v>1</v>
      </c>
      <c r="F292" s="24" t="n">
        <f aca="false">(1-hw)+hw*um28_B</f>
        <v>0.908</v>
      </c>
      <c r="G292" s="24" t="n">
        <f aca="false">(1-hw)*um28_B+hw*um29_B</f>
        <v>0.823</v>
      </c>
      <c r="H292" s="4" t="s">
        <v>641</v>
      </c>
    </row>
    <row r="293" customFormat="false" ht="17.15" hidden="false" customHeight="false" outlineLevel="0" collapsed="false">
      <c r="A293" s="4" t="s">
        <v>642</v>
      </c>
      <c r="B293" s="0" t="s">
        <v>32</v>
      </c>
      <c r="C293" s="19" t="n">
        <f aca="false">a25_tr</f>
        <v>1.16917436338336</v>
      </c>
      <c r="D293" s="19" t="n">
        <f aca="false">a26_tr</f>
        <v>1.163885463</v>
      </c>
      <c r="E293" s="19" t="n">
        <f aca="false">h1_27+hw*E290</f>
        <v>1.85845664083945</v>
      </c>
      <c r="F293" s="19" t="n">
        <f aca="false">(1-hw)*E290+hw*F290</f>
        <v>2.57889765672858</v>
      </c>
      <c r="G293" s="19" t="n">
        <f aca="false">(1-hw)*F290+hw*G290</f>
        <v>3.21226777092471</v>
      </c>
      <c r="H293" s="7" t="s">
        <v>643</v>
      </c>
    </row>
    <row r="294" customFormat="false" ht="17.15" hidden="false" customHeight="false" outlineLevel="0" collapsed="false">
      <c r="A294" s="0" t="s">
        <v>644</v>
      </c>
      <c r="B294" s="0" t="s">
        <v>32</v>
      </c>
      <c r="C294" s="19" t="n">
        <f aca="false">a25_dci</f>
        <v>0.410554710616641</v>
      </c>
      <c r="D294" s="19" t="n">
        <f aca="false">a26_dci</f>
        <v>0.7331</v>
      </c>
      <c r="E294" s="19" t="n">
        <f aca="false">h1dci*(2+h2_dci)</f>
        <v>1.25319348</v>
      </c>
      <c r="F294" s="19" t="n">
        <f aca="false">E294*(1+g_dci_28)</f>
        <v>1.503832176</v>
      </c>
      <c r="G294" s="19" t="n">
        <f aca="false">F294*(1+g_dci_29)</f>
        <v>1.6542153936</v>
      </c>
    </row>
    <row r="295" customFormat="false" ht="17.15" hidden="false" customHeight="false" outlineLevel="0" collapsed="false">
      <c r="A295" s="0" t="s">
        <v>543</v>
      </c>
      <c r="B295" s="0" t="s">
        <v>32</v>
      </c>
      <c r="C295" s="19" t="n">
        <f aca="false">C294*C292</f>
        <v>0.410554710616641</v>
      </c>
      <c r="D295" s="19" t="n">
        <f aca="false">D294*D292</f>
        <v>0.7331</v>
      </c>
      <c r="E295" s="19" t="n">
        <f aca="false">E294*E292</f>
        <v>1.25319348</v>
      </c>
      <c r="F295" s="19" t="n">
        <f aca="false">F294*F292</f>
        <v>1.365479615808</v>
      </c>
      <c r="G295" s="19" t="n">
        <f aca="false">G294*G292</f>
        <v>1.3614192689328</v>
      </c>
    </row>
    <row r="296" customFormat="false" ht="17.15" hidden="false" customHeight="false" outlineLevel="0" collapsed="false">
      <c r="A296" s="0" t="s">
        <v>645</v>
      </c>
      <c r="B296" s="0" t="s">
        <v>32</v>
      </c>
      <c r="C296" s="19" t="n">
        <f aca="false">a25_hpc</f>
        <v>0</v>
      </c>
      <c r="D296" s="19" t="n">
        <f aca="false">a26_hpc</f>
        <v>0.3261</v>
      </c>
      <c r="E296" s="19" t="n">
        <f aca="false">h1hpc*(2+h2_hpc)</f>
        <v>0.5669664</v>
      </c>
      <c r="F296" s="19" t="n">
        <f aca="false">E296*(1+g_hpc_28)</f>
        <v>0.65201136</v>
      </c>
      <c r="G296" s="19" t="n">
        <f aca="false">F296*(1+g_hpc_29)</f>
        <v>0.717212496</v>
      </c>
    </row>
    <row r="297" customFormat="false" ht="17.15" hidden="false" customHeight="false" outlineLevel="0" collapsed="false">
      <c r="A297" s="0" t="s">
        <v>546</v>
      </c>
      <c r="B297" s="0" t="s">
        <v>32</v>
      </c>
      <c r="C297" s="19" t="n">
        <f aca="false">C296*C292</f>
        <v>0</v>
      </c>
      <c r="D297" s="19" t="n">
        <f aca="false">D296*D292</f>
        <v>0.3261</v>
      </c>
      <c r="E297" s="19" t="n">
        <f aca="false">E296*E292</f>
        <v>0.5669664</v>
      </c>
      <c r="F297" s="19" t="n">
        <f aca="false">F296*F292</f>
        <v>0.59202631488</v>
      </c>
      <c r="G297" s="19" t="n">
        <f aca="false">G296*G292</f>
        <v>0.590265884208</v>
      </c>
    </row>
    <row r="298" customFormat="false" ht="15" hidden="false" customHeight="false" outlineLevel="0" collapsed="false">
      <c r="A298" s="4" t="s">
        <v>537</v>
      </c>
      <c r="B298" s="0" t="s">
        <v>32</v>
      </c>
      <c r="C298" s="19" t="n">
        <f aca="false">C293+C295+C297</f>
        <v>1.579729074</v>
      </c>
      <c r="D298" s="19" t="n">
        <f aca="false">D293+D295+D297</f>
        <v>2.223085463</v>
      </c>
      <c r="E298" s="19" t="n">
        <f aca="false">E293+E295+E297</f>
        <v>3.67861652083945</v>
      </c>
      <c r="F298" s="19" t="n">
        <f aca="false">F293+F295+F297</f>
        <v>4.53640358741658</v>
      </c>
      <c r="G298" s="19" t="n">
        <f aca="false">G293+G295+G297</f>
        <v>5.16395292406551</v>
      </c>
    </row>
    <row r="299" customFormat="false" ht="15" hidden="false" customHeight="false" outlineLevel="0" collapsed="false">
      <c r="A299" s="4" t="s">
        <v>646</v>
      </c>
      <c r="B299" s="0" t="s">
        <v>32</v>
      </c>
      <c r="C299" s="19" t="n">
        <f aca="false">a25_ci</f>
        <v>1.049733389</v>
      </c>
      <c r="D299" s="19" t="n">
        <f aca="false">a26_ci</f>
        <v>1.545485301</v>
      </c>
      <c r="E299" s="19" t="n">
        <f aca="false">h1ci*(2+h2_ci)</f>
        <v>1.7611985244</v>
      </c>
      <c r="F299" s="19" t="n">
        <f aca="false">E299*(1+g_ci_28)</f>
        <v>1.866870435864</v>
      </c>
      <c r="G299" s="19" t="n">
        <f aca="false">F299*(1+g_ci_29)</f>
        <v>1.9602139576572</v>
      </c>
    </row>
    <row r="300" customFormat="false" ht="15" hidden="false" customHeight="false" outlineLevel="0" collapsed="false">
      <c r="A300" s="4" t="s">
        <v>647</v>
      </c>
      <c r="B300" s="0" t="s">
        <v>32</v>
      </c>
      <c r="C300" s="19" t="n">
        <f aca="false">a25_aio</f>
        <v>0.789864537</v>
      </c>
      <c r="D300" s="19" t="n">
        <f aca="false">a26_aio</f>
        <v>0.872526236</v>
      </c>
      <c r="E300" s="19" t="n">
        <f aca="false">h1aio*(2+h2_aio)</f>
        <v>0.9722450688</v>
      </c>
      <c r="F300" s="19" t="n">
        <f aca="false">E300*(1+g_aio_28)</f>
        <v>1.02085732224</v>
      </c>
      <c r="G300" s="19" t="n">
        <f aca="false">F300*(1+g_aio_29)</f>
        <v>1.071900188352</v>
      </c>
    </row>
    <row r="301" customFormat="false" ht="15" hidden="false" customHeight="false" outlineLevel="0" collapsed="false">
      <c r="A301" s="4" t="s">
        <v>535</v>
      </c>
      <c r="B301" s="0" t="s">
        <v>32</v>
      </c>
      <c r="C301" s="19" t="n">
        <f aca="false">C298+C299+C300</f>
        <v>3.419327</v>
      </c>
      <c r="D301" s="19" t="n">
        <f aca="false">D298+D299+D300</f>
        <v>4.641097</v>
      </c>
      <c r="E301" s="19" t="n">
        <f aca="false">E298+E299+E300</f>
        <v>6.41206011403946</v>
      </c>
      <c r="F301" s="19" t="n">
        <f aca="false">F298+F299+F300</f>
        <v>7.42413134552058</v>
      </c>
      <c r="G301" s="19" t="n">
        <f aca="false">G298+G299+G300</f>
        <v>8.19606707007471</v>
      </c>
    </row>
    <row r="302" customFormat="false" ht="15" hidden="false" customHeight="false" outlineLevel="0" collapsed="false">
      <c r="A302" s="4" t="s">
        <v>648</v>
      </c>
      <c r="B302" s="0" t="s">
        <v>65</v>
      </c>
      <c r="D302" s="15" t="n">
        <f aca="false">D301/C301-1</f>
        <v>0.357313003406811</v>
      </c>
      <c r="E302" s="15" t="n">
        <f aca="false">E301/D301-1</f>
        <v>0.381582870179066</v>
      </c>
      <c r="F302" s="15" t="n">
        <f aca="false">F301/E301-1</f>
        <v>0.157838699806503</v>
      </c>
      <c r="G302" s="15" t="n">
        <f aca="false">G301/F301-1</f>
        <v>0.103976571618697</v>
      </c>
    </row>
    <row r="303" customFormat="false" ht="17.15" hidden="false" customHeight="false" outlineLevel="0" collapsed="false">
      <c r="A303" s="4" t="s">
        <v>649</v>
      </c>
      <c r="B303" s="0" t="s">
        <v>65</v>
      </c>
      <c r="C303" s="15" t="n">
        <f aca="false">C298/C301</f>
        <v>0.462</v>
      </c>
      <c r="D303" s="15" t="n">
        <f aca="false">D298/D301</f>
        <v>0.479</v>
      </c>
      <c r="E303" s="15" t="n">
        <f aca="false">E298/E301</f>
        <v>0.573702750038943</v>
      </c>
      <c r="F303" s="15" t="n">
        <f aca="false">F298/F301</f>
        <v>0.611034931400246</v>
      </c>
      <c r="G303" s="15" t="n">
        <f aca="false">G298/G301</f>
        <v>0.630052545924132</v>
      </c>
    </row>
    <row r="304" customFormat="false" ht="17.15" hidden="false" customHeight="false" outlineLevel="0" collapsed="false">
      <c r="A304" s="1" t="s">
        <v>650</v>
      </c>
    </row>
    <row r="305" customFormat="false" ht="17.15" hidden="false" customHeight="false" outlineLevel="0" collapsed="false">
      <c r="A305" s="4" t="s">
        <v>615</v>
      </c>
      <c r="B305" s="0" t="s">
        <v>65</v>
      </c>
      <c r="C305" s="15" t="n">
        <f aca="false">a25_gp/a25_rev</f>
        <v>0.123943980789202</v>
      </c>
      <c r="D305" s="15" t="n">
        <f aca="false">a26_gp/a26_rev</f>
        <v>0.122378394590762</v>
      </c>
      <c r="E305" s="15" t="n">
        <f aca="false">gm_27</f>
        <v>0.123</v>
      </c>
      <c r="F305" s="15" t="n">
        <f aca="false">gm_28</f>
        <v>0.123</v>
      </c>
      <c r="G305" s="15" t="n">
        <f aca="false">gm_29</f>
        <v>0.123</v>
      </c>
      <c r="H305" s="7" t="s">
        <v>651</v>
      </c>
    </row>
    <row r="306" customFormat="false" ht="15" hidden="false" customHeight="false" outlineLevel="0" collapsed="false">
      <c r="A306" s="4" t="s">
        <v>652</v>
      </c>
      <c r="B306" s="0" t="s">
        <v>32</v>
      </c>
      <c r="C306" s="19" t="n">
        <f aca="false">C301*C305</f>
        <v>0.423805</v>
      </c>
      <c r="D306" s="19" t="n">
        <f aca="false">D301*D305</f>
        <v>0.56797</v>
      </c>
      <c r="E306" s="19" t="n">
        <f aca="false">E301*E305</f>
        <v>0.788683394026853</v>
      </c>
      <c r="F306" s="19" t="n">
        <f aca="false">F301*F305</f>
        <v>0.913168155499031</v>
      </c>
      <c r="G306" s="19" t="n">
        <f aca="false">G301*G305</f>
        <v>1.00811624961919</v>
      </c>
    </row>
    <row r="307" customFormat="false" ht="15" hidden="false" customHeight="false" outlineLevel="0" collapsed="false">
      <c r="A307" s="4" t="s">
        <v>653</v>
      </c>
      <c r="B307" s="0" t="s">
        <v>32</v>
      </c>
      <c r="C307" s="19" t="n">
        <f aca="false">a25_opx</f>
        <v>0.063093</v>
      </c>
      <c r="D307" s="19" t="n">
        <f aca="false">a26_opx</f>
        <v>0.0679069999999999</v>
      </c>
      <c r="E307" s="19" t="n">
        <f aca="false">D307*(1+MAX(0,phi*E302))</f>
        <v>0.0734402399178263</v>
      </c>
      <c r="F307" s="19" t="n">
        <f aca="false">E307*(1+MAX(0,phi*F302))</f>
        <v>0.0759155161296385</v>
      </c>
      <c r="G307" s="19" t="n">
        <f aca="false">F307*(1+MAX(0,phi*G302))</f>
        <v>0.0776010680276011</v>
      </c>
    </row>
    <row r="308" customFormat="false" ht="15" hidden="false" customHeight="false" outlineLevel="0" collapsed="false">
      <c r="A308" s="4" t="s">
        <v>654</v>
      </c>
      <c r="B308" s="0" t="s">
        <v>32</v>
      </c>
      <c r="C308" s="14" t="n">
        <f aca="false">C307</f>
        <v>0.063093</v>
      </c>
      <c r="D308" s="14" t="n">
        <f aca="false">D307</f>
        <v>0.0679069999999999</v>
      </c>
      <c r="E308" s="14" t="n">
        <f aca="false">E307+0*E301</f>
        <v>0.0734402399178263</v>
      </c>
      <c r="F308" s="14" t="n">
        <f aca="false">F307+0*F301</f>
        <v>0.0759155161296385</v>
      </c>
      <c r="G308" s="14" t="n">
        <f aca="false">G307+0*G301</f>
        <v>0.0776010680276011</v>
      </c>
    </row>
    <row r="309" customFormat="false" ht="15" hidden="false" customHeight="false" outlineLevel="0" collapsed="false">
      <c r="A309" s="4" t="s">
        <v>655</v>
      </c>
      <c r="B309" s="0" t="s">
        <v>32</v>
      </c>
      <c r="C309" s="19" t="n">
        <f aca="false">C306-C308</f>
        <v>0.360712</v>
      </c>
      <c r="D309" s="19" t="n">
        <f aca="false">D306-D308</f>
        <v>0.500063</v>
      </c>
      <c r="E309" s="19" t="n">
        <f aca="false">E306-E308</f>
        <v>0.715243154109027</v>
      </c>
      <c r="F309" s="19" t="n">
        <f aca="false">F306-F308</f>
        <v>0.837252639369393</v>
      </c>
      <c r="G309" s="19" t="n">
        <f aca="false">G306-G308</f>
        <v>0.930515181591588</v>
      </c>
    </row>
    <row r="310" customFormat="false" ht="15" hidden="false" customHeight="false" outlineLevel="0" collapsed="false">
      <c r="A310" s="4" t="s">
        <v>616</v>
      </c>
      <c r="B310" s="0" t="s">
        <v>65</v>
      </c>
      <c r="C310" s="15" t="n">
        <f aca="false">C309/C301</f>
        <v>0.10549210414798</v>
      </c>
      <c r="D310" s="15" t="n">
        <f aca="false">D309/D301</f>
        <v>0.107746724535169</v>
      </c>
      <c r="E310" s="15" t="n">
        <f aca="false">E309/E301</f>
        <v>0.111546545320586</v>
      </c>
      <c r="F310" s="15" t="n">
        <f aca="false">F309/F301</f>
        <v>0.112774491776005</v>
      </c>
      <c r="G310" s="15" t="n">
        <f aca="false">G309/G301</f>
        <v>0.113531913982142</v>
      </c>
    </row>
    <row r="311" customFormat="false" ht="15" hidden="false" customHeight="false" outlineLevel="0" collapsed="false">
      <c r="A311" s="4" t="s">
        <v>656</v>
      </c>
      <c r="B311" s="0" t="s">
        <v>32</v>
      </c>
      <c r="C311" s="14" t="n">
        <f aca="false">a25_oth</f>
        <v>0.030733</v>
      </c>
      <c r="D311" s="14" t="n">
        <f aca="false">a26_oth</f>
        <v>0.0354829999999999</v>
      </c>
      <c r="E311" s="14" t="n">
        <f aca="false">int_f</f>
        <v>0.03</v>
      </c>
      <c r="F311" s="14" t="n">
        <f aca="false">int_f</f>
        <v>0.03</v>
      </c>
      <c r="G311" s="14" t="n">
        <f aca="false">int_f</f>
        <v>0.03</v>
      </c>
    </row>
    <row r="312" customFormat="false" ht="15" hidden="false" customHeight="false" outlineLevel="0" collapsed="false">
      <c r="A312" s="4" t="s">
        <v>657</v>
      </c>
      <c r="B312" s="0" t="s">
        <v>32</v>
      </c>
      <c r="C312" s="19" t="n">
        <f aca="false">C309+C311</f>
        <v>0.391445</v>
      </c>
      <c r="D312" s="19" t="n">
        <f aca="false">D309+D311</f>
        <v>0.535546</v>
      </c>
      <c r="E312" s="19" t="n">
        <f aca="false">E309+E311</f>
        <v>0.745243154109027</v>
      </c>
      <c r="F312" s="19" t="n">
        <f aca="false">F309+F311</f>
        <v>0.867252639369393</v>
      </c>
      <c r="G312" s="19" t="n">
        <f aca="false">G309+G311</f>
        <v>0.960515181591588</v>
      </c>
    </row>
    <row r="313" customFormat="false" ht="15" hidden="false" customHeight="false" outlineLevel="0" collapsed="false">
      <c r="A313" s="4" t="s">
        <v>617</v>
      </c>
      <c r="B313" s="0" t="s">
        <v>32</v>
      </c>
      <c r="C313" s="19" t="n">
        <f aca="false">a25_ni</f>
        <v>0.368792</v>
      </c>
      <c r="D313" s="19" t="n">
        <f aca="false">a26_ni</f>
        <v>0.510907</v>
      </c>
      <c r="E313" s="19" t="n">
        <f aca="false">E312*(1-(tx))</f>
        <v>0.707980996403575</v>
      </c>
      <c r="F313" s="19" t="n">
        <f aca="false">F312*(1-(tx))</f>
        <v>0.823890007400923</v>
      </c>
      <c r="G313" s="19" t="n">
        <f aca="false">G312*(1-(tx))</f>
        <v>0.912489422512009</v>
      </c>
    </row>
    <row r="314" customFormat="false" ht="15" hidden="false" customHeight="false" outlineLevel="0" collapsed="false">
      <c r="A314" s="4" t="s">
        <v>658</v>
      </c>
      <c r="B314" s="0" t="s">
        <v>65</v>
      </c>
      <c r="C314" s="15" t="n">
        <f aca="false">C313/C301</f>
        <v>0.107855142254602</v>
      </c>
      <c r="D314" s="15" t="n">
        <f aca="false">D313/D301</f>
        <v>0.110083241095801</v>
      </c>
      <c r="E314" s="15" t="n">
        <f aca="false">E313/E301</f>
        <v>0.110413967400808</v>
      </c>
      <c r="F314" s="15" t="n">
        <f aca="false">F313/F301</f>
        <v>0.110974600132583</v>
      </c>
      <c r="G314" s="15" t="n">
        <f aca="false">G313/G301</f>
        <v>0.111332595830465</v>
      </c>
    </row>
    <row r="315" customFormat="false" ht="15" hidden="false" customHeight="false" outlineLevel="0" collapsed="false">
      <c r="A315" s="4" t="s">
        <v>559</v>
      </c>
      <c r="B315" s="4" t="s">
        <v>307</v>
      </c>
      <c r="C315" s="16" t="n">
        <f aca="false">a25_sh</f>
        <v>0.036267</v>
      </c>
      <c r="D315" s="16" t="n">
        <f aca="false">a26_sh</f>
        <v>0.036252</v>
      </c>
      <c r="E315" s="16" t="n">
        <f aca="false">sh_q1*(1+sh_g)</f>
        <v>0.0363</v>
      </c>
      <c r="F315" s="16" t="n">
        <f aca="false">E315*(1+sh_g)</f>
        <v>0.0363</v>
      </c>
      <c r="G315" s="16" t="n">
        <f aca="false">F315*(1+sh_g)</f>
        <v>0.0363</v>
      </c>
    </row>
    <row r="316" customFormat="false" ht="15" hidden="false" customHeight="false" outlineLevel="0" collapsed="false">
      <c r="A316" s="0" t="s">
        <v>618</v>
      </c>
      <c r="B316" s="0" t="s">
        <v>217</v>
      </c>
      <c r="C316" s="19" t="n">
        <f aca="false">C313/C315</f>
        <v>10.1688035955552</v>
      </c>
      <c r="D316" s="19" t="n">
        <f aca="false">D313/D315</f>
        <v>14.0932086505572</v>
      </c>
      <c r="E316" s="19" t="n">
        <f aca="false">E313/E315</f>
        <v>19.5036087163519</v>
      </c>
      <c r="F316" s="19" t="n">
        <f aca="false">F313/F315</f>
        <v>22.6966944187582</v>
      </c>
      <c r="G316" s="19" t="n">
        <f aca="false">G313/G315</f>
        <v>25.1374496559782</v>
      </c>
    </row>
    <row r="317" customFormat="false" ht="17.15" hidden="false" customHeight="false" outlineLevel="0" collapsed="false">
      <c r="A317" s="0" t="s">
        <v>659</v>
      </c>
      <c r="B317" s="0" t="s">
        <v>65</v>
      </c>
      <c r="D317" s="15" t="n">
        <f aca="false">D316/C316-1</f>
        <v>0.385925936923139</v>
      </c>
      <c r="E317" s="15" t="n">
        <f aca="false">E316/D316-1</f>
        <v>0.383901225047201</v>
      </c>
      <c r="F317" s="15" t="n">
        <f aca="false">F316/E316-1</f>
        <v>0.163717686754512</v>
      </c>
      <c r="G317" s="15" t="n">
        <f aca="false">G316/F316-1</f>
        <v>0.107537916852014</v>
      </c>
    </row>
    <row r="320" customFormat="false" ht="17.15" hidden="false" customHeight="false" outlineLevel="0" collapsed="false">
      <c r="A320" s="3" t="s">
        <v>944</v>
      </c>
    </row>
    <row r="321" customFormat="false" ht="17.15" hidden="false" customHeight="false" outlineLevel="0" collapsed="false">
      <c r="A321" s="5" t="s">
        <v>21</v>
      </c>
      <c r="B321" s="5" t="s">
        <v>22</v>
      </c>
      <c r="C321" s="13" t="s">
        <v>528</v>
      </c>
      <c r="D321" s="13" t="s">
        <v>600</v>
      </c>
      <c r="E321" s="13" t="s">
        <v>601</v>
      </c>
      <c r="F321" s="13" t="s">
        <v>602</v>
      </c>
      <c r="G321" s="13" t="s">
        <v>603</v>
      </c>
      <c r="H321" s="5" t="s">
        <v>534</v>
      </c>
    </row>
    <row r="322" customFormat="false" ht="17.15" hidden="false" customHeight="false" outlineLevel="0" collapsed="false">
      <c r="A322" s="1" t="s">
        <v>628</v>
      </c>
    </row>
    <row r="323" customFormat="false" ht="17.15" hidden="false" customHeight="false" outlineLevel="0" collapsed="false">
      <c r="A323" s="0" t="s">
        <v>629</v>
      </c>
      <c r="B323" s="0" t="s">
        <v>32</v>
      </c>
      <c r="D323" s="19" t="n">
        <f aca="false">mplB_26*1</f>
        <v>29.753262</v>
      </c>
      <c r="E323" s="19" t="n">
        <f aca="false">mplB_27*1*mf_lo</f>
        <v>43.7506472</v>
      </c>
      <c r="F323" s="19" t="n">
        <f aca="false">mplB_28*um28_B*mf_lo</f>
        <v>39.17648</v>
      </c>
      <c r="G323" s="19" t="n">
        <f aca="false">mplB_29*um29_B*mf_lo</f>
        <v>53.5897664</v>
      </c>
      <c r="H323" s="4" t="s">
        <v>630</v>
      </c>
    </row>
    <row r="324" customFormat="false" ht="17.15" hidden="false" customHeight="false" outlineLevel="0" collapsed="false">
      <c r="A324" s="0" t="s">
        <v>631</v>
      </c>
      <c r="B324" s="0" t="s">
        <v>32</v>
      </c>
      <c r="D324" s="19" t="n">
        <f aca="false">mcpB_26*1</f>
        <v>0.300538</v>
      </c>
      <c r="E324" s="19" t="n">
        <f aca="false">mcpB_27*1</f>
        <v>1.691391</v>
      </c>
      <c r="F324" s="19" t="n">
        <f aca="false">mcpB_28*um28_B</f>
        <v>2.5774</v>
      </c>
      <c r="G324" s="19" t="n">
        <f aca="false">mcpB_29*um29_B</f>
        <v>4.992628</v>
      </c>
    </row>
    <row r="325" customFormat="false" ht="17.15" hidden="false" customHeight="false" outlineLevel="0" collapsed="false">
      <c r="A325" s="0" t="s">
        <v>632</v>
      </c>
      <c r="B325" s="0" t="s">
        <v>65</v>
      </c>
      <c r="D325" s="15" t="n">
        <f aca="false">tr_cy26/D323</f>
        <v>0.0423521320116093</v>
      </c>
      <c r="H325" s="7" t="s">
        <v>633</v>
      </c>
    </row>
    <row r="326" customFormat="false" ht="17.15" hidden="false" customHeight="false" outlineLevel="0" collapsed="false">
      <c r="A326" s="4" t="s">
        <v>634</v>
      </c>
      <c r="B326" s="0" t="s">
        <v>76</v>
      </c>
      <c r="D326" s="8" t="n">
        <f aca="false">1</f>
        <v>1</v>
      </c>
      <c r="E326" s="8" t="n">
        <f aca="false">rel_27</f>
        <v>1</v>
      </c>
      <c r="F326" s="8" t="n">
        <f aca="false">rel_28</f>
        <v>1</v>
      </c>
      <c r="G326" s="8" t="n">
        <f aca="false">rel_29</f>
        <v>0.95</v>
      </c>
    </row>
    <row r="327" customFormat="false" ht="15" hidden="false" customHeight="false" outlineLevel="0" collapsed="false">
      <c r="A327" s="4" t="s">
        <v>635</v>
      </c>
      <c r="B327" s="0" t="s">
        <v>65</v>
      </c>
      <c r="D327" s="15" t="n">
        <f aca="false">$D$325*D326</f>
        <v>0.0423521320116093</v>
      </c>
      <c r="E327" s="15" t="n">
        <f aca="false">$D$325*E326</f>
        <v>0.0423521320116093</v>
      </c>
      <c r="F327" s="15" t="n">
        <f aca="false">$D$325*F326</f>
        <v>0.0423521320116093</v>
      </c>
      <c r="G327" s="15" t="n">
        <f aca="false">$D$325*G326</f>
        <v>0.0402345254110289</v>
      </c>
    </row>
    <row r="328" customFormat="false" ht="15" hidden="false" customHeight="false" outlineLevel="0" collapsed="false">
      <c r="A328" s="4" t="s">
        <v>636</v>
      </c>
      <c r="B328" s="0" t="s">
        <v>76</v>
      </c>
      <c r="D328" s="8" t="n">
        <f aca="false">1</f>
        <v>1</v>
      </c>
      <c r="E328" s="8" t="n">
        <f aca="false">pxr_27</f>
        <v>1</v>
      </c>
      <c r="F328" s="8" t="n">
        <f aca="false">pxr_28</f>
        <v>1</v>
      </c>
      <c r="G328" s="8" t="n">
        <f aca="false">pxr_29</f>
        <v>1</v>
      </c>
    </row>
    <row r="329" customFormat="false" ht="17.15" hidden="false" customHeight="false" outlineLevel="0" collapsed="false">
      <c r="A329" s="0" t="s">
        <v>637</v>
      </c>
      <c r="B329" s="0" t="s">
        <v>65</v>
      </c>
      <c r="D329" s="15" t="n">
        <f aca="false">0</f>
        <v>0</v>
      </c>
      <c r="E329" s="15" t="n">
        <f aca="false">cpo_27</f>
        <v>0.05</v>
      </c>
      <c r="F329" s="15" t="n">
        <f aca="false">cpo_28</f>
        <v>0.1</v>
      </c>
      <c r="G329" s="15" t="n">
        <f aca="false">cpo_29</f>
        <v>0.15</v>
      </c>
    </row>
    <row r="330" customFormat="false" ht="15" hidden="false" customHeight="false" outlineLevel="0" collapsed="false">
      <c r="A330" s="4" t="s">
        <v>638</v>
      </c>
      <c r="B330" s="0" t="s">
        <v>32</v>
      </c>
      <c r="D330" s="19" t="n">
        <f aca="false">tr_cy26</f>
        <v>1.26011408</v>
      </c>
      <c r="E330" s="19" t="n">
        <f aca="false">E323*E327*E328+E324*E329</f>
        <v>1.93750273580775</v>
      </c>
      <c r="F330" s="19" t="n">
        <f aca="false">F323*F327*F328+F324*F329</f>
        <v>1.91694745271017</v>
      </c>
      <c r="G330" s="19" t="n">
        <f aca="false">G323*G327*G328+G324*G329</f>
        <v>2.9050530179919</v>
      </c>
    </row>
    <row r="331" customFormat="false" ht="17.15" hidden="false" customHeight="false" outlineLevel="0" collapsed="false">
      <c r="A331" s="1" t="s">
        <v>639</v>
      </c>
    </row>
    <row r="332" customFormat="false" ht="17.15" hidden="false" customHeight="false" outlineLevel="0" collapsed="false">
      <c r="A332" s="0" t="s">
        <v>640</v>
      </c>
      <c r="B332" s="0" t="s">
        <v>76</v>
      </c>
      <c r="C332" s="24" t="n">
        <f aca="false">1</f>
        <v>1</v>
      </c>
      <c r="D332" s="24" t="n">
        <f aca="false">1</f>
        <v>1</v>
      </c>
      <c r="E332" s="24" t="n">
        <f aca="false">1</f>
        <v>1</v>
      </c>
      <c r="F332" s="24" t="n">
        <f aca="false">(1-hw)+hw*um28_B</f>
        <v>0.908</v>
      </c>
      <c r="G332" s="24" t="n">
        <f aca="false">(1-hw)*um28_B+hw*um29_B</f>
        <v>0.823</v>
      </c>
      <c r="H332" s="4" t="s">
        <v>641</v>
      </c>
    </row>
    <row r="333" customFormat="false" ht="17.15" hidden="false" customHeight="false" outlineLevel="0" collapsed="false">
      <c r="A333" s="4" t="s">
        <v>642</v>
      </c>
      <c r="B333" s="0" t="s">
        <v>32</v>
      </c>
      <c r="C333" s="19" t="n">
        <f aca="false">a25_tr</f>
        <v>1.16917436338336</v>
      </c>
      <c r="D333" s="19" t="n">
        <f aca="false">a26_tr</f>
        <v>1.163885463</v>
      </c>
      <c r="E333" s="19" t="n">
        <f aca="false">h1_27+hw*E330</f>
        <v>1.56756533847156</v>
      </c>
      <c r="F333" s="19" t="n">
        <f aca="false">(1-hw)*E330+hw*F330</f>
        <v>1.92804730558286</v>
      </c>
      <c r="G333" s="19" t="n">
        <f aca="false">(1-hw)*F330+hw*G330</f>
        <v>2.37147601273977</v>
      </c>
      <c r="H333" s="7" t="s">
        <v>643</v>
      </c>
    </row>
    <row r="334" customFormat="false" ht="17.15" hidden="false" customHeight="false" outlineLevel="0" collapsed="false">
      <c r="A334" s="0" t="s">
        <v>644</v>
      </c>
      <c r="B334" s="0" t="s">
        <v>32</v>
      </c>
      <c r="C334" s="19" t="n">
        <f aca="false">a25_dci</f>
        <v>0.410554710616641</v>
      </c>
      <c r="D334" s="19" t="n">
        <f aca="false">a26_dci</f>
        <v>0.7331</v>
      </c>
      <c r="E334" s="19" t="n">
        <f aca="false">h1dci*(2+h2_dci)</f>
        <v>1.25319348</v>
      </c>
      <c r="F334" s="19" t="n">
        <f aca="false">E334*(1+g_dci_28)</f>
        <v>1.503832176</v>
      </c>
      <c r="G334" s="19" t="n">
        <f aca="false">F334*(1+g_dci_29)</f>
        <v>1.6542153936</v>
      </c>
    </row>
    <row r="335" customFormat="false" ht="17.15" hidden="false" customHeight="false" outlineLevel="0" collapsed="false">
      <c r="A335" s="0" t="s">
        <v>543</v>
      </c>
      <c r="B335" s="0" t="s">
        <v>32</v>
      </c>
      <c r="C335" s="19" t="n">
        <f aca="false">C334*C332</f>
        <v>0.410554710616641</v>
      </c>
      <c r="D335" s="19" t="n">
        <f aca="false">D334*D332</f>
        <v>0.7331</v>
      </c>
      <c r="E335" s="19" t="n">
        <f aca="false">E334*E332</f>
        <v>1.25319348</v>
      </c>
      <c r="F335" s="19" t="n">
        <f aca="false">F334*F332</f>
        <v>1.365479615808</v>
      </c>
      <c r="G335" s="19" t="n">
        <f aca="false">G334*G332</f>
        <v>1.3614192689328</v>
      </c>
    </row>
    <row r="336" customFormat="false" ht="17.15" hidden="false" customHeight="false" outlineLevel="0" collapsed="false">
      <c r="A336" s="0" t="s">
        <v>645</v>
      </c>
      <c r="B336" s="0" t="s">
        <v>32</v>
      </c>
      <c r="C336" s="19" t="n">
        <f aca="false">a25_hpc</f>
        <v>0</v>
      </c>
      <c r="D336" s="19" t="n">
        <f aca="false">a26_hpc</f>
        <v>0.3261</v>
      </c>
      <c r="E336" s="19" t="n">
        <f aca="false">h1hpc*(2+h2_hpc)</f>
        <v>0.5669664</v>
      </c>
      <c r="F336" s="19" t="n">
        <f aca="false">E336*(1+g_hpc_28)</f>
        <v>0.65201136</v>
      </c>
      <c r="G336" s="19" t="n">
        <f aca="false">F336*(1+g_hpc_29)</f>
        <v>0.717212496</v>
      </c>
    </row>
    <row r="337" customFormat="false" ht="17.15" hidden="false" customHeight="false" outlineLevel="0" collapsed="false">
      <c r="A337" s="0" t="s">
        <v>546</v>
      </c>
      <c r="B337" s="0" t="s">
        <v>32</v>
      </c>
      <c r="C337" s="19" t="n">
        <f aca="false">C336*C332</f>
        <v>0</v>
      </c>
      <c r="D337" s="19" t="n">
        <f aca="false">D336*D332</f>
        <v>0.3261</v>
      </c>
      <c r="E337" s="19" t="n">
        <f aca="false">E336*E332</f>
        <v>0.5669664</v>
      </c>
      <c r="F337" s="19" t="n">
        <f aca="false">F336*F332</f>
        <v>0.59202631488</v>
      </c>
      <c r="G337" s="19" t="n">
        <f aca="false">G336*G332</f>
        <v>0.590265884208</v>
      </c>
    </row>
    <row r="338" customFormat="false" ht="15" hidden="false" customHeight="false" outlineLevel="0" collapsed="false">
      <c r="A338" s="4" t="s">
        <v>537</v>
      </c>
      <c r="B338" s="0" t="s">
        <v>32</v>
      </c>
      <c r="C338" s="19" t="n">
        <f aca="false">C333+C335+C337</f>
        <v>1.579729074</v>
      </c>
      <c r="D338" s="19" t="n">
        <f aca="false">D333+D335+D337</f>
        <v>2.223085463</v>
      </c>
      <c r="E338" s="19" t="n">
        <f aca="false">E333+E335+E337</f>
        <v>3.38772521847156</v>
      </c>
      <c r="F338" s="19" t="n">
        <f aca="false">F333+F335+F337</f>
        <v>3.88555323627086</v>
      </c>
      <c r="G338" s="19" t="n">
        <f aca="false">G333+G335+G337</f>
        <v>4.32316116588057</v>
      </c>
    </row>
    <row r="339" customFormat="false" ht="15" hidden="false" customHeight="false" outlineLevel="0" collapsed="false">
      <c r="A339" s="4" t="s">
        <v>646</v>
      </c>
      <c r="B339" s="0" t="s">
        <v>32</v>
      </c>
      <c r="C339" s="19" t="n">
        <f aca="false">a25_ci</f>
        <v>1.049733389</v>
      </c>
      <c r="D339" s="19" t="n">
        <f aca="false">a26_ci</f>
        <v>1.545485301</v>
      </c>
      <c r="E339" s="19" t="n">
        <f aca="false">h1ci*(2+h2_ci)</f>
        <v>1.7611985244</v>
      </c>
      <c r="F339" s="19" t="n">
        <f aca="false">E339*(1+g_ci_28)</f>
        <v>1.866870435864</v>
      </c>
      <c r="G339" s="19" t="n">
        <f aca="false">F339*(1+g_ci_29)</f>
        <v>1.9602139576572</v>
      </c>
    </row>
    <row r="340" customFormat="false" ht="15" hidden="false" customHeight="false" outlineLevel="0" collapsed="false">
      <c r="A340" s="4" t="s">
        <v>647</v>
      </c>
      <c r="B340" s="0" t="s">
        <v>32</v>
      </c>
      <c r="C340" s="19" t="n">
        <f aca="false">a25_aio</f>
        <v>0.789864537</v>
      </c>
      <c r="D340" s="19" t="n">
        <f aca="false">a26_aio</f>
        <v>0.872526236</v>
      </c>
      <c r="E340" s="19" t="n">
        <f aca="false">h1aio*(2+h2_aio)</f>
        <v>0.9722450688</v>
      </c>
      <c r="F340" s="19" t="n">
        <f aca="false">E340*(1+g_aio_28)</f>
        <v>1.02085732224</v>
      </c>
      <c r="G340" s="19" t="n">
        <f aca="false">F340*(1+g_aio_29)</f>
        <v>1.071900188352</v>
      </c>
    </row>
    <row r="341" customFormat="false" ht="15" hidden="false" customHeight="false" outlineLevel="0" collapsed="false">
      <c r="A341" s="4" t="s">
        <v>535</v>
      </c>
      <c r="B341" s="0" t="s">
        <v>32</v>
      </c>
      <c r="C341" s="19" t="n">
        <f aca="false">C338+C339+C340</f>
        <v>3.419327</v>
      </c>
      <c r="D341" s="19" t="n">
        <f aca="false">D338+D339+D340</f>
        <v>4.641097</v>
      </c>
      <c r="E341" s="19" t="n">
        <f aca="false">E338+E339+E340</f>
        <v>6.12116881167156</v>
      </c>
      <c r="F341" s="19" t="n">
        <f aca="false">F338+F339+F340</f>
        <v>6.77328099437486</v>
      </c>
      <c r="G341" s="19" t="n">
        <f aca="false">G338+G339+G340</f>
        <v>7.35527531188977</v>
      </c>
    </row>
    <row r="342" customFormat="false" ht="15" hidden="false" customHeight="false" outlineLevel="0" collapsed="false">
      <c r="A342" s="4" t="s">
        <v>648</v>
      </c>
      <c r="B342" s="0" t="s">
        <v>65</v>
      </c>
      <c r="D342" s="15" t="n">
        <f aca="false">D341/C341-1</f>
        <v>0.357313003406811</v>
      </c>
      <c r="E342" s="15" t="n">
        <f aca="false">E341/D341-1</f>
        <v>0.318905597463609</v>
      </c>
      <c r="F342" s="15" t="n">
        <f aca="false">F341/E341-1</f>
        <v>0.106533932124186</v>
      </c>
      <c r="G342" s="15" t="n">
        <f aca="false">G341/F341-1</f>
        <v>0.0859250218613763</v>
      </c>
    </row>
    <row r="343" customFormat="false" ht="17.15" hidden="false" customHeight="false" outlineLevel="0" collapsed="false">
      <c r="A343" s="4" t="s">
        <v>649</v>
      </c>
      <c r="B343" s="0" t="s">
        <v>65</v>
      </c>
      <c r="C343" s="15" t="n">
        <f aca="false">C338/C341</f>
        <v>0.462</v>
      </c>
      <c r="D343" s="15" t="n">
        <f aca="false">D338/D341</f>
        <v>0.479</v>
      </c>
      <c r="E343" s="15" t="n">
        <f aca="false">E338/E341</f>
        <v>0.553444174258355</v>
      </c>
      <c r="F343" s="15" t="n">
        <f aca="false">F338/F341</f>
        <v>0.573658946011213</v>
      </c>
      <c r="G343" s="15" t="n">
        <f aca="false">G338/G341</f>
        <v>0.587763337545258</v>
      </c>
    </row>
    <row r="344" customFormat="false" ht="17.15" hidden="false" customHeight="false" outlineLevel="0" collapsed="false">
      <c r="A344" s="1" t="s">
        <v>650</v>
      </c>
    </row>
    <row r="345" customFormat="false" ht="17.15" hidden="false" customHeight="false" outlineLevel="0" collapsed="false">
      <c r="A345" s="4" t="s">
        <v>615</v>
      </c>
      <c r="B345" s="0" t="s">
        <v>65</v>
      </c>
      <c r="C345" s="15" t="n">
        <f aca="false">a25_gp/a25_rev</f>
        <v>0.123943980789202</v>
      </c>
      <c r="D345" s="15" t="n">
        <f aca="false">a26_gp/a26_rev</f>
        <v>0.122378394590762</v>
      </c>
      <c r="E345" s="15" t="n">
        <f aca="false">gm_27</f>
        <v>0.123</v>
      </c>
      <c r="F345" s="15" t="n">
        <f aca="false">gm_28</f>
        <v>0.123</v>
      </c>
      <c r="G345" s="15" t="n">
        <f aca="false">gm_29</f>
        <v>0.123</v>
      </c>
      <c r="H345" s="7" t="s">
        <v>651</v>
      </c>
    </row>
    <row r="346" customFormat="false" ht="15" hidden="false" customHeight="false" outlineLevel="0" collapsed="false">
      <c r="A346" s="4" t="s">
        <v>652</v>
      </c>
      <c r="B346" s="0" t="s">
        <v>32</v>
      </c>
      <c r="C346" s="19" t="n">
        <f aca="false">C341*C345</f>
        <v>0.423805</v>
      </c>
      <c r="D346" s="19" t="n">
        <f aca="false">D341*D345</f>
        <v>0.56797</v>
      </c>
      <c r="E346" s="19" t="n">
        <f aca="false">E341*E345</f>
        <v>0.752903763835602</v>
      </c>
      <c r="F346" s="19" t="n">
        <f aca="false">F341*F345</f>
        <v>0.833113562308108</v>
      </c>
      <c r="G346" s="19" t="n">
        <f aca="false">G341*G345</f>
        <v>0.904698863362442</v>
      </c>
    </row>
    <row r="347" customFormat="false" ht="15" hidden="false" customHeight="false" outlineLevel="0" collapsed="false">
      <c r="A347" s="4" t="s">
        <v>653</v>
      </c>
      <c r="B347" s="0" t="s">
        <v>32</v>
      </c>
      <c r="C347" s="19" t="n">
        <f aca="false">a25_opx</f>
        <v>0.063093</v>
      </c>
      <c r="D347" s="19" t="n">
        <f aca="false">a26_opx</f>
        <v>0.0679069999999999</v>
      </c>
      <c r="E347" s="19" t="n">
        <f aca="false">D347*(1+MAX(0,phi*E342))</f>
        <v>0.072531372108412</v>
      </c>
      <c r="F347" s="19" t="n">
        <f aca="false">E347*(1+MAX(0,phi*F342))</f>
        <v>0.0741813948754103</v>
      </c>
      <c r="G347" s="19" t="n">
        <f aca="false">F347*(1+MAX(0,phi*G342))</f>
        <v>0.0755424970663953</v>
      </c>
    </row>
    <row r="348" customFormat="false" ht="15" hidden="false" customHeight="false" outlineLevel="0" collapsed="false">
      <c r="A348" s="4" t="s">
        <v>654</v>
      </c>
      <c r="B348" s="0" t="s">
        <v>32</v>
      </c>
      <c r="C348" s="14" t="n">
        <f aca="false">C347</f>
        <v>0.063093</v>
      </c>
      <c r="D348" s="14" t="n">
        <f aca="false">D347</f>
        <v>0.0679069999999999</v>
      </c>
      <c r="E348" s="14" t="n">
        <f aca="false">E347+0*E341</f>
        <v>0.072531372108412</v>
      </c>
      <c r="F348" s="14" t="n">
        <f aca="false">F347+0*F341</f>
        <v>0.0741813948754103</v>
      </c>
      <c r="G348" s="14" t="n">
        <f aca="false">G347+0*G341</f>
        <v>0.0755424970663953</v>
      </c>
    </row>
    <row r="349" customFormat="false" ht="15" hidden="false" customHeight="false" outlineLevel="0" collapsed="false">
      <c r="A349" s="4" t="s">
        <v>655</v>
      </c>
      <c r="B349" s="0" t="s">
        <v>32</v>
      </c>
      <c r="C349" s="19" t="n">
        <f aca="false">C346-C348</f>
        <v>0.360712</v>
      </c>
      <c r="D349" s="19" t="n">
        <f aca="false">D346-D348</f>
        <v>0.500063</v>
      </c>
      <c r="E349" s="19" t="n">
        <f aca="false">E346-E348</f>
        <v>0.68037239172719</v>
      </c>
      <c r="F349" s="19" t="n">
        <f aca="false">F346-F348</f>
        <v>0.758932167432698</v>
      </c>
      <c r="G349" s="19" t="n">
        <f aca="false">G346-G348</f>
        <v>0.829156366296046</v>
      </c>
    </row>
    <row r="350" customFormat="false" ht="15" hidden="false" customHeight="false" outlineLevel="0" collapsed="false">
      <c r="A350" s="4" t="s">
        <v>616</v>
      </c>
      <c r="B350" s="0" t="s">
        <v>65</v>
      </c>
      <c r="C350" s="15" t="n">
        <f aca="false">C349/C341</f>
        <v>0.10549210414798</v>
      </c>
      <c r="D350" s="15" t="n">
        <f aca="false">D349/D341</f>
        <v>0.107746724535169</v>
      </c>
      <c r="E350" s="15" t="n">
        <f aca="false">E349/E341</f>
        <v>0.111150731610258</v>
      </c>
      <c r="F350" s="15" t="n">
        <f aca="false">F349/F341</f>
        <v>0.112047937781259</v>
      </c>
      <c r="G350" s="15" t="n">
        <f aca="false">G349/G341</f>
        <v>0.112729480697442</v>
      </c>
    </row>
    <row r="351" customFormat="false" ht="15" hidden="false" customHeight="false" outlineLevel="0" collapsed="false">
      <c r="A351" s="4" t="s">
        <v>656</v>
      </c>
      <c r="B351" s="0" t="s">
        <v>32</v>
      </c>
      <c r="C351" s="14" t="n">
        <f aca="false">a25_oth</f>
        <v>0.030733</v>
      </c>
      <c r="D351" s="14" t="n">
        <f aca="false">a26_oth</f>
        <v>0.0354829999999999</v>
      </c>
      <c r="E351" s="14" t="n">
        <f aca="false">int_f</f>
        <v>0.03</v>
      </c>
      <c r="F351" s="14" t="n">
        <f aca="false">int_f</f>
        <v>0.03</v>
      </c>
      <c r="G351" s="14" t="n">
        <f aca="false">int_f</f>
        <v>0.03</v>
      </c>
    </row>
    <row r="352" customFormat="false" ht="15" hidden="false" customHeight="false" outlineLevel="0" collapsed="false">
      <c r="A352" s="4" t="s">
        <v>657</v>
      </c>
      <c r="B352" s="0" t="s">
        <v>32</v>
      </c>
      <c r="C352" s="19" t="n">
        <f aca="false">C349+C351</f>
        <v>0.391445</v>
      </c>
      <c r="D352" s="19" t="n">
        <f aca="false">D349+D351</f>
        <v>0.535546</v>
      </c>
      <c r="E352" s="19" t="n">
        <f aca="false">E349+E351</f>
        <v>0.71037239172719</v>
      </c>
      <c r="F352" s="19" t="n">
        <f aca="false">F349+F351</f>
        <v>0.788932167432698</v>
      </c>
      <c r="G352" s="19" t="n">
        <f aca="false">G349+G351</f>
        <v>0.859156366296046</v>
      </c>
    </row>
    <row r="353" customFormat="false" ht="15" hidden="false" customHeight="false" outlineLevel="0" collapsed="false">
      <c r="A353" s="4" t="s">
        <v>617</v>
      </c>
      <c r="B353" s="0" t="s">
        <v>32</v>
      </c>
      <c r="C353" s="19" t="n">
        <f aca="false">a25_ni</f>
        <v>0.368792</v>
      </c>
      <c r="D353" s="19" t="n">
        <f aca="false">a26_ni</f>
        <v>0.510907</v>
      </c>
      <c r="E353" s="19" t="n">
        <f aca="false">E352*(1-(tx))</f>
        <v>0.674853772140831</v>
      </c>
      <c r="F353" s="19" t="n">
        <f aca="false">F352*(1-(tx))</f>
        <v>0.749485559061063</v>
      </c>
      <c r="G353" s="19" t="n">
        <f aca="false">G352*(1-(tx))</f>
        <v>0.816198547981244</v>
      </c>
    </row>
    <row r="354" customFormat="false" ht="15" hidden="false" customHeight="false" outlineLevel="0" collapsed="false">
      <c r="A354" s="4" t="s">
        <v>658</v>
      </c>
      <c r="B354" s="0" t="s">
        <v>65</v>
      </c>
      <c r="C354" s="15" t="n">
        <f aca="false">C353/C341</f>
        <v>0.107855142254602</v>
      </c>
      <c r="D354" s="15" t="n">
        <f aca="false">D353/D341</f>
        <v>0.110083241095801</v>
      </c>
      <c r="E354" s="15" t="n">
        <f aca="false">E353/E341</f>
        <v>0.110249168566312</v>
      </c>
      <c r="F354" s="15" t="n">
        <f aca="false">F353/F341</f>
        <v>0.1106532505714</v>
      </c>
      <c r="G354" s="15" t="n">
        <f aca="false">G353/G341</f>
        <v>0.110967776646221</v>
      </c>
    </row>
    <row r="355" customFormat="false" ht="15" hidden="false" customHeight="false" outlineLevel="0" collapsed="false">
      <c r="A355" s="4" t="s">
        <v>559</v>
      </c>
      <c r="B355" s="4" t="s">
        <v>307</v>
      </c>
      <c r="C355" s="16" t="n">
        <f aca="false">a25_sh</f>
        <v>0.036267</v>
      </c>
      <c r="D355" s="16" t="n">
        <f aca="false">a26_sh</f>
        <v>0.036252</v>
      </c>
      <c r="E355" s="16" t="n">
        <f aca="false">sh_q1*(1+sh_g)</f>
        <v>0.0363</v>
      </c>
      <c r="F355" s="16" t="n">
        <f aca="false">E355*(1+sh_g)</f>
        <v>0.0363</v>
      </c>
      <c r="G355" s="16" t="n">
        <f aca="false">F355*(1+sh_g)</f>
        <v>0.0363</v>
      </c>
    </row>
    <row r="356" customFormat="false" ht="15" hidden="false" customHeight="false" outlineLevel="0" collapsed="false">
      <c r="A356" s="0" t="s">
        <v>618</v>
      </c>
      <c r="B356" s="0" t="s">
        <v>217</v>
      </c>
      <c r="C356" s="19" t="n">
        <f aca="false">C353/C355</f>
        <v>10.1688035955552</v>
      </c>
      <c r="D356" s="19" t="n">
        <f aca="false">D353/D355</f>
        <v>14.0932086505572</v>
      </c>
      <c r="E356" s="19" t="n">
        <f aca="false">E353/E355</f>
        <v>18.5910130066345</v>
      </c>
      <c r="F356" s="19" t="n">
        <f aca="false">F353/F355</f>
        <v>20.6469850981009</v>
      </c>
      <c r="G356" s="19" t="n">
        <f aca="false">G353/G355</f>
        <v>22.4848084843318</v>
      </c>
    </row>
    <row r="357" customFormat="false" ht="17.15" hidden="false" customHeight="false" outlineLevel="0" collapsed="false">
      <c r="A357" s="0" t="s">
        <v>659</v>
      </c>
      <c r="B357" s="0" t="s">
        <v>65</v>
      </c>
      <c r="D357" s="15" t="n">
        <f aca="false">D356/C356-1</f>
        <v>0.385925936923139</v>
      </c>
      <c r="E357" s="15" t="n">
        <f aca="false">E356/D356-1</f>
        <v>0.319146935776007</v>
      </c>
      <c r="F357" s="15" t="n">
        <f aca="false">F356/E356-1</f>
        <v>0.110589567697724</v>
      </c>
      <c r="G357" s="15" t="n">
        <f aca="false">G356/F356-1</f>
        <v>0.0890117069150167</v>
      </c>
    </row>
    <row r="360" customFormat="false" ht="17.15" hidden="false" customHeight="false" outlineLevel="0" collapsed="false">
      <c r="A360" s="3" t="s">
        <v>945</v>
      </c>
    </row>
    <row r="361" customFormat="false" ht="17.15" hidden="false" customHeight="false" outlineLevel="0" collapsed="false">
      <c r="A361" s="5" t="s">
        <v>21</v>
      </c>
      <c r="B361" s="5" t="s">
        <v>22</v>
      </c>
      <c r="C361" s="13" t="s">
        <v>528</v>
      </c>
      <c r="D361" s="13" t="s">
        <v>600</v>
      </c>
      <c r="E361" s="13" t="s">
        <v>601</v>
      </c>
      <c r="F361" s="13" t="s">
        <v>602</v>
      </c>
      <c r="G361" s="13" t="s">
        <v>603</v>
      </c>
      <c r="H361" s="5" t="s">
        <v>534</v>
      </c>
    </row>
    <row r="362" customFormat="false" ht="17.15" hidden="false" customHeight="false" outlineLevel="0" collapsed="false">
      <c r="A362" s="1" t="s">
        <v>628</v>
      </c>
    </row>
    <row r="363" customFormat="false" ht="17.15" hidden="false" customHeight="false" outlineLevel="0" collapsed="false">
      <c r="A363" s="0" t="s">
        <v>629</v>
      </c>
      <c r="B363" s="0" t="s">
        <v>32</v>
      </c>
      <c r="D363" s="19" t="n">
        <f aca="false">mplB_26*1</f>
        <v>29.753262</v>
      </c>
      <c r="E363" s="19" t="n">
        <f aca="false">mplB_27*1*mf_hi</f>
        <v>65.6259708</v>
      </c>
      <c r="F363" s="19" t="n">
        <f aca="false">mplB_28*um28_B*mf_hi</f>
        <v>58.76472</v>
      </c>
      <c r="G363" s="19" t="n">
        <f aca="false">mplB_29*um29_B*mf_hi</f>
        <v>80.3846496</v>
      </c>
      <c r="H363" s="4" t="s">
        <v>630</v>
      </c>
    </row>
    <row r="364" customFormat="false" ht="17.15" hidden="false" customHeight="false" outlineLevel="0" collapsed="false">
      <c r="A364" s="0" t="s">
        <v>631</v>
      </c>
      <c r="B364" s="0" t="s">
        <v>32</v>
      </c>
      <c r="D364" s="19" t="n">
        <f aca="false">mcpB_26*1</f>
        <v>0.300538</v>
      </c>
      <c r="E364" s="19" t="n">
        <f aca="false">mcpB_27*1</f>
        <v>1.691391</v>
      </c>
      <c r="F364" s="19" t="n">
        <f aca="false">mcpB_28*um28_B</f>
        <v>2.5774</v>
      </c>
      <c r="G364" s="19" t="n">
        <f aca="false">mcpB_29*um29_B</f>
        <v>4.992628</v>
      </c>
    </row>
    <row r="365" customFormat="false" ht="17.15" hidden="false" customHeight="false" outlineLevel="0" collapsed="false">
      <c r="A365" s="0" t="s">
        <v>632</v>
      </c>
      <c r="B365" s="0" t="s">
        <v>65</v>
      </c>
      <c r="D365" s="15" t="n">
        <f aca="false">tr_cy26/D363</f>
        <v>0.0423521320116093</v>
      </c>
      <c r="H365" s="7" t="s">
        <v>633</v>
      </c>
    </row>
    <row r="366" customFormat="false" ht="17.15" hidden="false" customHeight="false" outlineLevel="0" collapsed="false">
      <c r="A366" s="4" t="s">
        <v>634</v>
      </c>
      <c r="B366" s="0" t="s">
        <v>76</v>
      </c>
      <c r="D366" s="8" t="n">
        <f aca="false">1</f>
        <v>1</v>
      </c>
      <c r="E366" s="8" t="n">
        <f aca="false">rel_27</f>
        <v>1</v>
      </c>
      <c r="F366" s="8" t="n">
        <f aca="false">rel_28</f>
        <v>1</v>
      </c>
      <c r="G366" s="8" t="n">
        <f aca="false">rel_29</f>
        <v>0.95</v>
      </c>
    </row>
    <row r="367" customFormat="false" ht="15" hidden="false" customHeight="false" outlineLevel="0" collapsed="false">
      <c r="A367" s="4" t="s">
        <v>635</v>
      </c>
      <c r="B367" s="0" t="s">
        <v>65</v>
      </c>
      <c r="D367" s="15" t="n">
        <f aca="false">$D$365*D366</f>
        <v>0.0423521320116093</v>
      </c>
      <c r="E367" s="15" t="n">
        <f aca="false">$D$365*E366</f>
        <v>0.0423521320116093</v>
      </c>
      <c r="F367" s="15" t="n">
        <f aca="false">$D$365*F366</f>
        <v>0.0423521320116093</v>
      </c>
      <c r="G367" s="15" t="n">
        <f aca="false">$D$365*G366</f>
        <v>0.0402345254110289</v>
      </c>
    </row>
    <row r="368" customFormat="false" ht="15" hidden="false" customHeight="false" outlineLevel="0" collapsed="false">
      <c r="A368" s="4" t="s">
        <v>636</v>
      </c>
      <c r="B368" s="0" t="s">
        <v>76</v>
      </c>
      <c r="D368" s="8" t="n">
        <f aca="false">1</f>
        <v>1</v>
      </c>
      <c r="E368" s="8" t="n">
        <f aca="false">pxr_27</f>
        <v>1</v>
      </c>
      <c r="F368" s="8" t="n">
        <f aca="false">pxr_28</f>
        <v>1</v>
      </c>
      <c r="G368" s="8" t="n">
        <f aca="false">pxr_29</f>
        <v>1</v>
      </c>
    </row>
    <row r="369" customFormat="false" ht="17.15" hidden="false" customHeight="false" outlineLevel="0" collapsed="false">
      <c r="A369" s="0" t="s">
        <v>637</v>
      </c>
      <c r="B369" s="0" t="s">
        <v>65</v>
      </c>
      <c r="D369" s="15" t="n">
        <f aca="false">0</f>
        <v>0</v>
      </c>
      <c r="E369" s="15" t="n">
        <f aca="false">cpo_27</f>
        <v>0.05</v>
      </c>
      <c r="F369" s="15" t="n">
        <f aca="false">cpo_28</f>
        <v>0.1</v>
      </c>
      <c r="G369" s="15" t="n">
        <f aca="false">cpo_29</f>
        <v>0.15</v>
      </c>
    </row>
    <row r="370" customFormat="false" ht="15" hidden="false" customHeight="false" outlineLevel="0" collapsed="false">
      <c r="A370" s="4" t="s">
        <v>638</v>
      </c>
      <c r="B370" s="0" t="s">
        <v>32</v>
      </c>
      <c r="D370" s="19" t="n">
        <f aca="false">tr_cy26</f>
        <v>1.26011408</v>
      </c>
      <c r="E370" s="19" t="n">
        <f aca="false">E363*E367*E368+E364*E369</f>
        <v>2.86396932871162</v>
      </c>
      <c r="F370" s="19" t="n">
        <f aca="false">F363*F367*F368+F364*F369</f>
        <v>2.74655117906526</v>
      </c>
      <c r="G370" s="19" t="n">
        <f aca="false">G363*G367*G368+G364*G369</f>
        <v>3.98313242698785</v>
      </c>
    </row>
    <row r="371" customFormat="false" ht="17.15" hidden="false" customHeight="false" outlineLevel="0" collapsed="false">
      <c r="A371" s="1" t="s">
        <v>639</v>
      </c>
    </row>
    <row r="372" customFormat="false" ht="17.15" hidden="false" customHeight="false" outlineLevel="0" collapsed="false">
      <c r="A372" s="0" t="s">
        <v>640</v>
      </c>
      <c r="B372" s="0" t="s">
        <v>76</v>
      </c>
      <c r="C372" s="24" t="n">
        <f aca="false">1</f>
        <v>1</v>
      </c>
      <c r="D372" s="24" t="n">
        <f aca="false">1</f>
        <v>1</v>
      </c>
      <c r="E372" s="24" t="n">
        <f aca="false">1</f>
        <v>1</v>
      </c>
      <c r="F372" s="24" t="n">
        <f aca="false">(1-hw)+hw*um28_B</f>
        <v>0.908</v>
      </c>
      <c r="G372" s="24" t="n">
        <f aca="false">(1-hw)*um28_B+hw*um29_B</f>
        <v>0.823</v>
      </c>
      <c r="H372" s="4" t="s">
        <v>641</v>
      </c>
    </row>
    <row r="373" customFormat="false" ht="17.15" hidden="false" customHeight="false" outlineLevel="0" collapsed="false">
      <c r="A373" s="4" t="s">
        <v>642</v>
      </c>
      <c r="B373" s="0" t="s">
        <v>32</v>
      </c>
      <c r="C373" s="19" t="n">
        <f aca="false">a25_tr</f>
        <v>1.16917436338336</v>
      </c>
      <c r="D373" s="19" t="n">
        <f aca="false">a26_tr</f>
        <v>1.163885463</v>
      </c>
      <c r="E373" s="19" t="n">
        <f aca="false">h1_27+hw*E370</f>
        <v>1.99373997120734</v>
      </c>
      <c r="F373" s="19" t="n">
        <f aca="false">(1-hw)*E370+hw*F370</f>
        <v>2.80995697987429</v>
      </c>
      <c r="G373" s="19" t="n">
        <f aca="false">(1-hw)*F370+hw*G370</f>
        <v>3.31537855310965</v>
      </c>
      <c r="H373" s="7" t="s">
        <v>643</v>
      </c>
    </row>
    <row r="374" customFormat="false" ht="17.15" hidden="false" customHeight="false" outlineLevel="0" collapsed="false">
      <c r="A374" s="0" t="s">
        <v>644</v>
      </c>
      <c r="B374" s="0" t="s">
        <v>32</v>
      </c>
      <c r="C374" s="19" t="n">
        <f aca="false">a25_dci</f>
        <v>0.410554710616641</v>
      </c>
      <c r="D374" s="19" t="n">
        <f aca="false">a26_dci</f>
        <v>0.7331</v>
      </c>
      <c r="E374" s="19" t="n">
        <f aca="false">h1dci*(2+h2_dci)</f>
        <v>1.25319348</v>
      </c>
      <c r="F374" s="19" t="n">
        <f aca="false">E374*(1+g_dci_28)</f>
        <v>1.503832176</v>
      </c>
      <c r="G374" s="19" t="n">
        <f aca="false">F374*(1+g_dci_29)</f>
        <v>1.6542153936</v>
      </c>
    </row>
    <row r="375" customFormat="false" ht="17.15" hidden="false" customHeight="false" outlineLevel="0" collapsed="false">
      <c r="A375" s="0" t="s">
        <v>543</v>
      </c>
      <c r="B375" s="0" t="s">
        <v>32</v>
      </c>
      <c r="C375" s="19" t="n">
        <f aca="false">C374*C372</f>
        <v>0.410554710616641</v>
      </c>
      <c r="D375" s="19" t="n">
        <f aca="false">D374*D372</f>
        <v>0.7331</v>
      </c>
      <c r="E375" s="19" t="n">
        <f aca="false">E374*E372</f>
        <v>1.25319348</v>
      </c>
      <c r="F375" s="19" t="n">
        <f aca="false">F374*F372</f>
        <v>1.365479615808</v>
      </c>
      <c r="G375" s="19" t="n">
        <f aca="false">G374*G372</f>
        <v>1.3614192689328</v>
      </c>
    </row>
    <row r="376" customFormat="false" ht="17.15" hidden="false" customHeight="false" outlineLevel="0" collapsed="false">
      <c r="A376" s="0" t="s">
        <v>645</v>
      </c>
      <c r="B376" s="0" t="s">
        <v>32</v>
      </c>
      <c r="C376" s="19" t="n">
        <f aca="false">a25_hpc</f>
        <v>0</v>
      </c>
      <c r="D376" s="19" t="n">
        <f aca="false">a26_hpc</f>
        <v>0.3261</v>
      </c>
      <c r="E376" s="19" t="n">
        <f aca="false">h1hpc*(2+h2_hpc)</f>
        <v>0.5669664</v>
      </c>
      <c r="F376" s="19" t="n">
        <f aca="false">E376*(1+g_hpc_28)</f>
        <v>0.65201136</v>
      </c>
      <c r="G376" s="19" t="n">
        <f aca="false">F376*(1+g_hpc_29)</f>
        <v>0.717212496</v>
      </c>
    </row>
    <row r="377" customFormat="false" ht="17.15" hidden="false" customHeight="false" outlineLevel="0" collapsed="false">
      <c r="A377" s="0" t="s">
        <v>546</v>
      </c>
      <c r="B377" s="0" t="s">
        <v>32</v>
      </c>
      <c r="C377" s="19" t="n">
        <f aca="false">C376*C372</f>
        <v>0</v>
      </c>
      <c r="D377" s="19" t="n">
        <f aca="false">D376*D372</f>
        <v>0.3261</v>
      </c>
      <c r="E377" s="19" t="n">
        <f aca="false">E376*E372</f>
        <v>0.5669664</v>
      </c>
      <c r="F377" s="19" t="n">
        <f aca="false">F376*F372</f>
        <v>0.59202631488</v>
      </c>
      <c r="G377" s="19" t="n">
        <f aca="false">G376*G372</f>
        <v>0.590265884208</v>
      </c>
    </row>
    <row r="378" customFormat="false" ht="15" hidden="false" customHeight="false" outlineLevel="0" collapsed="false">
      <c r="A378" s="4" t="s">
        <v>537</v>
      </c>
      <c r="B378" s="0" t="s">
        <v>32</v>
      </c>
      <c r="C378" s="19" t="n">
        <f aca="false">C373+C375+C377</f>
        <v>1.579729074</v>
      </c>
      <c r="D378" s="19" t="n">
        <f aca="false">D373+D375+D377</f>
        <v>2.223085463</v>
      </c>
      <c r="E378" s="19" t="n">
        <f aca="false">E373+E375+E377</f>
        <v>3.81389985120734</v>
      </c>
      <c r="F378" s="19" t="n">
        <f aca="false">F373+F375+F377</f>
        <v>4.7674629105623</v>
      </c>
      <c r="G378" s="19" t="n">
        <f aca="false">G373+G375+G377</f>
        <v>5.26706370625045</v>
      </c>
    </row>
    <row r="379" customFormat="false" ht="15" hidden="false" customHeight="false" outlineLevel="0" collapsed="false">
      <c r="A379" s="4" t="s">
        <v>646</v>
      </c>
      <c r="B379" s="0" t="s">
        <v>32</v>
      </c>
      <c r="C379" s="19" t="n">
        <f aca="false">a25_ci</f>
        <v>1.049733389</v>
      </c>
      <c r="D379" s="19" t="n">
        <f aca="false">a26_ci</f>
        <v>1.545485301</v>
      </c>
      <c r="E379" s="19" t="n">
        <f aca="false">h1ci*(2+h2_ci)</f>
        <v>1.7611985244</v>
      </c>
      <c r="F379" s="19" t="n">
        <f aca="false">E379*(1+g_ci_28)</f>
        <v>1.866870435864</v>
      </c>
      <c r="G379" s="19" t="n">
        <f aca="false">F379*(1+g_ci_29)</f>
        <v>1.9602139576572</v>
      </c>
    </row>
    <row r="380" customFormat="false" ht="15" hidden="false" customHeight="false" outlineLevel="0" collapsed="false">
      <c r="A380" s="4" t="s">
        <v>647</v>
      </c>
      <c r="B380" s="0" t="s">
        <v>32</v>
      </c>
      <c r="C380" s="19" t="n">
        <f aca="false">a25_aio</f>
        <v>0.789864537</v>
      </c>
      <c r="D380" s="19" t="n">
        <f aca="false">a26_aio</f>
        <v>0.872526236</v>
      </c>
      <c r="E380" s="19" t="n">
        <f aca="false">h1aio*(2+h2_aio)</f>
        <v>0.9722450688</v>
      </c>
      <c r="F380" s="19" t="n">
        <f aca="false">E380*(1+g_aio_28)</f>
        <v>1.02085732224</v>
      </c>
      <c r="G380" s="19" t="n">
        <f aca="false">F380*(1+g_aio_29)</f>
        <v>1.071900188352</v>
      </c>
    </row>
    <row r="381" customFormat="false" ht="15" hidden="false" customHeight="false" outlineLevel="0" collapsed="false">
      <c r="A381" s="4" t="s">
        <v>535</v>
      </c>
      <c r="B381" s="0" t="s">
        <v>32</v>
      </c>
      <c r="C381" s="19" t="n">
        <f aca="false">C378+C379+C380</f>
        <v>3.419327</v>
      </c>
      <c r="D381" s="19" t="n">
        <f aca="false">D378+D379+D380</f>
        <v>4.641097</v>
      </c>
      <c r="E381" s="19" t="n">
        <f aca="false">E378+E379+E380</f>
        <v>6.54734344440735</v>
      </c>
      <c r="F381" s="19" t="n">
        <f aca="false">F378+F379+F380</f>
        <v>7.6551906686663</v>
      </c>
      <c r="G381" s="19" t="n">
        <f aca="false">G378+G379+G380</f>
        <v>8.29917785225965</v>
      </c>
    </row>
    <row r="382" customFormat="false" ht="15" hidden="false" customHeight="false" outlineLevel="0" collapsed="false">
      <c r="A382" s="4" t="s">
        <v>648</v>
      </c>
      <c r="B382" s="0" t="s">
        <v>65</v>
      </c>
      <c r="D382" s="15" t="n">
        <f aca="false">D381/C381-1</f>
        <v>0.357313003406811</v>
      </c>
      <c r="E382" s="15" t="n">
        <f aca="false">E381/D381-1</f>
        <v>0.41073186886793</v>
      </c>
      <c r="F382" s="15" t="n">
        <f aca="false">F381/E381-1</f>
        <v>0.169205607383443</v>
      </c>
      <c r="G382" s="15" t="n">
        <f aca="false">G381/F381-1</f>
        <v>0.0841242513043186</v>
      </c>
    </row>
    <row r="383" customFormat="false" ht="17.15" hidden="false" customHeight="false" outlineLevel="0" collapsed="false">
      <c r="A383" s="4" t="s">
        <v>649</v>
      </c>
      <c r="B383" s="0" t="s">
        <v>65</v>
      </c>
      <c r="C383" s="15" t="n">
        <f aca="false">C378/C381</f>
        <v>0.462</v>
      </c>
      <c r="D383" s="15" t="n">
        <f aca="false">D378/D381</f>
        <v>0.479</v>
      </c>
      <c r="E383" s="15" t="n">
        <f aca="false">E378/E381</f>
        <v>0.582511041858531</v>
      </c>
      <c r="F383" s="15" t="n">
        <f aca="false">F378/F381</f>
        <v>0.622775201416752</v>
      </c>
      <c r="G383" s="15" t="n">
        <f aca="false">G378/G381</f>
        <v>0.63464885317723</v>
      </c>
    </row>
    <row r="384" customFormat="false" ht="17.15" hidden="false" customHeight="false" outlineLevel="0" collapsed="false">
      <c r="A384" s="1" t="s">
        <v>650</v>
      </c>
    </row>
    <row r="385" customFormat="false" ht="17.15" hidden="false" customHeight="false" outlineLevel="0" collapsed="false">
      <c r="A385" s="4" t="s">
        <v>615</v>
      </c>
      <c r="B385" s="0" t="s">
        <v>65</v>
      </c>
      <c r="C385" s="15" t="n">
        <f aca="false">a25_gp/a25_rev</f>
        <v>0.123943980789202</v>
      </c>
      <c r="D385" s="15" t="n">
        <f aca="false">a26_gp/a26_rev</f>
        <v>0.122378394590762</v>
      </c>
      <c r="E385" s="15" t="n">
        <f aca="false">gm_27</f>
        <v>0.123</v>
      </c>
      <c r="F385" s="15" t="n">
        <f aca="false">gm_28</f>
        <v>0.123</v>
      </c>
      <c r="G385" s="15" t="n">
        <f aca="false">gm_29</f>
        <v>0.123</v>
      </c>
      <c r="H385" s="7" t="s">
        <v>651</v>
      </c>
    </row>
    <row r="386" customFormat="false" ht="15" hidden="false" customHeight="false" outlineLevel="0" collapsed="false">
      <c r="A386" s="4" t="s">
        <v>652</v>
      </c>
      <c r="B386" s="0" t="s">
        <v>32</v>
      </c>
      <c r="C386" s="19" t="n">
        <f aca="false">C381*C385</f>
        <v>0.423805</v>
      </c>
      <c r="D386" s="19" t="n">
        <f aca="false">D381*D385</f>
        <v>0.56797</v>
      </c>
      <c r="E386" s="19" t="n">
        <f aca="false">E381*E385</f>
        <v>0.805323243662104</v>
      </c>
      <c r="F386" s="19" t="n">
        <f aca="false">F381*F385</f>
        <v>0.941588452245954</v>
      </c>
      <c r="G386" s="19" t="n">
        <f aca="false">G381*G385</f>
        <v>1.02079887582794</v>
      </c>
    </row>
    <row r="387" customFormat="false" ht="15" hidden="false" customHeight="false" outlineLevel="0" collapsed="false">
      <c r="A387" s="4" t="s">
        <v>653</v>
      </c>
      <c r="B387" s="0" t="s">
        <v>32</v>
      </c>
      <c r="C387" s="19" t="n">
        <f aca="false">a25_opx</f>
        <v>0.063093</v>
      </c>
      <c r="D387" s="19" t="n">
        <f aca="false">a26_opx</f>
        <v>0.0679069999999999</v>
      </c>
      <c r="E387" s="19" t="n">
        <f aca="false">D387*(1+MAX(0,phi*E382))</f>
        <v>0.0738629224219811</v>
      </c>
      <c r="F387" s="19" t="n">
        <f aca="false">E387*(1+MAX(0,phi*F382))</f>
        <v>0.0765317303824632</v>
      </c>
      <c r="G387" s="19" t="n">
        <f aca="false">F387*(1+MAX(0,phi*G382))</f>
        <v>0.0779065281914569</v>
      </c>
    </row>
    <row r="388" customFormat="false" ht="15" hidden="false" customHeight="false" outlineLevel="0" collapsed="false">
      <c r="A388" s="4" t="s">
        <v>654</v>
      </c>
      <c r="B388" s="0" t="s">
        <v>32</v>
      </c>
      <c r="C388" s="14" t="n">
        <f aca="false">C387</f>
        <v>0.063093</v>
      </c>
      <c r="D388" s="14" t="n">
        <f aca="false">D387</f>
        <v>0.0679069999999999</v>
      </c>
      <c r="E388" s="14" t="n">
        <f aca="false">E387+0*E381</f>
        <v>0.0738629224219811</v>
      </c>
      <c r="F388" s="14" t="n">
        <f aca="false">F387+0*F381</f>
        <v>0.0765317303824632</v>
      </c>
      <c r="G388" s="14" t="n">
        <f aca="false">G387+0*G381</f>
        <v>0.0779065281914569</v>
      </c>
    </row>
    <row r="389" customFormat="false" ht="15" hidden="false" customHeight="false" outlineLevel="0" collapsed="false">
      <c r="A389" s="4" t="s">
        <v>655</v>
      </c>
      <c r="B389" s="0" t="s">
        <v>32</v>
      </c>
      <c r="C389" s="19" t="n">
        <f aca="false">C386-C388</f>
        <v>0.360712</v>
      </c>
      <c r="D389" s="19" t="n">
        <f aca="false">D386-D388</f>
        <v>0.500063</v>
      </c>
      <c r="E389" s="19" t="n">
        <f aca="false">E386-E388</f>
        <v>0.731460321240122</v>
      </c>
      <c r="F389" s="19" t="n">
        <f aca="false">F386-F388</f>
        <v>0.865056721863491</v>
      </c>
      <c r="G389" s="19" t="n">
        <f aca="false">G386-G388</f>
        <v>0.94289234763648</v>
      </c>
    </row>
    <row r="390" customFormat="false" ht="15" hidden="false" customHeight="false" outlineLevel="0" collapsed="false">
      <c r="A390" s="4" t="s">
        <v>616</v>
      </c>
      <c r="B390" s="0" t="s">
        <v>65</v>
      </c>
      <c r="C390" s="15" t="n">
        <f aca="false">C389/C381</f>
        <v>0.10549210414798</v>
      </c>
      <c r="D390" s="15" t="n">
        <f aca="false">D389/D381</f>
        <v>0.107746724535169</v>
      </c>
      <c r="E390" s="15" t="n">
        <f aca="false">E389/E381</f>
        <v>0.111718642446491</v>
      </c>
      <c r="F390" s="15" t="n">
        <f aca="false">F389/F381</f>
        <v>0.113002635637056</v>
      </c>
      <c r="G390" s="15" t="n">
        <f aca="false">G389/G381</f>
        <v>0.113612741457246</v>
      </c>
    </row>
    <row r="391" customFormat="false" ht="15" hidden="false" customHeight="false" outlineLevel="0" collapsed="false">
      <c r="A391" s="4" t="s">
        <v>656</v>
      </c>
      <c r="B391" s="0" t="s">
        <v>32</v>
      </c>
      <c r="C391" s="14" t="n">
        <f aca="false">a25_oth</f>
        <v>0.030733</v>
      </c>
      <c r="D391" s="14" t="n">
        <f aca="false">a26_oth</f>
        <v>0.0354829999999999</v>
      </c>
      <c r="E391" s="14" t="n">
        <f aca="false">int_f</f>
        <v>0.03</v>
      </c>
      <c r="F391" s="14" t="n">
        <f aca="false">int_f</f>
        <v>0.03</v>
      </c>
      <c r="G391" s="14" t="n">
        <f aca="false">int_f</f>
        <v>0.03</v>
      </c>
    </row>
    <row r="392" customFormat="false" ht="15" hidden="false" customHeight="false" outlineLevel="0" collapsed="false">
      <c r="A392" s="4" t="s">
        <v>657</v>
      </c>
      <c r="B392" s="0" t="s">
        <v>32</v>
      </c>
      <c r="C392" s="19" t="n">
        <f aca="false">C389+C391</f>
        <v>0.391445</v>
      </c>
      <c r="D392" s="19" t="n">
        <f aca="false">D389+D391</f>
        <v>0.535546</v>
      </c>
      <c r="E392" s="19" t="n">
        <f aca="false">E389+E391</f>
        <v>0.761460321240122</v>
      </c>
      <c r="F392" s="19" t="n">
        <f aca="false">F389+F391</f>
        <v>0.895056721863491</v>
      </c>
      <c r="G392" s="19" t="n">
        <f aca="false">G389+G391</f>
        <v>0.972892347636481</v>
      </c>
    </row>
    <row r="393" customFormat="false" ht="15" hidden="false" customHeight="false" outlineLevel="0" collapsed="false">
      <c r="A393" s="4" t="s">
        <v>617</v>
      </c>
      <c r="B393" s="0" t="s">
        <v>32</v>
      </c>
      <c r="C393" s="19" t="n">
        <f aca="false">a25_ni</f>
        <v>0.368792</v>
      </c>
      <c r="D393" s="19" t="n">
        <f aca="false">a26_ni</f>
        <v>0.510907</v>
      </c>
      <c r="E393" s="19" t="n">
        <f aca="false">E392*(1-(tx))</f>
        <v>0.723387305178116</v>
      </c>
      <c r="F393" s="19" t="n">
        <f aca="false">F392*(1-(tx))</f>
        <v>0.850303885770317</v>
      </c>
      <c r="G393" s="19" t="n">
        <f aca="false">G392*(1-(tx))</f>
        <v>0.924247730254657</v>
      </c>
    </row>
    <row r="394" customFormat="false" ht="15" hidden="false" customHeight="false" outlineLevel="0" collapsed="false">
      <c r="A394" s="4" t="s">
        <v>658</v>
      </c>
      <c r="B394" s="0" t="s">
        <v>65</v>
      </c>
      <c r="C394" s="15" t="n">
        <f aca="false">C393/C381</f>
        <v>0.107855142254602</v>
      </c>
      <c r="D394" s="15" t="n">
        <f aca="false">D393/D381</f>
        <v>0.110083241095801</v>
      </c>
      <c r="E394" s="15" t="n">
        <f aca="false">E393/E381</f>
        <v>0.110485620820155</v>
      </c>
      <c r="F394" s="15" t="n">
        <f aca="false">F393/F381</f>
        <v>0.111075467950227</v>
      </c>
      <c r="G394" s="15" t="n">
        <f aca="false">G393/G381</f>
        <v>0.111366179482828</v>
      </c>
    </row>
    <row r="395" customFormat="false" ht="15" hidden="false" customHeight="false" outlineLevel="0" collapsed="false">
      <c r="A395" s="4" t="s">
        <v>559</v>
      </c>
      <c r="B395" s="4" t="s">
        <v>307</v>
      </c>
      <c r="C395" s="16" t="n">
        <f aca="false">a25_sh</f>
        <v>0.036267</v>
      </c>
      <c r="D395" s="16" t="n">
        <f aca="false">a26_sh</f>
        <v>0.036252</v>
      </c>
      <c r="E395" s="16" t="n">
        <f aca="false">sh_q1*(1+sh_g)</f>
        <v>0.0363</v>
      </c>
      <c r="F395" s="16" t="n">
        <f aca="false">E395*(1+sh_g)</f>
        <v>0.0363</v>
      </c>
      <c r="G395" s="16" t="n">
        <f aca="false">F395*(1+sh_g)</f>
        <v>0.0363</v>
      </c>
    </row>
    <row r="396" customFormat="false" ht="15" hidden="false" customHeight="false" outlineLevel="0" collapsed="false">
      <c r="A396" s="0" t="s">
        <v>618</v>
      </c>
      <c r="B396" s="0" t="s">
        <v>217</v>
      </c>
      <c r="C396" s="19" t="n">
        <f aca="false">C393/C395</f>
        <v>10.1688035955552</v>
      </c>
      <c r="D396" s="19" t="n">
        <f aca="false">D393/D395</f>
        <v>14.0932086505572</v>
      </c>
      <c r="E396" s="19" t="n">
        <f aca="false">E393/E395</f>
        <v>19.9280249360363</v>
      </c>
      <c r="F396" s="19" t="n">
        <f aca="false">F393/F395</f>
        <v>23.4243494702567</v>
      </c>
      <c r="G396" s="19" t="n">
        <f aca="false">G393/G395</f>
        <v>25.4613699794671</v>
      </c>
    </row>
    <row r="397" customFormat="false" ht="17.15" hidden="false" customHeight="false" outlineLevel="0" collapsed="false">
      <c r="A397" s="0" t="s">
        <v>659</v>
      </c>
      <c r="B397" s="0" t="s">
        <v>65</v>
      </c>
      <c r="D397" s="15" t="n">
        <f aca="false">D396/C396-1</f>
        <v>0.385925936923139</v>
      </c>
      <c r="E397" s="15" t="n">
        <f aca="false">E396/D396-1</f>
        <v>0.414016171203735</v>
      </c>
      <c r="F397" s="15" t="n">
        <f aca="false">F396/E396-1</f>
        <v>0.175447619392423</v>
      </c>
      <c r="G397" s="15" t="n">
        <f aca="false">G396/F396-1</f>
        <v>0.0869616683185588</v>
      </c>
    </row>
    <row r="400" customFormat="false" ht="17.15" hidden="false" customHeight="false" outlineLevel="0" collapsed="false">
      <c r="A400" s="3" t="s">
        <v>946</v>
      </c>
    </row>
    <row r="401" customFormat="false" ht="17.15" hidden="false" customHeight="false" outlineLevel="0" collapsed="false">
      <c r="A401" s="5" t="s">
        <v>21</v>
      </c>
      <c r="B401" s="5" t="s">
        <v>22</v>
      </c>
      <c r="C401" s="13" t="s">
        <v>528</v>
      </c>
      <c r="D401" s="13" t="s">
        <v>600</v>
      </c>
      <c r="E401" s="13" t="s">
        <v>601</v>
      </c>
      <c r="F401" s="13" t="s">
        <v>602</v>
      </c>
      <c r="G401" s="13" t="s">
        <v>603</v>
      </c>
      <c r="H401" s="5" t="s">
        <v>534</v>
      </c>
    </row>
    <row r="402" customFormat="false" ht="17.15" hidden="false" customHeight="false" outlineLevel="0" collapsed="false">
      <c r="A402" s="1" t="s">
        <v>628</v>
      </c>
    </row>
    <row r="403" customFormat="false" ht="17.15" hidden="false" customHeight="false" outlineLevel="0" collapsed="false">
      <c r="A403" s="0" t="s">
        <v>629</v>
      </c>
      <c r="B403" s="0" t="s">
        <v>32</v>
      </c>
      <c r="D403" s="19" t="n">
        <f aca="false">mplB_26*1</f>
        <v>29.753262</v>
      </c>
      <c r="E403" s="19" t="n">
        <f aca="false">mplB_27*1*1</f>
        <v>54.688309</v>
      </c>
      <c r="F403" s="19" t="n">
        <f aca="false">mplB_28*um28_B*1</f>
        <v>48.9706</v>
      </c>
      <c r="G403" s="19" t="n">
        <f aca="false">mplB_29*um29_B*1</f>
        <v>66.987208</v>
      </c>
      <c r="H403" s="4" t="s">
        <v>630</v>
      </c>
    </row>
    <row r="404" customFormat="false" ht="17.15" hidden="false" customHeight="false" outlineLevel="0" collapsed="false">
      <c r="A404" s="0" t="s">
        <v>631</v>
      </c>
      <c r="B404" s="0" t="s">
        <v>32</v>
      </c>
      <c r="D404" s="19" t="n">
        <f aca="false">mcpB_26*1</f>
        <v>0.300538</v>
      </c>
      <c r="E404" s="19" t="n">
        <f aca="false">mcpB_27*1</f>
        <v>1.691391</v>
      </c>
      <c r="F404" s="19" t="n">
        <f aca="false">mcpB_28*um28_B</f>
        <v>2.5774</v>
      </c>
      <c r="G404" s="19" t="n">
        <f aca="false">mcpB_29*um29_B</f>
        <v>4.992628</v>
      </c>
    </row>
    <row r="405" customFormat="false" ht="17.15" hidden="false" customHeight="false" outlineLevel="0" collapsed="false">
      <c r="A405" s="0" t="s">
        <v>632</v>
      </c>
      <c r="B405" s="0" t="s">
        <v>65</v>
      </c>
      <c r="D405" s="15" t="n">
        <f aca="false">tr_cy26/D403</f>
        <v>0.0423521320116093</v>
      </c>
      <c r="H405" s="7" t="s">
        <v>633</v>
      </c>
    </row>
    <row r="406" customFormat="false" ht="17.15" hidden="false" customHeight="false" outlineLevel="0" collapsed="false">
      <c r="A406" s="4" t="s">
        <v>634</v>
      </c>
      <c r="B406" s="0" t="s">
        <v>76</v>
      </c>
      <c r="D406" s="8" t="n">
        <f aca="false">1</f>
        <v>1</v>
      </c>
      <c r="E406" s="8" t="n">
        <f aca="false">rel_27</f>
        <v>1</v>
      </c>
      <c r="F406" s="8" t="n">
        <f aca="false">rel_28</f>
        <v>1</v>
      </c>
      <c r="G406" s="8" t="n">
        <f aca="false">rel_29</f>
        <v>0.95</v>
      </c>
    </row>
    <row r="407" customFormat="false" ht="15" hidden="false" customHeight="false" outlineLevel="0" collapsed="false">
      <c r="A407" s="4" t="s">
        <v>635</v>
      </c>
      <c r="B407" s="0" t="s">
        <v>65</v>
      </c>
      <c r="D407" s="15" t="n">
        <f aca="false">$D$405*D406</f>
        <v>0.0423521320116093</v>
      </c>
      <c r="E407" s="15" t="n">
        <f aca="false">$D$405*E406</f>
        <v>0.0423521320116093</v>
      </c>
      <c r="F407" s="15" t="n">
        <f aca="false">$D$405*F406</f>
        <v>0.0423521320116093</v>
      </c>
      <c r="G407" s="15" t="n">
        <f aca="false">$D$405*G406</f>
        <v>0.0402345254110289</v>
      </c>
    </row>
    <row r="408" customFormat="false" ht="15" hidden="false" customHeight="false" outlineLevel="0" collapsed="false">
      <c r="A408" s="4" t="s">
        <v>636</v>
      </c>
      <c r="B408" s="0" t="s">
        <v>76</v>
      </c>
      <c r="D408" s="8" t="n">
        <f aca="false">1</f>
        <v>1</v>
      </c>
      <c r="E408" s="8" t="n">
        <f aca="false">pxr_27</f>
        <v>1</v>
      </c>
      <c r="F408" s="8" t="n">
        <f aca="false">pxr_28</f>
        <v>1</v>
      </c>
      <c r="G408" s="8" t="n">
        <f aca="false">pxr_29</f>
        <v>1</v>
      </c>
    </row>
    <row r="409" customFormat="false" ht="17.15" hidden="false" customHeight="false" outlineLevel="0" collapsed="false">
      <c r="A409" s="0" t="s">
        <v>637</v>
      </c>
      <c r="B409" s="0" t="s">
        <v>65</v>
      </c>
      <c r="D409" s="15" t="n">
        <f aca="false">0</f>
        <v>0</v>
      </c>
      <c r="E409" s="15" t="n">
        <f aca="false">cpo_27</f>
        <v>0.05</v>
      </c>
      <c r="F409" s="15" t="n">
        <f aca="false">cpo_28</f>
        <v>0.1</v>
      </c>
      <c r="G409" s="15" t="n">
        <f aca="false">cpo_29</f>
        <v>0.15</v>
      </c>
    </row>
    <row r="410" customFormat="false" ht="15" hidden="false" customHeight="false" outlineLevel="0" collapsed="false">
      <c r="A410" s="4" t="s">
        <v>638</v>
      </c>
      <c r="B410" s="0" t="s">
        <v>32</v>
      </c>
      <c r="D410" s="19" t="n">
        <f aca="false">tr_cy26</f>
        <v>1.26011408</v>
      </c>
      <c r="E410" s="19" t="n">
        <f aca="false">E403*E407*E408+E404*E409</f>
        <v>2.40073603225968</v>
      </c>
      <c r="F410" s="19" t="n">
        <f aca="false">F403*F407*F408+F404*F409</f>
        <v>2.33174931588772</v>
      </c>
      <c r="G410" s="19" t="n">
        <f aca="false">G403*G407*G408+G404*G409</f>
        <v>3.44409272248988</v>
      </c>
    </row>
    <row r="411" customFormat="false" ht="17.15" hidden="false" customHeight="false" outlineLevel="0" collapsed="false">
      <c r="A411" s="1" t="s">
        <v>639</v>
      </c>
    </row>
    <row r="412" customFormat="false" ht="17.15" hidden="false" customHeight="false" outlineLevel="0" collapsed="false">
      <c r="A412" s="0" t="s">
        <v>640</v>
      </c>
      <c r="B412" s="0" t="s">
        <v>76</v>
      </c>
      <c r="C412" s="24" t="n">
        <f aca="false">1</f>
        <v>1</v>
      </c>
      <c r="D412" s="24" t="n">
        <f aca="false">1</f>
        <v>1</v>
      </c>
      <c r="E412" s="24" t="n">
        <f aca="false">1</f>
        <v>1</v>
      </c>
      <c r="F412" s="24" t="n">
        <f aca="false">(1-hw_lo)+hw_lo*um28_B</f>
        <v>0.916</v>
      </c>
      <c r="G412" s="24" t="n">
        <f aca="false">(1-hw_lo)*um28_B+hw_lo*um29_B</f>
        <v>0.821</v>
      </c>
      <c r="H412" s="4" t="s">
        <v>641</v>
      </c>
    </row>
    <row r="413" customFormat="false" ht="17.15" hidden="false" customHeight="false" outlineLevel="0" collapsed="false">
      <c r="A413" s="4" t="s">
        <v>642</v>
      </c>
      <c r="B413" s="0" t="s">
        <v>32</v>
      </c>
      <c r="C413" s="19" t="n">
        <f aca="false">a25_tr</f>
        <v>1.16917436338336</v>
      </c>
      <c r="D413" s="19" t="n">
        <f aca="false">a26_tr</f>
        <v>1.163885463</v>
      </c>
      <c r="E413" s="19" t="n">
        <f aca="false">h1_27+hw_lo*E410</f>
        <v>1.68462321354907</v>
      </c>
      <c r="F413" s="19" t="n">
        <f aca="false">(1-hw_lo)*E410+hw_lo*F410</f>
        <v>2.37176161138346</v>
      </c>
      <c r="G413" s="19" t="n">
        <f aca="false">(1-hw_lo)*F410+hw_lo*G410</f>
        <v>2.79893354666062</v>
      </c>
      <c r="H413" s="7" t="s">
        <v>643</v>
      </c>
    </row>
    <row r="414" customFormat="false" ht="17.15" hidden="false" customHeight="false" outlineLevel="0" collapsed="false">
      <c r="A414" s="0" t="s">
        <v>644</v>
      </c>
      <c r="B414" s="0" t="s">
        <v>32</v>
      </c>
      <c r="C414" s="19" t="n">
        <f aca="false">a25_dci</f>
        <v>0.410554710616641</v>
      </c>
      <c r="D414" s="19" t="n">
        <f aca="false">a26_dci</f>
        <v>0.7331</v>
      </c>
      <c r="E414" s="19" t="n">
        <f aca="false">h1dci*(2+h2_dci)</f>
        <v>1.25319348</v>
      </c>
      <c r="F414" s="19" t="n">
        <f aca="false">E414*(1+g_dci_28)</f>
        <v>1.503832176</v>
      </c>
      <c r="G414" s="19" t="n">
        <f aca="false">F414*(1+g_dci_29)</f>
        <v>1.6542153936</v>
      </c>
    </row>
    <row r="415" customFormat="false" ht="17.15" hidden="false" customHeight="false" outlineLevel="0" collapsed="false">
      <c r="A415" s="0" t="s">
        <v>543</v>
      </c>
      <c r="B415" s="0" t="s">
        <v>32</v>
      </c>
      <c r="C415" s="19" t="n">
        <f aca="false">C414*C412</f>
        <v>0.410554710616641</v>
      </c>
      <c r="D415" s="19" t="n">
        <f aca="false">D414*D412</f>
        <v>0.7331</v>
      </c>
      <c r="E415" s="19" t="n">
        <f aca="false">E414*E412</f>
        <v>1.25319348</v>
      </c>
      <c r="F415" s="19" t="n">
        <f aca="false">F414*F412</f>
        <v>1.377510273216</v>
      </c>
      <c r="G415" s="19" t="n">
        <f aca="false">G414*G412</f>
        <v>1.3581108381456</v>
      </c>
    </row>
    <row r="416" customFormat="false" ht="17.15" hidden="false" customHeight="false" outlineLevel="0" collapsed="false">
      <c r="A416" s="0" t="s">
        <v>645</v>
      </c>
      <c r="B416" s="0" t="s">
        <v>32</v>
      </c>
      <c r="C416" s="19" t="n">
        <f aca="false">a25_hpc</f>
        <v>0</v>
      </c>
      <c r="D416" s="19" t="n">
        <f aca="false">a26_hpc</f>
        <v>0.3261</v>
      </c>
      <c r="E416" s="19" t="n">
        <f aca="false">h1hpc*(2+h2_hpc)</f>
        <v>0.5669664</v>
      </c>
      <c r="F416" s="19" t="n">
        <f aca="false">E416*(1+g_hpc_28)</f>
        <v>0.65201136</v>
      </c>
      <c r="G416" s="19" t="n">
        <f aca="false">F416*(1+g_hpc_29)</f>
        <v>0.717212496</v>
      </c>
    </row>
    <row r="417" customFormat="false" ht="17.15" hidden="false" customHeight="false" outlineLevel="0" collapsed="false">
      <c r="A417" s="0" t="s">
        <v>546</v>
      </c>
      <c r="B417" s="0" t="s">
        <v>32</v>
      </c>
      <c r="C417" s="19" t="n">
        <f aca="false">C416*C412</f>
        <v>0</v>
      </c>
      <c r="D417" s="19" t="n">
        <f aca="false">D416*D412</f>
        <v>0.3261</v>
      </c>
      <c r="E417" s="19" t="n">
        <f aca="false">E416*E412</f>
        <v>0.5669664</v>
      </c>
      <c r="F417" s="19" t="n">
        <f aca="false">F416*F412</f>
        <v>0.59724240576</v>
      </c>
      <c r="G417" s="19" t="n">
        <f aca="false">G416*G412</f>
        <v>0.588831459216</v>
      </c>
    </row>
    <row r="418" customFormat="false" ht="15" hidden="false" customHeight="false" outlineLevel="0" collapsed="false">
      <c r="A418" s="4" t="s">
        <v>537</v>
      </c>
      <c r="B418" s="0" t="s">
        <v>32</v>
      </c>
      <c r="C418" s="19" t="n">
        <f aca="false">C413+C415+C417</f>
        <v>1.579729074</v>
      </c>
      <c r="D418" s="19" t="n">
        <f aca="false">D413+D415+D417</f>
        <v>2.223085463</v>
      </c>
      <c r="E418" s="19" t="n">
        <f aca="false">E413+E415+E417</f>
        <v>3.50478309354907</v>
      </c>
      <c r="F418" s="19" t="n">
        <f aca="false">F413+F415+F417</f>
        <v>4.34651429035946</v>
      </c>
      <c r="G418" s="19" t="n">
        <f aca="false">G413+G415+G417</f>
        <v>4.74587584402222</v>
      </c>
    </row>
    <row r="419" customFormat="false" ht="15" hidden="false" customHeight="false" outlineLevel="0" collapsed="false">
      <c r="A419" s="4" t="s">
        <v>646</v>
      </c>
      <c r="B419" s="0" t="s">
        <v>32</v>
      </c>
      <c r="C419" s="19" t="n">
        <f aca="false">a25_ci</f>
        <v>1.049733389</v>
      </c>
      <c r="D419" s="19" t="n">
        <f aca="false">a26_ci</f>
        <v>1.545485301</v>
      </c>
      <c r="E419" s="19" t="n">
        <f aca="false">h1ci*(2+h2_ci)</f>
        <v>1.7611985244</v>
      </c>
      <c r="F419" s="19" t="n">
        <f aca="false">E419*(1+g_ci_28)</f>
        <v>1.866870435864</v>
      </c>
      <c r="G419" s="19" t="n">
        <f aca="false">F419*(1+g_ci_29)</f>
        <v>1.9602139576572</v>
      </c>
    </row>
    <row r="420" customFormat="false" ht="15" hidden="false" customHeight="false" outlineLevel="0" collapsed="false">
      <c r="A420" s="4" t="s">
        <v>647</v>
      </c>
      <c r="B420" s="0" t="s">
        <v>32</v>
      </c>
      <c r="C420" s="19" t="n">
        <f aca="false">a25_aio</f>
        <v>0.789864537</v>
      </c>
      <c r="D420" s="19" t="n">
        <f aca="false">a26_aio</f>
        <v>0.872526236</v>
      </c>
      <c r="E420" s="19" t="n">
        <f aca="false">h1aio*(2+h2_aio)</f>
        <v>0.9722450688</v>
      </c>
      <c r="F420" s="19" t="n">
        <f aca="false">E420*(1+g_aio_28)</f>
        <v>1.02085732224</v>
      </c>
      <c r="G420" s="19" t="n">
        <f aca="false">F420*(1+g_aio_29)</f>
        <v>1.071900188352</v>
      </c>
    </row>
    <row r="421" customFormat="false" ht="15" hidden="false" customHeight="false" outlineLevel="0" collapsed="false">
      <c r="A421" s="4" t="s">
        <v>535</v>
      </c>
      <c r="B421" s="0" t="s">
        <v>32</v>
      </c>
      <c r="C421" s="19" t="n">
        <f aca="false">C418+C419+C420</f>
        <v>3.419327</v>
      </c>
      <c r="D421" s="19" t="n">
        <f aca="false">D418+D419+D420</f>
        <v>4.641097</v>
      </c>
      <c r="E421" s="19" t="n">
        <f aca="false">E418+E419+E420</f>
        <v>6.23822668674907</v>
      </c>
      <c r="F421" s="19" t="n">
        <f aca="false">F418+F419+F420</f>
        <v>7.23424204846346</v>
      </c>
      <c r="G421" s="19" t="n">
        <f aca="false">G418+G419+G420</f>
        <v>7.77798999003143</v>
      </c>
    </row>
    <row r="422" customFormat="false" ht="15" hidden="false" customHeight="false" outlineLevel="0" collapsed="false">
      <c r="A422" s="4" t="s">
        <v>648</v>
      </c>
      <c r="B422" s="0" t="s">
        <v>65</v>
      </c>
      <c r="D422" s="15" t="n">
        <f aca="false">D421/C421-1</f>
        <v>0.357313003406811</v>
      </c>
      <c r="E422" s="15" t="n">
        <f aca="false">E421/D421-1</f>
        <v>0.344127624729469</v>
      </c>
      <c r="F422" s="15" t="n">
        <f aca="false">F421/E421-1</f>
        <v>0.159663220291446</v>
      </c>
      <c r="G422" s="15" t="n">
        <f aca="false">G421/F421-1</f>
        <v>0.0751630838345336</v>
      </c>
    </row>
    <row r="423" customFormat="false" ht="17.15" hidden="false" customHeight="false" outlineLevel="0" collapsed="false">
      <c r="A423" s="4" t="s">
        <v>649</v>
      </c>
      <c r="B423" s="0" t="s">
        <v>65</v>
      </c>
      <c r="C423" s="15" t="n">
        <f aca="false">C418/C421</f>
        <v>0.462</v>
      </c>
      <c r="D423" s="15" t="n">
        <f aca="false">D418/D421</f>
        <v>0.479</v>
      </c>
      <c r="E423" s="15" t="n">
        <f aca="false">E418/E421</f>
        <v>0.56182361904125</v>
      </c>
      <c r="F423" s="15" t="n">
        <f aca="false">F418/F421</f>
        <v>0.600825112187482</v>
      </c>
      <c r="G423" s="15" t="n">
        <f aca="false">G418/G421</f>
        <v>0.610167389017564</v>
      </c>
    </row>
    <row r="424" customFormat="false" ht="17.15" hidden="false" customHeight="false" outlineLevel="0" collapsed="false">
      <c r="A424" s="1" t="s">
        <v>650</v>
      </c>
    </row>
    <row r="425" customFormat="false" ht="17.15" hidden="false" customHeight="false" outlineLevel="0" collapsed="false">
      <c r="A425" s="4" t="s">
        <v>615</v>
      </c>
      <c r="B425" s="0" t="s">
        <v>65</v>
      </c>
      <c r="C425" s="15" t="n">
        <f aca="false">a25_gp/a25_rev</f>
        <v>0.123943980789202</v>
      </c>
      <c r="D425" s="15" t="n">
        <f aca="false">a26_gp/a26_rev</f>
        <v>0.122378394590762</v>
      </c>
      <c r="E425" s="15" t="n">
        <f aca="false">gm_27</f>
        <v>0.123</v>
      </c>
      <c r="F425" s="15" t="n">
        <f aca="false">gm_28</f>
        <v>0.123</v>
      </c>
      <c r="G425" s="15" t="n">
        <f aca="false">gm_29</f>
        <v>0.123</v>
      </c>
      <c r="H425" s="7" t="s">
        <v>651</v>
      </c>
    </row>
    <row r="426" customFormat="false" ht="15" hidden="false" customHeight="false" outlineLevel="0" collapsed="false">
      <c r="A426" s="4" t="s">
        <v>652</v>
      </c>
      <c r="B426" s="0" t="s">
        <v>32</v>
      </c>
      <c r="C426" s="19" t="n">
        <f aca="false">C421*C425</f>
        <v>0.423805</v>
      </c>
      <c r="D426" s="19" t="n">
        <f aca="false">D421*D425</f>
        <v>0.56797</v>
      </c>
      <c r="E426" s="19" t="n">
        <f aca="false">E421*E425</f>
        <v>0.767301882470135</v>
      </c>
      <c r="F426" s="19" t="n">
        <f aca="false">F421*F425</f>
        <v>0.889811771961005</v>
      </c>
      <c r="G426" s="19" t="n">
        <f aca="false">G421*G425</f>
        <v>0.956692768773865</v>
      </c>
    </row>
    <row r="427" customFormat="false" ht="15" hidden="false" customHeight="false" outlineLevel="0" collapsed="false">
      <c r="A427" s="4" t="s">
        <v>653</v>
      </c>
      <c r="B427" s="0" t="s">
        <v>32</v>
      </c>
      <c r="C427" s="19" t="n">
        <f aca="false">a25_opx</f>
        <v>0.063093</v>
      </c>
      <c r="D427" s="19" t="n">
        <f aca="false">a26_opx</f>
        <v>0.0679069999999999</v>
      </c>
      <c r="E427" s="19" t="n">
        <f aca="false">D427*(1+MAX(0,phi*E422))</f>
        <v>0.0728971105599585</v>
      </c>
      <c r="F427" s="19" t="n">
        <f aca="false">E427*(1+MAX(0,phi*F422))</f>
        <v>0.075382481895926</v>
      </c>
      <c r="G427" s="19" t="n">
        <f aca="false">F427*(1+MAX(0,phi*G422))</f>
        <v>0.0765923864426432</v>
      </c>
    </row>
    <row r="428" customFormat="false" ht="15" hidden="false" customHeight="false" outlineLevel="0" collapsed="false">
      <c r="A428" s="4" t="s">
        <v>654</v>
      </c>
      <c r="B428" s="0" t="s">
        <v>32</v>
      </c>
      <c r="C428" s="14" t="n">
        <f aca="false">C427</f>
        <v>0.063093</v>
      </c>
      <c r="D428" s="14" t="n">
        <f aca="false">D427</f>
        <v>0.0679069999999999</v>
      </c>
      <c r="E428" s="14" t="n">
        <f aca="false">E427+0*E421</f>
        <v>0.0728971105599585</v>
      </c>
      <c r="F428" s="14" t="n">
        <f aca="false">F427+0*F421</f>
        <v>0.075382481895926</v>
      </c>
      <c r="G428" s="14" t="n">
        <f aca="false">G427+0*G421</f>
        <v>0.0765923864426432</v>
      </c>
    </row>
    <row r="429" customFormat="false" ht="15" hidden="false" customHeight="false" outlineLevel="0" collapsed="false">
      <c r="A429" s="4" t="s">
        <v>655</v>
      </c>
      <c r="B429" s="0" t="s">
        <v>32</v>
      </c>
      <c r="C429" s="19" t="n">
        <f aca="false">C426-C428</f>
        <v>0.360712</v>
      </c>
      <c r="D429" s="19" t="n">
        <f aca="false">D426-D428</f>
        <v>0.500063</v>
      </c>
      <c r="E429" s="19" t="n">
        <f aca="false">E426-E428</f>
        <v>0.694404771910177</v>
      </c>
      <c r="F429" s="19" t="n">
        <f aca="false">F426-F428</f>
        <v>0.814429290065079</v>
      </c>
      <c r="G429" s="19" t="n">
        <f aca="false">G426-G428</f>
        <v>0.880100382331222</v>
      </c>
    </row>
    <row r="430" customFormat="false" ht="15" hidden="false" customHeight="false" outlineLevel="0" collapsed="false">
      <c r="A430" s="4" t="s">
        <v>616</v>
      </c>
      <c r="B430" s="0" t="s">
        <v>65</v>
      </c>
      <c r="C430" s="15" t="n">
        <f aca="false">C429/C421</f>
        <v>0.10549210414798</v>
      </c>
      <c r="D430" s="15" t="n">
        <f aca="false">D429/D421</f>
        <v>0.107746724535169</v>
      </c>
      <c r="E430" s="15" t="n">
        <f aca="false">E429/E421</f>
        <v>0.11131444988769</v>
      </c>
      <c r="F430" s="15" t="n">
        <f aca="false">F429/F421</f>
        <v>0.112579767805539</v>
      </c>
      <c r="G430" s="15" t="n">
        <f aca="false">G429/G421</f>
        <v>0.113152676136019</v>
      </c>
    </row>
    <row r="431" customFormat="false" ht="15" hidden="false" customHeight="false" outlineLevel="0" collapsed="false">
      <c r="A431" s="4" t="s">
        <v>656</v>
      </c>
      <c r="B431" s="0" t="s">
        <v>32</v>
      </c>
      <c r="C431" s="14" t="n">
        <f aca="false">a25_oth</f>
        <v>0.030733</v>
      </c>
      <c r="D431" s="14" t="n">
        <f aca="false">a26_oth</f>
        <v>0.0354829999999999</v>
      </c>
      <c r="E431" s="14" t="n">
        <f aca="false">int_f</f>
        <v>0.03</v>
      </c>
      <c r="F431" s="14" t="n">
        <f aca="false">int_f</f>
        <v>0.03</v>
      </c>
      <c r="G431" s="14" t="n">
        <f aca="false">int_f</f>
        <v>0.03</v>
      </c>
    </row>
    <row r="432" customFormat="false" ht="15" hidden="false" customHeight="false" outlineLevel="0" collapsed="false">
      <c r="A432" s="4" t="s">
        <v>657</v>
      </c>
      <c r="B432" s="0" t="s">
        <v>32</v>
      </c>
      <c r="C432" s="19" t="n">
        <f aca="false">C429+C431</f>
        <v>0.391445</v>
      </c>
      <c r="D432" s="19" t="n">
        <f aca="false">D429+D431</f>
        <v>0.535546</v>
      </c>
      <c r="E432" s="19" t="n">
        <f aca="false">E429+E431</f>
        <v>0.724404771910177</v>
      </c>
      <c r="F432" s="19" t="n">
        <f aca="false">F429+F431</f>
        <v>0.844429290065079</v>
      </c>
      <c r="G432" s="19" t="n">
        <f aca="false">G429+G431</f>
        <v>0.910100382331222</v>
      </c>
    </row>
    <row r="433" customFormat="false" ht="15" hidden="false" customHeight="false" outlineLevel="0" collapsed="false">
      <c r="A433" s="4" t="s">
        <v>617</v>
      </c>
      <c r="B433" s="0" t="s">
        <v>32</v>
      </c>
      <c r="C433" s="19" t="n">
        <f aca="false">a25_ni</f>
        <v>0.368792</v>
      </c>
      <c r="D433" s="19" t="n">
        <f aca="false">a26_ni</f>
        <v>0.510907</v>
      </c>
      <c r="E433" s="19" t="n">
        <f aca="false">E432*(1-(tx))</f>
        <v>0.688184533314668</v>
      </c>
      <c r="F433" s="19" t="n">
        <f aca="false">F432*(1-(tx))</f>
        <v>0.802207825561825</v>
      </c>
      <c r="G433" s="19" t="n">
        <f aca="false">G432*(1-(tx))</f>
        <v>0.864595363214661</v>
      </c>
    </row>
    <row r="434" customFormat="false" ht="15" hidden="false" customHeight="false" outlineLevel="0" collapsed="false">
      <c r="A434" s="4" t="s">
        <v>658</v>
      </c>
      <c r="B434" s="0" t="s">
        <v>65</v>
      </c>
      <c r="C434" s="15" t="n">
        <f aca="false">C433/C421</f>
        <v>0.107855142254602</v>
      </c>
      <c r="D434" s="15" t="n">
        <f aca="false">D433/D421</f>
        <v>0.110083241095801</v>
      </c>
      <c r="E434" s="15" t="n">
        <f aca="false">E433/E421</f>
        <v>0.110317333414074</v>
      </c>
      <c r="F434" s="15" t="n">
        <f aca="false">F433/F421</f>
        <v>0.110890376654208</v>
      </c>
      <c r="G434" s="15" t="n">
        <f aca="false">G433/G421</f>
        <v>0.111159228068275</v>
      </c>
    </row>
    <row r="435" customFormat="false" ht="15" hidden="false" customHeight="false" outlineLevel="0" collapsed="false">
      <c r="A435" s="4" t="s">
        <v>559</v>
      </c>
      <c r="B435" s="4" t="s">
        <v>307</v>
      </c>
      <c r="C435" s="16" t="n">
        <f aca="false">a25_sh</f>
        <v>0.036267</v>
      </c>
      <c r="D435" s="16" t="n">
        <f aca="false">a26_sh</f>
        <v>0.036252</v>
      </c>
      <c r="E435" s="16" t="n">
        <f aca="false">sh_q1*(1+sh_g)</f>
        <v>0.0363</v>
      </c>
      <c r="F435" s="16" t="n">
        <f aca="false">E435*(1+sh_g)</f>
        <v>0.0363</v>
      </c>
      <c r="G435" s="16" t="n">
        <f aca="false">F435*(1+sh_g)</f>
        <v>0.0363</v>
      </c>
    </row>
    <row r="436" customFormat="false" ht="15" hidden="false" customHeight="false" outlineLevel="0" collapsed="false">
      <c r="A436" s="0" t="s">
        <v>618</v>
      </c>
      <c r="B436" s="0" t="s">
        <v>217</v>
      </c>
      <c r="C436" s="19" t="n">
        <f aca="false">C433/C435</f>
        <v>10.1688035955552</v>
      </c>
      <c r="D436" s="19" t="n">
        <f aca="false">D433/D435</f>
        <v>14.0932086505572</v>
      </c>
      <c r="E436" s="19" t="n">
        <f aca="false">E433/E435</f>
        <v>18.9582516064647</v>
      </c>
      <c r="F436" s="19" t="n">
        <f aca="false">F433/F435</f>
        <v>22.0993891339346</v>
      </c>
      <c r="G436" s="19" t="n">
        <f aca="false">G433/G435</f>
        <v>23.8180540830485</v>
      </c>
    </row>
    <row r="437" customFormat="false" ht="17.15" hidden="false" customHeight="false" outlineLevel="0" collapsed="false">
      <c r="A437" s="0" t="s">
        <v>659</v>
      </c>
      <c r="B437" s="0" t="s">
        <v>65</v>
      </c>
      <c r="D437" s="15" t="n">
        <f aca="false">D436/C436-1</f>
        <v>0.385925936923139</v>
      </c>
      <c r="E437" s="15" t="n">
        <f aca="false">E436/D436-1</f>
        <v>0.345204777459611</v>
      </c>
      <c r="F437" s="15" t="n">
        <f aca="false">F436/E436-1</f>
        <v>0.165687089330473</v>
      </c>
      <c r="G437" s="15" t="n">
        <f aca="false">G436/F436-1</f>
        <v>0.0777697943910514</v>
      </c>
    </row>
    <row r="440" customFormat="false" ht="17.15" hidden="false" customHeight="false" outlineLevel="0" collapsed="false">
      <c r="A440" s="3" t="s">
        <v>947</v>
      </c>
    </row>
    <row r="441" customFormat="false" ht="17.15" hidden="false" customHeight="false" outlineLevel="0" collapsed="false">
      <c r="A441" s="5" t="s">
        <v>21</v>
      </c>
      <c r="B441" s="5" t="s">
        <v>22</v>
      </c>
      <c r="C441" s="13" t="s">
        <v>528</v>
      </c>
      <c r="D441" s="13" t="s">
        <v>600</v>
      </c>
      <c r="E441" s="13" t="s">
        <v>601</v>
      </c>
      <c r="F441" s="13" t="s">
        <v>602</v>
      </c>
      <c r="G441" s="13" t="s">
        <v>603</v>
      </c>
      <c r="H441" s="5" t="s">
        <v>534</v>
      </c>
    </row>
    <row r="442" customFormat="false" ht="17.15" hidden="false" customHeight="false" outlineLevel="0" collapsed="false">
      <c r="A442" s="1" t="s">
        <v>628</v>
      </c>
    </row>
    <row r="443" customFormat="false" ht="17.15" hidden="false" customHeight="false" outlineLevel="0" collapsed="false">
      <c r="A443" s="0" t="s">
        <v>629</v>
      </c>
      <c r="B443" s="0" t="s">
        <v>32</v>
      </c>
      <c r="D443" s="19" t="n">
        <f aca="false">mplB_26*1</f>
        <v>29.753262</v>
      </c>
      <c r="E443" s="19" t="n">
        <f aca="false">mplB_27*1*1</f>
        <v>54.688309</v>
      </c>
      <c r="F443" s="19" t="n">
        <f aca="false">mplB_28*um28_B*1</f>
        <v>48.9706</v>
      </c>
      <c r="G443" s="19" t="n">
        <f aca="false">mplB_29*um29_B*1</f>
        <v>66.987208</v>
      </c>
      <c r="H443" s="4" t="s">
        <v>630</v>
      </c>
    </row>
    <row r="444" customFormat="false" ht="17.15" hidden="false" customHeight="false" outlineLevel="0" collapsed="false">
      <c r="A444" s="0" t="s">
        <v>631</v>
      </c>
      <c r="B444" s="0" t="s">
        <v>32</v>
      </c>
      <c r="D444" s="19" t="n">
        <f aca="false">mcpB_26*1</f>
        <v>0.300538</v>
      </c>
      <c r="E444" s="19" t="n">
        <f aca="false">mcpB_27*1</f>
        <v>1.691391</v>
      </c>
      <c r="F444" s="19" t="n">
        <f aca="false">mcpB_28*um28_B</f>
        <v>2.5774</v>
      </c>
      <c r="G444" s="19" t="n">
        <f aca="false">mcpB_29*um29_B</f>
        <v>4.992628</v>
      </c>
    </row>
    <row r="445" customFormat="false" ht="17.15" hidden="false" customHeight="false" outlineLevel="0" collapsed="false">
      <c r="A445" s="0" t="s">
        <v>632</v>
      </c>
      <c r="B445" s="0" t="s">
        <v>65</v>
      </c>
      <c r="D445" s="15" t="n">
        <f aca="false">tr_cy26/D443</f>
        <v>0.0423521320116093</v>
      </c>
      <c r="H445" s="7" t="s">
        <v>633</v>
      </c>
    </row>
    <row r="446" customFormat="false" ht="17.15" hidden="false" customHeight="false" outlineLevel="0" collapsed="false">
      <c r="A446" s="4" t="s">
        <v>634</v>
      </c>
      <c r="B446" s="0" t="s">
        <v>76</v>
      </c>
      <c r="D446" s="8" t="n">
        <f aca="false">1</f>
        <v>1</v>
      </c>
      <c r="E446" s="8" t="n">
        <f aca="false">rel_27</f>
        <v>1</v>
      </c>
      <c r="F446" s="8" t="n">
        <f aca="false">rel_28</f>
        <v>1</v>
      </c>
      <c r="G446" s="8" t="n">
        <f aca="false">rel_29</f>
        <v>0.95</v>
      </c>
    </row>
    <row r="447" customFormat="false" ht="15" hidden="false" customHeight="false" outlineLevel="0" collapsed="false">
      <c r="A447" s="4" t="s">
        <v>635</v>
      </c>
      <c r="B447" s="0" t="s">
        <v>65</v>
      </c>
      <c r="D447" s="15" t="n">
        <f aca="false">$D$445*D446</f>
        <v>0.0423521320116093</v>
      </c>
      <c r="E447" s="15" t="n">
        <f aca="false">$D$445*E446</f>
        <v>0.0423521320116093</v>
      </c>
      <c r="F447" s="15" t="n">
        <f aca="false">$D$445*F446</f>
        <v>0.0423521320116093</v>
      </c>
      <c r="G447" s="15" t="n">
        <f aca="false">$D$445*G446</f>
        <v>0.0402345254110289</v>
      </c>
    </row>
    <row r="448" customFormat="false" ht="15" hidden="false" customHeight="false" outlineLevel="0" collapsed="false">
      <c r="A448" s="4" t="s">
        <v>636</v>
      </c>
      <c r="B448" s="0" t="s">
        <v>76</v>
      </c>
      <c r="D448" s="8" t="n">
        <f aca="false">1</f>
        <v>1</v>
      </c>
      <c r="E448" s="8" t="n">
        <f aca="false">pxr_27</f>
        <v>1</v>
      </c>
      <c r="F448" s="8" t="n">
        <f aca="false">pxr_28</f>
        <v>1</v>
      </c>
      <c r="G448" s="8" t="n">
        <f aca="false">pxr_29</f>
        <v>1</v>
      </c>
    </row>
    <row r="449" customFormat="false" ht="17.15" hidden="false" customHeight="false" outlineLevel="0" collapsed="false">
      <c r="A449" s="0" t="s">
        <v>637</v>
      </c>
      <c r="B449" s="0" t="s">
        <v>65</v>
      </c>
      <c r="D449" s="15" t="n">
        <f aca="false">0</f>
        <v>0</v>
      </c>
      <c r="E449" s="15" t="n">
        <f aca="false">cpo_27</f>
        <v>0.05</v>
      </c>
      <c r="F449" s="15" t="n">
        <f aca="false">cpo_28</f>
        <v>0.1</v>
      </c>
      <c r="G449" s="15" t="n">
        <f aca="false">cpo_29</f>
        <v>0.15</v>
      </c>
    </row>
    <row r="450" customFormat="false" ht="15" hidden="false" customHeight="false" outlineLevel="0" collapsed="false">
      <c r="A450" s="4" t="s">
        <v>638</v>
      </c>
      <c r="B450" s="0" t="s">
        <v>32</v>
      </c>
      <c r="D450" s="19" t="n">
        <f aca="false">tr_cy26</f>
        <v>1.26011408</v>
      </c>
      <c r="E450" s="19" t="n">
        <f aca="false">E443*E447*E448+E444*E449</f>
        <v>2.40073603225968</v>
      </c>
      <c r="F450" s="19" t="n">
        <f aca="false">F443*F447*F448+F444*F449</f>
        <v>2.33174931588772</v>
      </c>
      <c r="G450" s="19" t="n">
        <f aca="false">G443*G447*G448+G444*G449</f>
        <v>3.44409272248988</v>
      </c>
    </row>
    <row r="451" customFormat="false" ht="17.15" hidden="false" customHeight="false" outlineLevel="0" collapsed="false">
      <c r="A451" s="1" t="s">
        <v>639</v>
      </c>
    </row>
    <row r="452" customFormat="false" ht="17.15" hidden="false" customHeight="false" outlineLevel="0" collapsed="false">
      <c r="A452" s="0" t="s">
        <v>640</v>
      </c>
      <c r="B452" s="0" t="s">
        <v>76</v>
      </c>
      <c r="C452" s="24" t="n">
        <f aca="false">1</f>
        <v>1</v>
      </c>
      <c r="D452" s="24" t="n">
        <f aca="false">1</f>
        <v>1</v>
      </c>
      <c r="E452" s="24" t="n">
        <f aca="false">1</f>
        <v>1</v>
      </c>
      <c r="F452" s="24" t="n">
        <f aca="false">(1-hw_hi)+hw_hi*um28_B</f>
        <v>0.9</v>
      </c>
      <c r="G452" s="24" t="n">
        <f aca="false">(1-hw_hi)*um28_B+hw_hi*um29_B</f>
        <v>0.825</v>
      </c>
      <c r="H452" s="4" t="s">
        <v>641</v>
      </c>
    </row>
    <row r="453" customFormat="false" ht="17.15" hidden="false" customHeight="false" outlineLevel="0" collapsed="false">
      <c r="A453" s="4" t="s">
        <v>642</v>
      </c>
      <c r="B453" s="0" t="s">
        <v>32</v>
      </c>
      <c r="C453" s="19" t="n">
        <f aca="false">a25_tr</f>
        <v>1.16917436338336</v>
      </c>
      <c r="D453" s="19" t="n">
        <f aca="false">a26_tr</f>
        <v>1.163885463</v>
      </c>
      <c r="E453" s="19" t="n">
        <f aca="false">h1_27+hw_hi*E450</f>
        <v>1.87668209612984</v>
      </c>
      <c r="F453" s="19" t="n">
        <f aca="false">(1-hw_hi)*E450+hw_hi*F450</f>
        <v>2.3662426740737</v>
      </c>
      <c r="G453" s="19" t="n">
        <f aca="false">(1-hw_hi)*F450+hw_hi*G450</f>
        <v>2.8879210191888</v>
      </c>
      <c r="H453" s="7" t="s">
        <v>643</v>
      </c>
    </row>
    <row r="454" customFormat="false" ht="17.15" hidden="false" customHeight="false" outlineLevel="0" collapsed="false">
      <c r="A454" s="0" t="s">
        <v>644</v>
      </c>
      <c r="B454" s="0" t="s">
        <v>32</v>
      </c>
      <c r="C454" s="19" t="n">
        <f aca="false">a25_dci</f>
        <v>0.410554710616641</v>
      </c>
      <c r="D454" s="19" t="n">
        <f aca="false">a26_dci</f>
        <v>0.7331</v>
      </c>
      <c r="E454" s="19" t="n">
        <f aca="false">h1dci*(2+h2_dci)</f>
        <v>1.25319348</v>
      </c>
      <c r="F454" s="19" t="n">
        <f aca="false">E454*(1+g_dci_28)</f>
        <v>1.503832176</v>
      </c>
      <c r="G454" s="19" t="n">
        <f aca="false">F454*(1+g_dci_29)</f>
        <v>1.6542153936</v>
      </c>
    </row>
    <row r="455" customFormat="false" ht="17.15" hidden="false" customHeight="false" outlineLevel="0" collapsed="false">
      <c r="A455" s="0" t="s">
        <v>543</v>
      </c>
      <c r="B455" s="0" t="s">
        <v>32</v>
      </c>
      <c r="C455" s="19" t="n">
        <f aca="false">C454*C452</f>
        <v>0.410554710616641</v>
      </c>
      <c r="D455" s="19" t="n">
        <f aca="false">D454*D452</f>
        <v>0.7331</v>
      </c>
      <c r="E455" s="19" t="n">
        <f aca="false">E454*E452</f>
        <v>1.25319348</v>
      </c>
      <c r="F455" s="19" t="n">
        <f aca="false">F454*F452</f>
        <v>1.3534489584</v>
      </c>
      <c r="G455" s="19" t="n">
        <f aca="false">G454*G452</f>
        <v>1.36472769972</v>
      </c>
    </row>
    <row r="456" customFormat="false" ht="17.15" hidden="false" customHeight="false" outlineLevel="0" collapsed="false">
      <c r="A456" s="0" t="s">
        <v>645</v>
      </c>
      <c r="B456" s="0" t="s">
        <v>32</v>
      </c>
      <c r="C456" s="19" t="n">
        <f aca="false">a25_hpc</f>
        <v>0</v>
      </c>
      <c r="D456" s="19" t="n">
        <f aca="false">a26_hpc</f>
        <v>0.3261</v>
      </c>
      <c r="E456" s="19" t="n">
        <f aca="false">h1hpc*(2+h2_hpc)</f>
        <v>0.5669664</v>
      </c>
      <c r="F456" s="19" t="n">
        <f aca="false">E456*(1+g_hpc_28)</f>
        <v>0.65201136</v>
      </c>
      <c r="G456" s="19" t="n">
        <f aca="false">F456*(1+g_hpc_29)</f>
        <v>0.717212496</v>
      </c>
    </row>
    <row r="457" customFormat="false" ht="17.15" hidden="false" customHeight="false" outlineLevel="0" collapsed="false">
      <c r="A457" s="0" t="s">
        <v>546</v>
      </c>
      <c r="B457" s="0" t="s">
        <v>32</v>
      </c>
      <c r="C457" s="19" t="n">
        <f aca="false">C456*C452</f>
        <v>0</v>
      </c>
      <c r="D457" s="19" t="n">
        <f aca="false">D456*D452</f>
        <v>0.3261</v>
      </c>
      <c r="E457" s="19" t="n">
        <f aca="false">E456*E452</f>
        <v>0.5669664</v>
      </c>
      <c r="F457" s="19" t="n">
        <f aca="false">F456*F452</f>
        <v>0.586810224</v>
      </c>
      <c r="G457" s="19" t="n">
        <f aca="false">G456*G452</f>
        <v>0.5917003092</v>
      </c>
    </row>
    <row r="458" customFormat="false" ht="15" hidden="false" customHeight="false" outlineLevel="0" collapsed="false">
      <c r="A458" s="4" t="s">
        <v>537</v>
      </c>
      <c r="B458" s="0" t="s">
        <v>32</v>
      </c>
      <c r="C458" s="19" t="n">
        <f aca="false">C453+C455+C457</f>
        <v>1.579729074</v>
      </c>
      <c r="D458" s="19" t="n">
        <f aca="false">D453+D455+D457</f>
        <v>2.223085463</v>
      </c>
      <c r="E458" s="19" t="n">
        <f aca="false">E453+E455+E457</f>
        <v>3.69684197612984</v>
      </c>
      <c r="F458" s="19" t="n">
        <f aca="false">F453+F455+F457</f>
        <v>4.3065018564737</v>
      </c>
      <c r="G458" s="19" t="n">
        <f aca="false">G453+G455+G457</f>
        <v>4.8443490281088</v>
      </c>
    </row>
    <row r="459" customFormat="false" ht="15" hidden="false" customHeight="false" outlineLevel="0" collapsed="false">
      <c r="A459" s="4" t="s">
        <v>646</v>
      </c>
      <c r="B459" s="0" t="s">
        <v>32</v>
      </c>
      <c r="C459" s="19" t="n">
        <f aca="false">a25_ci</f>
        <v>1.049733389</v>
      </c>
      <c r="D459" s="19" t="n">
        <f aca="false">a26_ci</f>
        <v>1.545485301</v>
      </c>
      <c r="E459" s="19" t="n">
        <f aca="false">h1ci*(2+h2_ci)</f>
        <v>1.7611985244</v>
      </c>
      <c r="F459" s="19" t="n">
        <f aca="false">E459*(1+g_ci_28)</f>
        <v>1.866870435864</v>
      </c>
      <c r="G459" s="19" t="n">
        <f aca="false">F459*(1+g_ci_29)</f>
        <v>1.9602139576572</v>
      </c>
    </row>
    <row r="460" customFormat="false" ht="15" hidden="false" customHeight="false" outlineLevel="0" collapsed="false">
      <c r="A460" s="4" t="s">
        <v>647</v>
      </c>
      <c r="B460" s="0" t="s">
        <v>32</v>
      </c>
      <c r="C460" s="19" t="n">
        <f aca="false">a25_aio</f>
        <v>0.789864537</v>
      </c>
      <c r="D460" s="19" t="n">
        <f aca="false">a26_aio</f>
        <v>0.872526236</v>
      </c>
      <c r="E460" s="19" t="n">
        <f aca="false">h1aio*(2+h2_aio)</f>
        <v>0.9722450688</v>
      </c>
      <c r="F460" s="19" t="n">
        <f aca="false">E460*(1+g_aio_28)</f>
        <v>1.02085732224</v>
      </c>
      <c r="G460" s="19" t="n">
        <f aca="false">F460*(1+g_aio_29)</f>
        <v>1.071900188352</v>
      </c>
    </row>
    <row r="461" customFormat="false" ht="15" hidden="false" customHeight="false" outlineLevel="0" collapsed="false">
      <c r="A461" s="4" t="s">
        <v>535</v>
      </c>
      <c r="B461" s="0" t="s">
        <v>32</v>
      </c>
      <c r="C461" s="19" t="n">
        <f aca="false">C458+C459+C460</f>
        <v>3.419327</v>
      </c>
      <c r="D461" s="19" t="n">
        <f aca="false">D458+D459+D460</f>
        <v>4.641097</v>
      </c>
      <c r="E461" s="19" t="n">
        <f aca="false">E458+E459+E460</f>
        <v>6.43028556932984</v>
      </c>
      <c r="F461" s="19" t="n">
        <f aca="false">F458+F459+F460</f>
        <v>7.1942296145777</v>
      </c>
      <c r="G461" s="19" t="n">
        <f aca="false">G458+G459+G460</f>
        <v>7.876463174118</v>
      </c>
    </row>
    <row r="462" customFormat="false" ht="15" hidden="false" customHeight="false" outlineLevel="0" collapsed="false">
      <c r="A462" s="4" t="s">
        <v>648</v>
      </c>
      <c r="B462" s="0" t="s">
        <v>65</v>
      </c>
      <c r="D462" s="15" t="n">
        <f aca="false">D461/C461-1</f>
        <v>0.357313003406811</v>
      </c>
      <c r="E462" s="15" t="n">
        <f aca="false">E461/D461-1</f>
        <v>0.38550984160207</v>
      </c>
      <c r="F462" s="15" t="n">
        <f aca="false">F461/E461-1</f>
        <v>0.118804061967574</v>
      </c>
      <c r="G462" s="15" t="n">
        <f aca="false">G461/F461-1</f>
        <v>0.0948306623627753</v>
      </c>
    </row>
    <row r="463" customFormat="false" ht="17.15" hidden="false" customHeight="false" outlineLevel="0" collapsed="false">
      <c r="A463" s="4" t="s">
        <v>649</v>
      </c>
      <c r="B463" s="0" t="s">
        <v>65</v>
      </c>
      <c r="C463" s="15" t="n">
        <f aca="false">C458/C461</f>
        <v>0.462</v>
      </c>
      <c r="D463" s="15" t="n">
        <f aca="false">D458/D461</f>
        <v>0.479</v>
      </c>
      <c r="E463" s="15" t="n">
        <f aca="false">E458/E461</f>
        <v>0.574911010758597</v>
      </c>
      <c r="F463" s="15" t="n">
        <f aca="false">F458/F461</f>
        <v>0.59860500528749</v>
      </c>
      <c r="G463" s="15" t="n">
        <f aca="false">G458/G461</f>
        <v>0.615041157562609</v>
      </c>
    </row>
    <row r="464" customFormat="false" ht="17.15" hidden="false" customHeight="false" outlineLevel="0" collapsed="false">
      <c r="A464" s="1" t="s">
        <v>650</v>
      </c>
    </row>
    <row r="465" customFormat="false" ht="17.15" hidden="false" customHeight="false" outlineLevel="0" collapsed="false">
      <c r="A465" s="4" t="s">
        <v>615</v>
      </c>
      <c r="B465" s="0" t="s">
        <v>65</v>
      </c>
      <c r="C465" s="15" t="n">
        <f aca="false">a25_gp/a25_rev</f>
        <v>0.123943980789202</v>
      </c>
      <c r="D465" s="15" t="n">
        <f aca="false">a26_gp/a26_rev</f>
        <v>0.122378394590762</v>
      </c>
      <c r="E465" s="15" t="n">
        <f aca="false">gm_27</f>
        <v>0.123</v>
      </c>
      <c r="F465" s="15" t="n">
        <f aca="false">gm_28</f>
        <v>0.123</v>
      </c>
      <c r="G465" s="15" t="n">
        <f aca="false">gm_29</f>
        <v>0.123</v>
      </c>
      <c r="H465" s="7" t="s">
        <v>651</v>
      </c>
    </row>
    <row r="466" customFormat="false" ht="15" hidden="false" customHeight="false" outlineLevel="0" collapsed="false">
      <c r="A466" s="4" t="s">
        <v>652</v>
      </c>
      <c r="B466" s="0" t="s">
        <v>32</v>
      </c>
      <c r="C466" s="19" t="n">
        <f aca="false">C461*C465</f>
        <v>0.423805</v>
      </c>
      <c r="D466" s="19" t="n">
        <f aca="false">D461*D465</f>
        <v>0.56797</v>
      </c>
      <c r="E466" s="19" t="n">
        <f aca="false">E461*E465</f>
        <v>0.790925125027571</v>
      </c>
      <c r="F466" s="19" t="n">
        <f aca="false">F461*F465</f>
        <v>0.884890242593057</v>
      </c>
      <c r="G466" s="19" t="n">
        <f aca="false">G461*G465</f>
        <v>0.968804970416514</v>
      </c>
    </row>
    <row r="467" customFormat="false" ht="15" hidden="false" customHeight="false" outlineLevel="0" collapsed="false">
      <c r="A467" s="4" t="s">
        <v>653</v>
      </c>
      <c r="B467" s="0" t="s">
        <v>32</v>
      </c>
      <c r="C467" s="19" t="n">
        <f aca="false">a25_opx</f>
        <v>0.063093</v>
      </c>
      <c r="D467" s="19" t="n">
        <f aca="false">a26_opx</f>
        <v>0.0679069999999999</v>
      </c>
      <c r="E467" s="19" t="n">
        <f aca="false">D467*(1+MAX(0,phi*E462))</f>
        <v>0.0734971839704346</v>
      </c>
      <c r="F467" s="19" t="n">
        <f aca="false">E467*(1+MAX(0,phi*F462))</f>
        <v>0.0753617513222557</v>
      </c>
      <c r="G467" s="19" t="n">
        <f aca="false">F467*(1+MAX(0,phi*G462))</f>
        <v>0.0768878262343024</v>
      </c>
    </row>
    <row r="468" customFormat="false" ht="15" hidden="false" customHeight="false" outlineLevel="0" collapsed="false">
      <c r="A468" s="4" t="s">
        <v>654</v>
      </c>
      <c r="B468" s="0" t="s">
        <v>32</v>
      </c>
      <c r="C468" s="14" t="n">
        <f aca="false">C467</f>
        <v>0.063093</v>
      </c>
      <c r="D468" s="14" t="n">
        <f aca="false">D467</f>
        <v>0.0679069999999999</v>
      </c>
      <c r="E468" s="14" t="n">
        <f aca="false">E467+0*E461</f>
        <v>0.0734971839704346</v>
      </c>
      <c r="F468" s="14" t="n">
        <f aca="false">F467+0*F461</f>
        <v>0.0753617513222557</v>
      </c>
      <c r="G468" s="14" t="n">
        <f aca="false">G467+0*G461</f>
        <v>0.0768878262343024</v>
      </c>
    </row>
    <row r="469" customFormat="false" ht="15" hidden="false" customHeight="false" outlineLevel="0" collapsed="false">
      <c r="A469" s="4" t="s">
        <v>655</v>
      </c>
      <c r="B469" s="0" t="s">
        <v>32</v>
      </c>
      <c r="C469" s="19" t="n">
        <f aca="false">C466-C468</f>
        <v>0.360712</v>
      </c>
      <c r="D469" s="19" t="n">
        <f aca="false">D466-D468</f>
        <v>0.500063</v>
      </c>
      <c r="E469" s="19" t="n">
        <f aca="false">E466-E468</f>
        <v>0.717427941057136</v>
      </c>
      <c r="F469" s="19" t="n">
        <f aca="false">F466-F468</f>
        <v>0.809528491270801</v>
      </c>
      <c r="G469" s="19" t="n">
        <f aca="false">G466-G468</f>
        <v>0.891917144182211</v>
      </c>
    </row>
    <row r="470" customFormat="false" ht="15" hidden="false" customHeight="false" outlineLevel="0" collapsed="false">
      <c r="A470" s="4" t="s">
        <v>616</v>
      </c>
      <c r="B470" s="0" t="s">
        <v>65</v>
      </c>
      <c r="C470" s="15" t="n">
        <f aca="false">C469/C461</f>
        <v>0.10549210414798</v>
      </c>
      <c r="D470" s="15" t="n">
        <f aca="false">D469/D461</f>
        <v>0.107746724535169</v>
      </c>
      <c r="E470" s="15" t="n">
        <f aca="false">E469/E461</f>
        <v>0.111570152417337</v>
      </c>
      <c r="F470" s="15" t="n">
        <f aca="false">F469/F461</f>
        <v>0.112524694740136</v>
      </c>
      <c r="G470" s="15" t="n">
        <f aca="false">G469/G461</f>
        <v>0.113238280236369</v>
      </c>
    </row>
    <row r="471" customFormat="false" ht="15" hidden="false" customHeight="false" outlineLevel="0" collapsed="false">
      <c r="A471" s="4" t="s">
        <v>656</v>
      </c>
      <c r="B471" s="0" t="s">
        <v>32</v>
      </c>
      <c r="C471" s="14" t="n">
        <f aca="false">a25_oth</f>
        <v>0.030733</v>
      </c>
      <c r="D471" s="14" t="n">
        <f aca="false">a26_oth</f>
        <v>0.0354829999999999</v>
      </c>
      <c r="E471" s="14" t="n">
        <f aca="false">int_f</f>
        <v>0.03</v>
      </c>
      <c r="F471" s="14" t="n">
        <f aca="false">int_f</f>
        <v>0.03</v>
      </c>
      <c r="G471" s="14" t="n">
        <f aca="false">int_f</f>
        <v>0.03</v>
      </c>
    </row>
    <row r="472" customFormat="false" ht="15" hidden="false" customHeight="false" outlineLevel="0" collapsed="false">
      <c r="A472" s="4" t="s">
        <v>657</v>
      </c>
      <c r="B472" s="0" t="s">
        <v>32</v>
      </c>
      <c r="C472" s="19" t="n">
        <f aca="false">C469+C471</f>
        <v>0.391445</v>
      </c>
      <c r="D472" s="19" t="n">
        <f aca="false">D469+D471</f>
        <v>0.535546</v>
      </c>
      <c r="E472" s="19" t="n">
        <f aca="false">E469+E471</f>
        <v>0.747427941057136</v>
      </c>
      <c r="F472" s="19" t="n">
        <f aca="false">F469+F471</f>
        <v>0.839528491270801</v>
      </c>
      <c r="G472" s="19" t="n">
        <f aca="false">G469+G471</f>
        <v>0.921917144182211</v>
      </c>
    </row>
    <row r="473" customFormat="false" ht="15" hidden="false" customHeight="false" outlineLevel="0" collapsed="false">
      <c r="A473" s="4" t="s">
        <v>617</v>
      </c>
      <c r="B473" s="0" t="s">
        <v>32</v>
      </c>
      <c r="C473" s="19" t="n">
        <f aca="false">a25_ni</f>
        <v>0.368792</v>
      </c>
      <c r="D473" s="19" t="n">
        <f aca="false">a26_ni</f>
        <v>0.510907</v>
      </c>
      <c r="E473" s="19" t="n">
        <f aca="false">E472*(1-(tx))</f>
        <v>0.710056544004279</v>
      </c>
      <c r="F473" s="19" t="n">
        <f aca="false">F472*(1-(tx))</f>
        <v>0.797552066707261</v>
      </c>
      <c r="G473" s="19" t="n">
        <f aca="false">G472*(1-(tx))</f>
        <v>0.875821286973101</v>
      </c>
    </row>
    <row r="474" customFormat="false" ht="15" hidden="false" customHeight="false" outlineLevel="0" collapsed="false">
      <c r="A474" s="4" t="s">
        <v>658</v>
      </c>
      <c r="B474" s="0" t="s">
        <v>65</v>
      </c>
      <c r="C474" s="15" t="n">
        <f aca="false">C473/C461</f>
        <v>0.107855142254602</v>
      </c>
      <c r="D474" s="15" t="n">
        <f aca="false">D473/D461</f>
        <v>0.110083241095801</v>
      </c>
      <c r="E474" s="15" t="n">
        <f aca="false">E473/E461</f>
        <v>0.110423796322669</v>
      </c>
      <c r="F474" s="15" t="n">
        <f aca="false">F473/F461</f>
        <v>0.110859968257224</v>
      </c>
      <c r="G474" s="15" t="n">
        <f aca="false">G473/G461</f>
        <v>0.111194741549868</v>
      </c>
    </row>
    <row r="475" customFormat="false" ht="15" hidden="false" customHeight="false" outlineLevel="0" collapsed="false">
      <c r="A475" s="4" t="s">
        <v>559</v>
      </c>
      <c r="B475" s="4" t="s">
        <v>307</v>
      </c>
      <c r="C475" s="16" t="n">
        <f aca="false">a25_sh</f>
        <v>0.036267</v>
      </c>
      <c r="D475" s="16" t="n">
        <f aca="false">a26_sh</f>
        <v>0.036252</v>
      </c>
      <c r="E475" s="16" t="n">
        <f aca="false">sh_q1*(1+sh_g)</f>
        <v>0.0363</v>
      </c>
      <c r="F475" s="16" t="n">
        <f aca="false">E475*(1+sh_g)</f>
        <v>0.0363</v>
      </c>
      <c r="G475" s="16" t="n">
        <f aca="false">F475*(1+sh_g)</f>
        <v>0.0363</v>
      </c>
    </row>
    <row r="476" customFormat="false" ht="15" hidden="false" customHeight="false" outlineLevel="0" collapsed="false">
      <c r="A476" s="0" t="s">
        <v>618</v>
      </c>
      <c r="B476" s="0" t="s">
        <v>217</v>
      </c>
      <c r="C476" s="19" t="n">
        <f aca="false">C473/C475</f>
        <v>10.1688035955552</v>
      </c>
      <c r="D476" s="19" t="n">
        <f aca="false">D473/D475</f>
        <v>14.0932086505572</v>
      </c>
      <c r="E476" s="19" t="n">
        <f aca="false">E473/E475</f>
        <v>19.560786336206</v>
      </c>
      <c r="F476" s="19" t="n">
        <f aca="false">F473/F475</f>
        <v>21.9711313142496</v>
      </c>
      <c r="G476" s="19" t="n">
        <f aca="false">G473/G475</f>
        <v>24.1273081810772</v>
      </c>
    </row>
    <row r="477" customFormat="false" ht="17.15" hidden="false" customHeight="false" outlineLevel="0" collapsed="false">
      <c r="A477" s="0" t="s">
        <v>659</v>
      </c>
      <c r="B477" s="0" t="s">
        <v>65</v>
      </c>
      <c r="D477" s="15" t="n">
        <f aca="false">D476/C476-1</f>
        <v>0.385925936923139</v>
      </c>
      <c r="E477" s="15" t="n">
        <f aca="false">E476/D476-1</f>
        <v>0.387958329520131</v>
      </c>
      <c r="F477" s="15" t="n">
        <f aca="false">F476/E476-1</f>
        <v>0.123223317131283</v>
      </c>
      <c r="G477" s="15" t="n">
        <f aca="false">G476/F476-1</f>
        <v>0.0981368158056166</v>
      </c>
    </row>
    <row r="480" customFormat="false" ht="17.15" hidden="false" customHeight="false" outlineLevel="0" collapsed="false">
      <c r="A480" s="3" t="s">
        <v>948</v>
      </c>
    </row>
    <row r="481" customFormat="false" ht="17.15" hidden="false" customHeight="false" outlineLevel="0" collapsed="false">
      <c r="A481" s="5" t="s">
        <v>21</v>
      </c>
      <c r="B481" s="5" t="s">
        <v>22</v>
      </c>
      <c r="C481" s="13" t="s">
        <v>528</v>
      </c>
      <c r="D481" s="13" t="s">
        <v>600</v>
      </c>
      <c r="E481" s="13" t="s">
        <v>601</v>
      </c>
      <c r="F481" s="13" t="s">
        <v>602</v>
      </c>
      <c r="G481" s="13" t="s">
        <v>603</v>
      </c>
      <c r="H481" s="5" t="s">
        <v>534</v>
      </c>
    </row>
    <row r="482" customFormat="false" ht="17.15" hidden="false" customHeight="false" outlineLevel="0" collapsed="false">
      <c r="A482" s="1" t="s">
        <v>628</v>
      </c>
    </row>
    <row r="483" customFormat="false" ht="17.15" hidden="false" customHeight="false" outlineLevel="0" collapsed="false">
      <c r="A483" s="0" t="s">
        <v>629</v>
      </c>
      <c r="B483" s="0" t="s">
        <v>32</v>
      </c>
      <c r="D483" s="19" t="n">
        <f aca="false">mplB_26*1</f>
        <v>29.753262</v>
      </c>
      <c r="E483" s="19" t="n">
        <f aca="false">mplB_27*1*1</f>
        <v>54.688309</v>
      </c>
      <c r="F483" s="19" t="n">
        <f aca="false">mplB_28*um28_B*1</f>
        <v>48.9706</v>
      </c>
      <c r="G483" s="19" t="n">
        <f aca="false">mplB_29*um29_B*1</f>
        <v>66.987208</v>
      </c>
      <c r="H483" s="4" t="s">
        <v>630</v>
      </c>
    </row>
    <row r="484" customFormat="false" ht="17.15" hidden="false" customHeight="false" outlineLevel="0" collapsed="false">
      <c r="A484" s="0" t="s">
        <v>631</v>
      </c>
      <c r="B484" s="0" t="s">
        <v>32</v>
      </c>
      <c r="D484" s="19" t="n">
        <f aca="false">mcpB_26*1</f>
        <v>0.300538</v>
      </c>
      <c r="E484" s="19" t="n">
        <f aca="false">mcpB_27*1</f>
        <v>1.691391</v>
      </c>
      <c r="F484" s="19" t="n">
        <f aca="false">mcpB_28*um28_B</f>
        <v>2.5774</v>
      </c>
      <c r="G484" s="19" t="n">
        <f aca="false">mcpB_29*um29_B</f>
        <v>4.992628</v>
      </c>
    </row>
    <row r="485" customFormat="false" ht="17.15" hidden="false" customHeight="false" outlineLevel="0" collapsed="false">
      <c r="A485" s="0" t="s">
        <v>632</v>
      </c>
      <c r="B485" s="0" t="s">
        <v>65</v>
      </c>
      <c r="D485" s="15" t="n">
        <f aca="false">tr_cy26/D483</f>
        <v>0.0423521320116093</v>
      </c>
      <c r="H485" s="7" t="s">
        <v>633</v>
      </c>
    </row>
    <row r="486" customFormat="false" ht="17.15" hidden="false" customHeight="false" outlineLevel="0" collapsed="false">
      <c r="A486" s="4" t="s">
        <v>634</v>
      </c>
      <c r="B486" s="0" t="s">
        <v>76</v>
      </c>
      <c r="D486" s="8" t="n">
        <f aca="false">1</f>
        <v>1</v>
      </c>
      <c r="E486" s="8" t="n">
        <f aca="false">rel_27</f>
        <v>1</v>
      </c>
      <c r="F486" s="8" t="n">
        <f aca="false">rel_28</f>
        <v>1</v>
      </c>
      <c r="G486" s="8" t="n">
        <f aca="false">rel_29</f>
        <v>0.95</v>
      </c>
    </row>
    <row r="487" customFormat="false" ht="15" hidden="false" customHeight="false" outlineLevel="0" collapsed="false">
      <c r="A487" s="4" t="s">
        <v>635</v>
      </c>
      <c r="B487" s="0" t="s">
        <v>65</v>
      </c>
      <c r="D487" s="15" t="n">
        <f aca="false">$D$485*D486</f>
        <v>0.0423521320116093</v>
      </c>
      <c r="E487" s="15" t="n">
        <f aca="false">$D$485*E486</f>
        <v>0.0423521320116093</v>
      </c>
      <c r="F487" s="15" t="n">
        <f aca="false">$D$485*F486</f>
        <v>0.0423521320116093</v>
      </c>
      <c r="G487" s="15" t="n">
        <f aca="false">$D$485*G486</f>
        <v>0.0402345254110289</v>
      </c>
    </row>
    <row r="488" customFormat="false" ht="15" hidden="false" customHeight="false" outlineLevel="0" collapsed="false">
      <c r="A488" s="4" t="s">
        <v>636</v>
      </c>
      <c r="B488" s="0" t="s">
        <v>76</v>
      </c>
      <c r="D488" s="8" t="n">
        <f aca="false">1</f>
        <v>1</v>
      </c>
      <c r="E488" s="8" t="n">
        <f aca="false">pxr_27</f>
        <v>1</v>
      </c>
      <c r="F488" s="8" t="n">
        <f aca="false">pxr_28</f>
        <v>1</v>
      </c>
      <c r="G488" s="8" t="n">
        <f aca="false">pxr_29</f>
        <v>1</v>
      </c>
    </row>
    <row r="489" customFormat="false" ht="17.15" hidden="false" customHeight="false" outlineLevel="0" collapsed="false">
      <c r="A489" s="0" t="s">
        <v>637</v>
      </c>
      <c r="B489" s="0" t="s">
        <v>65</v>
      </c>
      <c r="D489" s="15" t="n">
        <f aca="false">0</f>
        <v>0</v>
      </c>
      <c r="E489" s="15" t="n">
        <f aca="false">cpo_27</f>
        <v>0.05</v>
      </c>
      <c r="F489" s="15" t="n">
        <f aca="false">cpo_28</f>
        <v>0.1</v>
      </c>
      <c r="G489" s="15" t="n">
        <f aca="false">cpo_29</f>
        <v>0.15</v>
      </c>
    </row>
    <row r="490" customFormat="false" ht="15" hidden="false" customHeight="false" outlineLevel="0" collapsed="false">
      <c r="A490" s="4" t="s">
        <v>638</v>
      </c>
      <c r="B490" s="0" t="s">
        <v>32</v>
      </c>
      <c r="D490" s="19" t="n">
        <f aca="false">tr_cy26</f>
        <v>1.26011408</v>
      </c>
      <c r="E490" s="19" t="n">
        <f aca="false">E483*E487*E488+E484*E489</f>
        <v>2.40073603225968</v>
      </c>
      <c r="F490" s="19" t="n">
        <f aca="false">F483*F487*F488+F484*F489</f>
        <v>2.33174931588772</v>
      </c>
      <c r="G490" s="19" t="n">
        <f aca="false">G483*G487*G488+G484*G489</f>
        <v>3.44409272248988</v>
      </c>
    </row>
    <row r="491" customFormat="false" ht="17.15" hidden="false" customHeight="false" outlineLevel="0" collapsed="false">
      <c r="A491" s="1" t="s">
        <v>639</v>
      </c>
    </row>
    <row r="492" customFormat="false" ht="17.15" hidden="false" customHeight="false" outlineLevel="0" collapsed="false">
      <c r="A492" s="0" t="s">
        <v>640</v>
      </c>
      <c r="B492" s="0" t="s">
        <v>76</v>
      </c>
      <c r="C492" s="24" t="n">
        <f aca="false">1</f>
        <v>1</v>
      </c>
      <c r="D492" s="24" t="n">
        <f aca="false">1</f>
        <v>1</v>
      </c>
      <c r="E492" s="24" t="n">
        <f aca="false">1</f>
        <v>1</v>
      </c>
      <c r="F492" s="24" t="n">
        <f aca="false">(1-hw)+hw*um28_B</f>
        <v>0.908</v>
      </c>
      <c r="G492" s="24" t="n">
        <f aca="false">(1-hw)*um28_B+hw*um29_B</f>
        <v>0.823</v>
      </c>
      <c r="H492" s="4" t="s">
        <v>641</v>
      </c>
    </row>
    <row r="493" customFormat="false" ht="17.15" hidden="false" customHeight="false" outlineLevel="0" collapsed="false">
      <c r="A493" s="4" t="s">
        <v>642</v>
      </c>
      <c r="B493" s="0" t="s">
        <v>32</v>
      </c>
      <c r="C493" s="19" t="n">
        <f aca="false">a25_tr</f>
        <v>1.16917436338336</v>
      </c>
      <c r="D493" s="19" t="n">
        <f aca="false">a26_tr</f>
        <v>1.163885463</v>
      </c>
      <c r="E493" s="19" t="n">
        <f aca="false">h1_27+hw*E490</f>
        <v>1.78065265483945</v>
      </c>
      <c r="F493" s="19" t="n">
        <f aca="false">(1-hw)*E490+hw*F490</f>
        <v>2.36900214272858</v>
      </c>
      <c r="G493" s="19" t="n">
        <f aca="false">(1-hw)*F490+hw*G490</f>
        <v>2.84342728292471</v>
      </c>
      <c r="H493" s="7" t="s">
        <v>643</v>
      </c>
    </row>
    <row r="494" customFormat="false" ht="17.15" hidden="false" customHeight="false" outlineLevel="0" collapsed="false">
      <c r="A494" s="0" t="s">
        <v>644</v>
      </c>
      <c r="B494" s="0" t="s">
        <v>32</v>
      </c>
      <c r="C494" s="19" t="n">
        <f aca="false">a25_dci</f>
        <v>0.410554710616641</v>
      </c>
      <c r="D494" s="19" t="n">
        <f aca="false">a26_dci</f>
        <v>0.7331</v>
      </c>
      <c r="E494" s="19" t="n">
        <f aca="false">h1dci*(2+h2_dci_lo)</f>
        <v>1.182258</v>
      </c>
      <c r="F494" s="19" t="n">
        <f aca="false">E494*(1+GDLO_28)</f>
        <v>1.2413709</v>
      </c>
      <c r="G494" s="19" t="n">
        <f aca="false">F494*(1+GDLO_29)</f>
        <v>1.2413709</v>
      </c>
    </row>
    <row r="495" customFormat="false" ht="17.15" hidden="false" customHeight="false" outlineLevel="0" collapsed="false">
      <c r="A495" s="0" t="s">
        <v>543</v>
      </c>
      <c r="B495" s="0" t="s">
        <v>32</v>
      </c>
      <c r="C495" s="19" t="n">
        <f aca="false">C494*C492</f>
        <v>0.410554710616641</v>
      </c>
      <c r="D495" s="19" t="n">
        <f aca="false">D494*D492</f>
        <v>0.7331</v>
      </c>
      <c r="E495" s="19" t="n">
        <f aca="false">E494*E492</f>
        <v>1.182258</v>
      </c>
      <c r="F495" s="19" t="n">
        <f aca="false">F494*F492</f>
        <v>1.1271647772</v>
      </c>
      <c r="G495" s="19" t="n">
        <f aca="false">G494*G492</f>
        <v>1.0216482507</v>
      </c>
    </row>
    <row r="496" customFormat="false" ht="17.15" hidden="false" customHeight="false" outlineLevel="0" collapsed="false">
      <c r="A496" s="0" t="s">
        <v>645</v>
      </c>
      <c r="B496" s="0" t="s">
        <v>32</v>
      </c>
      <c r="C496" s="19" t="n">
        <f aca="false">a25_hpc</f>
        <v>0</v>
      </c>
      <c r="D496" s="19" t="n">
        <f aca="false">a26_hpc</f>
        <v>0.3261</v>
      </c>
      <c r="E496" s="19" t="n">
        <f aca="false">h1hpc*(2+h2_hpc)</f>
        <v>0.5669664</v>
      </c>
      <c r="F496" s="19" t="n">
        <f aca="false">E496*(1+g_hpc_28)</f>
        <v>0.65201136</v>
      </c>
      <c r="G496" s="19" t="n">
        <f aca="false">F496*(1+g_hpc_29)</f>
        <v>0.717212496</v>
      </c>
    </row>
    <row r="497" customFormat="false" ht="17.15" hidden="false" customHeight="false" outlineLevel="0" collapsed="false">
      <c r="A497" s="0" t="s">
        <v>546</v>
      </c>
      <c r="B497" s="0" t="s">
        <v>32</v>
      </c>
      <c r="C497" s="19" t="n">
        <f aca="false">C496*C492</f>
        <v>0</v>
      </c>
      <c r="D497" s="19" t="n">
        <f aca="false">D496*D492</f>
        <v>0.3261</v>
      </c>
      <c r="E497" s="19" t="n">
        <f aca="false">E496*E492</f>
        <v>0.5669664</v>
      </c>
      <c r="F497" s="19" t="n">
        <f aca="false">F496*F492</f>
        <v>0.59202631488</v>
      </c>
      <c r="G497" s="19" t="n">
        <f aca="false">G496*G492</f>
        <v>0.590265884208</v>
      </c>
    </row>
    <row r="498" customFormat="false" ht="15" hidden="false" customHeight="false" outlineLevel="0" collapsed="false">
      <c r="A498" s="4" t="s">
        <v>537</v>
      </c>
      <c r="B498" s="0" t="s">
        <v>32</v>
      </c>
      <c r="C498" s="19" t="n">
        <f aca="false">C493+C495+C497</f>
        <v>1.579729074</v>
      </c>
      <c r="D498" s="19" t="n">
        <f aca="false">D493+D495+D497</f>
        <v>2.223085463</v>
      </c>
      <c r="E498" s="19" t="n">
        <f aca="false">E493+E495+E497</f>
        <v>3.52987705483945</v>
      </c>
      <c r="F498" s="19" t="n">
        <f aca="false">F493+F495+F497</f>
        <v>4.08819323480858</v>
      </c>
      <c r="G498" s="19" t="n">
        <f aca="false">G493+G495+G497</f>
        <v>4.45534141783271</v>
      </c>
    </row>
    <row r="499" customFormat="false" ht="15" hidden="false" customHeight="false" outlineLevel="0" collapsed="false">
      <c r="A499" s="4" t="s">
        <v>646</v>
      </c>
      <c r="B499" s="0" t="s">
        <v>32</v>
      </c>
      <c r="C499" s="19" t="n">
        <f aca="false">a25_ci</f>
        <v>1.049733389</v>
      </c>
      <c r="D499" s="19" t="n">
        <f aca="false">a26_ci</f>
        <v>1.545485301</v>
      </c>
      <c r="E499" s="19" t="n">
        <f aca="false">h1ci*(2+h2_ci)</f>
        <v>1.7611985244</v>
      </c>
      <c r="F499" s="19" t="n">
        <f aca="false">E499*(1+g_ci_28)</f>
        <v>1.866870435864</v>
      </c>
      <c r="G499" s="19" t="n">
        <f aca="false">F499*(1+g_ci_29)</f>
        <v>1.9602139576572</v>
      </c>
    </row>
    <row r="500" customFormat="false" ht="15" hidden="false" customHeight="false" outlineLevel="0" collapsed="false">
      <c r="A500" s="4" t="s">
        <v>647</v>
      </c>
      <c r="B500" s="0" t="s">
        <v>32</v>
      </c>
      <c r="C500" s="19" t="n">
        <f aca="false">a25_aio</f>
        <v>0.789864537</v>
      </c>
      <c r="D500" s="19" t="n">
        <f aca="false">a26_aio</f>
        <v>0.872526236</v>
      </c>
      <c r="E500" s="19" t="n">
        <f aca="false">h1aio*(2+h2_aio)</f>
        <v>0.9722450688</v>
      </c>
      <c r="F500" s="19" t="n">
        <f aca="false">E500*(1+g_aio_28)</f>
        <v>1.02085732224</v>
      </c>
      <c r="G500" s="19" t="n">
        <f aca="false">F500*(1+g_aio_29)</f>
        <v>1.071900188352</v>
      </c>
    </row>
    <row r="501" customFormat="false" ht="15" hidden="false" customHeight="false" outlineLevel="0" collapsed="false">
      <c r="A501" s="4" t="s">
        <v>535</v>
      </c>
      <c r="B501" s="0" t="s">
        <v>32</v>
      </c>
      <c r="C501" s="19" t="n">
        <f aca="false">C498+C499+C500</f>
        <v>3.419327</v>
      </c>
      <c r="D501" s="19" t="n">
        <f aca="false">D498+D499+D500</f>
        <v>4.641097</v>
      </c>
      <c r="E501" s="19" t="n">
        <f aca="false">E498+E499+E500</f>
        <v>6.26332064803945</v>
      </c>
      <c r="F501" s="19" t="n">
        <f aca="false">F498+F499+F500</f>
        <v>6.97592099291258</v>
      </c>
      <c r="G501" s="19" t="n">
        <f aca="false">G498+G499+G500</f>
        <v>7.48745556384191</v>
      </c>
    </row>
    <row r="502" customFormat="false" ht="15" hidden="false" customHeight="false" outlineLevel="0" collapsed="false">
      <c r="A502" s="4" t="s">
        <v>648</v>
      </c>
      <c r="B502" s="0" t="s">
        <v>65</v>
      </c>
      <c r="D502" s="15" t="n">
        <f aca="false">D501/C501-1</f>
        <v>0.357313003406811</v>
      </c>
      <c r="E502" s="15" t="n">
        <f aca="false">E501/D501-1</f>
        <v>0.349534527728995</v>
      </c>
      <c r="F502" s="15" t="n">
        <f aca="false">F501/E501-1</f>
        <v>0.113773569152361</v>
      </c>
      <c r="G502" s="15" t="n">
        <f aca="false">G501/F501-1</f>
        <v>0.0733286072834027</v>
      </c>
    </row>
    <row r="503" customFormat="false" ht="17.15" hidden="false" customHeight="false" outlineLevel="0" collapsed="false">
      <c r="A503" s="4" t="s">
        <v>649</v>
      </c>
      <c r="B503" s="0" t="s">
        <v>65</v>
      </c>
      <c r="C503" s="15" t="n">
        <f aca="false">C498/C501</f>
        <v>0.462</v>
      </c>
      <c r="D503" s="15" t="n">
        <f aca="false">D498/D501</f>
        <v>0.479</v>
      </c>
      <c r="E503" s="15" t="n">
        <f aca="false">E498/E501</f>
        <v>0.563579170410887</v>
      </c>
      <c r="F503" s="15" t="n">
        <f aca="false">F498/F501</f>
        <v>0.586043511525161</v>
      </c>
      <c r="G503" s="15" t="n">
        <f aca="false">G498/G501</f>
        <v>0.595040782525408</v>
      </c>
    </row>
    <row r="504" customFormat="false" ht="17.15" hidden="false" customHeight="false" outlineLevel="0" collapsed="false">
      <c r="A504" s="1" t="s">
        <v>650</v>
      </c>
    </row>
    <row r="505" customFormat="false" ht="17.15" hidden="false" customHeight="false" outlineLevel="0" collapsed="false">
      <c r="A505" s="4" t="s">
        <v>615</v>
      </c>
      <c r="B505" s="0" t="s">
        <v>65</v>
      </c>
      <c r="C505" s="15" t="n">
        <f aca="false">a25_gp/a25_rev</f>
        <v>0.123943980789202</v>
      </c>
      <c r="D505" s="15" t="n">
        <f aca="false">a26_gp/a26_rev</f>
        <v>0.122378394590762</v>
      </c>
      <c r="E505" s="15" t="n">
        <f aca="false">gm_27</f>
        <v>0.123</v>
      </c>
      <c r="F505" s="15" t="n">
        <f aca="false">gm_28</f>
        <v>0.123</v>
      </c>
      <c r="G505" s="15" t="n">
        <f aca="false">gm_29</f>
        <v>0.123</v>
      </c>
      <c r="H505" s="7" t="s">
        <v>651</v>
      </c>
    </row>
    <row r="506" customFormat="false" ht="15" hidden="false" customHeight="false" outlineLevel="0" collapsed="false">
      <c r="A506" s="4" t="s">
        <v>652</v>
      </c>
      <c r="B506" s="0" t="s">
        <v>32</v>
      </c>
      <c r="C506" s="19" t="n">
        <f aca="false">C501*C505</f>
        <v>0.423805</v>
      </c>
      <c r="D506" s="19" t="n">
        <f aca="false">D501*D505</f>
        <v>0.56797</v>
      </c>
      <c r="E506" s="19" t="n">
        <f aca="false">E501*E505</f>
        <v>0.770388439708853</v>
      </c>
      <c r="F506" s="19" t="n">
        <f aca="false">F501*F505</f>
        <v>0.858038282128247</v>
      </c>
      <c r="G506" s="19" t="n">
        <f aca="false">G501*G505</f>
        <v>0.920957034352555</v>
      </c>
    </row>
    <row r="507" customFormat="false" ht="15" hidden="false" customHeight="false" outlineLevel="0" collapsed="false">
      <c r="A507" s="4" t="s">
        <v>653</v>
      </c>
      <c r="B507" s="0" t="s">
        <v>32</v>
      </c>
      <c r="C507" s="19" t="n">
        <f aca="false">a25_opx</f>
        <v>0.063093</v>
      </c>
      <c r="D507" s="19" t="n">
        <f aca="false">a26_opx</f>
        <v>0.0679069999999999</v>
      </c>
      <c r="E507" s="19" t="n">
        <f aca="false">D507*(1+MAX(0,phi*E502))</f>
        <v>0.0729755147385705</v>
      </c>
      <c r="F507" s="19" t="n">
        <f aca="false">E507*(1+MAX(0,phi*F502))</f>
        <v>0.0747484571773889</v>
      </c>
      <c r="G507" s="19" t="n">
        <f aca="false">F507*(1+MAX(0,phi*G502))</f>
        <v>0.0759189041864388</v>
      </c>
    </row>
    <row r="508" customFormat="false" ht="15" hidden="false" customHeight="false" outlineLevel="0" collapsed="false">
      <c r="A508" s="4" t="s">
        <v>654</v>
      </c>
      <c r="B508" s="0" t="s">
        <v>32</v>
      </c>
      <c r="C508" s="14" t="n">
        <f aca="false">C507</f>
        <v>0.063093</v>
      </c>
      <c r="D508" s="14" t="n">
        <f aca="false">D507</f>
        <v>0.0679069999999999</v>
      </c>
      <c r="E508" s="14" t="n">
        <f aca="false">E507+0*E501</f>
        <v>0.0729755147385705</v>
      </c>
      <c r="F508" s="14" t="n">
        <f aca="false">F507+0*F501</f>
        <v>0.0747484571773889</v>
      </c>
      <c r="G508" s="14" t="n">
        <f aca="false">G507+0*G501</f>
        <v>0.0759189041864388</v>
      </c>
    </row>
    <row r="509" customFormat="false" ht="15" hidden="false" customHeight="false" outlineLevel="0" collapsed="false">
      <c r="A509" s="4" t="s">
        <v>655</v>
      </c>
      <c r="B509" s="0" t="s">
        <v>32</v>
      </c>
      <c r="C509" s="19" t="n">
        <f aca="false">C506-C508</f>
        <v>0.360712</v>
      </c>
      <c r="D509" s="19" t="n">
        <f aca="false">D506-D508</f>
        <v>0.500063</v>
      </c>
      <c r="E509" s="19" t="n">
        <f aca="false">E506-E508</f>
        <v>0.697412924970282</v>
      </c>
      <c r="F509" s="19" t="n">
        <f aca="false">F506-F508</f>
        <v>0.783289824950858</v>
      </c>
      <c r="G509" s="19" t="n">
        <f aca="false">G506-G508</f>
        <v>0.845038130166116</v>
      </c>
    </row>
    <row r="510" customFormat="false" ht="15" hidden="false" customHeight="false" outlineLevel="0" collapsed="false">
      <c r="A510" s="4" t="s">
        <v>616</v>
      </c>
      <c r="B510" s="0" t="s">
        <v>65</v>
      </c>
      <c r="C510" s="15" t="n">
        <f aca="false">C509/C501</f>
        <v>0.10549210414798</v>
      </c>
      <c r="D510" s="15" t="n">
        <f aca="false">D509/D501</f>
        <v>0.107746724535169</v>
      </c>
      <c r="E510" s="15" t="n">
        <f aca="false">E509/E501</f>
        <v>0.111348749993917</v>
      </c>
      <c r="F510" s="15" t="n">
        <f aca="false">F509/F501</f>
        <v>0.112284790172748</v>
      </c>
      <c r="G510" s="15" t="n">
        <f aca="false">G509/G501</f>
        <v>0.112860520234262</v>
      </c>
    </row>
    <row r="511" customFormat="false" ht="15" hidden="false" customHeight="false" outlineLevel="0" collapsed="false">
      <c r="A511" s="4" t="s">
        <v>656</v>
      </c>
      <c r="B511" s="0" t="s">
        <v>32</v>
      </c>
      <c r="C511" s="14" t="n">
        <f aca="false">a25_oth</f>
        <v>0.030733</v>
      </c>
      <c r="D511" s="14" t="n">
        <f aca="false">a26_oth</f>
        <v>0.0354829999999999</v>
      </c>
      <c r="E511" s="14" t="n">
        <f aca="false">int_f</f>
        <v>0.03</v>
      </c>
      <c r="F511" s="14" t="n">
        <f aca="false">int_f</f>
        <v>0.03</v>
      </c>
      <c r="G511" s="14" t="n">
        <f aca="false">int_f</f>
        <v>0.03</v>
      </c>
    </row>
    <row r="512" customFormat="false" ht="15" hidden="false" customHeight="false" outlineLevel="0" collapsed="false">
      <c r="A512" s="4" t="s">
        <v>657</v>
      </c>
      <c r="B512" s="0" t="s">
        <v>32</v>
      </c>
      <c r="C512" s="19" t="n">
        <f aca="false">C509+C511</f>
        <v>0.391445</v>
      </c>
      <c r="D512" s="19" t="n">
        <f aca="false">D509+D511</f>
        <v>0.535546</v>
      </c>
      <c r="E512" s="19" t="n">
        <f aca="false">E509+E511</f>
        <v>0.727412924970282</v>
      </c>
      <c r="F512" s="19" t="n">
        <f aca="false">F509+F511</f>
        <v>0.813289824950858</v>
      </c>
      <c r="G512" s="19" t="n">
        <f aca="false">G509+G511</f>
        <v>0.875038130166116</v>
      </c>
    </row>
    <row r="513" customFormat="false" ht="15" hidden="false" customHeight="false" outlineLevel="0" collapsed="false">
      <c r="A513" s="4" t="s">
        <v>617</v>
      </c>
      <c r="B513" s="0" t="s">
        <v>32</v>
      </c>
      <c r="C513" s="19" t="n">
        <f aca="false">a25_ni</f>
        <v>0.368792</v>
      </c>
      <c r="D513" s="19" t="n">
        <f aca="false">a26_ni</f>
        <v>0.510907</v>
      </c>
      <c r="E513" s="19" t="n">
        <f aca="false">E512*(1-(tx))</f>
        <v>0.691042278721768</v>
      </c>
      <c r="F513" s="19" t="n">
        <f aca="false">F512*(1-(tx))</f>
        <v>0.772625333703315</v>
      </c>
      <c r="G513" s="19" t="n">
        <f aca="false">G512*(1-(tx))</f>
        <v>0.831286223657811</v>
      </c>
    </row>
    <row r="514" customFormat="false" ht="15" hidden="false" customHeight="false" outlineLevel="0" collapsed="false">
      <c r="A514" s="4" t="s">
        <v>658</v>
      </c>
      <c r="B514" s="0" t="s">
        <v>65</v>
      </c>
      <c r="C514" s="15" t="n">
        <f aca="false">C513/C501</f>
        <v>0.107855142254602</v>
      </c>
      <c r="D514" s="15" t="n">
        <f aca="false">D513/D501</f>
        <v>0.110083241095801</v>
      </c>
      <c r="E514" s="15" t="n">
        <f aca="false">E513/E501</f>
        <v>0.110331614418955</v>
      </c>
      <c r="F514" s="15" t="n">
        <f aca="false">F513/F501</f>
        <v>0.110756032714288</v>
      </c>
      <c r="G514" s="15" t="n">
        <f aca="false">G513/G501</f>
        <v>0.11102386071875</v>
      </c>
    </row>
    <row r="515" customFormat="false" ht="15" hidden="false" customHeight="false" outlineLevel="0" collapsed="false">
      <c r="A515" s="4" t="s">
        <v>559</v>
      </c>
      <c r="B515" s="4" t="s">
        <v>307</v>
      </c>
      <c r="C515" s="16" t="n">
        <f aca="false">a25_sh</f>
        <v>0.036267</v>
      </c>
      <c r="D515" s="16" t="n">
        <f aca="false">a26_sh</f>
        <v>0.036252</v>
      </c>
      <c r="E515" s="16" t="n">
        <f aca="false">sh_q1*(1+sh_g)</f>
        <v>0.0363</v>
      </c>
      <c r="F515" s="16" t="n">
        <f aca="false">E515*(1+sh_g)</f>
        <v>0.0363</v>
      </c>
      <c r="G515" s="16" t="n">
        <f aca="false">F515*(1+sh_g)</f>
        <v>0.0363</v>
      </c>
    </row>
    <row r="516" customFormat="false" ht="15" hidden="false" customHeight="false" outlineLevel="0" collapsed="false">
      <c r="A516" s="0" t="s">
        <v>618</v>
      </c>
      <c r="B516" s="0" t="s">
        <v>217</v>
      </c>
      <c r="C516" s="19" t="n">
        <f aca="false">C513/C515</f>
        <v>10.1688035955552</v>
      </c>
      <c r="D516" s="19" t="n">
        <f aca="false">D513/D515</f>
        <v>14.0932086505572</v>
      </c>
      <c r="E516" s="19" t="n">
        <f aca="false">E513/E515</f>
        <v>19.0369773752553</v>
      </c>
      <c r="F516" s="19" t="n">
        <f aca="false">F513/F515</f>
        <v>21.2844444546368</v>
      </c>
      <c r="G516" s="19" t="n">
        <f aca="false">G513/G515</f>
        <v>22.9004469327221</v>
      </c>
    </row>
    <row r="517" customFormat="false" ht="17.15" hidden="false" customHeight="false" outlineLevel="0" collapsed="false">
      <c r="A517" s="0" t="s">
        <v>659</v>
      </c>
      <c r="B517" s="0" t="s">
        <v>65</v>
      </c>
      <c r="D517" s="15" t="n">
        <f aca="false">D516/C516-1</f>
        <v>0.385925936923139</v>
      </c>
      <c r="E517" s="15" t="n">
        <f aca="false">E516/D516-1</f>
        <v>0.350790855885232</v>
      </c>
      <c r="F517" s="15" t="n">
        <f aca="false">F516/E516-1</f>
        <v>0.118057979220103</v>
      </c>
      <c r="G517" s="15" t="n">
        <f aca="false">G516/F516-1</f>
        <v>0.0759241088734746</v>
      </c>
    </row>
    <row r="520" customFormat="false" ht="17.15" hidden="false" customHeight="false" outlineLevel="0" collapsed="false">
      <c r="A520" s="3" t="s">
        <v>949</v>
      </c>
    </row>
    <row r="521" customFormat="false" ht="17.15" hidden="false" customHeight="false" outlineLevel="0" collapsed="false">
      <c r="A521" s="5" t="s">
        <v>21</v>
      </c>
      <c r="B521" s="5" t="s">
        <v>22</v>
      </c>
      <c r="C521" s="13" t="s">
        <v>528</v>
      </c>
      <c r="D521" s="13" t="s">
        <v>600</v>
      </c>
      <c r="E521" s="13" t="s">
        <v>601</v>
      </c>
      <c r="F521" s="13" t="s">
        <v>602</v>
      </c>
      <c r="G521" s="13" t="s">
        <v>603</v>
      </c>
      <c r="H521" s="5" t="s">
        <v>534</v>
      </c>
    </row>
    <row r="522" customFormat="false" ht="17.15" hidden="false" customHeight="false" outlineLevel="0" collapsed="false">
      <c r="A522" s="1" t="s">
        <v>628</v>
      </c>
    </row>
    <row r="523" customFormat="false" ht="17.15" hidden="false" customHeight="false" outlineLevel="0" collapsed="false">
      <c r="A523" s="0" t="s">
        <v>629</v>
      </c>
      <c r="B523" s="0" t="s">
        <v>32</v>
      </c>
      <c r="D523" s="19" t="n">
        <f aca="false">mplB_26*1</f>
        <v>29.753262</v>
      </c>
      <c r="E523" s="19" t="n">
        <f aca="false">mplB_27*1*1</f>
        <v>54.688309</v>
      </c>
      <c r="F523" s="19" t="n">
        <f aca="false">mplB_28*um28_B*1</f>
        <v>48.9706</v>
      </c>
      <c r="G523" s="19" t="n">
        <f aca="false">mplB_29*um29_B*1</f>
        <v>66.987208</v>
      </c>
      <c r="H523" s="4" t="s">
        <v>630</v>
      </c>
    </row>
    <row r="524" customFormat="false" ht="17.15" hidden="false" customHeight="false" outlineLevel="0" collapsed="false">
      <c r="A524" s="0" t="s">
        <v>631</v>
      </c>
      <c r="B524" s="0" t="s">
        <v>32</v>
      </c>
      <c r="D524" s="19" t="n">
        <f aca="false">mcpB_26*1</f>
        <v>0.300538</v>
      </c>
      <c r="E524" s="19" t="n">
        <f aca="false">mcpB_27*1</f>
        <v>1.691391</v>
      </c>
      <c r="F524" s="19" t="n">
        <f aca="false">mcpB_28*um28_B</f>
        <v>2.5774</v>
      </c>
      <c r="G524" s="19" t="n">
        <f aca="false">mcpB_29*um29_B</f>
        <v>4.992628</v>
      </c>
    </row>
    <row r="525" customFormat="false" ht="17.15" hidden="false" customHeight="false" outlineLevel="0" collapsed="false">
      <c r="A525" s="0" t="s">
        <v>632</v>
      </c>
      <c r="B525" s="0" t="s">
        <v>65</v>
      </c>
      <c r="D525" s="15" t="n">
        <f aca="false">tr_cy26/D523</f>
        <v>0.0423521320116093</v>
      </c>
      <c r="H525" s="7" t="s">
        <v>633</v>
      </c>
    </row>
    <row r="526" customFormat="false" ht="17.15" hidden="false" customHeight="false" outlineLevel="0" collapsed="false">
      <c r="A526" s="4" t="s">
        <v>634</v>
      </c>
      <c r="B526" s="0" t="s">
        <v>76</v>
      </c>
      <c r="D526" s="8" t="n">
        <f aca="false">1</f>
        <v>1</v>
      </c>
      <c r="E526" s="8" t="n">
        <f aca="false">rel_27</f>
        <v>1</v>
      </c>
      <c r="F526" s="8" t="n">
        <f aca="false">rel_28</f>
        <v>1</v>
      </c>
      <c r="G526" s="8" t="n">
        <f aca="false">rel_29</f>
        <v>0.95</v>
      </c>
    </row>
    <row r="527" customFormat="false" ht="15" hidden="false" customHeight="false" outlineLevel="0" collapsed="false">
      <c r="A527" s="4" t="s">
        <v>635</v>
      </c>
      <c r="B527" s="0" t="s">
        <v>65</v>
      </c>
      <c r="D527" s="15" t="n">
        <f aca="false">$D$525*D526</f>
        <v>0.0423521320116093</v>
      </c>
      <c r="E527" s="15" t="n">
        <f aca="false">$D$525*E526</f>
        <v>0.0423521320116093</v>
      </c>
      <c r="F527" s="15" t="n">
        <f aca="false">$D$525*F526</f>
        <v>0.0423521320116093</v>
      </c>
      <c r="G527" s="15" t="n">
        <f aca="false">$D$525*G526</f>
        <v>0.0402345254110289</v>
      </c>
    </row>
    <row r="528" customFormat="false" ht="15" hidden="false" customHeight="false" outlineLevel="0" collapsed="false">
      <c r="A528" s="4" t="s">
        <v>636</v>
      </c>
      <c r="B528" s="0" t="s">
        <v>76</v>
      </c>
      <c r="D528" s="8" t="n">
        <f aca="false">1</f>
        <v>1</v>
      </c>
      <c r="E528" s="8" t="n">
        <f aca="false">pxr_27</f>
        <v>1</v>
      </c>
      <c r="F528" s="8" t="n">
        <f aca="false">pxr_28</f>
        <v>1</v>
      </c>
      <c r="G528" s="8" t="n">
        <f aca="false">pxr_29</f>
        <v>1</v>
      </c>
    </row>
    <row r="529" customFormat="false" ht="17.15" hidden="false" customHeight="false" outlineLevel="0" collapsed="false">
      <c r="A529" s="0" t="s">
        <v>637</v>
      </c>
      <c r="B529" s="0" t="s">
        <v>65</v>
      </c>
      <c r="D529" s="15" t="n">
        <f aca="false">0</f>
        <v>0</v>
      </c>
      <c r="E529" s="15" t="n">
        <f aca="false">cpo_27</f>
        <v>0.05</v>
      </c>
      <c r="F529" s="15" t="n">
        <f aca="false">cpo_28</f>
        <v>0.1</v>
      </c>
      <c r="G529" s="15" t="n">
        <f aca="false">cpo_29</f>
        <v>0.15</v>
      </c>
    </row>
    <row r="530" customFormat="false" ht="15" hidden="false" customHeight="false" outlineLevel="0" collapsed="false">
      <c r="A530" s="4" t="s">
        <v>638</v>
      </c>
      <c r="B530" s="0" t="s">
        <v>32</v>
      </c>
      <c r="D530" s="19" t="n">
        <f aca="false">tr_cy26</f>
        <v>1.26011408</v>
      </c>
      <c r="E530" s="19" t="n">
        <f aca="false">E523*E527*E528+E524*E529</f>
        <v>2.40073603225968</v>
      </c>
      <c r="F530" s="19" t="n">
        <f aca="false">F523*F527*F528+F524*F529</f>
        <v>2.33174931588772</v>
      </c>
      <c r="G530" s="19" t="n">
        <f aca="false">G523*G527*G528+G524*G529</f>
        <v>3.44409272248988</v>
      </c>
    </row>
    <row r="531" customFormat="false" ht="17.15" hidden="false" customHeight="false" outlineLevel="0" collapsed="false">
      <c r="A531" s="1" t="s">
        <v>639</v>
      </c>
    </row>
    <row r="532" customFormat="false" ht="17.15" hidden="false" customHeight="false" outlineLevel="0" collapsed="false">
      <c r="A532" s="0" t="s">
        <v>640</v>
      </c>
      <c r="B532" s="0" t="s">
        <v>76</v>
      </c>
      <c r="C532" s="24" t="n">
        <f aca="false">1</f>
        <v>1</v>
      </c>
      <c r="D532" s="24" t="n">
        <f aca="false">1</f>
        <v>1</v>
      </c>
      <c r="E532" s="24" t="n">
        <f aca="false">1</f>
        <v>1</v>
      </c>
      <c r="F532" s="24" t="n">
        <f aca="false">(1-hw)+hw*um28_B</f>
        <v>0.908</v>
      </c>
      <c r="G532" s="24" t="n">
        <f aca="false">(1-hw)*um28_B+hw*um29_B</f>
        <v>0.823</v>
      </c>
      <c r="H532" s="4" t="s">
        <v>641</v>
      </c>
    </row>
    <row r="533" customFormat="false" ht="17.15" hidden="false" customHeight="false" outlineLevel="0" collapsed="false">
      <c r="A533" s="4" t="s">
        <v>642</v>
      </c>
      <c r="B533" s="0" t="s">
        <v>32</v>
      </c>
      <c r="C533" s="19" t="n">
        <f aca="false">a25_tr</f>
        <v>1.16917436338336</v>
      </c>
      <c r="D533" s="19" t="n">
        <f aca="false">a26_tr</f>
        <v>1.163885463</v>
      </c>
      <c r="E533" s="19" t="n">
        <f aca="false">h1_27+hw*E530</f>
        <v>1.78065265483945</v>
      </c>
      <c r="F533" s="19" t="n">
        <f aca="false">(1-hw)*E530+hw*F530</f>
        <v>2.36900214272858</v>
      </c>
      <c r="G533" s="19" t="n">
        <f aca="false">(1-hw)*F530+hw*G530</f>
        <v>2.84342728292471</v>
      </c>
      <c r="H533" s="7" t="s">
        <v>643</v>
      </c>
    </row>
    <row r="534" customFormat="false" ht="17.15" hidden="false" customHeight="false" outlineLevel="0" collapsed="false">
      <c r="A534" s="0" t="s">
        <v>644</v>
      </c>
      <c r="B534" s="0" t="s">
        <v>32</v>
      </c>
      <c r="C534" s="19" t="n">
        <f aca="false">a25_dci</f>
        <v>0.410554710616641</v>
      </c>
      <c r="D534" s="19" t="n">
        <f aca="false">a26_dci</f>
        <v>0.7331</v>
      </c>
      <c r="E534" s="19" t="n">
        <f aca="false">h1dci*(2+h2_dci)</f>
        <v>1.25319348</v>
      </c>
      <c r="F534" s="19" t="n">
        <f aca="false">E534*(1+g_dci_28)</f>
        <v>1.503832176</v>
      </c>
      <c r="G534" s="19" t="n">
        <f aca="false">F534*(1+g_dci_29)</f>
        <v>1.6542153936</v>
      </c>
    </row>
    <row r="535" customFormat="false" ht="17.15" hidden="false" customHeight="false" outlineLevel="0" collapsed="false">
      <c r="A535" s="0" t="s">
        <v>543</v>
      </c>
      <c r="B535" s="0" t="s">
        <v>32</v>
      </c>
      <c r="C535" s="19" t="n">
        <f aca="false">C534*C532</f>
        <v>0.410554710616641</v>
      </c>
      <c r="D535" s="19" t="n">
        <f aca="false">D534*D532</f>
        <v>0.7331</v>
      </c>
      <c r="E535" s="19" t="n">
        <f aca="false">E534*E532</f>
        <v>1.25319348</v>
      </c>
      <c r="F535" s="19" t="n">
        <f aca="false">F534*F532</f>
        <v>1.365479615808</v>
      </c>
      <c r="G535" s="19" t="n">
        <f aca="false">G534*G532</f>
        <v>1.3614192689328</v>
      </c>
    </row>
    <row r="536" customFormat="false" ht="17.15" hidden="false" customHeight="false" outlineLevel="0" collapsed="false">
      <c r="A536" s="0" t="s">
        <v>645</v>
      </c>
      <c r="B536" s="0" t="s">
        <v>32</v>
      </c>
      <c r="C536" s="19" t="n">
        <f aca="false">a25_hpc</f>
        <v>0</v>
      </c>
      <c r="D536" s="19" t="n">
        <f aca="false">a26_hpc</f>
        <v>0.3261</v>
      </c>
      <c r="E536" s="19" t="n">
        <f aca="false">h1hpc*(2+h2_hpc_lo)</f>
        <v>0.517902</v>
      </c>
      <c r="F536" s="19" t="n">
        <f aca="false">E536*(1+GHLO_28)</f>
        <v>0.4661118</v>
      </c>
      <c r="G536" s="19" t="n">
        <f aca="false">F536*(1+GHLO_29)</f>
        <v>0.41950062</v>
      </c>
    </row>
    <row r="537" customFormat="false" ht="17.15" hidden="false" customHeight="false" outlineLevel="0" collapsed="false">
      <c r="A537" s="0" t="s">
        <v>546</v>
      </c>
      <c r="B537" s="0" t="s">
        <v>32</v>
      </c>
      <c r="C537" s="19" t="n">
        <f aca="false">C536*C532</f>
        <v>0</v>
      </c>
      <c r="D537" s="19" t="n">
        <f aca="false">D536*D532</f>
        <v>0.3261</v>
      </c>
      <c r="E537" s="19" t="n">
        <f aca="false">E536*E532</f>
        <v>0.517902</v>
      </c>
      <c r="F537" s="19" t="n">
        <f aca="false">F536*F532</f>
        <v>0.4232295144</v>
      </c>
      <c r="G537" s="19" t="n">
        <f aca="false">G536*G532</f>
        <v>0.34524901026</v>
      </c>
    </row>
    <row r="538" customFormat="false" ht="15" hidden="false" customHeight="false" outlineLevel="0" collapsed="false">
      <c r="A538" s="4" t="s">
        <v>537</v>
      </c>
      <c r="B538" s="0" t="s">
        <v>32</v>
      </c>
      <c r="C538" s="19" t="n">
        <f aca="false">C533+C535+C537</f>
        <v>1.579729074</v>
      </c>
      <c r="D538" s="19" t="n">
        <f aca="false">D533+D535+D537</f>
        <v>2.223085463</v>
      </c>
      <c r="E538" s="19" t="n">
        <f aca="false">E533+E535+E537</f>
        <v>3.55174813483945</v>
      </c>
      <c r="F538" s="19" t="n">
        <f aca="false">F533+F535+F537</f>
        <v>4.15771127293658</v>
      </c>
      <c r="G538" s="19" t="n">
        <f aca="false">G533+G535+G537</f>
        <v>4.55009556211751</v>
      </c>
    </row>
    <row r="539" customFormat="false" ht="15" hidden="false" customHeight="false" outlineLevel="0" collapsed="false">
      <c r="A539" s="4" t="s">
        <v>646</v>
      </c>
      <c r="B539" s="0" t="s">
        <v>32</v>
      </c>
      <c r="C539" s="19" t="n">
        <f aca="false">a25_ci</f>
        <v>1.049733389</v>
      </c>
      <c r="D539" s="19" t="n">
        <f aca="false">a26_ci</f>
        <v>1.545485301</v>
      </c>
      <c r="E539" s="19" t="n">
        <f aca="false">h1ci*(2+h2_ci)</f>
        <v>1.7611985244</v>
      </c>
      <c r="F539" s="19" t="n">
        <f aca="false">E539*(1+g_ci_28)</f>
        <v>1.866870435864</v>
      </c>
      <c r="G539" s="19" t="n">
        <f aca="false">F539*(1+g_ci_29)</f>
        <v>1.9602139576572</v>
      </c>
    </row>
    <row r="540" customFormat="false" ht="15" hidden="false" customHeight="false" outlineLevel="0" collapsed="false">
      <c r="A540" s="4" t="s">
        <v>647</v>
      </c>
      <c r="B540" s="0" t="s">
        <v>32</v>
      </c>
      <c r="C540" s="19" t="n">
        <f aca="false">a25_aio</f>
        <v>0.789864537</v>
      </c>
      <c r="D540" s="19" t="n">
        <f aca="false">a26_aio</f>
        <v>0.872526236</v>
      </c>
      <c r="E540" s="19" t="n">
        <f aca="false">h1aio*(2+h2_aio)</f>
        <v>0.9722450688</v>
      </c>
      <c r="F540" s="19" t="n">
        <f aca="false">E540*(1+g_aio_28)</f>
        <v>1.02085732224</v>
      </c>
      <c r="G540" s="19" t="n">
        <f aca="false">F540*(1+g_aio_29)</f>
        <v>1.071900188352</v>
      </c>
    </row>
    <row r="541" customFormat="false" ht="15" hidden="false" customHeight="false" outlineLevel="0" collapsed="false">
      <c r="A541" s="4" t="s">
        <v>535</v>
      </c>
      <c r="B541" s="0" t="s">
        <v>32</v>
      </c>
      <c r="C541" s="19" t="n">
        <f aca="false">C538+C539+C540</f>
        <v>3.419327</v>
      </c>
      <c r="D541" s="19" t="n">
        <f aca="false">D538+D539+D540</f>
        <v>4.641097</v>
      </c>
      <c r="E541" s="19" t="n">
        <f aca="false">E538+E539+E540</f>
        <v>6.28519172803946</v>
      </c>
      <c r="F541" s="19" t="n">
        <f aca="false">F538+F539+F540</f>
        <v>7.04543903104058</v>
      </c>
      <c r="G541" s="19" t="n">
        <f aca="false">G538+G539+G540</f>
        <v>7.58220970812671</v>
      </c>
    </row>
    <row r="542" customFormat="false" ht="15" hidden="false" customHeight="false" outlineLevel="0" collapsed="false">
      <c r="A542" s="4" t="s">
        <v>648</v>
      </c>
      <c r="B542" s="0" t="s">
        <v>65</v>
      </c>
      <c r="D542" s="15" t="n">
        <f aca="false">D541/C541-1</f>
        <v>0.357313003406811</v>
      </c>
      <c r="E542" s="15" t="n">
        <f aca="false">E541/D541-1</f>
        <v>0.354247008420521</v>
      </c>
      <c r="F542" s="15" t="n">
        <f aca="false">F541/E541-1</f>
        <v>0.120958490352731</v>
      </c>
      <c r="G542" s="15" t="n">
        <f aca="false">G541/F541-1</f>
        <v>0.0761869735471761</v>
      </c>
    </row>
    <row r="543" customFormat="false" ht="17.15" hidden="false" customHeight="false" outlineLevel="0" collapsed="false">
      <c r="A543" s="4" t="s">
        <v>649</v>
      </c>
      <c r="B543" s="0" t="s">
        <v>65</v>
      </c>
      <c r="C543" s="15" t="n">
        <f aca="false">C538/C541</f>
        <v>0.462</v>
      </c>
      <c r="D543" s="15" t="n">
        <f aca="false">D538/D541</f>
        <v>0.479</v>
      </c>
      <c r="E543" s="15" t="n">
        <f aca="false">E538/E541</f>
        <v>0.565097818574797</v>
      </c>
      <c r="F543" s="15" t="n">
        <f aca="false">F538/F541</f>
        <v>0.59012806080908</v>
      </c>
      <c r="G543" s="15" t="n">
        <f aca="false">G538/G541</f>
        <v>0.600101518854149</v>
      </c>
    </row>
    <row r="544" customFormat="false" ht="17.15" hidden="false" customHeight="false" outlineLevel="0" collapsed="false">
      <c r="A544" s="1" t="s">
        <v>650</v>
      </c>
    </row>
    <row r="545" customFormat="false" ht="17.15" hidden="false" customHeight="false" outlineLevel="0" collapsed="false">
      <c r="A545" s="4" t="s">
        <v>615</v>
      </c>
      <c r="B545" s="0" t="s">
        <v>65</v>
      </c>
      <c r="C545" s="15" t="n">
        <f aca="false">a25_gp/a25_rev</f>
        <v>0.123943980789202</v>
      </c>
      <c r="D545" s="15" t="n">
        <f aca="false">a26_gp/a26_rev</f>
        <v>0.122378394590762</v>
      </c>
      <c r="E545" s="15" t="n">
        <f aca="false">gm_27</f>
        <v>0.123</v>
      </c>
      <c r="F545" s="15" t="n">
        <f aca="false">gm_28</f>
        <v>0.123</v>
      </c>
      <c r="G545" s="15" t="n">
        <f aca="false">gm_29</f>
        <v>0.123</v>
      </c>
      <c r="H545" s="7" t="s">
        <v>651</v>
      </c>
    </row>
    <row r="546" customFormat="false" ht="15" hidden="false" customHeight="false" outlineLevel="0" collapsed="false">
      <c r="A546" s="4" t="s">
        <v>652</v>
      </c>
      <c r="B546" s="0" t="s">
        <v>32</v>
      </c>
      <c r="C546" s="19" t="n">
        <f aca="false">C541*C545</f>
        <v>0.423805</v>
      </c>
      <c r="D546" s="19" t="n">
        <f aca="false">D541*D545</f>
        <v>0.56797</v>
      </c>
      <c r="E546" s="19" t="n">
        <f aca="false">E541*E545</f>
        <v>0.773078582548853</v>
      </c>
      <c r="F546" s="19" t="n">
        <f aca="false">F541*F545</f>
        <v>0.866589000817991</v>
      </c>
      <c r="G546" s="19" t="n">
        <f aca="false">G541*G545</f>
        <v>0.932611794099585</v>
      </c>
    </row>
    <row r="547" customFormat="false" ht="15" hidden="false" customHeight="false" outlineLevel="0" collapsed="false">
      <c r="A547" s="4" t="s">
        <v>653</v>
      </c>
      <c r="B547" s="0" t="s">
        <v>32</v>
      </c>
      <c r="C547" s="19" t="n">
        <f aca="false">a25_opx</f>
        <v>0.063093</v>
      </c>
      <c r="D547" s="19" t="n">
        <f aca="false">a26_opx</f>
        <v>0.0679069999999999</v>
      </c>
      <c r="E547" s="19" t="n">
        <f aca="false">D547*(1+MAX(0,phi*E542))</f>
        <v>0.0730438492690542</v>
      </c>
      <c r="F547" s="19" t="n">
        <f aca="false">E547*(1+MAX(0,phi*F542))</f>
        <v>0.0749305199299663</v>
      </c>
      <c r="G547" s="19" t="n">
        <f aca="false">F547*(1+MAX(0,phi*G542))</f>
        <v>0.0761495531884962</v>
      </c>
    </row>
    <row r="548" customFormat="false" ht="15" hidden="false" customHeight="false" outlineLevel="0" collapsed="false">
      <c r="A548" s="4" t="s">
        <v>654</v>
      </c>
      <c r="B548" s="0" t="s">
        <v>32</v>
      </c>
      <c r="C548" s="14" t="n">
        <f aca="false">C547</f>
        <v>0.063093</v>
      </c>
      <c r="D548" s="14" t="n">
        <f aca="false">D547</f>
        <v>0.0679069999999999</v>
      </c>
      <c r="E548" s="14" t="n">
        <f aca="false">E547+0*E541</f>
        <v>0.0730438492690542</v>
      </c>
      <c r="F548" s="14" t="n">
        <f aca="false">F547+0*F541</f>
        <v>0.0749305199299663</v>
      </c>
      <c r="G548" s="14" t="n">
        <f aca="false">G547+0*G541</f>
        <v>0.0761495531884962</v>
      </c>
    </row>
    <row r="549" customFormat="false" ht="15" hidden="false" customHeight="false" outlineLevel="0" collapsed="false">
      <c r="A549" s="4" t="s">
        <v>655</v>
      </c>
      <c r="B549" s="0" t="s">
        <v>32</v>
      </c>
      <c r="C549" s="19" t="n">
        <f aca="false">C546-C548</f>
        <v>0.360712</v>
      </c>
      <c r="D549" s="19" t="n">
        <f aca="false">D546-D548</f>
        <v>0.500063</v>
      </c>
      <c r="E549" s="19" t="n">
        <f aca="false">E546-E548</f>
        <v>0.700034733279799</v>
      </c>
      <c r="F549" s="19" t="n">
        <f aca="false">F546-F548</f>
        <v>0.791658480888025</v>
      </c>
      <c r="G549" s="19" t="n">
        <f aca="false">G546-G548</f>
        <v>0.856462240911089</v>
      </c>
    </row>
    <row r="550" customFormat="false" ht="15" hidden="false" customHeight="false" outlineLevel="0" collapsed="false">
      <c r="A550" s="4" t="s">
        <v>616</v>
      </c>
      <c r="B550" s="0" t="s">
        <v>65</v>
      </c>
      <c r="C550" s="15" t="n">
        <f aca="false">C549/C541</f>
        <v>0.10549210414798</v>
      </c>
      <c r="D550" s="15" t="n">
        <f aca="false">D549/D541</f>
        <v>0.107746724535169</v>
      </c>
      <c r="E550" s="15" t="n">
        <f aca="false">E549/E541</f>
        <v>0.111378421465937</v>
      </c>
      <c r="F550" s="15" t="n">
        <f aca="false">F549/F541</f>
        <v>0.112364676977568</v>
      </c>
      <c r="G550" s="15" t="n">
        <f aca="false">G549/G541</f>
        <v>0.112956812575775</v>
      </c>
    </row>
    <row r="551" customFormat="false" ht="15" hidden="false" customHeight="false" outlineLevel="0" collapsed="false">
      <c r="A551" s="4" t="s">
        <v>656</v>
      </c>
      <c r="B551" s="0" t="s">
        <v>32</v>
      </c>
      <c r="C551" s="14" t="n">
        <f aca="false">a25_oth</f>
        <v>0.030733</v>
      </c>
      <c r="D551" s="14" t="n">
        <f aca="false">a26_oth</f>
        <v>0.0354829999999999</v>
      </c>
      <c r="E551" s="14" t="n">
        <f aca="false">int_f</f>
        <v>0.03</v>
      </c>
      <c r="F551" s="14" t="n">
        <f aca="false">int_f</f>
        <v>0.03</v>
      </c>
      <c r="G551" s="14" t="n">
        <f aca="false">int_f</f>
        <v>0.03</v>
      </c>
    </row>
    <row r="552" customFormat="false" ht="15" hidden="false" customHeight="false" outlineLevel="0" collapsed="false">
      <c r="A552" s="4" t="s">
        <v>657</v>
      </c>
      <c r="B552" s="0" t="s">
        <v>32</v>
      </c>
      <c r="C552" s="19" t="n">
        <f aca="false">C549+C551</f>
        <v>0.391445</v>
      </c>
      <c r="D552" s="19" t="n">
        <f aca="false">D549+D551</f>
        <v>0.535546</v>
      </c>
      <c r="E552" s="19" t="n">
        <f aca="false">E549+E551</f>
        <v>0.730034733279799</v>
      </c>
      <c r="F552" s="19" t="n">
        <f aca="false">F549+F551</f>
        <v>0.821658480888025</v>
      </c>
      <c r="G552" s="19" t="n">
        <f aca="false">G549+G551</f>
        <v>0.886462240911089</v>
      </c>
    </row>
    <row r="553" customFormat="false" ht="15" hidden="false" customHeight="false" outlineLevel="0" collapsed="false">
      <c r="A553" s="4" t="s">
        <v>617</v>
      </c>
      <c r="B553" s="0" t="s">
        <v>32</v>
      </c>
      <c r="C553" s="19" t="n">
        <f aca="false">a25_ni</f>
        <v>0.368792</v>
      </c>
      <c r="D553" s="19" t="n">
        <f aca="false">a26_ni</f>
        <v>0.510907</v>
      </c>
      <c r="E553" s="19" t="n">
        <f aca="false">E552*(1-(tx))</f>
        <v>0.693532996615809</v>
      </c>
      <c r="F553" s="19" t="n">
        <f aca="false">F552*(1-(tx))</f>
        <v>0.780575556843624</v>
      </c>
      <c r="G553" s="19" t="n">
        <f aca="false">G552*(1-(tx))</f>
        <v>0.842139128865535</v>
      </c>
    </row>
    <row r="554" customFormat="false" ht="15" hidden="false" customHeight="false" outlineLevel="0" collapsed="false">
      <c r="A554" s="4" t="s">
        <v>658</v>
      </c>
      <c r="B554" s="0" t="s">
        <v>65</v>
      </c>
      <c r="C554" s="15" t="n">
        <f aca="false">C553/C541</f>
        <v>0.107855142254602</v>
      </c>
      <c r="D554" s="15" t="n">
        <f aca="false">D553/D541</f>
        <v>0.110083241095801</v>
      </c>
      <c r="E554" s="15" t="n">
        <f aca="false">E553/E541</f>
        <v>0.11034396827098</v>
      </c>
      <c r="F554" s="15" t="n">
        <f aca="false">F553/F541</f>
        <v>0.110791613326663</v>
      </c>
      <c r="G554" s="15" t="n">
        <f aca="false">G553/G541</f>
        <v>0.111067770647773</v>
      </c>
    </row>
    <row r="555" customFormat="false" ht="15" hidden="false" customHeight="false" outlineLevel="0" collapsed="false">
      <c r="A555" s="4" t="s">
        <v>559</v>
      </c>
      <c r="B555" s="4" t="s">
        <v>307</v>
      </c>
      <c r="C555" s="16" t="n">
        <f aca="false">a25_sh</f>
        <v>0.036267</v>
      </c>
      <c r="D555" s="16" t="n">
        <f aca="false">a26_sh</f>
        <v>0.036252</v>
      </c>
      <c r="E555" s="16" t="n">
        <f aca="false">sh_q1*(1+sh_g)</f>
        <v>0.0363</v>
      </c>
      <c r="F555" s="16" t="n">
        <f aca="false">E555*(1+sh_g)</f>
        <v>0.0363</v>
      </c>
      <c r="G555" s="16" t="n">
        <f aca="false">F555*(1+sh_g)</f>
        <v>0.0363</v>
      </c>
    </row>
    <row r="556" customFormat="false" ht="15" hidden="false" customHeight="false" outlineLevel="0" collapsed="false">
      <c r="A556" s="0" t="s">
        <v>618</v>
      </c>
      <c r="B556" s="0" t="s">
        <v>217</v>
      </c>
      <c r="C556" s="19" t="n">
        <f aca="false">C553/C555</f>
        <v>10.1688035955552</v>
      </c>
      <c r="D556" s="19" t="n">
        <f aca="false">D553/D555</f>
        <v>14.0932086505572</v>
      </c>
      <c r="E556" s="19" t="n">
        <f aca="false">E553/E555</f>
        <v>19.105592193273</v>
      </c>
      <c r="F556" s="19" t="n">
        <f aca="false">F553/F555</f>
        <v>21.5034588662155</v>
      </c>
      <c r="G556" s="19" t="n">
        <f aca="false">G553/G555</f>
        <v>23.199425037618</v>
      </c>
    </row>
    <row r="557" customFormat="false" ht="17.15" hidden="false" customHeight="false" outlineLevel="0" collapsed="false">
      <c r="A557" s="0" t="s">
        <v>659</v>
      </c>
      <c r="B557" s="0" t="s">
        <v>65</v>
      </c>
      <c r="D557" s="15" t="n">
        <f aca="false">D556/C556-1</f>
        <v>0.385925936923139</v>
      </c>
      <c r="E557" s="15" t="n">
        <f aca="false">E556/D556-1</f>
        <v>0.355659500047037</v>
      </c>
      <c r="F557" s="15" t="n">
        <f aca="false">F556/E556-1</f>
        <v>0.125506011469607</v>
      </c>
      <c r="G557" s="15" t="n">
        <f aca="false">G556/F556-1</f>
        <v>0.0788694591857997</v>
      </c>
    </row>
    <row r="560" customFormat="false" ht="17.15" hidden="false" customHeight="false" outlineLevel="0" collapsed="false">
      <c r="A560" s="3" t="s">
        <v>950</v>
      </c>
    </row>
    <row r="561" customFormat="false" ht="17.15" hidden="false" customHeight="false" outlineLevel="0" collapsed="false">
      <c r="A561" s="5" t="s">
        <v>21</v>
      </c>
      <c r="B561" s="5" t="s">
        <v>22</v>
      </c>
      <c r="C561" s="13" t="s">
        <v>528</v>
      </c>
      <c r="D561" s="13" t="s">
        <v>600</v>
      </c>
      <c r="E561" s="13" t="s">
        <v>601</v>
      </c>
      <c r="F561" s="13" t="s">
        <v>602</v>
      </c>
      <c r="G561" s="13" t="s">
        <v>603</v>
      </c>
      <c r="H561" s="5" t="s">
        <v>534</v>
      </c>
    </row>
    <row r="562" customFormat="false" ht="17.15" hidden="false" customHeight="false" outlineLevel="0" collapsed="false">
      <c r="A562" s="1" t="s">
        <v>628</v>
      </c>
    </row>
    <row r="563" customFormat="false" ht="17.15" hidden="false" customHeight="false" outlineLevel="0" collapsed="false">
      <c r="A563" s="0" t="s">
        <v>629</v>
      </c>
      <c r="B563" s="0" t="s">
        <v>32</v>
      </c>
      <c r="D563" s="19" t="n">
        <f aca="false">mplB_26*1</f>
        <v>29.753262</v>
      </c>
      <c r="E563" s="19" t="n">
        <f aca="false">mplB_27*1*1</f>
        <v>54.688309</v>
      </c>
      <c r="F563" s="19" t="n">
        <f aca="false">mplB_28*um28_B*1</f>
        <v>48.9706</v>
      </c>
      <c r="G563" s="19" t="n">
        <f aca="false">mplB_29*um29_B*1</f>
        <v>66.987208</v>
      </c>
      <c r="H563" s="4" t="s">
        <v>630</v>
      </c>
    </row>
    <row r="564" customFormat="false" ht="17.15" hidden="false" customHeight="false" outlineLevel="0" collapsed="false">
      <c r="A564" s="0" t="s">
        <v>631</v>
      </c>
      <c r="B564" s="0" t="s">
        <v>32</v>
      </c>
      <c r="D564" s="19" t="n">
        <f aca="false">mcpB_26*1</f>
        <v>0.300538</v>
      </c>
      <c r="E564" s="19" t="n">
        <f aca="false">mcpB_27*1</f>
        <v>1.691391</v>
      </c>
      <c r="F564" s="19" t="n">
        <f aca="false">mcpB_28*um28_B</f>
        <v>2.5774</v>
      </c>
      <c r="G564" s="19" t="n">
        <f aca="false">mcpB_29*um29_B</f>
        <v>4.992628</v>
      </c>
    </row>
    <row r="565" customFormat="false" ht="17.15" hidden="false" customHeight="false" outlineLevel="0" collapsed="false">
      <c r="A565" s="0" t="s">
        <v>632</v>
      </c>
      <c r="B565" s="0" t="s">
        <v>65</v>
      </c>
      <c r="D565" s="15" t="n">
        <f aca="false">tr_cy26/D563</f>
        <v>0.0423521320116093</v>
      </c>
      <c r="H565" s="7" t="s">
        <v>633</v>
      </c>
    </row>
    <row r="566" customFormat="false" ht="17.15" hidden="false" customHeight="false" outlineLevel="0" collapsed="false">
      <c r="A566" s="4" t="s">
        <v>634</v>
      </c>
      <c r="B566" s="0" t="s">
        <v>76</v>
      </c>
      <c r="D566" s="8" t="n">
        <f aca="false">1</f>
        <v>1</v>
      </c>
      <c r="E566" s="8" t="n">
        <f aca="false">rel_27</f>
        <v>1</v>
      </c>
      <c r="F566" s="8" t="n">
        <f aca="false">rel_28</f>
        <v>1</v>
      </c>
      <c r="G566" s="8" t="n">
        <f aca="false">rel_29</f>
        <v>0.95</v>
      </c>
    </row>
    <row r="567" customFormat="false" ht="15" hidden="false" customHeight="false" outlineLevel="0" collapsed="false">
      <c r="A567" s="4" t="s">
        <v>635</v>
      </c>
      <c r="B567" s="0" t="s">
        <v>65</v>
      </c>
      <c r="D567" s="15" t="n">
        <f aca="false">$D$565*D566</f>
        <v>0.0423521320116093</v>
      </c>
      <c r="E567" s="15" t="n">
        <f aca="false">$D$565*E566</f>
        <v>0.0423521320116093</v>
      </c>
      <c r="F567" s="15" t="n">
        <f aca="false">$D$565*F566</f>
        <v>0.0423521320116093</v>
      </c>
      <c r="G567" s="15" t="n">
        <f aca="false">$D$565*G566</f>
        <v>0.0402345254110289</v>
      </c>
    </row>
    <row r="568" customFormat="false" ht="15" hidden="false" customHeight="false" outlineLevel="0" collapsed="false">
      <c r="A568" s="4" t="s">
        <v>636</v>
      </c>
      <c r="B568" s="0" t="s">
        <v>76</v>
      </c>
      <c r="D568" s="8" t="n">
        <f aca="false">1</f>
        <v>1</v>
      </c>
      <c r="E568" s="8" t="n">
        <f aca="false">pxr_27</f>
        <v>1</v>
      </c>
      <c r="F568" s="8" t="n">
        <f aca="false">pxr_28</f>
        <v>1</v>
      </c>
      <c r="G568" s="8" t="n">
        <f aca="false">pxr_29</f>
        <v>1</v>
      </c>
    </row>
    <row r="569" customFormat="false" ht="17.15" hidden="false" customHeight="false" outlineLevel="0" collapsed="false">
      <c r="A569" s="0" t="s">
        <v>637</v>
      </c>
      <c r="B569" s="0" t="s">
        <v>65</v>
      </c>
      <c r="D569" s="15" t="n">
        <f aca="false">0</f>
        <v>0</v>
      </c>
      <c r="E569" s="15" t="n">
        <f aca="false">cpo_27</f>
        <v>0.05</v>
      </c>
      <c r="F569" s="15" t="n">
        <f aca="false">cpo_28</f>
        <v>0.1</v>
      </c>
      <c r="G569" s="15" t="n">
        <f aca="false">cpo_29</f>
        <v>0.15</v>
      </c>
    </row>
    <row r="570" customFormat="false" ht="15" hidden="false" customHeight="false" outlineLevel="0" collapsed="false">
      <c r="A570" s="4" t="s">
        <v>638</v>
      </c>
      <c r="B570" s="0" t="s">
        <v>32</v>
      </c>
      <c r="D570" s="19" t="n">
        <f aca="false">tr_cy26</f>
        <v>1.26011408</v>
      </c>
      <c r="E570" s="19" t="n">
        <f aca="false">E563*E567*E568+E564*E569</f>
        <v>2.40073603225968</v>
      </c>
      <c r="F570" s="19" t="n">
        <f aca="false">F563*F567*F568+F564*F569</f>
        <v>2.33174931588772</v>
      </c>
      <c r="G570" s="19" t="n">
        <f aca="false">G563*G567*G568+G564*G569</f>
        <v>3.44409272248988</v>
      </c>
    </row>
    <row r="571" customFormat="false" ht="17.15" hidden="false" customHeight="false" outlineLevel="0" collapsed="false">
      <c r="A571" s="1" t="s">
        <v>639</v>
      </c>
    </row>
    <row r="572" customFormat="false" ht="17.15" hidden="false" customHeight="false" outlineLevel="0" collapsed="false">
      <c r="A572" s="0" t="s">
        <v>640</v>
      </c>
      <c r="B572" s="0" t="s">
        <v>76</v>
      </c>
      <c r="C572" s="24" t="n">
        <f aca="false">1</f>
        <v>1</v>
      </c>
      <c r="D572" s="24" t="n">
        <f aca="false">1</f>
        <v>1</v>
      </c>
      <c r="E572" s="24" t="n">
        <f aca="false">1</f>
        <v>1</v>
      </c>
      <c r="F572" s="24" t="n">
        <f aca="false">(1-hw)+hw*um28_B</f>
        <v>0.908</v>
      </c>
      <c r="G572" s="24" t="n">
        <f aca="false">(1-hw)*um28_B+hw*um29_B</f>
        <v>0.823</v>
      </c>
      <c r="H572" s="4" t="s">
        <v>641</v>
      </c>
    </row>
    <row r="573" customFormat="false" ht="17.15" hidden="false" customHeight="false" outlineLevel="0" collapsed="false">
      <c r="A573" s="4" t="s">
        <v>642</v>
      </c>
      <c r="B573" s="0" t="s">
        <v>32</v>
      </c>
      <c r="C573" s="19" t="n">
        <f aca="false">a25_tr</f>
        <v>1.16917436338336</v>
      </c>
      <c r="D573" s="19" t="n">
        <f aca="false">a26_tr</f>
        <v>1.163885463</v>
      </c>
      <c r="E573" s="19" t="n">
        <f aca="false">h1_27+hw*E570</f>
        <v>1.78065265483945</v>
      </c>
      <c r="F573" s="19" t="n">
        <f aca="false">(1-hw)*E570+hw*F570</f>
        <v>2.36900214272858</v>
      </c>
      <c r="G573" s="19" t="n">
        <f aca="false">(1-hw)*F570+hw*G570</f>
        <v>2.84342728292471</v>
      </c>
      <c r="H573" s="7" t="s">
        <v>643</v>
      </c>
    </row>
    <row r="574" customFormat="false" ht="17.15" hidden="false" customHeight="false" outlineLevel="0" collapsed="false">
      <c r="A574" s="0" t="s">
        <v>644</v>
      </c>
      <c r="B574" s="0" t="s">
        <v>32</v>
      </c>
      <c r="C574" s="19" t="n">
        <f aca="false">a25_dci</f>
        <v>0.410554710616641</v>
      </c>
      <c r="D574" s="19" t="n">
        <f aca="false">a26_dci</f>
        <v>0.7331</v>
      </c>
      <c r="E574" s="19" t="n">
        <f aca="false">h1dci*(2+h2_dci)</f>
        <v>1.25319348</v>
      </c>
      <c r="F574" s="19" t="n">
        <f aca="false">E574*(1+g_dci_28)</f>
        <v>1.503832176</v>
      </c>
      <c r="G574" s="19" t="n">
        <f aca="false">F574*(1+g_dci_29)</f>
        <v>1.6542153936</v>
      </c>
    </row>
    <row r="575" customFormat="false" ht="17.15" hidden="false" customHeight="false" outlineLevel="0" collapsed="false">
      <c r="A575" s="0" t="s">
        <v>543</v>
      </c>
      <c r="B575" s="0" t="s">
        <v>32</v>
      </c>
      <c r="C575" s="19" t="n">
        <f aca="false">C574*C572</f>
        <v>0.410554710616641</v>
      </c>
      <c r="D575" s="19" t="n">
        <f aca="false">D574*D572</f>
        <v>0.7331</v>
      </c>
      <c r="E575" s="19" t="n">
        <f aca="false">E574*E572</f>
        <v>1.25319348</v>
      </c>
      <c r="F575" s="19" t="n">
        <f aca="false">F574*F572</f>
        <v>1.365479615808</v>
      </c>
      <c r="G575" s="19" t="n">
        <f aca="false">G574*G572</f>
        <v>1.3614192689328</v>
      </c>
    </row>
    <row r="576" customFormat="false" ht="17.15" hidden="false" customHeight="false" outlineLevel="0" collapsed="false">
      <c r="A576" s="0" t="s">
        <v>645</v>
      </c>
      <c r="B576" s="0" t="s">
        <v>32</v>
      </c>
      <c r="C576" s="19" t="n">
        <f aca="false">a25_hpc</f>
        <v>0</v>
      </c>
      <c r="D576" s="19" t="n">
        <f aca="false">a26_hpc</f>
        <v>0.3261</v>
      </c>
      <c r="E576" s="19" t="n">
        <f aca="false">h1hpc*(2+h2_hpc)</f>
        <v>0.5669664</v>
      </c>
      <c r="F576" s="19" t="n">
        <f aca="false">E576*(1+g_hpc_28)</f>
        <v>0.65201136</v>
      </c>
      <c r="G576" s="19" t="n">
        <f aca="false">F576*(1+g_hpc_29)</f>
        <v>0.717212496</v>
      </c>
    </row>
    <row r="577" customFormat="false" ht="17.15" hidden="false" customHeight="false" outlineLevel="0" collapsed="false">
      <c r="A577" s="0" t="s">
        <v>546</v>
      </c>
      <c r="B577" s="0" t="s">
        <v>32</v>
      </c>
      <c r="C577" s="19" t="n">
        <f aca="false">C576*C572</f>
        <v>0</v>
      </c>
      <c r="D577" s="19" t="n">
        <f aca="false">D576*D572</f>
        <v>0.3261</v>
      </c>
      <c r="E577" s="19" t="n">
        <f aca="false">E576*E572</f>
        <v>0.5669664</v>
      </c>
      <c r="F577" s="19" t="n">
        <f aca="false">F576*F572</f>
        <v>0.59202631488</v>
      </c>
      <c r="G577" s="19" t="n">
        <f aca="false">G576*G572</f>
        <v>0.590265884208</v>
      </c>
    </row>
    <row r="578" customFormat="false" ht="15" hidden="false" customHeight="false" outlineLevel="0" collapsed="false">
      <c r="A578" s="4" t="s">
        <v>537</v>
      </c>
      <c r="B578" s="0" t="s">
        <v>32</v>
      </c>
      <c r="C578" s="19" t="n">
        <f aca="false">C573+C575+C577</f>
        <v>1.579729074</v>
      </c>
      <c r="D578" s="19" t="n">
        <f aca="false">D573+D575+D577</f>
        <v>2.223085463</v>
      </c>
      <c r="E578" s="19" t="n">
        <f aca="false">E573+E575+E577</f>
        <v>3.60081253483945</v>
      </c>
      <c r="F578" s="19" t="n">
        <f aca="false">F573+F575+F577</f>
        <v>4.32650807341658</v>
      </c>
      <c r="G578" s="19" t="n">
        <f aca="false">G573+G575+G577</f>
        <v>4.79511243606551</v>
      </c>
    </row>
    <row r="579" customFormat="false" ht="15" hidden="false" customHeight="false" outlineLevel="0" collapsed="false">
      <c r="A579" s="4" t="s">
        <v>646</v>
      </c>
      <c r="B579" s="0" t="s">
        <v>32</v>
      </c>
      <c r="C579" s="19" t="n">
        <f aca="false">a25_ci</f>
        <v>1.049733389</v>
      </c>
      <c r="D579" s="19" t="n">
        <f aca="false">a26_ci</f>
        <v>1.545485301</v>
      </c>
      <c r="E579" s="19" t="n">
        <f aca="false">h1ci*(2+h2_ci)</f>
        <v>1.7611985244</v>
      </c>
      <c r="F579" s="19" t="n">
        <f aca="false">E579*(1+g_ci_28)</f>
        <v>1.866870435864</v>
      </c>
      <c r="G579" s="19" t="n">
        <f aca="false">F579*(1+g_ci_29)</f>
        <v>1.9602139576572</v>
      </c>
    </row>
    <row r="580" customFormat="false" ht="15" hidden="false" customHeight="false" outlineLevel="0" collapsed="false">
      <c r="A580" s="4" t="s">
        <v>647</v>
      </c>
      <c r="B580" s="0" t="s">
        <v>32</v>
      </c>
      <c r="C580" s="19" t="n">
        <f aca="false">a25_aio</f>
        <v>0.789864537</v>
      </c>
      <c r="D580" s="19" t="n">
        <f aca="false">a26_aio</f>
        <v>0.872526236</v>
      </c>
      <c r="E580" s="19" t="n">
        <f aca="false">h1aio*(2+h2_aio)</f>
        <v>0.9722450688</v>
      </c>
      <c r="F580" s="19" t="n">
        <f aca="false">E580*(1+g_aio_28)</f>
        <v>1.02085732224</v>
      </c>
      <c r="G580" s="19" t="n">
        <f aca="false">F580*(1+g_aio_29)</f>
        <v>1.071900188352</v>
      </c>
    </row>
    <row r="581" customFormat="false" ht="15" hidden="false" customHeight="false" outlineLevel="0" collapsed="false">
      <c r="A581" s="4" t="s">
        <v>535</v>
      </c>
      <c r="B581" s="0" t="s">
        <v>32</v>
      </c>
      <c r="C581" s="19" t="n">
        <f aca="false">C578+C579+C580</f>
        <v>3.419327</v>
      </c>
      <c r="D581" s="19" t="n">
        <f aca="false">D578+D579+D580</f>
        <v>4.641097</v>
      </c>
      <c r="E581" s="19" t="n">
        <f aca="false">E578+E579+E580</f>
        <v>6.33425612803945</v>
      </c>
      <c r="F581" s="19" t="n">
        <f aca="false">F578+F579+F580</f>
        <v>7.21423583152058</v>
      </c>
      <c r="G581" s="19" t="n">
        <f aca="false">G578+G579+G580</f>
        <v>7.82722658207471</v>
      </c>
    </row>
    <row r="582" customFormat="false" ht="15" hidden="false" customHeight="false" outlineLevel="0" collapsed="false">
      <c r="A582" s="4" t="s">
        <v>648</v>
      </c>
      <c r="B582" s="0" t="s">
        <v>65</v>
      </c>
      <c r="D582" s="15" t="n">
        <f aca="false">D581/C581-1</f>
        <v>0.357313003406811</v>
      </c>
      <c r="E582" s="15" t="n">
        <f aca="false">E581/D581-1</f>
        <v>0.36481873316577</v>
      </c>
      <c r="F582" s="15" t="n">
        <f aca="false">F581/E581-1</f>
        <v>0.138923921877073</v>
      </c>
      <c r="G582" s="15" t="n">
        <f aca="false">G581/F581-1</f>
        <v>0.084969602445742</v>
      </c>
    </row>
    <row r="583" customFormat="false" ht="17.15" hidden="false" customHeight="false" outlineLevel="0" collapsed="false">
      <c r="A583" s="4" t="s">
        <v>649</v>
      </c>
      <c r="B583" s="0" t="s">
        <v>65</v>
      </c>
      <c r="C583" s="15" t="n">
        <f aca="false">C578/C581</f>
        <v>0.462</v>
      </c>
      <c r="D583" s="15" t="n">
        <f aca="false">D578/D581</f>
        <v>0.479</v>
      </c>
      <c r="E583" s="15" t="n">
        <f aca="false">E578/E581</f>
        <v>0.568466519517574</v>
      </c>
      <c r="F583" s="15" t="n">
        <f aca="false">F578/F581</f>
        <v>0.599718137091266</v>
      </c>
      <c r="G583" s="15" t="n">
        <f aca="false">G578/G581</f>
        <v>0.612619602331034</v>
      </c>
    </row>
    <row r="584" customFormat="false" ht="17.15" hidden="false" customHeight="false" outlineLevel="0" collapsed="false">
      <c r="A584" s="1" t="s">
        <v>650</v>
      </c>
    </row>
    <row r="585" customFormat="false" ht="17.15" hidden="false" customHeight="false" outlineLevel="0" collapsed="false">
      <c r="A585" s="4" t="s">
        <v>615</v>
      </c>
      <c r="B585" s="0" t="s">
        <v>65</v>
      </c>
      <c r="C585" s="15" t="n">
        <f aca="false">a25_gp/a25_rev</f>
        <v>0.123943980789202</v>
      </c>
      <c r="D585" s="15" t="n">
        <f aca="false">a26_gp/a26_rev</f>
        <v>0.122378394590762</v>
      </c>
      <c r="E585" s="15" t="n">
        <f aca="false">gm_27</f>
        <v>0.123</v>
      </c>
      <c r="F585" s="15" t="n">
        <f aca="false">gm_28</f>
        <v>0.123</v>
      </c>
      <c r="G585" s="15" t="n">
        <f aca="false">gm_29</f>
        <v>0.123</v>
      </c>
      <c r="H585" s="7" t="s">
        <v>651</v>
      </c>
    </row>
    <row r="586" customFormat="false" ht="15" hidden="false" customHeight="false" outlineLevel="0" collapsed="false">
      <c r="A586" s="4" t="s">
        <v>652</v>
      </c>
      <c r="B586" s="0" t="s">
        <v>32</v>
      </c>
      <c r="C586" s="19" t="n">
        <f aca="false">C581*C585</f>
        <v>0.423805</v>
      </c>
      <c r="D586" s="19" t="n">
        <f aca="false">D581*D585</f>
        <v>0.56797</v>
      </c>
      <c r="E586" s="19" t="n">
        <f aca="false">E581*E585</f>
        <v>0.779113503748853</v>
      </c>
      <c r="F586" s="19" t="n">
        <f aca="false">F581*F585</f>
        <v>0.887351007277031</v>
      </c>
      <c r="G586" s="19" t="n">
        <f aca="false">G581*G585</f>
        <v>0.962748869595189</v>
      </c>
    </row>
    <row r="587" customFormat="false" ht="15" hidden="false" customHeight="false" outlineLevel="0" collapsed="false">
      <c r="A587" s="4" t="s">
        <v>653</v>
      </c>
      <c r="B587" s="0" t="s">
        <v>32</v>
      </c>
      <c r="C587" s="19" t="n">
        <f aca="false">a25_opx</f>
        <v>0.063093</v>
      </c>
      <c r="D587" s="19" t="n">
        <f aca="false">a26_opx</f>
        <v>0.0679069999999999</v>
      </c>
      <c r="E587" s="19" t="n">
        <f aca="false">D587*(1+MAX(0,phi*E582))</f>
        <v>0.0731971472651966</v>
      </c>
      <c r="F587" s="19" t="n">
        <f aca="false">E587*(1+MAX(0,phi*F582))</f>
        <v>0.0753685844819478</v>
      </c>
      <c r="G587" s="19" t="n">
        <f aca="false">F587*(1+MAX(0,phi*G582))</f>
        <v>0.0767360929724889</v>
      </c>
    </row>
    <row r="588" customFormat="false" ht="15" hidden="false" customHeight="false" outlineLevel="0" collapsed="false">
      <c r="A588" s="4" t="s">
        <v>654</v>
      </c>
      <c r="B588" s="0" t="s">
        <v>32</v>
      </c>
      <c r="C588" s="14" t="n">
        <f aca="false">C587</f>
        <v>0.063093</v>
      </c>
      <c r="D588" s="14" t="n">
        <f aca="false">D587</f>
        <v>0.0679069999999999</v>
      </c>
      <c r="E588" s="14" t="n">
        <f aca="false">E587+opx_adj_hi*E581</f>
        <v>0.104868427905394</v>
      </c>
      <c r="F588" s="14" t="n">
        <f aca="false">F587+opx_adj_hi*F581</f>
        <v>0.111439763639551</v>
      </c>
      <c r="G588" s="14" t="n">
        <f aca="false">G587+opx_adj_hi*G581</f>
        <v>0.115872225882863</v>
      </c>
    </row>
    <row r="589" customFormat="false" ht="15" hidden="false" customHeight="false" outlineLevel="0" collapsed="false">
      <c r="A589" s="4" t="s">
        <v>655</v>
      </c>
      <c r="B589" s="0" t="s">
        <v>32</v>
      </c>
      <c r="C589" s="19" t="n">
        <f aca="false">C586-C588</f>
        <v>0.360712</v>
      </c>
      <c r="D589" s="19" t="n">
        <f aca="false">D586-D588</f>
        <v>0.500063</v>
      </c>
      <c r="E589" s="19" t="n">
        <f aca="false">E586-E588</f>
        <v>0.674245075843459</v>
      </c>
      <c r="F589" s="19" t="n">
        <f aca="false">F586-F588</f>
        <v>0.775911243637481</v>
      </c>
      <c r="G589" s="19" t="n">
        <f aca="false">G586-G588</f>
        <v>0.846876643712327</v>
      </c>
    </row>
    <row r="590" customFormat="false" ht="15" hidden="false" customHeight="false" outlineLevel="0" collapsed="false">
      <c r="A590" s="4" t="s">
        <v>616</v>
      </c>
      <c r="B590" s="0" t="s">
        <v>65</v>
      </c>
      <c r="C590" s="15" t="n">
        <f aca="false">C589/C581</f>
        <v>0.10549210414798</v>
      </c>
      <c r="D590" s="15" t="n">
        <f aca="false">D589/D581</f>
        <v>0.107746724535169</v>
      </c>
      <c r="E590" s="15" t="n">
        <f aca="false">E589/E581</f>
        <v>0.106444239420446</v>
      </c>
      <c r="F590" s="15" t="n">
        <f aca="false">F589/F581</f>
        <v>0.107552797241165</v>
      </c>
      <c r="G590" s="15" t="n">
        <f aca="false">G589/G581</f>
        <v>0.108196260173658</v>
      </c>
    </row>
    <row r="591" customFormat="false" ht="15" hidden="false" customHeight="false" outlineLevel="0" collapsed="false">
      <c r="A591" s="4" t="s">
        <v>656</v>
      </c>
      <c r="B591" s="0" t="s">
        <v>32</v>
      </c>
      <c r="C591" s="14" t="n">
        <f aca="false">a25_oth</f>
        <v>0.030733</v>
      </c>
      <c r="D591" s="14" t="n">
        <f aca="false">a26_oth</f>
        <v>0.0354829999999999</v>
      </c>
      <c r="E591" s="14" t="n">
        <f aca="false">int_f</f>
        <v>0.03</v>
      </c>
      <c r="F591" s="14" t="n">
        <f aca="false">int_f</f>
        <v>0.03</v>
      </c>
      <c r="G591" s="14" t="n">
        <f aca="false">int_f</f>
        <v>0.03</v>
      </c>
    </row>
    <row r="592" customFormat="false" ht="15" hidden="false" customHeight="false" outlineLevel="0" collapsed="false">
      <c r="A592" s="4" t="s">
        <v>657</v>
      </c>
      <c r="B592" s="0" t="s">
        <v>32</v>
      </c>
      <c r="C592" s="19" t="n">
        <f aca="false">C589+C591</f>
        <v>0.391445</v>
      </c>
      <c r="D592" s="19" t="n">
        <f aca="false">D589+D591</f>
        <v>0.535546</v>
      </c>
      <c r="E592" s="19" t="n">
        <f aca="false">E589+E591</f>
        <v>0.704245075843459</v>
      </c>
      <c r="F592" s="19" t="n">
        <f aca="false">F589+F591</f>
        <v>0.805911243637481</v>
      </c>
      <c r="G592" s="19" t="n">
        <f aca="false">G589+G591</f>
        <v>0.876876643712327</v>
      </c>
    </row>
    <row r="593" customFormat="false" ht="15" hidden="false" customHeight="false" outlineLevel="0" collapsed="false">
      <c r="A593" s="4" t="s">
        <v>617</v>
      </c>
      <c r="B593" s="0" t="s">
        <v>32</v>
      </c>
      <c r="C593" s="19" t="n">
        <f aca="false">a25_ni</f>
        <v>0.368792</v>
      </c>
      <c r="D593" s="19" t="n">
        <f aca="false">a26_ni</f>
        <v>0.510907</v>
      </c>
      <c r="E593" s="19" t="n">
        <f aca="false">E592*(1-(tx))</f>
        <v>0.669032822051286</v>
      </c>
      <c r="F593" s="19" t="n">
        <f aca="false">F592*(1-(tx))</f>
        <v>0.765615681455607</v>
      </c>
      <c r="G593" s="19" t="n">
        <f aca="false">G592*(1-(tx))</f>
        <v>0.833032811526711</v>
      </c>
    </row>
    <row r="594" customFormat="false" ht="15" hidden="false" customHeight="false" outlineLevel="0" collapsed="false">
      <c r="A594" s="4" t="s">
        <v>658</v>
      </c>
      <c r="B594" s="0" t="s">
        <v>65</v>
      </c>
      <c r="C594" s="15" t="n">
        <f aca="false">C593/C581</f>
        <v>0.107855142254602</v>
      </c>
      <c r="D594" s="15" t="n">
        <f aca="false">D593/D581</f>
        <v>0.110083241095801</v>
      </c>
      <c r="E594" s="15" t="n">
        <f aca="false">E593/E581</f>
        <v>0.105621371875021</v>
      </c>
      <c r="F594" s="15" t="n">
        <f aca="false">F593/F581</f>
        <v>0.106125679744272</v>
      </c>
      <c r="G594" s="15" t="n">
        <f aca="false">G593/G581</f>
        <v>0.106427583613646</v>
      </c>
    </row>
    <row r="595" customFormat="false" ht="15" hidden="false" customHeight="false" outlineLevel="0" collapsed="false">
      <c r="A595" s="4" t="s">
        <v>559</v>
      </c>
      <c r="B595" s="4" t="s">
        <v>307</v>
      </c>
      <c r="C595" s="16" t="n">
        <f aca="false">a25_sh</f>
        <v>0.036267</v>
      </c>
      <c r="D595" s="16" t="n">
        <f aca="false">a26_sh</f>
        <v>0.036252</v>
      </c>
      <c r="E595" s="16" t="n">
        <f aca="false">sh_q1*(1+sh_g)</f>
        <v>0.0363</v>
      </c>
      <c r="F595" s="16" t="n">
        <f aca="false">E595*(1+sh_g)</f>
        <v>0.0363</v>
      </c>
      <c r="G595" s="16" t="n">
        <f aca="false">F595*(1+sh_g)</f>
        <v>0.0363</v>
      </c>
    </row>
    <row r="596" customFormat="false" ht="15" hidden="false" customHeight="false" outlineLevel="0" collapsed="false">
      <c r="A596" s="0" t="s">
        <v>618</v>
      </c>
      <c r="B596" s="0" t="s">
        <v>217</v>
      </c>
      <c r="C596" s="19" t="n">
        <f aca="false">C593/C595</f>
        <v>10.1688035955552</v>
      </c>
      <c r="D596" s="19" t="n">
        <f aca="false">D593/D595</f>
        <v>14.0932086505572</v>
      </c>
      <c r="E596" s="19" t="n">
        <f aca="false">E593/E595</f>
        <v>18.4306562548564</v>
      </c>
      <c r="F596" s="19" t="n">
        <f aca="false">F593/F595</f>
        <v>21.0913410869313</v>
      </c>
      <c r="G596" s="19" t="n">
        <f aca="false">G593/G595</f>
        <v>22.9485623010113</v>
      </c>
    </row>
    <row r="597" customFormat="false" ht="17.15" hidden="false" customHeight="false" outlineLevel="0" collapsed="false">
      <c r="A597" s="0" t="s">
        <v>659</v>
      </c>
      <c r="B597" s="0" t="s">
        <v>65</v>
      </c>
      <c r="D597" s="15" t="n">
        <f aca="false">D596/C596-1</f>
        <v>0.385925936923139</v>
      </c>
      <c r="E597" s="15" t="n">
        <f aca="false">E596/D596-1</f>
        <v>0.307768636074771</v>
      </c>
      <c r="F597" s="15" t="n">
        <f aca="false">F596/E596-1</f>
        <v>0.144361915022634</v>
      </c>
      <c r="G597" s="15" t="n">
        <f aca="false">G596/F596-1</f>
        <v>0.0880560987765151</v>
      </c>
    </row>
    <row r="600" customFormat="false" ht="17.15" hidden="false" customHeight="false" outlineLevel="0" collapsed="false">
      <c r="A600" s="3" t="s">
        <v>951</v>
      </c>
    </row>
    <row r="601" customFormat="false" ht="17.15" hidden="false" customHeight="false" outlineLevel="0" collapsed="false">
      <c r="A601" s="5" t="s">
        <v>21</v>
      </c>
      <c r="B601" s="5" t="s">
        <v>22</v>
      </c>
      <c r="C601" s="13" t="s">
        <v>528</v>
      </c>
      <c r="D601" s="13" t="s">
        <v>600</v>
      </c>
      <c r="E601" s="13" t="s">
        <v>601</v>
      </c>
      <c r="F601" s="13" t="s">
        <v>602</v>
      </c>
      <c r="G601" s="13" t="s">
        <v>603</v>
      </c>
      <c r="H601" s="5" t="s">
        <v>534</v>
      </c>
    </row>
    <row r="602" customFormat="false" ht="17.15" hidden="false" customHeight="false" outlineLevel="0" collapsed="false">
      <c r="A602" s="1" t="s">
        <v>628</v>
      </c>
    </row>
    <row r="603" customFormat="false" ht="17.15" hidden="false" customHeight="false" outlineLevel="0" collapsed="false">
      <c r="A603" s="0" t="s">
        <v>629</v>
      </c>
      <c r="B603" s="0" t="s">
        <v>32</v>
      </c>
      <c r="D603" s="19" t="n">
        <f aca="false">mplB_26*1</f>
        <v>29.753262</v>
      </c>
      <c r="E603" s="19" t="n">
        <f aca="false">mplB_27*1*1</f>
        <v>54.688309</v>
      </c>
      <c r="F603" s="19" t="n">
        <f aca="false">mplB_28*um28_B*1</f>
        <v>48.9706</v>
      </c>
      <c r="G603" s="19" t="n">
        <f aca="false">mplB_29*um29_B*1</f>
        <v>66.987208</v>
      </c>
      <c r="H603" s="4" t="s">
        <v>630</v>
      </c>
    </row>
    <row r="604" customFormat="false" ht="17.15" hidden="false" customHeight="false" outlineLevel="0" collapsed="false">
      <c r="A604" s="0" t="s">
        <v>631</v>
      </c>
      <c r="B604" s="0" t="s">
        <v>32</v>
      </c>
      <c r="D604" s="19" t="n">
        <f aca="false">mcpB_26*1</f>
        <v>0.300538</v>
      </c>
      <c r="E604" s="19" t="n">
        <f aca="false">mcpB_27*1</f>
        <v>1.691391</v>
      </c>
      <c r="F604" s="19" t="n">
        <f aca="false">mcpB_28*um28_B</f>
        <v>2.5774</v>
      </c>
      <c r="G604" s="19" t="n">
        <f aca="false">mcpB_29*um29_B</f>
        <v>4.992628</v>
      </c>
    </row>
    <row r="605" customFormat="false" ht="17.15" hidden="false" customHeight="false" outlineLevel="0" collapsed="false">
      <c r="A605" s="0" t="s">
        <v>632</v>
      </c>
      <c r="B605" s="0" t="s">
        <v>65</v>
      </c>
      <c r="D605" s="15" t="n">
        <f aca="false">tr_cy26/D603</f>
        <v>0.0423521320116093</v>
      </c>
      <c r="H605" s="7" t="s">
        <v>633</v>
      </c>
    </row>
    <row r="606" customFormat="false" ht="17.15" hidden="false" customHeight="false" outlineLevel="0" collapsed="false">
      <c r="A606" s="4" t="s">
        <v>634</v>
      </c>
      <c r="B606" s="0" t="s">
        <v>76</v>
      </c>
      <c r="D606" s="8" t="n">
        <f aca="false">1</f>
        <v>1</v>
      </c>
      <c r="E606" s="8" t="n">
        <f aca="false">rel_27</f>
        <v>1</v>
      </c>
      <c r="F606" s="8" t="n">
        <f aca="false">rel_28</f>
        <v>1</v>
      </c>
      <c r="G606" s="8" t="n">
        <f aca="false">rel_29</f>
        <v>0.95</v>
      </c>
    </row>
    <row r="607" customFormat="false" ht="15" hidden="false" customHeight="false" outlineLevel="0" collapsed="false">
      <c r="A607" s="4" t="s">
        <v>635</v>
      </c>
      <c r="B607" s="0" t="s">
        <v>65</v>
      </c>
      <c r="D607" s="15" t="n">
        <f aca="false">$D$605*D606</f>
        <v>0.0423521320116093</v>
      </c>
      <c r="E607" s="15" t="n">
        <f aca="false">$D$605*E606</f>
        <v>0.0423521320116093</v>
      </c>
      <c r="F607" s="15" t="n">
        <f aca="false">$D$605*F606</f>
        <v>0.0423521320116093</v>
      </c>
      <c r="G607" s="15" t="n">
        <f aca="false">$D$605*G606</f>
        <v>0.0402345254110289</v>
      </c>
    </row>
    <row r="608" customFormat="false" ht="15" hidden="false" customHeight="false" outlineLevel="0" collapsed="false">
      <c r="A608" s="4" t="s">
        <v>636</v>
      </c>
      <c r="B608" s="0" t="s">
        <v>76</v>
      </c>
      <c r="D608" s="8" t="n">
        <f aca="false">1</f>
        <v>1</v>
      </c>
      <c r="E608" s="8" t="n">
        <f aca="false">pxr_27</f>
        <v>1</v>
      </c>
      <c r="F608" s="8" t="n">
        <f aca="false">pxr_28</f>
        <v>1</v>
      </c>
      <c r="G608" s="8" t="n">
        <f aca="false">pxr_29</f>
        <v>1</v>
      </c>
    </row>
    <row r="609" customFormat="false" ht="17.15" hidden="false" customHeight="false" outlineLevel="0" collapsed="false">
      <c r="A609" s="0" t="s">
        <v>637</v>
      </c>
      <c r="B609" s="0" t="s">
        <v>65</v>
      </c>
      <c r="D609" s="15" t="n">
        <f aca="false">0</f>
        <v>0</v>
      </c>
      <c r="E609" s="15" t="n">
        <f aca="false">cpo_27</f>
        <v>0.05</v>
      </c>
      <c r="F609" s="15" t="n">
        <f aca="false">cpo_28</f>
        <v>0.1</v>
      </c>
      <c r="G609" s="15" t="n">
        <f aca="false">cpo_29</f>
        <v>0.15</v>
      </c>
    </row>
    <row r="610" customFormat="false" ht="15" hidden="false" customHeight="false" outlineLevel="0" collapsed="false">
      <c r="A610" s="4" t="s">
        <v>638</v>
      </c>
      <c r="B610" s="0" t="s">
        <v>32</v>
      </c>
      <c r="D610" s="19" t="n">
        <f aca="false">tr_cy26</f>
        <v>1.26011408</v>
      </c>
      <c r="E610" s="19" t="n">
        <f aca="false">E603*E607*E608+E604*E609</f>
        <v>2.40073603225968</v>
      </c>
      <c r="F610" s="19" t="n">
        <f aca="false">F603*F607*F608+F604*F609</f>
        <v>2.33174931588772</v>
      </c>
      <c r="G610" s="19" t="n">
        <f aca="false">G603*G607*G608+G604*G609</f>
        <v>3.44409272248988</v>
      </c>
    </row>
    <row r="611" customFormat="false" ht="17.15" hidden="false" customHeight="false" outlineLevel="0" collapsed="false">
      <c r="A611" s="1" t="s">
        <v>639</v>
      </c>
    </row>
    <row r="612" customFormat="false" ht="17.15" hidden="false" customHeight="false" outlineLevel="0" collapsed="false">
      <c r="A612" s="0" t="s">
        <v>640</v>
      </c>
      <c r="B612" s="0" t="s">
        <v>76</v>
      </c>
      <c r="C612" s="24" t="n">
        <f aca="false">1</f>
        <v>1</v>
      </c>
      <c r="D612" s="24" t="n">
        <f aca="false">1</f>
        <v>1</v>
      </c>
      <c r="E612" s="24" t="n">
        <f aca="false">1</f>
        <v>1</v>
      </c>
      <c r="F612" s="24" t="n">
        <f aca="false">(1-hw)+hw*um28_B</f>
        <v>0.908</v>
      </c>
      <c r="G612" s="24" t="n">
        <f aca="false">(1-hw)*um28_B+hw*um29_B</f>
        <v>0.823</v>
      </c>
      <c r="H612" s="4" t="s">
        <v>641</v>
      </c>
    </row>
    <row r="613" customFormat="false" ht="17.15" hidden="false" customHeight="false" outlineLevel="0" collapsed="false">
      <c r="A613" s="4" t="s">
        <v>642</v>
      </c>
      <c r="B613" s="0" t="s">
        <v>32</v>
      </c>
      <c r="C613" s="19" t="n">
        <f aca="false">a25_tr</f>
        <v>1.16917436338336</v>
      </c>
      <c r="D613" s="19" t="n">
        <f aca="false">a26_tr</f>
        <v>1.163885463</v>
      </c>
      <c r="E613" s="19" t="n">
        <f aca="false">h1_27+hw*E610</f>
        <v>1.78065265483945</v>
      </c>
      <c r="F613" s="19" t="n">
        <f aca="false">(1-hw)*E610+hw*F610</f>
        <v>2.36900214272858</v>
      </c>
      <c r="G613" s="19" t="n">
        <f aca="false">(1-hw)*F610+hw*G610</f>
        <v>2.84342728292471</v>
      </c>
      <c r="H613" s="7" t="s">
        <v>643</v>
      </c>
    </row>
    <row r="614" customFormat="false" ht="17.15" hidden="false" customHeight="false" outlineLevel="0" collapsed="false">
      <c r="A614" s="0" t="s">
        <v>644</v>
      </c>
      <c r="B614" s="0" t="s">
        <v>32</v>
      </c>
      <c r="C614" s="19" t="n">
        <f aca="false">a25_dci</f>
        <v>0.410554710616641</v>
      </c>
      <c r="D614" s="19" t="n">
        <f aca="false">a26_dci</f>
        <v>0.7331</v>
      </c>
      <c r="E614" s="19" t="n">
        <f aca="false">h1dci*(2+h2_dci)</f>
        <v>1.25319348</v>
      </c>
      <c r="F614" s="19" t="n">
        <f aca="false">E614*(1+g_dci_28)</f>
        <v>1.503832176</v>
      </c>
      <c r="G614" s="19" t="n">
        <f aca="false">F614*(1+g_dci_29)</f>
        <v>1.6542153936</v>
      </c>
    </row>
    <row r="615" customFormat="false" ht="17.15" hidden="false" customHeight="false" outlineLevel="0" collapsed="false">
      <c r="A615" s="0" t="s">
        <v>543</v>
      </c>
      <c r="B615" s="0" t="s">
        <v>32</v>
      </c>
      <c r="C615" s="19" t="n">
        <f aca="false">C614*C612</f>
        <v>0.410554710616641</v>
      </c>
      <c r="D615" s="19" t="n">
        <f aca="false">D614*D612</f>
        <v>0.7331</v>
      </c>
      <c r="E615" s="19" t="n">
        <f aca="false">E614*E612</f>
        <v>1.25319348</v>
      </c>
      <c r="F615" s="19" t="n">
        <f aca="false">F614*F612</f>
        <v>1.365479615808</v>
      </c>
      <c r="G615" s="19" t="n">
        <f aca="false">G614*G612</f>
        <v>1.3614192689328</v>
      </c>
    </row>
    <row r="616" customFormat="false" ht="17.15" hidden="false" customHeight="false" outlineLevel="0" collapsed="false">
      <c r="A616" s="0" t="s">
        <v>645</v>
      </c>
      <c r="B616" s="0" t="s">
        <v>32</v>
      </c>
      <c r="C616" s="19" t="n">
        <f aca="false">a25_hpc</f>
        <v>0</v>
      </c>
      <c r="D616" s="19" t="n">
        <f aca="false">a26_hpc</f>
        <v>0.3261</v>
      </c>
      <c r="E616" s="19" t="n">
        <f aca="false">h1hpc*(2+h2_hpc)</f>
        <v>0.5669664</v>
      </c>
      <c r="F616" s="19" t="n">
        <f aca="false">E616*(1+g_hpc_28)</f>
        <v>0.65201136</v>
      </c>
      <c r="G616" s="19" t="n">
        <f aca="false">F616*(1+g_hpc_29)</f>
        <v>0.717212496</v>
      </c>
    </row>
    <row r="617" customFormat="false" ht="17.15" hidden="false" customHeight="false" outlineLevel="0" collapsed="false">
      <c r="A617" s="0" t="s">
        <v>546</v>
      </c>
      <c r="B617" s="0" t="s">
        <v>32</v>
      </c>
      <c r="C617" s="19" t="n">
        <f aca="false">C616*C612</f>
        <v>0</v>
      </c>
      <c r="D617" s="19" t="n">
        <f aca="false">D616*D612</f>
        <v>0.3261</v>
      </c>
      <c r="E617" s="19" t="n">
        <f aca="false">E616*E612</f>
        <v>0.5669664</v>
      </c>
      <c r="F617" s="19" t="n">
        <f aca="false">F616*F612</f>
        <v>0.59202631488</v>
      </c>
      <c r="G617" s="19" t="n">
        <f aca="false">G616*G612</f>
        <v>0.590265884208</v>
      </c>
    </row>
    <row r="618" customFormat="false" ht="15" hidden="false" customHeight="false" outlineLevel="0" collapsed="false">
      <c r="A618" s="4" t="s">
        <v>537</v>
      </c>
      <c r="B618" s="0" t="s">
        <v>32</v>
      </c>
      <c r="C618" s="19" t="n">
        <f aca="false">C613+C615+C617</f>
        <v>1.579729074</v>
      </c>
      <c r="D618" s="19" t="n">
        <f aca="false">D613+D615+D617</f>
        <v>2.223085463</v>
      </c>
      <c r="E618" s="19" t="n">
        <f aca="false">E613+E615+E617</f>
        <v>3.60081253483945</v>
      </c>
      <c r="F618" s="19" t="n">
        <f aca="false">F613+F615+F617</f>
        <v>4.32650807341658</v>
      </c>
      <c r="G618" s="19" t="n">
        <f aca="false">G613+G615+G617</f>
        <v>4.79511243606551</v>
      </c>
    </row>
    <row r="619" customFormat="false" ht="15" hidden="false" customHeight="false" outlineLevel="0" collapsed="false">
      <c r="A619" s="4" t="s">
        <v>646</v>
      </c>
      <c r="B619" s="0" t="s">
        <v>32</v>
      </c>
      <c r="C619" s="19" t="n">
        <f aca="false">a25_ci</f>
        <v>1.049733389</v>
      </c>
      <c r="D619" s="19" t="n">
        <f aca="false">a26_ci</f>
        <v>1.545485301</v>
      </c>
      <c r="E619" s="19" t="n">
        <f aca="false">h1ci*(2+h2_ci)</f>
        <v>1.7611985244</v>
      </c>
      <c r="F619" s="19" t="n">
        <f aca="false">E619*(1+g_ci_28)</f>
        <v>1.866870435864</v>
      </c>
      <c r="G619" s="19" t="n">
        <f aca="false">F619*(1+g_ci_29)</f>
        <v>1.9602139576572</v>
      </c>
    </row>
    <row r="620" customFormat="false" ht="15" hidden="false" customHeight="false" outlineLevel="0" collapsed="false">
      <c r="A620" s="4" t="s">
        <v>647</v>
      </c>
      <c r="B620" s="0" t="s">
        <v>32</v>
      </c>
      <c r="C620" s="19" t="n">
        <f aca="false">a25_aio</f>
        <v>0.789864537</v>
      </c>
      <c r="D620" s="19" t="n">
        <f aca="false">a26_aio</f>
        <v>0.872526236</v>
      </c>
      <c r="E620" s="19" t="n">
        <f aca="false">h1aio*(2+h2_aio)</f>
        <v>0.9722450688</v>
      </c>
      <c r="F620" s="19" t="n">
        <f aca="false">E620*(1+g_aio_28)</f>
        <v>1.02085732224</v>
      </c>
      <c r="G620" s="19" t="n">
        <f aca="false">F620*(1+g_aio_29)</f>
        <v>1.071900188352</v>
      </c>
    </row>
    <row r="621" customFormat="false" ht="15" hidden="false" customHeight="false" outlineLevel="0" collapsed="false">
      <c r="A621" s="4" t="s">
        <v>535</v>
      </c>
      <c r="B621" s="0" t="s">
        <v>32</v>
      </c>
      <c r="C621" s="19" t="n">
        <f aca="false">C618+C619+C620</f>
        <v>3.419327</v>
      </c>
      <c r="D621" s="19" t="n">
        <f aca="false">D618+D619+D620</f>
        <v>4.641097</v>
      </c>
      <c r="E621" s="19" t="n">
        <f aca="false">E618+E619+E620</f>
        <v>6.33425612803945</v>
      </c>
      <c r="F621" s="19" t="n">
        <f aca="false">F618+F619+F620</f>
        <v>7.21423583152058</v>
      </c>
      <c r="G621" s="19" t="n">
        <f aca="false">G618+G619+G620</f>
        <v>7.82722658207471</v>
      </c>
    </row>
    <row r="622" customFormat="false" ht="15" hidden="false" customHeight="false" outlineLevel="0" collapsed="false">
      <c r="A622" s="4" t="s">
        <v>648</v>
      </c>
      <c r="B622" s="0" t="s">
        <v>65</v>
      </c>
      <c r="D622" s="15" t="n">
        <f aca="false">D621/C621-1</f>
        <v>0.357313003406811</v>
      </c>
      <c r="E622" s="15" t="n">
        <f aca="false">E621/D621-1</f>
        <v>0.36481873316577</v>
      </c>
      <c r="F622" s="15" t="n">
        <f aca="false">F621/E621-1</f>
        <v>0.138923921877073</v>
      </c>
      <c r="G622" s="15" t="n">
        <f aca="false">G621/F621-1</f>
        <v>0.084969602445742</v>
      </c>
    </row>
    <row r="623" customFormat="false" ht="17.15" hidden="false" customHeight="false" outlineLevel="0" collapsed="false">
      <c r="A623" s="4" t="s">
        <v>649</v>
      </c>
      <c r="B623" s="0" t="s">
        <v>65</v>
      </c>
      <c r="C623" s="15" t="n">
        <f aca="false">C618/C621</f>
        <v>0.462</v>
      </c>
      <c r="D623" s="15" t="n">
        <f aca="false">D618/D621</f>
        <v>0.479</v>
      </c>
      <c r="E623" s="15" t="n">
        <f aca="false">E618/E621</f>
        <v>0.568466519517574</v>
      </c>
      <c r="F623" s="15" t="n">
        <f aca="false">F618/F621</f>
        <v>0.599718137091266</v>
      </c>
      <c r="G623" s="15" t="n">
        <f aca="false">G618/G621</f>
        <v>0.612619602331034</v>
      </c>
    </row>
    <row r="624" customFormat="false" ht="17.15" hidden="false" customHeight="false" outlineLevel="0" collapsed="false">
      <c r="A624" s="1" t="s">
        <v>650</v>
      </c>
    </row>
    <row r="625" customFormat="false" ht="17.15" hidden="false" customHeight="false" outlineLevel="0" collapsed="false">
      <c r="A625" s="4" t="s">
        <v>615</v>
      </c>
      <c r="B625" s="0" t="s">
        <v>65</v>
      </c>
      <c r="C625" s="15" t="n">
        <f aca="false">a25_gp/a25_rev</f>
        <v>0.123943980789202</v>
      </c>
      <c r="D625" s="15" t="n">
        <f aca="false">a26_gp/a26_rev</f>
        <v>0.122378394590762</v>
      </c>
      <c r="E625" s="15" t="n">
        <f aca="false">gm_27</f>
        <v>0.123</v>
      </c>
      <c r="F625" s="15" t="n">
        <f aca="false">gm_28</f>
        <v>0.123</v>
      </c>
      <c r="G625" s="15" t="n">
        <f aca="false">gm_29</f>
        <v>0.123</v>
      </c>
      <c r="H625" s="7" t="s">
        <v>651</v>
      </c>
    </row>
    <row r="626" customFormat="false" ht="15" hidden="false" customHeight="false" outlineLevel="0" collapsed="false">
      <c r="A626" s="4" t="s">
        <v>652</v>
      </c>
      <c r="B626" s="0" t="s">
        <v>32</v>
      </c>
      <c r="C626" s="19" t="n">
        <f aca="false">C621*C625</f>
        <v>0.423805</v>
      </c>
      <c r="D626" s="19" t="n">
        <f aca="false">D621*D625</f>
        <v>0.56797</v>
      </c>
      <c r="E626" s="19" t="n">
        <f aca="false">E621*E625</f>
        <v>0.779113503748853</v>
      </c>
      <c r="F626" s="19" t="n">
        <f aca="false">F621*F625</f>
        <v>0.887351007277031</v>
      </c>
      <c r="G626" s="19" t="n">
        <f aca="false">G621*G625</f>
        <v>0.962748869595189</v>
      </c>
    </row>
    <row r="627" customFormat="false" ht="15" hidden="false" customHeight="false" outlineLevel="0" collapsed="false">
      <c r="A627" s="4" t="s">
        <v>653</v>
      </c>
      <c r="B627" s="0" t="s">
        <v>32</v>
      </c>
      <c r="C627" s="19" t="n">
        <f aca="false">a25_opx</f>
        <v>0.063093</v>
      </c>
      <c r="D627" s="19" t="n">
        <f aca="false">a26_opx</f>
        <v>0.0679069999999999</v>
      </c>
      <c r="E627" s="19" t="n">
        <f aca="false">D627*(1+MAX(0,phi*E622))</f>
        <v>0.0731971472651966</v>
      </c>
      <c r="F627" s="19" t="n">
        <f aca="false">E627*(1+MAX(0,phi*F622))</f>
        <v>0.0753685844819478</v>
      </c>
      <c r="G627" s="19" t="n">
        <f aca="false">F627*(1+MAX(0,phi*G622))</f>
        <v>0.0767360929724889</v>
      </c>
    </row>
    <row r="628" customFormat="false" ht="15" hidden="false" customHeight="false" outlineLevel="0" collapsed="false">
      <c r="A628" s="4" t="s">
        <v>654</v>
      </c>
      <c r="B628" s="0" t="s">
        <v>32</v>
      </c>
      <c r="C628" s="14" t="n">
        <f aca="false">C627</f>
        <v>0.063093</v>
      </c>
      <c r="D628" s="14" t="n">
        <f aca="false">D627</f>
        <v>0.0679069999999999</v>
      </c>
      <c r="E628" s="14" t="n">
        <f aca="false">E627+0*E621</f>
        <v>0.0731971472651966</v>
      </c>
      <c r="F628" s="14" t="n">
        <f aca="false">F627+0*F621</f>
        <v>0.0753685844819478</v>
      </c>
      <c r="G628" s="14" t="n">
        <f aca="false">G627+0*G621</f>
        <v>0.0767360929724889</v>
      </c>
    </row>
    <row r="629" customFormat="false" ht="15" hidden="false" customHeight="false" outlineLevel="0" collapsed="false">
      <c r="A629" s="4" t="s">
        <v>655</v>
      </c>
      <c r="B629" s="0" t="s">
        <v>32</v>
      </c>
      <c r="C629" s="19" t="n">
        <f aca="false">C626-C628</f>
        <v>0.360712</v>
      </c>
      <c r="D629" s="19" t="n">
        <f aca="false">D626-D628</f>
        <v>0.500063</v>
      </c>
      <c r="E629" s="19" t="n">
        <f aca="false">E626-E628</f>
        <v>0.705916356483656</v>
      </c>
      <c r="F629" s="19" t="n">
        <f aca="false">F626-F628</f>
        <v>0.811982422795084</v>
      </c>
      <c r="G629" s="19" t="n">
        <f aca="false">G626-G628</f>
        <v>0.8860127766227</v>
      </c>
    </row>
    <row r="630" customFormat="false" ht="15" hidden="false" customHeight="false" outlineLevel="0" collapsed="false">
      <c r="A630" s="4" t="s">
        <v>616</v>
      </c>
      <c r="B630" s="0" t="s">
        <v>65</v>
      </c>
      <c r="C630" s="15" t="n">
        <f aca="false">C629/C621</f>
        <v>0.10549210414798</v>
      </c>
      <c r="D630" s="15" t="n">
        <f aca="false">D629/D621</f>
        <v>0.107746724535169</v>
      </c>
      <c r="E630" s="15" t="n">
        <f aca="false">E629/E621</f>
        <v>0.111444239420446</v>
      </c>
      <c r="F630" s="15" t="n">
        <f aca="false">F629/F621</f>
        <v>0.112552797241165</v>
      </c>
      <c r="G630" s="15" t="n">
        <f aca="false">G629/G621</f>
        <v>0.113196260173658</v>
      </c>
    </row>
    <row r="631" customFormat="false" ht="15" hidden="false" customHeight="false" outlineLevel="0" collapsed="false">
      <c r="A631" s="4" t="s">
        <v>656</v>
      </c>
      <c r="B631" s="0" t="s">
        <v>32</v>
      </c>
      <c r="C631" s="14" t="n">
        <f aca="false">a25_oth</f>
        <v>0.030733</v>
      </c>
      <c r="D631" s="14" t="n">
        <f aca="false">a26_oth</f>
        <v>0.0354829999999999</v>
      </c>
      <c r="E631" s="14" t="n">
        <f aca="false">int_f</f>
        <v>0.03</v>
      </c>
      <c r="F631" s="14" t="n">
        <f aca="false">int_f</f>
        <v>0.03</v>
      </c>
      <c r="G631" s="14" t="n">
        <f aca="false">int_f</f>
        <v>0.03</v>
      </c>
    </row>
    <row r="632" customFormat="false" ht="15" hidden="false" customHeight="false" outlineLevel="0" collapsed="false">
      <c r="A632" s="4" t="s">
        <v>657</v>
      </c>
      <c r="B632" s="0" t="s">
        <v>32</v>
      </c>
      <c r="C632" s="19" t="n">
        <f aca="false">C629+C631</f>
        <v>0.391445</v>
      </c>
      <c r="D632" s="19" t="n">
        <f aca="false">D629+D631</f>
        <v>0.535546</v>
      </c>
      <c r="E632" s="19" t="n">
        <f aca="false">E629+E631</f>
        <v>0.735916356483656</v>
      </c>
      <c r="F632" s="19" t="n">
        <f aca="false">F629+F631</f>
        <v>0.841982422795084</v>
      </c>
      <c r="G632" s="19" t="n">
        <f aca="false">G629+G631</f>
        <v>0.9160127766227</v>
      </c>
    </row>
    <row r="633" customFormat="false" ht="15" hidden="false" customHeight="false" outlineLevel="0" collapsed="false">
      <c r="A633" s="4" t="s">
        <v>617</v>
      </c>
      <c r="B633" s="0" t="s">
        <v>32</v>
      </c>
      <c r="C633" s="19" t="n">
        <f aca="false">a25_ni</f>
        <v>0.368792</v>
      </c>
      <c r="D633" s="19" t="n">
        <f aca="false">a26_ni</f>
        <v>0.510907</v>
      </c>
      <c r="E633" s="19" t="n">
        <f aca="false">E632*(1-(tx+p2))</f>
        <v>0.632888066575944</v>
      </c>
      <c r="F633" s="19" t="n">
        <f aca="false">F632*(1-(tx+p2))</f>
        <v>0.724104883603772</v>
      </c>
      <c r="G633" s="19" t="n">
        <f aca="false">G632*(1-(tx+p2))</f>
        <v>0.787770987895522</v>
      </c>
    </row>
    <row r="634" customFormat="false" ht="15" hidden="false" customHeight="false" outlineLevel="0" collapsed="false">
      <c r="A634" s="4" t="s">
        <v>658</v>
      </c>
      <c r="B634" s="0" t="s">
        <v>65</v>
      </c>
      <c r="C634" s="15" t="n">
        <f aca="false">C633/C621</f>
        <v>0.107855142254602</v>
      </c>
      <c r="D634" s="15" t="n">
        <f aca="false">D633/D621</f>
        <v>0.110083241095801</v>
      </c>
      <c r="E634" s="15" t="n">
        <f aca="false">E633/E621</f>
        <v>0.0999151366447559</v>
      </c>
      <c r="F634" s="15" t="n">
        <f aca="false">F633/F621</f>
        <v>0.100371667979025</v>
      </c>
      <c r="G634" s="15" t="n">
        <f aca="false">G633/G621</f>
        <v>0.100644970429196</v>
      </c>
    </row>
    <row r="635" customFormat="false" ht="15" hidden="false" customHeight="false" outlineLevel="0" collapsed="false">
      <c r="A635" s="4" t="s">
        <v>559</v>
      </c>
      <c r="B635" s="4" t="s">
        <v>307</v>
      </c>
      <c r="C635" s="16" t="n">
        <f aca="false">a25_sh</f>
        <v>0.036267</v>
      </c>
      <c r="D635" s="16" t="n">
        <f aca="false">a26_sh</f>
        <v>0.036252</v>
      </c>
      <c r="E635" s="16" t="n">
        <f aca="false">sh_q1*(1+sh_g)</f>
        <v>0.0363</v>
      </c>
      <c r="F635" s="16" t="n">
        <f aca="false">E635*(1+sh_g)</f>
        <v>0.0363</v>
      </c>
      <c r="G635" s="16" t="n">
        <f aca="false">F635*(1+sh_g)</f>
        <v>0.0363</v>
      </c>
    </row>
    <row r="636" customFormat="false" ht="15" hidden="false" customHeight="false" outlineLevel="0" collapsed="false">
      <c r="A636" s="0" t="s">
        <v>618</v>
      </c>
      <c r="B636" s="0" t="s">
        <v>217</v>
      </c>
      <c r="C636" s="19" t="n">
        <f aca="false">C633/C635</f>
        <v>10.1688035955552</v>
      </c>
      <c r="D636" s="19" t="n">
        <f aca="false">D633/D635</f>
        <v>14.0932086505572</v>
      </c>
      <c r="E636" s="19" t="n">
        <f aca="false">E633/E635</f>
        <v>17.4349329635246</v>
      </c>
      <c r="F636" s="19" t="n">
        <f aca="false">F633/F635</f>
        <v>19.947792936743</v>
      </c>
      <c r="G636" s="19" t="n">
        <f aca="false">G633/G635</f>
        <v>21.7016801073147</v>
      </c>
    </row>
    <row r="637" customFormat="false" ht="17.15" hidden="false" customHeight="false" outlineLevel="0" collapsed="false">
      <c r="A637" s="0" t="s">
        <v>659</v>
      </c>
      <c r="B637" s="0" t="s">
        <v>65</v>
      </c>
      <c r="D637" s="15" t="n">
        <f aca="false">D636/C636-1</f>
        <v>0.385925936923139</v>
      </c>
      <c r="E637" s="15" t="n">
        <f aca="false">E636/D636-1</f>
        <v>0.237115932632936</v>
      </c>
      <c r="F637" s="15" t="n">
        <f aca="false">F636/E636-1</f>
        <v>0.144127882709701</v>
      </c>
      <c r="G637" s="15" t="n">
        <f aca="false">G636/F636-1</f>
        <v>0.0879238708830314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952</v>
      </c>
    </row>
    <row r="2" customFormat="false" ht="17.15" hidden="false" customHeight="false" outlineLevel="0" collapsed="false">
      <c r="A2" s="4" t="s">
        <v>953</v>
      </c>
      <c r="B2" s="0" t="s">
        <v>954</v>
      </c>
    </row>
    <row r="3" customFormat="false" ht="17.15" hidden="false" customHeight="false" outlineLevel="0" collapsed="false">
      <c r="A3" s="4" t="s">
        <v>955</v>
      </c>
      <c r="B3" s="0" t="s">
        <v>956</v>
      </c>
    </row>
    <row r="4" customFormat="false" ht="17.15" hidden="false" customHeight="false" outlineLevel="0" collapsed="false">
      <c r="A4" s="4" t="s">
        <v>957</v>
      </c>
      <c r="B4" s="0" t="s">
        <v>958</v>
      </c>
    </row>
    <row r="5" customFormat="false" ht="17.15" hidden="false" customHeight="false" outlineLevel="0" collapsed="false">
      <c r="A5" s="4" t="s">
        <v>959</v>
      </c>
      <c r="B5" s="0" t="s">
        <v>960</v>
      </c>
    </row>
    <row r="6" customFormat="false" ht="17.15" hidden="false" customHeight="false" outlineLevel="0" collapsed="false">
      <c r="A6" s="4" t="s">
        <v>961</v>
      </c>
      <c r="B6" s="0" t="s">
        <v>962</v>
      </c>
    </row>
    <row r="7" customFormat="false" ht="17.15" hidden="false" customHeight="false" outlineLevel="0" collapsed="false">
      <c r="A7" s="4" t="s">
        <v>963</v>
      </c>
      <c r="B7" s="0" t="s">
        <v>964</v>
      </c>
    </row>
    <row r="8" customFormat="false" ht="17.15" hidden="false" customHeight="false" outlineLevel="0" collapsed="false">
      <c r="A8" s="4" t="s">
        <v>965</v>
      </c>
      <c r="B8" s="0" t="s">
        <v>966</v>
      </c>
    </row>
    <row r="9" customFormat="false" ht="17.15" hidden="false" customHeight="false" outlineLevel="0" collapsed="false">
      <c r="A9" s="4" t="s">
        <v>967</v>
      </c>
      <c r="B9" s="0" t="s">
        <v>968</v>
      </c>
    </row>
    <row r="10" customFormat="false" ht="17.15" hidden="false" customHeight="false" outlineLevel="0" collapsed="false">
      <c r="A10" s="4" t="s">
        <v>969</v>
      </c>
      <c r="B10" s="0" t="s">
        <v>970</v>
      </c>
    </row>
    <row r="11" customFormat="false" ht="17.15" hidden="false" customHeight="false" outlineLevel="0" collapsed="false">
      <c r="A11" s="4" t="s">
        <v>971</v>
      </c>
      <c r="B11" s="0" t="s">
        <v>972</v>
      </c>
    </row>
    <row r="12" customFormat="false" ht="17.15" hidden="false" customHeight="false" outlineLevel="0" collapsed="false">
      <c r="A12" s="4" t="s">
        <v>973</v>
      </c>
      <c r="B12" s="0" t="s">
        <v>974</v>
      </c>
    </row>
    <row r="13" customFormat="false" ht="17.15" hidden="false" customHeight="false" outlineLevel="0" collapsed="false">
      <c r="A13" s="4" t="s">
        <v>975</v>
      </c>
      <c r="B13" s="0" t="s">
        <v>976</v>
      </c>
    </row>
    <row r="14" customFormat="false" ht="17.15" hidden="false" customHeight="false" outlineLevel="0" collapsed="false">
      <c r="A14" s="4" t="s">
        <v>977</v>
      </c>
      <c r="B14" s="0" t="s">
        <v>978</v>
      </c>
    </row>
    <row r="15" customFormat="false" ht="17.15" hidden="false" customHeight="false" outlineLevel="0" collapsed="false">
      <c r="A15" s="4" t="s">
        <v>979</v>
      </c>
      <c r="B15" s="0" t="s">
        <v>980</v>
      </c>
    </row>
    <row r="16" customFormat="false" ht="17.15" hidden="false" customHeight="false" outlineLevel="0" collapsed="false">
      <c r="A16" s="4" t="s">
        <v>981</v>
      </c>
      <c r="B16" s="0" t="s">
        <v>982</v>
      </c>
    </row>
    <row r="17" customFormat="false" ht="17.15" hidden="false" customHeight="false" outlineLevel="0" collapsed="false">
      <c r="A17" s="4" t="s">
        <v>983</v>
      </c>
    </row>
    <row r="18" customFormat="false" ht="17.15" hidden="false" customHeight="false" outlineLevel="0" collapsed="false">
      <c r="A18" s="4" t="s">
        <v>984</v>
      </c>
      <c r="B18" s="4" t="s">
        <v>985</v>
      </c>
    </row>
    <row r="19" customFormat="false" ht="15" hidden="false" customHeight="false" outlineLevel="0" collapsed="false">
      <c r="A19" s="0" t="s">
        <v>986</v>
      </c>
      <c r="B19" s="4" t="s">
        <v>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2026-10-28T00:05:17Z</dcterms:created>
  <dc:creator>openpyxl</dc:creator>
  <dc:description/>
  <dc:language>en-US</dc:language>
  <cp:lastModifiedBy/>
  <dcterms:modified xsi:type="dcterms:W3CDTF">2026-10-28T00:05:17Z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