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u" vbProcedure="false">Q!$B$7</definedName>
    <definedName function="false" hidden="false" name="a25_cm" vbProcedure="false">Q!$B$5</definedName>
    <definedName function="false" hidden="false" name="a25_comp" vbProcedure="false">Q!$B$6</definedName>
    <definedName function="false" hidden="false" name="a25_cs" vbProcedure="false">Q!$B$8</definedName>
    <definedName function="false" hidden="false" name="a25_da" vbProcedure="false">Q!$B$21</definedName>
    <definedName function="false" hidden="false" name="a25_eps" vbProcedure="false">Q!$B$19</definedName>
    <definedName function="false" hidden="false" name="a25_gp" vbProcedure="false">Q!$B$9</definedName>
    <definedName function="false" hidden="false" name="a25_nci" vbProcedure="false">Q!$B$16</definedName>
    <definedName function="false" hidden="false" name="a25_ni" vbProcedure="false">Q!$B$17</definedName>
    <definedName function="false" hidden="false" name="a25_nonop" vbProcedure="false">Q!$B$13</definedName>
    <definedName function="false" hidden="false" name="a25_oi" vbProcedure="false">Q!$B$12</definedName>
    <definedName function="false" hidden="false" name="a25_opx" vbProcedure="false">Q!$B$11</definedName>
    <definedName function="false" hidden="false" name="a25_rev" vbProcedure="false">Q!$B$4</definedName>
    <definedName function="false" hidden="false" name="a25_sh" vbProcedure="false">Q!$B$18</definedName>
    <definedName function="false" hidden="false" name="a25_tax" vbProcedure="false">Q!$B$15</definedName>
    <definedName function="false" hidden="false" name="a26_au" vbProcedure="false">Q!$G$7</definedName>
    <definedName function="false" hidden="false" name="a26_cm" vbProcedure="false">Q!$G$5</definedName>
    <definedName function="false" hidden="false" name="a26_comp" vbProcedure="false">Q!$G$6</definedName>
    <definedName function="false" hidden="false" name="a26_cs" vbProcedure="false">Q!$G$8</definedName>
    <definedName function="false" hidden="false" name="a26_da" vbProcedure="false">Q!$G$21</definedName>
    <definedName function="false" hidden="false" name="a26_eps" vbProcedure="false">Q!$G$19</definedName>
    <definedName function="false" hidden="false" name="a26_gp" vbProcedure="false">Q!$G$9</definedName>
    <definedName function="false" hidden="false" name="a26_nci" vbProcedure="false">Q!$G$16</definedName>
    <definedName function="false" hidden="false" name="a26_ni" vbProcedure="false">Q!$G$17</definedName>
    <definedName function="false" hidden="false" name="a26_nonop" vbProcedure="false">Q!$G$13</definedName>
    <definedName function="false" hidden="false" name="a26_oi" vbProcedure="false">Q!$G$12</definedName>
    <definedName function="false" hidden="false" name="a26_opx" vbProcedure="false">Q!$G$11</definedName>
    <definedName function="false" hidden="false" name="a26_rev" vbProcedure="false">Q!$G$4</definedName>
    <definedName function="false" hidden="false" name="a26_sh" vbProcedure="false">Q!$G$18</definedName>
    <definedName function="false" hidden="false" name="a26_tax" vbProcedure="false">Q!$G$15</definedName>
    <definedName function="false" hidden="false" name="apple" vbProcedure="false">In!$E$114</definedName>
    <definedName function="false" hidden="false" name="ar_26" vbProcedure="false">In!$E$15</definedName>
    <definedName function="false" hidden="false" name="ar_27" vbProcedure="false">In!$E$16</definedName>
    <definedName function="false" hidden="false" name="ar_28" vbProcedure="false">In!$E$17</definedName>
    <definedName function="false" hidden="false" name="ar_29" vbProcedure="false">In!$E$18</definedName>
    <definedName function="false" hidden="false" name="az_capex1" vbProcedure="false">In!$E$62</definedName>
    <definedName function="false" hidden="false" name="az_capex1_hi" vbProcedure="false">In!$F$62</definedName>
    <definedName function="false" hidden="false" name="az_capex1_lo" vbProcedure="false">In!$D$62</definedName>
    <definedName function="false" hidden="false" name="az_cm" vbProcedure="false">In!$E$58</definedName>
    <definedName function="false" hidden="false" name="az_cm_hi" vbProcedure="false">In!$F$58</definedName>
    <definedName function="false" hidden="false" name="az_cm_lo" vbProcedure="false">In!$D$58</definedName>
    <definedName function="false" hidden="false" name="az_fix27" vbProcedure="false">In!$E$59</definedName>
    <definedName function="false" hidden="false" name="az_fix27_hi" vbProcedure="false">In!$F$59</definedName>
    <definedName function="false" hidden="false" name="az_fix27_lo" vbProcedure="false">In!$D$59</definedName>
    <definedName function="false" hidden="false" name="az_fix28" vbProcedure="false">In!$E$60</definedName>
    <definedName function="false" hidden="false" name="az_fix28_hi" vbProcedure="false">In!$F$60</definedName>
    <definedName function="false" hidden="false" name="az_fix28_lo" vbProcedure="false">In!$D$60</definedName>
    <definedName function="false" hidden="false" name="az_fix29" vbProcedure="false">In!$E$61</definedName>
    <definedName function="false" hidden="false" name="az_fix29_hi" vbProcedure="false">In!$F$61</definedName>
    <definedName function="false" hidden="false" name="az_fix29_lo" vbProcedure="false">In!$D$61</definedName>
    <definedName function="false" hidden="false" name="az_inc" vbProcedure="false">In!$E$63</definedName>
    <definedName function="false" hidden="false" name="az_inc_hi" vbProcedure="false">In!$F$63</definedName>
    <definedName function="false" hidden="false" name="az_inc_lo" vbProcedure="false">In!$D$63</definedName>
    <definedName function="false" hidden="false" name="az_life" vbProcedure="false">In!$E$64</definedName>
    <definedName function="false" hidden="false" name="az_life_hi" vbProcedure="false">In!$F$64</definedName>
    <definedName function="false" hidden="false" name="az_life_lo" vbProcedure="false">In!$D$64</definedName>
    <definedName function="false" hidden="false" name="az_rev28_A" vbProcedure="false">In!$E$52</definedName>
    <definedName function="false" hidden="false" name="az_rev28_B" vbProcedure="false">In!$E$54</definedName>
    <definedName function="false" hidden="false" name="az_rev28_C" vbProcedure="false">In!$E$56</definedName>
    <definedName function="false" hidden="false" name="az_rev29_A" vbProcedure="false">In!$E$53</definedName>
    <definedName function="false" hidden="false" name="az_rev29_B" vbProcedure="false">In!$E$55</definedName>
    <definedName function="false" hidden="false" name="az_rev29_C" vbProcedure="false">In!$E$57</definedName>
    <definedName function="false" hidden="false" name="az_svc28" vbProcedure="false">In!$E$65</definedName>
    <definedName function="false" hidden="false" name="az_svc28_hi" vbProcedure="false">In!$F$65</definedName>
    <definedName function="false" hidden="false" name="az_svc28_lo" vbProcedure="false">In!$D$65</definedName>
    <definedName function="false" hidden="false" name="capex26" vbProcedure="false">In!$E$103</definedName>
    <definedName function="false" hidden="false" name="capex26_hi" vbProcedure="false">In!$F$103</definedName>
    <definedName function="false" hidden="false" name="capex26_lo" vbProcedure="false">In!$D$103</definedName>
    <definedName function="false" hidden="false" name="capi" vbProcedure="false">In!$E$68</definedName>
    <definedName function="false" hidden="false" name="capit_gb" vbProcedure="false">In!$E$25</definedName>
    <definedName function="false" hidden="false" name="capit_vr" vbProcedure="false">In!$E$26</definedName>
    <definedName function="false" hidden="false" name="capi_hi" vbProcedure="false">In!$F$68</definedName>
    <definedName function="false" hidden="false" name="capi_lo" vbProcedure="false">In!$D$68</definedName>
    <definedName function="false" hidden="false" name="cap_m26" vbProcedure="false">In!$E$69</definedName>
    <definedName function="false" hidden="false" name="cap_m26_hi" vbProcedure="false">In!$F$69</definedName>
    <definedName function="false" hidden="false" name="cap_m26_lo" vbProcedure="false">In!$D$69</definedName>
    <definedName function="false" hidden="false" name="cons_eps26" vbProcedure="false">In!$E$111</definedName>
    <definedName function="false" hidden="false" name="cons_eps26_hi" vbProcedure="false">In!$F$111</definedName>
    <definedName function="false" hidden="false" name="cons_eps26_lo" vbProcedure="false">In!$D$111</definedName>
    <definedName function="false" hidden="false" name="cons_eps27" vbProcedure="false">In!$E$112</definedName>
    <definedName function="false" hidden="false" name="cons_feps" vbProcedure="false">In!$E$119</definedName>
    <definedName function="false" hidden="false" name="cons_q3rev" vbProcedure="false">In!$E$113</definedName>
    <definedName function="false" hidden="false" name="cons_rev26" vbProcedure="false">In!$E$110</definedName>
    <definedName function="false" hidden="false" name="cons_rev26_hi" vbProcedure="false">In!$F$110</definedName>
    <definedName function="false" hidden="false" name="cons_rev26_lo" vbProcedure="false">In!$D$110</definedName>
    <definedName function="false" hidden="false" name="cons_tp" vbProcedure="false">In!$E$120</definedName>
    <definedName function="false" hidden="false" name="cons_tp_hi" vbProcedure="false">In!$F$120</definedName>
    <definedName function="false" hidden="false" name="cons_tp_lo" vbProcedure="false">In!$D$120</definedName>
    <definedName function="false" hidden="false" name="cow_util27" vbProcedure="false">In!$E$19</definedName>
    <definedName function="false" hidden="false" name="el" vbProcedure="false">In!$E$40</definedName>
    <definedName function="false" hidden="false" name="el_hi" vbProcedure="false">In!$F$40</definedName>
    <definedName function="false" hidden="false" name="el_lo" vbProcedure="false">In!$D$40</definedName>
    <definedName function="false" hidden="false" name="fade_gA" vbProcedure="false">In!$E$130</definedName>
    <definedName function="false" hidden="false" name="fade_gB" vbProcedure="false">In!$E$131</definedName>
    <definedName function="false" hidden="false" name="fade_gC" vbProcedure="false">In!$E$132</definedName>
    <definedName function="false" hidden="false" name="fade_mA" vbProcedure="false">In!$E$133</definedName>
    <definedName function="false" hidden="false" name="fade_mB" vbProcedure="false">In!$E$134</definedName>
    <definedName function="false" hidden="false" name="fade_mC" vbProcedure="false">In!$E$135</definedName>
    <definedName function="false" hidden="false" name="fpe" vbProcedure="false">In!$E$118</definedName>
    <definedName function="false" hidden="false" name="ft" vbProcedure="false">In!$E$67</definedName>
    <definedName function="false" hidden="false" name="ft_hi" vbProcedure="false">In!$F$67</definedName>
    <definedName function="false" hidden="false" name="ft_lo" vbProcedure="false">In!$D$67</definedName>
    <definedName function="false" hidden="false" name="g3_au" vbProcedure="false">In!$E$82</definedName>
    <definedName function="false" hidden="false" name="g3_au_hi" vbProcedure="false">In!$F$82</definedName>
    <definedName function="false" hidden="false" name="g3_au_lo" vbProcedure="false">In!$D$82</definedName>
    <definedName function="false" hidden="false" name="g3_cm" vbProcedure="false">In!$E$80</definedName>
    <definedName function="false" hidden="false" name="g3_cm_hi" vbProcedure="false">In!$F$80</definedName>
    <definedName function="false" hidden="false" name="g3_cm_lo" vbProcedure="false">In!$D$80</definedName>
    <definedName function="false" hidden="false" name="g3_cp" vbProcedure="false">In!$E$81</definedName>
    <definedName function="false" hidden="false" name="g3_cp_hi" vbProcedure="false">In!$F$81</definedName>
    <definedName function="false" hidden="false" name="g3_cp_lo" vbProcedure="false">In!$D$81</definedName>
    <definedName function="false" hidden="false" name="g3_cs" vbProcedure="false">In!$E$83</definedName>
    <definedName function="false" hidden="false" name="g3_cs_hi" vbProcedure="false">In!$F$83</definedName>
    <definedName function="false" hidden="false" name="g3_cs_lo" vbProcedure="false">In!$D$83</definedName>
    <definedName function="false" hidden="false" name="g3_eps" vbProcedure="false">In!$E$102</definedName>
    <definedName function="false" hidden="false" name="g3_eps_hi" vbProcedure="false">In!$F$102</definedName>
    <definedName function="false" hidden="false" name="g3_eps_lo" vbProcedure="false">In!$D$102</definedName>
    <definedName function="false" hidden="false" name="g3_ni" vbProcedure="false">In!$E$101</definedName>
    <definedName function="false" hidden="false" name="g3_ni_hi" vbProcedure="false">In!$F$101</definedName>
    <definedName function="false" hidden="false" name="g3_ni_lo" vbProcedure="false">In!$D$101</definedName>
    <definedName function="false" hidden="false" name="g3_rev" vbProcedure="false">In!$E$100</definedName>
    <definedName function="false" hidden="false" name="g3_rev_hi" vbProcedure="false">In!$F$100</definedName>
    <definedName function="false" hidden="false" name="g3_rev_lo" vbProcedure="false">In!$D$100</definedName>
    <definedName function="false" hidden="false" name="gain25" vbProcedure="false">In!$E$98</definedName>
    <definedName function="false" hidden="false" name="g_au" vbProcedure="false">In!$E$48</definedName>
    <definedName function="false" hidden="false" name="g_au_hi" vbProcedure="false">In!$F$48</definedName>
    <definedName function="false" hidden="false" name="g_au_lo" vbProcedure="false">In!$D$48</definedName>
    <definedName function="false" hidden="false" name="g_cm27_A" vbProcedure="false">In!$E$42</definedName>
    <definedName function="false" hidden="false" name="g_cm27_A_hi" vbProcedure="false">In!$F$42</definedName>
    <definedName function="false" hidden="false" name="g_cm27_A_lo" vbProcedure="false">In!$D$42</definedName>
    <definedName function="false" hidden="false" name="g_cm27_B" vbProcedure="false">In!$E$44</definedName>
    <definedName function="false" hidden="false" name="g_cm27_B_hi" vbProcedure="false">In!$F$44</definedName>
    <definedName function="false" hidden="false" name="g_cm27_B_lo" vbProcedure="false">In!$D$44</definedName>
    <definedName function="false" hidden="false" name="g_cm27_C" vbProcedure="false">In!$E$46</definedName>
    <definedName function="false" hidden="false" name="g_cm27_C_hi" vbProcedure="false">In!$F$46</definedName>
    <definedName function="false" hidden="false" name="g_cm27_C_lo" vbProcedure="false">In!$D$46</definedName>
    <definedName function="false" hidden="false" name="g_cmL_A" vbProcedure="false">In!$E$43</definedName>
    <definedName function="false" hidden="false" name="g_cmL_A_hi" vbProcedure="false">In!$F$43</definedName>
    <definedName function="false" hidden="false" name="g_cmL_A_lo" vbProcedure="false">In!$D$43</definedName>
    <definedName function="false" hidden="false" name="g_cmL_B" vbProcedure="false">In!$E$45</definedName>
    <definedName function="false" hidden="false" name="g_cmL_B_hi" vbProcedure="false">In!$F$45</definedName>
    <definedName function="false" hidden="false" name="g_cmL_B_lo" vbProcedure="false">In!$D$45</definedName>
    <definedName function="false" hidden="false" name="g_cmL_C" vbProcedure="false">In!$E$47</definedName>
    <definedName function="false" hidden="false" name="g_cmL_C_hi" vbProcedure="false">In!$F$47</definedName>
    <definedName function="false" hidden="false" name="g_cmL_C_lo" vbProcedure="false">In!$D$47</definedName>
    <definedName function="false" hidden="false" name="g_cs" vbProcedure="false">In!$E$49</definedName>
    <definedName function="false" hidden="false" name="g_cs_hi" vbProcedure="false">In!$F$49</definedName>
    <definedName function="false" hidden="false" name="g_cs_lo" vbProcedure="false">In!$D$49</definedName>
    <definedName function="false" hidden="false" name="g_pc" vbProcedure="false">In!$E$50</definedName>
    <definedName function="false" hidden="false" name="g_pc26" vbProcedure="false">In!$E$31</definedName>
    <definedName function="false" hidden="false" name="g_pc26_hi" vbProcedure="false">In!$F$31</definedName>
    <definedName function="false" hidden="false" name="g_pc26_lo" vbProcedure="false">In!$D$31</definedName>
    <definedName function="false" hidden="false" name="g_pc_hi" vbProcedure="false">In!$F$50</definedName>
    <definedName function="false" hidden="false" name="g_pc_lo" vbProcedure="false">In!$D$50</definedName>
    <definedName function="false" hidden="false" name="itc_26" vbProcedure="false">In!$E$21</definedName>
    <definedName function="false" hidden="false" name="itc_27" vbProcedure="false">In!$E$22</definedName>
    <definedName function="false" hidden="false" name="itc_28" vbProcedure="false">In!$E$23</definedName>
    <definedName function="false" hidden="false" name="itc_29" vbProcedure="false">In!$E$24</definedName>
    <definedName function="false" hidden="false" name="life" vbProcedure="false">In!$E$70</definedName>
    <definedName function="false" hidden="false" name="life_hi" vbProcedure="false">In!$F$70</definedName>
    <definedName function="false" hidden="false" name="life_lo" vbProcedure="false">In!$D$70</definedName>
    <definedName function="false" hidden="false" name="nci" vbProcedure="false">In!$E$77</definedName>
    <definedName function="false" hidden="false" name="nim10" vbProcedure="false">In!$E$121</definedName>
    <definedName function="false" hidden="false" name="nonop27" vbProcedure="false">In!$E$73</definedName>
    <definedName function="false" hidden="false" name="nonop27_hi" vbProcedure="false">In!$F$73</definedName>
    <definedName function="false" hidden="false" name="nonop27_lo" vbProcedure="false">In!$D$73</definedName>
    <definedName function="false" hidden="false" name="nonop28" vbProcedure="false">In!$E$74</definedName>
    <definedName function="false" hidden="false" name="nonop28_hi" vbProcedure="false">In!$F$74</definedName>
    <definedName function="false" hidden="false" name="nonop28_lo" vbProcedure="false">In!$D$74</definedName>
    <definedName function="false" hidden="false" name="nonop29" vbProcedure="false">In!$E$75</definedName>
    <definedName function="false" hidden="false" name="nonop29_hi" vbProcedure="false">In!$F$75</definedName>
    <definedName function="false" hidden="false" name="nonop29_lo" vbProcedure="false">In!$D$75</definedName>
    <definedName function="false" hidden="false" name="opx_gain" vbProcedure="false">In!$E$72</definedName>
    <definedName function="false" hidden="false" name="osat_ts" vbProcedure="false">In!$E$20</definedName>
    <definedName function="false" hidden="false" name="out_26" vbProcedure="false">In!$E$32</definedName>
    <definedName function="false" hidden="false" name="out_26_hi" vbProcedure="false">In!$F$32</definedName>
    <definedName function="false" hidden="false" name="out_26_lo" vbProcedure="false">In!$D$32</definedName>
    <definedName function="false" hidden="false" name="out_27" vbProcedure="false">In!$E$33</definedName>
    <definedName function="false" hidden="false" name="out_27_hi" vbProcedure="false">In!$F$33</definedName>
    <definedName function="false" hidden="false" name="out_27_lo" vbProcedure="false">In!$D$33</definedName>
    <definedName function="false" hidden="false" name="out_28" vbProcedure="false">In!$E$34</definedName>
    <definedName function="false" hidden="false" name="out_28_hi" vbProcedure="false">In!$F$34</definedName>
    <definedName function="false" hidden="false" name="out_28_lo" vbProcedure="false">In!$D$34</definedName>
    <definedName function="false" hidden="false" name="out_29" vbProcedure="false">In!$E$35</definedName>
    <definedName function="false" hidden="false" name="out_29_hi" vbProcedure="false">In!$F$35</definedName>
    <definedName function="false" hidden="false" name="out_29_lo" vbProcedure="false">In!$D$35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In!$E$117</definedName>
    <definedName function="false" hidden="false" name="phi" vbProcedure="false">In!$E$71</definedName>
    <definedName function="false" hidden="false" name="phi_hi" vbProcedure="false">In!$F$71</definedName>
    <definedName function="false" hidden="false" name="phi_lo" vbProcedure="false">In!$D$71</definedName>
    <definedName function="false" hidden="false" name="px" vbProcedure="false">In!$E$116</definedName>
    <definedName function="false" hidden="false" name="q3_gm" vbProcedure="false">In!$E$84</definedName>
    <definedName function="false" hidden="false" name="q3_gm_hi" vbProcedure="false">In!$F$84</definedName>
    <definedName function="false" hidden="false" name="q3_gm_lo" vbProcedure="false">In!$D$84</definedName>
    <definedName function="false" hidden="false" name="q3_opx" vbProcedure="false">In!$E$85</definedName>
    <definedName function="false" hidden="false" name="q4_au" vbProcedure="false">In!$E$88</definedName>
    <definedName function="false" hidden="false" name="q4_au_hi" vbProcedure="false">In!$F$88</definedName>
    <definedName function="false" hidden="false" name="q4_au_lo" vbProcedure="false">In!$D$88</definedName>
    <definedName function="false" hidden="false" name="q4_cm" vbProcedure="false">In!$E$86</definedName>
    <definedName function="false" hidden="false" name="q4_cm_hi" vbProcedure="false">In!$F$86</definedName>
    <definedName function="false" hidden="false" name="q4_cm_lo" vbProcedure="false">In!$D$86</definedName>
    <definedName function="false" hidden="false" name="q4_cp" vbProcedure="false">In!$E$87</definedName>
    <definedName function="false" hidden="false" name="q4_cp_hi" vbProcedure="false">In!$F$87</definedName>
    <definedName function="false" hidden="false" name="q4_cp_lo" vbProcedure="false">In!$D$87</definedName>
    <definedName function="false" hidden="false" name="q4_cs" vbProcedure="false">In!$E$89</definedName>
    <definedName function="false" hidden="false" name="q4_cs_hi" vbProcedure="false">In!$F$89</definedName>
    <definedName function="false" hidden="false" name="q4_cs_lo" vbProcedure="false">In!$D$89</definedName>
    <definedName function="false" hidden="false" name="q4_gm" vbProcedure="false">In!$E$90</definedName>
    <definedName function="false" hidden="false" name="q4_gm_hi" vbProcedure="false">In!$F$90</definedName>
    <definedName function="false" hidden="false" name="q4_gm_lo" vbProcedure="false">In!$D$90</definedName>
    <definedName function="false" hidden="false" name="q4_opx" vbProcedure="false">In!$E$91</definedName>
    <definedName function="false" hidden="false" name="q4_opx_hi" vbProcedure="false">In!$F$91</definedName>
    <definedName function="false" hidden="false" name="q4_opx_lo" vbProcedure="false">In!$D$91</definedName>
    <definedName function="false" hidden="false" name="q_da3" vbProcedure="false">In!$E$96</definedName>
    <definedName function="false" hidden="false" name="q_da3_hi" vbProcedure="false">In!$F$96</definedName>
    <definedName function="false" hidden="false" name="q_da3_lo" vbProcedure="false">In!$D$96</definedName>
    <definedName function="false" hidden="false" name="q_da4" vbProcedure="false">In!$E$97</definedName>
    <definedName function="false" hidden="false" name="q_da4_hi" vbProcedure="false">In!$F$97</definedName>
    <definedName function="false" hidden="false" name="q_da4_lo" vbProcedure="false">In!$D$97</definedName>
    <definedName function="false" hidden="false" name="q_nci" vbProcedure="false">In!$E$94</definedName>
    <definedName function="false" hidden="false" name="q_nonop" vbProcedure="false">In!$E$92</definedName>
    <definedName function="false" hidden="false" name="q_nonop_hi" vbProcedure="false">In!$F$92</definedName>
    <definedName function="false" hidden="false" name="q_nonop_lo" vbProcedure="false">In!$D$92</definedName>
    <definedName function="false" hidden="false" name="q_sh" vbProcedure="false">In!$E$95</definedName>
    <definedName function="false" hidden="false" name="q_tax" vbProcedure="false">In!$E$93</definedName>
    <definedName function="false" hidden="false" name="q_tax_hi" vbProcedure="false">In!$F$93</definedName>
    <definedName function="false" hidden="false" name="q_tax_lo" vbProcedure="false">In!$D$93</definedName>
    <definedName function="false" hidden="false" name="rm_factor" vbProcedure="false">Val!$B$151</definedName>
    <definedName function="false" hidden="false" name="sh_26" vbProcedure="false">In!$E$36</definedName>
    <definedName function="false" hidden="false" name="sh_26_hi" vbProcedure="false">In!$F$36</definedName>
    <definedName function="false" hidden="false" name="sh_26_lo" vbProcedure="false">In!$D$36</definedName>
    <definedName function="false" hidden="false" name="sh_27" vbProcedure="false">In!$E$37</definedName>
    <definedName function="false" hidden="false" name="sh_27_hi" vbProcedure="false">In!$F$37</definedName>
    <definedName function="false" hidden="false" name="sh_27_lo" vbProcedure="false">In!$D$37</definedName>
    <definedName function="false" hidden="false" name="sh_28" vbProcedure="false">In!$E$38</definedName>
    <definedName function="false" hidden="false" name="sh_28_hi" vbProcedure="false">In!$F$38</definedName>
    <definedName function="false" hidden="false" name="sh_28_lo" vbProcedure="false">In!$D$38</definedName>
    <definedName function="false" hidden="false" name="sh_29" vbProcedure="false">In!$E$39</definedName>
    <definedName function="false" hidden="false" name="sh_29_hi" vbProcedure="false">In!$F$39</definedName>
    <definedName function="false" hidden="false" name="sh_29_lo" vbProcedure="false">In!$D$39</definedName>
    <definedName function="false" hidden="false" name="sh_g" vbProcedure="false">In!$E$78</definedName>
    <definedName function="false" hidden="false" name="sh_g_hi" vbProcedure="false">In!$F$78</definedName>
    <definedName function="false" hidden="false" name="sh_g_lo" vbProcedure="false">In!$D$78</definedName>
    <definedName function="false" hidden="false" name="t28_eps" vbProcedure="false">In!$E$106</definedName>
    <definedName function="false" hidden="false" name="t28_eps_hi" vbProcedure="false">In!$F$106</definedName>
    <definedName function="false" hidden="false" name="t28_eps_lo" vbProcedure="false">In!$D$106</definedName>
    <definedName function="false" hidden="false" name="t28_gm" vbProcedure="false">In!$E$105</definedName>
    <definedName function="false" hidden="false" name="t28_gm_hi" vbProcedure="false">In!$F$105</definedName>
    <definedName function="false" hidden="false" name="t28_gm_lo" vbProcedure="false">In!$D$105</definedName>
    <definedName function="false" hidden="false" name="t28_rev" vbProcedure="false">In!$E$104</definedName>
    <definedName function="false" hidden="false" name="t28_rev_hi" vbProcedure="false">In!$F$104</definedName>
    <definedName function="false" hidden="false" name="t28_rev_lo" vbProcedure="false">In!$D$104</definedName>
    <definedName function="false" hidden="false" name="t30_eps" vbProcedure="false">In!$E$109</definedName>
    <definedName function="false" hidden="false" name="t30_gm" vbProcedure="false">In!$E$108</definedName>
    <definedName function="false" hidden="false" name="t30_rev" vbProcedure="false">In!$E$107</definedName>
    <definedName function="false" hidden="false" name="tam_gw" vbProcedure="false">In!$E$28</definedName>
    <definedName function="false" hidden="false" name="tax" vbProcedure="false">In!$E$76</definedName>
    <definedName function="false" hidden="false" name="tax_hi" vbProcedure="false">In!$F$76</definedName>
    <definedName function="false" hidden="false" name="tax_lo" vbProcedure="false">In!$D$76</definedName>
    <definedName function="false" hidden="false" name="tp_comp_adj" vbProcedure="false">Val!$B$152</definedName>
    <definedName function="false" hidden="false" name="tp_g" vbProcedure="false">In!$E$127</definedName>
    <definedName function="false" hidden="false" name="tp_r" vbProcedure="false">In!$E$126</definedName>
    <definedName function="false" hidden="false" name="tp_roe" vbProcedure="false">In!$E$128</definedName>
    <definedName function="false" hidden="false" name="tp_wA" vbProcedure="false">In!$E$123</definedName>
    <definedName function="false" hidden="false" name="tp_wB" vbProcedure="false">In!$E$124</definedName>
    <definedName function="false" hidden="false" name="tp_wC" vbProcedure="false">In!$E$125</definedName>
    <definedName function="false" hidden="false" name="tp_w_dcf" vbProcedure="false">In!$E$129</definedName>
    <definedName function="false" hidden="false" name="tri" vbProcedure="false">In!$E$30</definedName>
    <definedName function="false" hidden="false" name="tri_hi" vbProcedure="false">In!$F$30</definedName>
    <definedName function="false" hidden="false" name="tri_lo" vbProcedure="false">In!$D$30</definedName>
    <definedName function="false" hidden="false" name="um28_A" vbProcedure="false">In!$E$9</definedName>
    <definedName function="false" hidden="false" name="um28_B" vbProcedure="false">In!$E$11</definedName>
    <definedName function="false" hidden="false" name="um28_C" vbProcedure="false">In!$E$13</definedName>
    <definedName function="false" hidden="false" name="um29_A" vbProcedure="false">In!$E$10</definedName>
    <definedName function="false" hidden="false" name="um29_B" vbProcedure="false">In!$E$12</definedName>
    <definedName function="false" hidden="false" name="um29_C" vbProcedure="false">In!$E$14</definedName>
    <definedName function="false" hidden="false" name="units_26" vbProcedure="false">In!$E$5</definedName>
    <definedName function="false" hidden="false" name="units_27" vbProcedure="false">In!$E$6</definedName>
    <definedName function="false" hidden="false" name="units_28" vbProcedure="false">In!$E$7</definedName>
    <definedName function="false" hidden="false" name="units_29" vbProcedure="false">In!$E$8</definedName>
    <definedName function="false" hidden="false" name="vr26" vbProcedure="false">In!$E$27</definedName>
    <definedName function="false" hidden="false" name="vr26_hi" vbProcedure="false">In!$F$27</definedName>
    <definedName function="false" hidden="false" name="vr26_lo" vbProcedure="false">In!$D$27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<sst xmlns="http://schemas.openxmlformats.org/spreadsheetml/2006/main" count="3989" uniqueCount="989">
  <si>
    <r>
      <rPr>
        <b val="true"/>
        <sz val="11"/>
        <rFont val="Cambria"/>
        <family val="0"/>
        <charset val="1"/>
      </rPr>
      <t xml:space="preserve">Amkor Technology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AMKR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：封測次產業）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</si>
  <si>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tp_w_dcf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同業移除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Amkor </t>
    </r>
    <r>
      <rPr>
        <sz val="11"/>
        <rFont val="Noto Sans CJK SC"/>
        <family val="2"/>
      </rPr>
      <t xml:space="preserve">為全球第二大封測廠，承接台積電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後段（</t>
    </r>
    <r>
      <rPr>
        <sz val="11"/>
        <rFont val="Cambria"/>
        <family val="0"/>
        <charset val="1"/>
      </rPr>
      <t xml:space="preserve">oS</t>
    </r>
    <r>
      <rPr>
        <sz val="11"/>
        <rFont val="Noto Sans CJK SC"/>
        <family val="2"/>
      </rPr>
      <t xml:space="preserve">、測試）與 </t>
    </r>
    <r>
      <rPr>
        <sz val="11"/>
        <rFont val="Cambria"/>
        <family val="0"/>
        <charset val="1"/>
      </rPr>
      <t xml:space="preserve">2.5D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HDFO </t>
    </r>
    <r>
      <rPr>
        <sz val="11"/>
        <rFont val="Noto Sans CJK SC"/>
        <family val="2"/>
      </rPr>
      <t xml:space="preserve">委外；亞利桑那廠為美國第一座量產先進封裝廠。日月光模型待 </t>
    </r>
    <r>
      <rPr>
        <sz val="11"/>
        <rFont val="Cambria"/>
        <family val="0"/>
        <charset val="1"/>
      </rPr>
      <t xml:space="preserve">10-29 </t>
    </r>
    <r>
      <rPr>
        <sz val="11"/>
        <rFont val="Noto Sans CJK SC"/>
        <family val="2"/>
      </rPr>
      <t xml:space="preserve">法說後建立，本版未讀。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</si>
  <si>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Amkor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後段委外比例 </t>
    </r>
    <r>
      <rPr>
        <sz val="11"/>
        <rFont val="Cambria"/>
        <family val="0"/>
        <charset val="1"/>
      </rPr>
      <t xml:space="preserve">× Amkor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每顆封測金額（隨封裝面積上升），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約占營收一成；其餘九成是通訊（</t>
    </r>
    <r>
      <rPr>
        <sz val="11"/>
        <rFont val="Cambria"/>
        <family val="0"/>
        <charset val="1"/>
      </rPr>
      <t xml:space="preserve">Apple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29.8%</t>
    </r>
    <r>
      <rPr>
        <sz val="11"/>
        <rFont val="Noto Sans CJK SC"/>
        <family val="2"/>
      </rPr>
      <t xml:space="preserve">）、車用與工業、消費與非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運算。毛利率只有 </t>
    </r>
    <r>
      <rPr>
        <sz val="11"/>
        <rFont val="Cambria"/>
        <family val="0"/>
        <charset val="1"/>
      </rPr>
      <t xml:space="preserve">14–19%</t>
    </r>
    <r>
      <rPr>
        <sz val="11"/>
        <rFont val="Noto Sans CJK SC"/>
        <family val="2"/>
      </rPr>
      <t xml:space="preserve">，資本支出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US$2.75B</t>
    </r>
    <r>
      <rPr>
        <sz val="11"/>
        <rFont val="Noto Sans CJK SC"/>
        <family val="2"/>
      </rPr>
      <t xml:space="preserve">（營收的三成以上），亞利桑那的啟動成本與折舊是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毛利率的關鍵。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</si>
  <si>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封裝的高成長能不能抵過通訊（</t>
    </r>
    <r>
      <rPr>
        <sz val="11"/>
        <rFont val="Cambria"/>
        <family val="0"/>
        <charset val="1"/>
      </rPr>
      <t xml:space="preserve">Apple</t>
    </r>
    <r>
      <rPr>
        <sz val="11"/>
        <rFont val="Noto Sans CJK SC"/>
        <family val="2"/>
      </rPr>
      <t xml:space="preserve">）停滯與亞利桑那折舊，讓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持續成長；約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</si>
  <si>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（三年）。金額：百萬美元；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：美元（稀釋）。口徑：歸屬母公司淨利（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2026-10-26 </t>
    </r>
    <r>
      <rPr>
        <sz val="11"/>
        <rFont val="Noto Sans CJK SC"/>
        <family val="2"/>
      </rPr>
      <t xml:space="preserve">公布，本版未納入。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</si>
  <si>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</si>
  <si>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後段委外比例（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Amkor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每顆封測金額（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封裝面積指數 </t>
    </r>
    <r>
      <rPr>
        <sz val="11"/>
        <rFont val="Cambria"/>
        <family val="0"/>
        <charset val="1"/>
      </rPr>
      <t xml:space="preserve">^ 0.5</t>
    </r>
    <r>
      <rPr>
        <sz val="11"/>
        <rFont val="Noto Sans CJK SC"/>
        <family val="2"/>
      </rPr>
      <t xml:space="preserve">；面積指數＝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顆數）。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金額由運算營收與公司「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封裝約三倍」說法反推。</t>
    </r>
  </si>
  <si>
    <r>
      <rPr>
        <sz val="11"/>
        <rFont val="Noto Sans CJK SC"/>
        <family val="2"/>
      </rPr>
      <t xml:space="preserve">其他終端：通訊依情境（</t>
    </r>
    <r>
      <rPr>
        <sz val="11"/>
        <rFont val="Cambria"/>
        <family val="0"/>
        <charset val="1"/>
      </rPr>
      <t xml:space="preserve">A +3%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−6%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），車用與工業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、消費 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（公司投資人日 </t>
    </r>
    <r>
      <rPr>
        <sz val="11"/>
        <rFont val="Cambria"/>
        <family val="0"/>
        <charset val="1"/>
      </rPr>
      <t xml:space="preserve">CAGR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運算 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。亞利桑那第一期營收 </t>
    </r>
    <r>
      <rPr>
        <sz val="11"/>
        <rFont val="Cambria"/>
        <family val="0"/>
        <charset val="1"/>
      </rPr>
      <t xml:space="preserve">FY2028–29 </t>
    </r>
    <r>
      <rPr>
        <sz val="11"/>
        <rFont val="Noto Sans CJK SC"/>
        <family val="2"/>
      </rPr>
      <t xml:space="preserve">依情境（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</si>
  <si>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毛利：本業毛利＝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錨點＋現金流通率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營收增量 − 本業折舊增量（資本支出率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、年限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年）；亞利桑那毛利＝營收 </t>
    </r>
    <r>
      <rPr>
        <sz val="11"/>
        <rFont val="Cambria"/>
        <family val="0"/>
        <charset val="1"/>
      </rPr>
      <t xml:space="preserve">× 55% − </t>
    </r>
    <r>
      <rPr>
        <sz val="11"/>
        <rFont val="Noto Sans CJK SC"/>
        <family val="2"/>
      </rPr>
      <t xml:space="preserve">固定現金成本 − 折舊（第一期 </t>
    </r>
    <r>
      <rPr>
        <sz val="11"/>
        <rFont val="Cambria"/>
        <family val="0"/>
        <charset val="1"/>
      </rPr>
      <t xml:space="preserve">US$3.5B × (1 − </t>
    </r>
    <r>
      <rPr>
        <sz val="11"/>
        <rFont val="Noto Sans CJK SC"/>
        <family val="2"/>
      </rPr>
      <t xml:space="preserve">補助 </t>
    </r>
    <r>
      <rPr>
        <sz val="11"/>
        <rFont val="Cambria"/>
        <family val="0"/>
        <charset val="1"/>
      </rPr>
      <t xml:space="preserve">35%) ÷ 12 </t>
    </r>
    <r>
      <rPr>
        <sz val="11"/>
        <rFont val="Noto Sans CJK SC"/>
        <family val="2"/>
      </rPr>
      <t xml:space="preserve">年）。營業費用彈性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；營業外、稅率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、股數持平。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</si>
  <si>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公司指引（終端市場季增說法、毛利率 </t>
    </r>
    <r>
      <rPr>
        <sz val="11"/>
        <rFont val="Cambria"/>
        <family val="0"/>
        <charset val="1"/>
      </rPr>
      <t xml:space="preserve">19%</t>
    </r>
    <r>
      <rPr>
        <sz val="11"/>
        <rFont val="Noto Sans CJK SC"/>
        <family val="2"/>
      </rPr>
      <t xml:space="preserve">、營業費用 </t>
    </r>
    <r>
      <rPr>
        <sz val="11"/>
        <rFont val="Cambria"/>
        <family val="0"/>
        <charset val="1"/>
      </rPr>
      <t xml:space="preserve">140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</si>
  <si>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目標價（日月光、力成、京元電、矽格、南茂前瞻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</si>
  <si>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</si>
  <si>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 </t>
    </r>
    <r>
      <rPr>
        <sz val="11"/>
        <rFont val="Cambria"/>
        <family val="0"/>
        <charset val="1"/>
      </rPr>
      <t xml:space="preserve">SEC 8-K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10-K</t>
    </r>
    <r>
      <rPr>
        <sz val="11"/>
        <rFont val="Noto Sans CJK SC"/>
        <family val="2"/>
      </rPr>
      <t xml:space="preserve">；法說內容經逐字稿與摘要；券商與資料商為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</si>
  <si>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先進封裝金額公司未揭露，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由「約三倍」說法反推，委外比例與份額是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每顆封測金額只隨封裝面積變動，未分 </t>
    </r>
    <r>
      <rPr>
        <sz val="11"/>
        <rFont val="Cambria"/>
        <family val="0"/>
        <charset val="1"/>
      </rPr>
      <t xml:space="preserve">2.5D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HDFO</t>
    </r>
    <r>
      <rPr>
        <sz val="11"/>
        <rFont val="Noto Sans CJK SC"/>
        <family val="2"/>
      </rPr>
      <t xml:space="preserve">、測試；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亞利桑那營收可能部分替代亞洲既有產能（</t>
    </r>
    <r>
      <rPr>
        <sz val="11"/>
        <rFont val="Cambria"/>
        <family val="0"/>
        <charset val="1"/>
      </rPr>
      <t xml:space="preserve">Apple </t>
    </r>
    <r>
      <rPr>
        <sz val="11"/>
        <rFont val="Noto Sans CJK SC"/>
        <family val="2"/>
      </rPr>
      <t xml:space="preserve">晶片在美國封裝），本模型當作增量；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亞利桑那支出時程、補助的會計處理未找到；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本業毛利用單一現金流通率，未建稼動率；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與盈餘反向（低谷年高倍數），規則值偏向高估；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只有單一來源且年度標示不明；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10-26</t>
    </r>
    <r>
      <rPr>
        <sz val="11"/>
        <rFont val="Noto Sans CJK SC"/>
        <family val="2"/>
      </rPr>
      <t xml:space="preserve">）後更新錨點。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</si>
  <si>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</si>
  <si>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：最敏感的是現金流通率、委外比例與份額：現金流通率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−16.9%</t>
    </r>
    <r>
      <rPr>
        <sz val="11"/>
        <color theme="1"/>
        <rFont val="Noto Sans CJK SC"/>
        <family val="2"/>
      </rPr>
      <t xml:space="preserve">、委外比例低 −</t>
    </r>
    <r>
      <rPr>
        <sz val="11"/>
        <color theme="1"/>
        <rFont val="Calibri"/>
        <family val="2"/>
        <charset val="1"/>
      </rPr>
      <t xml:space="preserve">16.2%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份額低（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）−</t>
    </r>
    <r>
      <rPr>
        <sz val="11"/>
        <color theme="1"/>
        <rFont val="Calibri"/>
        <family val="2"/>
        <charset val="1"/>
      </rPr>
      <t xml:space="preserve">15.7%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×0.8 −12.8%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2.32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4.00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42.0%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</si>
  <si>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）：本版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用公司指引（毛利率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先進封裝金額公司未揭露、由「約三倍」說法反推；亞利桑那廠固定成本與折舊從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起影響毛利率（固定成本高案例 </t>
    </r>
    <r>
      <rPr>
        <sz val="11"/>
        <color theme="1"/>
        <rFont val="Calibri"/>
        <family val="2"/>
        <charset val="1"/>
      </rPr>
      <t xml:space="preserve">FY2028 EPS −4.0%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</si>
  <si>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</si>
  <si>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</si>
  <si>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</si>
  <si>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、投資人日簡報；法說內容經 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逐字稿與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摘要；公司指引與目標為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</si>
  <si>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</si>
  <si>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</si>
  <si>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</si>
  <si>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</si>
  <si>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</si>
  <si>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</si>
  <si>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</si>
  <si>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</si>
  <si>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</si>
  <si>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加速器顆數、封裝面積與部署規模（讀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</si>
  <si>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units_26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</si>
  <si>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</si>
  <si>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</si>
  <si>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</si>
  <si>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  <r>
      <rPr>
        <sz val="11"/>
        <color theme="1"/>
        <rFont val="Noto Sans CJK SC"/>
        <family val="2"/>
      </rPr>
      <t xml:space="preserve">（八類加速器加總；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，與台積電模型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頁同口徑）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</si>
  <si>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合計；台積電模型讀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的同一份顆數</t>
    </r>
  </si>
  <si>
    <t xml:space="preserve">units_27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</si>
  <si>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</si>
  <si>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同上</t>
  </si>
  <si>
    <t xml:space="preserve">units_28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</si>
  <si>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</si>
  <si>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units_29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</si>
  <si>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</si>
  <si>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</si>
  <si>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</si>
  <si>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</si>
  <si>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</si>
  <si>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</si>
  <si>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＝明顯下修（與台積電、廣達、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</si>
  <si>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</si>
  <si>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</si>
  <si>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</si>
  <si>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</si>
  <si>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</si>
  <si>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</si>
  <si>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</si>
  <si>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</si>
  <si>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</si>
  <si>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</si>
  <si>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</si>
  <si>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</si>
  <si>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</si>
  <si>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</si>
  <si>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</si>
  <si>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ar_26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</si>
  <si>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</si>
  <si>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 </t>
    </r>
    <r>
      <rPr>
        <sz val="11"/>
        <color theme="1"/>
        <rFont val="Noto Sans CJK SC"/>
        <family val="2"/>
      </rPr>
      <t xml:space="preserve">減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CoWoS!B12:E12</t>
    </r>
    <r>
      <rPr>
        <sz val="11"/>
        <color theme="1"/>
        <rFont val="Noto Sans CJK SC"/>
        <family val="2"/>
      </rPr>
      <t xml:space="preserve">，除以顆數</t>
    </r>
  </si>
  <si>
    <r>
      <rPr>
        <sz val="11"/>
        <color theme="1"/>
        <rFont val="Noto Sans CJK SC"/>
        <family val="2"/>
      </rPr>
      <t xml:space="preserve">每片封裝數下降＝單顆封裝面積變大（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）；台積電模型的每片封裝數為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</si>
  <si>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ar_27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</si>
  <si>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</si>
  <si>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ar_28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</si>
  <si>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</si>
  <si>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ar_29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</si>
  <si>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</si>
  <si>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cow_util27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</si>
  <si>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可用產能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</si>
  <si>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</si>
  <si>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CoWoS!B17:E17</t>
    </r>
  </si>
  <si>
    <r>
      <rPr>
        <sz val="11"/>
        <color theme="1"/>
        <rFont val="Noto Sans CJK SC"/>
        <family val="2"/>
      </rPr>
      <t xml:space="preserve">台積電模型：可用產能＝台積電產能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＋委外補充）</t>
    </r>
  </si>
  <si>
    <t xml:space="preserve">osat_ts</t>
  </si>
  <si>
    <r>
      <rPr>
        <sz val="11"/>
        <color theme="1"/>
        <rFont val="Noto Sans CJK SC"/>
        <family val="2"/>
      </rPr>
      <t xml:space="preserve">台積電模型：委外封測補充產能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</si>
  <si>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</si>
  <si>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r>
      <rPr>
        <sz val="11"/>
        <color theme="1"/>
        <rFont val="Noto Sans CJK SC"/>
        <family val="2"/>
      </rPr>
      <t xml:space="preserve">台積電模型的全流程委外口徑；本模型的委外比例為後段（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、測試）口徑，兩者不同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</si>
  <si>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</si>
  <si>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</si>
  <si>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</si>
  <si>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</si>
  <si>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</si>
  <si>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</si>
  <si>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</si>
  <si>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</si>
  <si>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</si>
  <si>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</si>
  <si>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</si>
  <si>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capit_gb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</si>
  <si>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</si>
  <si>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</si>
  <si>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</si>
  <si>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capit_vr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</si>
  <si>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</si>
  <si>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</si>
  <si>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</si>
  <si>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</si>
  <si>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</si>
  <si>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r>
      <rPr>
        <sz val="11"/>
        <color theme="1"/>
        <rFont val="Calibri"/>
        <family val="2"/>
        <charset val="1"/>
      </rPr>
      <t xml:space="preserve">Siliconomics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：與台達電、廣達等同一混合口徑）</t>
    </r>
  </si>
  <si>
    <t xml:space="preserve">tam_gw</t>
  </si>
  <si>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先進封裝可服務市場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</si>
  <si>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US$B/GW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</si>
  <si>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US$0.5B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 installed</t>
    </r>
    <r>
      <rPr>
        <sz val="11"/>
        <color theme="1"/>
        <rFont val="Noto Sans CJK SC"/>
        <family val="2"/>
      </rPr>
      <t xml:space="preserve">（公司投資人日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</si>
  <si>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</si>
  <si>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2.5D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HDFO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測試）：營收＝顆數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後段委外比例 </t>
    </r>
    <r>
      <rPr>
        <b val="true"/>
        <sz val="11"/>
        <rFont val="Cambria"/>
        <family val="0"/>
        <charset val="1"/>
      </rPr>
      <t xml:space="preserve">× Amkor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每顆封測金額（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以公司「三倍」說法校準）</t>
    </r>
  </si>
  <si>
    <t xml:space="preserve">tri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</si>
  <si>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先進封裝營收 </t>
    </r>
    <r>
      <rPr>
        <sz val="11"/>
        <color theme="1"/>
        <rFont val="Calibri"/>
        <family val="2"/>
        <charset val="1"/>
      </rPr>
      <t xml:space="preserve">÷ FY2025</t>
    </r>
    <r>
      <rPr>
        <sz val="11"/>
        <color theme="1"/>
        <rFont val="Noto Sans CJK SC"/>
        <family val="2"/>
      </rPr>
      <t xml:space="preserve">（公司：約三倍）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</si>
  <si>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Advanced AI packaging revenue still on track to triple in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</si>
  <si>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2.5D and HDFO … nearly triple over the course of this year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法說）；低＝供應受限時</t>
    </r>
  </si>
  <si>
    <t xml:space="preserve">g_pc26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</si>
  <si>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、儲存、基礎設施）年增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</si>
  <si>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／筆電疲弱（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法說）；運算成長由資料中心帶動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</si>
  <si>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運算金額未揭露：未找到</t>
    </r>
  </si>
  <si>
    <t xml:space="preserve">out_26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</si>
  <si>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</si>
  <si>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Noto Sans CJK SC"/>
        <family val="2"/>
      </rPr>
      <t xml:space="preserve">（台積電模型）；台積電與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十年合作（</t>
    </r>
    <r>
      <rPr>
        <sz val="11"/>
        <color theme="1"/>
        <rFont val="Calibri"/>
        <family val="2"/>
        <charset val="1"/>
      </rPr>
      <t xml:space="preserve">2026-06-16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多年合作 </t>
    </r>
    <r>
      <rPr>
        <sz val="11"/>
        <color theme="1"/>
        <rFont val="Calibri"/>
        <family val="2"/>
        <charset val="1"/>
      </rPr>
      <t xml:space="preserve">US$1.5B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</si>
  <si>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只影響拆分（每顆金額由校準吸收）；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起的相對變化才影響營收；委外比例的量化：未找到</t>
    </r>
  </si>
  <si>
    <t xml:space="preserve">out_27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</si>
  <si>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</si>
  <si>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緊、美國產能需求 → 委外上升（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</si>
  <si>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out_28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</si>
  <si>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2028</t>
    </r>
  </si>
  <si>
    <t xml:space="preserve">out_29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</si>
  <si>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</si>
  <si>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sh_26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</si>
  <si>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</si>
  <si>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為全球第二大封測廠；競爭者日月光（含矽品）、京元電（測試）</t>
    </r>
  </si>
  <si>
    <r>
      <rPr>
        <sz val="11"/>
        <color theme="1"/>
        <rFont val="Noto Sans CJK SC"/>
        <family val="2"/>
      </rPr>
      <t xml:space="preserve">份額的量化：未找到（日月光模型待 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法說後建立）；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只影響拆分</t>
    </r>
  </si>
  <si>
    <t xml:space="preserve">sh_27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</si>
  <si>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</si>
  <si>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合作與美國產能（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</si>
  <si>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sh_28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</si>
  <si>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2028</t>
    </r>
  </si>
  <si>
    <t xml:space="preserve">sh_29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</si>
  <si>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2029</t>
    </r>
  </si>
  <si>
    <t xml:space="preserve">el</t>
  </si>
  <si>
    <t xml:space="preserve">每顆封測金額對封裝面積的彈性</t>
  </si>
  <si>
    <t xml:space="preserve">封裝面積大 → 基板上封裝、測試時間與良率成本上升；後段金額不與面積等比例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</si>
  <si>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其他終端市場成長（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</si>
  <si>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t xml:space="preserve">g_cm27_A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</si>
  <si>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</si>
  <si>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新機與高階組合；</t>
    </r>
    <r>
      <rPr>
        <sz val="11"/>
        <color theme="1"/>
        <rFont val="Calibri"/>
        <family val="2"/>
        <charset val="1"/>
      </rPr>
      <t xml:space="preserve">SiP </t>
    </r>
    <r>
      <rPr>
        <sz val="11"/>
        <color theme="1"/>
        <rFont val="Noto Sans CJK SC"/>
        <family val="2"/>
      </rPr>
      <t xml:space="preserve">移轉越南後回到正常季節性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</si>
  <si>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）；投資人日通訊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</si>
  <si>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g_cmL_A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</si>
  <si>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</si>
  <si>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g_cm27_B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</si>
  <si>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</si>
  <si>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通訊逆風延續到 </t>
    </r>
    <r>
      <rPr>
        <sz val="11"/>
        <color theme="1"/>
        <rFont val="Calibri"/>
        <family val="2"/>
        <charset val="1"/>
      </rPr>
      <t xml:space="preserve">1H27</t>
    </r>
    <r>
      <rPr>
        <sz val="11"/>
        <color theme="1"/>
        <rFont val="Noto Sans CJK SC"/>
        <family val="2"/>
      </rPr>
      <t xml:space="preserve">（公司：一項逆風到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與明年上半年）</t>
    </r>
  </si>
  <si>
    <t xml:space="preserve">g_cmL_B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</si>
  <si>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</si>
  <si>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g_cm27_C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</si>
  <si>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</si>
  <si>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分散封測供應或自行轉移（客戶集中風險）</t>
    </r>
  </si>
  <si>
    <t xml:space="preserve">g_cmL_C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</si>
  <si>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</si>
  <si>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g_au</t>
  </si>
  <si>
    <r>
      <rPr>
        <sz val="11"/>
        <color theme="1"/>
        <rFont val="Noto Sans CJK SC"/>
        <family val="2"/>
      </rPr>
      <t xml:space="preserve">車用與工業年增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</si>
  <si>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）：車用與工業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</si>
  <si>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與資訊娛樂帶動先進車用強勁成長（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</si>
  <si>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g_cs</t>
  </si>
  <si>
    <r>
      <rPr>
        <sz val="11"/>
        <color theme="1"/>
        <rFont val="Noto Sans CJK SC"/>
        <family val="2"/>
      </rPr>
      <t xml:space="preserve">消費年增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</si>
  <si>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）：消費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（公司）</t>
    </r>
  </si>
  <si>
    <t xml:space="preserve">g_pc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</si>
  <si>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</si>
  <si>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投資人日：運算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</si>
  <si>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運算拆分：未找到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</si>
  <si>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亞利桑那廠（</t>
    </r>
    <r>
      <rPr>
        <b val="true"/>
        <sz val="11"/>
        <rFont val="Cambria"/>
        <family val="0"/>
        <charset val="1"/>
      </rPr>
      <t xml:space="preserve">Peoria</t>
    </r>
    <r>
      <rPr>
        <b val="true"/>
        <sz val="11"/>
        <rFont val="Noto Sans CJK SC"/>
        <family val="2"/>
      </rPr>
      <t xml:space="preserve">；第一期約 </t>
    </r>
    <r>
      <rPr>
        <b val="true"/>
        <sz val="11"/>
        <rFont val="Cambria"/>
        <family val="0"/>
        <charset val="1"/>
      </rPr>
      <t xml:space="preserve">US$3.5B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完工、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投產；第二期不在本模型）</t>
    </r>
  </si>
  <si>
    <t xml:space="preserve">az_rev28_A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</si>
  <si>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</si>
  <si>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</si>
  <si>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）：第一期滿載約 </t>
    </r>
    <r>
      <rPr>
        <sz val="11"/>
        <color theme="1"/>
        <rFont val="Calibri"/>
        <family val="2"/>
        <charset val="1"/>
      </rPr>
      <t xml:space="preserve">US$1B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損益兩平、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滿載（公司）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</si>
  <si>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meaningful revenue by late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full impact by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</si>
  <si>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t xml:space="preserve">az_rev29_A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</si>
  <si>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</si>
  <si>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az_rev28_B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</si>
  <si>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</si>
  <si>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az_rev29_B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</si>
  <si>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</si>
  <si>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az_rev28_C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</si>
  <si>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</si>
  <si>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az_rev29_C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</si>
  <si>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</si>
  <si>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az_cm</t>
  </si>
  <si>
    <t xml:space="preserve">亞利桑那廠現金邊際貢獻率（營收 − 變動現金成本）</t>
  </si>
  <si>
    <r>
      <rPr>
        <sz val="11"/>
        <color theme="1"/>
        <rFont val="Noto Sans CJK SC"/>
        <family val="2"/>
      </rPr>
      <t xml:space="preserve">公司：滿載毛利率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以上（投資人日）；以本參數與固定成本、折舊推得滿載毛利率約 </t>
    </r>
    <r>
      <rPr>
        <sz val="11"/>
        <color theme="1"/>
        <rFont val="Calibri"/>
        <family val="2"/>
        <charset val="1"/>
      </rPr>
      <t xml:space="preserve">30%</t>
    </r>
  </si>
  <si>
    <t xml:space="preserve">az_fix27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</si>
  <si>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</si>
  <si>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）：啟動成本自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起稀釋營業利益率約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</si>
  <si>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之後毛利率承受美國低稼動產能（含亞利桑那折舊）負擔</t>
    </r>
  </si>
  <si>
    <t xml:space="preserve">az_fix28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</si>
  <si>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FY2028</t>
    </r>
  </si>
  <si>
    <t xml:space="preserve">az_fix29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</si>
  <si>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FY2029</t>
    </r>
  </si>
  <si>
    <t xml:space="preserve">az_capex1</t>
  </si>
  <si>
    <t xml:space="preserve">亞利桑那第一期投資</t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</si>
  <si>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Phase One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US$7B </t>
    </r>
    <r>
      <rPr>
        <sz val="11"/>
        <color theme="1"/>
        <rFont val="Noto Sans CJK SC"/>
        <family val="2"/>
      </rPr>
      <t xml:space="preserve">美國計畫的一半）施工中（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</si>
  <si>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第二期擴大至合計約 </t>
    </r>
    <r>
      <rPr>
        <sz val="11"/>
        <color theme="1"/>
        <rFont val="Calibri"/>
        <family val="2"/>
        <charset val="1"/>
      </rPr>
      <t xml:space="preserve">US$12B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年底動工、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年底完工，不在本模型</t>
    </r>
  </si>
  <si>
    <t xml:space="preserve">az_inc</t>
  </si>
  <si>
    <r>
      <rPr>
        <sz val="11"/>
        <color theme="1"/>
        <rFont val="Noto Sans CJK SC"/>
        <family val="2"/>
      </rPr>
      <t xml:space="preserve">政府補助與投資抵減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投資（降低折舊基礎）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</si>
  <si>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CHIPS </t>
    </r>
    <r>
      <rPr>
        <sz val="11"/>
        <color theme="1"/>
        <rFont val="Noto Sans CJK SC"/>
        <family val="2"/>
      </rPr>
      <t xml:space="preserve">補助約 </t>
    </r>
    <r>
      <rPr>
        <sz val="11"/>
        <color theme="1"/>
        <rFont val="Calibri"/>
        <family val="2"/>
        <charset val="1"/>
      </rPr>
      <t xml:space="preserve">US$400M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投資抵減，合計約 </t>
    </r>
    <r>
      <rPr>
        <sz val="11"/>
        <color theme="1"/>
        <rFont val="Calibri"/>
        <family val="2"/>
        <charset val="1"/>
      </rPr>
      <t xml:space="preserve">US$2.8B </t>
    </r>
    <r>
      <rPr>
        <sz val="11"/>
        <color theme="1"/>
        <rFont val="Noto Sans CJK SC"/>
        <family val="2"/>
      </rPr>
      <t xml:space="preserve">對應 </t>
    </r>
    <r>
      <rPr>
        <sz val="11"/>
        <color theme="1"/>
        <rFont val="Calibri"/>
        <family val="2"/>
        <charset val="1"/>
      </rPr>
      <t xml:space="preserve">US$7B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</si>
  <si>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）：投資抵減約 </t>
    </r>
    <r>
      <rPr>
        <sz val="11"/>
        <color theme="1"/>
        <rFont val="Calibri"/>
        <family val="2"/>
        <charset val="1"/>
      </rPr>
      <t xml:space="preserve">US$2B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US$400M</t>
    </r>
    <r>
      <rPr>
        <sz val="11"/>
        <color theme="1"/>
        <rFont val="Noto Sans CJK SC"/>
        <family val="2"/>
      </rPr>
      <t xml:space="preserve">；會計上是否抵減資產成本：未找到（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</si>
  <si>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az_life</t>
  </si>
  <si>
    <t xml:space="preserve">亞利桑那資產平均折舊年限（廠房與設備混合）</t>
  </si>
  <si>
    <t xml:space="preserve">年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</si>
  <si>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：測試設備年限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年延長為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年（投資人日附錄）；廠房年限較長</t>
    </r>
  </si>
  <si>
    <t xml:space="preserve">混合年限：未找到</t>
  </si>
  <si>
    <t xml:space="preserve">az_svc28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</si>
  <si>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折舊期間占比（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年初投產）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</si>
  <si>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投產（投資人日）</t>
    </r>
  </si>
  <si>
    <t xml:space="preserve">—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</si>
  <si>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毛利率、折舊、營業費用與淨利（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</si>
  <si>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ft</t>
  </si>
  <si>
    <r>
      <rPr>
        <sz val="11"/>
        <color theme="1"/>
        <rFont val="Noto Sans CJK SC"/>
        <family val="2"/>
      </rPr>
      <t xml:space="preserve">本業現金毛利增量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營收增量（現金流通率）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</si>
  <si>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錨點實測見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頁（稼動率由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區間升到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區間，屬一次性改善）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</si>
  <si>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）：公司預期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年增量流通率約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（含折舊、扣除資產出售）</t>
    </r>
  </si>
  <si>
    <t xml:space="preserve">capi</t>
  </si>
  <si>
    <r>
      <rPr>
        <sz val="11"/>
        <color theme="1"/>
        <rFont val="Noto Sans CJK SC"/>
        <family val="2"/>
      </rPr>
      <t xml:space="preserve">本業資本支出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本業營收（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起，不含亞利桑那）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</si>
  <si>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904.6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6,708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</si>
  <si>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30–35% </t>
    </r>
    <r>
      <rPr>
        <sz val="11"/>
        <color theme="1"/>
        <rFont val="Noto Sans CJK SC"/>
        <family val="2"/>
      </rPr>
      <t xml:space="preserve">用於 </t>
    </r>
    <r>
      <rPr>
        <sz val="11"/>
        <color theme="1"/>
        <rFont val="Calibri"/>
        <family val="2"/>
        <charset val="1"/>
      </rPr>
      <t xml:space="preserve">HDFO</t>
    </r>
    <r>
      <rPr>
        <sz val="11"/>
        <color theme="1"/>
        <rFont val="Noto Sans CJK SC"/>
        <family val="2"/>
      </rPr>
      <t xml:space="preserve">、測試與先進封裝產能（公司）</t>
    </r>
  </si>
  <si>
    <t xml:space="preserve">cap_m26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</si>
  <si>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本業資本支出（不含亞利桑那）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</si>
  <si>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US$2.5–3.0B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65–70% </t>
    </r>
    <r>
      <rPr>
        <sz val="11"/>
        <color theme="1"/>
        <rFont val="Noto Sans CJK SC"/>
        <family val="2"/>
      </rPr>
      <t xml:space="preserve">為廠房（含亞利桑那、韓國松島）</t>
    </r>
  </si>
  <si>
    <r>
      <rPr>
        <sz val="11"/>
        <color theme="1"/>
        <rFont val="Noto Sans CJK SC"/>
        <family val="2"/>
      </rPr>
      <t xml:space="preserve">亞利桑那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年支出：未找到</t>
    </r>
  </si>
  <si>
    <t xml:space="preserve">life</t>
  </si>
  <si>
    <t xml:space="preserve">本業資產平均折舊年限（新增資本支出）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</si>
  <si>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）：測試設備年限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年起）</t>
    </r>
  </si>
  <si>
    <t xml:space="preserve">其他設備年限：未找到</t>
  </si>
  <si>
    <t xml:space="preserve">phi</t>
  </si>
  <si>
    <r>
      <rPr>
        <sz val="11"/>
        <color theme="1"/>
        <rFont val="Noto Sans CJK SC"/>
        <family val="2"/>
      </rPr>
      <t xml:space="preserve">營業費用成長對營收成長的彈性（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</si>
  <si>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頁（含激勵費用上升，偏高）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</si>
  <si>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7.0% → 2Q26 6.3%</t>
    </r>
    <r>
      <rPr>
        <sz val="11"/>
        <color theme="1"/>
        <rFont val="Noto Sans CJK SC"/>
        <family val="2"/>
      </rPr>
      <t xml:space="preserve">（扣除不動產處分利益前）</t>
    </r>
  </si>
  <si>
    <t xml:space="preserve">opx_gain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</si>
  <si>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不動產處分利益（從營業費用扣除；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基期加回）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</si>
  <si>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）：營業費用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不動產處分利益（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</si>
  <si>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指引含約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處分利益</t>
    </r>
  </si>
  <si>
    <t xml:space="preserve">nonop27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</si>
  <si>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</si>
  <si>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FY2025 −22.7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1H26 −0.7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US$1.15B </t>
    </r>
    <r>
      <rPr>
        <sz val="11"/>
        <color theme="1"/>
        <rFont val="Noto Sans CJK SC"/>
        <family val="2"/>
      </rPr>
      <t xml:space="preserve">零息可轉債（公司）</t>
    </r>
  </si>
  <si>
    <r>
      <rPr>
        <sz val="11"/>
        <color theme="1"/>
        <rFont val="Noto Sans CJK SC"/>
        <family val="2"/>
      </rPr>
      <t xml:space="preserve">亞利桑那第二期動工後現金下降、負債上升（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</si>
  <si>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</si>
  <si>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</si>
  <si>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</si>
  <si>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</si>
  <si>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</si>
  <si>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</si>
  <si>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）：規劃稅率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</si>
  <si>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）：全年假設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12.8%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14%</t>
    </r>
    <r>
      <rPr>
        <sz val="11"/>
        <color theme="1"/>
        <rFont val="Noto Sans CJK SC"/>
        <family val="2"/>
      </rPr>
      <t xml:space="preserve">（含一次性利益）</t>
    </r>
  </si>
  <si>
    <t xml:space="preserve">nci</t>
  </si>
  <si>
    <t xml:space="preserve">非控制權益（每年）</t>
  </si>
  <si>
    <r>
      <rPr>
        <sz val="11"/>
        <color theme="1"/>
        <rFont val="Calibri"/>
        <family val="2"/>
        <charset val="1"/>
      </rPr>
      <t xml:space="preserve">FY2025 2.3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1.7</t>
    </r>
    <r>
      <rPr>
        <sz val="11"/>
        <color theme="1"/>
        <rFont val="Noto Sans CJK SC"/>
        <family val="2"/>
      </rPr>
      <t xml:space="preserve">（公司損益表推得）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</si>
  <si>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</si>
  <si>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</si>
  <si>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248.5 → 2Q26 250.0 </t>
    </r>
    <r>
      <rPr>
        <sz val="11"/>
        <color theme="1"/>
        <rFont val="Noto Sans CJK SC"/>
        <family val="2"/>
      </rPr>
      <t xml:space="preserve">百萬股（公司）；買回授權 </t>
    </r>
    <r>
      <rPr>
        <sz val="11"/>
        <color theme="1"/>
        <rFont val="Calibri"/>
        <family val="2"/>
        <charset val="1"/>
      </rPr>
      <t xml:space="preserve">US$300M</t>
    </r>
    <r>
      <rPr>
        <sz val="11"/>
        <color theme="1"/>
        <rFont val="Noto Sans CJK SC"/>
        <family val="2"/>
      </rPr>
      <t xml:space="preserve">（投資人日）</t>
    </r>
  </si>
  <si>
    <t xml:space="preserve">零息可轉債的轉換稀釋：轉換價未找到</t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</si>
  <si>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公司指引＋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</si>
  <si>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g3_cm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</si>
  <si>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通訊季增（公司說法）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</si>
  <si>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high-single-digit </t>
    </r>
    <r>
      <rPr>
        <sz val="11"/>
        <color theme="1"/>
        <rFont val="Noto Sans CJK SC"/>
        <family val="2"/>
      </rPr>
      <t xml:space="preserve">季減（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</si>
  <si>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Benzinga 2026-07-28 </t>
    </r>
    <r>
      <rPr>
        <sz val="11"/>
        <color theme="1"/>
        <rFont val="Noto Sans CJK SC"/>
        <family val="2"/>
      </rPr>
      <t xml:space="preserve">同（運算近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、通訊 </t>
    </r>
    <r>
      <rPr>
        <sz val="11"/>
        <color theme="1"/>
        <rFont val="Calibri"/>
        <family val="2"/>
        <charset val="1"/>
      </rPr>
      <t xml:space="preserve">high-single-digit </t>
    </r>
    <r>
      <rPr>
        <sz val="11"/>
        <color theme="1"/>
        <rFont val="Noto Sans CJK SC"/>
        <family val="2"/>
      </rPr>
      <t xml:space="preserve">季減）</t>
    </r>
  </si>
  <si>
    <t xml:space="preserve">g3_cp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</si>
  <si>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運算季增（公司說法）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</si>
  <si>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）：近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</si>
  <si>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g3_au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</si>
  <si>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車用與工業季增（公司說法）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</si>
  <si>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mid-single-digit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</si>
  <si>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g3_cs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</si>
  <si>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消費季增（公司說法）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</si>
  <si>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mid-teens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</si>
  <si>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</si>
  <si>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毛利率（指引 </t>
    </r>
    <r>
      <rPr>
        <sz val="11"/>
        <color theme="1"/>
        <rFont val="Calibri"/>
        <family val="2"/>
        <charset val="1"/>
      </rPr>
      <t xml:space="preserve">18.5–19.5%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</si>
  <si>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18.5–19.5%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</si>
  <si>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）：同；主因產品組合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</si>
  <si>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</si>
  <si>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營業費用（指引）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</si>
  <si>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US$140M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</si>
  <si>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q4_cm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</si>
  <si>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通訊季增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</si>
  <si>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公布）</t>
    </r>
  </si>
  <si>
    <r>
      <rPr>
        <sz val="11"/>
        <color theme="1"/>
        <rFont val="Noto Sans CJK SC"/>
        <family val="2"/>
      </rPr>
      <t xml:space="preserve">通訊：公司稱一項逆風延續到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與明年上半年（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法說），低於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正常季節性</t>
    </r>
  </si>
  <si>
    <t xml:space="preserve">q4_cp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</si>
  <si>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運算季增</t>
    </r>
  </si>
  <si>
    <t xml:space="preserve">q4_au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</si>
  <si>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車用與工業季增</t>
    </r>
  </si>
  <si>
    <t xml:space="preserve">q4_cs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</si>
  <si>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消費季增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</si>
  <si>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</si>
  <si>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</si>
  <si>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；公司稱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之後毛利率看稼動與組合，並承受美國產能低稼動負擔（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</si>
  <si>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</si>
  <si>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</si>
  <si>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</si>
  <si>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</si>
  <si>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</si>
  <si>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1Q26 −4.0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+3.3</t>
    </r>
    <r>
      <rPr>
        <sz val="11"/>
        <color theme="1"/>
        <rFont val="Noto Sans CJK SC"/>
        <family val="2"/>
      </rPr>
      <t xml:space="preserve">（公司）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</si>
  <si>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</si>
  <si>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</si>
  <si>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Noto Sans CJK SC"/>
        <family val="2"/>
      </rPr>
      <t xml:space="preserve">公司全年規劃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</si>
  <si>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180–205 </t>
    </r>
    <r>
      <rPr>
        <sz val="11"/>
        <color theme="1"/>
        <rFont val="Noto Sans CJK SC"/>
        <family val="2"/>
      </rPr>
      <t xml:space="preserve">與營業利益推得約 </t>
    </r>
    <r>
      <rPr>
        <sz val="11"/>
        <color theme="1"/>
        <rFont val="Calibri"/>
        <family val="2"/>
        <charset val="1"/>
      </rPr>
      <t xml:space="preserve">20%</t>
    </r>
  </si>
  <si>
    <t xml:space="preserve">q_nci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</si>
  <si>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非控制權益（每季）</t>
    </r>
  </si>
  <si>
    <r>
      <rPr>
        <sz val="11"/>
        <color theme="1"/>
        <rFont val="Calibri"/>
        <family val="2"/>
        <charset val="1"/>
      </rPr>
      <t xml:space="preserve">1Q26 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1.1</t>
    </r>
    <r>
      <rPr>
        <sz val="11"/>
        <color theme="1"/>
        <rFont val="Noto Sans CJK SC"/>
        <family val="2"/>
      </rPr>
      <t xml:space="preserve">（公司損益表推得）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</si>
  <si>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</si>
  <si>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</si>
  <si>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</si>
  <si>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180–205 ÷ EPS 0.72–0.82 ≈ 250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</si>
  <si>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2Q26 249.978</t>
    </r>
    <r>
      <rPr>
        <sz val="11"/>
        <color theme="1"/>
        <rFont val="Noto Sans CJK SC"/>
        <family val="2"/>
      </rPr>
      <t xml:space="preserve">（公司）</t>
    </r>
  </si>
  <si>
    <t xml:space="preserve">q_da3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</si>
  <si>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</si>
  <si>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1Q26 171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2Q26 180</t>
    </r>
    <r>
      <rPr>
        <sz val="11"/>
        <color theme="1"/>
        <rFont val="Noto Sans CJK SC"/>
        <family val="2"/>
      </rPr>
      <t xml:space="preserve">（公司）；資本支出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在下半年（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</si>
  <si>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t xml:space="preserve">q_da4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</si>
  <si>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折舊攤提</t>
    </r>
  </si>
  <si>
    <t xml:space="preserve">gain25</t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</si>
  <si>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毛利中的資產出售利益（一次性）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</si>
  <si>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16.7% </t>
    </r>
    <r>
      <rPr>
        <sz val="11"/>
        <color theme="1"/>
        <rFont val="Noto Sans CJK SC"/>
        <family val="2"/>
      </rPr>
      <t xml:space="preserve">含約 </t>
    </r>
    <r>
      <rPr>
        <sz val="11"/>
        <color theme="1"/>
        <rFont val="Calibri"/>
        <family val="2"/>
        <charset val="1"/>
      </rPr>
      <t xml:space="preserve">US$30M </t>
    </r>
    <r>
      <rPr>
        <sz val="11"/>
        <color theme="1"/>
        <rFont val="Noto Sans CJK SC"/>
        <family val="2"/>
      </rPr>
      <t xml:space="preserve">資產出售（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</si>
  <si>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Futurum 2026-02 </t>
    </r>
    <r>
      <rPr>
        <sz val="11"/>
        <color theme="1"/>
        <rFont val="Noto Sans CJK SC"/>
        <family val="2"/>
      </rPr>
      <t xml:space="preserve">同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</si>
  <si>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公司指引與長期目標、共識（只作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</si>
  <si>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</si>
  <si>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1,950–2,050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</si>
  <si>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</si>
  <si>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摘要同</t>
    </r>
  </si>
  <si>
    <t xml:space="preserve">g3_ni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</si>
  <si>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淨利指引（</t>
    </r>
    <r>
      <rPr>
        <sz val="11"/>
        <color theme="1"/>
        <rFont val="Calibri"/>
        <family val="2"/>
        <charset val="1"/>
      </rPr>
      <t xml:space="preserve">180–205 </t>
    </r>
    <r>
      <rPr>
        <sz val="11"/>
        <color theme="1"/>
        <rFont val="Noto Sans CJK SC"/>
        <family val="2"/>
      </rPr>
      <t xml:space="preserve">中點）</t>
    </r>
  </si>
  <si>
    <t xml:space="preserve">g3_eps</t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</si>
  <si>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0.72–0.82 </t>
    </r>
    <r>
      <rPr>
        <sz val="11"/>
        <color theme="1"/>
        <rFont val="Noto Sans CJK SC"/>
        <family val="2"/>
      </rPr>
      <t xml:space="preserve">中點）</t>
    </r>
  </si>
  <si>
    <t xml:space="preserve">US$</t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</si>
  <si>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</si>
  <si>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資本支出指引（</t>
    </r>
    <r>
      <rPr>
        <sz val="11"/>
        <color theme="1"/>
        <rFont val="Calibri"/>
        <family val="2"/>
        <charset val="1"/>
      </rPr>
      <t xml:space="preserve">2.5–3.0B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</si>
  <si>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首次給出，維持不變）</t>
    </r>
  </si>
  <si>
    <t xml:space="preserve">t28_rev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</si>
  <si>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營收目標（</t>
    </r>
    <r>
      <rPr>
        <sz val="11"/>
        <color theme="1"/>
        <rFont val="Calibri"/>
        <family val="2"/>
        <charset val="1"/>
      </rPr>
      <t xml:space="preserve">±US$0.5B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</si>
  <si>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）（投資人日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</si>
  <si>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t28_gm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</si>
  <si>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毛利率目標（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</si>
  <si>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</si>
  <si>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t xml:space="preserve">t28_eps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</si>
  <si>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EPS </t>
    </r>
    <r>
      <rPr>
        <sz val="11"/>
        <color theme="1"/>
        <rFont val="Noto Sans CJK SC"/>
        <family val="2"/>
      </rPr>
      <t xml:space="preserve">目標（</t>
    </r>
    <r>
      <rPr>
        <sz val="11"/>
        <color theme="1"/>
        <rFont val="Calibri"/>
        <family val="2"/>
        <charset val="1"/>
      </rPr>
      <t xml:space="preserve">±0.25</t>
    </r>
    <r>
      <rPr>
        <sz val="11"/>
        <color theme="1"/>
        <rFont val="Noto Sans CJK SC"/>
        <family val="2"/>
      </rPr>
      <t xml:space="preserve">）</t>
    </r>
  </si>
  <si>
    <t xml:space="preserve">含亞利桑那第一期；不含第二期</t>
  </si>
  <si>
    <t xml:space="preserve">t30_rev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</si>
  <si>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營收目標（約 </t>
    </r>
    <r>
      <rPr>
        <sz val="11"/>
        <color theme="1"/>
        <rFont val="Calibri"/>
        <family val="2"/>
        <charset val="1"/>
      </rPr>
      <t xml:space="preserve">11B </t>
    </r>
    <r>
      <rPr>
        <sz val="11"/>
        <color theme="1"/>
        <rFont val="Noto Sans CJK SC"/>
        <family val="2"/>
      </rPr>
      <t xml:space="preserve">以上）</t>
    </r>
  </si>
  <si>
    <t xml:space="preserve">t30_gm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</si>
  <si>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毛利率目標（約 </t>
    </r>
    <r>
      <rPr>
        <sz val="11"/>
        <color theme="1"/>
        <rFont val="Calibri"/>
        <family val="2"/>
        <charset val="1"/>
      </rPr>
      <t xml:space="preserve">22% </t>
    </r>
    <r>
      <rPr>
        <sz val="11"/>
        <color theme="1"/>
        <rFont val="Noto Sans CJK SC"/>
        <family val="2"/>
      </rPr>
      <t xml:space="preserve">以上）</t>
    </r>
  </si>
  <si>
    <t xml:space="preserve">t30_eps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</si>
  <si>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EPS </t>
    </r>
    <r>
      <rPr>
        <sz val="11"/>
        <color theme="1"/>
        <rFont val="Noto Sans CJK SC"/>
        <family val="2"/>
      </rPr>
      <t xml:space="preserve">目標（約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以上）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</si>
  <si>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</si>
  <si>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</si>
  <si>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</si>
  <si>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tickflow 2026-10-24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7.47B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</si>
  <si>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</si>
  <si>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</si>
  <si>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</si>
  <si>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2.60</t>
    </r>
    <r>
      <rPr>
        <sz val="11"/>
        <color theme="1"/>
        <rFont val="Noto Sans CJK SC"/>
        <family val="2"/>
      </rPr>
      <t xml:space="preserve">（年度標示不明）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</si>
  <si>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</si>
  <si>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</si>
  <si>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：明年 </t>
    </r>
    <r>
      <rPr>
        <sz val="11"/>
        <color theme="1"/>
        <rFont val="Calibri"/>
        <family val="2"/>
        <charset val="1"/>
      </rPr>
      <t xml:space="preserve">2.72</t>
    </r>
    <r>
      <rPr>
        <sz val="11"/>
        <color theme="1"/>
        <rFont val="Noto Sans CJK SC"/>
        <family val="2"/>
      </rPr>
      <t xml:space="preserve">（頁面未明確標示年度；單一來源）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</si>
  <si>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數字：未找到（付費或無法開啟）</t>
    </r>
  </si>
  <si>
    <t xml:space="preserve">cons_q3rev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</si>
  <si>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</si>
  <si>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</si>
  <si>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Benzinga 2026-07-28</t>
    </r>
    <r>
      <rPr>
        <sz val="11"/>
        <color theme="1"/>
        <rFont val="Noto Sans CJK SC"/>
        <family val="2"/>
      </rPr>
      <t xml:space="preserve">：指引前共識 </t>
    </r>
    <r>
      <rPr>
        <sz val="11"/>
        <color theme="1"/>
        <rFont val="Calibri"/>
        <family val="2"/>
        <charset val="1"/>
      </rPr>
      <t xml:space="preserve">2.09B</t>
    </r>
  </si>
  <si>
    <t xml:space="preserve">apple</t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</si>
  <si>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</si>
  <si>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</si>
  <si>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Apple 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；前十大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</si>
  <si>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前十大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（公司新聞稿）；第二來源：未找到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</si>
  <si>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</si>
  <si>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</si>
  <si>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</si>
  <si>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39.05</t>
    </r>
  </si>
  <si>
    <r>
      <rPr>
        <sz val="11"/>
        <color theme="1"/>
        <rFont val="Calibri"/>
        <family val="2"/>
        <charset val="1"/>
      </rPr>
      <t xml:space="preserve">stocksguide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aaii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月以來 −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（原因未找到）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</si>
  <si>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</si>
  <si>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</si>
  <si>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</si>
  <si>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companiesmarketcap 17.64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</si>
  <si>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</si>
  <si>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</si>
  <si>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</si>
  <si>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</si>
  <si>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</si>
  <si>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</si>
  <si>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</si>
  <si>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</si>
  <si>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76.40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73.50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65–92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</si>
  <si>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stocksguide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71.40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）；多數目標價訂於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</si>
  <si>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</si>
  <si>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</si>
  <si>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公司各年第四季新聞稿（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）：營收與淨利（</t>
    </r>
    <r>
      <rPr>
        <sz val="11"/>
        <color theme="1"/>
        <rFont val="Calibri"/>
        <family val="2"/>
        <charset val="1"/>
      </rPr>
      <t xml:space="preserve">2016 3,894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164 … 2025 6,708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373.9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</si>
  <si>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FY2021–25 </t>
    </r>
    <r>
      <rPr>
        <sz val="11"/>
        <color theme="1"/>
        <rFont val="Noto Sans CJK SC"/>
        <family val="2"/>
      </rPr>
      <t xml:space="preserve">同；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含稅改一次性利益 </t>
    </r>
    <r>
      <rPr>
        <sz val="11"/>
        <color theme="1"/>
        <rFont val="Calibri"/>
        <family val="2"/>
        <charset val="1"/>
      </rPr>
      <t xml:space="preserve">42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</si>
  <si>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</si>
  <si>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</si>
  <si>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</si>
  <si>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</si>
  <si>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</si>
  <si>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</si>
  <si>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</si>
  <si>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</si>
  <si>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</si>
  <si>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</si>
  <si>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</si>
  <si>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</si>
  <si>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</si>
  <si>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</si>
  <si>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</si>
  <si>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</si>
  <si>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成熟倍數與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</si>
  <si>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</si>
  <si>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</si>
  <si>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9.41%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8.70%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8.66%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</si>
  <si>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12.51%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</si>
  <si>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</si>
  <si>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</si>
  <si>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</si>
  <si>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</si>
  <si>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</si>
  <si>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</si>
  <si>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</si>
  <si>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</si>
  <si>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</si>
  <si>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</si>
  <si>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</si>
  <si>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</si>
  <si>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</si>
  <si>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</si>
  <si>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</si>
  <si>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</si>
  <si>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</si>
  <si>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</si>
  <si>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</si>
  <si>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</si>
  <si>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為美元、稀釋；股數為百萬股）。藍字＝輸入（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新聞稿）；黑字＝公式。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</si>
  <si>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公司指引（營收依各終端市場季增說法、毛利率與營業費用指引）＋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公布，本版尚未納入，屆時以實績取代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</si>
  <si>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</si>
  <si>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</si>
  <si>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</si>
  <si>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</si>
  <si>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</si>
  <si>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</si>
  <si>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</si>
  <si>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</si>
  <si>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</si>
  <si>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</si>
  <si>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6,708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3,582.7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1,898.0</t>
    </r>
    <r>
      <rPr>
        <sz val="11"/>
        <color theme="1"/>
        <rFont val="Noto Sans CJK SC"/>
        <family val="2"/>
      </rPr>
      <t xml:space="preserve">（公司）</t>
    </r>
  </si>
  <si>
    <t xml:space="preserve">  通訊（手機、平板）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</si>
  <si>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</si>
  <si>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FY2025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</si>
  <si>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  運算（資料中心、基礎設施、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</si>
  <si>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</si>
  <si>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（公司）</t>
    </r>
  </si>
  <si>
    <t xml:space="preserve">  車用、工業與其他</t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</si>
  <si>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（公司）</t>
    </r>
  </si>
  <si>
    <t xml:space="preserve">  消費</t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</si>
  <si>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</si>
  <si>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</si>
  <si>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</si>
  <si>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資產出售約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（公司法說）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</si>
  <si>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</si>
  <si>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16.8%</t>
    </r>
  </si>
  <si>
    <t xml:space="preserve">營業費用（銷管＋研發）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</si>
  <si>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</si>
  <si>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含不動產處分利益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（降低費用）</t>
    </r>
  </si>
  <si>
    <t xml:space="preserve">營業利益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</si>
  <si>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467.4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1H26 300.1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2Q26 199.9</t>
    </r>
    <r>
      <rPr>
        <sz val="11"/>
        <color theme="1"/>
        <rFont val="Noto Sans CJK SC"/>
        <family val="2"/>
      </rPr>
      <t xml:space="preserve">（核對見第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列）</t>
    </r>
  </si>
  <si>
    <t xml:space="preserve">營業外淨額（其他收益 − 利息費用）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</si>
  <si>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</si>
  <si>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其他收益含利息收入與匯兌（公司）</t>
  </si>
  <si>
    <t xml:space="preserve">稅前利益</t>
  </si>
  <si>
    <t xml:space="preserve">所得稅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</si>
  <si>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15.4%</t>
    </r>
    <r>
      <rPr>
        <sz val="11"/>
        <color theme="1"/>
        <rFont val="Noto Sans CJK SC"/>
        <family val="2"/>
      </rPr>
      <t xml:space="preserve">（含遞延稅資產一次性利益）</t>
    </r>
  </si>
  <si>
    <t xml:space="preserve">非控制權益</t>
  </si>
  <si>
    <t xml:space="preserve">稅後 − 歸屬母公司淨利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</si>
  <si>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</si>
  <si>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1Q26 83</t>
    </r>
    <r>
      <rPr>
        <sz val="11"/>
        <color theme="1"/>
        <rFont val="Noto Sans CJK SC"/>
        <family val="2"/>
      </rPr>
      <t xml:space="preserve">（公司）</t>
    </r>
  </si>
  <si>
    <t xml:space="preserve">稀釋股數（百萬股）</t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</si>
  <si>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 × 1H26 </t>
    </r>
    <r>
      <rPr>
        <sz val="11"/>
        <color theme="1"/>
        <rFont val="Noto Sans CJK SC"/>
        <family val="2"/>
      </rPr>
      <t xml:space="preserve">加權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</si>
  <si>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</si>
  <si>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</si>
  <si>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</si>
  <si>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折舊攤提</t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</si>
  <si>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LTM 1Q26 659</t>
    </r>
  </si>
  <si>
    <t xml:space="preserve">現金毛利（毛利＋折舊攤提）</t>
  </si>
  <si>
    <t xml:space="preserve">假設折舊攤提全數在銷貨成本（近似）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</si>
  <si>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</si>
  <si>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</si>
  <si>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運算年增（公司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說法：超過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</si>
  <si>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扣除資產出售利益；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</si>
  <si>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Noto Sans CJK SC"/>
        <family val="2"/>
      </rPr>
      <t xml:space="preserve">營業費用彈性（扣除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處分利益；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</si>
  <si>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</si>
  <si>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EPS ÷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</si>
  <si>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 自算 − 公司公布 </t>
    </r>
    <r>
      <rPr>
        <sz val="11"/>
        <color theme="1"/>
        <rFont val="Calibri"/>
        <family val="2"/>
        <charset val="1"/>
      </rPr>
      <t xml:space="preserve">467.4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</si>
  <si>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 自算 − 公司公布 </t>
    </r>
    <r>
      <rPr>
        <sz val="11"/>
        <color theme="1"/>
        <rFont val="Calibri"/>
        <family val="2"/>
        <charset val="1"/>
      </rPr>
      <t xml:space="preserve">300.1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</si>
  <si>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</si>
  <si>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追加）：終端市場別營收（公司揭露比重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</si>
  <si>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成品）→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先進封裝營收（情境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，經橋接表），只作 </t>
    </r>
    <r>
      <rPr>
        <sz val="11"/>
        <color theme="1"/>
        <rFont val="Calibri"/>
        <family val="2"/>
        <charset val="1"/>
      </rPr>
      <t xml:space="preserve">Recon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</si>
  <si>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</si>
  <si>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</si>
  <si>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</si>
  <si>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</si>
  <si>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</si>
  <si>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</si>
  <si>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頁（台積電模型與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、網通同一份）</t>
    </r>
  </si>
  <si>
    <r>
      <rPr>
        <sz val="11"/>
        <color theme="1"/>
        <rFont val="Noto Sans CJK SC"/>
        <family val="2"/>
      </rPr>
      <t xml:space="preserve">封裝面積指數（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</si>
  <si>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頁）</t>
    </r>
  </si>
  <si>
    <t xml:space="preserve">後段委外比例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</si>
  <si>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份額（占委外後段）</t>
    </r>
  </si>
  <si>
    <t xml:space="preserve">每顆封測金額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</si>
  <si>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</si>
  <si>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校準；之後隨封裝面積</t>
    </r>
  </si>
  <si>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先進封裝營收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</si>
  <si>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</si>
  <si>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每顆加速器的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</si>
  <si>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資本支出）</t>
    </r>
  </si>
  <si>
    <t xml:space="preserve">GW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</si>
  <si>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起，與其他模型同口徑）、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</si>
  <si>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先進封裝市場（</t>
    </r>
    <r>
      <rPr>
        <sz val="11"/>
        <color theme="1"/>
        <rFont val="Calibri"/>
        <family val="2"/>
        <charset val="1"/>
      </rPr>
      <t xml:space="preserve">GW × US$0.5B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</si>
  <si>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公司投資人日口徑（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</si>
  <si>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</t>
    </r>
  </si>
  <si>
    <t xml:space="preserve">隱含市占（對照用）</t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</si>
  <si>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先進封裝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以公司「約三倍」說法與運算營收反推，不是公司揭露數字；委外比例與份額是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，只有相對變化影響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起的營收。每顆封測金額隨封裝面積上升（彈性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），所以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世代單顆金額高於 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</si>
  <si>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Amkor </t>
    </r>
    <r>
      <rPr>
        <sz val="11"/>
        <color theme="1"/>
        <rFont val="Noto Sans CJK SC"/>
        <family val="2"/>
      </rPr>
      <t xml:space="preserve">損益（百萬美元；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美元、稀釋；歸屬母公司）。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</si>
  <si>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</si>
  <si>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</si>
  <si>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</si>
  <si>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</si>
  <si>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</si>
  <si>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</si>
  <si>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</si>
  <si>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</si>
  <si>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</si>
  <si>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</si>
  <si>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</si>
  <si>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先進封裝</t>
    </r>
  </si>
  <si>
    <t xml:space="preserve">  運算合計</t>
  </si>
  <si>
    <t xml:space="preserve">  通訊</t>
  </si>
  <si>
    <t xml:space="preserve">  亞利桑那廠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</si>
  <si>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</si>
  <si>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</si>
  <si>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</si>
  <si>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</si>
  <si>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</si>
  <si>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</si>
  <si>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</si>
  <si>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</si>
  <si>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</si>
  <si>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頁運算（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</si>
  <si>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：顆數基準；通訊 </t>
    </r>
    <r>
      <rPr>
        <b val="true"/>
        <sz val="11"/>
        <rFont val="Cambria"/>
        <family val="0"/>
        <charset val="1"/>
      </rPr>
      <t xml:space="preserve">FY2027 +3%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；亞利桑那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150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FY2029 500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</si>
  <si>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 → </t>
    </r>
    <r>
      <rPr>
        <b val="true"/>
        <sz val="11"/>
        <rFont val="Cambria"/>
        <family val="0"/>
        <charset val="1"/>
      </rPr>
      <t xml:space="preserve">Amkor AI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</si>
  <si>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加速器顆數（含情境係數）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</si>
  <si>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固定基準值（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</si>
  <si>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先進封裝營收（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HDFO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</si>
  <si>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：由運算營收與公司「約三倍」說法反推（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</si>
  <si>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每顆封測金額（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</si>
  <si>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</t>
    </r>
  </si>
  <si>
    <r>
      <rPr>
        <sz val="11"/>
        <color theme="1"/>
        <rFont val="Noto Sans CJK SC"/>
        <family val="2"/>
      </rPr>
      <t xml:space="preserve">含資料中心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等連帶營收（拆分未揭露）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</si>
  <si>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終端市場與合計</t>
    </r>
  </si>
  <si>
    <r>
      <rPr>
        <sz val="11"/>
        <color theme="1"/>
        <rFont val="Noto Sans CJK SC"/>
        <family val="2"/>
      </rPr>
      <t xml:space="preserve">運算（非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、儲存、基礎設施）</t>
    </r>
  </si>
  <si>
    <t xml:space="preserve">運算合計</t>
  </si>
  <si>
    <r>
      <rPr>
        <sz val="11"/>
        <color theme="1"/>
        <rFont val="Noto Sans CJK SC"/>
        <family val="2"/>
      </rPr>
      <t xml:space="preserve">通訊（</t>
    </r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）</t>
    </r>
  </si>
  <si>
    <t xml:space="preserve">車用、工業與其他</t>
  </si>
  <si>
    <t xml:space="preserve">消費</t>
  </si>
  <si>
    <t xml:space="preserve">亞利桑那廠營收（第一期）</t>
  </si>
  <si>
    <r>
      <rPr>
        <sz val="11"/>
        <color theme="1"/>
        <rFont val="Noto Sans CJK SC"/>
        <family val="2"/>
      </rPr>
      <t xml:space="preserve">第一期滿載約 </t>
    </r>
    <r>
      <rPr>
        <sz val="11"/>
        <color theme="1"/>
        <rFont val="Calibri"/>
        <family val="2"/>
        <charset val="1"/>
      </rPr>
      <t xml:space="preserve">US$1B</t>
    </r>
    <r>
      <rPr>
        <sz val="11"/>
        <color theme="1"/>
        <rFont val="Noto Sans CJK SC"/>
        <family val="2"/>
      </rPr>
      <t xml:space="preserve">（公司）；與既有客戶的亞洲產能可能部分替代（限制）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</si>
  <si>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</si>
  <si>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</si>
  <si>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</si>
  <si>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</si>
  <si>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折舊、毛利與損益</t>
    </r>
  </si>
  <si>
    <t xml:space="preserve">本業營收（不含亞利桑那）</t>
  </si>
  <si>
    <t xml:space="preserve">本業資本支出（不含亞利桑那）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</si>
  <si>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（總額 </t>
    </r>
    <r>
      <rPr>
        <sz val="11"/>
        <color theme="1"/>
        <rFont val="Calibri"/>
        <family val="2"/>
        <charset val="1"/>
      </rPr>
      <t xml:space="preserve">2.5–3.0B </t>
    </r>
    <r>
      <rPr>
        <sz val="11"/>
        <color theme="1"/>
        <rFont val="Noto Sans CJK SC"/>
        <family val="2"/>
      </rPr>
      <t xml:space="preserve">扣除亞利桑那）；之後＝本業營收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資本支出率</t>
    </r>
  </si>
  <si>
    <t xml:space="preserve">本業折舊攤提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</si>
  <si>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</si>
  <si>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亞利桑那折舊（第一期，扣除補助與抵減）</t>
  </si>
  <si>
    <t xml:space="preserve">折舊攤提合計</t>
  </si>
  <si>
    <r>
      <rPr>
        <sz val="11"/>
        <color theme="1"/>
        <rFont val="Noto Sans CJK SC"/>
        <family val="2"/>
      </rPr>
      <t xml:space="preserve">本業毛利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流通率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本業營收增量 − 本業折舊增量</t>
    </r>
  </si>
  <si>
    <t xml:space="preserve">流通率為現金毛利口徑；折舊另計</t>
  </si>
  <si>
    <r>
      <rPr>
        <sz val="11"/>
        <color theme="1"/>
        <rFont val="Noto Sans CJK SC"/>
        <family val="2"/>
      </rPr>
      <t xml:space="preserve">亞利桑那毛利 ＝ 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邊際貢獻率 − 固定現金成本 − 折舊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</si>
  <si>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為投產前啟動成本</t>
    </r>
  </si>
  <si>
    <r>
      <rPr>
        <sz val="11"/>
        <color theme="1"/>
        <rFont val="Noto Sans CJK SC"/>
        <family val="2"/>
      </rPr>
      <t xml:space="preserve">亞利桑那對毛利率的影響（亞利桑那毛利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</si>
  <si>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pt</t>
  </si>
  <si>
    <r>
      <rPr>
        <sz val="11"/>
        <color theme="1"/>
        <rFont val="Noto Sans CJK SC"/>
        <family val="2"/>
      </rPr>
      <t xml:space="preserve">公司：啟動成本使營業利益率降約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</si>
  <si>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基期加回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不動產處分利益</t>
    </r>
  </si>
  <si>
    <t xml:space="preserve">營業外淨額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</si>
  <si>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</si>
  <si>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</si>
  <si>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</si>
  <si>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；通訊 </t>
    </r>
    <r>
      <rPr>
        <b val="true"/>
        <sz val="11"/>
        <rFont val="Cambria"/>
        <family val="0"/>
        <charset val="1"/>
      </rPr>
      <t xml:space="preserve">FY2027 0%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+3%</t>
    </r>
    <r>
      <rPr>
        <b val="true"/>
        <sz val="11"/>
        <rFont val="Noto Sans CJK SC"/>
        <family val="2"/>
      </rPr>
      <t xml:space="preserve">；亞利桑那 </t>
    </r>
    <r>
      <rPr>
        <b val="true"/>
        <sz val="11"/>
        <rFont val="Cambria"/>
        <family val="0"/>
        <charset val="1"/>
      </rPr>
      <t xml:space="preserve">100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400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</si>
  <si>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；通訊 </t>
    </r>
    <r>
      <rPr>
        <b val="true"/>
        <sz val="11"/>
        <rFont val="Cambria"/>
        <family val="0"/>
        <charset val="1"/>
      </rPr>
      <t xml:space="preserve">FY2027 −6%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Apple </t>
    </r>
    <r>
      <rPr>
        <b val="true"/>
        <sz val="11"/>
        <rFont val="Noto Sans CJK SC"/>
        <family val="2"/>
      </rPr>
      <t xml:space="preserve">分散供應）；亞利桑那 </t>
    </r>
    <r>
      <rPr>
        <b val="true"/>
        <sz val="11"/>
        <rFont val="Cambria"/>
        <family val="0"/>
        <charset val="1"/>
      </rPr>
      <t xml:space="preserve">50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250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</si>
  <si>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</si>
  <si>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不是設備股，不套設備市場見頂年；以本模型營收最高的會計年度為見頂年（比照廣達、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</si>
  <si>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</si>
  <si>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</si>
  <si>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</si>
  <si>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</si>
  <si>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</si>
  <si>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</si>
  <si>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</si>
  <si>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</si>
  <si>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</si>
  <si>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</si>
  <si>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</si>
  <si>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</si>
  <si>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</si>
  <si>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</si>
  <si>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</si>
  <si>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</si>
  <si>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</si>
  <si>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</si>
  <si>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</si>
  <si>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</si>
  <si>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</si>
  <si>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</si>
  <si>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</si>
  <si>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</si>
  <si>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</si>
  <si>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</si>
  <si>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</si>
  <si>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日月光投控（</t>
    </r>
    <r>
      <rPr>
        <sz val="11"/>
        <color theme="1"/>
        <rFont val="Calibri"/>
        <family val="2"/>
        <charset val="1"/>
      </rPr>
      <t xml:space="preserve">ASE Technology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</si>
  <si>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3711.TW</t>
    </r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</si>
  <si>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</si>
  <si>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</si>
  <si>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力成（</t>
    </r>
    <r>
      <rPr>
        <sz val="11"/>
        <color theme="1"/>
        <rFont val="Calibri"/>
        <family val="2"/>
        <charset val="1"/>
      </rPr>
      <t xml:space="preserve">Powertech</t>
    </r>
    <r>
      <rPr>
        <sz val="11"/>
        <color theme="1"/>
        <rFont val="Noto Sans CJK SC"/>
        <family val="2"/>
      </rPr>
      <t xml:space="preserve">）</t>
    </r>
  </si>
  <si>
    <t xml:space="preserve">6239.TW</t>
  </si>
  <si>
    <t xml:space="preserve">2026-10-02</t>
  </si>
  <si>
    <r>
      <rPr>
        <sz val="11"/>
        <color theme="1"/>
        <rFont val="Noto Sans CJK SC"/>
        <family val="2"/>
      </rPr>
      <t xml:space="preserve">京元電子（</t>
    </r>
    <r>
      <rPr>
        <sz val="11"/>
        <color theme="1"/>
        <rFont val="Calibri"/>
        <family val="2"/>
        <charset val="1"/>
      </rPr>
      <t xml:space="preserve">KYEC</t>
    </r>
    <r>
      <rPr>
        <sz val="11"/>
        <color theme="1"/>
        <rFont val="Noto Sans CJK SC"/>
        <family val="2"/>
      </rPr>
      <t xml:space="preserve">）</t>
    </r>
  </si>
  <si>
    <t xml:space="preserve">2449.TW</t>
  </si>
  <si>
    <t xml:space="preserve">2026-10-06</t>
  </si>
  <si>
    <r>
      <rPr>
        <sz val="11"/>
        <color theme="1"/>
        <rFont val="Noto Sans CJK SC"/>
        <family val="2"/>
      </rPr>
      <t xml:space="preserve">矽格（</t>
    </r>
    <r>
      <rPr>
        <sz val="11"/>
        <color theme="1"/>
        <rFont val="Calibri"/>
        <family val="2"/>
        <charset val="1"/>
      </rPr>
      <t xml:space="preserve">Sigurd</t>
    </r>
    <r>
      <rPr>
        <sz val="11"/>
        <color theme="1"/>
        <rFont val="Noto Sans CJK SC"/>
        <family val="2"/>
      </rPr>
      <t xml:space="preserve">）</t>
    </r>
  </si>
  <si>
    <t xml:space="preserve">6257.TW</t>
  </si>
  <si>
    <r>
      <rPr>
        <sz val="11"/>
        <color theme="1"/>
        <rFont val="Noto Sans CJK SC"/>
        <family val="2"/>
      </rPr>
      <t xml:space="preserve">南茂（</t>
    </r>
    <r>
      <rPr>
        <sz val="11"/>
        <color theme="1"/>
        <rFont val="Calibri"/>
        <family val="2"/>
        <charset val="1"/>
      </rPr>
      <t xml:space="preserve">ChipMOS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</si>
  <si>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IMOS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8150.TW</t>
    </r>
  </si>
  <si>
    <t xml:space="preserve">2026-10-08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</si>
  <si>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</si>
  <si>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台美封測同業：日月光、力成、京元電、矽格、南茂（不放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股：長電、通富有結構性溢價）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</si>
  <si>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</si>
  <si>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</si>
  <si>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</si>
  <si>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</si>
  <si>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</si>
  <si>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</si>
  <si>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</si>
  <si>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</si>
  <si>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</si>
  <si>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</si>
  <si>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76.40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73.50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擷取；</t>
    </r>
    <r>
      <rPr>
        <sz val="11"/>
        <color theme="1"/>
        <rFont val="Calibri"/>
        <family val="2"/>
        <charset val="1"/>
      </rPr>
      <t xml:space="preserve">stocksguide 13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71.40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</si>
  <si>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</si>
  <si>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</si>
  <si>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</si>
  <si>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</si>
  <si>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</si>
  <si>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</si>
  <si>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</si>
  <si>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</si>
  <si>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</si>
  <si>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</si>
  <si>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</si>
  <si>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資本密集，但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起只有收斂法、亞利桑那第二期支出未建，未改用淨利＋折舊－資本支出，現金流偏高估。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：台美封測同業（日月光、力成、京元電、矽格、南茂）前瞻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股（長電、通富約 </t>
    </r>
    <r>
      <rPr>
        <sz val="11"/>
        <color theme="1"/>
        <rFont val="Calibri"/>
        <family val="2"/>
        <charset val="1"/>
      </rPr>
      <t xml:space="preserve">35–50x</t>
    </r>
    <r>
      <rPr>
        <sz val="11"/>
        <color theme="1"/>
        <rFont val="Noto Sans CJK SC"/>
        <family val="2"/>
      </rPr>
      <t xml:space="preserve">，結構性溢價）；京元電以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測試為主、倍數較高，部分價格為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月上旬。情境對應：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、通訊下滑）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</si>
  <si>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</si>
  <si>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</si>
  <si>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</si>
  <si>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</si>
  <si>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</si>
  <si>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</si>
  <si>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</si>
  <si>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</si>
  <si>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</si>
  <si>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</si>
  <si>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</si>
  <si>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</si>
  <si>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三情境只差通訊與亞利桑那啟動成本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</si>
  <si>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</si>
  <si>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</si>
  <si>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</si>
  <si>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</si>
  <si>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</si>
  <si>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</si>
  <si>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</si>
  <si>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</si>
  <si>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</si>
  <si>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</si>
  <si>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</si>
  <si>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</si>
  <si>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</si>
  <si>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</si>
  <si>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</si>
  <si>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</si>
  <si>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</si>
  <si>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</si>
  <si>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</si>
  <si>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</si>
  <si>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</si>
  <si>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</si>
  <si>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</si>
  <si>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</si>
  <si>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</si>
  <si>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</si>
  <si>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</si>
  <si>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</si>
  <si>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</si>
  <si>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</si>
  <si>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</si>
  <si>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</si>
  <si>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</si>
  <si>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</si>
  <si>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</si>
  <si>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</si>
  <si>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</si>
  <si>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</si>
  <si>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</si>
  <si>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</si>
  <si>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</si>
  <si>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</si>
  <si>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22–26x</t>
    </r>
    <r>
      <rPr>
        <sz val="11"/>
        <color theme="1"/>
        <rFont val="Noto Sans CJK SC"/>
        <family val="2"/>
      </rPr>
      <t xml:space="preserve">，高峰年（</t>
    </r>
    <r>
      <rPr>
        <sz val="11"/>
        <color theme="1"/>
        <rFont val="Calibri"/>
        <family val="2"/>
        <charset val="1"/>
      </rPr>
      <t xml:space="preserve">2021–2022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7–9x</t>
    </r>
    <r>
      <rPr>
        <sz val="11"/>
        <color theme="1"/>
        <rFont val="Noto Sans CJK SC"/>
        <family val="2"/>
      </rPr>
      <t xml:space="preserve">；套用在成長年的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時，中位數偏向高估。</t>
    </r>
    <r>
      <rPr>
        <sz val="11"/>
        <color theme="1"/>
        <rFont val="Calibri"/>
        <family val="2"/>
        <charset val="1"/>
      </rPr>
      <t xml:space="preserve">2017 EPS </t>
    </r>
    <r>
      <rPr>
        <sz val="11"/>
        <color theme="1"/>
        <rFont val="Noto Sans CJK SC"/>
        <family val="2"/>
      </rPr>
      <t xml:space="preserve">含美國稅改一次性利益 </t>
    </r>
    <r>
      <rPr>
        <sz val="11"/>
        <color theme="1"/>
        <rFont val="Calibri"/>
        <family val="2"/>
        <charset val="1"/>
      </rPr>
      <t xml:space="preserve">0.17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</si>
  <si>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</si>
  <si>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</si>
  <si>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</si>
  <si>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</si>
  <si>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月值，非逐日年底收盤；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取自公司各年第四季新聞稿）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</si>
  <si>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</si>
  <si>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</si>
  <si>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</si>
  <si>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</si>
  <si>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</si>
  <si>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</si>
  <si>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</si>
  <si>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</si>
  <si>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</si>
  <si>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</si>
  <si>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</si>
  <si>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</si>
  <si>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</si>
  <si>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</si>
  <si>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</si>
  <si>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</si>
  <si>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</si>
  <si>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</si>
  <si>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</si>
  <si>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</si>
  <si>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</si>
  <si>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</si>
  <si>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</si>
  <si>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</si>
  <si>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</si>
  <si>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</si>
  <si>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</si>
  <si>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</si>
  <si>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</si>
  <si>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</si>
  <si>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</si>
  <si>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</si>
  <si>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</si>
  <si>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</si>
  <si>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</si>
  <si>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</si>
  <si>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</si>
  <si>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</si>
  <si>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</si>
  <si>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</si>
  <si>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</si>
  <si>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Amkor</t>
  </si>
  <si>
    <t xml:space="preserve">AMKR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</si>
  <si>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</si>
  <si>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AMKR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</si>
  <si>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3711.TW</t>
  </si>
  <si>
    <t xml:space="preserve">同業</t>
  </si>
  <si>
    <r>
      <rPr>
        <sz val="11"/>
        <color theme="1"/>
        <rFont val="Calibri"/>
        <family val="2"/>
        <charset val="1"/>
      </rPr>
      <t xml:space="preserve">Bloomberg 3711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</si>
  <si>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6239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</si>
  <si>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2449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</si>
  <si>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6257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</si>
  <si>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8150.TW</t>
  </si>
  <si>
    <r>
      <rPr>
        <sz val="11"/>
        <color theme="1"/>
        <rFont val="Calibri"/>
        <family val="2"/>
        <charset val="1"/>
      </rPr>
      <t xml:space="preserve">Bloomberg 8150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</si>
  <si>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</si>
  <si>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</si>
  <si>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</si>
  <si>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</si>
  <si>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</si>
  <si>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</si>
  <si>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</si>
  <si>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</si>
  <si>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</si>
  <si>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</si>
  <si>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</si>
  <si>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</si>
  <si>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</si>
  <si>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</si>
  <si>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公司指引、公司長期目標、共識與市場口徑。只作事後對照，不為對上數字而調參數。共識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只有單一來源且年度標示不明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</si>
  <si>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</si>
  <si>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</si>
  <si>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</si>
  <si>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</si>
  <si>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</si>
  <si>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</si>
  <si>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</si>
  <si>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</si>
  <si>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公司指引與共識（錨點用 </t>
    </r>
    <r>
      <rPr>
        <b val="true"/>
        <sz val="11"/>
        <rFont val="Cambria"/>
        <family val="0"/>
        <charset val="1"/>
      </rPr>
      <t xml:space="preserve">3Q </t>
    </r>
    <r>
      <rPr>
        <b val="true"/>
        <sz val="11"/>
        <rFont val="Noto Sans CJK SC"/>
        <family val="2"/>
      </rPr>
      <t xml:space="preserve">指引，非獨立檢驗）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</si>
  <si>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營收（各終端市場季增說法加總）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</si>
  <si>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1,950–2,050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</si>
  <si>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2,040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</si>
  <si>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EPS 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</si>
  <si>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0.72–0.82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</si>
  <si>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</si>
  <si>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</si>
  <si>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tickflow 7.47B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</si>
  <si>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</si>
  <si>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 </t>
    </r>
    <r>
      <rPr>
        <sz val="11"/>
        <color theme="1"/>
        <rFont val="Calibri"/>
        <family val="2"/>
        <charset val="1"/>
      </rPr>
      <t xml:space="preserve">GAAP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</si>
  <si>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，年度標示不明）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</si>
  <si>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（單一來源）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</si>
  <si>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運算年增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</si>
  <si>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</si>
  <si>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指引運算近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季增，已高於年初說法</t>
    </r>
  </si>
  <si>
    <r>
      <rPr>
        <b val="true"/>
        <sz val="11"/>
        <rFont val="Cambria"/>
        <family val="0"/>
        <charset val="1"/>
      </rPr>
      <t xml:space="preserve">B. vs </t>
    </r>
    <r>
      <rPr>
        <b val="true"/>
        <sz val="11"/>
        <rFont val="Noto Sans CJK SC"/>
        <family val="2"/>
      </rPr>
      <t xml:space="preserve">公司長期目標（投資人日 </t>
    </r>
    <r>
      <rPr>
        <b val="true"/>
        <sz val="11"/>
        <rFont val="Cambria"/>
        <family val="0"/>
        <charset val="1"/>
      </rPr>
      <t xml:space="preserve">2026-05-21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財報前訂定）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</si>
  <si>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9.0B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±0.5B</t>
    </r>
    <r>
      <rPr>
        <sz val="11"/>
        <color theme="1"/>
        <rFont val="Noto Sans CJK SC"/>
        <family val="2"/>
      </rPr>
      <t xml:space="preserve">）</t>
    </r>
  </si>
  <si>
    <t xml:space="preserve">投資人日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</si>
  <si>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17.5%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</si>
  <si>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±0.25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</si>
  <si>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錨點已高於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</si>
  <si>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11B</t>
    </r>
    <r>
      <rPr>
        <sz val="11"/>
        <color theme="1"/>
        <rFont val="Noto Sans CJK SC"/>
        <family val="2"/>
      </rPr>
      <t xml:space="preserve">（目標年晚一年）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</si>
  <si>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</si>
  <si>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FY2029 EPS 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5.0</t>
    </r>
  </si>
  <si>
    <r>
      <rPr>
        <sz val="11"/>
        <color theme="1"/>
        <rFont val="Noto Sans CJK SC"/>
        <family val="2"/>
      </rPr>
      <t xml:space="preserve">運算 </t>
    </r>
    <r>
      <rPr>
        <sz val="11"/>
        <color theme="1"/>
        <rFont val="Calibri"/>
        <family val="2"/>
        <charset val="1"/>
      </rPr>
      <t xml:space="preserve">FY2025–29 </t>
    </r>
    <r>
      <rPr>
        <sz val="11"/>
        <color theme="1"/>
        <rFont val="Noto Sans CJK SC"/>
        <family val="2"/>
      </rPr>
      <t xml:space="preserve">年均成長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2025–30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</si>
  <si>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先進封裝的市場口徑</t>
    </r>
  </si>
  <si>
    <r>
      <rPr>
        <sz val="11"/>
        <color theme="1"/>
        <rFont val="Calibri"/>
        <family val="2"/>
        <charset val="1"/>
      </rPr>
      <t xml:space="preserve">FY2026 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先進封裝市場（</t>
    </r>
    <r>
      <rPr>
        <sz val="11"/>
        <color theme="1"/>
        <rFont val="Calibri"/>
        <family val="2"/>
        <charset val="1"/>
      </rPr>
      <t xml:space="preserve">GW × 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</si>
  <si>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讀網通模型與橋接表</t>
    </r>
  </si>
  <si>
    <t xml:space="preserve">隱含市占</t>
  </si>
  <si>
    <r>
      <rPr>
        <sz val="11"/>
        <color theme="1"/>
        <rFont val="Calibri"/>
        <family val="2"/>
        <charset val="1"/>
      </rPr>
      <t xml:space="preserve">FY2027 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</si>
  <si>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</si>
  <si>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可用產能（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</si>
  <si>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tsmc/dist CoWoS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</si>
  <si>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100% → </t>
    </r>
    <r>
      <rPr>
        <sz val="11"/>
        <color theme="1"/>
        <rFont val="Noto Sans CJK SC"/>
        <family val="2"/>
      </rPr>
      <t xml:space="preserve">後段委外需求上升（本模型委外比例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上升的依據之一）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</si>
  <si>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</si>
  <si>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對照：台積電模型每顆台積電內容 </t>
    </r>
    <r>
      <rPr>
        <sz val="11"/>
        <color theme="1"/>
        <rFont val="Calibri"/>
        <family val="2"/>
        <charset val="1"/>
      </rPr>
      <t xml:space="preserve">1.1–6.0 </t>
    </r>
    <r>
      <rPr>
        <sz val="11"/>
        <color theme="1"/>
        <rFont val="Noto Sans CJK SC"/>
        <family val="2"/>
      </rPr>
      <t xml:space="preserve">千美元（邏輯＋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</si>
  <si>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亞利桑那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</si>
  <si>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</si>
  <si>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損益兩平（投資人日）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</si>
  <si>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</si>
  <si>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</si>
  <si>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客戶集中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</si>
  <si>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FY2025 Apple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（百分點）</t>
    </r>
  </si>
  <si>
    <t xml:space="preserve">10-K</t>
  </si>
  <si>
    <r>
      <rPr>
        <sz val="11"/>
        <color theme="1"/>
        <rFont val="Noto Sans CJK SC"/>
        <family val="2"/>
      </rPr>
      <t xml:space="preserve">通訊含 </t>
    </r>
    <r>
      <rPr>
        <sz val="11"/>
        <color theme="1"/>
        <rFont val="Calibri"/>
        <family val="2"/>
        <charset val="1"/>
      </rPr>
      <t xml:space="preserve">Android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；只看方向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</si>
  <si>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拆分與每顆金額在每個案例內重算）：對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</si>
  <si>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</si>
  <si>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</si>
  <si>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</si>
  <si>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</si>
  <si>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</si>
  <si>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</si>
  <si>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</si>
  <si>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</si>
  <si>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</si>
  <si>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</si>
  <si>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</si>
  <si>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</si>
  <si>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</si>
  <si>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</si>
  <si>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</si>
  <si>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委外比例 低</t>
  </si>
  <si>
    <r>
      <rPr>
        <sz val="11"/>
        <color theme="1"/>
        <rFont val="Calibri"/>
        <family val="2"/>
        <charset val="1"/>
      </rPr>
      <t xml:space="preserve">2027 45%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45%</t>
    </r>
  </si>
  <si>
    <t xml:space="preserve">委外比例 高</t>
  </si>
  <si>
    <r>
      <rPr>
        <sz val="11"/>
        <color theme="1"/>
        <rFont val="Calibri"/>
        <family val="2"/>
        <charset val="1"/>
      </rPr>
      <t xml:space="preserve">2027 65%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</si>
  <si>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</si>
  <si>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（日月光、矽品搶單）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</si>
  <si>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</si>
  <si>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45%</t>
    </r>
  </si>
  <si>
    <r>
      <rPr>
        <sz val="11"/>
        <color theme="1"/>
        <rFont val="Noto Sans CJK SC"/>
        <family val="2"/>
      </rPr>
      <t xml:space="preserve">每顆金額彈性 </t>
    </r>
    <r>
      <rPr>
        <sz val="11"/>
        <color theme="1"/>
        <rFont val="Calibri"/>
        <family val="2"/>
        <charset val="1"/>
      </rPr>
      <t xml:space="preserve">0.3</t>
    </r>
  </si>
  <si>
    <t xml:space="preserve">封裝面積帶動較少</t>
  </si>
  <si>
    <r>
      <rPr>
        <sz val="11"/>
        <color theme="1"/>
        <rFont val="Noto Sans CJK SC"/>
        <family val="2"/>
      </rPr>
      <t xml:space="preserve">每顆金額彈性 </t>
    </r>
    <r>
      <rPr>
        <sz val="11"/>
        <color theme="1"/>
        <rFont val="Calibri"/>
        <family val="2"/>
        <charset val="1"/>
      </rPr>
      <t xml:space="preserve">1.0</t>
    </r>
  </si>
  <si>
    <t xml:space="preserve">與面積等比例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</si>
  <si>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三倍 →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</si>
  <si>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拆分較大、基期較高</t>
    </r>
  </si>
  <si>
    <r>
      <rPr>
        <sz val="11"/>
        <color theme="1"/>
        <rFont val="Noto Sans CJK SC"/>
        <family val="2"/>
      </rPr>
      <t xml:space="preserve">通訊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</si>
  <si>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FY2027 −6%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</si>
  <si>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車用與工業 </t>
    </r>
    <r>
      <rPr>
        <sz val="11"/>
        <color theme="1"/>
        <rFont val="Calibri"/>
        <family val="2"/>
        <charset val="1"/>
      </rPr>
      <t xml:space="preserve">+4%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</si>
  <si>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</si>
  <si>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Noto Sans CJK SC"/>
        <family val="2"/>
      </rPr>
      <t xml:space="preserve">車用與工業 </t>
    </r>
    <r>
      <rPr>
        <sz val="11"/>
        <color theme="1"/>
        <rFont val="Calibri"/>
        <family val="2"/>
        <charset val="1"/>
      </rPr>
      <t xml:space="preserve">+14%</t>
    </r>
  </si>
  <si>
    <r>
      <rPr>
        <sz val="11"/>
        <color theme="1"/>
        <rFont val="Noto Sans CJK SC"/>
        <family val="2"/>
      </rPr>
      <t xml:space="preserve">現金流通率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</si>
  <si>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</si>
  <si>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現金流通率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</si>
  <si>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本業資本支出率 </t>
    </r>
    <r>
      <rPr>
        <sz val="11"/>
        <color theme="1"/>
        <rFont val="Calibri"/>
        <family val="2"/>
        <charset val="1"/>
      </rPr>
      <t xml:space="preserve">18%</t>
    </r>
  </si>
  <si>
    <t xml:space="preserve">折舊上升較快</t>
  </si>
  <si>
    <r>
      <rPr>
        <sz val="11"/>
        <color theme="1"/>
        <rFont val="Noto Sans CJK SC"/>
        <family val="2"/>
      </rPr>
      <t xml:space="preserve">本業折舊年限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</si>
  <si>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</si>
  <si>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亞利桑那固定成本 高</t>
  </si>
  <si>
    <r>
      <rPr>
        <sz val="11"/>
        <color theme="1"/>
        <rFont val="Calibri"/>
        <family val="2"/>
        <charset val="1"/>
      </rPr>
      <t xml:space="preserve">2027 170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2028–29 150</t>
    </r>
  </si>
  <si>
    <r>
      <rPr>
        <sz val="11"/>
        <color theme="1"/>
        <rFont val="Noto Sans CJK SC"/>
        <family val="2"/>
      </rPr>
      <t xml:space="preserve">亞利桑那補助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</si>
  <si>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</si>
  <si>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</si>
  <si>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</si>
  <si>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</si>
  <si>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</si>
  <si>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營業外 −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</si>
  <si>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每年再 −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</si>
  <si>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</si>
  <si>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；通訊較弱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</si>
  <si>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</si>
  <si>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；通訊 −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</si>
  <si>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讀法：顆數情境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只差通訊與亞利桑那啟動成本。委外比例、份額、彈性只影響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約占營收一成），所以單項影響小於流通率與通訊；毛利率對流通率最敏感。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</si>
  <si>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</si>
  <si>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</si>
  <si>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</si>
  <si>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</si>
  <si>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</si>
  <si>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</si>
  <si>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</si>
  <si>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</si>
  <si>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</si>
  <si>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</si>
  <si>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</si>
  <si>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</si>
  <si>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</si>
  <si>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</si>
  <si>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</si>
  <si>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</si>
  <si>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</si>
  <si>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</si>
  <si>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</si>
  <si>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案例區塊：委外比例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</si>
  <si>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案例區塊：委外比例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</si>
  <si>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Amkor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</si>
  <si>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Amkor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</si>
  <si>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</si>
  <si>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</si>
  <si>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三倍 → </t>
    </r>
    <r>
      <rPr>
        <b val="true"/>
        <sz val="11"/>
        <rFont val="Cambria"/>
        <family val="0"/>
        <charset val="1"/>
      </rPr>
      <t xml:space="preserve">2.5 </t>
    </r>
    <r>
      <rPr>
        <b val="true"/>
        <sz val="11"/>
        <rFont val="Noto Sans CJK SC"/>
        <family val="2"/>
      </rPr>
      <t xml:space="preserve">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</si>
  <si>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</si>
  <si>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案例區塊：車用與工業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</si>
  <si>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案例區塊：車用與工業 </t>
    </r>
    <r>
      <rPr>
        <b val="true"/>
        <sz val="11"/>
        <rFont val="Cambria"/>
        <family val="0"/>
        <charset val="1"/>
      </rPr>
      <t xml:space="preserve">+14%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</si>
  <si>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</si>
  <si>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</si>
  <si>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案例區塊：本業資本支出率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</si>
  <si>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案例區塊：本業折舊年限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</si>
  <si>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案例區塊：亞利桑那固定成本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</si>
  <si>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案例區塊：亞利桑那補助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</si>
  <si>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</si>
  <si>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</si>
  <si>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40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</si>
  <si>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申報為公司原文；法說內容經逐字稿與摘要；券商與資料商皆為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</si>
  <si>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損益、終端市場占比、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指引、資本支出）</t>
    </r>
  </si>
  <si>
    <t xml:space="preserve">https://www.sec.gov/Archives/edgar/data/0001047127/000104712726000043/amkr6302026erex-991.htm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</si>
  <si>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損益、終端市場占比、先進／主流產品）</t>
    </r>
  </si>
  <si>
    <t xml:space="preserve">https://www.sec.gov/Archives/edgar/data/1047127/000104712726000007/amkr123125erex-991.htm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</si>
  <si>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Apple 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、前十大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說明）</t>
    </r>
  </si>
  <si>
    <t xml:space="preserve">https://www.sec.gov/Archives/edgar/data/1047127/000104712726000014/amkr-20251231.htm</t>
  </si>
  <si>
    <r>
      <rPr>
        <sz val="11"/>
        <color theme="1"/>
        <rFont val="Noto Sans CJK SC"/>
        <family val="2"/>
      </rPr>
      <t xml:space="preserve">公司：投資人日簡報（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目標、終端市場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Noto Sans CJK SC"/>
        <family val="2"/>
      </rPr>
      <t xml:space="preserve">、亞利桑那、</t>
    </r>
    <r>
      <rPr>
        <sz val="11"/>
        <color theme="1"/>
        <rFont val="Calibri"/>
        <family val="2"/>
        <charset val="1"/>
      </rPr>
      <t xml:space="preserve">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</si>
  <si>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https://www.sec.gov/Archives/edgar/data/0001047127/000104712726000036/ex-991amkorinvestorprese.htm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</si>
  <si>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近三倍、亞利桑那第一期約一半、資產出售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</si>
  <si>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https://www.fool.com/earnings/call-transcripts/2026/02/09/amkor-amkr-q4-2025-earnings-call-transcript/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</si>
  <si>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封裝三倍、亞利桑那稀釋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CHIPS 400M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抵減）</t>
    </r>
  </si>
  <si>
    <t xml:space="preserve">https://www.fool.com/earnings/call-transcripts/2026/04/27/amkor-amkr-q1-2026-earnings-call-transcript/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</si>
  <si>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各終端市場、營業費用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、台積電合作）</t>
    </r>
  </si>
  <si>
    <t xml:space="preserve">https://www.marketbeat.com/instant-alerts/amkor-technology-q2-earnings-call-highlights-2026-07-27/</t>
  </si>
  <si>
    <r>
      <rPr>
        <sz val="11"/>
        <color theme="1"/>
        <rFont val="Noto Sans CJK SC"/>
        <family val="2"/>
      </rPr>
      <t xml:space="preserve">公司：亞利桑那第二期、投資擴大至約 </t>
    </r>
    <r>
      <rPr>
        <sz val="11"/>
        <color theme="1"/>
        <rFont val="Calibri"/>
        <family val="2"/>
        <charset val="1"/>
      </rPr>
      <t xml:space="preserve">US$12B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</t>
    </r>
  </si>
  <si>
    <t xml:space="preserve">https://ir.amkor.com/node/24686</t>
  </si>
  <si>
    <r>
      <rPr>
        <sz val="11"/>
        <color theme="1"/>
        <rFont val="Noto Sans CJK SC"/>
        <family val="2"/>
      </rPr>
      <t xml:space="preserve">公司：亞利桑那 </t>
    </r>
    <r>
      <rPr>
        <sz val="11"/>
        <color theme="1"/>
        <rFont val="Calibri"/>
        <family val="2"/>
        <charset val="1"/>
      </rPr>
      <t xml:space="preserve">US$7B </t>
    </r>
    <r>
      <rPr>
        <sz val="11"/>
        <color theme="1"/>
        <rFont val="Noto Sans CJK SC"/>
        <family val="2"/>
      </rPr>
      <t xml:space="preserve">計畫（</t>
    </r>
    <r>
      <rPr>
        <sz val="11"/>
        <color theme="1"/>
        <rFont val="Calibri"/>
        <family val="2"/>
        <charset val="1"/>
      </rPr>
      <t xml:space="preserve">Business Wire 2025-10-06</t>
    </r>
    <r>
      <rPr>
        <sz val="11"/>
        <color theme="1"/>
        <rFont val="Noto Sans CJK SC"/>
        <family val="2"/>
      </rPr>
      <t xml:space="preserve">）</t>
    </r>
  </si>
  <si>
    <t xml:space="preserve">https://www.businesswire.com/news/home/20251006108489/en</t>
  </si>
  <si>
    <r>
      <rPr>
        <sz val="11"/>
        <color theme="1"/>
        <rFont val="Noto Sans CJK SC"/>
        <family val="2"/>
      </rPr>
      <t xml:space="preserve">公司：與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策略合作（</t>
    </r>
    <r>
      <rPr>
        <sz val="11"/>
        <color theme="1"/>
        <rFont val="Calibri"/>
        <family val="2"/>
        <charset val="1"/>
      </rPr>
      <t xml:space="preserve">Business Wire 2026-07-23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The Star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US$1.5B</t>
    </r>
  </si>
  <si>
    <t xml:space="preserve">https://www.thestar.com.my/tech/tech-news/2026/07/24/nvidia-amkor-strike-15-billion-chip-packaging-deal</t>
  </si>
  <si>
    <r>
      <rPr>
        <sz val="11"/>
        <color theme="1"/>
        <rFont val="Noto Sans CJK SC"/>
        <family val="2"/>
      </rPr>
      <t xml:space="preserve">公司：與台積電長期合作（</t>
    </r>
    <r>
      <rPr>
        <sz val="11"/>
        <color theme="1"/>
        <rFont val="Calibri"/>
        <family val="2"/>
        <charset val="1"/>
      </rPr>
      <t xml:space="preserve">Business Wire 2026-06-16</t>
    </r>
    <r>
      <rPr>
        <sz val="11"/>
        <color theme="1"/>
        <rFont val="Noto Sans CJK SC"/>
        <family val="2"/>
      </rPr>
      <t xml:space="preserve">）</t>
    </r>
  </si>
  <si>
    <t xml:space="preserve">https://www.businesswire.com/news/home/20260616574153/en/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</si>
  <si>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Manufacturing Dive</t>
    </r>
    <r>
      <rPr>
        <sz val="11"/>
        <color theme="1"/>
        <rFont val="Noto Sans CJK SC"/>
        <family val="2"/>
      </rPr>
      <t xml:space="preserve">（亞利桑那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年中完工、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年初投產、</t>
    </r>
    <r>
      <rPr>
        <sz val="11"/>
        <color theme="1"/>
        <rFont val="Calibri"/>
        <family val="2"/>
        <charset val="1"/>
      </rPr>
      <t xml:space="preserve">CHIPS 407M</t>
    </r>
    <r>
      <rPr>
        <sz val="11"/>
        <color theme="1"/>
        <rFont val="Noto Sans CJK SC"/>
        <family val="2"/>
      </rPr>
      <t xml:space="preserve">）</t>
    </r>
  </si>
  <si>
    <t xml:space="preserve">https://www.manufacturingdive.com/news/amkor-arizona-7-billion-semiconductor-tsmc-apple-nvidia/802297/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</si>
  <si>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後股價 −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指引前共識 </t>
    </r>
    <r>
      <rPr>
        <sz val="11"/>
        <color theme="1"/>
        <rFont val="Calibri"/>
        <family val="2"/>
        <charset val="1"/>
      </rPr>
      <t xml:space="preserve">2.09B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</si>
  <si>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https://www.webull.com/news/15305145166619648</t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</si>
  <si>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EPS 2016–2022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</si>
  <si>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https://www.sec.gov/Archives/edgar/data/1047127/000104712723000004/amkr123122erex-991.htm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</si>
  <si>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2016–2020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</si>
  <si>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https://www.sec.gov/Archives/edgar/data/1047127/000104712720000003/amkr123119erex-991.htm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</si>
  <si>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財務）</t>
    </r>
  </si>
  <si>
    <t xml:space="preserve">https://stockanalysis.com/stocks/amkr/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</si>
  <si>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</si>
  <si>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https://companiesmarketcap.com/amkor-technology/pe-ratio/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</si>
  <si>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</si>
  <si>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https://www.digrin.com/stocks/detail/AMKR/price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</si>
  <si>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盈餘頁（共識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</si>
  <si>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https://www.marketbeat.com/stocks/NASDAQ/AMKR/earnings/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</si>
  <si>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aaii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−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一家降評）</t>
    </r>
  </si>
  <si>
    <t xml:space="preserve">https://www.aaii.com/investingideas/article/541165-why-amkor-technology-inc8217s-amkr-stock-is-down-804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</si>
  <si>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stocksguide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、目標價均值 </t>
    </r>
    <r>
      <rPr>
        <sz val="11"/>
        <color theme="1"/>
        <rFont val="Calibri"/>
        <family val="2"/>
        <charset val="1"/>
      </rPr>
      <t xml:space="preserve">71.40</t>
    </r>
    <r>
      <rPr>
        <sz val="11"/>
        <color theme="1"/>
        <rFont val="Noto Sans CJK SC"/>
        <family val="2"/>
      </rPr>
      <t xml:space="preserve">）</t>
    </r>
  </si>
  <si>
    <t xml:space="preserve">https://stocksguide.com/en/forecast/Amkor-Technology-Inc-US0316521006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</si>
  <si>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</si>
  <si>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</si>
  <si>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先進封裝與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營收金額；委外比例與份額的量化；亞利桑那支出時程；可轉債轉換價；共識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</si>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</sst>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General"/>
    <numFmt numFmtId="167" formatCode="#,##0.0"/>
    <numFmt numFmtId="168" formatCode="0.00"/>
    <numFmt numFmtId="169" formatCode="0.0%"/>
    <numFmt numFmtId="170" formatCode="0.0"/>
    <numFmt numFmtId="171" formatCode="0.000"/>
    <numFmt numFmtId="172" formatCode="#,##0"/>
    <numFmt numFmtId="173" formatCode="0.0000"/>
    <numFmt numFmtId="174" formatCode="@"/>
    <numFmt numFmtId="175" formatCode="0%"/>
    <numFmt numFmtId="17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"投資建議："&amp;Val!B50&amp;"（依上檔空間固定規則）"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0" t="str">
        <f aca="false">"重點觀察 1：目標價 US$"&amp;TEXT(Val!$B$39,"0.00")&amp;"（DCF "&amp;TEXT(Val!$B$24,"0.00")&amp;"、Comparable（相對倍數調整後）"&amp;TEXT(tp_comp_adj,"0.00")&amp;"；DCF 權重 "&amp;TEXT(tp_w_dcf,"0%")&amp;"），比現價 "&amp;TEXT(px,"0.00")&amp;"（2026-10-23）"&amp;IF(Val!$B$42&gt;=0,"高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相對倍數調整前撰寫的說明，其中數字為調整前：主因是倍數：本模型 12 個月後前瞻 EPS 3.23 比共識前瞻 EPS 2.80 高 15.3%（期間差約一年），台美封測同業（日月光、力成、京元電、矽格、南茂）前瞻 P/E 中位數 23.3 倍，現價只隱含 14.0 倍、共識目標價 76.40 隱含 27.3 倍；DCF 36.0 低於現價（−8.4%），因近三年 R"&amp;"OE 8.9% 低於折現率 10%（可發放比例只 55%）。"</f>
        <v>重點觀察 1：目標價 US$66.40（DCF 36.01、Comparable（相對倍數調整後）96.79；DCF 權重 50%），比現價 39.30（2026-10-23）高 69.0%，級距 大於 50%、投資建議 強力買進。相對倍數調整係數 1.28（本公司 10 年前瞻倍數中位數 ÷ 同業的中位數，夾在 0.5–2.0；Val 第 0.5 節），調整前加權上檔空間 +41.7%；Comparable 單獨（市場主流同業法、未調整）為 +91.7%。以下為 2026-10-29 相對倍數調整前撰寫的說明，其中數字為調整前：主因是倍數：本模型 12 個月後前瞻 EPS 3.23 比共識前瞻 EPS 2.80 高 15.3%（期間差約一年），台美封測同業（日月光、力成、京元電、矽格、南茂）前瞻 P/E 中位數 23.3 倍，現價只隱含 14.0 倍、共識目標價 76.40 隱含 27.3 倍；DCF 36.0 低於現價（−8.4%），因近三年 ROE 8.9% 低於折現率 10%（可發放比例只 55%）。</v>
      </c>
    </row>
    <row r="21" customFormat="false" ht="17.15" hidden="false" customHeight="false" outlineLevel="0" collapsed="false">
      <c r="A21" s="5" t="s">
        <v>15</v>
      </c>
    </row>
    <row r="22" customFormat="false" ht="17.15" hidden="false" customHeight="false" outlineLevel="0" collapsed="false">
      <c r="A22" s="5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5" t="s">
        <v>20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5" t="s">
        <v>33</v>
      </c>
      <c r="E5" s="7" t="n">
        <v>15.2</v>
      </c>
      <c r="G5" s="8" t="s">
        <v>34</v>
      </c>
      <c r="H5" s="8" t="s">
        <v>35</v>
      </c>
      <c r="I5" s="8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5" t="s">
        <v>33</v>
      </c>
      <c r="E6" s="7" t="n">
        <v>23.7</v>
      </c>
      <c r="G6" s="8" t="s">
        <v>34</v>
      </c>
      <c r="H6" s="5" t="s">
        <v>39</v>
      </c>
      <c r="I6" s="5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5" t="s">
        <v>33</v>
      </c>
      <c r="E7" s="7" t="n">
        <v>26.5</v>
      </c>
      <c r="G7" s="8" t="s">
        <v>34</v>
      </c>
      <c r="H7" s="5" t="s">
        <v>39</v>
      </c>
      <c r="I7" s="5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5" t="s">
        <v>33</v>
      </c>
      <c r="E8" s="7" t="n">
        <v>30.15</v>
      </c>
      <c r="G8" s="8" t="s">
        <v>34</v>
      </c>
      <c r="H8" s="5" t="s">
        <v>39</v>
      </c>
      <c r="I8" s="5" t="s">
        <v>39</v>
      </c>
    </row>
    <row r="9" customFormat="false" ht="17.15" hidden="false" customHeight="false" outlineLevel="0" collapsed="false">
      <c r="A9" s="0" t="s">
        <v>44</v>
      </c>
      <c r="B9" s="5" t="s">
        <v>45</v>
      </c>
      <c r="C9" s="0" t="s">
        <v>46</v>
      </c>
      <c r="E9" s="7" t="n">
        <v>1</v>
      </c>
      <c r="G9" s="8" t="s">
        <v>47</v>
      </c>
      <c r="H9" s="8" t="s">
        <v>48</v>
      </c>
      <c r="I9" s="8" t="s">
        <v>49</v>
      </c>
    </row>
    <row r="10" customFormat="false" ht="17.15" hidden="false" customHeight="false" outlineLevel="0" collapsed="false">
      <c r="A10" s="0" t="s">
        <v>50</v>
      </c>
      <c r="B10" s="5" t="s">
        <v>51</v>
      </c>
      <c r="C10" s="0" t="s">
        <v>46</v>
      </c>
      <c r="E10" s="7" t="n">
        <v>1</v>
      </c>
      <c r="G10" s="8" t="s">
        <v>47</v>
      </c>
      <c r="H10" s="8" t="s">
        <v>52</v>
      </c>
      <c r="I10" s="5" t="s">
        <v>39</v>
      </c>
    </row>
    <row r="11" customFormat="false" ht="17.15" hidden="false" customHeight="false" outlineLevel="0" collapsed="false">
      <c r="A11" s="0" t="s">
        <v>53</v>
      </c>
      <c r="B11" s="5" t="s">
        <v>54</v>
      </c>
      <c r="C11" s="0" t="s">
        <v>46</v>
      </c>
      <c r="E11" s="7" t="n">
        <v>0.8</v>
      </c>
      <c r="G11" s="8" t="s">
        <v>47</v>
      </c>
      <c r="H11" s="8" t="s">
        <v>55</v>
      </c>
      <c r="I11" s="5" t="s">
        <v>39</v>
      </c>
    </row>
    <row r="12" customFormat="false" ht="17.15" hidden="false" customHeight="false" outlineLevel="0" collapsed="false">
      <c r="A12" s="0" t="s">
        <v>56</v>
      </c>
      <c r="B12" s="5" t="s">
        <v>57</v>
      </c>
      <c r="C12" s="0" t="s">
        <v>46</v>
      </c>
      <c r="E12" s="7" t="n">
        <v>0.85</v>
      </c>
      <c r="G12" s="8" t="s">
        <v>47</v>
      </c>
      <c r="H12" s="8" t="s">
        <v>58</v>
      </c>
      <c r="I12" s="5" t="s">
        <v>39</v>
      </c>
    </row>
    <row r="13" customFormat="false" ht="17.15" hidden="false" customHeight="false" outlineLevel="0" collapsed="false">
      <c r="A13" s="0" t="s">
        <v>59</v>
      </c>
      <c r="B13" s="5" t="s">
        <v>60</v>
      </c>
      <c r="C13" s="0" t="s">
        <v>46</v>
      </c>
      <c r="E13" s="7" t="n">
        <v>0.6</v>
      </c>
      <c r="G13" s="8" t="s">
        <v>47</v>
      </c>
      <c r="H13" s="8" t="s">
        <v>61</v>
      </c>
      <c r="I13" s="5" t="s">
        <v>39</v>
      </c>
    </row>
    <row r="14" customFormat="false" ht="17.15" hidden="false" customHeight="false" outlineLevel="0" collapsed="false">
      <c r="A14" s="0" t="s">
        <v>62</v>
      </c>
      <c r="B14" s="5" t="s">
        <v>63</v>
      </c>
      <c r="C14" s="0" t="s">
        <v>46</v>
      </c>
      <c r="E14" s="7" t="n">
        <v>0.6</v>
      </c>
      <c r="G14" s="8" t="s">
        <v>47</v>
      </c>
      <c r="H14" s="8" t="s">
        <v>64</v>
      </c>
      <c r="I14" s="5" t="s">
        <v>39</v>
      </c>
    </row>
    <row r="15" customFormat="false" ht="17.15" hidden="false" customHeight="false" outlineLevel="0" collapsed="false">
      <c r="A15" s="0" t="s">
        <v>65</v>
      </c>
      <c r="B15" s="5" t="s">
        <v>66</v>
      </c>
      <c r="C15" s="0" t="s">
        <v>46</v>
      </c>
      <c r="E15" s="7" t="n">
        <v>1</v>
      </c>
      <c r="G15" s="8" t="s">
        <v>34</v>
      </c>
      <c r="H15" s="8" t="s">
        <v>67</v>
      </c>
      <c r="I15" s="5" t="s">
        <v>68</v>
      </c>
    </row>
    <row r="16" customFormat="false" ht="17.15" hidden="false" customHeight="false" outlineLevel="0" collapsed="false">
      <c r="A16" s="0" t="s">
        <v>69</v>
      </c>
      <c r="B16" s="5" t="s">
        <v>70</v>
      </c>
      <c r="C16" s="0" t="s">
        <v>46</v>
      </c>
      <c r="E16" s="7" t="n">
        <v>1.278156</v>
      </c>
      <c r="G16" s="8" t="s">
        <v>34</v>
      </c>
      <c r="H16" s="5" t="s">
        <v>39</v>
      </c>
      <c r="I16" s="5" t="s">
        <v>39</v>
      </c>
    </row>
    <row r="17" customFormat="false" ht="17.15" hidden="false" customHeight="false" outlineLevel="0" collapsed="false">
      <c r="A17" s="0" t="s">
        <v>71</v>
      </c>
      <c r="B17" s="5" t="s">
        <v>72</v>
      </c>
      <c r="C17" s="0" t="s">
        <v>46</v>
      </c>
      <c r="E17" s="7" t="n">
        <v>1.428615</v>
      </c>
      <c r="G17" s="8" t="s">
        <v>34</v>
      </c>
      <c r="H17" s="5" t="s">
        <v>39</v>
      </c>
      <c r="I17" s="5" t="s">
        <v>39</v>
      </c>
    </row>
    <row r="18" customFormat="false" ht="17.15" hidden="false" customHeight="false" outlineLevel="0" collapsed="false">
      <c r="A18" s="0" t="s">
        <v>73</v>
      </c>
      <c r="B18" s="5" t="s">
        <v>74</v>
      </c>
      <c r="C18" s="0" t="s">
        <v>46</v>
      </c>
      <c r="E18" s="7" t="n">
        <v>1.431796</v>
      </c>
      <c r="G18" s="8" t="s">
        <v>34</v>
      </c>
      <c r="H18" s="5" t="s">
        <v>39</v>
      </c>
      <c r="I18" s="5" t="s">
        <v>39</v>
      </c>
    </row>
    <row r="19" customFormat="false" ht="17.15" hidden="false" customHeight="false" outlineLevel="0" collapsed="false">
      <c r="A19" s="0" t="s">
        <v>75</v>
      </c>
      <c r="B19" s="5" t="s">
        <v>76</v>
      </c>
      <c r="C19" s="0" t="s">
        <v>77</v>
      </c>
      <c r="E19" s="7" t="n">
        <v>0.962547553456644</v>
      </c>
      <c r="G19" s="8" t="s">
        <v>34</v>
      </c>
      <c r="H19" s="8" t="s">
        <v>78</v>
      </c>
      <c r="I19" s="5" t="s">
        <v>79</v>
      </c>
    </row>
    <row r="20" customFormat="false" ht="17.15" hidden="false" customHeight="false" outlineLevel="0" collapsed="false">
      <c r="A20" s="0" t="s">
        <v>80</v>
      </c>
      <c r="B20" s="5" t="s">
        <v>81</v>
      </c>
      <c r="C20" s="0" t="s">
        <v>77</v>
      </c>
      <c r="E20" s="7" t="n">
        <v>0.1</v>
      </c>
      <c r="G20" s="8" t="s">
        <v>47</v>
      </c>
      <c r="H20" s="8" t="s">
        <v>82</v>
      </c>
      <c r="I20" s="5" t="s">
        <v>83</v>
      </c>
    </row>
    <row r="21" customFormat="false" ht="17.15" hidden="false" customHeight="false" outlineLevel="0" collapsed="false">
      <c r="A21" s="0" t="s">
        <v>84</v>
      </c>
      <c r="B21" s="0" t="s">
        <v>85</v>
      </c>
      <c r="C21" s="0" t="s">
        <v>86</v>
      </c>
      <c r="E21" s="7" t="n">
        <v>781.872916666666</v>
      </c>
      <c r="G21" s="8" t="s">
        <v>34</v>
      </c>
      <c r="H21" s="8" t="s">
        <v>87</v>
      </c>
      <c r="I21" s="5" t="s">
        <v>88</v>
      </c>
    </row>
    <row r="22" customFormat="false" ht="17.15" hidden="false" customHeight="false" outlineLevel="0" collapsed="false">
      <c r="A22" s="0" t="s">
        <v>89</v>
      </c>
      <c r="B22" s="0" t="s">
        <v>90</v>
      </c>
      <c r="C22" s="0" t="s">
        <v>86</v>
      </c>
      <c r="E22" s="7" t="n">
        <v>1565.35</v>
      </c>
      <c r="G22" s="8" t="s">
        <v>34</v>
      </c>
      <c r="H22" s="5" t="s">
        <v>39</v>
      </c>
      <c r="I22" s="5" t="s">
        <v>39</v>
      </c>
    </row>
    <row r="23" customFormat="false" ht="17.15" hidden="false" customHeight="false" outlineLevel="0" collapsed="false">
      <c r="A23" s="0" t="s">
        <v>91</v>
      </c>
      <c r="B23" s="0" t="s">
        <v>92</v>
      </c>
      <c r="C23" s="0" t="s">
        <v>86</v>
      </c>
      <c r="E23" s="7" t="n">
        <v>1984.26388888889</v>
      </c>
      <c r="G23" s="8" t="s">
        <v>34</v>
      </c>
      <c r="H23" s="5" t="s">
        <v>39</v>
      </c>
      <c r="I23" s="5" t="s">
        <v>39</v>
      </c>
    </row>
    <row r="24" customFormat="false" ht="17.15" hidden="false" customHeight="false" outlineLevel="0" collapsed="false">
      <c r="A24" s="0" t="s">
        <v>93</v>
      </c>
      <c r="B24" s="0" t="s">
        <v>94</v>
      </c>
      <c r="C24" s="0" t="s">
        <v>86</v>
      </c>
      <c r="E24" s="7" t="n">
        <v>2260.39027777778</v>
      </c>
      <c r="G24" s="8" t="s">
        <v>34</v>
      </c>
      <c r="H24" s="5" t="s">
        <v>39</v>
      </c>
      <c r="I24" s="5" t="s">
        <v>39</v>
      </c>
    </row>
    <row r="25" customFormat="false" ht="17.15" hidden="false" customHeight="false" outlineLevel="0" collapsed="false">
      <c r="A25" s="0" t="s">
        <v>95</v>
      </c>
      <c r="B25" s="5" t="s">
        <v>96</v>
      </c>
      <c r="C25" s="0" t="s">
        <v>86</v>
      </c>
      <c r="E25" s="7" t="n">
        <v>32.237224</v>
      </c>
      <c r="G25" s="8" t="s">
        <v>34</v>
      </c>
      <c r="H25" s="8" t="s">
        <v>97</v>
      </c>
      <c r="I25" s="8" t="s">
        <v>98</v>
      </c>
    </row>
    <row r="26" customFormat="false" ht="17.15" hidden="false" customHeight="false" outlineLevel="0" collapsed="false">
      <c r="A26" s="0" t="s">
        <v>99</v>
      </c>
      <c r="B26" s="5" t="s">
        <v>100</v>
      </c>
      <c r="C26" s="0" t="s">
        <v>86</v>
      </c>
      <c r="E26" s="7" t="n">
        <v>37.586352</v>
      </c>
      <c r="G26" s="8" t="s">
        <v>34</v>
      </c>
      <c r="H26" s="8" t="s">
        <v>97</v>
      </c>
      <c r="I26" s="5" t="s">
        <v>39</v>
      </c>
    </row>
    <row r="27" customFormat="false" ht="17.15" hidden="false" customHeight="false" outlineLevel="0" collapsed="false">
      <c r="A27" s="0" t="s">
        <v>101</v>
      </c>
      <c r="B27" s="0" t="s">
        <v>102</v>
      </c>
      <c r="C27" s="0" t="s">
        <v>77</v>
      </c>
      <c r="D27" s="7" t="n">
        <v>0.15</v>
      </c>
      <c r="E27" s="7" t="n">
        <v>0.22</v>
      </c>
      <c r="F27" s="7" t="n">
        <v>0.3</v>
      </c>
      <c r="G27" s="8" t="s">
        <v>103</v>
      </c>
      <c r="H27" s="8" t="s">
        <v>104</v>
      </c>
      <c r="I27" s="8" t="s">
        <v>105</v>
      </c>
    </row>
    <row r="28" customFormat="false" ht="17.15" hidden="false" customHeight="false" outlineLevel="0" collapsed="false">
      <c r="A28" s="0" t="s">
        <v>106</v>
      </c>
      <c r="B28" s="0" t="s">
        <v>107</v>
      </c>
      <c r="C28" s="0" t="s">
        <v>108</v>
      </c>
      <c r="E28" s="7" t="n">
        <v>0.5</v>
      </c>
      <c r="G28" s="8" t="s">
        <v>103</v>
      </c>
      <c r="H28" s="5" t="s">
        <v>109</v>
      </c>
      <c r="I28" s="5" t="s">
        <v>110</v>
      </c>
    </row>
    <row r="29" customFormat="false" ht="17.15" hidden="false" customHeight="false" outlineLevel="0" collapsed="false">
      <c r="A29" s="1" t="s">
        <v>111</v>
      </c>
    </row>
    <row r="30" customFormat="false" ht="17.15" hidden="false" customHeight="false" outlineLevel="0" collapsed="false">
      <c r="A30" s="0" t="s">
        <v>112</v>
      </c>
      <c r="B30" s="0" t="s">
        <v>113</v>
      </c>
      <c r="C30" s="0" t="s">
        <v>46</v>
      </c>
      <c r="D30" s="7" t="n">
        <v>2.5</v>
      </c>
      <c r="E30" s="7" t="n">
        <v>3</v>
      </c>
      <c r="F30" s="7" t="n">
        <v>3.2</v>
      </c>
      <c r="G30" s="8" t="s">
        <v>103</v>
      </c>
      <c r="H30" s="8" t="s">
        <v>114</v>
      </c>
      <c r="I30" s="8" t="s">
        <v>115</v>
      </c>
    </row>
    <row r="31" customFormat="false" ht="17.15" hidden="false" customHeight="false" outlineLevel="0" collapsed="false">
      <c r="A31" s="0" t="s">
        <v>116</v>
      </c>
      <c r="B31" s="0" t="s">
        <v>117</v>
      </c>
      <c r="C31" s="0" t="s">
        <v>77</v>
      </c>
      <c r="D31" s="7" t="n">
        <v>-0.1</v>
      </c>
      <c r="E31" s="7" t="n">
        <v>-0.03</v>
      </c>
      <c r="F31" s="7" t="n">
        <v>0.05</v>
      </c>
      <c r="G31" s="8" t="s">
        <v>47</v>
      </c>
      <c r="H31" s="5" t="s">
        <v>118</v>
      </c>
      <c r="I31" s="5" t="s">
        <v>119</v>
      </c>
    </row>
    <row r="32" customFormat="false" ht="17.15" hidden="false" customHeight="false" outlineLevel="0" collapsed="false">
      <c r="A32" s="0" t="s">
        <v>120</v>
      </c>
      <c r="B32" s="0" t="s">
        <v>121</v>
      </c>
      <c r="C32" s="0" t="s">
        <v>77</v>
      </c>
      <c r="D32" s="7" t="n">
        <v>0.4</v>
      </c>
      <c r="E32" s="7" t="n">
        <v>0.5</v>
      </c>
      <c r="F32" s="7" t="n">
        <v>0.6</v>
      </c>
      <c r="G32" s="8" t="s">
        <v>47</v>
      </c>
      <c r="H32" s="5" t="s">
        <v>122</v>
      </c>
      <c r="I32" s="8" t="s">
        <v>123</v>
      </c>
    </row>
    <row r="33" customFormat="false" ht="17.15" hidden="false" customHeight="false" outlineLevel="0" collapsed="false">
      <c r="A33" s="0" t="s">
        <v>124</v>
      </c>
      <c r="B33" s="0" t="s">
        <v>125</v>
      </c>
      <c r="C33" s="0" t="s">
        <v>77</v>
      </c>
      <c r="D33" s="7" t="n">
        <v>0.45</v>
      </c>
      <c r="E33" s="7" t="n">
        <v>0.55</v>
      </c>
      <c r="F33" s="7" t="n">
        <v>0.65</v>
      </c>
      <c r="G33" s="8" t="s">
        <v>47</v>
      </c>
      <c r="H33" s="5" t="s">
        <v>39</v>
      </c>
      <c r="I33" s="8" t="s">
        <v>126</v>
      </c>
    </row>
    <row r="34" customFormat="false" ht="17.15" hidden="false" customHeight="false" outlineLevel="0" collapsed="false">
      <c r="A34" s="0" t="s">
        <v>127</v>
      </c>
      <c r="B34" s="0" t="s">
        <v>128</v>
      </c>
      <c r="C34" s="0" t="s">
        <v>77</v>
      </c>
      <c r="D34" s="7" t="n">
        <v>0.45</v>
      </c>
      <c r="E34" s="7" t="n">
        <v>0.6</v>
      </c>
      <c r="F34" s="7" t="n">
        <v>0.7</v>
      </c>
      <c r="G34" s="8" t="s">
        <v>47</v>
      </c>
      <c r="H34" s="5" t="s">
        <v>39</v>
      </c>
      <c r="I34" s="8" t="s">
        <v>126</v>
      </c>
    </row>
    <row r="35" customFormat="false" ht="17.15" hidden="false" customHeight="false" outlineLevel="0" collapsed="false">
      <c r="A35" s="0" t="s">
        <v>129</v>
      </c>
      <c r="B35" s="0" t="s">
        <v>130</v>
      </c>
      <c r="C35" s="0" t="s">
        <v>77</v>
      </c>
      <c r="D35" s="7" t="n">
        <v>0.45</v>
      </c>
      <c r="E35" s="7" t="n">
        <v>0.6</v>
      </c>
      <c r="F35" s="7" t="n">
        <v>0.75</v>
      </c>
      <c r="G35" s="8" t="s">
        <v>47</v>
      </c>
      <c r="H35" s="5" t="s">
        <v>39</v>
      </c>
      <c r="I35" s="8" t="s">
        <v>126</v>
      </c>
    </row>
    <row r="36" customFormat="false" ht="17.15" hidden="false" customHeight="false" outlineLevel="0" collapsed="false">
      <c r="A36" s="0" t="s">
        <v>131</v>
      </c>
      <c r="B36" s="0" t="s">
        <v>132</v>
      </c>
      <c r="C36" s="0" t="s">
        <v>77</v>
      </c>
      <c r="D36" s="7" t="n">
        <v>0.28</v>
      </c>
      <c r="E36" s="7" t="n">
        <v>0.35</v>
      </c>
      <c r="F36" s="7" t="n">
        <v>0.4</v>
      </c>
      <c r="G36" s="8" t="s">
        <v>47</v>
      </c>
      <c r="H36" s="8" t="s">
        <v>133</v>
      </c>
      <c r="I36" s="5" t="s">
        <v>134</v>
      </c>
    </row>
    <row r="37" customFormat="false" ht="17.15" hidden="false" customHeight="false" outlineLevel="0" collapsed="false">
      <c r="A37" s="0" t="s">
        <v>135</v>
      </c>
      <c r="B37" s="0" t="s">
        <v>136</v>
      </c>
      <c r="C37" s="0" t="s">
        <v>77</v>
      </c>
      <c r="D37" s="7" t="n">
        <v>0.28</v>
      </c>
      <c r="E37" s="7" t="n">
        <v>0.35</v>
      </c>
      <c r="F37" s="7" t="n">
        <v>0.4</v>
      </c>
      <c r="G37" s="8" t="s">
        <v>47</v>
      </c>
      <c r="H37" s="5" t="s">
        <v>39</v>
      </c>
      <c r="I37" s="8" t="s">
        <v>137</v>
      </c>
    </row>
    <row r="38" customFormat="false" ht="17.15" hidden="false" customHeight="false" outlineLevel="0" collapsed="false">
      <c r="A38" s="0" t="s">
        <v>138</v>
      </c>
      <c r="B38" s="0" t="s">
        <v>139</v>
      </c>
      <c r="C38" s="0" t="s">
        <v>77</v>
      </c>
      <c r="D38" s="7" t="n">
        <v>0.28</v>
      </c>
      <c r="E38" s="7" t="n">
        <v>0.37</v>
      </c>
      <c r="F38" s="7" t="n">
        <v>0.45</v>
      </c>
      <c r="G38" s="8" t="s">
        <v>47</v>
      </c>
      <c r="H38" s="5" t="s">
        <v>39</v>
      </c>
      <c r="I38" s="8" t="s">
        <v>137</v>
      </c>
    </row>
    <row r="39" customFormat="false" ht="17.15" hidden="false" customHeight="false" outlineLevel="0" collapsed="false">
      <c r="A39" s="0" t="s">
        <v>140</v>
      </c>
      <c r="B39" s="0" t="s">
        <v>141</v>
      </c>
      <c r="C39" s="0" t="s">
        <v>77</v>
      </c>
      <c r="D39" s="7" t="n">
        <v>0.28</v>
      </c>
      <c r="E39" s="7" t="n">
        <v>0.38</v>
      </c>
      <c r="F39" s="7" t="n">
        <v>0.45</v>
      </c>
      <c r="G39" s="8" t="s">
        <v>47</v>
      </c>
      <c r="H39" s="5" t="s">
        <v>39</v>
      </c>
      <c r="I39" s="8" t="s">
        <v>137</v>
      </c>
    </row>
    <row r="40" customFormat="false" ht="15" hidden="false" customHeight="false" outlineLevel="0" collapsed="false">
      <c r="A40" s="0" t="s">
        <v>142</v>
      </c>
      <c r="B40" s="5" t="s">
        <v>143</v>
      </c>
      <c r="C40" s="0" t="s">
        <v>46</v>
      </c>
      <c r="D40" s="7" t="n">
        <v>0.3</v>
      </c>
      <c r="E40" s="7" t="n">
        <v>0.5</v>
      </c>
      <c r="F40" s="7" t="n">
        <v>1</v>
      </c>
      <c r="G40" s="8" t="s">
        <v>47</v>
      </c>
      <c r="H40" s="5" t="s">
        <v>144</v>
      </c>
      <c r="I40" s="5" t="s">
        <v>110</v>
      </c>
    </row>
    <row r="41" customFormat="false" ht="17.15" hidden="false" customHeight="false" outlineLevel="0" collapsed="false">
      <c r="A41" s="1" t="s">
        <v>145</v>
      </c>
    </row>
    <row r="42" customFormat="false" ht="17.15" hidden="false" customHeight="false" outlineLevel="0" collapsed="false">
      <c r="A42" s="0" t="s">
        <v>146</v>
      </c>
      <c r="B42" s="5" t="s">
        <v>147</v>
      </c>
      <c r="C42" s="0" t="s">
        <v>77</v>
      </c>
      <c r="D42" s="7" t="n">
        <v>-0.02</v>
      </c>
      <c r="E42" s="7" t="n">
        <v>0.03</v>
      </c>
      <c r="F42" s="7" t="n">
        <v>0.06</v>
      </c>
      <c r="G42" s="8" t="s">
        <v>47</v>
      </c>
      <c r="H42" s="8" t="s">
        <v>148</v>
      </c>
      <c r="I42" s="8" t="s">
        <v>149</v>
      </c>
    </row>
    <row r="43" customFormat="false" ht="17.15" hidden="false" customHeight="false" outlineLevel="0" collapsed="false">
      <c r="A43" s="0" t="s">
        <v>150</v>
      </c>
      <c r="B43" s="5" t="s">
        <v>151</v>
      </c>
      <c r="C43" s="0" t="s">
        <v>77</v>
      </c>
      <c r="D43" s="7" t="n">
        <v>-0.02</v>
      </c>
      <c r="E43" s="7" t="n">
        <v>0.04</v>
      </c>
      <c r="F43" s="7" t="n">
        <v>0.06</v>
      </c>
      <c r="G43" s="8" t="s">
        <v>47</v>
      </c>
      <c r="H43" s="5" t="s">
        <v>39</v>
      </c>
      <c r="I43" s="5" t="s">
        <v>39</v>
      </c>
    </row>
    <row r="44" customFormat="false" ht="17.15" hidden="false" customHeight="false" outlineLevel="0" collapsed="false">
      <c r="A44" s="0" t="s">
        <v>152</v>
      </c>
      <c r="B44" s="5" t="s">
        <v>153</v>
      </c>
      <c r="C44" s="0" t="s">
        <v>77</v>
      </c>
      <c r="D44" s="7" t="n">
        <v>-0.05</v>
      </c>
      <c r="E44" s="7" t="n">
        <v>0</v>
      </c>
      <c r="F44" s="7" t="n">
        <v>0.04</v>
      </c>
      <c r="G44" s="8" t="s">
        <v>47</v>
      </c>
      <c r="H44" s="5" t="s">
        <v>154</v>
      </c>
      <c r="I44" s="5" t="s">
        <v>39</v>
      </c>
    </row>
    <row r="45" customFormat="false" ht="17.15" hidden="false" customHeight="false" outlineLevel="0" collapsed="false">
      <c r="A45" s="0" t="s">
        <v>155</v>
      </c>
      <c r="B45" s="5" t="s">
        <v>156</v>
      </c>
      <c r="C45" s="0" t="s">
        <v>77</v>
      </c>
      <c r="D45" s="7" t="n">
        <v>-0.05</v>
      </c>
      <c r="E45" s="7" t="n">
        <v>0.03</v>
      </c>
      <c r="F45" s="7" t="n">
        <v>0.04</v>
      </c>
      <c r="G45" s="8" t="s">
        <v>47</v>
      </c>
      <c r="H45" s="5" t="s">
        <v>39</v>
      </c>
      <c r="I45" s="5" t="s">
        <v>39</v>
      </c>
    </row>
    <row r="46" customFormat="false" ht="17.15" hidden="false" customHeight="false" outlineLevel="0" collapsed="false">
      <c r="A46" s="0" t="s">
        <v>157</v>
      </c>
      <c r="B46" s="5" t="s">
        <v>158</v>
      </c>
      <c r="C46" s="0" t="s">
        <v>77</v>
      </c>
      <c r="D46" s="7" t="n">
        <v>-0.12</v>
      </c>
      <c r="E46" s="7" t="n">
        <v>-0.06</v>
      </c>
      <c r="F46" s="7" t="n">
        <v>0.02</v>
      </c>
      <c r="G46" s="8" t="s">
        <v>47</v>
      </c>
      <c r="H46" s="8" t="s">
        <v>159</v>
      </c>
      <c r="I46" s="5" t="s">
        <v>39</v>
      </c>
    </row>
    <row r="47" customFormat="false" ht="17.15" hidden="false" customHeight="false" outlineLevel="0" collapsed="false">
      <c r="A47" s="0" t="s">
        <v>160</v>
      </c>
      <c r="B47" s="5" t="s">
        <v>161</v>
      </c>
      <c r="C47" s="0" t="s">
        <v>77</v>
      </c>
      <c r="D47" s="7" t="n">
        <v>-0.12</v>
      </c>
      <c r="E47" s="7" t="n">
        <v>0</v>
      </c>
      <c r="F47" s="7" t="n">
        <v>0.02</v>
      </c>
      <c r="G47" s="8" t="s">
        <v>47</v>
      </c>
      <c r="H47" s="5" t="s">
        <v>39</v>
      </c>
      <c r="I47" s="5" t="s">
        <v>39</v>
      </c>
    </row>
    <row r="48" customFormat="false" ht="17.15" hidden="false" customHeight="false" outlineLevel="0" collapsed="false">
      <c r="A48" s="0" t="s">
        <v>162</v>
      </c>
      <c r="B48" s="5" t="s">
        <v>163</v>
      </c>
      <c r="C48" s="0" t="s">
        <v>77</v>
      </c>
      <c r="D48" s="7" t="n">
        <v>0.04</v>
      </c>
      <c r="E48" s="7" t="n">
        <v>0.1</v>
      </c>
      <c r="F48" s="7" t="n">
        <v>0.14</v>
      </c>
      <c r="G48" s="8" t="s">
        <v>103</v>
      </c>
      <c r="H48" s="5" t="s">
        <v>164</v>
      </c>
      <c r="I48" s="5" t="s">
        <v>165</v>
      </c>
    </row>
    <row r="49" customFormat="false" ht="17.15" hidden="false" customHeight="false" outlineLevel="0" collapsed="false">
      <c r="A49" s="0" t="s">
        <v>166</v>
      </c>
      <c r="B49" s="5" t="s">
        <v>167</v>
      </c>
      <c r="C49" s="0" t="s">
        <v>77</v>
      </c>
      <c r="D49" s="7" t="n">
        <v>-0.03</v>
      </c>
      <c r="E49" s="7" t="n">
        <v>0.03</v>
      </c>
      <c r="F49" s="7" t="n">
        <v>0.06</v>
      </c>
      <c r="G49" s="8" t="s">
        <v>103</v>
      </c>
      <c r="H49" s="5" t="s">
        <v>168</v>
      </c>
      <c r="I49" s="5" t="s">
        <v>110</v>
      </c>
    </row>
    <row r="50" customFormat="false" ht="17.15" hidden="false" customHeight="false" outlineLevel="0" collapsed="false">
      <c r="A50" s="0" t="s">
        <v>169</v>
      </c>
      <c r="B50" s="5" t="s">
        <v>170</v>
      </c>
      <c r="C50" s="0" t="s">
        <v>77</v>
      </c>
      <c r="D50" s="7" t="n">
        <v>-0.05</v>
      </c>
      <c r="E50" s="7" t="n">
        <v>0.03</v>
      </c>
      <c r="F50" s="7" t="n">
        <v>0.06</v>
      </c>
      <c r="G50" s="8" t="s">
        <v>47</v>
      </c>
      <c r="H50" s="5" t="s">
        <v>171</v>
      </c>
      <c r="I50" s="5" t="s">
        <v>172</v>
      </c>
    </row>
    <row r="51" customFormat="false" ht="17.15" hidden="false" customHeight="false" outlineLevel="0" collapsed="false">
      <c r="A51" s="1" t="s">
        <v>173</v>
      </c>
    </row>
    <row r="52" customFormat="false" ht="17.15" hidden="false" customHeight="false" outlineLevel="0" collapsed="false">
      <c r="A52" s="0" t="s">
        <v>174</v>
      </c>
      <c r="B52" s="5" t="s">
        <v>175</v>
      </c>
      <c r="C52" s="0" t="s">
        <v>176</v>
      </c>
      <c r="E52" s="7" t="n">
        <v>150</v>
      </c>
      <c r="G52" s="8" t="s">
        <v>47</v>
      </c>
      <c r="H52" s="5" t="s">
        <v>177</v>
      </c>
      <c r="I52" s="8" t="s">
        <v>178</v>
      </c>
    </row>
    <row r="53" customFormat="false" ht="17.15" hidden="false" customHeight="false" outlineLevel="0" collapsed="false">
      <c r="A53" s="0" t="s">
        <v>179</v>
      </c>
      <c r="B53" s="5" t="s">
        <v>180</v>
      </c>
      <c r="C53" s="0" t="s">
        <v>176</v>
      </c>
      <c r="E53" s="7" t="n">
        <v>500</v>
      </c>
      <c r="G53" s="8" t="s">
        <v>47</v>
      </c>
      <c r="H53" s="5" t="s">
        <v>39</v>
      </c>
      <c r="I53" s="5" t="s">
        <v>39</v>
      </c>
    </row>
    <row r="54" customFormat="false" ht="17.15" hidden="false" customHeight="false" outlineLevel="0" collapsed="false">
      <c r="A54" s="0" t="s">
        <v>181</v>
      </c>
      <c r="B54" s="5" t="s">
        <v>182</v>
      </c>
      <c r="C54" s="0" t="s">
        <v>176</v>
      </c>
      <c r="E54" s="7" t="n">
        <v>100</v>
      </c>
      <c r="G54" s="8" t="s">
        <v>47</v>
      </c>
      <c r="H54" s="5" t="s">
        <v>39</v>
      </c>
      <c r="I54" s="5" t="s">
        <v>39</v>
      </c>
    </row>
    <row r="55" customFormat="false" ht="17.15" hidden="false" customHeight="false" outlineLevel="0" collapsed="false">
      <c r="A55" s="0" t="s">
        <v>183</v>
      </c>
      <c r="B55" s="5" t="s">
        <v>184</v>
      </c>
      <c r="C55" s="0" t="s">
        <v>176</v>
      </c>
      <c r="E55" s="7" t="n">
        <v>400</v>
      </c>
      <c r="G55" s="8" t="s">
        <v>47</v>
      </c>
      <c r="H55" s="5" t="s">
        <v>39</v>
      </c>
      <c r="I55" s="5" t="s">
        <v>39</v>
      </c>
    </row>
    <row r="56" customFormat="false" ht="17.15" hidden="false" customHeight="false" outlineLevel="0" collapsed="false">
      <c r="A56" s="0" t="s">
        <v>185</v>
      </c>
      <c r="B56" s="5" t="s">
        <v>186</v>
      </c>
      <c r="C56" s="0" t="s">
        <v>176</v>
      </c>
      <c r="E56" s="7" t="n">
        <v>50</v>
      </c>
      <c r="G56" s="8" t="s">
        <v>47</v>
      </c>
      <c r="H56" s="5" t="s">
        <v>39</v>
      </c>
      <c r="I56" s="5" t="s">
        <v>39</v>
      </c>
    </row>
    <row r="57" customFormat="false" ht="17.15" hidden="false" customHeight="false" outlineLevel="0" collapsed="false">
      <c r="A57" s="0" t="s">
        <v>187</v>
      </c>
      <c r="B57" s="5" t="s">
        <v>188</v>
      </c>
      <c r="C57" s="0" t="s">
        <v>176</v>
      </c>
      <c r="E57" s="7" t="n">
        <v>250</v>
      </c>
      <c r="G57" s="8" t="s">
        <v>47</v>
      </c>
      <c r="H57" s="5" t="s">
        <v>39</v>
      </c>
      <c r="I57" s="5" t="s">
        <v>39</v>
      </c>
    </row>
    <row r="58" customFormat="false" ht="17.15" hidden="false" customHeight="false" outlineLevel="0" collapsed="false">
      <c r="A58" s="0" t="s">
        <v>189</v>
      </c>
      <c r="B58" s="5" t="s">
        <v>190</v>
      </c>
      <c r="C58" s="0" t="s">
        <v>77</v>
      </c>
      <c r="D58" s="7" t="n">
        <v>0.45</v>
      </c>
      <c r="E58" s="7" t="n">
        <v>0.55</v>
      </c>
      <c r="F58" s="7" t="n">
        <v>0.6</v>
      </c>
      <c r="G58" s="8" t="s">
        <v>47</v>
      </c>
      <c r="H58" s="5" t="s">
        <v>191</v>
      </c>
      <c r="I58" s="5" t="s">
        <v>110</v>
      </c>
    </row>
    <row r="59" customFormat="false" ht="17.15" hidden="false" customHeight="false" outlineLevel="0" collapsed="false">
      <c r="A59" s="0" t="s">
        <v>192</v>
      </c>
      <c r="B59" s="5" t="s">
        <v>193</v>
      </c>
      <c r="C59" s="0" t="s">
        <v>176</v>
      </c>
      <c r="D59" s="7" t="n">
        <v>80</v>
      </c>
      <c r="E59" s="7" t="n">
        <v>120</v>
      </c>
      <c r="F59" s="7" t="n">
        <v>170</v>
      </c>
      <c r="G59" s="8" t="s">
        <v>47</v>
      </c>
      <c r="H59" s="8" t="s">
        <v>194</v>
      </c>
      <c r="I59" s="8" t="s">
        <v>195</v>
      </c>
    </row>
    <row r="60" customFormat="false" ht="17.15" hidden="false" customHeight="false" outlineLevel="0" collapsed="false">
      <c r="A60" s="0" t="s">
        <v>196</v>
      </c>
      <c r="B60" s="5" t="s">
        <v>197</v>
      </c>
      <c r="C60" s="0" t="s">
        <v>176</v>
      </c>
      <c r="D60" s="7" t="n">
        <v>70</v>
      </c>
      <c r="E60" s="7" t="n">
        <v>100</v>
      </c>
      <c r="F60" s="7" t="n">
        <v>150</v>
      </c>
      <c r="G60" s="8" t="s">
        <v>47</v>
      </c>
      <c r="H60" s="5" t="s">
        <v>39</v>
      </c>
      <c r="I60" s="5" t="s">
        <v>39</v>
      </c>
    </row>
    <row r="61" customFormat="false" ht="17.15" hidden="false" customHeight="false" outlineLevel="0" collapsed="false">
      <c r="A61" s="0" t="s">
        <v>198</v>
      </c>
      <c r="B61" s="5" t="s">
        <v>199</v>
      </c>
      <c r="C61" s="0" t="s">
        <v>176</v>
      </c>
      <c r="D61" s="7" t="n">
        <v>70</v>
      </c>
      <c r="E61" s="7" t="n">
        <v>100</v>
      </c>
      <c r="F61" s="7" t="n">
        <v>150</v>
      </c>
      <c r="G61" s="8" t="s">
        <v>47</v>
      </c>
      <c r="H61" s="5" t="s">
        <v>39</v>
      </c>
      <c r="I61" s="5" t="s">
        <v>39</v>
      </c>
    </row>
    <row r="62" customFormat="false" ht="17.15" hidden="false" customHeight="false" outlineLevel="0" collapsed="false">
      <c r="A62" s="0" t="s">
        <v>200</v>
      </c>
      <c r="B62" s="5" t="s">
        <v>201</v>
      </c>
      <c r="C62" s="0" t="s">
        <v>176</v>
      </c>
      <c r="D62" s="7" t="n">
        <v>3000</v>
      </c>
      <c r="E62" s="7" t="n">
        <v>3500</v>
      </c>
      <c r="F62" s="7" t="n">
        <v>4000</v>
      </c>
      <c r="G62" s="8" t="s">
        <v>103</v>
      </c>
      <c r="H62" s="8" t="s">
        <v>202</v>
      </c>
      <c r="I62" s="5" t="s">
        <v>203</v>
      </c>
    </row>
    <row r="63" customFormat="false" ht="17.15" hidden="false" customHeight="false" outlineLevel="0" collapsed="false">
      <c r="A63" s="0" t="s">
        <v>204</v>
      </c>
      <c r="B63" s="5" t="s">
        <v>205</v>
      </c>
      <c r="C63" s="0" t="s">
        <v>77</v>
      </c>
      <c r="D63" s="7" t="n">
        <v>0.2</v>
      </c>
      <c r="E63" s="7" t="n">
        <v>0.35</v>
      </c>
      <c r="F63" s="7" t="n">
        <v>0.4</v>
      </c>
      <c r="G63" s="8" t="s">
        <v>103</v>
      </c>
      <c r="H63" s="8" t="s">
        <v>206</v>
      </c>
      <c r="I63" s="5" t="s">
        <v>207</v>
      </c>
    </row>
    <row r="64" customFormat="false" ht="17.15" hidden="false" customHeight="false" outlineLevel="0" collapsed="false">
      <c r="A64" s="0" t="s">
        <v>208</v>
      </c>
      <c r="B64" s="5" t="s">
        <v>209</v>
      </c>
      <c r="C64" s="5" t="s">
        <v>210</v>
      </c>
      <c r="D64" s="7" t="n">
        <v>8</v>
      </c>
      <c r="E64" s="7" t="n">
        <v>12</v>
      </c>
      <c r="F64" s="7" t="n">
        <v>15</v>
      </c>
      <c r="G64" s="8" t="s">
        <v>47</v>
      </c>
      <c r="H64" s="8" t="s">
        <v>211</v>
      </c>
      <c r="I64" s="5" t="s">
        <v>212</v>
      </c>
    </row>
    <row r="65" customFormat="false" ht="17.15" hidden="false" customHeight="false" outlineLevel="0" collapsed="false">
      <c r="A65" s="0" t="s">
        <v>213</v>
      </c>
      <c r="B65" s="0" t="s">
        <v>214</v>
      </c>
      <c r="C65" s="0" t="s">
        <v>46</v>
      </c>
      <c r="D65" s="7" t="n">
        <v>0.25</v>
      </c>
      <c r="E65" s="7" t="n">
        <v>0.5</v>
      </c>
      <c r="F65" s="7" t="n">
        <v>0.75</v>
      </c>
      <c r="G65" s="8" t="s">
        <v>47</v>
      </c>
      <c r="H65" s="5" t="s">
        <v>215</v>
      </c>
      <c r="I65" s="8" t="s">
        <v>216</v>
      </c>
    </row>
    <row r="66" customFormat="false" ht="17.15" hidden="false" customHeight="false" outlineLevel="0" collapsed="false">
      <c r="A66" s="1" t="s">
        <v>217</v>
      </c>
    </row>
    <row r="67" customFormat="false" ht="17.15" hidden="false" customHeight="false" outlineLevel="0" collapsed="false">
      <c r="A67" s="0" t="s">
        <v>218</v>
      </c>
      <c r="B67" s="5" t="s">
        <v>219</v>
      </c>
      <c r="C67" s="0" t="s">
        <v>77</v>
      </c>
      <c r="D67" s="7" t="n">
        <v>0.3</v>
      </c>
      <c r="E67" s="7" t="n">
        <v>0.4</v>
      </c>
      <c r="F67" s="7" t="n">
        <v>0.5</v>
      </c>
      <c r="G67" s="8" t="s">
        <v>47</v>
      </c>
      <c r="H67" s="8" t="s">
        <v>220</v>
      </c>
      <c r="I67" s="8" t="s">
        <v>221</v>
      </c>
    </row>
    <row r="68" customFormat="false" ht="17.15" hidden="false" customHeight="false" outlineLevel="0" collapsed="false">
      <c r="A68" s="0" t="s">
        <v>222</v>
      </c>
      <c r="B68" s="5" t="s">
        <v>223</v>
      </c>
      <c r="C68" s="0" t="s">
        <v>77</v>
      </c>
      <c r="D68" s="7" t="n">
        <v>0.1</v>
      </c>
      <c r="E68" s="7" t="n">
        <v>0.14</v>
      </c>
      <c r="F68" s="7" t="n">
        <v>0.18</v>
      </c>
      <c r="G68" s="8" t="s">
        <v>47</v>
      </c>
      <c r="H68" s="8" t="s">
        <v>224</v>
      </c>
      <c r="I68" s="8" t="s">
        <v>225</v>
      </c>
    </row>
    <row r="69" customFormat="false" ht="17.15" hidden="false" customHeight="false" outlineLevel="0" collapsed="false">
      <c r="A69" s="0" t="s">
        <v>226</v>
      </c>
      <c r="B69" s="0" t="s">
        <v>227</v>
      </c>
      <c r="C69" s="0" t="s">
        <v>176</v>
      </c>
      <c r="D69" s="7" t="n">
        <v>900</v>
      </c>
      <c r="E69" s="7" t="n">
        <v>1200</v>
      </c>
      <c r="F69" s="7" t="n">
        <v>1500</v>
      </c>
      <c r="G69" s="8" t="s">
        <v>47</v>
      </c>
      <c r="H69" s="5" t="s">
        <v>228</v>
      </c>
      <c r="I69" s="5" t="s">
        <v>229</v>
      </c>
    </row>
    <row r="70" customFormat="false" ht="17.15" hidden="false" customHeight="false" outlineLevel="0" collapsed="false">
      <c r="A70" s="0" t="s">
        <v>230</v>
      </c>
      <c r="B70" s="5" t="s">
        <v>231</v>
      </c>
      <c r="C70" s="5" t="s">
        <v>210</v>
      </c>
      <c r="D70" s="7" t="n">
        <v>5</v>
      </c>
      <c r="E70" s="7" t="n">
        <v>7</v>
      </c>
      <c r="F70" s="7" t="n">
        <v>9</v>
      </c>
      <c r="G70" s="8" t="s">
        <v>103</v>
      </c>
      <c r="H70" s="5" t="s">
        <v>232</v>
      </c>
      <c r="I70" s="5" t="s">
        <v>233</v>
      </c>
    </row>
    <row r="71" customFormat="false" ht="17.15" hidden="false" customHeight="false" outlineLevel="0" collapsed="false">
      <c r="A71" s="0" t="s">
        <v>234</v>
      </c>
      <c r="B71" s="5" t="s">
        <v>235</v>
      </c>
      <c r="C71" s="0" t="s">
        <v>46</v>
      </c>
      <c r="D71" s="7" t="n">
        <v>0.3</v>
      </c>
      <c r="E71" s="7" t="n">
        <v>0.5</v>
      </c>
      <c r="F71" s="7" t="n">
        <v>1</v>
      </c>
      <c r="G71" s="8" t="s">
        <v>47</v>
      </c>
      <c r="H71" s="8" t="s">
        <v>236</v>
      </c>
      <c r="I71" s="5" t="s">
        <v>237</v>
      </c>
    </row>
    <row r="72" customFormat="false" ht="17.15" hidden="false" customHeight="false" outlineLevel="0" collapsed="false">
      <c r="A72" s="0" t="s">
        <v>238</v>
      </c>
      <c r="B72" s="0" t="s">
        <v>239</v>
      </c>
      <c r="C72" s="0" t="s">
        <v>176</v>
      </c>
      <c r="E72" s="7" t="n">
        <v>21</v>
      </c>
      <c r="G72" s="8" t="s">
        <v>103</v>
      </c>
      <c r="H72" s="8" t="s">
        <v>240</v>
      </c>
      <c r="I72" s="8" t="s">
        <v>241</v>
      </c>
    </row>
    <row r="73" customFormat="false" ht="17.15" hidden="false" customHeight="false" outlineLevel="0" collapsed="false">
      <c r="A73" s="0" t="s">
        <v>242</v>
      </c>
      <c r="B73" s="5" t="s">
        <v>243</v>
      </c>
      <c r="C73" s="0" t="s">
        <v>176</v>
      </c>
      <c r="D73" s="7" t="n">
        <v>-60</v>
      </c>
      <c r="E73" s="7" t="n">
        <v>-20</v>
      </c>
      <c r="F73" s="7" t="n">
        <v>20</v>
      </c>
      <c r="G73" s="8" t="s">
        <v>47</v>
      </c>
      <c r="H73" s="8" t="s">
        <v>244</v>
      </c>
      <c r="I73" s="5" t="s">
        <v>245</v>
      </c>
    </row>
    <row r="74" customFormat="false" ht="17.15" hidden="false" customHeight="false" outlineLevel="0" collapsed="false">
      <c r="A74" s="0" t="s">
        <v>246</v>
      </c>
      <c r="B74" s="5" t="s">
        <v>247</v>
      </c>
      <c r="C74" s="0" t="s">
        <v>176</v>
      </c>
      <c r="D74" s="7" t="n">
        <v>-80</v>
      </c>
      <c r="E74" s="7" t="n">
        <v>-40</v>
      </c>
      <c r="F74" s="7" t="n">
        <v>0</v>
      </c>
      <c r="G74" s="8" t="s">
        <v>47</v>
      </c>
      <c r="H74" s="5" t="s">
        <v>39</v>
      </c>
      <c r="I74" s="5" t="s">
        <v>39</v>
      </c>
    </row>
    <row r="75" customFormat="false" ht="17.15" hidden="false" customHeight="false" outlineLevel="0" collapsed="false">
      <c r="A75" s="0" t="s">
        <v>248</v>
      </c>
      <c r="B75" s="5" t="s">
        <v>249</v>
      </c>
      <c r="C75" s="0" t="s">
        <v>176</v>
      </c>
      <c r="D75" s="7" t="n">
        <v>-100</v>
      </c>
      <c r="E75" s="7" t="n">
        <v>-60</v>
      </c>
      <c r="F75" s="7" t="n">
        <v>-20</v>
      </c>
      <c r="G75" s="8" t="s">
        <v>47</v>
      </c>
      <c r="H75" s="5" t="s">
        <v>39</v>
      </c>
      <c r="I75" s="5" t="s">
        <v>39</v>
      </c>
    </row>
    <row r="76" customFormat="false" ht="17.15" hidden="false" customHeight="false" outlineLevel="0" collapsed="false">
      <c r="A76" s="0" t="s">
        <v>250</v>
      </c>
      <c r="B76" s="5" t="s">
        <v>251</v>
      </c>
      <c r="C76" s="0" t="s">
        <v>77</v>
      </c>
      <c r="D76" s="7" t="n">
        <v>0.15</v>
      </c>
      <c r="E76" s="7" t="n">
        <v>0.2</v>
      </c>
      <c r="F76" s="7" t="n">
        <v>0.25</v>
      </c>
      <c r="G76" s="8" t="s">
        <v>103</v>
      </c>
      <c r="H76" s="5" t="s">
        <v>252</v>
      </c>
      <c r="I76" s="8" t="s">
        <v>253</v>
      </c>
    </row>
    <row r="77" customFormat="false" ht="17.15" hidden="false" customHeight="false" outlineLevel="0" collapsed="false">
      <c r="A77" s="0" t="s">
        <v>254</v>
      </c>
      <c r="B77" s="5" t="s">
        <v>255</v>
      </c>
      <c r="C77" s="0" t="s">
        <v>176</v>
      </c>
      <c r="E77" s="7" t="n">
        <v>3</v>
      </c>
      <c r="G77" s="8" t="s">
        <v>34</v>
      </c>
      <c r="H77" s="8" t="s">
        <v>256</v>
      </c>
      <c r="I77" s="8" t="s">
        <v>216</v>
      </c>
    </row>
    <row r="78" customFormat="false" ht="17.15" hidden="false" customHeight="false" outlineLevel="0" collapsed="false">
      <c r="A78" s="0" t="s">
        <v>257</v>
      </c>
      <c r="B78" s="5" t="s">
        <v>258</v>
      </c>
      <c r="C78" s="0" t="s">
        <v>77</v>
      </c>
      <c r="D78" s="7" t="n">
        <v>-0.01</v>
      </c>
      <c r="E78" s="7" t="n">
        <v>0</v>
      </c>
      <c r="F78" s="7" t="n">
        <v>0.01</v>
      </c>
      <c r="G78" s="8" t="s">
        <v>47</v>
      </c>
      <c r="H78" s="8" t="s">
        <v>259</v>
      </c>
      <c r="I78" s="5" t="s">
        <v>260</v>
      </c>
    </row>
    <row r="79" customFormat="false" ht="17.15" hidden="false" customHeight="false" outlineLevel="0" collapsed="false">
      <c r="A79" s="1" t="s">
        <v>261</v>
      </c>
    </row>
    <row r="80" customFormat="false" ht="17.15" hidden="false" customHeight="false" outlineLevel="0" collapsed="false">
      <c r="A80" s="0" t="s">
        <v>262</v>
      </c>
      <c r="B80" s="0" t="s">
        <v>263</v>
      </c>
      <c r="C80" s="0" t="s">
        <v>77</v>
      </c>
      <c r="D80" s="7" t="n">
        <v>-0.1</v>
      </c>
      <c r="E80" s="7" t="n">
        <v>-0.08</v>
      </c>
      <c r="F80" s="7" t="n">
        <v>-0.06</v>
      </c>
      <c r="G80" s="8" t="s">
        <v>103</v>
      </c>
      <c r="H80" s="8" t="s">
        <v>264</v>
      </c>
      <c r="I80" s="8" t="s">
        <v>265</v>
      </c>
    </row>
    <row r="81" customFormat="false" ht="17.15" hidden="false" customHeight="false" outlineLevel="0" collapsed="false">
      <c r="A81" s="0" t="s">
        <v>266</v>
      </c>
      <c r="B81" s="0" t="s">
        <v>267</v>
      </c>
      <c r="C81" s="0" t="s">
        <v>77</v>
      </c>
      <c r="D81" s="7" t="n">
        <v>0.25</v>
      </c>
      <c r="E81" s="7" t="n">
        <v>0.3</v>
      </c>
      <c r="F81" s="7" t="n">
        <v>0.3</v>
      </c>
      <c r="G81" s="8" t="s">
        <v>103</v>
      </c>
      <c r="H81" s="8" t="s">
        <v>268</v>
      </c>
      <c r="I81" s="8" t="s">
        <v>265</v>
      </c>
    </row>
    <row r="82" customFormat="false" ht="17.15" hidden="false" customHeight="false" outlineLevel="0" collapsed="false">
      <c r="A82" s="0" t="s">
        <v>269</v>
      </c>
      <c r="B82" s="0" t="s">
        <v>270</v>
      </c>
      <c r="C82" s="0" t="s">
        <v>77</v>
      </c>
      <c r="D82" s="7" t="n">
        <v>0.03</v>
      </c>
      <c r="E82" s="7" t="n">
        <v>0.05</v>
      </c>
      <c r="F82" s="7" t="n">
        <v>0.07</v>
      </c>
      <c r="G82" s="8" t="s">
        <v>103</v>
      </c>
      <c r="H82" s="8" t="s">
        <v>271</v>
      </c>
      <c r="I82" s="5" t="s">
        <v>110</v>
      </c>
    </row>
    <row r="83" customFormat="false" ht="17.15" hidden="false" customHeight="false" outlineLevel="0" collapsed="false">
      <c r="A83" s="0" t="s">
        <v>272</v>
      </c>
      <c r="B83" s="0" t="s">
        <v>273</v>
      </c>
      <c r="C83" s="0" t="s">
        <v>77</v>
      </c>
      <c r="D83" s="7" t="n">
        <v>0.13</v>
      </c>
      <c r="E83" s="7" t="n">
        <v>0.15</v>
      </c>
      <c r="F83" s="7" t="n">
        <v>0.17</v>
      </c>
      <c r="G83" s="8" t="s">
        <v>103</v>
      </c>
      <c r="H83" s="8" t="s">
        <v>274</v>
      </c>
      <c r="I83" s="5" t="s">
        <v>110</v>
      </c>
    </row>
    <row r="84" customFormat="false" ht="17.15" hidden="false" customHeight="false" outlineLevel="0" collapsed="false">
      <c r="A84" s="0" t="s">
        <v>275</v>
      </c>
      <c r="B84" s="0" t="s">
        <v>276</v>
      </c>
      <c r="C84" s="0" t="s">
        <v>77</v>
      </c>
      <c r="D84" s="7" t="n">
        <v>0.185</v>
      </c>
      <c r="E84" s="7" t="n">
        <v>0.19</v>
      </c>
      <c r="F84" s="7" t="n">
        <v>0.195</v>
      </c>
      <c r="G84" s="8" t="s">
        <v>103</v>
      </c>
      <c r="H84" s="5" t="s">
        <v>277</v>
      </c>
      <c r="I84" s="8" t="s">
        <v>278</v>
      </c>
    </row>
    <row r="85" customFormat="false" ht="17.15" hidden="false" customHeight="false" outlineLevel="0" collapsed="false">
      <c r="A85" s="0" t="s">
        <v>279</v>
      </c>
      <c r="B85" s="0" t="s">
        <v>280</v>
      </c>
      <c r="C85" s="0" t="s">
        <v>176</v>
      </c>
      <c r="E85" s="7" t="n">
        <v>140</v>
      </c>
      <c r="G85" s="8" t="s">
        <v>103</v>
      </c>
      <c r="H85" s="8" t="s">
        <v>281</v>
      </c>
      <c r="I85" s="5" t="s">
        <v>110</v>
      </c>
    </row>
    <row r="86" customFormat="false" ht="17.15" hidden="false" customHeight="false" outlineLevel="0" collapsed="false">
      <c r="A86" s="0" t="s">
        <v>282</v>
      </c>
      <c r="B86" s="0" t="s">
        <v>283</v>
      </c>
      <c r="C86" s="0" t="s">
        <v>77</v>
      </c>
      <c r="D86" s="7" t="n">
        <v>-0.05</v>
      </c>
      <c r="E86" s="7" t="n">
        <v>0.05</v>
      </c>
      <c r="F86" s="7" t="n">
        <v>0.15</v>
      </c>
      <c r="G86" s="8" t="s">
        <v>47</v>
      </c>
      <c r="H86" s="5" t="s">
        <v>284</v>
      </c>
      <c r="I86" s="5" t="s">
        <v>285</v>
      </c>
    </row>
    <row r="87" customFormat="false" ht="17.15" hidden="false" customHeight="false" outlineLevel="0" collapsed="false">
      <c r="A87" s="0" t="s">
        <v>286</v>
      </c>
      <c r="B87" s="0" t="s">
        <v>287</v>
      </c>
      <c r="C87" s="0" t="s">
        <v>77</v>
      </c>
      <c r="D87" s="7" t="n">
        <v>0</v>
      </c>
      <c r="E87" s="7" t="n">
        <v>0.05</v>
      </c>
      <c r="F87" s="7" t="n">
        <v>0.12</v>
      </c>
      <c r="G87" s="8" t="s">
        <v>47</v>
      </c>
      <c r="H87" s="5" t="s">
        <v>39</v>
      </c>
      <c r="I87" s="8" t="s">
        <v>216</v>
      </c>
    </row>
    <row r="88" customFormat="false" ht="17.15" hidden="false" customHeight="false" outlineLevel="0" collapsed="false">
      <c r="A88" s="0" t="s">
        <v>288</v>
      </c>
      <c r="B88" s="0" t="s">
        <v>289</v>
      </c>
      <c r="C88" s="0" t="s">
        <v>77</v>
      </c>
      <c r="D88" s="7" t="n">
        <v>-0.03</v>
      </c>
      <c r="E88" s="7" t="n">
        <v>0.02</v>
      </c>
      <c r="F88" s="7" t="n">
        <v>0.05</v>
      </c>
      <c r="G88" s="8" t="s">
        <v>47</v>
      </c>
      <c r="H88" s="5" t="s">
        <v>39</v>
      </c>
      <c r="I88" s="8" t="s">
        <v>216</v>
      </c>
    </row>
    <row r="89" customFormat="false" ht="17.15" hidden="false" customHeight="false" outlineLevel="0" collapsed="false">
      <c r="A89" s="0" t="s">
        <v>290</v>
      </c>
      <c r="B89" s="0" t="s">
        <v>291</v>
      </c>
      <c r="C89" s="0" t="s">
        <v>77</v>
      </c>
      <c r="D89" s="7" t="n">
        <v>-0.1</v>
      </c>
      <c r="E89" s="7" t="n">
        <v>-0.05</v>
      </c>
      <c r="F89" s="7" t="n">
        <v>0</v>
      </c>
      <c r="G89" s="8" t="s">
        <v>47</v>
      </c>
      <c r="H89" s="5" t="s">
        <v>39</v>
      </c>
      <c r="I89" s="8" t="s">
        <v>216</v>
      </c>
    </row>
    <row r="90" customFormat="false" ht="17.15" hidden="false" customHeight="false" outlineLevel="0" collapsed="false">
      <c r="A90" s="0" t="s">
        <v>292</v>
      </c>
      <c r="B90" s="0" t="s">
        <v>293</v>
      </c>
      <c r="C90" s="0" t="s">
        <v>77</v>
      </c>
      <c r="D90" s="7" t="n">
        <v>0.175</v>
      </c>
      <c r="E90" s="7" t="n">
        <v>0.185</v>
      </c>
      <c r="F90" s="7" t="n">
        <v>0.195</v>
      </c>
      <c r="G90" s="8" t="s">
        <v>47</v>
      </c>
      <c r="H90" s="8" t="s">
        <v>294</v>
      </c>
      <c r="I90" s="8" t="s">
        <v>216</v>
      </c>
    </row>
    <row r="91" customFormat="false" ht="17.15" hidden="false" customHeight="false" outlineLevel="0" collapsed="false">
      <c r="A91" s="0" t="s">
        <v>295</v>
      </c>
      <c r="B91" s="0" t="s">
        <v>296</v>
      </c>
      <c r="C91" s="0" t="s">
        <v>176</v>
      </c>
      <c r="D91" s="7" t="n">
        <v>130</v>
      </c>
      <c r="E91" s="7" t="n">
        <v>140</v>
      </c>
      <c r="F91" s="7" t="n">
        <v>150</v>
      </c>
      <c r="G91" s="8" t="s">
        <v>47</v>
      </c>
      <c r="H91" s="5" t="s">
        <v>297</v>
      </c>
      <c r="I91" s="8" t="s">
        <v>216</v>
      </c>
    </row>
    <row r="92" customFormat="false" ht="17.15" hidden="false" customHeight="false" outlineLevel="0" collapsed="false">
      <c r="A92" s="0" t="s">
        <v>298</v>
      </c>
      <c r="B92" s="0" t="s">
        <v>299</v>
      </c>
      <c r="C92" s="0" t="s">
        <v>176</v>
      </c>
      <c r="D92" s="7" t="n">
        <v>-10</v>
      </c>
      <c r="E92" s="7" t="n">
        <v>0</v>
      </c>
      <c r="F92" s="7" t="n">
        <v>10</v>
      </c>
      <c r="G92" s="8" t="s">
        <v>47</v>
      </c>
      <c r="H92" s="8" t="s">
        <v>300</v>
      </c>
      <c r="I92" s="8" t="s">
        <v>216</v>
      </c>
    </row>
    <row r="93" customFormat="false" ht="17.15" hidden="false" customHeight="false" outlineLevel="0" collapsed="false">
      <c r="A93" s="0" t="s">
        <v>301</v>
      </c>
      <c r="B93" s="0" t="s">
        <v>302</v>
      </c>
      <c r="C93" s="0" t="s">
        <v>77</v>
      </c>
      <c r="D93" s="7" t="n">
        <v>0.15</v>
      </c>
      <c r="E93" s="7" t="n">
        <v>0.2</v>
      </c>
      <c r="F93" s="7" t="n">
        <v>0.22</v>
      </c>
      <c r="G93" s="8" t="s">
        <v>103</v>
      </c>
      <c r="H93" s="5" t="s">
        <v>303</v>
      </c>
      <c r="I93" s="8" t="s">
        <v>304</v>
      </c>
    </row>
    <row r="94" customFormat="false" ht="17.15" hidden="false" customHeight="false" outlineLevel="0" collapsed="false">
      <c r="A94" s="0" t="s">
        <v>305</v>
      </c>
      <c r="B94" s="0" t="s">
        <v>306</v>
      </c>
      <c r="C94" s="0" t="s">
        <v>176</v>
      </c>
      <c r="E94" s="7" t="n">
        <v>1</v>
      </c>
      <c r="G94" s="8" t="s">
        <v>34</v>
      </c>
      <c r="H94" s="8" t="s">
        <v>307</v>
      </c>
      <c r="I94" s="8" t="s">
        <v>216</v>
      </c>
    </row>
    <row r="95" customFormat="false" ht="17.15" hidden="false" customHeight="false" outlineLevel="0" collapsed="false">
      <c r="A95" s="0" t="s">
        <v>308</v>
      </c>
      <c r="B95" s="0" t="s">
        <v>309</v>
      </c>
      <c r="C95" s="5" t="s">
        <v>310</v>
      </c>
      <c r="E95" s="7" t="n">
        <v>250</v>
      </c>
      <c r="G95" s="8" t="s">
        <v>34</v>
      </c>
      <c r="H95" s="8" t="s">
        <v>311</v>
      </c>
      <c r="I95" s="8" t="s">
        <v>312</v>
      </c>
    </row>
    <row r="96" customFormat="false" ht="17.15" hidden="false" customHeight="false" outlineLevel="0" collapsed="false">
      <c r="A96" s="0" t="s">
        <v>313</v>
      </c>
      <c r="B96" s="0" t="s">
        <v>314</v>
      </c>
      <c r="C96" s="0" t="s">
        <v>176</v>
      </c>
      <c r="D96" s="7" t="n">
        <v>180</v>
      </c>
      <c r="E96" s="7" t="n">
        <v>190</v>
      </c>
      <c r="F96" s="7" t="n">
        <v>200</v>
      </c>
      <c r="G96" s="8" t="s">
        <v>47</v>
      </c>
      <c r="H96" s="8" t="s">
        <v>315</v>
      </c>
      <c r="I96" s="8" t="s">
        <v>216</v>
      </c>
    </row>
    <row r="97" customFormat="false" ht="17.15" hidden="false" customHeight="false" outlineLevel="0" collapsed="false">
      <c r="A97" s="0" t="s">
        <v>316</v>
      </c>
      <c r="B97" s="0" t="s">
        <v>317</v>
      </c>
      <c r="C97" s="0" t="s">
        <v>176</v>
      </c>
      <c r="D97" s="7" t="n">
        <v>185</v>
      </c>
      <c r="E97" s="7" t="n">
        <v>200</v>
      </c>
      <c r="F97" s="7" t="n">
        <v>215</v>
      </c>
      <c r="G97" s="8" t="s">
        <v>47</v>
      </c>
      <c r="H97" s="5" t="s">
        <v>39</v>
      </c>
      <c r="I97" s="8" t="s">
        <v>216</v>
      </c>
    </row>
    <row r="98" customFormat="false" ht="17.15" hidden="false" customHeight="false" outlineLevel="0" collapsed="false">
      <c r="A98" s="0" t="s">
        <v>318</v>
      </c>
      <c r="B98" s="0" t="s">
        <v>319</v>
      </c>
      <c r="C98" s="0" t="s">
        <v>176</v>
      </c>
      <c r="E98" s="7" t="n">
        <v>30</v>
      </c>
      <c r="G98" s="8" t="s">
        <v>103</v>
      </c>
      <c r="H98" s="8" t="s">
        <v>320</v>
      </c>
      <c r="I98" s="8" t="s">
        <v>321</v>
      </c>
    </row>
    <row r="99" customFormat="false" ht="17.15" hidden="false" customHeight="false" outlineLevel="0" collapsed="false">
      <c r="A99" s="1" t="s">
        <v>322</v>
      </c>
    </row>
    <row r="100" customFormat="false" ht="17.15" hidden="false" customHeight="false" outlineLevel="0" collapsed="false">
      <c r="A100" s="0" t="s">
        <v>323</v>
      </c>
      <c r="B100" s="0" t="s">
        <v>324</v>
      </c>
      <c r="C100" s="0" t="s">
        <v>176</v>
      </c>
      <c r="D100" s="7" t="n">
        <v>1950</v>
      </c>
      <c r="E100" s="7" t="n">
        <v>2000</v>
      </c>
      <c r="F100" s="7" t="n">
        <v>2050</v>
      </c>
      <c r="G100" s="8" t="s">
        <v>103</v>
      </c>
      <c r="H100" s="5" t="s">
        <v>325</v>
      </c>
      <c r="I100" s="8" t="s">
        <v>326</v>
      </c>
    </row>
    <row r="101" customFormat="false" ht="17.15" hidden="false" customHeight="false" outlineLevel="0" collapsed="false">
      <c r="A101" s="0" t="s">
        <v>327</v>
      </c>
      <c r="B101" s="0" t="s">
        <v>328</v>
      </c>
      <c r="C101" s="0" t="s">
        <v>176</v>
      </c>
      <c r="D101" s="7" t="n">
        <v>180</v>
      </c>
      <c r="E101" s="7" t="n">
        <v>192.5</v>
      </c>
      <c r="F101" s="7" t="n">
        <v>205</v>
      </c>
      <c r="G101" s="8" t="s">
        <v>103</v>
      </c>
      <c r="H101" s="5" t="s">
        <v>325</v>
      </c>
      <c r="I101" s="8" t="s">
        <v>216</v>
      </c>
    </row>
    <row r="102" customFormat="false" ht="17.15" hidden="false" customHeight="false" outlineLevel="0" collapsed="false">
      <c r="A102" s="0" t="s">
        <v>329</v>
      </c>
      <c r="B102" s="0" t="s">
        <v>330</v>
      </c>
      <c r="C102" s="0" t="s">
        <v>331</v>
      </c>
      <c r="D102" s="7" t="n">
        <v>0.72</v>
      </c>
      <c r="E102" s="7" t="n">
        <v>0.77</v>
      </c>
      <c r="F102" s="7" t="n">
        <v>0.82</v>
      </c>
      <c r="G102" s="8" t="s">
        <v>103</v>
      </c>
      <c r="H102" s="5" t="s">
        <v>325</v>
      </c>
      <c r="I102" s="8" t="s">
        <v>216</v>
      </c>
    </row>
    <row r="103" customFormat="false" ht="17.15" hidden="false" customHeight="false" outlineLevel="0" collapsed="false">
      <c r="A103" s="0" t="s">
        <v>332</v>
      </c>
      <c r="B103" s="0" t="s">
        <v>333</v>
      </c>
      <c r="C103" s="0" t="s">
        <v>176</v>
      </c>
      <c r="D103" s="7" t="n">
        <v>2500</v>
      </c>
      <c r="E103" s="7" t="n">
        <v>2750</v>
      </c>
      <c r="F103" s="7" t="n">
        <v>3000</v>
      </c>
      <c r="G103" s="8" t="s">
        <v>103</v>
      </c>
      <c r="H103" s="5" t="s">
        <v>325</v>
      </c>
      <c r="I103" s="5" t="s">
        <v>334</v>
      </c>
    </row>
    <row r="104" customFormat="false" ht="17.15" hidden="false" customHeight="false" outlineLevel="0" collapsed="false">
      <c r="A104" s="0" t="s">
        <v>335</v>
      </c>
      <c r="B104" s="5" t="s">
        <v>336</v>
      </c>
      <c r="C104" s="0" t="s">
        <v>176</v>
      </c>
      <c r="D104" s="7" t="n">
        <v>8500</v>
      </c>
      <c r="E104" s="7" t="n">
        <v>9000</v>
      </c>
      <c r="F104" s="7" t="n">
        <v>9500</v>
      </c>
      <c r="G104" s="8" t="s">
        <v>103</v>
      </c>
      <c r="H104" s="5" t="s">
        <v>337</v>
      </c>
      <c r="I104" s="5" t="s">
        <v>110</v>
      </c>
    </row>
    <row r="105" customFormat="false" ht="17.15" hidden="false" customHeight="false" outlineLevel="0" collapsed="false">
      <c r="A105" s="0" t="s">
        <v>338</v>
      </c>
      <c r="B105" s="5" t="s">
        <v>339</v>
      </c>
      <c r="C105" s="0" t="s">
        <v>77</v>
      </c>
      <c r="D105" s="7" t="n">
        <v>0.165</v>
      </c>
      <c r="E105" s="7" t="n">
        <v>0.175</v>
      </c>
      <c r="F105" s="7" t="n">
        <v>0.185</v>
      </c>
      <c r="G105" s="8" t="s">
        <v>103</v>
      </c>
      <c r="H105" s="5" t="s">
        <v>340</v>
      </c>
      <c r="I105" s="8" t="s">
        <v>216</v>
      </c>
    </row>
    <row r="106" customFormat="false" ht="17.15" hidden="false" customHeight="false" outlineLevel="0" collapsed="false">
      <c r="A106" s="0" t="s">
        <v>341</v>
      </c>
      <c r="B106" s="5" t="s">
        <v>342</v>
      </c>
      <c r="C106" s="0" t="s">
        <v>331</v>
      </c>
      <c r="D106" s="7" t="n">
        <v>2.25</v>
      </c>
      <c r="E106" s="7" t="n">
        <v>2.5</v>
      </c>
      <c r="F106" s="7" t="n">
        <v>2.75</v>
      </c>
      <c r="G106" s="8" t="s">
        <v>103</v>
      </c>
      <c r="H106" s="5" t="s">
        <v>340</v>
      </c>
      <c r="I106" s="5" t="s">
        <v>343</v>
      </c>
    </row>
    <row r="107" customFormat="false" ht="17.15" hidden="false" customHeight="false" outlineLevel="0" collapsed="false">
      <c r="A107" s="0" t="s">
        <v>344</v>
      </c>
      <c r="B107" s="5" t="s">
        <v>345</v>
      </c>
      <c r="C107" s="0" t="s">
        <v>176</v>
      </c>
      <c r="E107" s="7" t="n">
        <v>11000</v>
      </c>
      <c r="G107" s="8" t="s">
        <v>103</v>
      </c>
      <c r="H107" s="5" t="s">
        <v>340</v>
      </c>
      <c r="I107" s="8" t="s">
        <v>216</v>
      </c>
    </row>
    <row r="108" customFormat="false" ht="17.15" hidden="false" customHeight="false" outlineLevel="0" collapsed="false">
      <c r="A108" s="0" t="s">
        <v>346</v>
      </c>
      <c r="B108" s="5" t="s">
        <v>347</v>
      </c>
      <c r="C108" s="0" t="s">
        <v>77</v>
      </c>
      <c r="E108" s="7" t="n">
        <v>0.22</v>
      </c>
      <c r="G108" s="8" t="s">
        <v>103</v>
      </c>
      <c r="H108" s="5" t="s">
        <v>340</v>
      </c>
      <c r="I108" s="8" t="s">
        <v>216</v>
      </c>
    </row>
    <row r="109" customFormat="false" ht="17.15" hidden="false" customHeight="false" outlineLevel="0" collapsed="false">
      <c r="A109" s="0" t="s">
        <v>348</v>
      </c>
      <c r="B109" s="5" t="s">
        <v>349</v>
      </c>
      <c r="C109" s="0" t="s">
        <v>331</v>
      </c>
      <c r="E109" s="7" t="n">
        <v>5</v>
      </c>
      <c r="G109" s="8" t="s">
        <v>103</v>
      </c>
      <c r="H109" s="5" t="s">
        <v>340</v>
      </c>
      <c r="I109" s="8" t="s">
        <v>216</v>
      </c>
    </row>
    <row r="110" customFormat="false" ht="17.15" hidden="false" customHeight="false" outlineLevel="0" collapsed="false">
      <c r="A110" s="0" t="s">
        <v>350</v>
      </c>
      <c r="B110" s="5" t="s">
        <v>351</v>
      </c>
      <c r="C110" s="0" t="s">
        <v>176</v>
      </c>
      <c r="D110" s="7" t="n">
        <v>7500</v>
      </c>
      <c r="E110" s="7" t="n">
        <v>7670</v>
      </c>
      <c r="F110" s="7" t="n">
        <v>8000</v>
      </c>
      <c r="G110" s="8" t="s">
        <v>103</v>
      </c>
      <c r="H110" s="8" t="s">
        <v>352</v>
      </c>
      <c r="I110" s="8" t="s">
        <v>353</v>
      </c>
    </row>
    <row r="111" customFormat="false" ht="17.15" hidden="false" customHeight="false" outlineLevel="0" collapsed="false">
      <c r="A111" s="0" t="s">
        <v>354</v>
      </c>
      <c r="B111" s="5" t="s">
        <v>355</v>
      </c>
      <c r="C111" s="0" t="s">
        <v>331</v>
      </c>
      <c r="D111" s="7" t="n">
        <v>2.45</v>
      </c>
      <c r="E111" s="7" t="n">
        <v>2.57</v>
      </c>
      <c r="F111" s="7" t="n">
        <v>2.73</v>
      </c>
      <c r="G111" s="8" t="s">
        <v>103</v>
      </c>
      <c r="H111" s="8" t="s">
        <v>356</v>
      </c>
      <c r="I111" s="8" t="s">
        <v>357</v>
      </c>
    </row>
    <row r="112" customFormat="false" ht="17.15" hidden="false" customHeight="false" outlineLevel="0" collapsed="false">
      <c r="A112" s="0" t="s">
        <v>358</v>
      </c>
      <c r="B112" s="5" t="s">
        <v>359</v>
      </c>
      <c r="C112" s="0" t="s">
        <v>331</v>
      </c>
      <c r="E112" s="7" t="n">
        <v>2.72</v>
      </c>
      <c r="G112" s="8" t="s">
        <v>103</v>
      </c>
      <c r="H112" s="8" t="s">
        <v>360</v>
      </c>
      <c r="I112" s="8" t="s">
        <v>361</v>
      </c>
    </row>
    <row r="113" customFormat="false" ht="17.15" hidden="false" customHeight="false" outlineLevel="0" collapsed="false">
      <c r="A113" s="0" t="s">
        <v>362</v>
      </c>
      <c r="B113" s="5" t="s">
        <v>363</v>
      </c>
      <c r="C113" s="0" t="s">
        <v>176</v>
      </c>
      <c r="E113" s="7" t="n">
        <v>2040</v>
      </c>
      <c r="G113" s="8" t="s">
        <v>103</v>
      </c>
      <c r="H113" s="8" t="s">
        <v>364</v>
      </c>
      <c r="I113" s="8" t="s">
        <v>365</v>
      </c>
    </row>
    <row r="114" customFormat="false" ht="17.15" hidden="false" customHeight="false" outlineLevel="0" collapsed="false">
      <c r="A114" s="0" t="s">
        <v>366</v>
      </c>
      <c r="B114" s="0" t="s">
        <v>367</v>
      </c>
      <c r="C114" s="0" t="s">
        <v>77</v>
      </c>
      <c r="E114" s="7" t="n">
        <v>0.298</v>
      </c>
      <c r="G114" s="8" t="s">
        <v>368</v>
      </c>
      <c r="H114" s="5" t="s">
        <v>369</v>
      </c>
      <c r="I114" s="8" t="s">
        <v>370</v>
      </c>
    </row>
    <row r="115" customFormat="false" ht="17.15" hidden="false" customHeight="false" outlineLevel="0" collapsed="false">
      <c r="A115" s="1" t="s">
        <v>371</v>
      </c>
    </row>
    <row r="116" customFormat="false" ht="17.15" hidden="false" customHeight="false" outlineLevel="0" collapsed="false">
      <c r="A116" s="0" t="s">
        <v>372</v>
      </c>
      <c r="B116" s="5" t="s">
        <v>373</v>
      </c>
      <c r="C116" s="0" t="s">
        <v>331</v>
      </c>
      <c r="E116" s="7" t="n">
        <v>39.3</v>
      </c>
      <c r="G116" s="8" t="s">
        <v>103</v>
      </c>
      <c r="H116" s="8" t="s">
        <v>374</v>
      </c>
      <c r="I116" s="8" t="s">
        <v>375</v>
      </c>
    </row>
    <row r="117" customFormat="false" ht="17.15" hidden="false" customHeight="false" outlineLevel="0" collapsed="false">
      <c r="A117" s="0" t="s">
        <v>376</v>
      </c>
      <c r="B117" s="5" t="s">
        <v>377</v>
      </c>
      <c r="C117" s="0" t="s">
        <v>46</v>
      </c>
      <c r="E117" s="7" t="n">
        <v>17.64</v>
      </c>
      <c r="G117" s="8" t="s">
        <v>103</v>
      </c>
      <c r="H117" s="8" t="s">
        <v>378</v>
      </c>
      <c r="I117" s="8" t="s">
        <v>379</v>
      </c>
    </row>
    <row r="118" customFormat="false" ht="17.15" hidden="false" customHeight="false" outlineLevel="0" collapsed="false">
      <c r="A118" s="0" t="s">
        <v>380</v>
      </c>
      <c r="B118" s="5" t="s">
        <v>381</v>
      </c>
      <c r="C118" s="0" t="s">
        <v>46</v>
      </c>
      <c r="E118" s="7" t="n">
        <v>14.02</v>
      </c>
      <c r="G118" s="8" t="s">
        <v>103</v>
      </c>
      <c r="H118" s="8" t="s">
        <v>378</v>
      </c>
      <c r="I118" s="8" t="s">
        <v>216</v>
      </c>
    </row>
    <row r="119" customFormat="false" ht="17.15" hidden="false" customHeight="false" outlineLevel="0" collapsed="false">
      <c r="A119" s="0" t="s">
        <v>382</v>
      </c>
      <c r="B119" s="5" t="s">
        <v>383</v>
      </c>
      <c r="C119" s="0" t="s">
        <v>331</v>
      </c>
      <c r="E119" s="0" t="n">
        <f aca="false">px/fpe</f>
        <v>2.80313837375178</v>
      </c>
      <c r="G119" s="0" t="s">
        <v>34</v>
      </c>
      <c r="H119" s="0" t="s">
        <v>384</v>
      </c>
      <c r="I119" s="5" t="s">
        <v>385</v>
      </c>
    </row>
    <row r="120" customFormat="false" ht="17.15" hidden="false" customHeight="false" outlineLevel="0" collapsed="false">
      <c r="A120" s="0" t="s">
        <v>386</v>
      </c>
      <c r="B120" s="5" t="s">
        <v>387</v>
      </c>
      <c r="C120" s="0" t="s">
        <v>331</v>
      </c>
      <c r="D120" s="7" t="n">
        <v>65</v>
      </c>
      <c r="E120" s="7" t="n">
        <v>76.4</v>
      </c>
      <c r="F120" s="7" t="n">
        <v>92</v>
      </c>
      <c r="G120" s="8" t="s">
        <v>103</v>
      </c>
      <c r="H120" s="8" t="s">
        <v>388</v>
      </c>
      <c r="I120" s="8" t="s">
        <v>389</v>
      </c>
    </row>
    <row r="121" customFormat="false" ht="17.15" hidden="false" customHeight="false" outlineLevel="0" collapsed="false">
      <c r="A121" s="0" t="s">
        <v>390</v>
      </c>
      <c r="B121" s="5" t="s">
        <v>391</v>
      </c>
      <c r="C121" s="0" t="s">
        <v>77</v>
      </c>
      <c r="E121" s="0" t="n">
        <f aca="false">AVERAGE(164/3894,261/4186,127/4316,121/4053,338/5051,643/6138,766/7092,360/6503,354/6318,373.9/6708)</f>
        <v>0.0610559177796896</v>
      </c>
      <c r="G121" s="0" t="s">
        <v>34</v>
      </c>
      <c r="H121" s="5" t="s">
        <v>392</v>
      </c>
      <c r="I121" s="0" t="s">
        <v>393</v>
      </c>
    </row>
    <row r="122" customFormat="false" ht="17.15" hidden="false" customHeight="false" outlineLevel="0" collapsed="false">
      <c r="A122" s="1" t="s">
        <v>394</v>
      </c>
    </row>
    <row r="123" customFormat="false" ht="17.15" hidden="false" customHeight="false" outlineLevel="0" collapsed="false">
      <c r="A123" s="9" t="s">
        <v>395</v>
      </c>
      <c r="B123" s="10" t="s">
        <v>396</v>
      </c>
      <c r="C123" s="9" t="s">
        <v>77</v>
      </c>
      <c r="D123" s="9"/>
      <c r="E123" s="11" t="n">
        <v>0.3</v>
      </c>
      <c r="F123" s="9"/>
      <c r="G123" s="9" t="s">
        <v>47</v>
      </c>
      <c r="H123" s="9" t="s">
        <v>397</v>
      </c>
      <c r="I123" s="10" t="s">
        <v>398</v>
      </c>
    </row>
    <row r="124" customFormat="false" ht="17.15" hidden="false" customHeight="false" outlineLevel="0" collapsed="false">
      <c r="A124" s="9" t="s">
        <v>399</v>
      </c>
      <c r="B124" s="10" t="s">
        <v>400</v>
      </c>
      <c r="C124" s="9" t="s">
        <v>77</v>
      </c>
      <c r="D124" s="9"/>
      <c r="E124" s="11" t="n">
        <v>0.5</v>
      </c>
      <c r="F124" s="9"/>
      <c r="G124" s="9" t="s">
        <v>47</v>
      </c>
      <c r="H124" s="9" t="s">
        <v>397</v>
      </c>
      <c r="I124" s="10" t="s">
        <v>398</v>
      </c>
    </row>
    <row r="125" customFormat="false" ht="17.15" hidden="false" customHeight="false" outlineLevel="0" collapsed="false">
      <c r="A125" s="9" t="s">
        <v>401</v>
      </c>
      <c r="B125" s="10" t="s">
        <v>402</v>
      </c>
      <c r="C125" s="9" t="s">
        <v>77</v>
      </c>
      <c r="D125" s="9"/>
      <c r="E125" s="11" t="n">
        <v>0.2</v>
      </c>
      <c r="F125" s="9"/>
      <c r="G125" s="9" t="s">
        <v>47</v>
      </c>
      <c r="H125" s="9" t="s">
        <v>397</v>
      </c>
      <c r="I125" s="10" t="s">
        <v>398</v>
      </c>
    </row>
    <row r="126" customFormat="false" ht="17.15" hidden="false" customHeight="false" outlineLevel="0" collapsed="false">
      <c r="A126" s="9" t="s">
        <v>403</v>
      </c>
      <c r="B126" s="10" t="s">
        <v>404</v>
      </c>
      <c r="C126" s="9" t="s">
        <v>77</v>
      </c>
      <c r="D126" s="9"/>
      <c r="E126" s="11" t="n">
        <v>0.1</v>
      </c>
      <c r="F126" s="9"/>
      <c r="G126" s="9" t="s">
        <v>47</v>
      </c>
      <c r="H126" s="9" t="s">
        <v>405</v>
      </c>
      <c r="I126" s="9" t="s">
        <v>406</v>
      </c>
    </row>
    <row r="127" customFormat="false" ht="17.15" hidden="false" customHeight="false" outlineLevel="0" collapsed="false">
      <c r="A127" s="9" t="s">
        <v>407</v>
      </c>
      <c r="B127" s="10" t="s">
        <v>408</v>
      </c>
      <c r="C127" s="9" t="s">
        <v>77</v>
      </c>
      <c r="D127" s="9"/>
      <c r="E127" s="11" t="n">
        <v>0.04</v>
      </c>
      <c r="F127" s="9"/>
      <c r="G127" s="9" t="s">
        <v>47</v>
      </c>
      <c r="H127" s="9" t="s">
        <v>409</v>
      </c>
      <c r="I127" s="10" t="s">
        <v>410</v>
      </c>
    </row>
    <row r="128" customFormat="false" ht="17.15" hidden="false" customHeight="false" outlineLevel="0" collapsed="false">
      <c r="A128" s="9" t="s">
        <v>411</v>
      </c>
      <c r="B128" s="9" t="s">
        <v>412</v>
      </c>
      <c r="C128" s="9" t="s">
        <v>77</v>
      </c>
      <c r="D128" s="9"/>
      <c r="E128" s="9" t="n">
        <f aca="false">AVERAGE(0.0941,0.087,0.0866)</f>
        <v>0.0892333333333333</v>
      </c>
      <c r="F128" s="9"/>
      <c r="G128" s="9" t="s">
        <v>34</v>
      </c>
      <c r="H128" s="9" t="s">
        <v>413</v>
      </c>
      <c r="I128" s="10" t="s">
        <v>414</v>
      </c>
    </row>
    <row r="129" customFormat="false" ht="17.15" hidden="false" customHeight="false" outlineLevel="0" collapsed="false">
      <c r="A129" s="9" t="s">
        <v>415</v>
      </c>
      <c r="B129" s="10" t="s">
        <v>416</v>
      </c>
      <c r="C129" s="9" t="s">
        <v>77</v>
      </c>
      <c r="D129" s="9"/>
      <c r="E129" s="11" t="n">
        <v>0.5</v>
      </c>
      <c r="F129" s="9"/>
      <c r="G129" s="9" t="s">
        <v>47</v>
      </c>
      <c r="H129" s="9" t="s">
        <v>417</v>
      </c>
      <c r="I129" s="9" t="s">
        <v>216</v>
      </c>
    </row>
    <row r="130" customFormat="false" ht="17.15" hidden="false" customHeight="false" outlineLevel="0" collapsed="false">
      <c r="A130" s="9" t="s">
        <v>418</v>
      </c>
      <c r="B130" s="10" t="s">
        <v>419</v>
      </c>
      <c r="C130" s="9" t="s">
        <v>77</v>
      </c>
      <c r="D130" s="9"/>
      <c r="E130" s="9" t="n">
        <f aca="false">tp_g+0.02</f>
        <v>0.06</v>
      </c>
      <c r="F130" s="9"/>
      <c r="G130" s="9" t="s">
        <v>47</v>
      </c>
      <c r="H130" s="10" t="s">
        <v>420</v>
      </c>
      <c r="I130" s="9" t="s">
        <v>421</v>
      </c>
    </row>
    <row r="131" customFormat="false" ht="17.15" hidden="false" customHeight="false" outlineLevel="0" collapsed="false">
      <c r="A131" s="9" t="s">
        <v>422</v>
      </c>
      <c r="B131" s="10" t="s">
        <v>423</v>
      </c>
      <c r="C131" s="9" t="s">
        <v>77</v>
      </c>
      <c r="D131" s="9"/>
      <c r="E131" s="9" t="n">
        <f aca="false">tp_g</f>
        <v>0.04</v>
      </c>
      <c r="F131" s="9"/>
      <c r="G131" s="9" t="s">
        <v>47</v>
      </c>
      <c r="H131" s="10" t="s">
        <v>39</v>
      </c>
      <c r="I131" s="9" t="s">
        <v>216</v>
      </c>
    </row>
    <row r="132" customFormat="false" ht="17.15" hidden="false" customHeight="false" outlineLevel="0" collapsed="false">
      <c r="A132" s="9" t="s">
        <v>424</v>
      </c>
      <c r="B132" s="10" t="s">
        <v>425</v>
      </c>
      <c r="C132" s="9" t="s">
        <v>77</v>
      </c>
      <c r="D132" s="9"/>
      <c r="E132" s="9" t="n">
        <f aca="false">tp_g-0.02</f>
        <v>0.02</v>
      </c>
      <c r="F132" s="9"/>
      <c r="G132" s="9" t="s">
        <v>47</v>
      </c>
      <c r="H132" s="10" t="s">
        <v>39</v>
      </c>
      <c r="I132" s="9" t="s">
        <v>216</v>
      </c>
    </row>
    <row r="133" customFormat="false" ht="17.15" hidden="false" customHeight="false" outlineLevel="0" collapsed="false">
      <c r="A133" s="9" t="s">
        <v>426</v>
      </c>
      <c r="B133" s="10" t="s">
        <v>427</v>
      </c>
      <c r="C133" s="9" t="s">
        <v>77</v>
      </c>
      <c r="D133" s="9"/>
      <c r="E133" s="12" t="n">
        <f aca="false">PL!G15</f>
        <v>0.110675021268284</v>
      </c>
      <c r="F133" s="9"/>
      <c r="G133" s="9" t="s">
        <v>34</v>
      </c>
      <c r="H133" s="9" t="s">
        <v>428</v>
      </c>
      <c r="I133" s="9" t="s">
        <v>216</v>
      </c>
    </row>
    <row r="134" customFormat="false" ht="17.15" hidden="false" customHeight="false" outlineLevel="0" collapsed="false">
      <c r="A134" s="9" t="s">
        <v>429</v>
      </c>
      <c r="B134" s="10" t="s">
        <v>430</v>
      </c>
      <c r="C134" s="9" t="s">
        <v>77</v>
      </c>
      <c r="D134" s="9"/>
      <c r="E134" s="13" t="n">
        <f aca="false">(PL!G30+nim10)/2</f>
        <v>0.0799734977945966</v>
      </c>
      <c r="F134" s="9"/>
      <c r="G134" s="9" t="s">
        <v>34</v>
      </c>
      <c r="H134" s="9" t="s">
        <v>431</v>
      </c>
      <c r="I134" s="9" t="s">
        <v>216</v>
      </c>
    </row>
    <row r="135" customFormat="false" ht="17.15" hidden="false" customHeight="false" outlineLevel="0" collapsed="false">
      <c r="A135" s="9" t="s">
        <v>432</v>
      </c>
      <c r="B135" s="10" t="s">
        <v>433</v>
      </c>
      <c r="C135" s="9" t="s">
        <v>77</v>
      </c>
      <c r="D135" s="9"/>
      <c r="E135" s="9" t="n">
        <f aca="false">nim10</f>
        <v>0.0610559177796896</v>
      </c>
      <c r="F135" s="9"/>
      <c r="G135" s="9" t="s">
        <v>34</v>
      </c>
      <c r="H135" s="9" t="s">
        <v>434</v>
      </c>
      <c r="I135" s="9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10" min="9" style="0" width="60"/>
  </cols>
  <sheetData>
    <row r="1" customFormat="false" ht="17.15" hidden="false" customHeight="false" outlineLevel="0" collapsed="false">
      <c r="A1" s="0" t="s">
        <v>435</v>
      </c>
    </row>
    <row r="2" customFormat="false" ht="17.15" hidden="false" customHeight="false" outlineLevel="0" collapsed="false">
      <c r="A2" s="0" t="s">
        <v>436</v>
      </c>
    </row>
    <row r="3" customFormat="false" ht="17.15" hidden="false" customHeight="false" outlineLevel="0" collapsed="false">
      <c r="A3" s="6" t="s">
        <v>22</v>
      </c>
      <c r="B3" s="14" t="s">
        <v>437</v>
      </c>
      <c r="C3" s="14" t="s">
        <v>438</v>
      </c>
      <c r="D3" s="14" t="s">
        <v>439</v>
      </c>
      <c r="E3" s="14" t="s">
        <v>440</v>
      </c>
      <c r="F3" s="14" t="s">
        <v>441</v>
      </c>
      <c r="G3" s="14" t="s">
        <v>442</v>
      </c>
      <c r="H3" s="6" t="s">
        <v>27</v>
      </c>
      <c r="I3" s="6" t="s">
        <v>443</v>
      </c>
      <c r="J3" s="6" t="s">
        <v>29</v>
      </c>
    </row>
    <row r="4" customFormat="false" ht="17.15" hidden="false" customHeight="false" outlineLevel="0" collapsed="false">
      <c r="A4" s="5" t="s">
        <v>444</v>
      </c>
      <c r="B4" s="15" t="n">
        <v>6708</v>
      </c>
      <c r="C4" s="16" t="n">
        <f aca="false">3582.7-D4</f>
        <v>1684.7</v>
      </c>
      <c r="D4" s="15" t="n">
        <v>1898</v>
      </c>
      <c r="E4" s="16" t="n">
        <f aca="false">SUM(E5:E8)</f>
        <v>2020.2312</v>
      </c>
      <c r="F4" s="16" t="n">
        <f aca="false">SUM(F5:F8)</f>
        <v>2077.53182</v>
      </c>
      <c r="G4" s="16" t="n">
        <f aca="false">SUM(C4:F4)</f>
        <v>7680.46302</v>
      </c>
      <c r="H4" s="8" t="s">
        <v>445</v>
      </c>
      <c r="I4" s="8" t="s">
        <v>446</v>
      </c>
      <c r="J4" s="8" t="s">
        <v>447</v>
      </c>
    </row>
    <row r="5" customFormat="false" ht="17.15" hidden="false" customHeight="false" outlineLevel="0" collapsed="false">
      <c r="A5" s="5" t="s">
        <v>448</v>
      </c>
      <c r="B5" s="16" t="n">
        <f aca="false">B4*0.46</f>
        <v>3085.68</v>
      </c>
      <c r="C5" s="16" t="n">
        <f aca="false">C4*0.44</f>
        <v>741.268</v>
      </c>
      <c r="D5" s="16" t="n">
        <f aca="false">D4*0.42</f>
        <v>797.16</v>
      </c>
      <c r="E5" s="16" t="n">
        <f aca="false">D5*(1+g3_cm)</f>
        <v>733.3872</v>
      </c>
      <c r="F5" s="16" t="n">
        <f aca="false">E5*(1+q4_cm)</f>
        <v>770.05656</v>
      </c>
      <c r="G5" s="16" t="n">
        <f aca="false">SUM(C5:F5)</f>
        <v>3041.87176</v>
      </c>
      <c r="H5" s="8" t="s">
        <v>449</v>
      </c>
      <c r="I5" s="8" t="s">
        <v>446</v>
      </c>
      <c r="J5" s="5" t="s">
        <v>450</v>
      </c>
    </row>
    <row r="6" customFormat="false" ht="17.15" hidden="false" customHeight="false" outlineLevel="0" collapsed="false">
      <c r="A6" s="5" t="s">
        <v>451</v>
      </c>
      <c r="B6" s="16" t="n">
        <f aca="false">B4*0.2</f>
        <v>1341.6</v>
      </c>
      <c r="C6" s="16" t="n">
        <f aca="false">C4*0.21</f>
        <v>353.787</v>
      </c>
      <c r="D6" s="16" t="n">
        <f aca="false">D4*0.22</f>
        <v>417.56</v>
      </c>
      <c r="E6" s="16" t="n">
        <f aca="false">D6*(1+g3_cp)</f>
        <v>542.828</v>
      </c>
      <c r="F6" s="16" t="n">
        <f aca="false">E6*(1+q4_cp)</f>
        <v>569.9694</v>
      </c>
      <c r="G6" s="16" t="n">
        <f aca="false">SUM(C6:F6)</f>
        <v>1884.1444</v>
      </c>
      <c r="H6" s="8" t="s">
        <v>452</v>
      </c>
      <c r="I6" s="8" t="s">
        <v>446</v>
      </c>
      <c r="J6" s="5" t="s">
        <v>453</v>
      </c>
    </row>
    <row r="7" customFormat="false" ht="17.15" hidden="false" customHeight="false" outlineLevel="0" collapsed="false">
      <c r="A7" s="5" t="s">
        <v>454</v>
      </c>
      <c r="B7" s="16" t="n">
        <f aca="false">B4*0.19</f>
        <v>1274.52</v>
      </c>
      <c r="C7" s="16" t="n">
        <f aca="false">C4*0.21</f>
        <v>353.787</v>
      </c>
      <c r="D7" s="16" t="n">
        <f aca="false">D4*0.22</f>
        <v>417.56</v>
      </c>
      <c r="E7" s="16" t="n">
        <f aca="false">D7*(1+g3_au)</f>
        <v>438.438</v>
      </c>
      <c r="F7" s="16" t="n">
        <f aca="false">E7*(1+q4_au)</f>
        <v>447.20676</v>
      </c>
      <c r="G7" s="16" t="n">
        <f aca="false">SUM(C7:F7)</f>
        <v>1656.99176</v>
      </c>
      <c r="H7" s="8" t="s">
        <v>452</v>
      </c>
      <c r="I7" s="8" t="s">
        <v>446</v>
      </c>
      <c r="J7" s="5" t="s">
        <v>455</v>
      </c>
    </row>
    <row r="8" customFormat="false" ht="17.15" hidden="false" customHeight="false" outlineLevel="0" collapsed="false">
      <c r="A8" s="5" t="s">
        <v>456</v>
      </c>
      <c r="B8" s="16" t="n">
        <f aca="false">B4*0.15</f>
        <v>1006.2</v>
      </c>
      <c r="C8" s="16" t="n">
        <f aca="false">C4*0.14</f>
        <v>235.858</v>
      </c>
      <c r="D8" s="16" t="n">
        <f aca="false">D4*0.14</f>
        <v>265.72</v>
      </c>
      <c r="E8" s="16" t="n">
        <f aca="false">D8*(1+g3_cs)</f>
        <v>305.578</v>
      </c>
      <c r="F8" s="16" t="n">
        <f aca="false">E8*(1+q4_cs)</f>
        <v>290.2991</v>
      </c>
      <c r="G8" s="16" t="n">
        <f aca="false">SUM(C8:F8)</f>
        <v>1097.4551</v>
      </c>
      <c r="H8" s="8" t="s">
        <v>452</v>
      </c>
      <c r="I8" s="8" t="s">
        <v>446</v>
      </c>
      <c r="J8" s="5" t="s">
        <v>457</v>
      </c>
    </row>
    <row r="9" customFormat="false" ht="17.15" hidden="false" customHeight="false" outlineLevel="0" collapsed="false">
      <c r="A9" s="5" t="s">
        <v>458</v>
      </c>
      <c r="B9" s="15" t="n">
        <v>938.6</v>
      </c>
      <c r="C9" s="16" t="n">
        <f aca="false">557.6-D9</f>
        <v>239</v>
      </c>
      <c r="D9" s="15" t="n">
        <v>318.6</v>
      </c>
      <c r="E9" s="16" t="n">
        <f aca="false">E4*q3_gm</f>
        <v>383.843928</v>
      </c>
      <c r="F9" s="16" t="n">
        <f aca="false">F4*q4_gm</f>
        <v>384.3433867</v>
      </c>
      <c r="G9" s="16" t="n">
        <f aca="false">SUM(C9:F9)</f>
        <v>1325.7873147</v>
      </c>
      <c r="H9" s="8" t="s">
        <v>459</v>
      </c>
      <c r="I9" s="8" t="s">
        <v>446</v>
      </c>
      <c r="J9" s="8" t="s">
        <v>460</v>
      </c>
    </row>
    <row r="10" customFormat="false" ht="17.15" hidden="false" customHeight="false" outlineLevel="0" collapsed="false">
      <c r="A10" s="5" t="s">
        <v>461</v>
      </c>
      <c r="B10" s="17" t="n">
        <f aca="false">B9/B4</f>
        <v>0.139922480620155</v>
      </c>
      <c r="C10" s="17" t="n">
        <f aca="false">C9/C4</f>
        <v>0.141865020478423</v>
      </c>
      <c r="D10" s="17" t="n">
        <f aca="false">D9/D4</f>
        <v>0.167860906217071</v>
      </c>
      <c r="E10" s="17" t="n">
        <f aca="false">E9/E4</f>
        <v>0.19</v>
      </c>
      <c r="F10" s="17" t="n">
        <f aca="false">F9/F4</f>
        <v>0.185</v>
      </c>
      <c r="G10" s="17" t="n">
        <f aca="false">G9/G4</f>
        <v>0.172618149615152</v>
      </c>
      <c r="H10" s="8" t="s">
        <v>34</v>
      </c>
      <c r="I10" s="8" t="s">
        <v>216</v>
      </c>
      <c r="J10" s="5" t="s">
        <v>462</v>
      </c>
    </row>
    <row r="11" customFormat="false" ht="17.15" hidden="false" customHeight="false" outlineLevel="0" collapsed="false">
      <c r="A11" s="5" t="s">
        <v>463</v>
      </c>
      <c r="B11" s="16" t="n">
        <f aca="false">304.5+166.7</f>
        <v>471.2</v>
      </c>
      <c r="C11" s="16" t="n">
        <f aca="false">(175.9+81.6)-D11</f>
        <v>138.8</v>
      </c>
      <c r="D11" s="16" t="n">
        <f aca="false">78.9+39.8</f>
        <v>118.7</v>
      </c>
      <c r="E11" s="16" t="n">
        <f aca="false">q3_opx</f>
        <v>140</v>
      </c>
      <c r="F11" s="16" t="n">
        <f aca="false">q4_opx</f>
        <v>140</v>
      </c>
      <c r="G11" s="16" t="n">
        <f aca="false">SUM(C11:F11)</f>
        <v>537.5</v>
      </c>
      <c r="H11" s="8" t="s">
        <v>464</v>
      </c>
      <c r="I11" s="8" t="s">
        <v>446</v>
      </c>
      <c r="J11" s="8" t="s">
        <v>465</v>
      </c>
    </row>
    <row r="12" customFormat="false" ht="17.15" hidden="false" customHeight="false" outlineLevel="0" collapsed="false">
      <c r="A12" s="5" t="s">
        <v>466</v>
      </c>
      <c r="B12" s="16" t="n">
        <f aca="false">B9-B11</f>
        <v>467.4</v>
      </c>
      <c r="C12" s="16" t="n">
        <f aca="false">C9-C11</f>
        <v>100.2</v>
      </c>
      <c r="D12" s="16" t="n">
        <f aca="false">D9-D11</f>
        <v>199.9</v>
      </c>
      <c r="E12" s="16" t="n">
        <f aca="false">E9-E11</f>
        <v>243.843928</v>
      </c>
      <c r="F12" s="16" t="n">
        <f aca="false">F9-F11</f>
        <v>244.3433867</v>
      </c>
      <c r="G12" s="16" t="n">
        <f aca="false">SUM(C12:F12)</f>
        <v>788.2873147</v>
      </c>
      <c r="H12" s="8" t="s">
        <v>34</v>
      </c>
      <c r="I12" s="8" t="s">
        <v>446</v>
      </c>
      <c r="J12" s="5" t="s">
        <v>467</v>
      </c>
    </row>
    <row r="13" customFormat="false" ht="17.15" hidden="false" customHeight="false" outlineLevel="0" collapsed="false">
      <c r="A13" s="5" t="s">
        <v>468</v>
      </c>
      <c r="B13" s="16" t="n">
        <f aca="false">52.7-75.4</f>
        <v>-22.7</v>
      </c>
      <c r="C13" s="16" t="n">
        <f aca="false">(34-34.7)-D13</f>
        <v>-4</v>
      </c>
      <c r="D13" s="16" t="n">
        <f aca="false">20.3-17</f>
        <v>3.3</v>
      </c>
      <c r="E13" s="16" t="n">
        <f aca="false">q_nonop</f>
        <v>0</v>
      </c>
      <c r="F13" s="16" t="n">
        <f aca="false">q_nonop</f>
        <v>0</v>
      </c>
      <c r="G13" s="16" t="n">
        <f aca="false">SUM(C13:F13)</f>
        <v>-0.700000000000003</v>
      </c>
      <c r="H13" s="8" t="s">
        <v>469</v>
      </c>
      <c r="I13" s="8" t="s">
        <v>446</v>
      </c>
      <c r="J13" s="5" t="s">
        <v>470</v>
      </c>
    </row>
    <row r="14" customFormat="false" ht="15" hidden="false" customHeight="false" outlineLevel="0" collapsed="false">
      <c r="A14" s="5" t="s">
        <v>471</v>
      </c>
      <c r="B14" s="16" t="n">
        <f aca="false">B12+B13</f>
        <v>444.7</v>
      </c>
      <c r="C14" s="16" t="n">
        <f aca="false">C12+C13</f>
        <v>96.2</v>
      </c>
      <c r="D14" s="16" t="n">
        <f aca="false">D12+D13</f>
        <v>203.2</v>
      </c>
      <c r="E14" s="16" t="n">
        <f aca="false">E12+E13</f>
        <v>243.843928</v>
      </c>
      <c r="F14" s="16" t="n">
        <f aca="false">F12+F13</f>
        <v>244.3433867</v>
      </c>
      <c r="G14" s="16" t="n">
        <f aca="false">SUM(C14:F14)</f>
        <v>787.5873147</v>
      </c>
      <c r="H14" s="8" t="s">
        <v>34</v>
      </c>
      <c r="I14" s="8" t="s">
        <v>216</v>
      </c>
      <c r="J14" s="8" t="s">
        <v>216</v>
      </c>
    </row>
    <row r="15" customFormat="false" ht="17.15" hidden="false" customHeight="false" outlineLevel="0" collapsed="false">
      <c r="A15" s="5" t="s">
        <v>472</v>
      </c>
      <c r="B15" s="15" t="n">
        <v>68.5</v>
      </c>
      <c r="C15" s="16" t="n">
        <f aca="false">40.6-D15</f>
        <v>12.3</v>
      </c>
      <c r="D15" s="15" t="n">
        <v>28.3</v>
      </c>
      <c r="E15" s="16" t="n">
        <f aca="false">E14*q_tax</f>
        <v>48.7687856</v>
      </c>
      <c r="F15" s="16" t="n">
        <f aca="false">F14*q_tax</f>
        <v>48.86867734</v>
      </c>
      <c r="G15" s="16" t="n">
        <f aca="false">SUM(C15:F15)</f>
        <v>138.23746294</v>
      </c>
      <c r="H15" s="8" t="s">
        <v>464</v>
      </c>
      <c r="I15" s="8" t="s">
        <v>446</v>
      </c>
      <c r="J15" s="8" t="s">
        <v>473</v>
      </c>
    </row>
    <row r="16" customFormat="false" ht="15" hidden="false" customHeight="false" outlineLevel="0" collapsed="false">
      <c r="A16" s="5" t="s">
        <v>474</v>
      </c>
      <c r="B16" s="16" t="n">
        <f aca="false">B14-B15-B17</f>
        <v>2.30000000000007</v>
      </c>
      <c r="C16" s="16" t="n">
        <f aca="false">C14-C15-C17</f>
        <v>0.59999999999998</v>
      </c>
      <c r="D16" s="16" t="n">
        <f aca="false">D14-D15-D17</f>
        <v>1.10000000000002</v>
      </c>
      <c r="E16" s="16" t="n">
        <f aca="false">q_nci</f>
        <v>1</v>
      </c>
      <c r="F16" s="16" t="n">
        <f aca="false">q_nci</f>
        <v>1</v>
      </c>
      <c r="G16" s="16" t="n">
        <f aca="false">SUM(C16:F16)</f>
        <v>3.7</v>
      </c>
      <c r="H16" s="8" t="s">
        <v>34</v>
      </c>
      <c r="I16" s="5" t="s">
        <v>475</v>
      </c>
      <c r="J16" s="8" t="s">
        <v>216</v>
      </c>
    </row>
    <row r="17" customFormat="false" ht="17.15" hidden="false" customHeight="false" outlineLevel="0" collapsed="false">
      <c r="A17" s="5" t="s">
        <v>476</v>
      </c>
      <c r="B17" s="15" t="n">
        <v>373.9</v>
      </c>
      <c r="C17" s="16" t="n">
        <f aca="false">257.1-D17</f>
        <v>83.3</v>
      </c>
      <c r="D17" s="15" t="n">
        <v>173.8</v>
      </c>
      <c r="E17" s="16" t="n">
        <f aca="false">E14-E15-E16</f>
        <v>194.0751424</v>
      </c>
      <c r="F17" s="16" t="n">
        <f aca="false">F14-F15-F16</f>
        <v>194.47470936</v>
      </c>
      <c r="G17" s="16" t="n">
        <f aca="false">SUM(C17:F17)</f>
        <v>645.64985176</v>
      </c>
      <c r="H17" s="8" t="s">
        <v>445</v>
      </c>
      <c r="I17" s="8" t="s">
        <v>446</v>
      </c>
      <c r="J17" s="8" t="s">
        <v>477</v>
      </c>
    </row>
    <row r="18" customFormat="false" ht="17.15" hidden="false" customHeight="false" outlineLevel="0" collapsed="false">
      <c r="A18" s="5" t="s">
        <v>478</v>
      </c>
      <c r="B18" s="15" t="n">
        <v>248.5</v>
      </c>
      <c r="C18" s="16" t="n">
        <f aca="false">2*249.83-D18</f>
        <v>249.682</v>
      </c>
      <c r="D18" s="15" t="n">
        <v>249.978</v>
      </c>
      <c r="E18" s="16" t="n">
        <f aca="false">q_sh</f>
        <v>250</v>
      </c>
      <c r="F18" s="16" t="n">
        <f aca="false">q_sh</f>
        <v>250</v>
      </c>
      <c r="G18" s="16" t="n">
        <f aca="false">AVERAGE(C18:F18)</f>
        <v>249.915</v>
      </c>
      <c r="H18" s="8" t="s">
        <v>445</v>
      </c>
      <c r="I18" s="8" t="s">
        <v>446</v>
      </c>
      <c r="J18" s="8" t="s">
        <v>479</v>
      </c>
    </row>
    <row r="19" customFormat="false" ht="17.15" hidden="false" customHeight="false" outlineLevel="0" collapsed="false">
      <c r="A19" s="0" t="s">
        <v>480</v>
      </c>
      <c r="B19" s="18" t="n">
        <f aca="false">B17/B18</f>
        <v>1.5046277665996</v>
      </c>
      <c r="C19" s="18" t="n">
        <f aca="false">C17/C18</f>
        <v>0.333624370198893</v>
      </c>
      <c r="D19" s="18" t="n">
        <f aca="false">D17/D18</f>
        <v>0.695261182984103</v>
      </c>
      <c r="E19" s="18" t="n">
        <f aca="false">E17/E18</f>
        <v>0.7763005696</v>
      </c>
      <c r="F19" s="18" t="n">
        <f aca="false">F17/F18</f>
        <v>0.77789883744</v>
      </c>
      <c r="G19" s="18" t="n">
        <f aca="false">G17/G18</f>
        <v>2.58347778948843</v>
      </c>
      <c r="H19" s="8" t="s">
        <v>34</v>
      </c>
      <c r="I19" s="5" t="s">
        <v>481</v>
      </c>
      <c r="J19" s="8" t="s">
        <v>216</v>
      </c>
    </row>
    <row r="20" customFormat="false" ht="17.15" hidden="false" customHeight="false" outlineLevel="0" collapsed="false">
      <c r="A20" s="5" t="s">
        <v>482</v>
      </c>
      <c r="B20" s="19" t="n">
        <v>1.5</v>
      </c>
      <c r="C20" s="19" t="n">
        <v>0.33</v>
      </c>
      <c r="D20" s="19" t="n">
        <v>0.7</v>
      </c>
      <c r="H20" s="8" t="s">
        <v>368</v>
      </c>
      <c r="I20" s="8" t="s">
        <v>446</v>
      </c>
      <c r="J20" s="8" t="s">
        <v>216</v>
      </c>
    </row>
    <row r="21" customFormat="false" ht="17.15" hidden="false" customHeight="false" outlineLevel="0" collapsed="false">
      <c r="A21" s="5" t="s">
        <v>483</v>
      </c>
      <c r="B21" s="15" t="n">
        <v>642</v>
      </c>
      <c r="C21" s="16" t="n">
        <f aca="false">350.6-D21</f>
        <v>170.6</v>
      </c>
      <c r="D21" s="15" t="n">
        <v>180</v>
      </c>
      <c r="E21" s="16" t="n">
        <f aca="false">q_da3</f>
        <v>190</v>
      </c>
      <c r="F21" s="16" t="n">
        <f aca="false">q_da4</f>
        <v>200</v>
      </c>
      <c r="G21" s="16" t="n">
        <f aca="false">SUM(C21:F21)</f>
        <v>740.6</v>
      </c>
      <c r="H21" s="8" t="s">
        <v>469</v>
      </c>
      <c r="I21" s="8" t="s">
        <v>446</v>
      </c>
      <c r="J21" s="5" t="s">
        <v>484</v>
      </c>
    </row>
    <row r="22" customFormat="false" ht="15" hidden="false" customHeight="false" outlineLevel="0" collapsed="false">
      <c r="A22" s="5" t="s">
        <v>485</v>
      </c>
      <c r="B22" s="16" t="n">
        <f aca="false">B9+B21</f>
        <v>1580.6</v>
      </c>
      <c r="C22" s="16" t="n">
        <f aca="false">C9+C21</f>
        <v>409.6</v>
      </c>
      <c r="D22" s="16" t="n">
        <f aca="false">D9+D21</f>
        <v>498.6</v>
      </c>
      <c r="E22" s="16" t="n">
        <f aca="false">E9+E21</f>
        <v>573.843928</v>
      </c>
      <c r="F22" s="16" t="n">
        <f aca="false">F9+F21</f>
        <v>584.3433867</v>
      </c>
      <c r="G22" s="16" t="n">
        <f aca="false">SUM(C22:F22)</f>
        <v>2066.3873147</v>
      </c>
      <c r="H22" s="8" t="s">
        <v>34</v>
      </c>
      <c r="I22" s="5" t="s">
        <v>486</v>
      </c>
      <c r="J22" s="8" t="s">
        <v>216</v>
      </c>
    </row>
    <row r="24" customFormat="false" ht="17.15" hidden="false" customHeight="false" outlineLevel="0" collapsed="false">
      <c r="A24" s="1" t="s">
        <v>487</v>
      </c>
    </row>
    <row r="25" customFormat="false" ht="17.15" hidden="false" customHeight="false" outlineLevel="0" collapsed="false">
      <c r="A25" s="0" t="s">
        <v>488</v>
      </c>
      <c r="B25" s="20" t="n">
        <f aca="false">G4/B4-1</f>
        <v>0.144970635062612</v>
      </c>
    </row>
    <row r="26" customFormat="false" ht="17.15" hidden="false" customHeight="false" outlineLevel="0" collapsed="false">
      <c r="A26" s="0" t="s">
        <v>489</v>
      </c>
      <c r="B26" s="20" t="n">
        <f aca="false">G6/B6-1</f>
        <v>0.404401013714967</v>
      </c>
    </row>
    <row r="27" customFormat="false" ht="17.15" hidden="false" customHeight="false" outlineLevel="0" collapsed="false">
      <c r="A27" s="5" t="s">
        <v>490</v>
      </c>
      <c r="B27" s="20" t="n">
        <f aca="false">(G22-(B22-gain25))/(G4-B4)</f>
        <v>0.530392728661291</v>
      </c>
    </row>
    <row r="28" customFormat="false" ht="17.15" hidden="false" customHeight="false" outlineLevel="0" collapsed="false">
      <c r="A28" s="5" t="s">
        <v>491</v>
      </c>
      <c r="B28" s="18" t="n">
        <f aca="false">((G11+opx_gain)/B11-1)/(G4/B4-1)</f>
        <v>1.27799431091038</v>
      </c>
    </row>
    <row r="29" customFormat="false" ht="17.15" hidden="false" customHeight="false" outlineLevel="0" collapsed="false">
      <c r="A29" s="0" t="s">
        <v>492</v>
      </c>
      <c r="B29" s="20" t="n">
        <f aca="false">E4/g3_rev-1</f>
        <v>0.0101156</v>
      </c>
    </row>
    <row r="30" customFormat="false" ht="17.15" hidden="false" customHeight="false" outlineLevel="0" collapsed="false">
      <c r="A30" s="0" t="s">
        <v>493</v>
      </c>
      <c r="B30" s="20" t="n">
        <f aca="false">E19/g3_eps-1</f>
        <v>0.008182557922078</v>
      </c>
    </row>
    <row r="31" customFormat="false" ht="17.15" hidden="false" customHeight="false" outlineLevel="0" collapsed="false">
      <c r="A31" s="0" t="s">
        <v>494</v>
      </c>
      <c r="B31" s="21" t="n">
        <f aca="false">B12-467.4</f>
        <v>0</v>
      </c>
    </row>
    <row r="32" customFormat="false" ht="17.15" hidden="false" customHeight="false" outlineLevel="0" collapsed="false">
      <c r="A32" s="0" t="s">
        <v>495</v>
      </c>
      <c r="B32" s="21" t="n">
        <f aca="false">C12+D12-300.1</f>
        <v>0</v>
      </c>
    </row>
    <row r="34" customFormat="false" ht="15" hidden="false" customHeight="false" outlineLevel="0" collapsed="false">
      <c r="A34" s="3" t="s">
        <v>496</v>
      </c>
      <c r="B34" s="22" t="n">
        <f aca="false">ROUND(B5+B6+B7+B8-B4,3)</f>
        <v>0</v>
      </c>
      <c r="C34" s="22" t="n">
        <f aca="false">ROUND(C5+C6+C7+C8-C4,3)</f>
        <v>0</v>
      </c>
      <c r="D34" s="22" t="n">
        <f aca="false">ROUND(D5+D6+D7+D8-D4,3)</f>
        <v>0</v>
      </c>
      <c r="E34" s="22" t="n">
        <f aca="false">ROUND(E5+E6+E7+E8-E4,3)</f>
        <v>0</v>
      </c>
      <c r="F34" s="22" t="n">
        <f aca="false">ROUND(F5+F6+F7+F8-F4,3)</f>
        <v>0</v>
      </c>
      <c r="G34" s="22" t="n">
        <f aca="false">ROUND(G5+G6+G7+G8-G4,3)</f>
        <v>0</v>
      </c>
    </row>
    <row r="35" customFormat="false" ht="17.15" hidden="false" customHeight="false" outlineLevel="0" collapsed="false">
      <c r="A35" s="5" t="s">
        <v>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498</v>
      </c>
    </row>
    <row r="3" customFormat="false" ht="15" hidden="false" customHeight="false" outlineLevel="0" collapsed="false">
      <c r="A3" s="6" t="s">
        <v>22</v>
      </c>
      <c r="B3" s="6" t="s">
        <v>23</v>
      </c>
      <c r="C3" s="14" t="s">
        <v>499</v>
      </c>
      <c r="D3" s="14" t="s">
        <v>500</v>
      </c>
      <c r="E3" s="14" t="s">
        <v>501</v>
      </c>
      <c r="F3" s="14" t="s">
        <v>502</v>
      </c>
      <c r="G3" s="6" t="s">
        <v>503</v>
      </c>
    </row>
    <row r="4" customFormat="false" ht="17.15" hidden="false" customHeight="false" outlineLevel="0" collapsed="false">
      <c r="A4" s="0" t="s">
        <v>504</v>
      </c>
      <c r="B4" s="5" t="s">
        <v>33</v>
      </c>
      <c r="C4" s="18" t="n">
        <f aca="false">PL!D63</f>
        <v>15.2</v>
      </c>
      <c r="D4" s="18" t="n">
        <f aca="false">PL!E63</f>
        <v>23.7</v>
      </c>
      <c r="E4" s="18" t="n">
        <f aca="false">PL!F63</f>
        <v>26.5</v>
      </c>
      <c r="F4" s="18" t="n">
        <f aca="false">PL!G63</f>
        <v>30.15</v>
      </c>
      <c r="G4" s="8" t="s">
        <v>505</v>
      </c>
    </row>
    <row r="5" customFormat="false" ht="17.15" hidden="false" customHeight="false" outlineLevel="0" collapsed="false">
      <c r="A5" s="5" t="s">
        <v>506</v>
      </c>
      <c r="B5" s="0" t="s">
        <v>46</v>
      </c>
      <c r="C5" s="22" t="n">
        <f aca="false">PL!D64</f>
        <v>1</v>
      </c>
      <c r="D5" s="22" t="n">
        <f aca="false">PL!E64</f>
        <v>1.278156</v>
      </c>
      <c r="E5" s="22" t="n">
        <f aca="false">PL!F64</f>
        <v>1.428615</v>
      </c>
      <c r="F5" s="22" t="n">
        <f aca="false">PL!G64</f>
        <v>1.431796</v>
      </c>
      <c r="G5" s="5" t="s">
        <v>507</v>
      </c>
    </row>
    <row r="6" customFormat="false" ht="15" hidden="false" customHeight="false" outlineLevel="0" collapsed="false">
      <c r="A6" s="5" t="s">
        <v>508</v>
      </c>
      <c r="B6" s="0" t="s">
        <v>77</v>
      </c>
      <c r="C6" s="20" t="n">
        <f aca="false">PL!D65</f>
        <v>0.5</v>
      </c>
      <c r="D6" s="20" t="n">
        <f aca="false">PL!E65</f>
        <v>0.55</v>
      </c>
      <c r="E6" s="20" t="n">
        <f aca="false">PL!F65</f>
        <v>0.6</v>
      </c>
      <c r="F6" s="20" t="n">
        <f aca="false">PL!G65</f>
        <v>0.6</v>
      </c>
      <c r="G6" s="8" t="s">
        <v>47</v>
      </c>
    </row>
    <row r="7" customFormat="false" ht="17.15" hidden="false" customHeight="false" outlineLevel="0" collapsed="false">
      <c r="A7" s="0" t="s">
        <v>509</v>
      </c>
      <c r="B7" s="0" t="s">
        <v>77</v>
      </c>
      <c r="C7" s="20" t="n">
        <f aca="false">PL!D66</f>
        <v>0.35</v>
      </c>
      <c r="D7" s="20" t="n">
        <f aca="false">PL!E66</f>
        <v>0.35</v>
      </c>
      <c r="E7" s="20" t="n">
        <f aca="false">PL!F66</f>
        <v>0.37</v>
      </c>
      <c r="F7" s="20" t="n">
        <f aca="false">PL!G66</f>
        <v>0.38</v>
      </c>
      <c r="G7" s="8" t="s">
        <v>47</v>
      </c>
    </row>
    <row r="8" customFormat="false" ht="17.15" hidden="false" customHeight="false" outlineLevel="0" collapsed="false">
      <c r="A8" s="5" t="s">
        <v>510</v>
      </c>
      <c r="B8" s="0" t="s">
        <v>511</v>
      </c>
      <c r="C8" s="23" t="n">
        <f aca="false">PL!D68</f>
        <v>323.785547612874</v>
      </c>
      <c r="D8" s="23" t="n">
        <f aca="false">PL!E68</f>
        <v>366.057569108912</v>
      </c>
      <c r="E8" s="23" t="n">
        <f aca="false">PL!F68</f>
        <v>387.003651466596</v>
      </c>
      <c r="F8" s="23" t="n">
        <f aca="false">PL!G68</f>
        <v>387.434269267239</v>
      </c>
      <c r="G8" s="8" t="s">
        <v>512</v>
      </c>
    </row>
    <row r="9" customFormat="false" ht="17.15" hidden="false" customHeight="false" outlineLevel="0" collapsed="false">
      <c r="A9" s="0" t="s">
        <v>513</v>
      </c>
      <c r="B9" s="0" t="s">
        <v>176</v>
      </c>
      <c r="C9" s="23" t="n">
        <f aca="false">PL!D67</f>
        <v>861.269556650246</v>
      </c>
      <c r="D9" s="23" t="n">
        <f aca="false">PL!E67</f>
        <v>1670.04614466713</v>
      </c>
      <c r="E9" s="23" t="n">
        <f aca="false">PL!F67</f>
        <v>2276.74248157798</v>
      </c>
      <c r="F9" s="23" t="n">
        <f aca="false">PL!G67</f>
        <v>2663.30065379686</v>
      </c>
      <c r="G9" s="5" t="s">
        <v>514</v>
      </c>
    </row>
    <row r="10" customFormat="false" ht="17.15" hidden="false" customHeight="false" outlineLevel="0" collapsed="false">
      <c r="A10" s="5" t="s">
        <v>515</v>
      </c>
      <c r="B10" s="0" t="s">
        <v>511</v>
      </c>
      <c r="C10" s="16" t="n">
        <f aca="false">PL!D69</f>
        <v>56.662470832253</v>
      </c>
      <c r="D10" s="16" t="n">
        <f aca="false">PL!E69</f>
        <v>70.4660820534656</v>
      </c>
      <c r="E10" s="16" t="n">
        <f aca="false">PL!F69</f>
        <v>85.9148106255842</v>
      </c>
      <c r="F10" s="16" t="n">
        <f aca="false">PL!G69</f>
        <v>88.3350133929306</v>
      </c>
    </row>
    <row r="11" customFormat="false" ht="17.15" hidden="false" customHeight="false" outlineLevel="0" collapsed="false">
      <c r="A11" s="5" t="s">
        <v>516</v>
      </c>
      <c r="B11" s="0" t="s">
        <v>517</v>
      </c>
      <c r="C11" s="21" t="n">
        <f aca="false">itc_26/(capit_gb*(1-vr26)+capit_vr*vr26)</f>
        <v>23.3995380420639</v>
      </c>
      <c r="D11" s="21" t="n">
        <f aca="false">itc_27/capit_vr</f>
        <v>41.6467658260637</v>
      </c>
      <c r="E11" s="21" t="n">
        <f aca="false">itc_28/capit_vr</f>
        <v>52.792138191248</v>
      </c>
      <c r="F11" s="21" t="n">
        <f aca="false">itc_29/capit_vr</f>
        <v>60.1385917361116</v>
      </c>
      <c r="G11" s="8" t="s">
        <v>518</v>
      </c>
    </row>
    <row r="12" customFormat="false" ht="17.15" hidden="false" customHeight="false" outlineLevel="0" collapsed="false">
      <c r="A12" s="0" t="s">
        <v>519</v>
      </c>
      <c r="B12" s="0" t="s">
        <v>176</v>
      </c>
      <c r="C12" s="23" t="n">
        <f aca="false">C11*tam_gw*1000</f>
        <v>11699.7690210319</v>
      </c>
      <c r="D12" s="23" t="n">
        <f aca="false">D11*tam_gw*1000</f>
        <v>20823.3829130318</v>
      </c>
      <c r="E12" s="23" t="n">
        <f aca="false">E11*tam_gw*1000</f>
        <v>26396.069095624</v>
      </c>
      <c r="F12" s="23" t="n">
        <f aca="false">F11*tam_gw*1000</f>
        <v>30069.2958680558</v>
      </c>
      <c r="G12" s="5" t="s">
        <v>520</v>
      </c>
    </row>
    <row r="13" customFormat="false" ht="17.15" hidden="false" customHeight="false" outlineLevel="0" collapsed="false">
      <c r="A13" s="0" t="s">
        <v>521</v>
      </c>
      <c r="B13" s="0" t="s">
        <v>77</v>
      </c>
      <c r="C13" s="20" t="n">
        <f aca="false">C9/C12</f>
        <v>0.0736142358966229</v>
      </c>
      <c r="D13" s="20" t="n">
        <f aca="false">D9/D12</f>
        <v>0.0802005203305354</v>
      </c>
      <c r="E13" s="20" t="n">
        <f aca="false">E9/E12</f>
        <v>0.0862530884174502</v>
      </c>
      <c r="F13" s="20" t="n">
        <f aca="false">F9/F12</f>
        <v>0.0885720991101166</v>
      </c>
      <c r="G13" s="5" t="s">
        <v>522</v>
      </c>
    </row>
    <row r="15" customFormat="false" ht="17.15" hidden="false" customHeight="false" outlineLevel="0" collapsed="false">
      <c r="A15" s="3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524</v>
      </c>
    </row>
    <row r="2" customFormat="false" ht="17.15" hidden="false" customHeight="false" outlineLevel="0" collapsed="false">
      <c r="A2" s="5" t="s">
        <v>525</v>
      </c>
    </row>
    <row r="3" customFormat="false" ht="17.15" hidden="false" customHeight="false" outlineLevel="0" collapsed="false">
      <c r="A3" s="6" t="s">
        <v>526</v>
      </c>
      <c r="B3" s="6" t="s">
        <v>23</v>
      </c>
      <c r="C3" s="14" t="s">
        <v>437</v>
      </c>
      <c r="D3" s="14" t="s">
        <v>527</v>
      </c>
      <c r="E3" s="14" t="s">
        <v>528</v>
      </c>
      <c r="F3" s="14" t="s">
        <v>529</v>
      </c>
      <c r="G3" s="14" t="s">
        <v>530</v>
      </c>
      <c r="H3" s="14" t="s">
        <v>531</v>
      </c>
      <c r="I3" s="14" t="s">
        <v>532</v>
      </c>
      <c r="J3" s="14" t="s">
        <v>533</v>
      </c>
      <c r="K3" s="6" t="s">
        <v>503</v>
      </c>
    </row>
    <row r="4" customFormat="false" ht="17.15" hidden="false" customHeight="false" outlineLevel="0" collapsed="false">
      <c r="A4" s="3" t="s">
        <v>534</v>
      </c>
    </row>
    <row r="5" customFormat="false" ht="15" hidden="false" customHeight="false" outlineLevel="0" collapsed="false">
      <c r="A5" s="5" t="s">
        <v>444</v>
      </c>
      <c r="B5" s="0" t="s">
        <v>176</v>
      </c>
      <c r="C5" s="23" t="n">
        <f aca="false">C77</f>
        <v>6708</v>
      </c>
      <c r="D5" s="23" t="n">
        <f aca="false">D77</f>
        <v>7680.46302</v>
      </c>
      <c r="E5" s="23" t="n">
        <f aca="false">E77</f>
        <v>8809.80483511738</v>
      </c>
      <c r="F5" s="23" t="n">
        <f aca="false">F77</f>
        <v>9939.61357738974</v>
      </c>
      <c r="G5" s="23" t="n">
        <f aca="false">G77</f>
        <v>11074.4896148481</v>
      </c>
      <c r="H5" s="24" t="n">
        <f aca="false">H77</f>
        <v>12138.9479855589</v>
      </c>
      <c r="I5" s="24" t="n">
        <f aca="false">I77</f>
        <v>13086.5024430928</v>
      </c>
      <c r="J5" s="24" t="n">
        <f aca="false">J77</f>
        <v>13871.6925896784</v>
      </c>
    </row>
    <row r="6" customFormat="false" ht="15" hidden="false" customHeight="false" outlineLevel="0" collapsed="false">
      <c r="A6" s="5" t="s">
        <v>535</v>
      </c>
      <c r="B6" s="0" t="s">
        <v>77</v>
      </c>
      <c r="D6" s="20" t="n">
        <f aca="false">D78</f>
        <v>0.144970635062612</v>
      </c>
      <c r="E6" s="20" t="n">
        <f aca="false">E78</f>
        <v>0.147040850555046</v>
      </c>
      <c r="F6" s="20" t="n">
        <f aca="false">F78</f>
        <v>0.128244468909089</v>
      </c>
      <c r="G6" s="20" t="n">
        <f aca="false">G78</f>
        <v>0.114177078275953</v>
      </c>
      <c r="H6" s="25" t="n">
        <f aca="false">H78</f>
        <v>0.0961180521839684</v>
      </c>
      <c r="I6" s="25" t="n">
        <f aca="false">I78</f>
        <v>0.0780590260919842</v>
      </c>
      <c r="J6" s="25" t="n">
        <f aca="false">J78</f>
        <v>0.06</v>
      </c>
    </row>
    <row r="7" customFormat="false" ht="17.15" hidden="false" customHeight="false" outlineLevel="0" collapsed="false">
      <c r="A7" s="0" t="s">
        <v>536</v>
      </c>
      <c r="B7" s="0" t="s">
        <v>176</v>
      </c>
      <c r="C7" s="23" t="n">
        <f aca="false">C67</f>
        <v>287.089852216749</v>
      </c>
      <c r="D7" s="23" t="n">
        <f aca="false">D67</f>
        <v>861.269556650246</v>
      </c>
      <c r="E7" s="23" t="n">
        <f aca="false">E67</f>
        <v>1670.04614466713</v>
      </c>
      <c r="F7" s="23" t="n">
        <f aca="false">F67</f>
        <v>2276.74248157798</v>
      </c>
      <c r="G7" s="23" t="n">
        <f aca="false">G67</f>
        <v>2663.30065379686</v>
      </c>
    </row>
    <row r="8" customFormat="false" ht="15" hidden="false" customHeight="false" outlineLevel="0" collapsed="false">
      <c r="A8" s="5" t="s">
        <v>537</v>
      </c>
      <c r="B8" s="0" t="s">
        <v>176</v>
      </c>
      <c r="C8" s="23" t="n">
        <f aca="false">C72</f>
        <v>1341.6</v>
      </c>
      <c r="D8" s="23" t="n">
        <f aca="false">D72</f>
        <v>1884.1444</v>
      </c>
      <c r="E8" s="23" t="n">
        <f aca="false">E72</f>
        <v>2723.60723331738</v>
      </c>
      <c r="F8" s="23" t="n">
        <f aca="false">F72</f>
        <v>3361.91040288774</v>
      </c>
      <c r="G8" s="23" t="n">
        <f aca="false">G72</f>
        <v>3781.0236127459</v>
      </c>
    </row>
    <row r="9" customFormat="false" ht="15" hidden="false" customHeight="false" outlineLevel="0" collapsed="false">
      <c r="A9" s="5" t="s">
        <v>538</v>
      </c>
      <c r="B9" s="0" t="s">
        <v>176</v>
      </c>
      <c r="C9" s="23" t="n">
        <f aca="false">C73</f>
        <v>3085.68</v>
      </c>
      <c r="D9" s="23" t="n">
        <f aca="false">D73</f>
        <v>3041.87176</v>
      </c>
      <c r="E9" s="23" t="n">
        <f aca="false">E73</f>
        <v>3133.1279128</v>
      </c>
      <c r="F9" s="23" t="n">
        <f aca="false">F73</f>
        <v>3258.453029312</v>
      </c>
      <c r="G9" s="23" t="n">
        <f aca="false">G73</f>
        <v>3388.79115048448</v>
      </c>
    </row>
    <row r="10" customFormat="false" ht="15" hidden="false" customHeight="false" outlineLevel="0" collapsed="false">
      <c r="A10" s="5" t="s">
        <v>454</v>
      </c>
      <c r="B10" s="0" t="s">
        <v>176</v>
      </c>
      <c r="C10" s="23" t="n">
        <f aca="false">C74</f>
        <v>1274.52</v>
      </c>
      <c r="D10" s="23" t="n">
        <f aca="false">D74</f>
        <v>1656.99176</v>
      </c>
      <c r="E10" s="23" t="n">
        <f aca="false">E74</f>
        <v>1822.690936</v>
      </c>
      <c r="F10" s="23" t="n">
        <f aca="false">F74</f>
        <v>2004.9600296</v>
      </c>
      <c r="G10" s="23" t="n">
        <f aca="false">G74</f>
        <v>2205.45603256</v>
      </c>
    </row>
    <row r="11" customFormat="false" ht="15" hidden="false" customHeight="false" outlineLevel="0" collapsed="false">
      <c r="A11" s="5" t="s">
        <v>539</v>
      </c>
      <c r="B11" s="0" t="s">
        <v>176</v>
      </c>
      <c r="C11" s="23" t="n">
        <f aca="false">C76</f>
        <v>0</v>
      </c>
      <c r="D11" s="23" t="n">
        <f aca="false">D76</f>
        <v>0</v>
      </c>
      <c r="E11" s="23" t="n">
        <f aca="false">E76</f>
        <v>0</v>
      </c>
      <c r="F11" s="23" t="n">
        <f aca="false">F76</f>
        <v>150</v>
      </c>
      <c r="G11" s="23" t="n">
        <f aca="false">G76</f>
        <v>500</v>
      </c>
    </row>
    <row r="12" customFormat="false" ht="15" hidden="false" customHeight="false" outlineLevel="0" collapsed="false">
      <c r="A12" s="5" t="s">
        <v>461</v>
      </c>
      <c r="B12" s="0" t="s">
        <v>77</v>
      </c>
      <c r="C12" s="17" t="n">
        <f aca="false">C90</f>
        <v>0.139922480620155</v>
      </c>
      <c r="D12" s="17" t="n">
        <f aca="false">D90</f>
        <v>0.172618149615152</v>
      </c>
      <c r="E12" s="17" t="n">
        <f aca="false">E90</f>
        <v>0.180695883633292</v>
      </c>
      <c r="F12" s="17" t="n">
        <f aca="false">F90</f>
        <v>0.194223517647993</v>
      </c>
      <c r="G12" s="17" t="n">
        <f aca="false">G90</f>
        <v>0.204999598684359</v>
      </c>
    </row>
    <row r="13" customFormat="false" ht="15" hidden="false" customHeight="false" outlineLevel="0" collapsed="false">
      <c r="A13" s="5" t="s">
        <v>540</v>
      </c>
      <c r="B13" s="0" t="s">
        <v>77</v>
      </c>
      <c r="C13" s="17" t="n">
        <f aca="false">C94</f>
        <v>0.0696779964221825</v>
      </c>
      <c r="D13" s="17" t="n">
        <f aca="false">D94</f>
        <v>0.102635389643475</v>
      </c>
      <c r="E13" s="17" t="n">
        <f aca="false">E94</f>
        <v>0.112639761081343</v>
      </c>
      <c r="F13" s="17" t="n">
        <f aca="false">F94</f>
        <v>0.130035271931783</v>
      </c>
      <c r="G13" s="17" t="n">
        <f aca="false">G94</f>
        <v>0.14410024954412</v>
      </c>
    </row>
    <row r="14" customFormat="false" ht="15" hidden="false" customHeight="false" outlineLevel="0" collapsed="false">
      <c r="A14" s="5" t="s">
        <v>476</v>
      </c>
      <c r="B14" s="0" t="s">
        <v>176</v>
      </c>
      <c r="C14" s="23" t="n">
        <f aca="false">C99</f>
        <v>373.9</v>
      </c>
      <c r="D14" s="23" t="n">
        <f aca="false">D99</f>
        <v>645.64985176</v>
      </c>
      <c r="E14" s="23" t="n">
        <f aca="false">E99</f>
        <v>774.867449440707</v>
      </c>
      <c r="F14" s="23" t="n">
        <f aca="false">F99</f>
        <v>999.000283546174</v>
      </c>
      <c r="G14" s="23" t="n">
        <f aca="false">G99</f>
        <v>1225.6693736587</v>
      </c>
      <c r="H14" s="24" t="n">
        <f aca="false">H99</f>
        <v>1343.47832647632</v>
      </c>
      <c r="I14" s="24" t="n">
        <f aca="false">I99</f>
        <v>1448.34893621675</v>
      </c>
      <c r="J14" s="24" t="n">
        <f aca="false">J99</f>
        <v>1535.24987238976</v>
      </c>
    </row>
    <row r="15" customFormat="false" ht="15" hidden="false" customHeight="false" outlineLevel="0" collapsed="false">
      <c r="A15" s="5" t="s">
        <v>541</v>
      </c>
      <c r="B15" s="0" t="s">
        <v>77</v>
      </c>
      <c r="C15" s="17" t="n">
        <f aca="false">C103</f>
        <v>0.0557394156231365</v>
      </c>
      <c r="D15" s="17" t="n">
        <f aca="false">D103</f>
        <v>0.0840639229794768</v>
      </c>
      <c r="E15" s="17" t="n">
        <f aca="false">E103</f>
        <v>0.0879551209071004</v>
      </c>
      <c r="F15" s="17" t="n">
        <f aca="false">F103</f>
        <v>0.100506953893928</v>
      </c>
      <c r="G15" s="17" t="n">
        <f aca="false">G103</f>
        <v>0.110675021268284</v>
      </c>
      <c r="H15" s="26" t="n">
        <f aca="false">H103</f>
        <v>0.110675021268284</v>
      </c>
      <c r="I15" s="26" t="n">
        <f aca="false">I103</f>
        <v>0.110675021268284</v>
      </c>
      <c r="J15" s="26" t="n">
        <f aca="false">J103</f>
        <v>0.110675021268284</v>
      </c>
    </row>
    <row r="16" customFormat="false" ht="15" hidden="false" customHeight="false" outlineLevel="0" collapsed="false">
      <c r="A16" s="0" t="s">
        <v>542</v>
      </c>
      <c r="B16" s="0" t="s">
        <v>331</v>
      </c>
      <c r="C16" s="18" t="n">
        <f aca="false">C101</f>
        <v>1.5046277665996</v>
      </c>
      <c r="D16" s="18" t="n">
        <f aca="false">D101</f>
        <v>2.58347778948843</v>
      </c>
      <c r="E16" s="18" t="n">
        <f aca="false">E101</f>
        <v>3.10052397591464</v>
      </c>
      <c r="F16" s="18" t="n">
        <f aca="false">F101</f>
        <v>3.99736023666516</v>
      </c>
      <c r="G16" s="18" t="n">
        <f aca="false">G101</f>
        <v>4.90434497192527</v>
      </c>
      <c r="H16" s="27" t="n">
        <f aca="false">H101</f>
        <v>5.37574105786497</v>
      </c>
      <c r="I16" s="27" t="n">
        <f aca="false">I101</f>
        <v>5.7953661693646</v>
      </c>
      <c r="J16" s="27" t="n">
        <f aca="false">J101</f>
        <v>6.14308813952647</v>
      </c>
    </row>
    <row r="17" customFormat="false" ht="17.15" hidden="false" customHeight="false" outlineLevel="0" collapsed="false">
      <c r="A17" s="0" t="s">
        <v>543</v>
      </c>
      <c r="B17" s="0" t="s">
        <v>77</v>
      </c>
      <c r="D17" s="20" t="n">
        <f aca="false">D102</f>
        <v>0.717021210719106</v>
      </c>
      <c r="E17" s="20" t="n">
        <f aca="false">E102</f>
        <v>0.200135719583097</v>
      </c>
      <c r="F17" s="20" t="n">
        <f aca="false">F102</f>
        <v>0.289253128734785</v>
      </c>
      <c r="G17" s="20" t="n">
        <f aca="false">G102</f>
        <v>0.226895921698757</v>
      </c>
      <c r="H17" s="25" t="n">
        <f aca="false">H102</f>
        <v>0.0961180521839686</v>
      </c>
      <c r="I17" s="25" t="n">
        <f aca="false">I102</f>
        <v>0.0780590260919842</v>
      </c>
      <c r="J17" s="25" t="n">
        <f aca="false">J102</f>
        <v>0.0600000000000001</v>
      </c>
    </row>
    <row r="19" customFormat="false" ht="17.15" hidden="false" customHeight="false" outlineLevel="0" collapsed="false">
      <c r="A19" s="3" t="s">
        <v>544</v>
      </c>
    </row>
    <row r="20" customFormat="false" ht="15" hidden="false" customHeight="false" outlineLevel="0" collapsed="false">
      <c r="A20" s="5" t="s">
        <v>444</v>
      </c>
      <c r="B20" s="0" t="s">
        <v>176</v>
      </c>
      <c r="C20" s="23" t="n">
        <f aca="false">C123</f>
        <v>6708</v>
      </c>
      <c r="D20" s="23" t="n">
        <f aca="false">D123</f>
        <v>7680.46302</v>
      </c>
      <c r="E20" s="23" t="n">
        <f aca="false">E123</f>
        <v>8718.54868231738</v>
      </c>
      <c r="F20" s="23" t="n">
        <f aca="false">F123</f>
        <v>9308.93996456214</v>
      </c>
      <c r="G20" s="23" t="n">
        <f aca="false">G123</f>
        <v>10413.3251164781</v>
      </c>
      <c r="H20" s="24" t="n">
        <f aca="false">H123</f>
        <v>11375.7735483932</v>
      </c>
      <c r="I20" s="24" t="n">
        <f aca="false">I123</f>
        <v>12128.9902382804</v>
      </c>
      <c r="J20" s="24" t="n">
        <f aca="false">J123</f>
        <v>12614.1498478116</v>
      </c>
    </row>
    <row r="21" customFormat="false" ht="15" hidden="false" customHeight="false" outlineLevel="0" collapsed="false">
      <c r="A21" s="5" t="s">
        <v>535</v>
      </c>
      <c r="B21" s="0" t="s">
        <v>77</v>
      </c>
      <c r="D21" s="20" t="n">
        <f aca="false">D124</f>
        <v>0.144970635062612</v>
      </c>
      <c r="E21" s="20" t="n">
        <f aca="false">E124</f>
        <v>0.135159255322784</v>
      </c>
      <c r="F21" s="20" t="n">
        <f aca="false">F124</f>
        <v>0.0677166927383417</v>
      </c>
      <c r="G21" s="20" t="n">
        <f aca="false">G124</f>
        <v>0.118637047410358</v>
      </c>
      <c r="H21" s="25" t="n">
        <f aca="false">H124</f>
        <v>0.092424698273572</v>
      </c>
      <c r="I21" s="25" t="n">
        <f aca="false">I124</f>
        <v>0.066212349136786</v>
      </c>
      <c r="J21" s="25" t="n">
        <f aca="false">J124</f>
        <v>0.04</v>
      </c>
    </row>
    <row r="22" customFormat="false" ht="17.15" hidden="false" customHeight="false" outlineLevel="0" collapsed="false">
      <c r="A22" s="0" t="s">
        <v>536</v>
      </c>
      <c r="B22" s="0" t="s">
        <v>176</v>
      </c>
      <c r="C22" s="23" t="n">
        <f aca="false">C113</f>
        <v>287.089852216749</v>
      </c>
      <c r="D22" s="23" t="n">
        <f aca="false">D113</f>
        <v>861.269556650246</v>
      </c>
      <c r="E22" s="23" t="n">
        <f aca="false">E113</f>
        <v>1670.04614466713</v>
      </c>
      <c r="F22" s="23" t="n">
        <f aca="false">F113</f>
        <v>1821.39398526239</v>
      </c>
      <c r="G22" s="23" t="n">
        <f aca="false">G113</f>
        <v>2263.80555572733</v>
      </c>
    </row>
    <row r="23" customFormat="false" ht="15" hidden="false" customHeight="false" outlineLevel="0" collapsed="false">
      <c r="A23" s="5" t="s">
        <v>537</v>
      </c>
      <c r="B23" s="0" t="s">
        <v>176</v>
      </c>
      <c r="C23" s="23" t="n">
        <f aca="false">C118</f>
        <v>1341.6</v>
      </c>
      <c r="D23" s="23" t="n">
        <f aca="false">D118</f>
        <v>1884.1444</v>
      </c>
      <c r="E23" s="23" t="n">
        <f aca="false">E118</f>
        <v>2723.60723331738</v>
      </c>
      <c r="F23" s="23" t="n">
        <f aca="false">F118</f>
        <v>2906.56190657214</v>
      </c>
      <c r="G23" s="23" t="n">
        <f aca="false">G118</f>
        <v>3381.52851467637</v>
      </c>
    </row>
    <row r="24" customFormat="false" ht="15" hidden="false" customHeight="false" outlineLevel="0" collapsed="false">
      <c r="A24" s="5" t="s">
        <v>538</v>
      </c>
      <c r="B24" s="0" t="s">
        <v>176</v>
      </c>
      <c r="C24" s="23" t="n">
        <f aca="false">C119</f>
        <v>3085.68</v>
      </c>
      <c r="D24" s="23" t="n">
        <f aca="false">D119</f>
        <v>3041.87176</v>
      </c>
      <c r="E24" s="23" t="n">
        <f aca="false">E119</f>
        <v>3041.87176</v>
      </c>
      <c r="F24" s="23" t="n">
        <f aca="false">F119</f>
        <v>3133.1279128</v>
      </c>
      <c r="G24" s="23" t="n">
        <f aca="false">G119</f>
        <v>3227.121750184</v>
      </c>
    </row>
    <row r="25" customFormat="false" ht="15" hidden="false" customHeight="false" outlineLevel="0" collapsed="false">
      <c r="A25" s="5" t="s">
        <v>454</v>
      </c>
      <c r="B25" s="0" t="s">
        <v>176</v>
      </c>
      <c r="C25" s="23" t="n">
        <f aca="false">C120</f>
        <v>1274.52</v>
      </c>
      <c r="D25" s="23" t="n">
        <f aca="false">D120</f>
        <v>1656.99176</v>
      </c>
      <c r="E25" s="23" t="n">
        <f aca="false">E120</f>
        <v>1822.690936</v>
      </c>
      <c r="F25" s="23" t="n">
        <f aca="false">F120</f>
        <v>2004.9600296</v>
      </c>
      <c r="G25" s="23" t="n">
        <f aca="false">G120</f>
        <v>2205.45603256</v>
      </c>
    </row>
    <row r="26" customFormat="false" ht="15" hidden="false" customHeight="false" outlineLevel="0" collapsed="false">
      <c r="A26" s="5" t="s">
        <v>539</v>
      </c>
      <c r="B26" s="0" t="s">
        <v>176</v>
      </c>
      <c r="C26" s="23" t="n">
        <f aca="false">C122</f>
        <v>0</v>
      </c>
      <c r="D26" s="23" t="n">
        <f aca="false">D122</f>
        <v>0</v>
      </c>
      <c r="E26" s="23" t="n">
        <f aca="false">E122</f>
        <v>0</v>
      </c>
      <c r="F26" s="23" t="n">
        <f aca="false">F122</f>
        <v>100</v>
      </c>
      <c r="G26" s="23" t="n">
        <f aca="false">G122</f>
        <v>400</v>
      </c>
    </row>
    <row r="27" customFormat="false" ht="15" hidden="false" customHeight="false" outlineLevel="0" collapsed="false">
      <c r="A27" s="5" t="s">
        <v>461</v>
      </c>
      <c r="B27" s="0" t="s">
        <v>77</v>
      </c>
      <c r="C27" s="17" t="n">
        <f aca="false">C136</f>
        <v>0.139922480620155</v>
      </c>
      <c r="D27" s="17" t="n">
        <f aca="false">D136</f>
        <v>0.172618149615152</v>
      </c>
      <c r="E27" s="17" t="n">
        <f aca="false">E136</f>
        <v>0.178400449991518</v>
      </c>
      <c r="F27" s="17" t="n">
        <f aca="false">F136</f>
        <v>0.179672701441256</v>
      </c>
      <c r="G27" s="17" t="n">
        <f aca="false">G136</f>
        <v>0.19244362087632</v>
      </c>
    </row>
    <row r="28" customFormat="false" ht="15" hidden="false" customHeight="false" outlineLevel="0" collapsed="false">
      <c r="A28" s="5" t="s">
        <v>540</v>
      </c>
      <c r="B28" s="0" t="s">
        <v>77</v>
      </c>
      <c r="C28" s="17" t="n">
        <f aca="false">C140</f>
        <v>0.0696779964221825</v>
      </c>
      <c r="D28" s="17" t="n">
        <f aca="false">D140</f>
        <v>0.102635389643475</v>
      </c>
      <c r="E28" s="17" t="n">
        <f aca="false">E140</f>
        <v>0.110012551526472</v>
      </c>
      <c r="F28" s="17" t="n">
        <f aca="false">F140</f>
        <v>0.113453450492388</v>
      </c>
      <c r="G28" s="17" t="n">
        <f aca="false">G140</f>
        <v>0.12973581111943</v>
      </c>
    </row>
    <row r="29" customFormat="false" ht="15" hidden="false" customHeight="false" outlineLevel="0" collapsed="false">
      <c r="A29" s="5" t="s">
        <v>476</v>
      </c>
      <c r="B29" s="0" t="s">
        <v>176</v>
      </c>
      <c r="C29" s="23" t="n">
        <f aca="false">C145</f>
        <v>373.9</v>
      </c>
      <c r="D29" s="23" t="n">
        <f aca="false">D145</f>
        <v>645.64985176</v>
      </c>
      <c r="E29" s="23" t="n">
        <f aca="false">E145</f>
        <v>748.319828919594</v>
      </c>
      <c r="F29" s="23" t="n">
        <f aca="false">F145</f>
        <v>809.90508752485</v>
      </c>
      <c r="G29" s="23" t="n">
        <f aca="false">G145</f>
        <v>1029.78494434929</v>
      </c>
      <c r="H29" s="24" t="n">
        <f aca="false">H145</f>
        <v>1053.22847167304</v>
      </c>
      <c r="I29" s="24" t="n">
        <f aca="false">I145</f>
        <v>1046.48148851603</v>
      </c>
      <c r="J29" s="24" t="n">
        <f aca="false">J145</f>
        <v>1008.79768503467</v>
      </c>
    </row>
    <row r="30" customFormat="false" ht="15" hidden="false" customHeight="false" outlineLevel="0" collapsed="false">
      <c r="A30" s="5" t="s">
        <v>541</v>
      </c>
      <c r="B30" s="0" t="s">
        <v>77</v>
      </c>
      <c r="C30" s="17" t="n">
        <f aca="false">C149</f>
        <v>0.0557394156231365</v>
      </c>
      <c r="D30" s="17" t="n">
        <f aca="false">D149</f>
        <v>0.0840639229794768</v>
      </c>
      <c r="E30" s="17" t="n">
        <f aca="false">E149</f>
        <v>0.0858307794320524</v>
      </c>
      <c r="F30" s="17" t="n">
        <f aca="false">F149</f>
        <v>0.0870029338042836</v>
      </c>
      <c r="G30" s="17" t="n">
        <f aca="false">G149</f>
        <v>0.0988910778095035</v>
      </c>
      <c r="H30" s="26" t="n">
        <f aca="false">H149</f>
        <v>0.0925852178045345</v>
      </c>
      <c r="I30" s="26" t="n">
        <f aca="false">I149</f>
        <v>0.0862793577995655</v>
      </c>
      <c r="J30" s="26" t="n">
        <f aca="false">J149</f>
        <v>0.0799734977945966</v>
      </c>
    </row>
    <row r="31" customFormat="false" ht="15" hidden="false" customHeight="false" outlineLevel="0" collapsed="false">
      <c r="A31" s="0" t="s">
        <v>542</v>
      </c>
      <c r="B31" s="0" t="s">
        <v>331</v>
      </c>
      <c r="C31" s="18" t="n">
        <f aca="false">C147</f>
        <v>1.5046277665996</v>
      </c>
      <c r="D31" s="18" t="n">
        <f aca="false">D147</f>
        <v>2.58347778948843</v>
      </c>
      <c r="E31" s="18" t="n">
        <f aca="false">E147</f>
        <v>2.99429737678648</v>
      </c>
      <c r="F31" s="18" t="n">
        <f aca="false">F147</f>
        <v>3.24072219564592</v>
      </c>
      <c r="G31" s="18" t="n">
        <f aca="false">G147</f>
        <v>4.12054076125599</v>
      </c>
      <c r="H31" s="27" t="n">
        <f aca="false">H147</f>
        <v>4.21434676459214</v>
      </c>
      <c r="I31" s="27" t="n">
        <f aca="false">I147</f>
        <v>4.18734965294613</v>
      </c>
      <c r="J31" s="27" t="n">
        <f aca="false">J147</f>
        <v>4.03656317161704</v>
      </c>
    </row>
    <row r="32" customFormat="false" ht="17.15" hidden="false" customHeight="false" outlineLevel="0" collapsed="false">
      <c r="A32" s="0" t="s">
        <v>543</v>
      </c>
      <c r="B32" s="0" t="s">
        <v>77</v>
      </c>
      <c r="D32" s="20" t="n">
        <f aca="false">D148</f>
        <v>0.717021210719106</v>
      </c>
      <c r="E32" s="20" t="n">
        <f aca="false">E148</f>
        <v>0.159018044966204</v>
      </c>
      <c r="F32" s="20" t="n">
        <f aca="false">F148</f>
        <v>0.0822980445328716</v>
      </c>
      <c r="G32" s="20" t="n">
        <f aca="false">G148</f>
        <v>0.271488425262786</v>
      </c>
      <c r="H32" s="25" t="n">
        <f aca="false">H148</f>
        <v>0.0227654593829465</v>
      </c>
      <c r="I32" s="25" t="n">
        <f aca="false">I148</f>
        <v>-0.0064060014882571</v>
      </c>
      <c r="J32" s="25" t="n">
        <f aca="false">J148</f>
        <v>-0.036010004854264</v>
      </c>
    </row>
    <row r="34" customFormat="false" ht="17.15" hidden="false" customHeight="false" outlineLevel="0" collapsed="false">
      <c r="A34" s="3" t="s">
        <v>545</v>
      </c>
    </row>
    <row r="35" customFormat="false" ht="15" hidden="false" customHeight="false" outlineLevel="0" collapsed="false">
      <c r="A35" s="5" t="s">
        <v>444</v>
      </c>
      <c r="B35" s="0" t="s">
        <v>176</v>
      </c>
      <c r="C35" s="23" t="n">
        <f aca="false">C169</f>
        <v>6708</v>
      </c>
      <c r="D35" s="23" t="n">
        <f aca="false">D169</f>
        <v>7680.46302</v>
      </c>
      <c r="E35" s="23" t="n">
        <f aca="false">E169</f>
        <v>8536.03637671738</v>
      </c>
      <c r="F35" s="23" t="n">
        <f aca="false">F169</f>
        <v>8529.82300984654</v>
      </c>
      <c r="G35" s="23" t="n">
        <f aca="false">G169</f>
        <v>9229.73765724486</v>
      </c>
      <c r="H35" s="24" t="n">
        <f aca="false">H169</f>
        <v>9796.16667193208</v>
      </c>
      <c r="I35" s="24" t="n">
        <f aca="false">I169</f>
        <v>10194.7237207606</v>
      </c>
      <c r="J35" s="24" t="n">
        <f aca="false">J169</f>
        <v>10398.6181951758</v>
      </c>
    </row>
    <row r="36" customFormat="false" ht="15" hidden="false" customHeight="false" outlineLevel="0" collapsed="false">
      <c r="A36" s="5" t="s">
        <v>535</v>
      </c>
      <c r="B36" s="0" t="s">
        <v>77</v>
      </c>
      <c r="D36" s="20" t="n">
        <f aca="false">D170</f>
        <v>0.144970635062612</v>
      </c>
      <c r="E36" s="20" t="n">
        <f aca="false">E170</f>
        <v>0.111396064858259</v>
      </c>
      <c r="F36" s="20" t="n">
        <f aca="false">F170</f>
        <v>-0.000727898358983681</v>
      </c>
      <c r="G36" s="20" t="n">
        <f aca="false">G170</f>
        <v>0.0820550023828583</v>
      </c>
      <c r="H36" s="25" t="n">
        <f aca="false">H170</f>
        <v>0.0613700015885722</v>
      </c>
      <c r="I36" s="25" t="n">
        <f aca="false">I170</f>
        <v>0.0406850007942861</v>
      </c>
      <c r="J36" s="25" t="n">
        <f aca="false">J170</f>
        <v>0.02</v>
      </c>
    </row>
    <row r="37" customFormat="false" ht="17.15" hidden="false" customHeight="false" outlineLevel="0" collapsed="false">
      <c r="A37" s="0" t="s">
        <v>536</v>
      </c>
      <c r="B37" s="0" t="s">
        <v>176</v>
      </c>
      <c r="C37" s="23" t="n">
        <f aca="false">C159</f>
        <v>287.089852216749</v>
      </c>
      <c r="D37" s="23" t="n">
        <f aca="false">D159</f>
        <v>861.269556650246</v>
      </c>
      <c r="E37" s="23" t="n">
        <f aca="false">E159</f>
        <v>1670.04614466713</v>
      </c>
      <c r="F37" s="23" t="n">
        <f aca="false">F159</f>
        <v>1366.04548894679</v>
      </c>
      <c r="G37" s="23" t="n">
        <f aca="false">G159</f>
        <v>1597.98039227811</v>
      </c>
    </row>
    <row r="38" customFormat="false" ht="15" hidden="false" customHeight="false" outlineLevel="0" collapsed="false">
      <c r="A38" s="5" t="s">
        <v>537</v>
      </c>
      <c r="B38" s="0" t="s">
        <v>176</v>
      </c>
      <c r="C38" s="23" t="n">
        <f aca="false">C164</f>
        <v>1341.6</v>
      </c>
      <c r="D38" s="23" t="n">
        <f aca="false">D164</f>
        <v>1884.1444</v>
      </c>
      <c r="E38" s="23" t="n">
        <f aca="false">E164</f>
        <v>2723.60723331738</v>
      </c>
      <c r="F38" s="23" t="n">
        <f aca="false">F164</f>
        <v>2451.21341025654</v>
      </c>
      <c r="G38" s="23" t="n">
        <f aca="false">G164</f>
        <v>2715.70335122716</v>
      </c>
    </row>
    <row r="39" customFormat="false" ht="15" hidden="false" customHeight="false" outlineLevel="0" collapsed="false">
      <c r="A39" s="5" t="s">
        <v>538</v>
      </c>
      <c r="B39" s="0" t="s">
        <v>176</v>
      </c>
      <c r="C39" s="23" t="n">
        <f aca="false">C165</f>
        <v>3085.68</v>
      </c>
      <c r="D39" s="23" t="n">
        <f aca="false">D165</f>
        <v>3041.87176</v>
      </c>
      <c r="E39" s="23" t="n">
        <f aca="false">E165</f>
        <v>2859.3594544</v>
      </c>
      <c r="F39" s="23" t="n">
        <f aca="false">F165</f>
        <v>2859.3594544</v>
      </c>
      <c r="G39" s="23" t="n">
        <f aca="false">G165</f>
        <v>2859.3594544</v>
      </c>
    </row>
    <row r="40" customFormat="false" ht="15" hidden="false" customHeight="false" outlineLevel="0" collapsed="false">
      <c r="A40" s="5" t="s">
        <v>454</v>
      </c>
      <c r="B40" s="0" t="s">
        <v>176</v>
      </c>
      <c r="C40" s="23" t="n">
        <f aca="false">C166</f>
        <v>1274.52</v>
      </c>
      <c r="D40" s="23" t="n">
        <f aca="false">D166</f>
        <v>1656.99176</v>
      </c>
      <c r="E40" s="23" t="n">
        <f aca="false">E166</f>
        <v>1822.690936</v>
      </c>
      <c r="F40" s="23" t="n">
        <f aca="false">F166</f>
        <v>2004.9600296</v>
      </c>
      <c r="G40" s="23" t="n">
        <f aca="false">G166</f>
        <v>2205.45603256</v>
      </c>
    </row>
    <row r="41" customFormat="false" ht="15" hidden="false" customHeight="false" outlineLevel="0" collapsed="false">
      <c r="A41" s="5" t="s">
        <v>539</v>
      </c>
      <c r="B41" s="0" t="s">
        <v>176</v>
      </c>
      <c r="C41" s="23" t="n">
        <f aca="false">C168</f>
        <v>0</v>
      </c>
      <c r="D41" s="23" t="n">
        <f aca="false">D168</f>
        <v>0</v>
      </c>
      <c r="E41" s="23" t="n">
        <f aca="false">E168</f>
        <v>0</v>
      </c>
      <c r="F41" s="23" t="n">
        <f aca="false">F168</f>
        <v>50</v>
      </c>
      <c r="G41" s="23" t="n">
        <f aca="false">G168</f>
        <v>250</v>
      </c>
    </row>
    <row r="42" customFormat="false" ht="15" hidden="false" customHeight="false" outlineLevel="0" collapsed="false">
      <c r="A42" s="5" t="s">
        <v>461</v>
      </c>
      <c r="B42" s="0" t="s">
        <v>77</v>
      </c>
      <c r="C42" s="17" t="n">
        <f aca="false">C182</f>
        <v>0.139922480620155</v>
      </c>
      <c r="D42" s="17" t="n">
        <f aca="false">D182</f>
        <v>0.172618149615152</v>
      </c>
      <c r="E42" s="17" t="n">
        <f aca="false">E182</f>
        <v>0.173662344036126</v>
      </c>
      <c r="F42" s="17" t="n">
        <f aca="false">F182</f>
        <v>0.159096601845849</v>
      </c>
      <c r="G42" s="17" t="n">
        <f aca="false">G182</f>
        <v>0.165308504447303</v>
      </c>
    </row>
    <row r="43" customFormat="false" ht="15" hidden="false" customHeight="false" outlineLevel="0" collapsed="false">
      <c r="A43" s="5" t="s">
        <v>540</v>
      </c>
      <c r="B43" s="0" t="s">
        <v>77</v>
      </c>
      <c r="C43" s="17" t="n">
        <f aca="false">C186</f>
        <v>0.0696779964221825</v>
      </c>
      <c r="D43" s="17" t="n">
        <f aca="false">D186</f>
        <v>0.102635389643475</v>
      </c>
      <c r="E43" s="17" t="n">
        <f aca="false">E186</f>
        <v>0.10458961225632</v>
      </c>
      <c r="F43" s="17" t="n">
        <f aca="false">F186</f>
        <v>0.0899987127900458</v>
      </c>
      <c r="G43" s="17" t="n">
        <f aca="false">G186</f>
        <v>0.0988305503479671</v>
      </c>
    </row>
    <row r="44" customFormat="false" ht="15" hidden="false" customHeight="false" outlineLevel="0" collapsed="false">
      <c r="A44" s="5" t="s">
        <v>476</v>
      </c>
      <c r="B44" s="0" t="s">
        <v>176</v>
      </c>
      <c r="C44" s="23" t="n">
        <f aca="false">C191</f>
        <v>373.9</v>
      </c>
      <c r="D44" s="23" t="n">
        <f aca="false">D191</f>
        <v>645.64985176</v>
      </c>
      <c r="E44" s="23" t="n">
        <f aca="false">E191</f>
        <v>695.224587877369</v>
      </c>
      <c r="F44" s="23" t="n">
        <f aca="false">F191</f>
        <v>579.138472970483</v>
      </c>
      <c r="G44" s="23" t="n">
        <f aca="false">G191</f>
        <v>678.744041786293</v>
      </c>
      <c r="H44" s="24" t="n">
        <f aca="false">H191</f>
        <v>679.637025431841</v>
      </c>
      <c r="I44" s="24" t="n">
        <f aca="false">I191</f>
        <v>664.868135816386</v>
      </c>
      <c r="J44" s="24" t="n">
        <f aca="false">J191</f>
        <v>634.897177547039</v>
      </c>
    </row>
    <row r="45" customFormat="false" ht="15" hidden="false" customHeight="false" outlineLevel="0" collapsed="false">
      <c r="A45" s="5" t="s">
        <v>541</v>
      </c>
      <c r="B45" s="0" t="s">
        <v>77</v>
      </c>
      <c r="C45" s="17" t="n">
        <f aca="false">C195</f>
        <v>0.0557394156231365</v>
      </c>
      <c r="D45" s="17" t="n">
        <f aca="false">D195</f>
        <v>0.0840639229794768</v>
      </c>
      <c r="E45" s="17" t="n">
        <f aca="false">E195</f>
        <v>0.081445832374103</v>
      </c>
      <c r="F45" s="17" t="n">
        <f aca="false">F195</f>
        <v>0.0678957197941792</v>
      </c>
      <c r="G45" s="17" t="n">
        <f aca="false">G195</f>
        <v>0.0735388227696281</v>
      </c>
      <c r="H45" s="26" t="n">
        <f aca="false">H195</f>
        <v>0.0693778544396486</v>
      </c>
      <c r="I45" s="26" t="n">
        <f aca="false">I195</f>
        <v>0.0652168861096691</v>
      </c>
      <c r="J45" s="26" t="n">
        <f aca="false">J195</f>
        <v>0.0610559177796896</v>
      </c>
    </row>
    <row r="46" customFormat="false" ht="15" hidden="false" customHeight="false" outlineLevel="0" collapsed="false">
      <c r="A46" s="0" t="s">
        <v>542</v>
      </c>
      <c r="B46" s="0" t="s">
        <v>331</v>
      </c>
      <c r="C46" s="18" t="n">
        <f aca="false">C193</f>
        <v>1.5046277665996</v>
      </c>
      <c r="D46" s="18" t="n">
        <f aca="false">D193</f>
        <v>2.58347778948843</v>
      </c>
      <c r="E46" s="18" t="n">
        <f aca="false">E193</f>
        <v>2.78184417853018</v>
      </c>
      <c r="F46" s="18" t="n">
        <f aca="false">F193</f>
        <v>2.31734178808988</v>
      </c>
      <c r="G46" s="18" t="n">
        <f aca="false">G193</f>
        <v>2.71589957299999</v>
      </c>
      <c r="H46" s="27" t="n">
        <f aca="false">H193</f>
        <v>2.719472722453</v>
      </c>
      <c r="I46" s="27" t="n">
        <f aca="false">I193</f>
        <v>2.66037707146984</v>
      </c>
      <c r="J46" s="27" t="n">
        <f aca="false">J193</f>
        <v>2.54045246402592</v>
      </c>
    </row>
    <row r="47" customFormat="false" ht="17.15" hidden="false" customHeight="false" outlineLevel="0" collapsed="false">
      <c r="A47" s="0" t="s">
        <v>543</v>
      </c>
      <c r="B47" s="0" t="s">
        <v>77</v>
      </c>
      <c r="D47" s="20" t="n">
        <f aca="false">D194</f>
        <v>0.717021210719106</v>
      </c>
      <c r="E47" s="20" t="n">
        <f aca="false">E194</f>
        <v>0.0767826957324189</v>
      </c>
      <c r="F47" s="20" t="n">
        <f aca="false">F194</f>
        <v>-0.166976423059656</v>
      </c>
      <c r="G47" s="20" t="n">
        <f aca="false">G194</f>
        <v>0.171989210637171</v>
      </c>
      <c r="H47" s="25" t="n">
        <f aca="false">H194</f>
        <v>0.00131564122934846</v>
      </c>
      <c r="I47" s="25" t="n">
        <f aca="false">I194</f>
        <v>-0.0217305547855796</v>
      </c>
      <c r="J47" s="25" t="n">
        <f aca="false">J194</f>
        <v>-0.0450780487961666</v>
      </c>
    </row>
    <row r="49" customFormat="false" ht="17.15" hidden="false" customHeight="false" outlineLevel="0" collapsed="false">
      <c r="A49" s="3" t="s">
        <v>546</v>
      </c>
    </row>
    <row r="50" customFormat="false" ht="17.15" hidden="false" customHeight="false" outlineLevel="0" collapsed="false">
      <c r="A50" s="5" t="s">
        <v>547</v>
      </c>
      <c r="D50" s="28" t="n">
        <f aca="false">ABS(D77-a26_rev)+ABS(D123-a26_rev)+ABS(D169-a26_rev)</f>
        <v>0</v>
      </c>
    </row>
    <row r="51" customFormat="false" ht="17.15" hidden="false" customHeight="false" outlineLevel="0" collapsed="false">
      <c r="A51" s="5" t="s">
        <v>548</v>
      </c>
      <c r="D51" s="28" t="n">
        <f aca="false">ABS(D101-a26_eps)+ABS(D147-a26_eps)+ABS(D193-a26_eps)</f>
        <v>0</v>
      </c>
    </row>
    <row r="52" customFormat="false" ht="17.15" hidden="false" customHeight="false" outlineLevel="0" collapsed="false">
      <c r="A52" s="5" t="s">
        <v>549</v>
      </c>
      <c r="D52" s="28" t="n">
        <f aca="false">D67+D71-a26_comp</f>
        <v>0</v>
      </c>
    </row>
    <row r="60" customFormat="false" ht="17.15" hidden="false" customHeight="false" outlineLevel="0" collapsed="false">
      <c r="A60" s="3" t="s">
        <v>550</v>
      </c>
    </row>
    <row r="61" customFormat="false" ht="17.15" hidden="false" customHeight="false" outlineLevel="0" collapsed="false">
      <c r="A61" s="6" t="s">
        <v>22</v>
      </c>
      <c r="B61" s="6" t="s">
        <v>23</v>
      </c>
      <c r="C61" s="14" t="s">
        <v>437</v>
      </c>
      <c r="D61" s="14" t="s">
        <v>527</v>
      </c>
      <c r="E61" s="14" t="s">
        <v>528</v>
      </c>
      <c r="F61" s="14" t="s">
        <v>529</v>
      </c>
      <c r="G61" s="14" t="s">
        <v>530</v>
      </c>
      <c r="H61" s="14" t="s">
        <v>531</v>
      </c>
      <c r="I61" s="14" t="s">
        <v>532</v>
      </c>
      <c r="J61" s="14" t="s">
        <v>533</v>
      </c>
      <c r="K61" s="6" t="s">
        <v>503</v>
      </c>
    </row>
    <row r="62" customFormat="false" ht="17.15" hidden="false" customHeight="false" outlineLevel="0" collapsed="false">
      <c r="A62" s="1" t="s">
        <v>551</v>
      </c>
    </row>
    <row r="63" customFormat="false" ht="17.15" hidden="false" customHeight="false" outlineLevel="0" collapsed="false">
      <c r="A63" s="0" t="s">
        <v>552</v>
      </c>
      <c r="B63" s="5" t="s">
        <v>33</v>
      </c>
      <c r="D63" s="18" t="n">
        <f aca="false">units_26</f>
        <v>15.2</v>
      </c>
      <c r="E63" s="18" t="n">
        <f aca="false">units_27*1</f>
        <v>23.7</v>
      </c>
      <c r="F63" s="18" t="n">
        <f aca="false">units_28*um28_A*1</f>
        <v>26.5</v>
      </c>
      <c r="G63" s="18" t="n">
        <f aca="false">units_29*um29_A*1</f>
        <v>30.15</v>
      </c>
    </row>
    <row r="64" customFormat="false" ht="17.15" hidden="false" customHeight="false" outlineLevel="0" collapsed="false">
      <c r="A64" s="5" t="s">
        <v>506</v>
      </c>
      <c r="B64" s="0" t="s">
        <v>46</v>
      </c>
      <c r="D64" s="22" t="n">
        <f aca="false">ar_26</f>
        <v>1</v>
      </c>
      <c r="E64" s="22" t="n">
        <f aca="false">ar_27</f>
        <v>1.278156</v>
      </c>
      <c r="F64" s="22" t="n">
        <f aca="false">ar_28</f>
        <v>1.428615</v>
      </c>
      <c r="G64" s="22" t="n">
        <f aca="false">ar_29</f>
        <v>1.431796</v>
      </c>
    </row>
    <row r="65" customFormat="false" ht="17.15" hidden="false" customHeight="false" outlineLevel="0" collapsed="false">
      <c r="A65" s="5" t="s">
        <v>508</v>
      </c>
      <c r="B65" s="0" t="s">
        <v>77</v>
      </c>
      <c r="D65" s="20" t="n">
        <f aca="false">out_26</f>
        <v>0.5</v>
      </c>
      <c r="E65" s="20" t="n">
        <f aca="false">out_27</f>
        <v>0.55</v>
      </c>
      <c r="F65" s="20" t="n">
        <f aca="false">out_28</f>
        <v>0.6</v>
      </c>
      <c r="G65" s="20" t="n">
        <f aca="false">out_29</f>
        <v>0.6</v>
      </c>
      <c r="K65" s="8" t="s">
        <v>553</v>
      </c>
    </row>
    <row r="66" customFormat="false" ht="17.15" hidden="false" customHeight="false" outlineLevel="0" collapsed="false">
      <c r="A66" s="0" t="s">
        <v>509</v>
      </c>
      <c r="B66" s="0" t="s">
        <v>77</v>
      </c>
      <c r="D66" s="20" t="n">
        <f aca="false">sh_26</f>
        <v>0.35</v>
      </c>
      <c r="E66" s="20" t="n">
        <f aca="false">sh_27</f>
        <v>0.35</v>
      </c>
      <c r="F66" s="20" t="n">
        <f aca="false">sh_28</f>
        <v>0.37</v>
      </c>
      <c r="G66" s="20" t="n">
        <f aca="false">sh_29</f>
        <v>0.38</v>
      </c>
    </row>
    <row r="67" customFormat="false" ht="17.15" hidden="false" customHeight="false" outlineLevel="0" collapsed="false">
      <c r="A67" s="0" t="s">
        <v>554</v>
      </c>
      <c r="B67" s="0" t="s">
        <v>176</v>
      </c>
      <c r="C67" s="16" t="n">
        <f aca="false">(a26_comp-a25_comp*(1+g_pc26))/(tri-(1+g_pc26))</f>
        <v>287.089852216749</v>
      </c>
      <c r="D67" s="16" t="n">
        <f aca="false">C67*tri</f>
        <v>861.269556650246</v>
      </c>
      <c r="E67" s="16" t="n">
        <f aca="false">E63*E65*E66*E68</f>
        <v>1670.04614466713</v>
      </c>
      <c r="F67" s="16" t="n">
        <f aca="false">F63*F65*F66*F68</f>
        <v>2276.74248157798</v>
      </c>
      <c r="G67" s="16" t="n">
        <f aca="false">G63*G65*G66*G68</f>
        <v>2663.30065379686</v>
      </c>
      <c r="K67" s="8" t="s">
        <v>555</v>
      </c>
    </row>
    <row r="68" customFormat="false" ht="17.15" hidden="false" customHeight="false" outlineLevel="0" collapsed="false">
      <c r="A68" s="5" t="s">
        <v>556</v>
      </c>
      <c r="B68" s="0" t="s">
        <v>511</v>
      </c>
      <c r="D68" s="23" t="n">
        <f aca="false">D67/(D63*D65*D66)</f>
        <v>323.785547612874</v>
      </c>
      <c r="E68" s="23" t="n">
        <f aca="false">$D68*E64^el</f>
        <v>366.057569108912</v>
      </c>
      <c r="F68" s="23" t="n">
        <f aca="false">$D68*F64^el</f>
        <v>387.003651466596</v>
      </c>
      <c r="G68" s="23" t="n">
        <f aca="false">$D68*G64^el</f>
        <v>387.434269267239</v>
      </c>
      <c r="K68" s="8" t="s">
        <v>557</v>
      </c>
    </row>
    <row r="69" customFormat="false" ht="17.15" hidden="false" customHeight="false" outlineLevel="0" collapsed="false">
      <c r="A69" s="5" t="s">
        <v>515</v>
      </c>
      <c r="B69" s="0" t="s">
        <v>511</v>
      </c>
      <c r="D69" s="16" t="n">
        <f aca="false">D67/D63</f>
        <v>56.662470832253</v>
      </c>
      <c r="E69" s="16" t="n">
        <f aca="false">E67/E63</f>
        <v>70.4660820534656</v>
      </c>
      <c r="F69" s="16" t="n">
        <f aca="false">F67/F63</f>
        <v>85.9148106255842</v>
      </c>
      <c r="G69" s="16" t="n">
        <f aca="false">G67/G63</f>
        <v>88.3350133929306</v>
      </c>
      <c r="K69" s="5" t="s">
        <v>558</v>
      </c>
    </row>
    <row r="70" customFormat="false" ht="17.15" hidden="false" customHeight="false" outlineLevel="0" collapsed="false">
      <c r="A70" s="1" t="s">
        <v>559</v>
      </c>
    </row>
    <row r="71" customFormat="false" ht="17.15" hidden="false" customHeight="false" outlineLevel="0" collapsed="false">
      <c r="A71" s="5" t="s">
        <v>560</v>
      </c>
      <c r="B71" s="0" t="s">
        <v>176</v>
      </c>
      <c r="C71" s="16" t="n">
        <f aca="false">a25_comp-C67</f>
        <v>1054.51014778325</v>
      </c>
      <c r="D71" s="16" t="n">
        <f aca="false">a26_comp-D67</f>
        <v>1022.87484334975</v>
      </c>
      <c r="E71" s="16" t="n">
        <f aca="false">D71*(1+g_pc)</f>
        <v>1053.56108865025</v>
      </c>
      <c r="F71" s="16" t="n">
        <f aca="false">E71*(1+g_pc)</f>
        <v>1085.16792130975</v>
      </c>
      <c r="G71" s="16" t="n">
        <f aca="false">F71*(1+g_pc)</f>
        <v>1117.72295894905</v>
      </c>
    </row>
    <row r="72" customFormat="false" ht="15" hidden="false" customHeight="false" outlineLevel="0" collapsed="false">
      <c r="A72" s="5" t="s">
        <v>561</v>
      </c>
      <c r="B72" s="0" t="s">
        <v>176</v>
      </c>
      <c r="C72" s="16" t="n">
        <f aca="false">C67+C71</f>
        <v>1341.6</v>
      </c>
      <c r="D72" s="16" t="n">
        <f aca="false">D67+D71</f>
        <v>1884.1444</v>
      </c>
      <c r="E72" s="16" t="n">
        <f aca="false">E67+E71</f>
        <v>2723.60723331738</v>
      </c>
      <c r="F72" s="16" t="n">
        <f aca="false">F67+F71</f>
        <v>3361.91040288774</v>
      </c>
      <c r="G72" s="16" t="n">
        <f aca="false">G67+G71</f>
        <v>3781.0236127459</v>
      </c>
    </row>
    <row r="73" customFormat="false" ht="17.15" hidden="false" customHeight="false" outlineLevel="0" collapsed="false">
      <c r="A73" s="5" t="s">
        <v>562</v>
      </c>
      <c r="B73" s="0" t="s">
        <v>176</v>
      </c>
      <c r="C73" s="16" t="n">
        <f aca="false">a25_cm</f>
        <v>3085.68</v>
      </c>
      <c r="D73" s="16" t="n">
        <f aca="false">a26_cm</f>
        <v>3041.87176</v>
      </c>
      <c r="E73" s="16" t="n">
        <f aca="false">D73*(1+g_cm27_A)</f>
        <v>3133.1279128</v>
      </c>
      <c r="F73" s="16" t="n">
        <f aca="false">E73*(1+g_cmL_A)</f>
        <v>3258.453029312</v>
      </c>
      <c r="G73" s="16" t="n">
        <f aca="false">F73*(1+g_cmL_A)</f>
        <v>3388.79115048448</v>
      </c>
    </row>
    <row r="74" customFormat="false" ht="15" hidden="false" customHeight="false" outlineLevel="0" collapsed="false">
      <c r="A74" s="5" t="s">
        <v>563</v>
      </c>
      <c r="B74" s="0" t="s">
        <v>176</v>
      </c>
      <c r="C74" s="16" t="n">
        <f aca="false">a25_au</f>
        <v>1274.52</v>
      </c>
      <c r="D74" s="16" t="n">
        <f aca="false">a26_au</f>
        <v>1656.99176</v>
      </c>
      <c r="E74" s="16" t="n">
        <f aca="false">D74*(1+g_au)</f>
        <v>1822.690936</v>
      </c>
      <c r="F74" s="16" t="n">
        <f aca="false">E74*(1+g_au)</f>
        <v>2004.9600296</v>
      </c>
      <c r="G74" s="16" t="n">
        <f aca="false">F74*(1+g_au)</f>
        <v>2205.45603256</v>
      </c>
    </row>
    <row r="75" customFormat="false" ht="15" hidden="false" customHeight="false" outlineLevel="0" collapsed="false">
      <c r="A75" s="5" t="s">
        <v>564</v>
      </c>
      <c r="B75" s="0" t="s">
        <v>176</v>
      </c>
      <c r="C75" s="16" t="n">
        <f aca="false">a25_cs</f>
        <v>1006.2</v>
      </c>
      <c r="D75" s="16" t="n">
        <f aca="false">a26_cs</f>
        <v>1097.4551</v>
      </c>
      <c r="E75" s="16" t="n">
        <f aca="false">D75*(1+g_cs)</f>
        <v>1130.378753</v>
      </c>
      <c r="F75" s="16" t="n">
        <f aca="false">E75*(1+g_cs)</f>
        <v>1164.29011559</v>
      </c>
      <c r="G75" s="16" t="n">
        <f aca="false">F75*(1+g_cs)</f>
        <v>1199.2188190577</v>
      </c>
    </row>
    <row r="76" customFormat="false" ht="17.15" hidden="false" customHeight="false" outlineLevel="0" collapsed="false">
      <c r="A76" s="5" t="s">
        <v>565</v>
      </c>
      <c r="B76" s="0" t="s">
        <v>176</v>
      </c>
      <c r="C76" s="16" t="n">
        <f aca="false">0</f>
        <v>0</v>
      </c>
      <c r="D76" s="16" t="n">
        <f aca="false">0</f>
        <v>0</v>
      </c>
      <c r="E76" s="16" t="n">
        <f aca="false">0</f>
        <v>0</v>
      </c>
      <c r="F76" s="16" t="n">
        <f aca="false">az_rev28_A</f>
        <v>150</v>
      </c>
      <c r="G76" s="16" t="n">
        <f aca="false">az_rev29_A</f>
        <v>500</v>
      </c>
      <c r="K76" s="5" t="s">
        <v>566</v>
      </c>
    </row>
    <row r="77" customFormat="false" ht="17.15" hidden="false" customHeight="false" outlineLevel="0" collapsed="false">
      <c r="A77" s="5" t="s">
        <v>444</v>
      </c>
      <c r="B77" s="0" t="s">
        <v>176</v>
      </c>
      <c r="C77" s="16" t="n">
        <f aca="false">C72+C73+C74+C75+C76</f>
        <v>6708</v>
      </c>
      <c r="D77" s="16" t="n">
        <f aca="false">D72+D73+D74+D75+D76</f>
        <v>7680.46302</v>
      </c>
      <c r="E77" s="16" t="n">
        <f aca="false">E72+E73+E74+E75+E76</f>
        <v>8809.80483511738</v>
      </c>
      <c r="F77" s="16" t="n">
        <f aca="false">F72+F73+F74+F75+F76</f>
        <v>9939.61357738974</v>
      </c>
      <c r="G77" s="16" t="n">
        <f aca="false">G72+G73+G74+G75+G76</f>
        <v>11074.4896148481</v>
      </c>
      <c r="H77" s="29" t="n">
        <f aca="false">G77*(1+H78)</f>
        <v>12138.9479855589</v>
      </c>
      <c r="I77" s="29" t="n">
        <f aca="false">H77*(1+I78)</f>
        <v>13086.5024430928</v>
      </c>
      <c r="J77" s="29" t="n">
        <f aca="false">I77*(1+J78)</f>
        <v>13871.6925896784</v>
      </c>
      <c r="K77" s="8" t="s">
        <v>567</v>
      </c>
    </row>
    <row r="78" customFormat="false" ht="15" hidden="false" customHeight="false" outlineLevel="0" collapsed="false">
      <c r="A78" s="5" t="s">
        <v>568</v>
      </c>
      <c r="B78" s="0" t="s">
        <v>77</v>
      </c>
      <c r="D78" s="20" t="n">
        <f aca="false">D77/C77-1</f>
        <v>0.144970635062612</v>
      </c>
      <c r="E78" s="20" t="n">
        <f aca="false">E77/D77-1</f>
        <v>0.147040850555046</v>
      </c>
      <c r="F78" s="20" t="n">
        <f aca="false">F77/E77-1</f>
        <v>0.128244468909089</v>
      </c>
      <c r="G78" s="20" t="n">
        <f aca="false">G77/F77-1</f>
        <v>0.114177078275953</v>
      </c>
      <c r="H78" s="25" t="n">
        <f aca="false">$G78+(fade_gA-$G78)*1/3</f>
        <v>0.0961180521839684</v>
      </c>
      <c r="I78" s="25" t="n">
        <f aca="false">$G78+(fade_gA-$G78)*2/3</f>
        <v>0.0780590260919842</v>
      </c>
      <c r="J78" s="25" t="n">
        <f aca="false">$G78+(fade_gA-$G78)*3/3</f>
        <v>0.06</v>
      </c>
    </row>
    <row r="79" customFormat="false" ht="17.15" hidden="false" customHeight="false" outlineLevel="0" collapsed="false">
      <c r="A79" s="0" t="s">
        <v>569</v>
      </c>
      <c r="B79" s="0" t="s">
        <v>77</v>
      </c>
      <c r="C79" s="20" t="n">
        <f aca="false">C67/C77</f>
        <v>0.042798129430046</v>
      </c>
      <c r="D79" s="20" t="n">
        <f aca="false">D67/D77</f>
        <v>0.112137712844589</v>
      </c>
      <c r="E79" s="20" t="n">
        <f aca="false">E67/E77</f>
        <v>0.189566758392881</v>
      </c>
      <c r="F79" s="20" t="n">
        <f aca="false">F67/F77</f>
        <v>0.229057444120064</v>
      </c>
      <c r="G79" s="20" t="n">
        <f aca="false">G67/G77</f>
        <v>0.240489697170879</v>
      </c>
    </row>
    <row r="80" customFormat="false" ht="17.15" hidden="false" customHeight="false" outlineLevel="0" collapsed="false">
      <c r="A80" s="5" t="s">
        <v>570</v>
      </c>
      <c r="B80" s="0" t="s">
        <v>77</v>
      </c>
      <c r="C80" s="20" t="n">
        <f aca="false">C73/C77</f>
        <v>0.46</v>
      </c>
      <c r="D80" s="20" t="n">
        <f aca="false">D73/D77</f>
        <v>0.396053174408748</v>
      </c>
      <c r="E80" s="20" t="n">
        <f aca="false">E73/E77</f>
        <v>0.355641012648864</v>
      </c>
      <c r="F80" s="20" t="n">
        <f aca="false">F73/F77</f>
        <v>0.32782492034944</v>
      </c>
      <c r="G80" s="20" t="n">
        <f aca="false">G73/G77</f>
        <v>0.305999758755561</v>
      </c>
    </row>
    <row r="81" customFormat="false" ht="17.15" hidden="false" customHeight="false" outlineLevel="0" collapsed="false">
      <c r="A81" s="1" t="s">
        <v>571</v>
      </c>
    </row>
    <row r="82" customFormat="false" ht="15" hidden="false" customHeight="false" outlineLevel="0" collapsed="false">
      <c r="A82" s="5" t="s">
        <v>572</v>
      </c>
      <c r="B82" s="0" t="s">
        <v>176</v>
      </c>
      <c r="C82" s="16" t="n">
        <f aca="false">C77-C76</f>
        <v>6708</v>
      </c>
      <c r="D82" s="16" t="n">
        <f aca="false">D77-D76</f>
        <v>7680.46302</v>
      </c>
      <c r="E82" s="16" t="n">
        <f aca="false">E77-E76</f>
        <v>8809.80483511738</v>
      </c>
      <c r="F82" s="16" t="n">
        <f aca="false">F77-F76</f>
        <v>9789.61357738974</v>
      </c>
      <c r="G82" s="16" t="n">
        <f aca="false">G77-G76</f>
        <v>10574.4896148481</v>
      </c>
    </row>
    <row r="83" customFormat="false" ht="17.15" hidden="false" customHeight="false" outlineLevel="0" collapsed="false">
      <c r="A83" s="5" t="s">
        <v>573</v>
      </c>
      <c r="B83" s="0" t="s">
        <v>176</v>
      </c>
      <c r="D83" s="16" t="n">
        <f aca="false">cap_m26</f>
        <v>1200</v>
      </c>
      <c r="E83" s="16" t="n">
        <f aca="false">capi*E82</f>
        <v>1233.37267691643</v>
      </c>
      <c r="F83" s="16" t="n">
        <f aca="false">capi*F82</f>
        <v>1370.54590083456</v>
      </c>
      <c r="G83" s="16" t="n">
        <f aca="false">capi*G82</f>
        <v>1480.42854607873</v>
      </c>
      <c r="K83" s="8" t="s">
        <v>574</v>
      </c>
    </row>
    <row r="84" customFormat="false" ht="17.15" hidden="false" customHeight="false" outlineLevel="0" collapsed="false">
      <c r="A84" s="5" t="s">
        <v>575</v>
      </c>
      <c r="B84" s="0" t="s">
        <v>176</v>
      </c>
      <c r="C84" s="16" t="n">
        <f aca="false">a25_da</f>
        <v>642</v>
      </c>
      <c r="D84" s="16" t="n">
        <f aca="false">a26_da</f>
        <v>740.6</v>
      </c>
      <c r="E84" s="16" t="n">
        <f aca="false">D84*(1-1/life)+D83/life</f>
        <v>806.228571428572</v>
      </c>
      <c r="F84" s="16" t="n">
        <f aca="false">E84*(1-1/life)+E83/life</f>
        <v>867.249157926838</v>
      </c>
      <c r="G84" s="16" t="n">
        <f aca="false">F84*(1-1/life)+F83/life</f>
        <v>939.148692627941</v>
      </c>
      <c r="K84" s="5" t="s">
        <v>576</v>
      </c>
    </row>
    <row r="85" customFormat="false" ht="15" hidden="false" customHeight="false" outlineLevel="0" collapsed="false">
      <c r="A85" s="5" t="s">
        <v>577</v>
      </c>
      <c r="B85" s="0" t="s">
        <v>176</v>
      </c>
      <c r="E85" s="16" t="n">
        <f aca="false">0</f>
        <v>0</v>
      </c>
      <c r="F85" s="16" t="n">
        <f aca="false">az_capex1*(1-az_inc)/az_life*az_svc28</f>
        <v>94.7916666666667</v>
      </c>
      <c r="G85" s="16" t="n">
        <f aca="false">az_capex1*(1-az_inc)/az_life</f>
        <v>189.583333333333</v>
      </c>
    </row>
    <row r="86" customFormat="false" ht="15" hidden="false" customHeight="false" outlineLevel="0" collapsed="false">
      <c r="A86" s="5" t="s">
        <v>578</v>
      </c>
      <c r="B86" s="0" t="s">
        <v>176</v>
      </c>
      <c r="C86" s="16" t="n">
        <f aca="false">C84</f>
        <v>642</v>
      </c>
      <c r="D86" s="16" t="n">
        <f aca="false">D84</f>
        <v>740.6</v>
      </c>
      <c r="E86" s="16" t="n">
        <f aca="false">E84+E85</f>
        <v>806.228571428572</v>
      </c>
      <c r="F86" s="16" t="n">
        <f aca="false">F84+F85</f>
        <v>962.040824593504</v>
      </c>
      <c r="G86" s="16" t="n">
        <f aca="false">G84+G85</f>
        <v>1128.73202596127</v>
      </c>
    </row>
    <row r="87" customFormat="false" ht="17.15" hidden="false" customHeight="false" outlineLevel="0" collapsed="false">
      <c r="A87" s="5" t="s">
        <v>579</v>
      </c>
      <c r="B87" s="0" t="s">
        <v>176</v>
      </c>
      <c r="C87" s="16" t="n">
        <f aca="false">a25_gp</f>
        <v>938.6</v>
      </c>
      <c r="D87" s="16" t="n">
        <f aca="false">a26_gp</f>
        <v>1325.7873147</v>
      </c>
      <c r="E87" s="16" t="n">
        <f aca="false">$D87+ft*(E82-$D82)-(E84-$D84)</f>
        <v>1711.89546931838</v>
      </c>
      <c r="F87" s="16" t="n">
        <f aca="false">$D87+ft*(F82-$D82)-(F84-$D84)</f>
        <v>2042.79837972906</v>
      </c>
      <c r="G87" s="16" t="n">
        <f aca="false">$D87+ft*(G82-$D82)-(G84-$D84)</f>
        <v>2284.84926001129</v>
      </c>
      <c r="K87" s="5" t="s">
        <v>580</v>
      </c>
    </row>
    <row r="88" customFormat="false" ht="17.15" hidden="false" customHeight="false" outlineLevel="0" collapsed="false">
      <c r="A88" s="5" t="s">
        <v>581</v>
      </c>
      <c r="B88" s="0" t="s">
        <v>176</v>
      </c>
      <c r="E88" s="16" t="n">
        <f aca="false">E76*az_cm-az_fix27</f>
        <v>-120</v>
      </c>
      <c r="F88" s="16" t="n">
        <f aca="false">F76*az_cm-az_fix28-F85</f>
        <v>-112.291666666667</v>
      </c>
      <c r="G88" s="16" t="n">
        <f aca="false">G76*az_cm-az_fix29-G85</f>
        <v>-14.5833333333333</v>
      </c>
      <c r="K88" s="8" t="s">
        <v>582</v>
      </c>
    </row>
    <row r="89" customFormat="false" ht="15" hidden="false" customHeight="false" outlineLevel="0" collapsed="false">
      <c r="A89" s="5" t="s">
        <v>458</v>
      </c>
      <c r="B89" s="0" t="s">
        <v>176</v>
      </c>
      <c r="C89" s="16" t="n">
        <f aca="false">a25_gp</f>
        <v>938.6</v>
      </c>
      <c r="D89" s="16" t="n">
        <f aca="false">a26_gp</f>
        <v>1325.7873147</v>
      </c>
      <c r="E89" s="16" t="n">
        <f aca="false">E87+E88</f>
        <v>1591.89546931838</v>
      </c>
      <c r="F89" s="16" t="n">
        <f aca="false">F87+F88</f>
        <v>1930.50671306239</v>
      </c>
      <c r="G89" s="16" t="n">
        <f aca="false">G87+G88</f>
        <v>2270.26592667796</v>
      </c>
    </row>
    <row r="90" customFormat="false" ht="15" hidden="false" customHeight="false" outlineLevel="0" collapsed="false">
      <c r="A90" s="5" t="s">
        <v>461</v>
      </c>
      <c r="B90" s="0" t="s">
        <v>77</v>
      </c>
      <c r="C90" s="17" t="n">
        <f aca="false">C89/C77</f>
        <v>0.139922480620155</v>
      </c>
      <c r="D90" s="17" t="n">
        <f aca="false">D89/D77</f>
        <v>0.172618149615152</v>
      </c>
      <c r="E90" s="17" t="n">
        <f aca="false">E89/E77</f>
        <v>0.180695883633292</v>
      </c>
      <c r="F90" s="17" t="n">
        <f aca="false">F89/F77</f>
        <v>0.194223517647993</v>
      </c>
      <c r="G90" s="17" t="n">
        <f aca="false">G89/G77</f>
        <v>0.204999598684359</v>
      </c>
    </row>
    <row r="91" customFormat="false" ht="17.15" hidden="false" customHeight="false" outlineLevel="0" collapsed="false">
      <c r="A91" s="5" t="s">
        <v>583</v>
      </c>
      <c r="B91" s="0" t="s">
        <v>584</v>
      </c>
      <c r="E91" s="17" t="n">
        <f aca="false">E88/E77</f>
        <v>-0.0136211871029946</v>
      </c>
      <c r="F91" s="17" t="n">
        <f aca="false">F88/F77</f>
        <v>-0.0112973875485566</v>
      </c>
      <c r="G91" s="17" t="n">
        <f aca="false">G88/G77</f>
        <v>-0.00131684021932539</v>
      </c>
      <c r="K91" s="5" t="s">
        <v>585</v>
      </c>
    </row>
    <row r="92" customFormat="false" ht="17.15" hidden="false" customHeight="false" outlineLevel="0" collapsed="false">
      <c r="A92" s="5" t="s">
        <v>463</v>
      </c>
      <c r="B92" s="0" t="s">
        <v>176</v>
      </c>
      <c r="C92" s="16" t="n">
        <f aca="false">a25_opx</f>
        <v>471.2</v>
      </c>
      <c r="D92" s="16" t="n">
        <f aca="false">a26_opx</f>
        <v>537.5</v>
      </c>
      <c r="E92" s="16" t="n">
        <f aca="false">(D92+opx_gain)*(1+phi*E78)</f>
        <v>599.561157517497</v>
      </c>
      <c r="F92" s="16" t="n">
        <f aca="false">E92*(1+phi*F78)</f>
        <v>638.006358629672</v>
      </c>
      <c r="G92" s="16" t="n">
        <f aca="false">F92*(1+phi*G78)</f>
        <v>674.42920960458</v>
      </c>
      <c r="K92" s="8" t="s">
        <v>586</v>
      </c>
    </row>
    <row r="93" customFormat="false" ht="15" hidden="false" customHeight="false" outlineLevel="0" collapsed="false">
      <c r="A93" s="5" t="s">
        <v>466</v>
      </c>
      <c r="B93" s="0" t="s">
        <v>176</v>
      </c>
      <c r="C93" s="16" t="n">
        <f aca="false">C89-C92</f>
        <v>467.4</v>
      </c>
      <c r="D93" s="16" t="n">
        <f aca="false">D89-D92</f>
        <v>788.2873147</v>
      </c>
      <c r="E93" s="16" t="n">
        <f aca="false">E89-E92</f>
        <v>992.334311800884</v>
      </c>
      <c r="F93" s="16" t="n">
        <f aca="false">F89-F92</f>
        <v>1292.50035443272</v>
      </c>
      <c r="G93" s="16" t="n">
        <f aca="false">G89-G92</f>
        <v>1595.83671707338</v>
      </c>
    </row>
    <row r="94" customFormat="false" ht="15" hidden="false" customHeight="false" outlineLevel="0" collapsed="false">
      <c r="A94" s="5" t="s">
        <v>540</v>
      </c>
      <c r="B94" s="0" t="s">
        <v>77</v>
      </c>
      <c r="C94" s="17" t="n">
        <f aca="false">C93/C77</f>
        <v>0.0696779964221825</v>
      </c>
      <c r="D94" s="17" t="n">
        <f aca="false">D93/D77</f>
        <v>0.102635389643475</v>
      </c>
      <c r="E94" s="17" t="n">
        <f aca="false">E93/E77</f>
        <v>0.112639761081343</v>
      </c>
      <c r="F94" s="17" t="n">
        <f aca="false">F93/F77</f>
        <v>0.130035271931783</v>
      </c>
      <c r="G94" s="17" t="n">
        <f aca="false">G93/G77</f>
        <v>0.14410024954412</v>
      </c>
    </row>
    <row r="95" customFormat="false" ht="15" hidden="false" customHeight="false" outlineLevel="0" collapsed="false">
      <c r="A95" s="5" t="s">
        <v>587</v>
      </c>
      <c r="B95" s="0" t="s">
        <v>176</v>
      </c>
      <c r="C95" s="16" t="n">
        <f aca="false">a25_nonop</f>
        <v>-22.7</v>
      </c>
      <c r="D95" s="16" t="n">
        <f aca="false">a26_nonop</f>
        <v>-0.700000000000003</v>
      </c>
      <c r="E95" s="16" t="n">
        <f aca="false">nonop27</f>
        <v>-20</v>
      </c>
      <c r="F95" s="16" t="n">
        <f aca="false">nonop28</f>
        <v>-40</v>
      </c>
      <c r="G95" s="16" t="n">
        <f aca="false">nonop29</f>
        <v>-60</v>
      </c>
    </row>
    <row r="96" customFormat="false" ht="15" hidden="false" customHeight="false" outlineLevel="0" collapsed="false">
      <c r="A96" s="5" t="s">
        <v>471</v>
      </c>
      <c r="B96" s="0" t="s">
        <v>176</v>
      </c>
      <c r="C96" s="16" t="n">
        <f aca="false">C93+C95</f>
        <v>444.7</v>
      </c>
      <c r="D96" s="16" t="n">
        <f aca="false">D93+D95</f>
        <v>787.5873147</v>
      </c>
      <c r="E96" s="16" t="n">
        <f aca="false">E93+E95</f>
        <v>972.334311800884</v>
      </c>
      <c r="F96" s="16" t="n">
        <f aca="false">F93+F95</f>
        <v>1252.50035443272</v>
      </c>
      <c r="G96" s="16" t="n">
        <f aca="false">G93+G95</f>
        <v>1535.83671707338</v>
      </c>
    </row>
    <row r="97" customFormat="false" ht="15" hidden="false" customHeight="false" outlineLevel="0" collapsed="false">
      <c r="A97" s="5" t="s">
        <v>472</v>
      </c>
      <c r="B97" s="0" t="s">
        <v>176</v>
      </c>
      <c r="C97" s="16" t="n">
        <f aca="false">a25_tax</f>
        <v>68.5</v>
      </c>
      <c r="D97" s="16" t="n">
        <f aca="false">a26_tax</f>
        <v>138.23746294</v>
      </c>
      <c r="E97" s="16" t="n">
        <f aca="false">E96*tax</f>
        <v>194.466862360177</v>
      </c>
      <c r="F97" s="16" t="n">
        <f aca="false">F96*tax</f>
        <v>250.500070886544</v>
      </c>
      <c r="G97" s="16" t="n">
        <f aca="false">G96*tax</f>
        <v>307.167343414676</v>
      </c>
    </row>
    <row r="98" customFormat="false" ht="15" hidden="false" customHeight="false" outlineLevel="0" collapsed="false">
      <c r="A98" s="5" t="s">
        <v>474</v>
      </c>
      <c r="B98" s="0" t="s">
        <v>176</v>
      </c>
      <c r="C98" s="16" t="n">
        <f aca="false">a25_nci</f>
        <v>2.30000000000007</v>
      </c>
      <c r="D98" s="16" t="n">
        <f aca="false">a26_nci</f>
        <v>3.7</v>
      </c>
      <c r="E98" s="16" t="n">
        <f aca="false">nci</f>
        <v>3</v>
      </c>
      <c r="F98" s="16" t="n">
        <f aca="false">nci</f>
        <v>3</v>
      </c>
      <c r="G98" s="16" t="n">
        <f aca="false">nci</f>
        <v>3</v>
      </c>
    </row>
    <row r="99" customFormat="false" ht="15" hidden="false" customHeight="false" outlineLevel="0" collapsed="false">
      <c r="A99" s="5" t="s">
        <v>476</v>
      </c>
      <c r="B99" s="0" t="s">
        <v>176</v>
      </c>
      <c r="C99" s="16" t="n">
        <f aca="false">C96-C97-C98</f>
        <v>373.9</v>
      </c>
      <c r="D99" s="16" t="n">
        <f aca="false">D96-D97-D98</f>
        <v>645.64985176</v>
      </c>
      <c r="E99" s="16" t="n">
        <f aca="false">E96-E97-E98</f>
        <v>774.867449440707</v>
      </c>
      <c r="F99" s="16" t="n">
        <f aca="false">F96-F97-F98</f>
        <v>999.000283546174</v>
      </c>
      <c r="G99" s="16" t="n">
        <f aca="false">G96-G97-G98</f>
        <v>1225.6693736587</v>
      </c>
      <c r="H99" s="29" t="n">
        <f aca="false">H77*H103</f>
        <v>1343.47832647632</v>
      </c>
      <c r="I99" s="29" t="n">
        <f aca="false">I77*I103</f>
        <v>1448.34893621675</v>
      </c>
      <c r="J99" s="29" t="n">
        <f aca="false">J77*J103</f>
        <v>1535.24987238976</v>
      </c>
    </row>
    <row r="100" customFormat="false" ht="15" hidden="false" customHeight="false" outlineLevel="0" collapsed="false">
      <c r="A100" s="5" t="s">
        <v>588</v>
      </c>
      <c r="B100" s="5" t="s">
        <v>310</v>
      </c>
      <c r="C100" s="21" t="n">
        <f aca="false">a25_sh</f>
        <v>248.5</v>
      </c>
      <c r="D100" s="21" t="n">
        <f aca="false">a26_sh</f>
        <v>249.915</v>
      </c>
      <c r="E100" s="21" t="n">
        <f aca="false">D100*(1+sh_g)</f>
        <v>249.915</v>
      </c>
      <c r="F100" s="21" t="n">
        <f aca="false">E100*(1+sh_g)</f>
        <v>249.915</v>
      </c>
      <c r="G100" s="21" t="n">
        <f aca="false">F100*(1+sh_g)</f>
        <v>249.915</v>
      </c>
      <c r="H100" s="30" t="n">
        <f aca="false">G100*(1+sh_g)</f>
        <v>249.915</v>
      </c>
      <c r="I100" s="30" t="n">
        <f aca="false">H100*(1+sh_g)</f>
        <v>249.915</v>
      </c>
      <c r="J100" s="30" t="n">
        <f aca="false">I100*(1+sh_g)</f>
        <v>249.915</v>
      </c>
    </row>
    <row r="101" customFormat="false" ht="17.15" hidden="false" customHeight="false" outlineLevel="0" collapsed="false">
      <c r="A101" s="0" t="s">
        <v>480</v>
      </c>
      <c r="B101" s="0" t="s">
        <v>331</v>
      </c>
      <c r="C101" s="18" t="n">
        <f aca="false">C99/C100</f>
        <v>1.5046277665996</v>
      </c>
      <c r="D101" s="18" t="n">
        <f aca="false">D99/D100</f>
        <v>2.58347778948843</v>
      </c>
      <c r="E101" s="18" t="n">
        <f aca="false">E99/E100</f>
        <v>3.10052397591464</v>
      </c>
      <c r="F101" s="18" t="n">
        <f aca="false">F99/F100</f>
        <v>3.99736023666516</v>
      </c>
      <c r="G101" s="18" t="n">
        <f aca="false">G99/G100</f>
        <v>4.90434497192527</v>
      </c>
      <c r="H101" s="27" t="n">
        <f aca="false">H99/H100</f>
        <v>5.37574105786497</v>
      </c>
      <c r="I101" s="27" t="n">
        <f aca="false">I99/I100</f>
        <v>5.7953661693646</v>
      </c>
      <c r="J101" s="27" t="n">
        <f aca="false">J99/J100</f>
        <v>6.14308813952647</v>
      </c>
    </row>
    <row r="102" customFormat="false" ht="17.15" hidden="false" customHeight="false" outlineLevel="0" collapsed="false">
      <c r="A102" s="0" t="s">
        <v>589</v>
      </c>
      <c r="B102" s="0" t="s">
        <v>77</v>
      </c>
      <c r="D102" s="20" t="n">
        <f aca="false">D101/C101-1</f>
        <v>0.717021210719106</v>
      </c>
      <c r="E102" s="20" t="n">
        <f aca="false">E101/D101-1</f>
        <v>0.200135719583097</v>
      </c>
      <c r="F102" s="20" t="n">
        <f aca="false">F101/E101-1</f>
        <v>0.289253128734785</v>
      </c>
      <c r="G102" s="20" t="n">
        <f aca="false">G101/F101-1</f>
        <v>0.226895921698757</v>
      </c>
      <c r="H102" s="25" t="n">
        <f aca="false">H101/G101-1</f>
        <v>0.0961180521839686</v>
      </c>
      <c r="I102" s="25" t="n">
        <f aca="false">I101/H101-1</f>
        <v>0.0780590260919842</v>
      </c>
      <c r="J102" s="25" t="n">
        <f aca="false">J101/I101-1</f>
        <v>0.0600000000000001</v>
      </c>
    </row>
    <row r="103" customFormat="false" ht="17.15" hidden="false" customHeight="false" outlineLevel="0" collapsed="false">
      <c r="A103" s="5" t="s">
        <v>590</v>
      </c>
      <c r="B103" s="0" t="s">
        <v>77</v>
      </c>
      <c r="C103" s="17" t="n">
        <f aca="false">C99/C77</f>
        <v>0.0557394156231365</v>
      </c>
      <c r="D103" s="17" t="n">
        <f aca="false">D99/D77</f>
        <v>0.0840639229794768</v>
      </c>
      <c r="E103" s="17" t="n">
        <f aca="false">E99/E77</f>
        <v>0.0879551209071004</v>
      </c>
      <c r="F103" s="17" t="n">
        <f aca="false">F99/F77</f>
        <v>0.100506953893928</v>
      </c>
      <c r="G103" s="17" t="n">
        <f aca="false">G99/G77</f>
        <v>0.110675021268284</v>
      </c>
      <c r="H103" s="26" t="n">
        <f aca="false">$G103+(fade_mA-$G103)*1/3</f>
        <v>0.110675021268284</v>
      </c>
      <c r="I103" s="26" t="n">
        <f aca="false">$G103+(fade_mA-$G103)*2/3</f>
        <v>0.110675021268284</v>
      </c>
      <c r="J103" s="26" t="n">
        <f aca="false">$G103+(fade_mA-$G103)*3/3</f>
        <v>0.110675021268284</v>
      </c>
    </row>
    <row r="106" customFormat="false" ht="17.15" hidden="false" customHeight="false" outlineLevel="0" collapsed="false">
      <c r="A106" s="3" t="s">
        <v>591</v>
      </c>
    </row>
    <row r="107" customFormat="false" ht="17.15" hidden="false" customHeight="false" outlineLevel="0" collapsed="false">
      <c r="A107" s="6" t="s">
        <v>22</v>
      </c>
      <c r="B107" s="6" t="s">
        <v>23</v>
      </c>
      <c r="C107" s="14" t="s">
        <v>437</v>
      </c>
      <c r="D107" s="14" t="s">
        <v>527</v>
      </c>
      <c r="E107" s="14" t="s">
        <v>528</v>
      </c>
      <c r="F107" s="14" t="s">
        <v>529</v>
      </c>
      <c r="G107" s="14" t="s">
        <v>530</v>
      </c>
      <c r="H107" s="14" t="s">
        <v>531</v>
      </c>
      <c r="I107" s="14" t="s">
        <v>532</v>
      </c>
      <c r="J107" s="14" t="s">
        <v>533</v>
      </c>
      <c r="K107" s="6" t="s">
        <v>503</v>
      </c>
    </row>
    <row r="108" customFormat="false" ht="17.15" hidden="false" customHeight="false" outlineLevel="0" collapsed="false">
      <c r="A108" s="1" t="s">
        <v>551</v>
      </c>
    </row>
    <row r="109" customFormat="false" ht="17.15" hidden="false" customHeight="false" outlineLevel="0" collapsed="false">
      <c r="A109" s="0" t="s">
        <v>552</v>
      </c>
      <c r="B109" s="5" t="s">
        <v>33</v>
      </c>
      <c r="D109" s="18" t="n">
        <f aca="false">units_26</f>
        <v>15.2</v>
      </c>
      <c r="E109" s="18" t="n">
        <f aca="false">units_27*1</f>
        <v>23.7</v>
      </c>
      <c r="F109" s="18" t="n">
        <f aca="false">units_28*um28_B*1</f>
        <v>21.2</v>
      </c>
      <c r="G109" s="18" t="n">
        <f aca="false">units_29*um29_B*1</f>
        <v>25.6275</v>
      </c>
    </row>
    <row r="110" customFormat="false" ht="17.15" hidden="false" customHeight="false" outlineLevel="0" collapsed="false">
      <c r="A110" s="5" t="s">
        <v>506</v>
      </c>
      <c r="B110" s="0" t="s">
        <v>46</v>
      </c>
      <c r="D110" s="22" t="n">
        <f aca="false">ar_26</f>
        <v>1</v>
      </c>
      <c r="E110" s="22" t="n">
        <f aca="false">ar_27</f>
        <v>1.278156</v>
      </c>
      <c r="F110" s="22" t="n">
        <f aca="false">ar_28</f>
        <v>1.428615</v>
      </c>
      <c r="G110" s="22" t="n">
        <f aca="false">ar_29</f>
        <v>1.431796</v>
      </c>
    </row>
    <row r="111" customFormat="false" ht="17.15" hidden="false" customHeight="false" outlineLevel="0" collapsed="false">
      <c r="A111" s="5" t="s">
        <v>508</v>
      </c>
      <c r="B111" s="0" t="s">
        <v>77</v>
      </c>
      <c r="D111" s="20" t="n">
        <f aca="false">out_26</f>
        <v>0.5</v>
      </c>
      <c r="E111" s="20" t="n">
        <f aca="false">out_27</f>
        <v>0.55</v>
      </c>
      <c r="F111" s="20" t="n">
        <f aca="false">out_28</f>
        <v>0.6</v>
      </c>
      <c r="G111" s="20" t="n">
        <f aca="false">out_29</f>
        <v>0.6</v>
      </c>
      <c r="K111" s="8" t="s">
        <v>553</v>
      </c>
    </row>
    <row r="112" customFormat="false" ht="17.15" hidden="false" customHeight="false" outlineLevel="0" collapsed="false">
      <c r="A112" s="0" t="s">
        <v>509</v>
      </c>
      <c r="B112" s="0" t="s">
        <v>77</v>
      </c>
      <c r="D112" s="20" t="n">
        <f aca="false">sh_26</f>
        <v>0.35</v>
      </c>
      <c r="E112" s="20" t="n">
        <f aca="false">sh_27</f>
        <v>0.35</v>
      </c>
      <c r="F112" s="20" t="n">
        <f aca="false">sh_28</f>
        <v>0.37</v>
      </c>
      <c r="G112" s="20" t="n">
        <f aca="false">sh_29</f>
        <v>0.38</v>
      </c>
    </row>
    <row r="113" customFormat="false" ht="17.15" hidden="false" customHeight="false" outlineLevel="0" collapsed="false">
      <c r="A113" s="0" t="s">
        <v>554</v>
      </c>
      <c r="B113" s="0" t="s">
        <v>176</v>
      </c>
      <c r="C113" s="16" t="n">
        <f aca="false">(a26_comp-a25_comp*(1+g_pc26))/(tri-(1+g_pc26))</f>
        <v>287.089852216749</v>
      </c>
      <c r="D113" s="16" t="n">
        <f aca="false">C113*tri</f>
        <v>861.269556650246</v>
      </c>
      <c r="E113" s="16" t="n">
        <f aca="false">E109*E111*E112*E114</f>
        <v>1670.04614466713</v>
      </c>
      <c r="F113" s="16" t="n">
        <f aca="false">F109*F111*F112*F114</f>
        <v>1821.39398526239</v>
      </c>
      <c r="G113" s="16" t="n">
        <f aca="false">G109*G111*G112*G114</f>
        <v>2263.80555572733</v>
      </c>
      <c r="K113" s="8" t="s">
        <v>555</v>
      </c>
    </row>
    <row r="114" customFormat="false" ht="17.15" hidden="false" customHeight="false" outlineLevel="0" collapsed="false">
      <c r="A114" s="5" t="s">
        <v>556</v>
      </c>
      <c r="B114" s="0" t="s">
        <v>511</v>
      </c>
      <c r="D114" s="23" t="n">
        <f aca="false">D113/(D109*D111*D112)</f>
        <v>323.785547612874</v>
      </c>
      <c r="E114" s="23" t="n">
        <f aca="false">$D114*E110^el</f>
        <v>366.057569108912</v>
      </c>
      <c r="F114" s="23" t="n">
        <f aca="false">$D114*F110^el</f>
        <v>387.003651466596</v>
      </c>
      <c r="G114" s="23" t="n">
        <f aca="false">$D114*G110^el</f>
        <v>387.434269267239</v>
      </c>
      <c r="K114" s="8" t="s">
        <v>557</v>
      </c>
    </row>
    <row r="115" customFormat="false" ht="17.15" hidden="false" customHeight="false" outlineLevel="0" collapsed="false">
      <c r="A115" s="5" t="s">
        <v>515</v>
      </c>
      <c r="B115" s="0" t="s">
        <v>511</v>
      </c>
      <c r="D115" s="16" t="n">
        <f aca="false">D113/D109</f>
        <v>56.662470832253</v>
      </c>
      <c r="E115" s="16" t="n">
        <f aca="false">E113/E109</f>
        <v>70.4660820534656</v>
      </c>
      <c r="F115" s="16" t="n">
        <f aca="false">F113/F109</f>
        <v>85.9148106255842</v>
      </c>
      <c r="G115" s="16" t="n">
        <f aca="false">G113/G109</f>
        <v>88.3350133929306</v>
      </c>
      <c r="K115" s="5" t="s">
        <v>558</v>
      </c>
    </row>
    <row r="116" customFormat="false" ht="17.15" hidden="false" customHeight="false" outlineLevel="0" collapsed="false">
      <c r="A116" s="1" t="s">
        <v>559</v>
      </c>
    </row>
    <row r="117" customFormat="false" ht="17.15" hidden="false" customHeight="false" outlineLevel="0" collapsed="false">
      <c r="A117" s="5" t="s">
        <v>560</v>
      </c>
      <c r="B117" s="0" t="s">
        <v>176</v>
      </c>
      <c r="C117" s="16" t="n">
        <f aca="false">a25_comp-C113</f>
        <v>1054.51014778325</v>
      </c>
      <c r="D117" s="16" t="n">
        <f aca="false">a26_comp-D113</f>
        <v>1022.87484334975</v>
      </c>
      <c r="E117" s="16" t="n">
        <f aca="false">D117*(1+g_pc)</f>
        <v>1053.56108865025</v>
      </c>
      <c r="F117" s="16" t="n">
        <f aca="false">E117*(1+g_pc)</f>
        <v>1085.16792130975</v>
      </c>
      <c r="G117" s="16" t="n">
        <f aca="false">F117*(1+g_pc)</f>
        <v>1117.72295894905</v>
      </c>
    </row>
    <row r="118" customFormat="false" ht="15" hidden="false" customHeight="false" outlineLevel="0" collapsed="false">
      <c r="A118" s="5" t="s">
        <v>561</v>
      </c>
      <c r="B118" s="0" t="s">
        <v>176</v>
      </c>
      <c r="C118" s="16" t="n">
        <f aca="false">C113+C117</f>
        <v>1341.6</v>
      </c>
      <c r="D118" s="16" t="n">
        <f aca="false">D113+D117</f>
        <v>1884.1444</v>
      </c>
      <c r="E118" s="16" t="n">
        <f aca="false">E113+E117</f>
        <v>2723.60723331738</v>
      </c>
      <c r="F118" s="16" t="n">
        <f aca="false">F113+F117</f>
        <v>2906.56190657214</v>
      </c>
      <c r="G118" s="16" t="n">
        <f aca="false">G113+G117</f>
        <v>3381.52851467637</v>
      </c>
    </row>
    <row r="119" customFormat="false" ht="17.15" hidden="false" customHeight="false" outlineLevel="0" collapsed="false">
      <c r="A119" s="5" t="s">
        <v>562</v>
      </c>
      <c r="B119" s="0" t="s">
        <v>176</v>
      </c>
      <c r="C119" s="16" t="n">
        <f aca="false">a25_cm</f>
        <v>3085.68</v>
      </c>
      <c r="D119" s="16" t="n">
        <f aca="false">a26_cm</f>
        <v>3041.87176</v>
      </c>
      <c r="E119" s="16" t="n">
        <f aca="false">D119*(1+g_cm27_B)</f>
        <v>3041.87176</v>
      </c>
      <c r="F119" s="16" t="n">
        <f aca="false">E119*(1+g_cmL_B)</f>
        <v>3133.1279128</v>
      </c>
      <c r="G119" s="16" t="n">
        <f aca="false">F119*(1+g_cmL_B)</f>
        <v>3227.121750184</v>
      </c>
    </row>
    <row r="120" customFormat="false" ht="15" hidden="false" customHeight="false" outlineLevel="0" collapsed="false">
      <c r="A120" s="5" t="s">
        <v>563</v>
      </c>
      <c r="B120" s="0" t="s">
        <v>176</v>
      </c>
      <c r="C120" s="16" t="n">
        <f aca="false">a25_au</f>
        <v>1274.52</v>
      </c>
      <c r="D120" s="16" t="n">
        <f aca="false">a26_au</f>
        <v>1656.99176</v>
      </c>
      <c r="E120" s="16" t="n">
        <f aca="false">D120*(1+g_au)</f>
        <v>1822.690936</v>
      </c>
      <c r="F120" s="16" t="n">
        <f aca="false">E120*(1+g_au)</f>
        <v>2004.9600296</v>
      </c>
      <c r="G120" s="16" t="n">
        <f aca="false">F120*(1+g_au)</f>
        <v>2205.45603256</v>
      </c>
    </row>
    <row r="121" customFormat="false" ht="15" hidden="false" customHeight="false" outlineLevel="0" collapsed="false">
      <c r="A121" s="5" t="s">
        <v>564</v>
      </c>
      <c r="B121" s="0" t="s">
        <v>176</v>
      </c>
      <c r="C121" s="16" t="n">
        <f aca="false">a25_cs</f>
        <v>1006.2</v>
      </c>
      <c r="D121" s="16" t="n">
        <f aca="false">a26_cs</f>
        <v>1097.4551</v>
      </c>
      <c r="E121" s="16" t="n">
        <f aca="false">D121*(1+g_cs)</f>
        <v>1130.378753</v>
      </c>
      <c r="F121" s="16" t="n">
        <f aca="false">E121*(1+g_cs)</f>
        <v>1164.29011559</v>
      </c>
      <c r="G121" s="16" t="n">
        <f aca="false">F121*(1+g_cs)</f>
        <v>1199.2188190577</v>
      </c>
    </row>
    <row r="122" customFormat="false" ht="17.15" hidden="false" customHeight="false" outlineLevel="0" collapsed="false">
      <c r="A122" s="5" t="s">
        <v>565</v>
      </c>
      <c r="B122" s="0" t="s">
        <v>176</v>
      </c>
      <c r="C122" s="16" t="n">
        <f aca="false">0</f>
        <v>0</v>
      </c>
      <c r="D122" s="16" t="n">
        <f aca="false">0</f>
        <v>0</v>
      </c>
      <c r="E122" s="16" t="n">
        <f aca="false">0</f>
        <v>0</v>
      </c>
      <c r="F122" s="16" t="n">
        <f aca="false">az_rev28_B</f>
        <v>100</v>
      </c>
      <c r="G122" s="16" t="n">
        <f aca="false">az_rev29_B</f>
        <v>400</v>
      </c>
      <c r="K122" s="5" t="s">
        <v>566</v>
      </c>
    </row>
    <row r="123" customFormat="false" ht="17.15" hidden="false" customHeight="false" outlineLevel="0" collapsed="false">
      <c r="A123" s="5" t="s">
        <v>444</v>
      </c>
      <c r="B123" s="0" t="s">
        <v>176</v>
      </c>
      <c r="C123" s="16" t="n">
        <f aca="false">C118+C119+C120+C121+C122</f>
        <v>6708</v>
      </c>
      <c r="D123" s="16" t="n">
        <f aca="false">D118+D119+D120+D121+D122</f>
        <v>7680.46302</v>
      </c>
      <c r="E123" s="16" t="n">
        <f aca="false">E118+E119+E120+E121+E122</f>
        <v>8718.54868231738</v>
      </c>
      <c r="F123" s="16" t="n">
        <f aca="false">F118+F119+F120+F121+F122</f>
        <v>9308.93996456214</v>
      </c>
      <c r="G123" s="16" t="n">
        <f aca="false">G118+G119+G120+G121+G122</f>
        <v>10413.3251164781</v>
      </c>
      <c r="H123" s="29" t="n">
        <f aca="false">G123*(1+H124)</f>
        <v>11375.7735483932</v>
      </c>
      <c r="I123" s="29" t="n">
        <f aca="false">H123*(1+I124)</f>
        <v>12128.9902382804</v>
      </c>
      <c r="J123" s="29" t="n">
        <f aca="false">I123*(1+J124)</f>
        <v>12614.1498478116</v>
      </c>
      <c r="K123" s="8" t="s">
        <v>567</v>
      </c>
    </row>
    <row r="124" customFormat="false" ht="15" hidden="false" customHeight="false" outlineLevel="0" collapsed="false">
      <c r="A124" s="5" t="s">
        <v>568</v>
      </c>
      <c r="B124" s="0" t="s">
        <v>77</v>
      </c>
      <c r="D124" s="20" t="n">
        <f aca="false">D123/C123-1</f>
        <v>0.144970635062612</v>
      </c>
      <c r="E124" s="20" t="n">
        <f aca="false">E123/D123-1</f>
        <v>0.135159255322784</v>
      </c>
      <c r="F124" s="20" t="n">
        <f aca="false">F123/E123-1</f>
        <v>0.0677166927383417</v>
      </c>
      <c r="G124" s="20" t="n">
        <f aca="false">G123/F123-1</f>
        <v>0.118637047410358</v>
      </c>
      <c r="H124" s="25" t="n">
        <f aca="false">$G124+(fade_gB-$G124)*1/3</f>
        <v>0.092424698273572</v>
      </c>
      <c r="I124" s="25" t="n">
        <f aca="false">$G124+(fade_gB-$G124)*2/3</f>
        <v>0.066212349136786</v>
      </c>
      <c r="J124" s="25" t="n">
        <f aca="false">$G124+(fade_gB-$G124)*3/3</f>
        <v>0.04</v>
      </c>
    </row>
    <row r="125" customFormat="false" ht="17.15" hidden="false" customHeight="false" outlineLevel="0" collapsed="false">
      <c r="A125" s="0" t="s">
        <v>569</v>
      </c>
      <c r="B125" s="0" t="s">
        <v>77</v>
      </c>
      <c r="C125" s="20" t="n">
        <f aca="false">C113/C123</f>
        <v>0.042798129430046</v>
      </c>
      <c r="D125" s="20" t="n">
        <f aca="false">D113/D123</f>
        <v>0.112137712844589</v>
      </c>
      <c r="E125" s="20" t="n">
        <f aca="false">E113/E123</f>
        <v>0.191550934165712</v>
      </c>
      <c r="F125" s="20" t="n">
        <f aca="false">F113/F123</f>
        <v>0.195660729599308</v>
      </c>
      <c r="G125" s="20" t="n">
        <f aca="false">G113/G123</f>
        <v>0.217395071257794</v>
      </c>
    </row>
    <row r="126" customFormat="false" ht="17.15" hidden="false" customHeight="false" outlineLevel="0" collapsed="false">
      <c r="A126" s="5" t="s">
        <v>570</v>
      </c>
      <c r="B126" s="0" t="s">
        <v>77</v>
      </c>
      <c r="C126" s="20" t="n">
        <f aca="false">C119/C123</f>
        <v>0.46</v>
      </c>
      <c r="D126" s="20" t="n">
        <f aca="false">D119/D123</f>
        <v>0.396053174408748</v>
      </c>
      <c r="E126" s="20" t="n">
        <f aca="false">E119/E123</f>
        <v>0.348896573367699</v>
      </c>
      <c r="F126" s="20" t="n">
        <f aca="false">F119/F123</f>
        <v>0.336571932435636</v>
      </c>
      <c r="G126" s="20" t="n">
        <f aca="false">G119/G123</f>
        <v>0.309903101467311</v>
      </c>
    </row>
    <row r="127" customFormat="false" ht="17.15" hidden="false" customHeight="false" outlineLevel="0" collapsed="false">
      <c r="A127" s="1" t="s">
        <v>571</v>
      </c>
    </row>
    <row r="128" customFormat="false" ht="15" hidden="false" customHeight="false" outlineLevel="0" collapsed="false">
      <c r="A128" s="5" t="s">
        <v>572</v>
      </c>
      <c r="B128" s="0" t="s">
        <v>176</v>
      </c>
      <c r="C128" s="16" t="n">
        <f aca="false">C123-C122</f>
        <v>6708</v>
      </c>
      <c r="D128" s="16" t="n">
        <f aca="false">D123-D122</f>
        <v>7680.46302</v>
      </c>
      <c r="E128" s="16" t="n">
        <f aca="false">E123-E122</f>
        <v>8718.54868231738</v>
      </c>
      <c r="F128" s="16" t="n">
        <f aca="false">F123-F122</f>
        <v>9208.93996456214</v>
      </c>
      <c r="G128" s="16" t="n">
        <f aca="false">G123-G122</f>
        <v>10013.3251164781</v>
      </c>
    </row>
    <row r="129" customFormat="false" ht="17.15" hidden="false" customHeight="false" outlineLevel="0" collapsed="false">
      <c r="A129" s="5" t="s">
        <v>573</v>
      </c>
      <c r="B129" s="0" t="s">
        <v>176</v>
      </c>
      <c r="D129" s="16" t="n">
        <f aca="false">cap_m26</f>
        <v>1200</v>
      </c>
      <c r="E129" s="16" t="n">
        <f aca="false">capi*E128</f>
        <v>1220.59681552443</v>
      </c>
      <c r="F129" s="16" t="n">
        <f aca="false">capi*F128</f>
        <v>1289.2515950387</v>
      </c>
      <c r="G129" s="16" t="n">
        <f aca="false">capi*G128</f>
        <v>1401.86551630693</v>
      </c>
      <c r="K129" s="8" t="s">
        <v>574</v>
      </c>
    </row>
    <row r="130" customFormat="false" ht="17.15" hidden="false" customHeight="false" outlineLevel="0" collapsed="false">
      <c r="A130" s="5" t="s">
        <v>575</v>
      </c>
      <c r="B130" s="0" t="s">
        <v>176</v>
      </c>
      <c r="C130" s="16" t="n">
        <f aca="false">a25_da</f>
        <v>642</v>
      </c>
      <c r="D130" s="16" t="n">
        <f aca="false">a26_da</f>
        <v>740.6</v>
      </c>
      <c r="E130" s="16" t="n">
        <f aca="false">D130*(1-1/life)+D129/life</f>
        <v>806.228571428572</v>
      </c>
      <c r="F130" s="16" t="n">
        <f aca="false">E130*(1-1/life)+E129/life</f>
        <v>865.424034870838</v>
      </c>
      <c r="G130" s="16" t="n">
        <f aca="false">F130*(1-1/life)+F129/life</f>
        <v>925.970829180532</v>
      </c>
      <c r="K130" s="5" t="s">
        <v>576</v>
      </c>
    </row>
    <row r="131" customFormat="false" ht="15" hidden="false" customHeight="false" outlineLevel="0" collapsed="false">
      <c r="A131" s="5" t="s">
        <v>577</v>
      </c>
      <c r="B131" s="0" t="s">
        <v>176</v>
      </c>
      <c r="E131" s="16" t="n">
        <f aca="false">0</f>
        <v>0</v>
      </c>
      <c r="F131" s="16" t="n">
        <f aca="false">az_capex1*(1-az_inc)/az_life*az_svc28</f>
        <v>94.7916666666667</v>
      </c>
      <c r="G131" s="16" t="n">
        <f aca="false">az_capex1*(1-az_inc)/az_life</f>
        <v>189.583333333333</v>
      </c>
    </row>
    <row r="132" customFormat="false" ht="15" hidden="false" customHeight="false" outlineLevel="0" collapsed="false">
      <c r="A132" s="5" t="s">
        <v>578</v>
      </c>
      <c r="B132" s="0" t="s">
        <v>176</v>
      </c>
      <c r="C132" s="16" t="n">
        <f aca="false">C130</f>
        <v>642</v>
      </c>
      <c r="D132" s="16" t="n">
        <f aca="false">D130</f>
        <v>740.6</v>
      </c>
      <c r="E132" s="16" t="n">
        <f aca="false">E130+E131</f>
        <v>806.228571428572</v>
      </c>
      <c r="F132" s="16" t="n">
        <f aca="false">F130+F131</f>
        <v>960.215701537504</v>
      </c>
      <c r="G132" s="16" t="n">
        <f aca="false">G130+G131</f>
        <v>1115.55416251387</v>
      </c>
    </row>
    <row r="133" customFormat="false" ht="17.15" hidden="false" customHeight="false" outlineLevel="0" collapsed="false">
      <c r="A133" s="5" t="s">
        <v>579</v>
      </c>
      <c r="B133" s="0" t="s">
        <v>176</v>
      </c>
      <c r="C133" s="16" t="n">
        <f aca="false">a25_gp</f>
        <v>938.6</v>
      </c>
      <c r="D133" s="16" t="n">
        <f aca="false">a26_gp</f>
        <v>1325.7873147</v>
      </c>
      <c r="E133" s="16" t="n">
        <f aca="false">$D133+ft*(E128-$D128)-(E130-$D130)</f>
        <v>1675.39300819838</v>
      </c>
      <c r="F133" s="16" t="n">
        <f aca="false">$D133+ft*(F128-$D128)-(F130-$D130)</f>
        <v>1812.35405765402</v>
      </c>
      <c r="G133" s="16" t="n">
        <f aca="false">$D133+ft*(G128-$D128)-(G130-$D130)</f>
        <v>2073.5613241107</v>
      </c>
      <c r="K133" s="5" t="s">
        <v>580</v>
      </c>
    </row>
    <row r="134" customFormat="false" ht="17.15" hidden="false" customHeight="false" outlineLevel="0" collapsed="false">
      <c r="A134" s="5" t="s">
        <v>581</v>
      </c>
      <c r="B134" s="0" t="s">
        <v>176</v>
      </c>
      <c r="E134" s="16" t="n">
        <f aca="false">E122*az_cm-az_fix27</f>
        <v>-120</v>
      </c>
      <c r="F134" s="16" t="n">
        <f aca="false">F122*az_cm-az_fix28-F131</f>
        <v>-139.791666666667</v>
      </c>
      <c r="G134" s="16" t="n">
        <f aca="false">G122*az_cm-az_fix29-G131</f>
        <v>-69.5833333333333</v>
      </c>
      <c r="K134" s="8" t="s">
        <v>582</v>
      </c>
    </row>
    <row r="135" customFormat="false" ht="15" hidden="false" customHeight="false" outlineLevel="0" collapsed="false">
      <c r="A135" s="5" t="s">
        <v>458</v>
      </c>
      <c r="B135" s="0" t="s">
        <v>176</v>
      </c>
      <c r="C135" s="16" t="n">
        <f aca="false">a25_gp</f>
        <v>938.6</v>
      </c>
      <c r="D135" s="16" t="n">
        <f aca="false">a26_gp</f>
        <v>1325.7873147</v>
      </c>
      <c r="E135" s="16" t="n">
        <f aca="false">E133+E134</f>
        <v>1555.39300819838</v>
      </c>
      <c r="F135" s="16" t="n">
        <f aca="false">F133+F134</f>
        <v>1672.56239098735</v>
      </c>
      <c r="G135" s="16" t="n">
        <f aca="false">G133+G134</f>
        <v>2003.97799077736</v>
      </c>
    </row>
    <row r="136" customFormat="false" ht="15" hidden="false" customHeight="false" outlineLevel="0" collapsed="false">
      <c r="A136" s="5" t="s">
        <v>461</v>
      </c>
      <c r="B136" s="0" t="s">
        <v>77</v>
      </c>
      <c r="C136" s="17" t="n">
        <f aca="false">C135/C123</f>
        <v>0.139922480620155</v>
      </c>
      <c r="D136" s="17" t="n">
        <f aca="false">D135/D123</f>
        <v>0.172618149615152</v>
      </c>
      <c r="E136" s="17" t="n">
        <f aca="false">E135/E123</f>
        <v>0.178400449991518</v>
      </c>
      <c r="F136" s="17" t="n">
        <f aca="false">F135/F123</f>
        <v>0.179672701441256</v>
      </c>
      <c r="G136" s="17" t="n">
        <f aca="false">G135/G123</f>
        <v>0.19244362087632</v>
      </c>
    </row>
    <row r="137" customFormat="false" ht="17.15" hidden="false" customHeight="false" outlineLevel="0" collapsed="false">
      <c r="A137" s="5" t="s">
        <v>583</v>
      </c>
      <c r="B137" s="0" t="s">
        <v>584</v>
      </c>
      <c r="E137" s="17" t="n">
        <f aca="false">E134/E123</f>
        <v>-0.0137637586681576</v>
      </c>
      <c r="F137" s="17" t="n">
        <f aca="false">F134/F123</f>
        <v>-0.0150169264383307</v>
      </c>
      <c r="G137" s="17" t="n">
        <f aca="false">G134/G123</f>
        <v>-0.00668214355693403</v>
      </c>
      <c r="K137" s="5" t="s">
        <v>585</v>
      </c>
    </row>
    <row r="138" customFormat="false" ht="17.15" hidden="false" customHeight="false" outlineLevel="0" collapsed="false">
      <c r="A138" s="5" t="s">
        <v>463</v>
      </c>
      <c r="B138" s="0" t="s">
        <v>176</v>
      </c>
      <c r="C138" s="16" t="n">
        <f aca="false">a25_opx</f>
        <v>471.2</v>
      </c>
      <c r="D138" s="16" t="n">
        <f aca="false">a26_opx</f>
        <v>537.5</v>
      </c>
      <c r="E138" s="16" t="n">
        <f aca="false">(D138+opx_gain)*(1+phi*E124)</f>
        <v>596.243222048887</v>
      </c>
      <c r="F138" s="16" t="n">
        <f aca="false">E138*(1+phi*F124)</f>
        <v>616.431031581289</v>
      </c>
      <c r="G138" s="16" t="n">
        <f aca="false">F138*(1+phi*G124)</f>
        <v>652.996810340752</v>
      </c>
      <c r="K138" s="8" t="s">
        <v>586</v>
      </c>
    </row>
    <row r="139" customFormat="false" ht="15" hidden="false" customHeight="false" outlineLevel="0" collapsed="false">
      <c r="A139" s="5" t="s">
        <v>466</v>
      </c>
      <c r="B139" s="0" t="s">
        <v>176</v>
      </c>
      <c r="C139" s="16" t="n">
        <f aca="false">C135-C138</f>
        <v>467.4</v>
      </c>
      <c r="D139" s="16" t="n">
        <f aca="false">D135-D138</f>
        <v>788.2873147</v>
      </c>
      <c r="E139" s="16" t="n">
        <f aca="false">E135-E138</f>
        <v>959.149786149493</v>
      </c>
      <c r="F139" s="16" t="n">
        <f aca="false">F135-F138</f>
        <v>1056.13135940606</v>
      </c>
      <c r="G139" s="16" t="n">
        <f aca="false">G135-G138</f>
        <v>1350.98118043661</v>
      </c>
    </row>
    <row r="140" customFormat="false" ht="15" hidden="false" customHeight="false" outlineLevel="0" collapsed="false">
      <c r="A140" s="5" t="s">
        <v>540</v>
      </c>
      <c r="B140" s="0" t="s">
        <v>77</v>
      </c>
      <c r="C140" s="17" t="n">
        <f aca="false">C139/C123</f>
        <v>0.0696779964221825</v>
      </c>
      <c r="D140" s="17" t="n">
        <f aca="false">D139/D123</f>
        <v>0.102635389643475</v>
      </c>
      <c r="E140" s="17" t="n">
        <f aca="false">E139/E123</f>
        <v>0.110012551526472</v>
      </c>
      <c r="F140" s="17" t="n">
        <f aca="false">F139/F123</f>
        <v>0.113453450492388</v>
      </c>
      <c r="G140" s="17" t="n">
        <f aca="false">G139/G123</f>
        <v>0.12973581111943</v>
      </c>
    </row>
    <row r="141" customFormat="false" ht="15" hidden="false" customHeight="false" outlineLevel="0" collapsed="false">
      <c r="A141" s="5" t="s">
        <v>587</v>
      </c>
      <c r="B141" s="0" t="s">
        <v>176</v>
      </c>
      <c r="C141" s="16" t="n">
        <f aca="false">a25_nonop</f>
        <v>-22.7</v>
      </c>
      <c r="D141" s="16" t="n">
        <f aca="false">a26_nonop</f>
        <v>-0.700000000000003</v>
      </c>
      <c r="E141" s="16" t="n">
        <f aca="false">nonop27</f>
        <v>-20</v>
      </c>
      <c r="F141" s="16" t="n">
        <f aca="false">nonop28</f>
        <v>-40</v>
      </c>
      <c r="G141" s="16" t="n">
        <f aca="false">nonop29</f>
        <v>-60</v>
      </c>
    </row>
    <row r="142" customFormat="false" ht="15" hidden="false" customHeight="false" outlineLevel="0" collapsed="false">
      <c r="A142" s="5" t="s">
        <v>471</v>
      </c>
      <c r="B142" s="0" t="s">
        <v>176</v>
      </c>
      <c r="C142" s="16" t="n">
        <f aca="false">C139+C141</f>
        <v>444.7</v>
      </c>
      <c r="D142" s="16" t="n">
        <f aca="false">D139+D141</f>
        <v>787.5873147</v>
      </c>
      <c r="E142" s="16" t="n">
        <f aca="false">E139+E141</f>
        <v>939.149786149493</v>
      </c>
      <c r="F142" s="16" t="n">
        <f aca="false">F139+F141</f>
        <v>1016.13135940606</v>
      </c>
      <c r="G142" s="16" t="n">
        <f aca="false">G139+G141</f>
        <v>1290.98118043661</v>
      </c>
    </row>
    <row r="143" customFormat="false" ht="15" hidden="false" customHeight="false" outlineLevel="0" collapsed="false">
      <c r="A143" s="5" t="s">
        <v>472</v>
      </c>
      <c r="B143" s="0" t="s">
        <v>176</v>
      </c>
      <c r="C143" s="16" t="n">
        <f aca="false">a25_tax</f>
        <v>68.5</v>
      </c>
      <c r="D143" s="16" t="n">
        <f aca="false">a26_tax</f>
        <v>138.23746294</v>
      </c>
      <c r="E143" s="16" t="n">
        <f aca="false">E142*tax</f>
        <v>187.829957229899</v>
      </c>
      <c r="F143" s="16" t="n">
        <f aca="false">F142*tax</f>
        <v>203.226271881213</v>
      </c>
      <c r="G143" s="16" t="n">
        <f aca="false">G142*tax</f>
        <v>258.196236087323</v>
      </c>
    </row>
    <row r="144" customFormat="false" ht="15" hidden="false" customHeight="false" outlineLevel="0" collapsed="false">
      <c r="A144" s="5" t="s">
        <v>474</v>
      </c>
      <c r="B144" s="0" t="s">
        <v>176</v>
      </c>
      <c r="C144" s="16" t="n">
        <f aca="false">a25_nci</f>
        <v>2.30000000000007</v>
      </c>
      <c r="D144" s="16" t="n">
        <f aca="false">a26_nci</f>
        <v>3.7</v>
      </c>
      <c r="E144" s="16" t="n">
        <f aca="false">nci</f>
        <v>3</v>
      </c>
      <c r="F144" s="16" t="n">
        <f aca="false">nci</f>
        <v>3</v>
      </c>
      <c r="G144" s="16" t="n">
        <f aca="false">nci</f>
        <v>3</v>
      </c>
    </row>
    <row r="145" customFormat="false" ht="15" hidden="false" customHeight="false" outlineLevel="0" collapsed="false">
      <c r="A145" s="5" t="s">
        <v>476</v>
      </c>
      <c r="B145" s="0" t="s">
        <v>176</v>
      </c>
      <c r="C145" s="16" t="n">
        <f aca="false">C142-C143-C144</f>
        <v>373.9</v>
      </c>
      <c r="D145" s="16" t="n">
        <f aca="false">D142-D143-D144</f>
        <v>645.64985176</v>
      </c>
      <c r="E145" s="16" t="n">
        <f aca="false">E142-E143-E144</f>
        <v>748.319828919594</v>
      </c>
      <c r="F145" s="16" t="n">
        <f aca="false">F142-F143-F144</f>
        <v>809.90508752485</v>
      </c>
      <c r="G145" s="16" t="n">
        <f aca="false">G142-G143-G144</f>
        <v>1029.78494434929</v>
      </c>
      <c r="H145" s="29" t="n">
        <f aca="false">H123*H149</f>
        <v>1053.22847167304</v>
      </c>
      <c r="I145" s="29" t="n">
        <f aca="false">I123*I149</f>
        <v>1046.48148851603</v>
      </c>
      <c r="J145" s="29" t="n">
        <f aca="false">J123*J149</f>
        <v>1008.79768503467</v>
      </c>
    </row>
    <row r="146" customFormat="false" ht="15" hidden="false" customHeight="false" outlineLevel="0" collapsed="false">
      <c r="A146" s="5" t="s">
        <v>588</v>
      </c>
      <c r="B146" s="5" t="s">
        <v>310</v>
      </c>
      <c r="C146" s="21" t="n">
        <f aca="false">a25_sh</f>
        <v>248.5</v>
      </c>
      <c r="D146" s="21" t="n">
        <f aca="false">a26_sh</f>
        <v>249.915</v>
      </c>
      <c r="E146" s="21" t="n">
        <f aca="false">D146*(1+sh_g)</f>
        <v>249.915</v>
      </c>
      <c r="F146" s="21" t="n">
        <f aca="false">E146*(1+sh_g)</f>
        <v>249.915</v>
      </c>
      <c r="G146" s="21" t="n">
        <f aca="false">F146*(1+sh_g)</f>
        <v>249.915</v>
      </c>
      <c r="H146" s="30" t="n">
        <f aca="false">G146*(1+sh_g)</f>
        <v>249.915</v>
      </c>
      <c r="I146" s="30" t="n">
        <f aca="false">H146*(1+sh_g)</f>
        <v>249.915</v>
      </c>
      <c r="J146" s="30" t="n">
        <f aca="false">I146*(1+sh_g)</f>
        <v>249.915</v>
      </c>
    </row>
    <row r="147" customFormat="false" ht="17.15" hidden="false" customHeight="false" outlineLevel="0" collapsed="false">
      <c r="A147" s="0" t="s">
        <v>480</v>
      </c>
      <c r="B147" s="0" t="s">
        <v>331</v>
      </c>
      <c r="C147" s="18" t="n">
        <f aca="false">C145/C146</f>
        <v>1.5046277665996</v>
      </c>
      <c r="D147" s="18" t="n">
        <f aca="false">D145/D146</f>
        <v>2.58347778948843</v>
      </c>
      <c r="E147" s="18" t="n">
        <f aca="false">E145/E146</f>
        <v>2.99429737678648</v>
      </c>
      <c r="F147" s="18" t="n">
        <f aca="false">F145/F146</f>
        <v>3.24072219564592</v>
      </c>
      <c r="G147" s="18" t="n">
        <f aca="false">G145/G146</f>
        <v>4.12054076125599</v>
      </c>
      <c r="H147" s="27" t="n">
        <f aca="false">H145/H146</f>
        <v>4.21434676459214</v>
      </c>
      <c r="I147" s="27" t="n">
        <f aca="false">I145/I146</f>
        <v>4.18734965294613</v>
      </c>
      <c r="J147" s="27" t="n">
        <f aca="false">J145/J146</f>
        <v>4.03656317161704</v>
      </c>
    </row>
    <row r="148" customFormat="false" ht="17.15" hidden="false" customHeight="false" outlineLevel="0" collapsed="false">
      <c r="A148" s="0" t="s">
        <v>589</v>
      </c>
      <c r="B148" s="0" t="s">
        <v>77</v>
      </c>
      <c r="D148" s="20" t="n">
        <f aca="false">D147/C147-1</f>
        <v>0.717021210719106</v>
      </c>
      <c r="E148" s="20" t="n">
        <f aca="false">E147/D147-1</f>
        <v>0.159018044966204</v>
      </c>
      <c r="F148" s="20" t="n">
        <f aca="false">F147/E147-1</f>
        <v>0.0822980445328716</v>
      </c>
      <c r="G148" s="20" t="n">
        <f aca="false">G147/F147-1</f>
        <v>0.271488425262786</v>
      </c>
      <c r="H148" s="25" t="n">
        <f aca="false">H147/G147-1</f>
        <v>0.0227654593829465</v>
      </c>
      <c r="I148" s="25" t="n">
        <f aca="false">I147/H147-1</f>
        <v>-0.0064060014882571</v>
      </c>
      <c r="J148" s="25" t="n">
        <f aca="false">J147/I147-1</f>
        <v>-0.036010004854264</v>
      </c>
    </row>
    <row r="149" customFormat="false" ht="17.15" hidden="false" customHeight="false" outlineLevel="0" collapsed="false">
      <c r="A149" s="5" t="s">
        <v>590</v>
      </c>
      <c r="B149" s="0" t="s">
        <v>77</v>
      </c>
      <c r="C149" s="17" t="n">
        <f aca="false">C145/C123</f>
        <v>0.0557394156231365</v>
      </c>
      <c r="D149" s="17" t="n">
        <f aca="false">D145/D123</f>
        <v>0.0840639229794768</v>
      </c>
      <c r="E149" s="17" t="n">
        <f aca="false">E145/E123</f>
        <v>0.0858307794320524</v>
      </c>
      <c r="F149" s="17" t="n">
        <f aca="false">F145/F123</f>
        <v>0.0870029338042836</v>
      </c>
      <c r="G149" s="17" t="n">
        <f aca="false">G145/G123</f>
        <v>0.0988910778095035</v>
      </c>
      <c r="H149" s="26" t="n">
        <f aca="false">$G149+(fade_mB-$G149)*1/3</f>
        <v>0.0925852178045345</v>
      </c>
      <c r="I149" s="26" t="n">
        <f aca="false">$G149+(fade_mB-$G149)*2/3</f>
        <v>0.0862793577995655</v>
      </c>
      <c r="J149" s="26" t="n">
        <f aca="false">$G149+(fade_mB-$G149)*3/3</f>
        <v>0.0799734977945966</v>
      </c>
    </row>
    <row r="152" customFormat="false" ht="17.15" hidden="false" customHeight="false" outlineLevel="0" collapsed="false">
      <c r="A152" s="3" t="s">
        <v>592</v>
      </c>
    </row>
    <row r="153" customFormat="false" ht="17.15" hidden="false" customHeight="false" outlineLevel="0" collapsed="false">
      <c r="A153" s="6" t="s">
        <v>22</v>
      </c>
      <c r="B153" s="6" t="s">
        <v>23</v>
      </c>
      <c r="C153" s="14" t="s">
        <v>437</v>
      </c>
      <c r="D153" s="14" t="s">
        <v>527</v>
      </c>
      <c r="E153" s="14" t="s">
        <v>528</v>
      </c>
      <c r="F153" s="14" t="s">
        <v>529</v>
      </c>
      <c r="G153" s="14" t="s">
        <v>530</v>
      </c>
      <c r="H153" s="14" t="s">
        <v>531</v>
      </c>
      <c r="I153" s="14" t="s">
        <v>532</v>
      </c>
      <c r="J153" s="14" t="s">
        <v>533</v>
      </c>
      <c r="K153" s="6" t="s">
        <v>503</v>
      </c>
    </row>
    <row r="154" customFormat="false" ht="17.15" hidden="false" customHeight="false" outlineLevel="0" collapsed="false">
      <c r="A154" s="1" t="s">
        <v>551</v>
      </c>
    </row>
    <row r="155" customFormat="false" ht="17.15" hidden="false" customHeight="false" outlineLevel="0" collapsed="false">
      <c r="A155" s="0" t="s">
        <v>552</v>
      </c>
      <c r="B155" s="5" t="s">
        <v>33</v>
      </c>
      <c r="D155" s="18" t="n">
        <f aca="false">units_26</f>
        <v>15.2</v>
      </c>
      <c r="E155" s="18" t="n">
        <f aca="false">units_27*1</f>
        <v>23.7</v>
      </c>
      <c r="F155" s="18" t="n">
        <f aca="false">units_28*um28_C*1</f>
        <v>15.9</v>
      </c>
      <c r="G155" s="18" t="n">
        <f aca="false">units_29*um29_C*1</f>
        <v>18.09</v>
      </c>
    </row>
    <row r="156" customFormat="false" ht="17.15" hidden="false" customHeight="false" outlineLevel="0" collapsed="false">
      <c r="A156" s="5" t="s">
        <v>506</v>
      </c>
      <c r="B156" s="0" t="s">
        <v>46</v>
      </c>
      <c r="D156" s="22" t="n">
        <f aca="false">ar_26</f>
        <v>1</v>
      </c>
      <c r="E156" s="22" t="n">
        <f aca="false">ar_27</f>
        <v>1.278156</v>
      </c>
      <c r="F156" s="22" t="n">
        <f aca="false">ar_28</f>
        <v>1.428615</v>
      </c>
      <c r="G156" s="22" t="n">
        <f aca="false">ar_29</f>
        <v>1.431796</v>
      </c>
    </row>
    <row r="157" customFormat="false" ht="17.15" hidden="false" customHeight="false" outlineLevel="0" collapsed="false">
      <c r="A157" s="5" t="s">
        <v>508</v>
      </c>
      <c r="B157" s="0" t="s">
        <v>77</v>
      </c>
      <c r="D157" s="20" t="n">
        <f aca="false">out_26</f>
        <v>0.5</v>
      </c>
      <c r="E157" s="20" t="n">
        <f aca="false">out_27</f>
        <v>0.55</v>
      </c>
      <c r="F157" s="20" t="n">
        <f aca="false">out_28</f>
        <v>0.6</v>
      </c>
      <c r="G157" s="20" t="n">
        <f aca="false">out_29</f>
        <v>0.6</v>
      </c>
      <c r="K157" s="8" t="s">
        <v>553</v>
      </c>
    </row>
    <row r="158" customFormat="false" ht="17.15" hidden="false" customHeight="false" outlineLevel="0" collapsed="false">
      <c r="A158" s="0" t="s">
        <v>509</v>
      </c>
      <c r="B158" s="0" t="s">
        <v>77</v>
      </c>
      <c r="D158" s="20" t="n">
        <f aca="false">sh_26</f>
        <v>0.35</v>
      </c>
      <c r="E158" s="20" t="n">
        <f aca="false">sh_27</f>
        <v>0.35</v>
      </c>
      <c r="F158" s="20" t="n">
        <f aca="false">sh_28</f>
        <v>0.37</v>
      </c>
      <c r="G158" s="20" t="n">
        <f aca="false">sh_29</f>
        <v>0.38</v>
      </c>
    </row>
    <row r="159" customFormat="false" ht="17.15" hidden="false" customHeight="false" outlineLevel="0" collapsed="false">
      <c r="A159" s="0" t="s">
        <v>554</v>
      </c>
      <c r="B159" s="0" t="s">
        <v>176</v>
      </c>
      <c r="C159" s="16" t="n">
        <f aca="false">(a26_comp-a25_comp*(1+g_pc26))/(tri-(1+g_pc26))</f>
        <v>287.089852216749</v>
      </c>
      <c r="D159" s="16" t="n">
        <f aca="false">C159*tri</f>
        <v>861.269556650246</v>
      </c>
      <c r="E159" s="16" t="n">
        <f aca="false">E155*E157*E158*E160</f>
        <v>1670.04614466713</v>
      </c>
      <c r="F159" s="16" t="n">
        <f aca="false">F155*F157*F158*F160</f>
        <v>1366.04548894679</v>
      </c>
      <c r="G159" s="16" t="n">
        <f aca="false">G155*G157*G158*G160</f>
        <v>1597.98039227811</v>
      </c>
      <c r="K159" s="8" t="s">
        <v>555</v>
      </c>
    </row>
    <row r="160" customFormat="false" ht="17.15" hidden="false" customHeight="false" outlineLevel="0" collapsed="false">
      <c r="A160" s="5" t="s">
        <v>556</v>
      </c>
      <c r="B160" s="0" t="s">
        <v>511</v>
      </c>
      <c r="D160" s="23" t="n">
        <f aca="false">D159/(D155*D157*D158)</f>
        <v>323.785547612874</v>
      </c>
      <c r="E160" s="23" t="n">
        <f aca="false">$D160*E156^el</f>
        <v>366.057569108912</v>
      </c>
      <c r="F160" s="23" t="n">
        <f aca="false">$D160*F156^el</f>
        <v>387.003651466596</v>
      </c>
      <c r="G160" s="23" t="n">
        <f aca="false">$D160*G156^el</f>
        <v>387.434269267239</v>
      </c>
      <c r="K160" s="8" t="s">
        <v>557</v>
      </c>
    </row>
    <row r="161" customFormat="false" ht="17.15" hidden="false" customHeight="false" outlineLevel="0" collapsed="false">
      <c r="A161" s="5" t="s">
        <v>515</v>
      </c>
      <c r="B161" s="0" t="s">
        <v>511</v>
      </c>
      <c r="D161" s="16" t="n">
        <f aca="false">D159/D155</f>
        <v>56.662470832253</v>
      </c>
      <c r="E161" s="16" t="n">
        <f aca="false">E159/E155</f>
        <v>70.4660820534656</v>
      </c>
      <c r="F161" s="16" t="n">
        <f aca="false">F159/F155</f>
        <v>85.9148106255842</v>
      </c>
      <c r="G161" s="16" t="n">
        <f aca="false">G159/G155</f>
        <v>88.3350133929305</v>
      </c>
      <c r="K161" s="5" t="s">
        <v>558</v>
      </c>
    </row>
    <row r="162" customFormat="false" ht="17.15" hidden="false" customHeight="false" outlineLevel="0" collapsed="false">
      <c r="A162" s="1" t="s">
        <v>559</v>
      </c>
    </row>
    <row r="163" customFormat="false" ht="17.15" hidden="false" customHeight="false" outlineLevel="0" collapsed="false">
      <c r="A163" s="5" t="s">
        <v>560</v>
      </c>
      <c r="B163" s="0" t="s">
        <v>176</v>
      </c>
      <c r="C163" s="16" t="n">
        <f aca="false">a25_comp-C159</f>
        <v>1054.51014778325</v>
      </c>
      <c r="D163" s="16" t="n">
        <f aca="false">a26_comp-D159</f>
        <v>1022.87484334975</v>
      </c>
      <c r="E163" s="16" t="n">
        <f aca="false">D163*(1+g_pc)</f>
        <v>1053.56108865025</v>
      </c>
      <c r="F163" s="16" t="n">
        <f aca="false">E163*(1+g_pc)</f>
        <v>1085.16792130975</v>
      </c>
      <c r="G163" s="16" t="n">
        <f aca="false">F163*(1+g_pc)</f>
        <v>1117.72295894905</v>
      </c>
    </row>
    <row r="164" customFormat="false" ht="15" hidden="false" customHeight="false" outlineLevel="0" collapsed="false">
      <c r="A164" s="5" t="s">
        <v>561</v>
      </c>
      <c r="B164" s="0" t="s">
        <v>176</v>
      </c>
      <c r="C164" s="16" t="n">
        <f aca="false">C159+C163</f>
        <v>1341.6</v>
      </c>
      <c r="D164" s="16" t="n">
        <f aca="false">D159+D163</f>
        <v>1884.1444</v>
      </c>
      <c r="E164" s="16" t="n">
        <f aca="false">E159+E163</f>
        <v>2723.60723331738</v>
      </c>
      <c r="F164" s="16" t="n">
        <f aca="false">F159+F163</f>
        <v>2451.21341025654</v>
      </c>
      <c r="G164" s="16" t="n">
        <f aca="false">G159+G163</f>
        <v>2715.70335122716</v>
      </c>
    </row>
    <row r="165" customFormat="false" ht="17.15" hidden="false" customHeight="false" outlineLevel="0" collapsed="false">
      <c r="A165" s="5" t="s">
        <v>562</v>
      </c>
      <c r="B165" s="0" t="s">
        <v>176</v>
      </c>
      <c r="C165" s="16" t="n">
        <f aca="false">a25_cm</f>
        <v>3085.68</v>
      </c>
      <c r="D165" s="16" t="n">
        <f aca="false">a26_cm</f>
        <v>3041.87176</v>
      </c>
      <c r="E165" s="16" t="n">
        <f aca="false">D165*(1+g_cm27_C)</f>
        <v>2859.3594544</v>
      </c>
      <c r="F165" s="16" t="n">
        <f aca="false">E165*(1+g_cmL_C)</f>
        <v>2859.3594544</v>
      </c>
      <c r="G165" s="16" t="n">
        <f aca="false">F165*(1+g_cmL_C)</f>
        <v>2859.3594544</v>
      </c>
    </row>
    <row r="166" customFormat="false" ht="15" hidden="false" customHeight="false" outlineLevel="0" collapsed="false">
      <c r="A166" s="5" t="s">
        <v>563</v>
      </c>
      <c r="B166" s="0" t="s">
        <v>176</v>
      </c>
      <c r="C166" s="16" t="n">
        <f aca="false">a25_au</f>
        <v>1274.52</v>
      </c>
      <c r="D166" s="16" t="n">
        <f aca="false">a26_au</f>
        <v>1656.99176</v>
      </c>
      <c r="E166" s="16" t="n">
        <f aca="false">D166*(1+g_au)</f>
        <v>1822.690936</v>
      </c>
      <c r="F166" s="16" t="n">
        <f aca="false">E166*(1+g_au)</f>
        <v>2004.9600296</v>
      </c>
      <c r="G166" s="16" t="n">
        <f aca="false">F166*(1+g_au)</f>
        <v>2205.45603256</v>
      </c>
    </row>
    <row r="167" customFormat="false" ht="15" hidden="false" customHeight="false" outlineLevel="0" collapsed="false">
      <c r="A167" s="5" t="s">
        <v>564</v>
      </c>
      <c r="B167" s="0" t="s">
        <v>176</v>
      </c>
      <c r="C167" s="16" t="n">
        <f aca="false">a25_cs</f>
        <v>1006.2</v>
      </c>
      <c r="D167" s="16" t="n">
        <f aca="false">a26_cs</f>
        <v>1097.4551</v>
      </c>
      <c r="E167" s="16" t="n">
        <f aca="false">D167*(1+g_cs)</f>
        <v>1130.378753</v>
      </c>
      <c r="F167" s="16" t="n">
        <f aca="false">E167*(1+g_cs)</f>
        <v>1164.29011559</v>
      </c>
      <c r="G167" s="16" t="n">
        <f aca="false">F167*(1+g_cs)</f>
        <v>1199.2188190577</v>
      </c>
    </row>
    <row r="168" customFormat="false" ht="17.15" hidden="false" customHeight="false" outlineLevel="0" collapsed="false">
      <c r="A168" s="5" t="s">
        <v>565</v>
      </c>
      <c r="B168" s="0" t="s">
        <v>176</v>
      </c>
      <c r="C168" s="16" t="n">
        <f aca="false">0</f>
        <v>0</v>
      </c>
      <c r="D168" s="16" t="n">
        <f aca="false">0</f>
        <v>0</v>
      </c>
      <c r="E168" s="16" t="n">
        <f aca="false">0</f>
        <v>0</v>
      </c>
      <c r="F168" s="16" t="n">
        <f aca="false">az_rev28_C</f>
        <v>50</v>
      </c>
      <c r="G168" s="16" t="n">
        <f aca="false">az_rev29_C</f>
        <v>250</v>
      </c>
      <c r="K168" s="5" t="s">
        <v>566</v>
      </c>
    </row>
    <row r="169" customFormat="false" ht="17.15" hidden="false" customHeight="false" outlineLevel="0" collapsed="false">
      <c r="A169" s="5" t="s">
        <v>444</v>
      </c>
      <c r="B169" s="0" t="s">
        <v>176</v>
      </c>
      <c r="C169" s="16" t="n">
        <f aca="false">C164+C165+C166+C167+C168</f>
        <v>6708</v>
      </c>
      <c r="D169" s="16" t="n">
        <f aca="false">D164+D165+D166+D167+D168</f>
        <v>7680.46302</v>
      </c>
      <c r="E169" s="16" t="n">
        <f aca="false">E164+E165+E166+E167+E168</f>
        <v>8536.03637671738</v>
      </c>
      <c r="F169" s="16" t="n">
        <f aca="false">F164+F165+F166+F167+F168</f>
        <v>8529.82300984654</v>
      </c>
      <c r="G169" s="16" t="n">
        <f aca="false">G164+G165+G166+G167+G168</f>
        <v>9229.73765724486</v>
      </c>
      <c r="H169" s="29" t="n">
        <f aca="false">G169*(1+H170)</f>
        <v>9796.16667193208</v>
      </c>
      <c r="I169" s="29" t="n">
        <f aca="false">H169*(1+I170)</f>
        <v>10194.7237207606</v>
      </c>
      <c r="J169" s="29" t="n">
        <f aca="false">I169*(1+J170)</f>
        <v>10398.6181951758</v>
      </c>
      <c r="K169" s="8" t="s">
        <v>567</v>
      </c>
    </row>
    <row r="170" customFormat="false" ht="15" hidden="false" customHeight="false" outlineLevel="0" collapsed="false">
      <c r="A170" s="5" t="s">
        <v>568</v>
      </c>
      <c r="B170" s="0" t="s">
        <v>77</v>
      </c>
      <c r="D170" s="20" t="n">
        <f aca="false">D169/C169-1</f>
        <v>0.144970635062612</v>
      </c>
      <c r="E170" s="20" t="n">
        <f aca="false">E169/D169-1</f>
        <v>0.111396064858259</v>
      </c>
      <c r="F170" s="20" t="n">
        <f aca="false">F169/E169-1</f>
        <v>-0.000727898358983681</v>
      </c>
      <c r="G170" s="20" t="n">
        <f aca="false">G169/F169-1</f>
        <v>0.0820550023828583</v>
      </c>
      <c r="H170" s="25" t="n">
        <f aca="false">$G170+(fade_gC-$G170)*1/3</f>
        <v>0.0613700015885722</v>
      </c>
      <c r="I170" s="25" t="n">
        <f aca="false">$G170+(fade_gC-$G170)*2/3</f>
        <v>0.0406850007942861</v>
      </c>
      <c r="J170" s="25" t="n">
        <f aca="false">$G170+(fade_gC-$G170)*3/3</f>
        <v>0.02</v>
      </c>
    </row>
    <row r="171" customFormat="false" ht="17.15" hidden="false" customHeight="false" outlineLevel="0" collapsed="false">
      <c r="A171" s="0" t="s">
        <v>569</v>
      </c>
      <c r="B171" s="0" t="s">
        <v>77</v>
      </c>
      <c r="C171" s="20" t="n">
        <f aca="false">C159/C169</f>
        <v>0.042798129430046</v>
      </c>
      <c r="D171" s="20" t="n">
        <f aca="false">D159/D169</f>
        <v>0.112137712844589</v>
      </c>
      <c r="E171" s="20" t="n">
        <f aca="false">E159/E169</f>
        <v>0.195646559007445</v>
      </c>
      <c r="F171" s="20" t="n">
        <f aca="false">F159/F169</f>
        <v>0.160149335732977</v>
      </c>
      <c r="G171" s="20" t="n">
        <f aca="false">G159/G169</f>
        <v>0.173133890866744</v>
      </c>
    </row>
    <row r="172" customFormat="false" ht="17.15" hidden="false" customHeight="false" outlineLevel="0" collapsed="false">
      <c r="A172" s="5" t="s">
        <v>570</v>
      </c>
      <c r="B172" s="0" t="s">
        <v>77</v>
      </c>
      <c r="C172" s="20" t="n">
        <f aca="false">C165/C169</f>
        <v>0.46</v>
      </c>
      <c r="D172" s="20" t="n">
        <f aca="false">D165/D169</f>
        <v>0.396053174408748</v>
      </c>
      <c r="E172" s="20" t="n">
        <f aca="false">E165/E169</f>
        <v>0.334975078386392</v>
      </c>
      <c r="F172" s="20" t="n">
        <f aca="false">F165/F169</f>
        <v>0.335219083807396</v>
      </c>
      <c r="G172" s="20" t="n">
        <f aca="false">G165/G169</f>
        <v>0.309798562059405</v>
      </c>
    </row>
    <row r="173" customFormat="false" ht="17.15" hidden="false" customHeight="false" outlineLevel="0" collapsed="false">
      <c r="A173" s="1" t="s">
        <v>571</v>
      </c>
    </row>
    <row r="174" customFormat="false" ht="15" hidden="false" customHeight="false" outlineLevel="0" collapsed="false">
      <c r="A174" s="5" t="s">
        <v>572</v>
      </c>
      <c r="B174" s="0" t="s">
        <v>176</v>
      </c>
      <c r="C174" s="16" t="n">
        <f aca="false">C169-C168</f>
        <v>6708</v>
      </c>
      <c r="D174" s="16" t="n">
        <f aca="false">D169-D168</f>
        <v>7680.46302</v>
      </c>
      <c r="E174" s="16" t="n">
        <f aca="false">E169-E168</f>
        <v>8536.03637671738</v>
      </c>
      <c r="F174" s="16" t="n">
        <f aca="false">F169-F168</f>
        <v>8479.82300984654</v>
      </c>
      <c r="G174" s="16" t="n">
        <f aca="false">G169-G168</f>
        <v>8979.73765724486</v>
      </c>
    </row>
    <row r="175" customFormat="false" ht="17.15" hidden="false" customHeight="false" outlineLevel="0" collapsed="false">
      <c r="A175" s="5" t="s">
        <v>573</v>
      </c>
      <c r="B175" s="0" t="s">
        <v>176</v>
      </c>
      <c r="D175" s="16" t="n">
        <f aca="false">cap_m26</f>
        <v>1200</v>
      </c>
      <c r="E175" s="16" t="n">
        <f aca="false">capi*E174</f>
        <v>1195.04509274043</v>
      </c>
      <c r="F175" s="16" t="n">
        <f aca="false">capi*F174</f>
        <v>1187.17522137852</v>
      </c>
      <c r="G175" s="16" t="n">
        <f aca="false">capi*G174</f>
        <v>1257.16327201428</v>
      </c>
      <c r="K175" s="8" t="s">
        <v>574</v>
      </c>
    </row>
    <row r="176" customFormat="false" ht="17.15" hidden="false" customHeight="false" outlineLevel="0" collapsed="false">
      <c r="A176" s="5" t="s">
        <v>575</v>
      </c>
      <c r="B176" s="0" t="s">
        <v>176</v>
      </c>
      <c r="C176" s="16" t="n">
        <f aca="false">a25_da</f>
        <v>642</v>
      </c>
      <c r="D176" s="16" t="n">
        <f aca="false">a26_da</f>
        <v>740.6</v>
      </c>
      <c r="E176" s="16" t="n">
        <f aca="false">D176*(1-1/life)+D175/life</f>
        <v>806.228571428572</v>
      </c>
      <c r="F176" s="16" t="n">
        <f aca="false">E176*(1-1/life)+E175/life</f>
        <v>861.773788758838</v>
      </c>
      <c r="G176" s="16" t="n">
        <f aca="false">F176*(1-1/life)+F175/life</f>
        <v>908.259707704506</v>
      </c>
      <c r="K176" s="5" t="s">
        <v>576</v>
      </c>
    </row>
    <row r="177" customFormat="false" ht="15" hidden="false" customHeight="false" outlineLevel="0" collapsed="false">
      <c r="A177" s="5" t="s">
        <v>577</v>
      </c>
      <c r="B177" s="0" t="s">
        <v>176</v>
      </c>
      <c r="E177" s="16" t="n">
        <f aca="false">0</f>
        <v>0</v>
      </c>
      <c r="F177" s="16" t="n">
        <f aca="false">az_capex1*(1-az_inc)/az_life*az_svc28</f>
        <v>94.7916666666667</v>
      </c>
      <c r="G177" s="16" t="n">
        <f aca="false">az_capex1*(1-az_inc)/az_life</f>
        <v>189.583333333333</v>
      </c>
    </row>
    <row r="178" customFormat="false" ht="15" hidden="false" customHeight="false" outlineLevel="0" collapsed="false">
      <c r="A178" s="5" t="s">
        <v>578</v>
      </c>
      <c r="B178" s="0" t="s">
        <v>176</v>
      </c>
      <c r="C178" s="16" t="n">
        <f aca="false">C176</f>
        <v>642</v>
      </c>
      <c r="D178" s="16" t="n">
        <f aca="false">D176</f>
        <v>740.6</v>
      </c>
      <c r="E178" s="16" t="n">
        <f aca="false">E176+E177</f>
        <v>806.228571428572</v>
      </c>
      <c r="F178" s="16" t="n">
        <f aca="false">F176+F177</f>
        <v>956.565455425504</v>
      </c>
      <c r="G178" s="16" t="n">
        <f aca="false">G176+G177</f>
        <v>1097.84304103784</v>
      </c>
    </row>
    <row r="179" customFormat="false" ht="17.15" hidden="false" customHeight="false" outlineLevel="0" collapsed="false">
      <c r="A179" s="5" t="s">
        <v>579</v>
      </c>
      <c r="B179" s="0" t="s">
        <v>176</v>
      </c>
      <c r="C179" s="16" t="n">
        <f aca="false">a25_gp</f>
        <v>938.6</v>
      </c>
      <c r="D179" s="16" t="n">
        <f aca="false">a26_gp</f>
        <v>1325.7873147</v>
      </c>
      <c r="E179" s="16" t="n">
        <f aca="false">$D179+ft*(E174-$D174)-(E176-$D176)</f>
        <v>1602.38808595838</v>
      </c>
      <c r="F179" s="16" t="n">
        <f aca="false">$D179+ft*(F174-$D174)-(F176-$D176)</f>
        <v>1524.35752187978</v>
      </c>
      <c r="G179" s="16" t="n">
        <f aca="false">$D179+ft*(G174-$D174)-(G176-$D176)</f>
        <v>1677.83746189344</v>
      </c>
      <c r="K179" s="5" t="s">
        <v>580</v>
      </c>
    </row>
    <row r="180" customFormat="false" ht="17.15" hidden="false" customHeight="false" outlineLevel="0" collapsed="false">
      <c r="A180" s="5" t="s">
        <v>581</v>
      </c>
      <c r="B180" s="0" t="s">
        <v>176</v>
      </c>
      <c r="E180" s="16" t="n">
        <f aca="false">E168*az_cm-az_fix27</f>
        <v>-120</v>
      </c>
      <c r="F180" s="16" t="n">
        <f aca="false">F168*az_cm-az_fix28-F177</f>
        <v>-167.291666666667</v>
      </c>
      <c r="G180" s="16" t="n">
        <f aca="false">G168*az_cm-az_fix29-G177</f>
        <v>-152.083333333333</v>
      </c>
      <c r="K180" s="8" t="s">
        <v>582</v>
      </c>
    </row>
    <row r="181" customFormat="false" ht="15" hidden="false" customHeight="false" outlineLevel="0" collapsed="false">
      <c r="A181" s="5" t="s">
        <v>458</v>
      </c>
      <c r="B181" s="0" t="s">
        <v>176</v>
      </c>
      <c r="C181" s="16" t="n">
        <f aca="false">a25_gp</f>
        <v>938.6</v>
      </c>
      <c r="D181" s="16" t="n">
        <f aca="false">a26_gp</f>
        <v>1325.7873147</v>
      </c>
      <c r="E181" s="16" t="n">
        <f aca="false">E179+E180</f>
        <v>1482.38808595838</v>
      </c>
      <c r="F181" s="16" t="n">
        <f aca="false">F179+F180</f>
        <v>1357.06585521311</v>
      </c>
      <c r="G181" s="16" t="n">
        <f aca="false">G179+G180</f>
        <v>1525.75412856011</v>
      </c>
    </row>
    <row r="182" customFormat="false" ht="15" hidden="false" customHeight="false" outlineLevel="0" collapsed="false">
      <c r="A182" s="5" t="s">
        <v>461</v>
      </c>
      <c r="B182" s="0" t="s">
        <v>77</v>
      </c>
      <c r="C182" s="17" t="n">
        <f aca="false">C181/C169</f>
        <v>0.139922480620155</v>
      </c>
      <c r="D182" s="17" t="n">
        <f aca="false">D181/D169</f>
        <v>0.172618149615152</v>
      </c>
      <c r="E182" s="17" t="n">
        <f aca="false">E181/E169</f>
        <v>0.173662344036126</v>
      </c>
      <c r="F182" s="17" t="n">
        <f aca="false">F181/F169</f>
        <v>0.159096601845849</v>
      </c>
      <c r="G182" s="17" t="n">
        <f aca="false">G181/G169</f>
        <v>0.165308504447303</v>
      </c>
    </row>
    <row r="183" customFormat="false" ht="17.15" hidden="false" customHeight="false" outlineLevel="0" collapsed="false">
      <c r="A183" s="5" t="s">
        <v>583</v>
      </c>
      <c r="B183" s="0" t="s">
        <v>584</v>
      </c>
      <c r="E183" s="17" t="n">
        <f aca="false">E180/E169</f>
        <v>-0.0140580469323336</v>
      </c>
      <c r="F183" s="17" t="n">
        <f aca="false">F180/F169</f>
        <v>-0.019612560128569</v>
      </c>
      <c r="G183" s="17" t="n">
        <f aca="false">G180/G169</f>
        <v>-0.0164775358716676</v>
      </c>
      <c r="K183" s="5" t="s">
        <v>585</v>
      </c>
    </row>
    <row r="184" customFormat="false" ht="17.15" hidden="false" customHeight="false" outlineLevel="0" collapsed="false">
      <c r="A184" s="5" t="s">
        <v>463</v>
      </c>
      <c r="B184" s="0" t="s">
        <v>176</v>
      </c>
      <c r="C184" s="16" t="n">
        <f aca="false">a25_opx</f>
        <v>471.2</v>
      </c>
      <c r="D184" s="16" t="n">
        <f aca="false">a26_opx</f>
        <v>537.5</v>
      </c>
      <c r="E184" s="16" t="n">
        <f aca="false">(D184+opx_gain)*(1+phi*E170)</f>
        <v>589.607351111669</v>
      </c>
      <c r="F184" s="16" t="n">
        <f aca="false">E184*(1+phi*F170)</f>
        <v>589.39276400001</v>
      </c>
      <c r="G184" s="16" t="n">
        <f aca="false">F184*(1+phi*G170)</f>
        <v>613.57407632724</v>
      </c>
      <c r="K184" s="8" t="s">
        <v>586</v>
      </c>
    </row>
    <row r="185" customFormat="false" ht="15" hidden="false" customHeight="false" outlineLevel="0" collapsed="false">
      <c r="A185" s="5" t="s">
        <v>466</v>
      </c>
      <c r="B185" s="0" t="s">
        <v>176</v>
      </c>
      <c r="C185" s="16" t="n">
        <f aca="false">C181-C184</f>
        <v>467.4</v>
      </c>
      <c r="D185" s="16" t="n">
        <f aca="false">D181-D184</f>
        <v>788.2873147</v>
      </c>
      <c r="E185" s="16" t="n">
        <f aca="false">E181-E184</f>
        <v>892.780734846712</v>
      </c>
      <c r="F185" s="16" t="n">
        <f aca="false">F181-F184</f>
        <v>767.673091213103</v>
      </c>
      <c r="G185" s="16" t="n">
        <f aca="false">G181-G184</f>
        <v>912.180052232866</v>
      </c>
    </row>
    <row r="186" customFormat="false" ht="15" hidden="false" customHeight="false" outlineLevel="0" collapsed="false">
      <c r="A186" s="5" t="s">
        <v>540</v>
      </c>
      <c r="B186" s="0" t="s">
        <v>77</v>
      </c>
      <c r="C186" s="17" t="n">
        <f aca="false">C185/C169</f>
        <v>0.0696779964221825</v>
      </c>
      <c r="D186" s="17" t="n">
        <f aca="false">D185/D169</f>
        <v>0.102635389643475</v>
      </c>
      <c r="E186" s="17" t="n">
        <f aca="false">E185/E169</f>
        <v>0.10458961225632</v>
      </c>
      <c r="F186" s="17" t="n">
        <f aca="false">F185/F169</f>
        <v>0.0899987127900458</v>
      </c>
      <c r="G186" s="17" t="n">
        <f aca="false">G185/G169</f>
        <v>0.0988305503479671</v>
      </c>
    </row>
    <row r="187" customFormat="false" ht="15" hidden="false" customHeight="false" outlineLevel="0" collapsed="false">
      <c r="A187" s="5" t="s">
        <v>587</v>
      </c>
      <c r="B187" s="0" t="s">
        <v>176</v>
      </c>
      <c r="C187" s="16" t="n">
        <f aca="false">a25_nonop</f>
        <v>-22.7</v>
      </c>
      <c r="D187" s="16" t="n">
        <f aca="false">a26_nonop</f>
        <v>-0.700000000000003</v>
      </c>
      <c r="E187" s="16" t="n">
        <f aca="false">nonop27</f>
        <v>-20</v>
      </c>
      <c r="F187" s="16" t="n">
        <f aca="false">nonop28</f>
        <v>-40</v>
      </c>
      <c r="G187" s="16" t="n">
        <f aca="false">nonop29</f>
        <v>-60</v>
      </c>
    </row>
    <row r="188" customFormat="false" ht="15" hidden="false" customHeight="false" outlineLevel="0" collapsed="false">
      <c r="A188" s="5" t="s">
        <v>471</v>
      </c>
      <c r="B188" s="0" t="s">
        <v>176</v>
      </c>
      <c r="C188" s="16" t="n">
        <f aca="false">C185+C187</f>
        <v>444.7</v>
      </c>
      <c r="D188" s="16" t="n">
        <f aca="false">D185+D187</f>
        <v>787.5873147</v>
      </c>
      <c r="E188" s="16" t="n">
        <f aca="false">E185+E187</f>
        <v>872.780734846712</v>
      </c>
      <c r="F188" s="16" t="n">
        <f aca="false">F185+F187</f>
        <v>727.673091213103</v>
      </c>
      <c r="G188" s="16" t="n">
        <f aca="false">G185+G187</f>
        <v>852.180052232866</v>
      </c>
    </row>
    <row r="189" customFormat="false" ht="15" hidden="false" customHeight="false" outlineLevel="0" collapsed="false">
      <c r="A189" s="5" t="s">
        <v>472</v>
      </c>
      <c r="B189" s="0" t="s">
        <v>176</v>
      </c>
      <c r="C189" s="16" t="n">
        <f aca="false">a25_tax</f>
        <v>68.5</v>
      </c>
      <c r="D189" s="16" t="n">
        <f aca="false">a26_tax</f>
        <v>138.23746294</v>
      </c>
      <c r="E189" s="16" t="n">
        <f aca="false">E188*tax</f>
        <v>174.556146969342</v>
      </c>
      <c r="F189" s="16" t="n">
        <f aca="false">F188*tax</f>
        <v>145.534618242621</v>
      </c>
      <c r="G189" s="16" t="n">
        <f aca="false">G188*tax</f>
        <v>170.436010446573</v>
      </c>
    </row>
    <row r="190" customFormat="false" ht="15" hidden="false" customHeight="false" outlineLevel="0" collapsed="false">
      <c r="A190" s="5" t="s">
        <v>474</v>
      </c>
      <c r="B190" s="0" t="s">
        <v>176</v>
      </c>
      <c r="C190" s="16" t="n">
        <f aca="false">a25_nci</f>
        <v>2.30000000000007</v>
      </c>
      <c r="D190" s="16" t="n">
        <f aca="false">a26_nci</f>
        <v>3.7</v>
      </c>
      <c r="E190" s="16" t="n">
        <f aca="false">nci</f>
        <v>3</v>
      </c>
      <c r="F190" s="16" t="n">
        <f aca="false">nci</f>
        <v>3</v>
      </c>
      <c r="G190" s="16" t="n">
        <f aca="false">nci</f>
        <v>3</v>
      </c>
    </row>
    <row r="191" customFormat="false" ht="15" hidden="false" customHeight="false" outlineLevel="0" collapsed="false">
      <c r="A191" s="5" t="s">
        <v>476</v>
      </c>
      <c r="B191" s="0" t="s">
        <v>176</v>
      </c>
      <c r="C191" s="16" t="n">
        <f aca="false">C188-C189-C190</f>
        <v>373.9</v>
      </c>
      <c r="D191" s="16" t="n">
        <f aca="false">D188-D189-D190</f>
        <v>645.64985176</v>
      </c>
      <c r="E191" s="16" t="n">
        <f aca="false">E188-E189-E190</f>
        <v>695.224587877369</v>
      </c>
      <c r="F191" s="16" t="n">
        <f aca="false">F188-F189-F190</f>
        <v>579.138472970483</v>
      </c>
      <c r="G191" s="16" t="n">
        <f aca="false">G188-G189-G190</f>
        <v>678.744041786293</v>
      </c>
      <c r="H191" s="29" t="n">
        <f aca="false">H169*H195</f>
        <v>679.637025431841</v>
      </c>
      <c r="I191" s="29" t="n">
        <f aca="false">I169*I195</f>
        <v>664.868135816386</v>
      </c>
      <c r="J191" s="29" t="n">
        <f aca="false">J169*J195</f>
        <v>634.897177547039</v>
      </c>
    </row>
    <row r="192" customFormat="false" ht="15" hidden="false" customHeight="false" outlineLevel="0" collapsed="false">
      <c r="A192" s="5" t="s">
        <v>588</v>
      </c>
      <c r="B192" s="5" t="s">
        <v>310</v>
      </c>
      <c r="C192" s="21" t="n">
        <f aca="false">a25_sh</f>
        <v>248.5</v>
      </c>
      <c r="D192" s="21" t="n">
        <f aca="false">a26_sh</f>
        <v>249.915</v>
      </c>
      <c r="E192" s="21" t="n">
        <f aca="false">D192*(1+sh_g)</f>
        <v>249.915</v>
      </c>
      <c r="F192" s="21" t="n">
        <f aca="false">E192*(1+sh_g)</f>
        <v>249.915</v>
      </c>
      <c r="G192" s="21" t="n">
        <f aca="false">F192*(1+sh_g)</f>
        <v>249.915</v>
      </c>
      <c r="H192" s="30" t="n">
        <f aca="false">G192*(1+sh_g)</f>
        <v>249.915</v>
      </c>
      <c r="I192" s="30" t="n">
        <f aca="false">H192*(1+sh_g)</f>
        <v>249.915</v>
      </c>
      <c r="J192" s="30" t="n">
        <f aca="false">I192*(1+sh_g)</f>
        <v>249.915</v>
      </c>
    </row>
    <row r="193" customFormat="false" ht="17.15" hidden="false" customHeight="false" outlineLevel="0" collapsed="false">
      <c r="A193" s="0" t="s">
        <v>480</v>
      </c>
      <c r="B193" s="0" t="s">
        <v>331</v>
      </c>
      <c r="C193" s="18" t="n">
        <f aca="false">C191/C192</f>
        <v>1.5046277665996</v>
      </c>
      <c r="D193" s="18" t="n">
        <f aca="false">D191/D192</f>
        <v>2.58347778948843</v>
      </c>
      <c r="E193" s="18" t="n">
        <f aca="false">E191/E192</f>
        <v>2.78184417853018</v>
      </c>
      <c r="F193" s="18" t="n">
        <f aca="false">F191/F192</f>
        <v>2.31734178808988</v>
      </c>
      <c r="G193" s="18" t="n">
        <f aca="false">G191/G192</f>
        <v>2.71589957299999</v>
      </c>
      <c r="H193" s="27" t="n">
        <f aca="false">H191/H192</f>
        <v>2.719472722453</v>
      </c>
      <c r="I193" s="27" t="n">
        <f aca="false">I191/I192</f>
        <v>2.66037707146984</v>
      </c>
      <c r="J193" s="27" t="n">
        <f aca="false">J191/J192</f>
        <v>2.54045246402592</v>
      </c>
    </row>
    <row r="194" customFormat="false" ht="17.15" hidden="false" customHeight="false" outlineLevel="0" collapsed="false">
      <c r="A194" s="0" t="s">
        <v>589</v>
      </c>
      <c r="B194" s="0" t="s">
        <v>77</v>
      </c>
      <c r="D194" s="20" t="n">
        <f aca="false">D193/C193-1</f>
        <v>0.717021210719106</v>
      </c>
      <c r="E194" s="20" t="n">
        <f aca="false">E193/D193-1</f>
        <v>0.0767826957324189</v>
      </c>
      <c r="F194" s="20" t="n">
        <f aca="false">F193/E193-1</f>
        <v>-0.166976423059656</v>
      </c>
      <c r="G194" s="20" t="n">
        <f aca="false">G193/F193-1</f>
        <v>0.171989210637171</v>
      </c>
      <c r="H194" s="25" t="n">
        <f aca="false">H193/G193-1</f>
        <v>0.00131564122934846</v>
      </c>
      <c r="I194" s="25" t="n">
        <f aca="false">I193/H193-1</f>
        <v>-0.0217305547855796</v>
      </c>
      <c r="J194" s="25" t="n">
        <f aca="false">J193/I193-1</f>
        <v>-0.0450780487961666</v>
      </c>
    </row>
    <row r="195" customFormat="false" ht="17.15" hidden="false" customHeight="false" outlineLevel="0" collapsed="false">
      <c r="A195" s="5" t="s">
        <v>590</v>
      </c>
      <c r="B195" s="0" t="s">
        <v>77</v>
      </c>
      <c r="C195" s="17" t="n">
        <f aca="false">C191/C169</f>
        <v>0.0557394156231365</v>
      </c>
      <c r="D195" s="17" t="n">
        <f aca="false">D191/D169</f>
        <v>0.0840639229794768</v>
      </c>
      <c r="E195" s="17" t="n">
        <f aca="false">E191/E169</f>
        <v>0.081445832374103</v>
      </c>
      <c r="F195" s="17" t="n">
        <f aca="false">F191/F169</f>
        <v>0.0678957197941792</v>
      </c>
      <c r="G195" s="17" t="n">
        <f aca="false">G191/G169</f>
        <v>0.0735388227696281</v>
      </c>
      <c r="H195" s="26" t="n">
        <f aca="false">$G195+(fade_mC-$G195)*1/3</f>
        <v>0.0693778544396486</v>
      </c>
      <c r="I195" s="26" t="n">
        <f aca="false">$G195+(fade_mC-$G195)*2/3</f>
        <v>0.0652168861096691</v>
      </c>
      <c r="J195" s="26" t="n">
        <f aca="false">$G195+(fade_mC-$G195)*3/3</f>
        <v>0.0610559177796896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593</v>
      </c>
    </row>
    <row r="2" customFormat="false" ht="17.15" hidden="false" customHeight="false" outlineLevel="0" collapsed="false">
      <c r="A2" s="5" t="s">
        <v>594</v>
      </c>
    </row>
    <row r="4" customFormat="false" ht="17.15" hidden="false" customHeight="false" outlineLevel="0" collapsed="false">
      <c r="A4" s="1" t="s">
        <v>595</v>
      </c>
    </row>
    <row r="5" customFormat="false" ht="17.15" hidden="false" customHeight="false" outlineLevel="0" collapsed="false">
      <c r="A5" s="1" t="s">
        <v>596</v>
      </c>
    </row>
    <row r="6" customFormat="false" ht="17.15" hidden="false" customHeight="false" outlineLevel="0" collapsed="false">
      <c r="A6" s="6" t="s">
        <v>22</v>
      </c>
      <c r="B6" s="14" t="s">
        <v>597</v>
      </c>
      <c r="C6" s="14" t="s">
        <v>598</v>
      </c>
      <c r="D6" s="14" t="s">
        <v>599</v>
      </c>
      <c r="E6" s="6" t="s">
        <v>503</v>
      </c>
    </row>
    <row r="7" customFormat="false" ht="17.15" hidden="false" customHeight="false" outlineLevel="0" collapsed="false">
      <c r="A7" s="5" t="s">
        <v>600</v>
      </c>
      <c r="E7" s="0" t="s">
        <v>601</v>
      </c>
    </row>
    <row r="8" customFormat="false" ht="15" hidden="false" customHeight="false" outlineLevel="0" collapsed="false">
      <c r="A8" s="0" t="s">
        <v>602</v>
      </c>
      <c r="B8" s="18" t="n">
        <f aca="false">PL!E16</f>
        <v>3.10052397591464</v>
      </c>
      <c r="C8" s="18" t="n">
        <f aca="false">PL!E31</f>
        <v>2.99429737678648</v>
      </c>
      <c r="D8" s="18" t="n">
        <f aca="false">PL!E46</f>
        <v>2.78184417853018</v>
      </c>
    </row>
    <row r="9" customFormat="false" ht="15" hidden="false" customHeight="false" outlineLevel="0" collapsed="false">
      <c r="A9" s="0" t="s">
        <v>603</v>
      </c>
      <c r="B9" s="18" t="n">
        <f aca="false">PL!F16</f>
        <v>3.99736023666516</v>
      </c>
      <c r="C9" s="18" t="n">
        <f aca="false">PL!F31</f>
        <v>3.24072219564592</v>
      </c>
      <c r="D9" s="18" t="n">
        <f aca="false">PL!F46</f>
        <v>2.31734178808988</v>
      </c>
    </row>
    <row r="10" customFormat="false" ht="15" hidden="false" customHeight="false" outlineLevel="0" collapsed="false">
      <c r="A10" s="0" t="s">
        <v>604</v>
      </c>
      <c r="B10" s="18" t="n">
        <f aca="false">PL!G16</f>
        <v>4.90434497192527</v>
      </c>
      <c r="C10" s="18" t="n">
        <f aca="false">PL!G31</f>
        <v>4.12054076125599</v>
      </c>
      <c r="D10" s="18" t="n">
        <f aca="false">PL!G46</f>
        <v>2.71589957299999</v>
      </c>
    </row>
    <row r="11" customFormat="false" ht="15" hidden="false" customHeight="false" outlineLevel="0" collapsed="false">
      <c r="A11" s="0" t="s">
        <v>605</v>
      </c>
      <c r="B11" s="18" t="n">
        <f aca="false">PL!H16</f>
        <v>5.37574105786497</v>
      </c>
      <c r="C11" s="18" t="n">
        <f aca="false">PL!H31</f>
        <v>4.21434676459214</v>
      </c>
      <c r="D11" s="18" t="n">
        <f aca="false">PL!H46</f>
        <v>2.719472722453</v>
      </c>
    </row>
    <row r="12" customFormat="false" ht="15" hidden="false" customHeight="false" outlineLevel="0" collapsed="false">
      <c r="A12" s="0" t="s">
        <v>606</v>
      </c>
      <c r="B12" s="18" t="n">
        <f aca="false">PL!I16</f>
        <v>5.7953661693646</v>
      </c>
      <c r="C12" s="18" t="n">
        <f aca="false">PL!I31</f>
        <v>4.18734965294613</v>
      </c>
      <c r="D12" s="18" t="n">
        <f aca="false">PL!I46</f>
        <v>2.66037707146984</v>
      </c>
    </row>
    <row r="13" customFormat="false" ht="15" hidden="false" customHeight="false" outlineLevel="0" collapsed="false">
      <c r="A13" s="0" t="s">
        <v>607</v>
      </c>
      <c r="B13" s="18" t="n">
        <f aca="false">PL!J16</f>
        <v>6.14308813952647</v>
      </c>
      <c r="C13" s="18" t="n">
        <f aca="false">PL!J31</f>
        <v>4.03656317161704</v>
      </c>
      <c r="D13" s="18" t="n">
        <f aca="false">PL!J46</f>
        <v>2.54045246402592</v>
      </c>
    </row>
    <row r="14" customFormat="false" ht="17.15" hidden="false" customHeight="false" outlineLevel="0" collapsed="false">
      <c r="A14" s="5" t="s">
        <v>608</v>
      </c>
    </row>
    <row r="15" customFormat="false" ht="17.15" hidden="false" customHeight="false" outlineLevel="0" collapsed="false">
      <c r="A15" s="5" t="s">
        <v>609</v>
      </c>
      <c r="B15" s="20" t="n">
        <f aca="false">MIN(tp_g/tp_roe,0.8)</f>
        <v>0.448262980948823</v>
      </c>
      <c r="E15" s="8" t="s">
        <v>610</v>
      </c>
    </row>
    <row r="16" customFormat="false" ht="15" hidden="false" customHeight="false" outlineLevel="0" collapsed="false">
      <c r="A16" s="0" t="s">
        <v>602</v>
      </c>
      <c r="B16" s="18" t="n">
        <f aca="false">B8*(1-$B$15)</f>
        <v>1.71067385596785</v>
      </c>
      <c r="C16" s="18" t="n">
        <f aca="false">C8*(1-$B$15)</f>
        <v>1.65206470882093</v>
      </c>
      <c r="D16" s="18" t="n">
        <f aca="false">D8*(1-$B$15)</f>
        <v>1.53484641452711</v>
      </c>
    </row>
    <row r="17" customFormat="false" ht="15" hidden="false" customHeight="false" outlineLevel="0" collapsed="false">
      <c r="A17" s="0" t="s">
        <v>603</v>
      </c>
      <c r="B17" s="18" t="n">
        <f aca="false">B9*(1-$B$15)</f>
        <v>2.20549162105134</v>
      </c>
      <c r="C17" s="18" t="n">
        <f aca="false">C9*(1-$B$15)</f>
        <v>1.78802640379866</v>
      </c>
      <c r="D17" s="18" t="n">
        <f aca="false">D9*(1-$B$15)</f>
        <v>1.27856325028343</v>
      </c>
    </row>
    <row r="18" customFormat="false" ht="15" hidden="false" customHeight="false" outlineLevel="0" collapsed="false">
      <c r="A18" s="0" t="s">
        <v>604</v>
      </c>
      <c r="B18" s="18" t="n">
        <f aca="false">B10*(1-$B$15)</f>
        <v>2.70590867520867</v>
      </c>
      <c r="C18" s="18" t="n">
        <f aca="false">C10*(1-$B$15)</f>
        <v>2.27345487649425</v>
      </c>
      <c r="D18" s="18" t="n">
        <f aca="false">D10*(1-$B$15)</f>
        <v>1.49846233444938</v>
      </c>
    </row>
    <row r="19" customFormat="false" ht="15" hidden="false" customHeight="false" outlineLevel="0" collapsed="false">
      <c r="A19" s="0" t="s">
        <v>605</v>
      </c>
      <c r="B19" s="18" t="n">
        <f aca="false">B11*(1-$B$15)</f>
        <v>2.96599534645743</v>
      </c>
      <c r="C19" s="18" t="n">
        <f aca="false">C11*(1-$B$15)</f>
        <v>2.32521112114404</v>
      </c>
      <c r="D19" s="18" t="n">
        <f aca="false">D11*(1-$B$15)</f>
        <v>1.50043377327721</v>
      </c>
    </row>
    <row r="20" customFormat="false" ht="15" hidden="false" customHeight="false" outlineLevel="0" collapsed="false">
      <c r="A20" s="0" t="s">
        <v>606</v>
      </c>
      <c r="B20" s="18" t="n">
        <f aca="false">B12*(1-$B$15)</f>
        <v>3.19751805459526</v>
      </c>
      <c r="C20" s="18" t="n">
        <f aca="false">C12*(1-$B$15)</f>
        <v>2.31031581524148</v>
      </c>
      <c r="D20" s="18" t="n">
        <f aca="false">D12*(1-$B$15)</f>
        <v>1.46782851496487</v>
      </c>
    </row>
    <row r="21" customFormat="false" ht="15" hidden="false" customHeight="false" outlineLevel="0" collapsed="false">
      <c r="A21" s="0" t="s">
        <v>607</v>
      </c>
      <c r="B21" s="18" t="n">
        <f aca="false">B13*(1-$B$15)</f>
        <v>3.38936913787098</v>
      </c>
      <c r="C21" s="18" t="n">
        <f aca="false">C13*(1-$B$15)</f>
        <v>2.22712133151975</v>
      </c>
      <c r="D21" s="18" t="n">
        <f aca="false">D13*(1-$B$15)</f>
        <v>1.40166166954288</v>
      </c>
    </row>
    <row r="22" customFormat="false" ht="17.15" hidden="false" customHeight="false" outlineLevel="0" collapsed="false">
      <c r="A22" s="0" t="s">
        <v>611</v>
      </c>
      <c r="B22" s="18" t="n">
        <f aca="false">SUMPRODUCT(B16:B21,1/(1+tp_r)^{1;2;3;4;5;6})+B21*(1+tp_g)/(tp_r-tp_g)/(1+tp_r)^6</f>
        <v>44.4976156646191</v>
      </c>
      <c r="C22" s="18" t="n">
        <f aca="false">SUMPRODUCT(C16:C21,1/(1+tp_r)^{1;2;3;4;5;6})+C21*(1+tp_g)/(tp_r-tp_g)/(1+tp_r)^6</f>
        <v>30.7581253089774</v>
      </c>
      <c r="D22" s="18" t="n">
        <f aca="false">SUMPRODUCT(D16:D21,1/(1+tp_r)^{1;2;3;4;5;6})+D21*(1+tp_g)/(tp_r-tp_g)/(1+tp_r)^6</f>
        <v>20.0193784811051</v>
      </c>
      <c r="E22" s="8" t="s">
        <v>612</v>
      </c>
    </row>
    <row r="23" customFormat="false" ht="17.15" hidden="false" customHeight="false" outlineLevel="0" collapsed="false">
      <c r="A23" s="0" t="s">
        <v>613</v>
      </c>
      <c r="B23" s="18" t="n">
        <f aca="false">B22*(1+tp_r)</f>
        <v>48.947377231081</v>
      </c>
      <c r="C23" s="18" t="n">
        <f aca="false">C22*(1+tp_r)</f>
        <v>33.8339378398751</v>
      </c>
      <c r="D23" s="18" t="n">
        <f aca="false">D22*(1+tp_r)</f>
        <v>22.0213163292156</v>
      </c>
    </row>
    <row r="24" customFormat="false" ht="17.15" hidden="false" customHeight="false" outlineLevel="0" collapsed="false">
      <c r="A24" s="0" t="s">
        <v>614</v>
      </c>
      <c r="B24" s="31" t="n">
        <f aca="false">tp_wA*B23+tp_wB*C23+tp_wC*D23</f>
        <v>36.005445355105</v>
      </c>
      <c r="E24" s="8" t="s">
        <v>615</v>
      </c>
    </row>
    <row r="26" customFormat="false" ht="17.15" hidden="false" customHeight="false" outlineLevel="0" collapsed="false">
      <c r="A26" s="1" t="s">
        <v>616</v>
      </c>
    </row>
    <row r="27" customFormat="false" ht="17.15" hidden="false" customHeight="false" outlineLevel="0" collapsed="false">
      <c r="A27" s="6" t="s">
        <v>617</v>
      </c>
      <c r="B27" s="6" t="s">
        <v>618</v>
      </c>
      <c r="C27" s="6" t="s">
        <v>619</v>
      </c>
      <c r="D27" s="6" t="s">
        <v>620</v>
      </c>
      <c r="E27" s="6" t="s">
        <v>621</v>
      </c>
      <c r="F27" s="6" t="s">
        <v>27</v>
      </c>
    </row>
    <row r="28" customFormat="false" ht="17.15" hidden="false" customHeight="false" outlineLevel="0" collapsed="false">
      <c r="A28" s="5" t="s">
        <v>622</v>
      </c>
      <c r="B28" s="0" t="s">
        <v>623</v>
      </c>
      <c r="C28" s="32" t="n">
        <v>27.37</v>
      </c>
      <c r="D28" s="8" t="s">
        <v>624</v>
      </c>
      <c r="E28" s="8" t="s">
        <v>625</v>
      </c>
      <c r="F28" s="8" t="s">
        <v>103</v>
      </c>
    </row>
    <row r="29" customFormat="false" ht="17.15" hidden="false" customHeight="false" outlineLevel="0" collapsed="false">
      <c r="A29" s="5" t="s">
        <v>626</v>
      </c>
      <c r="B29" s="0" t="s">
        <v>627</v>
      </c>
      <c r="C29" s="32" t="n">
        <v>20.6</v>
      </c>
      <c r="D29" s="8" t="s">
        <v>628</v>
      </c>
      <c r="E29" s="8" t="s">
        <v>625</v>
      </c>
      <c r="F29" s="8" t="s">
        <v>103</v>
      </c>
    </row>
    <row r="30" customFormat="false" ht="17.15" hidden="false" customHeight="false" outlineLevel="0" collapsed="false">
      <c r="A30" s="5" t="s">
        <v>629</v>
      </c>
      <c r="B30" s="0" t="s">
        <v>630</v>
      </c>
      <c r="C30" s="32" t="n">
        <v>26.13</v>
      </c>
      <c r="D30" s="8" t="s">
        <v>631</v>
      </c>
      <c r="E30" s="8" t="s">
        <v>625</v>
      </c>
      <c r="F30" s="8" t="s">
        <v>103</v>
      </c>
    </row>
    <row r="31" customFormat="false" ht="17.15" hidden="false" customHeight="false" outlineLevel="0" collapsed="false">
      <c r="A31" s="5" t="s">
        <v>632</v>
      </c>
      <c r="B31" s="0" t="s">
        <v>633</v>
      </c>
      <c r="C31" s="32" t="n">
        <v>23.3</v>
      </c>
      <c r="D31" s="8" t="s">
        <v>628</v>
      </c>
      <c r="E31" s="8" t="s">
        <v>625</v>
      </c>
      <c r="F31" s="8" t="s">
        <v>103</v>
      </c>
    </row>
    <row r="32" customFormat="false" ht="17.15" hidden="false" customHeight="false" outlineLevel="0" collapsed="false">
      <c r="A32" s="5" t="s">
        <v>634</v>
      </c>
      <c r="B32" s="0" t="s">
        <v>635</v>
      </c>
      <c r="C32" s="32" t="n">
        <v>22.08</v>
      </c>
      <c r="D32" s="8" t="s">
        <v>636</v>
      </c>
      <c r="E32" s="8" t="s">
        <v>625</v>
      </c>
      <c r="F32" s="8" t="s">
        <v>103</v>
      </c>
    </row>
    <row r="33" customFormat="false" ht="17.15" hidden="false" customHeight="false" outlineLevel="0" collapsed="false">
      <c r="A33" s="5" t="s">
        <v>637</v>
      </c>
      <c r="B33" s="21" t="n">
        <f aca="false">MEDIAN(C28:C32)</f>
        <v>23.3</v>
      </c>
      <c r="E33" s="5" t="s">
        <v>638</v>
      </c>
    </row>
    <row r="34" customFormat="false" ht="17.15" hidden="false" customHeight="false" outlineLevel="0" collapsed="false">
      <c r="A34" s="0" t="s">
        <v>639</v>
      </c>
      <c r="B34" s="18" t="n">
        <f aca="false">tp_wA*(2/12*B8+10/12*B9)+tp_wB*(2/12*C8+10/12*C9)+tp_wC*(2/12*D8+10/12*D9)</f>
        <v>3.23314372484602</v>
      </c>
      <c r="E34" s="5" t="s">
        <v>640</v>
      </c>
    </row>
    <row r="35" customFormat="false" ht="17.15" hidden="false" customHeight="false" outlineLevel="0" collapsed="false">
      <c r="A35" s="0" t="s">
        <v>641</v>
      </c>
      <c r="B35" s="31" t="n">
        <f aca="false">B33*B34</f>
        <v>75.3322487889122</v>
      </c>
      <c r="E35" s="5" t="s">
        <v>642</v>
      </c>
    </row>
    <row r="37" customFormat="false" ht="17.15" hidden="false" customHeight="false" outlineLevel="0" collapsed="false">
      <c r="A37" s="1" t="s">
        <v>643</v>
      </c>
    </row>
    <row r="38" customFormat="false" ht="15" hidden="false" customHeight="false" outlineLevel="0" collapsed="false">
      <c r="A38" s="6" t="s">
        <v>22</v>
      </c>
      <c r="B38" s="6" t="s">
        <v>644</v>
      </c>
      <c r="C38" s="14"/>
      <c r="D38" s="14"/>
      <c r="E38" s="6" t="s">
        <v>503</v>
      </c>
    </row>
    <row r="39" customFormat="false" ht="17.15" hidden="false" customHeight="false" outlineLevel="0" collapsed="false">
      <c r="A39" s="5" t="s">
        <v>645</v>
      </c>
      <c r="B39" s="31" t="n">
        <f aca="false">tp_w_dcf*B24+(1-tp_w_dcf)*tp_comp_adj</f>
        <v>66.3976000656303</v>
      </c>
      <c r="E39" s="8" t="s">
        <v>646</v>
      </c>
    </row>
    <row r="40" customFormat="false" ht="17.15" hidden="false" customHeight="false" outlineLevel="0" collapsed="false">
      <c r="A40" s="0" t="s">
        <v>647</v>
      </c>
      <c r="B40" s="18" t="n">
        <f aca="false">B35</f>
        <v>75.3322487889122</v>
      </c>
    </row>
    <row r="41" customFormat="false" ht="17.15" hidden="false" customHeight="false" outlineLevel="0" collapsed="false">
      <c r="A41" s="5" t="s">
        <v>648</v>
      </c>
      <c r="B41" s="18" t="n">
        <f aca="false">cons_tp</f>
        <v>76.4</v>
      </c>
      <c r="E41" s="8" t="s">
        <v>649</v>
      </c>
    </row>
    <row r="42" customFormat="false" ht="17.15" hidden="false" customHeight="false" outlineLevel="0" collapsed="false">
      <c r="A42" s="5" t="s">
        <v>650</v>
      </c>
      <c r="B42" s="20" t="n">
        <f aca="false">B39/px-1</f>
        <v>0.689506362993138</v>
      </c>
      <c r="E42" s="5" t="s">
        <v>651</v>
      </c>
    </row>
    <row r="43" customFormat="false" ht="17.15" hidden="false" customHeight="false" outlineLevel="0" collapsed="false">
      <c r="A43" s="5" t="s">
        <v>652</v>
      </c>
      <c r="B43" s="20" t="n">
        <f aca="false">B40/px-1</f>
        <v>0.916851114221684</v>
      </c>
    </row>
    <row r="44" customFormat="false" ht="17.15" hidden="false" customHeight="false" outlineLevel="0" collapsed="false">
      <c r="A44" s="5" t="s">
        <v>653</v>
      </c>
      <c r="B44" s="20" t="n">
        <f aca="false">B34/cons_feps-1</f>
        <v>0.153401400059571</v>
      </c>
      <c r="E44" s="5" t="s">
        <v>654</v>
      </c>
    </row>
    <row r="45" customFormat="false" ht="17.15" hidden="false" customHeight="false" outlineLevel="0" collapsed="false">
      <c r="A45" s="5" t="s">
        <v>655</v>
      </c>
      <c r="B45" s="20" t="n">
        <f aca="false">(cons_tp/cons_feps)/B33-1</f>
        <v>0.169749587742577</v>
      </c>
      <c r="E45" s="0" t="str">
        <f aca="false">"共識目標價隱含 "&amp;TEXT(cons_tp/cons_feps,"0.0")&amp;"x，同業中位數 "&amp;TEXT(B33,"0.0")&amp;"x"</f>
        <v>共識目標價隱含 27.3x，同業中位數 23.3x</v>
      </c>
    </row>
    <row r="46" customFormat="false" ht="17.15" hidden="false" customHeight="false" outlineLevel="0" collapsed="false">
      <c r="A46" s="5" t="s">
        <v>656</v>
      </c>
      <c r="B46" s="33" t="str">
        <f aca="false">TEXT(D23,"0.00")&amp;"～"&amp;TEXT(B23,"0.00")</f>
        <v>22.02～48.95</v>
      </c>
      <c r="E46" s="8" t="s">
        <v>657</v>
      </c>
    </row>
    <row r="47" customFormat="false" ht="17.15" hidden="false" customHeight="false" outlineLevel="0" collapsed="false">
      <c r="A47" s="5" t="s">
        <v>658</v>
      </c>
      <c r="B47" s="34" t="n">
        <f aca="false">PERCENTRANK($B$86:$B$95,px/B9)</f>
        <v>0.281</v>
      </c>
      <c r="C47" s="34" t="n">
        <f aca="false">PERCENTRANK($B$86:$B$95,px/C9)</f>
        <v>0.455</v>
      </c>
      <c r="D47" s="34" t="n">
        <f aca="false">PERCENTRANK($B$86:$B$95,px/D9)</f>
        <v>0.636</v>
      </c>
      <c r="E47" s="5" t="s">
        <v>659</v>
      </c>
    </row>
    <row r="48" customFormat="false" ht="17.15" hidden="false" customHeight="false" outlineLevel="0" collapsed="false">
      <c r="A48" s="5" t="s">
        <v>660</v>
      </c>
      <c r="B48" s="0" t="s">
        <v>661</v>
      </c>
    </row>
    <row r="49" customFormat="false" ht="17.15" hidden="false" customHeight="false" outlineLevel="0" collapsed="false">
      <c r="A49" s="5" t="s">
        <v>662</v>
      </c>
      <c r="B49" s="33" t="str">
        <f aca="false">IF(B42&gt;0.5,"大於 50%",IF(B42&gt;0.25,"25%–50%",IF(B42&gt;=0,"0%–25%",IF(B42&gt;=-0.25,"0%～−25%",IF(B42&gt;=-0.5,"−25%～−50%","小於 −50%")))))</f>
        <v>大於 50%</v>
      </c>
      <c r="E49" s="5" t="s">
        <v>663</v>
      </c>
    </row>
    <row r="50" customFormat="false" ht="17.15" hidden="false" customHeight="false" outlineLevel="0" collapsed="false">
      <c r="A50" s="5" t="s">
        <v>664</v>
      </c>
      <c r="B50" s="33" t="str">
        <f aca="false">IF(B42&gt;0.5,"強力買進",IF(B42&gt;0.25,"買進",IF(B42&gt;=-0.25,"中立",IF(B42&gt;=-0.5,"放空","強力放空"))))</f>
        <v>強力買進</v>
      </c>
      <c r="E50" s="5" t="s">
        <v>665</v>
      </c>
    </row>
    <row r="51" customFormat="false" ht="17.15" hidden="false" customHeight="false" outlineLevel="0" collapsed="false">
      <c r="A51" s="1" t="s">
        <v>666</v>
      </c>
    </row>
    <row r="52" customFormat="false" ht="15" hidden="false" customHeight="false" outlineLevel="0" collapsed="false">
      <c r="A52" s="6" t="s">
        <v>22</v>
      </c>
      <c r="B52" s="14" t="s">
        <v>667</v>
      </c>
      <c r="C52" s="14" t="s">
        <v>668</v>
      </c>
      <c r="D52" s="14" t="s">
        <v>669</v>
      </c>
      <c r="E52" s="6" t="s">
        <v>503</v>
      </c>
    </row>
    <row r="53" customFormat="false" ht="17.15" hidden="false" customHeight="false" outlineLevel="0" collapsed="false">
      <c r="A53" s="5" t="s">
        <v>670</v>
      </c>
      <c r="B53" s="18" t="n">
        <f aca="false">px</f>
        <v>39.3</v>
      </c>
    </row>
    <row r="54" customFormat="false" ht="17.15" hidden="false" customHeight="false" outlineLevel="0" collapsed="false">
      <c r="A54" s="5" t="s">
        <v>671</v>
      </c>
      <c r="B54" s="21" t="n">
        <f aca="false">px/PL!D16</f>
        <v>15.2120525904665</v>
      </c>
      <c r="C54" s="21" t="n">
        <f aca="false">px/PL!D31</f>
        <v>15.2120525904665</v>
      </c>
      <c r="D54" s="21" t="n">
        <f aca="false">px/PL!D46</f>
        <v>15.2120525904665</v>
      </c>
      <c r="E54" s="8" t="s">
        <v>672</v>
      </c>
    </row>
    <row r="55" customFormat="false" ht="17.15" hidden="false" customHeight="false" outlineLevel="0" collapsed="false">
      <c r="A55" s="5" t="s">
        <v>673</v>
      </c>
      <c r="B55" s="21" t="n">
        <f aca="false">px/PL!E16</f>
        <v>12.6752769226391</v>
      </c>
      <c r="C55" s="21" t="n">
        <f aca="false">px/PL!E31</f>
        <v>13.1249488793853</v>
      </c>
      <c r="D55" s="21" t="n">
        <f aca="false">px/PL!E46</f>
        <v>14.1273189574423</v>
      </c>
      <c r="E55" s="8" t="s">
        <v>674</v>
      </c>
    </row>
    <row r="56" customFormat="false" ht="17.15" hidden="false" customHeight="false" outlineLevel="0" collapsed="false">
      <c r="A56" s="5" t="s">
        <v>675</v>
      </c>
      <c r="B56" s="21" t="n">
        <f aca="false">px/PL!F16</f>
        <v>9.83148820051965</v>
      </c>
      <c r="C56" s="21" t="n">
        <f aca="false">px/PL!F31</f>
        <v>12.1269265390294</v>
      </c>
      <c r="D56" s="21" t="n">
        <f aca="false">px/PL!F46</f>
        <v>16.9590865715126</v>
      </c>
    </row>
    <row r="57" customFormat="false" ht="17.15" hidden="false" customHeight="false" outlineLevel="0" collapsed="false">
      <c r="A57" s="5" t="s">
        <v>676</v>
      </c>
      <c r="B57" s="21" t="n">
        <f aca="false">px/PL!G16</f>
        <v>8.01330253580678</v>
      </c>
      <c r="C57" s="21" t="n">
        <f aca="false">px/PL!G31</f>
        <v>9.53758311761511</v>
      </c>
      <c r="D57" s="21" t="n">
        <f aca="false">px/PL!G46</f>
        <v>14.4703435983788</v>
      </c>
    </row>
    <row r="58" customFormat="false" ht="17.15" hidden="false" customHeight="false" outlineLevel="0" collapsed="false">
      <c r="A58" s="5" t="s">
        <v>677</v>
      </c>
      <c r="B58" s="18" t="n">
        <f aca="false">0.2*PL!D31+0.8*PL!E31</f>
        <v>2.91213345932687</v>
      </c>
    </row>
    <row r="59" customFormat="false" ht="17.15" hidden="false" customHeight="false" outlineLevel="0" collapsed="false">
      <c r="A59" s="5" t="s">
        <v>678</v>
      </c>
      <c r="B59" s="21" t="n">
        <f aca="false">px/B58</f>
        <v>13.4952606221159</v>
      </c>
    </row>
    <row r="60" customFormat="false" ht="17.15" hidden="false" customHeight="false" outlineLevel="0" collapsed="false">
      <c r="A60" s="5" t="s">
        <v>377</v>
      </c>
      <c r="B60" s="21" t="n">
        <f aca="false">pe_ttm</f>
        <v>17.64</v>
      </c>
    </row>
    <row r="61" customFormat="false" ht="17.15" hidden="false" customHeight="false" outlineLevel="0" collapsed="false">
      <c r="A61" s="5" t="s">
        <v>381</v>
      </c>
      <c r="B61" s="21" t="n">
        <f aca="false">fpe</f>
        <v>14.02</v>
      </c>
    </row>
    <row r="63" customFormat="false" ht="17.15" hidden="false" customHeight="false" outlineLevel="0" collapsed="false">
      <c r="A63" s="1" t="s">
        <v>679</v>
      </c>
    </row>
    <row r="64" customFormat="false" ht="17.15" hidden="false" customHeight="false" outlineLevel="0" collapsed="false">
      <c r="A64" s="6" t="s">
        <v>680</v>
      </c>
      <c r="B64" s="6" t="s">
        <v>681</v>
      </c>
      <c r="C64" s="14" t="s">
        <v>682</v>
      </c>
      <c r="D64" s="6" t="s">
        <v>683</v>
      </c>
      <c r="E64" s="6" t="s">
        <v>684</v>
      </c>
      <c r="F64" s="6" t="s">
        <v>503</v>
      </c>
    </row>
    <row r="65" customFormat="false" ht="17.15" hidden="false" customHeight="false" outlineLevel="0" collapsed="false">
      <c r="A65" s="0" t="s">
        <v>667</v>
      </c>
      <c r="B65" s="0" t="n">
        <f aca="false">INDEX({2026,2027,2028,2029},MATCH(MAX(PL!D77:G77),PL!D77:G77,0))</f>
        <v>2029</v>
      </c>
      <c r="C65" s="0" t="str">
        <f aca="false">IF(B65=2029,"中段",IF(2027&lt;B65,"中段",IF(2027=B65,"見頂","谷底")))</f>
        <v>中段</v>
      </c>
      <c r="D65" s="21" t="n">
        <f aca="false">IF(C65="見頂",pe_peak,IF(C65="谷底",pe_trough,pe_mid))</f>
        <v>13.34</v>
      </c>
      <c r="E65" s="0" t="str">
        <f aca="false">IF(B65=2029,"是：營收到觀測期末仍在增加","否")</f>
        <v>是：營收到觀測期末仍在增加</v>
      </c>
      <c r="F65" s="8" t="s">
        <v>685</v>
      </c>
    </row>
    <row r="66" customFormat="false" ht="15" hidden="false" customHeight="false" outlineLevel="0" collapsed="false">
      <c r="A66" s="0" t="s">
        <v>668</v>
      </c>
      <c r="B66" s="0" t="n">
        <f aca="false">INDEX({2026,2027,2028,2029},MATCH(MAX(PL!D123:G123),PL!D123:G123,0))</f>
        <v>2029</v>
      </c>
      <c r="C66" s="0" t="str">
        <f aca="false">IF(B66=2029,"中段",IF(2027&lt;B66,"中段",IF(2027=B66,"見頂","谷底")))</f>
        <v>中段</v>
      </c>
      <c r="D66" s="21" t="n">
        <f aca="false">IF(C66="見頂",pe_peak,IF(C66="谷底",pe_trough,pe_mid))</f>
        <v>13.34</v>
      </c>
      <c r="E66" s="0" t="str">
        <f aca="false">IF(B66=2029,"是：營收到觀測期末仍在增加","否")</f>
        <v>是：營收到觀測期末仍在增加</v>
      </c>
      <c r="F66" s="5" t="s">
        <v>39</v>
      </c>
    </row>
    <row r="67" customFormat="false" ht="15" hidden="false" customHeight="false" outlineLevel="0" collapsed="false">
      <c r="A67" s="0" t="s">
        <v>669</v>
      </c>
      <c r="B67" s="0" t="n">
        <f aca="false">INDEX({2026,2027,2028,2029},MATCH(MAX(PL!D169:G169),PL!D169:G169,0))</f>
        <v>2029</v>
      </c>
      <c r="C67" s="0" t="str">
        <f aca="false">IF(B67=2029,"中段",IF(2027&lt;B67,"中段",IF(2027=B67,"見頂","谷底")))</f>
        <v>中段</v>
      </c>
      <c r="D67" s="21" t="n">
        <f aca="false">IF(C67="見頂",pe_peak,IF(C67="谷底",pe_trough,pe_mid))</f>
        <v>13.34</v>
      </c>
      <c r="E67" s="0" t="str">
        <f aca="false">IF(B67=2029,"是：營收到觀測期末仍在增加","否")</f>
        <v>是：營收到觀測期末仍在增加</v>
      </c>
      <c r="F67" s="5" t="s">
        <v>39</v>
      </c>
    </row>
    <row r="69" customFormat="false" ht="17.15" hidden="false" customHeight="false" outlineLevel="0" collapsed="false">
      <c r="A69" s="1" t="s">
        <v>686</v>
      </c>
    </row>
    <row r="70" customFormat="false" ht="17.15" hidden="false" customHeight="false" outlineLevel="0" collapsed="false">
      <c r="A70" s="6" t="s">
        <v>680</v>
      </c>
      <c r="B70" s="14" t="s">
        <v>687</v>
      </c>
      <c r="C70" s="6" t="s">
        <v>688</v>
      </c>
      <c r="D70" s="6" t="s">
        <v>689</v>
      </c>
      <c r="E70" s="6" t="s">
        <v>690</v>
      </c>
      <c r="F70" s="6" t="s">
        <v>691</v>
      </c>
      <c r="G70" s="6" t="s">
        <v>692</v>
      </c>
    </row>
    <row r="71" customFormat="false" ht="15" hidden="false" customHeight="false" outlineLevel="0" collapsed="false">
      <c r="A71" s="9" t="s">
        <v>667</v>
      </c>
      <c r="B71" s="31" t="n">
        <f aca="false">PL!E16</f>
        <v>3.10052397591464</v>
      </c>
      <c r="C71" s="31" t="n">
        <f aca="false">B71</f>
        <v>3.10052397591464</v>
      </c>
      <c r="D71" s="35" t="n">
        <f aca="false">D65</f>
        <v>13.34</v>
      </c>
      <c r="E71" s="31" t="n">
        <f aca="false">C71*D71</f>
        <v>41.3609898387013</v>
      </c>
      <c r="F71" s="36" t="n">
        <f aca="false">E71/px-1</f>
        <v>0.052442489534384</v>
      </c>
      <c r="G71" s="35" t="n">
        <f aca="false">px/C71</f>
        <v>12.6752769226391</v>
      </c>
    </row>
    <row r="72" customFormat="false" ht="15" hidden="false" customHeight="false" outlineLevel="0" collapsed="false">
      <c r="A72" s="9" t="s">
        <v>668</v>
      </c>
      <c r="B72" s="31" t="n">
        <f aca="false">PL!E31</f>
        <v>2.99429737678648</v>
      </c>
      <c r="C72" s="31" t="n">
        <f aca="false">B72</f>
        <v>2.99429737678648</v>
      </c>
      <c r="D72" s="35" t="n">
        <f aca="false">D66</f>
        <v>13.34</v>
      </c>
      <c r="E72" s="31" t="n">
        <f aca="false">C72*D72</f>
        <v>39.9439270063317</v>
      </c>
      <c r="F72" s="36" t="n">
        <f aca="false">E72/px-1</f>
        <v>0.016384911102588</v>
      </c>
      <c r="G72" s="35" t="n">
        <f aca="false">px/C72</f>
        <v>13.1249488793853</v>
      </c>
    </row>
    <row r="73" customFormat="false" ht="15" hidden="false" customHeight="false" outlineLevel="0" collapsed="false">
      <c r="A73" s="9" t="s">
        <v>669</v>
      </c>
      <c r="B73" s="31" t="n">
        <f aca="false">PL!E46</f>
        <v>2.78184417853018</v>
      </c>
      <c r="C73" s="31" t="n">
        <f aca="false">B73</f>
        <v>2.78184417853018</v>
      </c>
      <c r="D73" s="35" t="n">
        <f aca="false">D67</f>
        <v>13.34</v>
      </c>
      <c r="E73" s="31" t="n">
        <f aca="false">C73*D73</f>
        <v>37.1098013415926</v>
      </c>
      <c r="F73" s="36" t="n">
        <f aca="false">E73/px-1</f>
        <v>-0.0557302457610034</v>
      </c>
      <c r="G73" s="35" t="n">
        <f aca="false">px/C73</f>
        <v>14.1273189574423</v>
      </c>
    </row>
    <row r="75" customFormat="false" ht="17.15" hidden="false" customHeight="false" outlineLevel="0" collapsed="false">
      <c r="A75" s="1" t="s">
        <v>693</v>
      </c>
    </row>
    <row r="76" customFormat="false" ht="17.15" hidden="false" customHeight="false" outlineLevel="0" collapsed="false">
      <c r="A76" s="14" t="s">
        <v>694</v>
      </c>
      <c r="B76" s="6" t="s">
        <v>695</v>
      </c>
      <c r="C76" s="6" t="s">
        <v>696</v>
      </c>
      <c r="D76" s="6" t="s">
        <v>697</v>
      </c>
      <c r="E76" s="6" t="s">
        <v>698</v>
      </c>
    </row>
    <row r="77" customFormat="false" ht="15" hidden="false" customHeight="false" outlineLevel="0" collapsed="false">
      <c r="A77" s="19" t="n">
        <v>1</v>
      </c>
      <c r="B77" s="21" t="n">
        <f aca="false">px*A77/PL!F16</f>
        <v>9.83148820051965</v>
      </c>
      <c r="C77" s="21" t="n">
        <f aca="false">px*A77/PL!F31</f>
        <v>12.1269265390294</v>
      </c>
      <c r="D77" s="21" t="n">
        <f aca="false">px*A77/PL!F46</f>
        <v>16.9590865715126</v>
      </c>
      <c r="E77" s="21" t="n">
        <f aca="false">pe_mid</f>
        <v>13.34</v>
      </c>
    </row>
    <row r="78" customFormat="false" ht="15" hidden="false" customHeight="false" outlineLevel="0" collapsed="false">
      <c r="A78" s="19" t="n">
        <v>1.1</v>
      </c>
      <c r="B78" s="21" t="n">
        <f aca="false">px*A78/PL!F16</f>
        <v>10.8146370205716</v>
      </c>
      <c r="C78" s="21" t="n">
        <f aca="false">px*A78/PL!F31</f>
        <v>13.3396191929323</v>
      </c>
      <c r="D78" s="21" t="n">
        <f aca="false">px*A78/PL!F46</f>
        <v>18.6549952286638</v>
      </c>
      <c r="E78" s="21" t="n">
        <f aca="false">pe_mid</f>
        <v>13.34</v>
      </c>
    </row>
    <row r="79" customFormat="false" ht="15" hidden="false" customHeight="false" outlineLevel="0" collapsed="false">
      <c r="A79" s="19" t="n">
        <v>1.21</v>
      </c>
      <c r="B79" s="21" t="n">
        <f aca="false">px*A79/PL!F16</f>
        <v>11.8961007226288</v>
      </c>
      <c r="C79" s="21" t="n">
        <f aca="false">px*A79/PL!F31</f>
        <v>14.6735811122255</v>
      </c>
      <c r="D79" s="21" t="n">
        <f aca="false">px*A79/PL!F46</f>
        <v>20.5204947515302</v>
      </c>
      <c r="E79" s="21" t="n">
        <f aca="false">pe_mid</f>
        <v>13.34</v>
      </c>
    </row>
    <row r="80" customFormat="false" ht="15" hidden="false" customHeight="false" outlineLevel="0" collapsed="false">
      <c r="A80" s="19" t="n">
        <v>1.5</v>
      </c>
      <c r="B80" s="21" t="n">
        <f aca="false">px*A80/PL!F16</f>
        <v>14.7472323007795</v>
      </c>
      <c r="C80" s="21" t="n">
        <f aca="false">px*A80/PL!F31</f>
        <v>18.190389808544</v>
      </c>
      <c r="D80" s="21" t="n">
        <f aca="false">px*A80/PL!F46</f>
        <v>25.4386298572688</v>
      </c>
      <c r="E80" s="21" t="n">
        <f aca="false">pe_mid</f>
        <v>13.34</v>
      </c>
    </row>
    <row r="81" customFormat="false" ht="15" hidden="false" customHeight="false" outlineLevel="0" collapsed="false">
      <c r="A81" s="19" t="n">
        <v>2</v>
      </c>
      <c r="B81" s="21" t="n">
        <f aca="false">px*A81/PL!F16</f>
        <v>19.6629764010393</v>
      </c>
      <c r="C81" s="21" t="n">
        <f aca="false">px*A81/PL!F31</f>
        <v>24.2538530780587</v>
      </c>
      <c r="D81" s="21" t="n">
        <f aca="false">px*A81/PL!F46</f>
        <v>33.9181731430251</v>
      </c>
      <c r="E81" s="21" t="n">
        <f aca="false">pe_mid</f>
        <v>13.34</v>
      </c>
    </row>
    <row r="82" customFormat="false" ht="17.15" hidden="false" customHeight="false" outlineLevel="0" collapsed="false">
      <c r="A82" s="5" t="s">
        <v>699</v>
      </c>
    </row>
    <row r="84" customFormat="false" ht="17.15" hidden="false" customHeight="false" outlineLevel="0" collapsed="false">
      <c r="A84" s="1" t="s">
        <v>700</v>
      </c>
    </row>
    <row r="85" customFormat="false" ht="17.15" hidden="false" customHeight="false" outlineLevel="0" collapsed="false">
      <c r="A85" s="6" t="s">
        <v>701</v>
      </c>
      <c r="B85" s="6" t="s">
        <v>702</v>
      </c>
      <c r="C85" s="14" t="s">
        <v>703</v>
      </c>
      <c r="D85" s="6" t="s">
        <v>704</v>
      </c>
    </row>
    <row r="86" customFormat="false" ht="15" hidden="false" customHeight="false" outlineLevel="0" collapsed="false">
      <c r="A86" s="0" t="s">
        <v>705</v>
      </c>
      <c r="B86" s="18" t="n">
        <f aca="false">AVERAGE(C86:D86)</f>
        <v>14.8449275362319</v>
      </c>
      <c r="C86" s="18" t="n">
        <f aca="false">B105</f>
        <v>14.4</v>
      </c>
      <c r="D86" s="18" t="n">
        <f aca="false">C105</f>
        <v>15.2898550724638</v>
      </c>
    </row>
    <row r="87" customFormat="false" ht="15" hidden="false" customHeight="false" outlineLevel="0" collapsed="false">
      <c r="A87" s="0" t="s">
        <v>706</v>
      </c>
      <c r="B87" s="18" t="n">
        <f aca="false">AVERAGE(C87:D87)</f>
        <v>8.91509174311927</v>
      </c>
      <c r="C87" s="18" t="n">
        <f aca="false">B106</f>
        <v>8.61</v>
      </c>
      <c r="D87" s="18" t="n">
        <f aca="false">C106</f>
        <v>9.22018348623853</v>
      </c>
    </row>
    <row r="88" customFormat="false" ht="15" hidden="false" customHeight="false" outlineLevel="0" collapsed="false">
      <c r="A88" s="0" t="s">
        <v>707</v>
      </c>
      <c r="B88" s="18" t="n">
        <f aca="false">AVERAGE(C88:D88)</f>
        <v>11.838679245283</v>
      </c>
      <c r="C88" s="18" t="n">
        <f aca="false">B107</f>
        <v>11.3</v>
      </c>
      <c r="D88" s="18" t="n">
        <f aca="false">C107</f>
        <v>12.377358490566</v>
      </c>
    </row>
    <row r="89" customFormat="false" ht="15" hidden="false" customHeight="false" outlineLevel="0" collapsed="false">
      <c r="A89" s="0" t="s">
        <v>708</v>
      </c>
      <c r="B89" s="18" t="n">
        <f aca="false">AVERAGE(C89:D89)</f>
        <v>25.15</v>
      </c>
      <c r="C89" s="18" t="n">
        <f aca="false">B108</f>
        <v>24.3</v>
      </c>
      <c r="D89" s="18" t="n">
        <f aca="false">C108</f>
        <v>26</v>
      </c>
    </row>
    <row r="90" customFormat="false" ht="15" hidden="false" customHeight="false" outlineLevel="0" collapsed="false">
      <c r="A90" s="0" t="s">
        <v>709</v>
      </c>
      <c r="B90" s="18" t="n">
        <f aca="false">AVERAGE(C90:D90)</f>
        <v>10.4357142857143</v>
      </c>
      <c r="C90" s="18" t="n">
        <f aca="false">B109</f>
        <v>10.1</v>
      </c>
      <c r="D90" s="18" t="n">
        <f aca="false">C109</f>
        <v>10.7714285714286</v>
      </c>
    </row>
    <row r="91" customFormat="false" ht="15" hidden="false" customHeight="false" outlineLevel="0" collapsed="false">
      <c r="A91" s="0" t="s">
        <v>710</v>
      </c>
      <c r="B91" s="18" t="n">
        <f aca="false">AVERAGE(C91:D91)</f>
        <v>9.15591603053435</v>
      </c>
      <c r="C91" s="18" t="n">
        <f aca="false">B110</f>
        <v>8.85</v>
      </c>
      <c r="D91" s="18" t="n">
        <f aca="false">C110</f>
        <v>9.4618320610687</v>
      </c>
    </row>
    <row r="92" customFormat="false" ht="15" hidden="false" customHeight="false" outlineLevel="0" collapsed="false">
      <c r="A92" s="0" t="s">
        <v>711</v>
      </c>
      <c r="B92" s="18" t="n">
        <f aca="false">AVERAGE(C92:D92)</f>
        <v>7.50530546623794</v>
      </c>
      <c r="C92" s="18" t="n">
        <f aca="false">B111</f>
        <v>7.3</v>
      </c>
      <c r="D92" s="18" t="n">
        <f aca="false">C111</f>
        <v>7.71061093247589</v>
      </c>
    </row>
    <row r="93" customFormat="false" ht="15" hidden="false" customHeight="false" outlineLevel="0" collapsed="false">
      <c r="A93" s="0" t="s">
        <v>712</v>
      </c>
      <c r="B93" s="18" t="n">
        <f aca="false">AVERAGE(C93:D93)</f>
        <v>22.3438356164384</v>
      </c>
      <c r="C93" s="18" t="n">
        <f aca="false">B112</f>
        <v>21.9</v>
      </c>
      <c r="D93" s="18" t="n">
        <f aca="false">C112</f>
        <v>22.7876712328767</v>
      </c>
    </row>
    <row r="94" customFormat="false" ht="15" hidden="false" customHeight="false" outlineLevel="0" collapsed="false">
      <c r="A94" s="0" t="s">
        <v>713</v>
      </c>
      <c r="B94" s="18" t="n">
        <f aca="false">AVERAGE(C94:D94)</f>
        <v>17.7825174825175</v>
      </c>
      <c r="C94" s="18" t="n">
        <f aca="false">B113</f>
        <v>17.6</v>
      </c>
      <c r="D94" s="18" t="n">
        <f aca="false">C113</f>
        <v>17.965034965035</v>
      </c>
    </row>
    <row r="95" customFormat="false" ht="15" hidden="false" customHeight="false" outlineLevel="0" collapsed="false">
      <c r="A95" s="0" t="s">
        <v>714</v>
      </c>
      <c r="B95" s="18" t="n">
        <f aca="false">AVERAGE(C95:D95)</f>
        <v>26.21</v>
      </c>
      <c r="C95" s="18" t="n">
        <f aca="false">B114</f>
        <v>26.1</v>
      </c>
      <c r="D95" s="18" t="n">
        <f aca="false">C114</f>
        <v>26.32</v>
      </c>
    </row>
    <row r="96" customFormat="false" ht="15" hidden="false" customHeight="false" outlineLevel="0" collapsed="false">
      <c r="A96" s="5" t="s">
        <v>715</v>
      </c>
      <c r="B96" s="0" t="n">
        <f aca="false">COUNT($B$86:$B$95)</f>
        <v>10</v>
      </c>
    </row>
    <row r="100" customFormat="false" ht="17.15" hidden="false" customHeight="false" outlineLevel="0" collapsed="false">
      <c r="A100" s="1" t="s">
        <v>716</v>
      </c>
    </row>
    <row r="101" customFormat="false" ht="17.15" hidden="false" customHeight="false" outlineLevel="0" collapsed="false">
      <c r="A101" s="5" t="s">
        <v>717</v>
      </c>
    </row>
    <row r="103" customFormat="false" ht="17.15" hidden="false" customHeight="false" outlineLevel="0" collapsed="false">
      <c r="A103" s="1" t="s">
        <v>718</v>
      </c>
    </row>
    <row r="104" customFormat="false" ht="17.15" hidden="false" customHeight="false" outlineLevel="0" collapsed="false">
      <c r="A104" s="6" t="s">
        <v>701</v>
      </c>
      <c r="B104" s="14" t="s">
        <v>719</v>
      </c>
      <c r="C104" s="6" t="s">
        <v>720</v>
      </c>
      <c r="D104" s="6" t="s">
        <v>721</v>
      </c>
    </row>
    <row r="105" customFormat="false" ht="17.15" hidden="false" customHeight="false" outlineLevel="0" collapsed="false">
      <c r="A105" s="0" t="s">
        <v>705</v>
      </c>
      <c r="B105" s="19" t="n">
        <v>14.4</v>
      </c>
      <c r="C105" s="18" t="n">
        <f aca="false">10.55/0.69</f>
        <v>15.2898550724638</v>
      </c>
      <c r="D105" s="8" t="s">
        <v>722</v>
      </c>
    </row>
    <row r="106" customFormat="false" ht="15" hidden="false" customHeight="false" outlineLevel="0" collapsed="false">
      <c r="A106" s="0" t="s">
        <v>706</v>
      </c>
      <c r="B106" s="19" t="n">
        <v>8.61</v>
      </c>
      <c r="C106" s="18" t="n">
        <f aca="false">10.05/1.09</f>
        <v>9.22018348623853</v>
      </c>
    </row>
    <row r="107" customFormat="false" ht="15" hidden="false" customHeight="false" outlineLevel="0" collapsed="false">
      <c r="A107" s="0" t="s">
        <v>707</v>
      </c>
      <c r="B107" s="19" t="n">
        <v>11.3</v>
      </c>
      <c r="C107" s="18" t="n">
        <f aca="false">6.56/0.53</f>
        <v>12.377358490566</v>
      </c>
    </row>
    <row r="108" customFormat="false" ht="15" hidden="false" customHeight="false" outlineLevel="0" collapsed="false">
      <c r="A108" s="0" t="s">
        <v>708</v>
      </c>
      <c r="B108" s="19" t="n">
        <v>24.3</v>
      </c>
      <c r="C108" s="18" t="n">
        <f aca="false">13/0.5</f>
        <v>26</v>
      </c>
    </row>
    <row r="109" customFormat="false" ht="15" hidden="false" customHeight="false" outlineLevel="0" collapsed="false">
      <c r="A109" s="0" t="s">
        <v>709</v>
      </c>
      <c r="B109" s="19" t="n">
        <v>10.1</v>
      </c>
      <c r="C109" s="18" t="n">
        <f aca="false">15.08/1.4</f>
        <v>10.7714285714286</v>
      </c>
    </row>
    <row r="110" customFormat="false" ht="15" hidden="false" customHeight="false" outlineLevel="0" collapsed="false">
      <c r="A110" s="0" t="s">
        <v>710</v>
      </c>
      <c r="B110" s="19" t="n">
        <v>8.85</v>
      </c>
      <c r="C110" s="18" t="n">
        <f aca="false">24.79/2.62</f>
        <v>9.4618320610687</v>
      </c>
    </row>
    <row r="111" customFormat="false" ht="15" hidden="false" customHeight="false" outlineLevel="0" collapsed="false">
      <c r="A111" s="0" t="s">
        <v>711</v>
      </c>
      <c r="B111" s="19" t="n">
        <v>7.3</v>
      </c>
      <c r="C111" s="18" t="n">
        <f aca="false">23.98/3.11</f>
        <v>7.71061093247589</v>
      </c>
    </row>
    <row r="112" customFormat="false" ht="15" hidden="false" customHeight="false" outlineLevel="0" collapsed="false">
      <c r="A112" s="0" t="s">
        <v>712</v>
      </c>
      <c r="B112" s="19" t="n">
        <v>21.9</v>
      </c>
      <c r="C112" s="18" t="n">
        <f aca="false">33.27/1.46</f>
        <v>22.7876712328767</v>
      </c>
    </row>
    <row r="113" customFormat="false" ht="15" hidden="false" customHeight="false" outlineLevel="0" collapsed="false">
      <c r="A113" s="0" t="s">
        <v>713</v>
      </c>
      <c r="B113" s="19" t="n">
        <v>17.6</v>
      </c>
      <c r="C113" s="18" t="n">
        <f aca="false">25.69/1.43</f>
        <v>17.965034965035</v>
      </c>
    </row>
    <row r="114" customFormat="false" ht="15" hidden="false" customHeight="false" outlineLevel="0" collapsed="false">
      <c r="A114" s="0" t="s">
        <v>714</v>
      </c>
      <c r="B114" s="19" t="n">
        <v>26.1</v>
      </c>
      <c r="C114" s="18" t="n">
        <f aca="false">39.48/1.5</f>
        <v>26.32</v>
      </c>
    </row>
    <row r="115" customFormat="false" ht="17.15" hidden="false" customHeight="false" outlineLevel="0" collapsed="false">
      <c r="A115" s="0" t="s">
        <v>723</v>
      </c>
      <c r="B115" s="18" t="n">
        <f aca="false">PERCENTILE(B105:B114,0.25)</f>
        <v>9.1625</v>
      </c>
      <c r="C115" s="18" t="n">
        <f aca="false">PERCENTILE(C105:C114,0.25)</f>
        <v>9.78923118865867</v>
      </c>
    </row>
    <row r="116" customFormat="false" ht="15" hidden="false" customHeight="false" outlineLevel="0" collapsed="false">
      <c r="A116" s="5" t="s">
        <v>724</v>
      </c>
      <c r="B116" s="18" t="n">
        <f aca="false">MEDIAN(B105:B114)</f>
        <v>12.85</v>
      </c>
      <c r="C116" s="18" t="n">
        <f aca="false">MEDIAN(C105:C114)</f>
        <v>13.8336067815149</v>
      </c>
    </row>
    <row r="117" customFormat="false" ht="17.15" hidden="false" customHeight="false" outlineLevel="0" collapsed="false">
      <c r="A117" s="0" t="s">
        <v>725</v>
      </c>
      <c r="B117" s="18" t="n">
        <f aca="false">PERCENTILE(B105:B114,0.75)</f>
        <v>20.825</v>
      </c>
      <c r="C117" s="18" t="n">
        <f aca="false">PERCENTILE(C105:C114,0.75)</f>
        <v>21.5820121659163</v>
      </c>
    </row>
    <row r="118" customFormat="false" ht="15" hidden="false" customHeight="false" outlineLevel="0" collapsed="false">
      <c r="A118" s="5" t="s">
        <v>726</v>
      </c>
      <c r="B118" s="18" t="n">
        <f aca="false">MIN(B105:B114)</f>
        <v>7.3</v>
      </c>
      <c r="C118" s="18" t="n">
        <f aca="false">MIN(C105:C114)</f>
        <v>7.71061093247589</v>
      </c>
    </row>
    <row r="119" customFormat="false" ht="15" hidden="false" customHeight="false" outlineLevel="0" collapsed="false">
      <c r="A119" s="5" t="s">
        <v>727</v>
      </c>
      <c r="B119" s="18" t="n">
        <f aca="false">MAX(B105:B114)</f>
        <v>26.1</v>
      </c>
      <c r="C119" s="18" t="n">
        <f aca="false">MAX(C105:C114)</f>
        <v>26.32</v>
      </c>
    </row>
    <row r="120" customFormat="false" ht="17.15" hidden="false" customHeight="false" outlineLevel="0" collapsed="false">
      <c r="A120" s="3" t="s">
        <v>728</v>
      </c>
      <c r="B120" s="18" t="n">
        <f aca="false">ROUND(AVERAGE(B115,C115),2)</f>
        <v>9.48</v>
      </c>
    </row>
    <row r="121" customFormat="false" ht="17.15" hidden="false" customHeight="false" outlineLevel="0" collapsed="false">
      <c r="A121" s="3" t="s">
        <v>729</v>
      </c>
      <c r="B121" s="18" t="n">
        <f aca="false">ROUND(AVERAGE(B116,C116),2)</f>
        <v>13.34</v>
      </c>
    </row>
    <row r="122" customFormat="false" ht="17.15" hidden="false" customHeight="false" outlineLevel="0" collapsed="false">
      <c r="A122" s="3" t="s">
        <v>730</v>
      </c>
      <c r="B122" s="18" t="n">
        <f aca="false">ROUND(AVERAGE(B117,C117),2)</f>
        <v>21.2</v>
      </c>
    </row>
    <row r="123" customFormat="false" ht="17.15" hidden="false" customHeight="false" outlineLevel="0" collapsed="false">
      <c r="A123" s="3" t="s">
        <v>731</v>
      </c>
      <c r="B123" s="18" t="n">
        <f aca="false">ROUND(MIN(B118,C118),2)</f>
        <v>7.3</v>
      </c>
    </row>
    <row r="124" customFormat="false" ht="17.15" hidden="false" customHeight="false" outlineLevel="0" collapsed="false">
      <c r="A124" s="3" t="s">
        <v>732</v>
      </c>
      <c r="B124" s="18" t="n">
        <f aca="false">ROUND(MAX(B119,C119),2)</f>
        <v>26.32</v>
      </c>
    </row>
    <row r="126" customFormat="false" ht="17.15" hidden="false" customHeight="false" outlineLevel="0" collapsed="false">
      <c r="A126" s="1" t="s">
        <v>733</v>
      </c>
    </row>
    <row r="127" customFormat="false" ht="17.15" hidden="false" customHeight="false" outlineLevel="0" collapsed="false">
      <c r="A127" s="6" t="s">
        <v>734</v>
      </c>
      <c r="B127" s="6" t="s">
        <v>735</v>
      </c>
      <c r="C127" s="6" t="s">
        <v>736</v>
      </c>
      <c r="D127" s="6" t="s">
        <v>25</v>
      </c>
      <c r="E127" s="6" t="s">
        <v>737</v>
      </c>
      <c r="F127" s="6" t="s">
        <v>690</v>
      </c>
      <c r="G127" s="6" t="s">
        <v>738</v>
      </c>
      <c r="H127" s="6" t="s">
        <v>739</v>
      </c>
    </row>
    <row r="128" customFormat="false" ht="17.15" hidden="false" customHeight="false" outlineLevel="0" collapsed="false">
      <c r="A128" s="5" t="s">
        <v>740</v>
      </c>
      <c r="B128" s="0" t="s">
        <v>741</v>
      </c>
      <c r="C128" s="18" t="n">
        <f aca="false">B120</f>
        <v>9.48</v>
      </c>
      <c r="D128" s="8" t="s">
        <v>742</v>
      </c>
      <c r="E128" s="18" t="n">
        <f aca="false">C72</f>
        <v>2.99429737678648</v>
      </c>
      <c r="F128" s="16" t="n">
        <f aca="false">C128*E128</f>
        <v>28.3859391319359</v>
      </c>
      <c r="G128" s="20" t="n">
        <f aca="false">F128/px-1</f>
        <v>-0.277711472469825</v>
      </c>
      <c r="H128" s="18" t="n">
        <f aca="false">px/E128</f>
        <v>13.1249488793853</v>
      </c>
    </row>
    <row r="129" customFormat="false" ht="17.15" hidden="false" customHeight="false" outlineLevel="0" collapsed="false">
      <c r="A129" s="5" t="s">
        <v>743</v>
      </c>
      <c r="B129" s="5" t="s">
        <v>744</v>
      </c>
      <c r="C129" s="18" t="n">
        <f aca="false">B121</f>
        <v>13.34</v>
      </c>
      <c r="D129" s="8" t="s">
        <v>742</v>
      </c>
      <c r="E129" s="18" t="n">
        <f aca="false">C72</f>
        <v>2.99429737678648</v>
      </c>
      <c r="F129" s="16" t="n">
        <f aca="false">C129*E129</f>
        <v>39.9439270063317</v>
      </c>
      <c r="G129" s="20" t="n">
        <f aca="false">F129/px-1</f>
        <v>0.016384911102588</v>
      </c>
      <c r="H129" s="18" t="n">
        <f aca="false">px/E129</f>
        <v>13.1249488793853</v>
      </c>
    </row>
    <row r="130" customFormat="false" ht="17.15" hidden="false" customHeight="false" outlineLevel="0" collapsed="false">
      <c r="A130" s="5" t="s">
        <v>745</v>
      </c>
      <c r="B130" s="0" t="s">
        <v>746</v>
      </c>
      <c r="C130" s="18" t="n">
        <f aca="false">B122</f>
        <v>21.2</v>
      </c>
      <c r="D130" s="8" t="s">
        <v>742</v>
      </c>
      <c r="E130" s="18" t="n">
        <f aca="false">C72</f>
        <v>2.99429737678648</v>
      </c>
      <c r="F130" s="16" t="n">
        <f aca="false">C130*E130</f>
        <v>63.4791043878735</v>
      </c>
      <c r="G130" s="20" t="n">
        <f aca="false">F130/px-1</f>
        <v>0.615244386459885</v>
      </c>
      <c r="H130" s="18" t="n">
        <f aca="false">px/E130</f>
        <v>13.1249488793853</v>
      </c>
    </row>
    <row r="135" customFormat="false" ht="17.15" hidden="false" customHeight="false" outlineLevel="0" collapsed="false">
      <c r="A135" s="1" t="s">
        <v>747</v>
      </c>
    </row>
    <row r="136" customFormat="false" ht="17.15" hidden="false" customHeight="false" outlineLevel="0" collapsed="false">
      <c r="A136" s="5" t="s">
        <v>748</v>
      </c>
    </row>
    <row r="137" customFormat="false" ht="17.15" hidden="false" customHeight="false" outlineLevel="0" collapsed="false">
      <c r="A137" s="6" t="s">
        <v>749</v>
      </c>
      <c r="B137" s="6" t="s">
        <v>618</v>
      </c>
      <c r="C137" s="6" t="s">
        <v>750</v>
      </c>
      <c r="D137" s="14" t="s">
        <v>751</v>
      </c>
      <c r="E137" s="14" t="s">
        <v>752</v>
      </c>
      <c r="F137" s="14" t="s">
        <v>753</v>
      </c>
      <c r="G137" s="14" t="s">
        <v>754</v>
      </c>
      <c r="H137" s="14" t="s">
        <v>755</v>
      </c>
      <c r="I137" s="14" t="s">
        <v>756</v>
      </c>
      <c r="J137" s="14" t="s">
        <v>757</v>
      </c>
      <c r="K137" s="14" t="s">
        <v>758</v>
      </c>
      <c r="L137" s="14" t="s">
        <v>759</v>
      </c>
      <c r="M137" s="14" t="s">
        <v>760</v>
      </c>
      <c r="N137" s="6" t="s">
        <v>761</v>
      </c>
      <c r="O137" s="14" t="s">
        <v>762</v>
      </c>
      <c r="P137" s="6" t="s">
        <v>763</v>
      </c>
      <c r="Q137" s="6" t="s">
        <v>621</v>
      </c>
    </row>
    <row r="138" customFormat="false" ht="17.15" hidden="false" customHeight="false" outlineLevel="0" collapsed="false">
      <c r="A138" s="0" t="s">
        <v>764</v>
      </c>
      <c r="B138" s="0" t="s">
        <v>765</v>
      </c>
      <c r="C138" s="5" t="s">
        <v>766</v>
      </c>
      <c r="D138" s="19" t="n">
        <v>14.48</v>
      </c>
      <c r="E138" s="19" t="n">
        <v>12.3345</v>
      </c>
      <c r="F138" s="19" t="n">
        <v>27.4725</v>
      </c>
      <c r="G138" s="19" t="n">
        <v>14.56</v>
      </c>
      <c r="H138" s="19" t="n">
        <v>11.241</v>
      </c>
      <c r="I138" s="19" t="n">
        <v>7.1025</v>
      </c>
      <c r="J138" s="19" t="n">
        <v>11.6025</v>
      </c>
      <c r="K138" s="19" t="n">
        <v>16.276</v>
      </c>
      <c r="L138" s="19" t="n">
        <v>14.434</v>
      </c>
      <c r="M138" s="19" t="n">
        <v>24.0965</v>
      </c>
      <c r="N138" s="8" t="n">
        <f aca="false">COUNT(D138:M138)</f>
        <v>10</v>
      </c>
      <c r="O138" s="18" t="n">
        <f aca="false">IF(N138&gt;0,MEDIAN(D138:M138),"")</f>
        <v>14.457</v>
      </c>
      <c r="P138" s="18" t="n">
        <f aca="false">IF(N138&gt;=7,O138,"")</f>
        <v>14.457</v>
      </c>
      <c r="Q138" s="8" t="s">
        <v>767</v>
      </c>
    </row>
    <row r="139" customFormat="false" ht="17.15" hidden="false" customHeight="false" outlineLevel="0" collapsed="false">
      <c r="A139" s="5" t="s">
        <v>622</v>
      </c>
      <c r="B139" s="0" t="s">
        <v>768</v>
      </c>
      <c r="C139" s="5" t="s">
        <v>769</v>
      </c>
      <c r="E139" s="19" t="n">
        <v>12.583</v>
      </c>
      <c r="F139" s="19" t="n">
        <v>13.534</v>
      </c>
      <c r="G139" s="19" t="n">
        <v>12.302</v>
      </c>
      <c r="H139" s="19" t="n">
        <v>11.497</v>
      </c>
      <c r="I139" s="19" t="n">
        <v>7.9015</v>
      </c>
      <c r="J139" s="19" t="n">
        <v>10.5965</v>
      </c>
      <c r="K139" s="19" t="n">
        <v>14.0875</v>
      </c>
      <c r="L139" s="19" t="n">
        <v>14.459</v>
      </c>
      <c r="M139" s="19" t="n">
        <v>24.055</v>
      </c>
      <c r="N139" s="8" t="n">
        <f aca="false">COUNT(D139:M139)</f>
        <v>9</v>
      </c>
      <c r="O139" s="18" t="n">
        <f aca="false">IF(N139&gt;0,MEDIAN(D139:M139),"")</f>
        <v>12.583</v>
      </c>
      <c r="P139" s="18" t="n">
        <f aca="false">IF(N139&gt;=7,O139,"")</f>
        <v>12.583</v>
      </c>
      <c r="Q139" s="8" t="s">
        <v>770</v>
      </c>
    </row>
    <row r="140" customFormat="false" ht="17.15" hidden="false" customHeight="false" outlineLevel="0" collapsed="false">
      <c r="A140" s="5" t="s">
        <v>626</v>
      </c>
      <c r="B140" s="0" t="s">
        <v>627</v>
      </c>
      <c r="C140" s="5" t="s">
        <v>769</v>
      </c>
      <c r="D140" s="19" t="n">
        <v>11.591</v>
      </c>
      <c r="E140" s="19" t="n">
        <v>9.8755</v>
      </c>
      <c r="F140" s="19" t="n">
        <v>10.0655</v>
      </c>
      <c r="G140" s="19" t="n">
        <v>9.932</v>
      </c>
      <c r="H140" s="19" t="n">
        <v>9.453</v>
      </c>
      <c r="I140" s="19" t="n">
        <v>7.8445</v>
      </c>
      <c r="J140" s="19" t="n">
        <v>10.675</v>
      </c>
      <c r="K140" s="19" t="n">
        <v>14.5685</v>
      </c>
      <c r="L140" s="19" t="n">
        <v>12.8625</v>
      </c>
      <c r="M140" s="19" t="n">
        <v>16.9445</v>
      </c>
      <c r="N140" s="8" t="n">
        <f aca="false">COUNT(D140:M140)</f>
        <v>10</v>
      </c>
      <c r="O140" s="18" t="n">
        <f aca="false">IF(N140&gt;0,MEDIAN(D140:M140),"")</f>
        <v>10.37025</v>
      </c>
      <c r="P140" s="18" t="n">
        <f aca="false">IF(N140&gt;=7,O140,"")</f>
        <v>10.37025</v>
      </c>
      <c r="Q140" s="8" t="s">
        <v>771</v>
      </c>
    </row>
    <row r="141" customFormat="false" ht="17.15" hidden="false" customHeight="false" outlineLevel="0" collapsed="false">
      <c r="A141" s="5" t="s">
        <v>629</v>
      </c>
      <c r="B141" s="0" t="s">
        <v>630</v>
      </c>
      <c r="C141" s="5" t="s">
        <v>769</v>
      </c>
      <c r="D141" s="19" t="n">
        <v>10.0995</v>
      </c>
      <c r="E141" s="19" t="n">
        <v>10.402</v>
      </c>
      <c r="F141" s="19" t="n">
        <v>11.493</v>
      </c>
      <c r="G141" s="19" t="n">
        <v>11.011</v>
      </c>
      <c r="H141" s="19" t="n">
        <v>11.7675</v>
      </c>
      <c r="I141" s="19" t="n">
        <v>7.96</v>
      </c>
      <c r="J141" s="19" t="n">
        <v>10.6255</v>
      </c>
      <c r="K141" s="19" t="n">
        <v>15.3285</v>
      </c>
      <c r="L141" s="19" t="n">
        <v>15.404</v>
      </c>
      <c r="M141" s="19" t="n">
        <v>25.259</v>
      </c>
      <c r="N141" s="8" t="n">
        <f aca="false">COUNT(D141:M141)</f>
        <v>10</v>
      </c>
      <c r="O141" s="18" t="n">
        <f aca="false">IF(N141&gt;0,MEDIAN(D141:M141),"")</f>
        <v>11.252</v>
      </c>
      <c r="P141" s="18" t="n">
        <f aca="false">IF(N141&gt;=7,O141,"")</f>
        <v>11.252</v>
      </c>
      <c r="Q141" s="8" t="s">
        <v>772</v>
      </c>
    </row>
    <row r="142" customFormat="false" ht="17.15" hidden="false" customHeight="false" outlineLevel="0" collapsed="false">
      <c r="A142" s="5" t="s">
        <v>632</v>
      </c>
      <c r="B142" s="0" t="s">
        <v>633</v>
      </c>
      <c r="C142" s="5" t="s">
        <v>769</v>
      </c>
      <c r="D142" s="19" t="n">
        <v>9.897</v>
      </c>
      <c r="E142" s="19" t="n">
        <v>14.716</v>
      </c>
      <c r="F142" s="19" t="n">
        <v>8.426</v>
      </c>
      <c r="G142" s="19" t="n">
        <v>13.521</v>
      </c>
      <c r="H142" s="19" t="n">
        <v>9.508</v>
      </c>
      <c r="I142" s="19" t="n">
        <v>7.8705</v>
      </c>
      <c r="J142" s="19" t="n">
        <v>7.729</v>
      </c>
      <c r="K142" s="19" t="n">
        <v>14.6845</v>
      </c>
      <c r="L142" s="19" t="n">
        <v>13.1815</v>
      </c>
      <c r="M142" s="19" t="n">
        <v>18.7495</v>
      </c>
      <c r="N142" s="8" t="n">
        <f aca="false">COUNT(D142:M142)</f>
        <v>10</v>
      </c>
      <c r="O142" s="18" t="n">
        <f aca="false">IF(N142&gt;0,MEDIAN(D142:M142),"")</f>
        <v>11.53925</v>
      </c>
      <c r="P142" s="18" t="n">
        <f aca="false">IF(N142&gt;=7,O142,"")</f>
        <v>11.53925</v>
      </c>
      <c r="Q142" s="8" t="s">
        <v>773</v>
      </c>
    </row>
    <row r="143" customFormat="false" ht="17.15" hidden="false" customHeight="false" outlineLevel="0" collapsed="false">
      <c r="A143" s="5" t="s">
        <v>634</v>
      </c>
      <c r="B143" s="0" t="s">
        <v>774</v>
      </c>
      <c r="C143" s="5" t="s">
        <v>769</v>
      </c>
      <c r="D143" s="19" t="n">
        <v>9.062</v>
      </c>
      <c r="E143" s="19" t="n">
        <v>13.2015</v>
      </c>
      <c r="F143" s="19" t="n">
        <v>10.0455</v>
      </c>
      <c r="G143" s="19" t="n">
        <v>9.514</v>
      </c>
      <c r="H143" s="19" t="n">
        <v>8.8135</v>
      </c>
      <c r="I143" s="19" t="n">
        <v>6.764</v>
      </c>
      <c r="J143" s="19" t="n">
        <v>10.6655</v>
      </c>
      <c r="K143" s="19" t="n">
        <v>11.473</v>
      </c>
      <c r="L143" s="19" t="n">
        <v>15.248</v>
      </c>
      <c r="M143" s="19" t="n">
        <v>18.297</v>
      </c>
      <c r="N143" s="8" t="n">
        <f aca="false">COUNT(D143:M143)</f>
        <v>10</v>
      </c>
      <c r="O143" s="18" t="n">
        <f aca="false">IF(N143&gt;0,MEDIAN(D143:M143),"")</f>
        <v>10.3555</v>
      </c>
      <c r="P143" s="18" t="n">
        <f aca="false">IF(N143&gt;=7,O143,"")</f>
        <v>10.3555</v>
      </c>
      <c r="Q143" s="8" t="s">
        <v>775</v>
      </c>
    </row>
    <row r="145" customFormat="false" ht="17.15" hidden="false" customHeight="false" outlineLevel="0" collapsed="false">
      <c r="A145" s="5" t="s">
        <v>776</v>
      </c>
      <c r="B145" s="18" t="n">
        <f aca="false">P138</f>
        <v>14.457</v>
      </c>
      <c r="E145" s="5" t="s">
        <v>777</v>
      </c>
    </row>
    <row r="146" customFormat="false" ht="15" hidden="false" customHeight="false" outlineLevel="0" collapsed="false">
      <c r="A146" s="5" t="s">
        <v>778</v>
      </c>
      <c r="B146" s="37" t="n">
        <f aca="false">COUNT(P139:P143)</f>
        <v>5</v>
      </c>
    </row>
    <row r="147" customFormat="false" ht="17.15" hidden="false" customHeight="false" outlineLevel="0" collapsed="false">
      <c r="A147" s="5" t="s">
        <v>779</v>
      </c>
      <c r="B147" s="18" t="n">
        <f aca="false">IF(B146&gt;0,MEDIAN(P139:P143),"")</f>
        <v>11.252</v>
      </c>
    </row>
    <row r="148" customFormat="false" ht="17.15" hidden="false" customHeight="false" outlineLevel="0" collapsed="false">
      <c r="A148" s="5" t="s">
        <v>780</v>
      </c>
      <c r="B148" s="18" t="n">
        <f aca="false">IF(AND(ISNUMBER(B145),B146&gt;=2),B145/B147,"")</f>
        <v>1.2848382509776</v>
      </c>
      <c r="E148" s="5" t="s">
        <v>781</v>
      </c>
    </row>
    <row r="149" customFormat="false" ht="17.15" hidden="false" customHeight="false" outlineLevel="0" collapsed="false">
      <c r="A149" s="5" t="s">
        <v>782</v>
      </c>
      <c r="B149" s="19" t="n">
        <v>0.5</v>
      </c>
      <c r="E149" s="8" t="s">
        <v>783</v>
      </c>
    </row>
    <row r="150" customFormat="false" ht="17.15" hidden="false" customHeight="false" outlineLevel="0" collapsed="false">
      <c r="A150" s="5" t="s">
        <v>784</v>
      </c>
      <c r="B150" s="19" t="n">
        <v>2</v>
      </c>
      <c r="E150" s="8" t="s">
        <v>785</v>
      </c>
    </row>
    <row r="151" customFormat="false" ht="17.15" hidden="false" customHeight="false" outlineLevel="0" collapsed="false">
      <c r="A151" s="3" t="s">
        <v>786</v>
      </c>
      <c r="B151" s="31" t="n">
        <f aca="false">IF(ISNUMBER(B148),MIN(MAX(B148,B149),B150),1)</f>
        <v>1.2848382509776</v>
      </c>
      <c r="E151" s="5" t="s">
        <v>787</v>
      </c>
    </row>
    <row r="152" customFormat="false" ht="17.15" hidden="false" customHeight="false" outlineLevel="0" collapsed="false">
      <c r="A152" s="1" t="s">
        <v>788</v>
      </c>
      <c r="B152" s="31" t="n">
        <f aca="false">Val!$B$35*B151</f>
        <v>96.7897547761557</v>
      </c>
      <c r="E152" s="5" t="s">
        <v>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40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790</v>
      </c>
    </row>
    <row r="3" customFormat="false" ht="17.15" hidden="false" customHeight="false" outlineLevel="0" collapsed="false">
      <c r="A3" s="6" t="s">
        <v>22</v>
      </c>
      <c r="B3" s="6" t="s">
        <v>791</v>
      </c>
      <c r="C3" s="6" t="s">
        <v>792</v>
      </c>
      <c r="D3" s="6" t="s">
        <v>793</v>
      </c>
      <c r="E3" s="6" t="s">
        <v>794</v>
      </c>
      <c r="F3" s="6" t="s">
        <v>795</v>
      </c>
      <c r="G3" s="6" t="s">
        <v>796</v>
      </c>
      <c r="H3" s="6" t="s">
        <v>797</v>
      </c>
      <c r="I3" s="6" t="s">
        <v>798</v>
      </c>
      <c r="J3" s="6" t="s">
        <v>503</v>
      </c>
    </row>
    <row r="4" customFormat="false" ht="17.15" hidden="false" customHeight="false" outlineLevel="0" collapsed="false">
      <c r="A4" s="1" t="s">
        <v>799</v>
      </c>
    </row>
    <row r="5" customFormat="false" ht="17.15" hidden="false" customHeight="false" outlineLevel="0" collapsed="false">
      <c r="A5" s="0" t="s">
        <v>800</v>
      </c>
      <c r="B5" s="23" t="n">
        <f aca="false">g3_rev</f>
        <v>2000</v>
      </c>
      <c r="C5" s="23" t="n">
        <f aca="false">Q!E4</f>
        <v>2020.2312</v>
      </c>
      <c r="D5" s="20" t="n">
        <f aca="false">C5/B5-1</f>
        <v>0.0101156</v>
      </c>
      <c r="E5" s="23" t="n">
        <f aca="false">Q!E4</f>
        <v>2020.2312</v>
      </c>
      <c r="F5" s="20" t="n">
        <f aca="false">E5/B5-1</f>
        <v>0.0101156</v>
      </c>
      <c r="G5" s="23" t="n">
        <f aca="false">Q!E4</f>
        <v>2020.2312</v>
      </c>
      <c r="H5" s="20" t="n">
        <f aca="false">G5/B5-1</f>
        <v>0.0101156</v>
      </c>
      <c r="I5" s="8" t="s">
        <v>801</v>
      </c>
      <c r="J5" s="5" t="s">
        <v>802</v>
      </c>
    </row>
    <row r="6" customFormat="false" ht="17.15" hidden="false" customHeight="false" outlineLevel="0" collapsed="false">
      <c r="A6" s="0" t="s">
        <v>803</v>
      </c>
      <c r="B6" s="18" t="n">
        <f aca="false">g3_eps</f>
        <v>0.77</v>
      </c>
      <c r="C6" s="18" t="n">
        <f aca="false">Q!E19</f>
        <v>0.7763005696</v>
      </c>
      <c r="D6" s="20" t="n">
        <f aca="false">C6/B6-1</f>
        <v>0.008182557922078</v>
      </c>
      <c r="E6" s="18" t="n">
        <f aca="false">Q!E19</f>
        <v>0.7763005696</v>
      </c>
      <c r="F6" s="20" t="n">
        <f aca="false">E6/B6-1</f>
        <v>0.008182557922078</v>
      </c>
      <c r="G6" s="18" t="n">
        <f aca="false">Q!E19</f>
        <v>0.7763005696</v>
      </c>
      <c r="H6" s="20" t="n">
        <f aca="false">G6/B6-1</f>
        <v>0.008182557922078</v>
      </c>
      <c r="I6" s="8" t="s">
        <v>804</v>
      </c>
    </row>
    <row r="7" customFormat="false" ht="17.15" hidden="false" customHeight="false" outlineLevel="0" collapsed="false">
      <c r="A7" s="0" t="s">
        <v>805</v>
      </c>
      <c r="B7" s="23" t="n">
        <f aca="false">cons_rev26</f>
        <v>7670</v>
      </c>
      <c r="C7" s="23" t="n">
        <f aca="false">PL!D77</f>
        <v>7680.46302</v>
      </c>
      <c r="D7" s="20" t="n">
        <f aca="false">C7/B7-1</f>
        <v>0.00136414863103007</v>
      </c>
      <c r="E7" s="23" t="n">
        <f aca="false">PL!D123</f>
        <v>7680.46302</v>
      </c>
      <c r="F7" s="20" t="n">
        <f aca="false">E7/B7-1</f>
        <v>0.00136414863103007</v>
      </c>
      <c r="G7" s="23" t="n">
        <f aca="false">PL!D169</f>
        <v>7680.46302</v>
      </c>
      <c r="H7" s="20" t="n">
        <f aca="false">G7/B7-1</f>
        <v>0.00136414863103007</v>
      </c>
      <c r="I7" s="8" t="s">
        <v>806</v>
      </c>
      <c r="J7" s="8" t="s">
        <v>807</v>
      </c>
    </row>
    <row r="8" customFormat="false" ht="17.15" hidden="false" customHeight="false" outlineLevel="0" collapsed="false">
      <c r="A8" s="0" t="s">
        <v>808</v>
      </c>
      <c r="B8" s="18" t="n">
        <f aca="false">cons_eps26</f>
        <v>2.57</v>
      </c>
      <c r="C8" s="18" t="n">
        <f aca="false">PL!D101</f>
        <v>2.58347778948843</v>
      </c>
      <c r="D8" s="20" t="n">
        <f aca="false">C8/B8-1</f>
        <v>0.00524427606553535</v>
      </c>
      <c r="E8" s="18" t="n">
        <f aca="false">PL!D147</f>
        <v>2.58347778948843</v>
      </c>
      <c r="F8" s="20" t="n">
        <f aca="false">E8/B8-1</f>
        <v>0.00524427606553535</v>
      </c>
      <c r="G8" s="18" t="n">
        <f aca="false">PL!D193</f>
        <v>2.58347778948843</v>
      </c>
      <c r="H8" s="20" t="n">
        <f aca="false">G8/B8-1</f>
        <v>0.00524427606553535</v>
      </c>
      <c r="I8" s="8" t="s">
        <v>806</v>
      </c>
      <c r="J8" s="5" t="s">
        <v>809</v>
      </c>
    </row>
    <row r="9" customFormat="false" ht="17.15" hidden="false" customHeight="false" outlineLevel="0" collapsed="false">
      <c r="A9" s="0" t="s">
        <v>810</v>
      </c>
      <c r="B9" s="18" t="n">
        <f aca="false">cons_eps27</f>
        <v>2.72</v>
      </c>
      <c r="C9" s="18" t="n">
        <f aca="false">PL!E101</f>
        <v>3.10052397591464</v>
      </c>
      <c r="D9" s="20" t="n">
        <f aca="false">C9/B9-1</f>
        <v>0.139898520556853</v>
      </c>
      <c r="E9" s="18" t="n">
        <f aca="false">PL!E147</f>
        <v>2.99429737678648</v>
      </c>
      <c r="F9" s="20" t="n">
        <f aca="false">E9/B9-1</f>
        <v>0.100844623818561</v>
      </c>
      <c r="G9" s="18" t="n">
        <f aca="false">PL!E193</f>
        <v>2.78184417853018</v>
      </c>
      <c r="H9" s="20" t="n">
        <f aca="false">G9/B9-1</f>
        <v>0.0227368303419768</v>
      </c>
      <c r="I9" s="8" t="s">
        <v>811</v>
      </c>
    </row>
    <row r="10" customFormat="false" ht="17.15" hidden="false" customHeight="false" outlineLevel="0" collapsed="false">
      <c r="A10" s="0" t="s">
        <v>812</v>
      </c>
      <c r="B10" s="20" t="n">
        <v>0.2</v>
      </c>
      <c r="C10" s="20" t="n">
        <f aca="false">Q!G6/Q!B6-1</f>
        <v>0.404401013714967</v>
      </c>
      <c r="D10" s="20" t="n">
        <f aca="false">C10-B10</f>
        <v>0.204401013714967</v>
      </c>
      <c r="E10" s="20" t="n">
        <f aca="false">Q!G6/Q!B6-1</f>
        <v>0.404401013714967</v>
      </c>
      <c r="F10" s="20" t="n">
        <f aca="false">E10-B10</f>
        <v>0.204401013714967</v>
      </c>
      <c r="G10" s="20" t="n">
        <f aca="false">Q!G6/Q!B6-1</f>
        <v>0.404401013714967</v>
      </c>
      <c r="H10" s="20" t="n">
        <f aca="false">G10-B10</f>
        <v>0.204401013714967</v>
      </c>
      <c r="I10" s="8" t="s">
        <v>813</v>
      </c>
      <c r="J10" s="8" t="s">
        <v>814</v>
      </c>
    </row>
    <row r="11" customFormat="false" ht="17.15" hidden="false" customHeight="false" outlineLevel="0" collapsed="false">
      <c r="A11" s="1" t="s">
        <v>815</v>
      </c>
    </row>
    <row r="12" customFormat="false" ht="17.15" hidden="false" customHeight="false" outlineLevel="0" collapsed="false">
      <c r="A12" s="0" t="s">
        <v>816</v>
      </c>
      <c r="B12" s="23" t="n">
        <f aca="false">t28_rev</f>
        <v>9000</v>
      </c>
      <c r="C12" s="23" t="n">
        <f aca="false">PL!F77</f>
        <v>9939.61357738974</v>
      </c>
      <c r="D12" s="20" t="n">
        <f aca="false">C12/B12-1</f>
        <v>0.104401508598859</v>
      </c>
      <c r="E12" s="23" t="n">
        <f aca="false">PL!F123</f>
        <v>9308.93996456214</v>
      </c>
      <c r="F12" s="20" t="n">
        <f aca="false">E12/B12-1</f>
        <v>0.0343266627291265</v>
      </c>
      <c r="G12" s="23" t="n">
        <f aca="false">PL!F169</f>
        <v>8529.82300984654</v>
      </c>
      <c r="H12" s="20" t="n">
        <f aca="false">G12/B12-1</f>
        <v>-0.0522418877948285</v>
      </c>
      <c r="I12" s="5" t="s">
        <v>817</v>
      </c>
    </row>
    <row r="13" customFormat="false" ht="17.15" hidden="false" customHeight="false" outlineLevel="0" collapsed="false">
      <c r="A13" s="0" t="s">
        <v>818</v>
      </c>
      <c r="B13" s="20" t="n">
        <f aca="false">t28_gm</f>
        <v>0.175</v>
      </c>
      <c r="C13" s="20" t="n">
        <f aca="false">PL!F90</f>
        <v>0.194223517647993</v>
      </c>
      <c r="D13" s="20" t="n">
        <f aca="false">C13-B13</f>
        <v>0.0192235176479934</v>
      </c>
      <c r="E13" s="20" t="n">
        <f aca="false">PL!F136</f>
        <v>0.179672701441256</v>
      </c>
      <c r="F13" s="20" t="n">
        <f aca="false">E13-B13</f>
        <v>0.00467270144125623</v>
      </c>
      <c r="G13" s="20" t="n">
        <f aca="false">PL!F182</f>
        <v>0.159096601845849</v>
      </c>
      <c r="H13" s="20" t="n">
        <f aca="false">G13-B13</f>
        <v>-0.0159033981541515</v>
      </c>
      <c r="I13" s="5" t="s">
        <v>817</v>
      </c>
    </row>
    <row r="14" customFormat="false" ht="17.15" hidden="false" customHeight="false" outlineLevel="0" collapsed="false">
      <c r="A14" s="0" t="s">
        <v>819</v>
      </c>
      <c r="B14" s="18" t="n">
        <f aca="false">t28_eps</f>
        <v>2.5</v>
      </c>
      <c r="C14" s="18" t="n">
        <f aca="false">PL!F101</f>
        <v>3.99736023666516</v>
      </c>
      <c r="D14" s="20" t="n">
        <f aca="false">C14/B14-1</f>
        <v>0.598944094666065</v>
      </c>
      <c r="E14" s="18" t="n">
        <f aca="false">PL!F147</f>
        <v>3.24072219564592</v>
      </c>
      <c r="F14" s="20" t="n">
        <f aca="false">E14/B14-1</f>
        <v>0.296288878258368</v>
      </c>
      <c r="G14" s="18" t="n">
        <f aca="false">PL!F193</f>
        <v>2.31734178808988</v>
      </c>
      <c r="H14" s="20" t="n">
        <f aca="false">G14/B14-1</f>
        <v>-0.0730632847640476</v>
      </c>
      <c r="I14" s="5" t="s">
        <v>817</v>
      </c>
      <c r="J14" s="8" t="s">
        <v>820</v>
      </c>
    </row>
    <row r="15" customFormat="false" ht="17.15" hidden="false" customHeight="false" outlineLevel="0" collapsed="false">
      <c r="A15" s="0" t="s">
        <v>821</v>
      </c>
      <c r="B15" s="23" t="n">
        <f aca="false">t30_rev</f>
        <v>11000</v>
      </c>
      <c r="C15" s="23" t="n">
        <f aca="false">PL!G77</f>
        <v>11074.4896148481</v>
      </c>
      <c r="D15" s="20" t="n">
        <f aca="false">C15/B15-1</f>
        <v>0.00677178316800764</v>
      </c>
      <c r="E15" s="23" t="n">
        <f aca="false">PL!G123</f>
        <v>10413.3251164781</v>
      </c>
      <c r="F15" s="20" t="n">
        <f aca="false">E15/B15-1</f>
        <v>-0.0533340803201751</v>
      </c>
      <c r="G15" s="23" t="n">
        <f aca="false">PL!G169</f>
        <v>9229.73765724486</v>
      </c>
      <c r="H15" s="20" t="n">
        <f aca="false">G15/B15-1</f>
        <v>-0.160932940250467</v>
      </c>
      <c r="I15" s="5" t="s">
        <v>817</v>
      </c>
    </row>
    <row r="16" customFormat="false" ht="17.15" hidden="false" customHeight="false" outlineLevel="0" collapsed="false">
      <c r="A16" s="0" t="s">
        <v>822</v>
      </c>
      <c r="B16" s="20" t="n">
        <f aca="false">t30_gm</f>
        <v>0.22</v>
      </c>
      <c r="C16" s="20" t="n">
        <f aca="false">PL!G90</f>
        <v>0.204999598684359</v>
      </c>
      <c r="D16" s="20" t="n">
        <f aca="false">C16-B16</f>
        <v>-0.015000401315641</v>
      </c>
      <c r="E16" s="20" t="n">
        <f aca="false">PL!G136</f>
        <v>0.19244362087632</v>
      </c>
      <c r="F16" s="20" t="n">
        <f aca="false">E16-B16</f>
        <v>-0.0275563791236803</v>
      </c>
      <c r="G16" s="20" t="n">
        <f aca="false">PL!G182</f>
        <v>0.165308504447303</v>
      </c>
      <c r="H16" s="20" t="n">
        <f aca="false">G16-B16</f>
        <v>-0.0546914955526966</v>
      </c>
      <c r="I16" s="5" t="s">
        <v>817</v>
      </c>
    </row>
    <row r="17" customFormat="false" ht="17.15" hidden="false" customHeight="false" outlineLevel="0" collapsed="false">
      <c r="A17" s="0" t="s">
        <v>823</v>
      </c>
      <c r="B17" s="18" t="n">
        <f aca="false">t30_eps</f>
        <v>5</v>
      </c>
      <c r="C17" s="18" t="n">
        <f aca="false">PL!G101</f>
        <v>4.90434497192527</v>
      </c>
      <c r="D17" s="20" t="n">
        <f aca="false">C17/B17-1</f>
        <v>-0.0191310056149463</v>
      </c>
      <c r="E17" s="18" t="n">
        <f aca="false">PL!G147</f>
        <v>4.12054076125599</v>
      </c>
      <c r="F17" s="20" t="n">
        <f aca="false">E17/B17-1</f>
        <v>-0.175891847748803</v>
      </c>
      <c r="G17" s="18" t="n">
        <f aca="false">PL!G193</f>
        <v>2.71589957299999</v>
      </c>
      <c r="H17" s="20" t="n">
        <f aca="false">G17/B17-1</f>
        <v>-0.456820085400002</v>
      </c>
      <c r="I17" s="5" t="s">
        <v>817</v>
      </c>
    </row>
    <row r="18" customFormat="false" ht="17.15" hidden="false" customHeight="false" outlineLevel="0" collapsed="false">
      <c r="A18" s="5" t="s">
        <v>824</v>
      </c>
      <c r="B18" s="20" t="n">
        <v>0.24</v>
      </c>
      <c r="C18" s="20" t="n">
        <f aca="false">(PL!G72/PL!C72)^(1/4)-1</f>
        <v>0.295676509125933</v>
      </c>
      <c r="D18" s="20" t="n">
        <f aca="false">C18-B18</f>
        <v>0.0556765091259328</v>
      </c>
      <c r="E18" s="20" t="n">
        <f aca="false">(PL!G118/PL!C118)^(1/4)-1</f>
        <v>0.260005674791147</v>
      </c>
      <c r="F18" s="20" t="n">
        <f aca="false">E18-B18</f>
        <v>0.0200056747911475</v>
      </c>
      <c r="G18" s="20" t="n">
        <f aca="false">(PL!G164/PL!C164)^(1/4)-1</f>
        <v>0.192792280122107</v>
      </c>
      <c r="H18" s="20" t="n">
        <f aca="false">G18-B18</f>
        <v>-0.0472077198778933</v>
      </c>
      <c r="I18" s="5" t="s">
        <v>817</v>
      </c>
    </row>
    <row r="19" customFormat="false" ht="17.15" hidden="false" customHeight="false" outlineLevel="0" collapsed="false">
      <c r="A19" s="1" t="s">
        <v>825</v>
      </c>
    </row>
    <row r="20" customFormat="false" ht="17.15" hidden="false" customHeight="false" outlineLevel="0" collapsed="false">
      <c r="A20" s="0" t="s">
        <v>826</v>
      </c>
      <c r="C20" s="20" t="n">
        <f aca="false">Units!C13</f>
        <v>0.0736142358966229</v>
      </c>
      <c r="E20" s="20" t="n">
        <f aca="false">Units!C13</f>
        <v>0.0736142358966229</v>
      </c>
      <c r="G20" s="20" t="n">
        <f aca="false">Units!C13</f>
        <v>0.0736142358966229</v>
      </c>
      <c r="I20" s="5" t="s">
        <v>827</v>
      </c>
      <c r="J20" s="5" t="s">
        <v>828</v>
      </c>
    </row>
    <row r="21" customFormat="false" ht="17.15" hidden="false" customHeight="false" outlineLevel="0" collapsed="false">
      <c r="A21" s="0" t="s">
        <v>829</v>
      </c>
      <c r="C21" s="20" t="n">
        <f aca="false">Units!D13</f>
        <v>0.0802005203305354</v>
      </c>
      <c r="E21" s="20" t="n">
        <f aca="false">Units!D13</f>
        <v>0.0802005203305354</v>
      </c>
      <c r="G21" s="20" t="n">
        <f aca="false">Units!D13</f>
        <v>0.0802005203305354</v>
      </c>
      <c r="I21" s="5" t="s">
        <v>39</v>
      </c>
      <c r="J21" s="5" t="s">
        <v>830</v>
      </c>
    </row>
    <row r="22" customFormat="false" ht="17.15" hidden="false" customHeight="false" outlineLevel="0" collapsed="false">
      <c r="A22" s="5" t="s">
        <v>831</v>
      </c>
      <c r="C22" s="34" t="n">
        <f aca="false">cow_util27</f>
        <v>0.962547553456644</v>
      </c>
      <c r="E22" s="34" t="n">
        <f aca="false">cow_util27</f>
        <v>0.962547553456644</v>
      </c>
      <c r="G22" s="34" t="n">
        <f aca="false">cow_util27</f>
        <v>0.962547553456644</v>
      </c>
      <c r="I22" s="8" t="s">
        <v>832</v>
      </c>
      <c r="J22" s="5" t="s">
        <v>833</v>
      </c>
    </row>
    <row r="23" customFormat="false" ht="17.15" hidden="false" customHeight="false" outlineLevel="0" collapsed="false">
      <c r="A23" s="0" t="s">
        <v>834</v>
      </c>
      <c r="C23" s="16" t="n">
        <f aca="false">PL!D69</f>
        <v>56.662470832253</v>
      </c>
      <c r="E23" s="16" t="n">
        <f aca="false">PL!D115</f>
        <v>56.662470832253</v>
      </c>
      <c r="G23" s="16" t="n">
        <f aca="false">PL!D161</f>
        <v>56.662470832253</v>
      </c>
      <c r="I23" s="8" t="s">
        <v>216</v>
      </c>
      <c r="J23" s="5" t="s">
        <v>835</v>
      </c>
    </row>
    <row r="24" customFormat="false" ht="17.15" hidden="false" customHeight="false" outlineLevel="0" collapsed="false">
      <c r="A24" s="1" t="s">
        <v>836</v>
      </c>
    </row>
    <row r="25" customFormat="false" ht="17.15" hidden="false" customHeight="false" outlineLevel="0" collapsed="false">
      <c r="A25" s="0" t="s">
        <v>837</v>
      </c>
      <c r="B25" s="17" t="n">
        <v>-0.015</v>
      </c>
      <c r="C25" s="17" t="n">
        <f aca="false">PL!E91</f>
        <v>-0.0136211871029946</v>
      </c>
      <c r="D25" s="20" t="n">
        <f aca="false">C25-B25</f>
        <v>0.00137881289700544</v>
      </c>
      <c r="E25" s="17" t="n">
        <f aca="false">PL!E137</f>
        <v>-0.0137637586681576</v>
      </c>
      <c r="F25" s="20" t="n">
        <f aca="false">E25-B25</f>
        <v>0.00123624133184238</v>
      </c>
      <c r="G25" s="17" t="n">
        <f aca="false">PL!E183</f>
        <v>-0.0140580469323336</v>
      </c>
      <c r="H25" s="20" t="n">
        <f aca="false">G25-B25</f>
        <v>0.000941953067666375</v>
      </c>
      <c r="I25" s="8" t="s">
        <v>838</v>
      </c>
    </row>
    <row r="26" customFormat="false" ht="17.15" hidden="false" customHeight="false" outlineLevel="0" collapsed="false">
      <c r="A26" s="0" t="s">
        <v>839</v>
      </c>
      <c r="B26" s="17" t="n">
        <v>-0.015</v>
      </c>
      <c r="C26" s="17" t="n">
        <f aca="false">PL!F91</f>
        <v>-0.0112973875485566</v>
      </c>
      <c r="D26" s="20" t="n">
        <f aca="false">C26-B26</f>
        <v>0.00370261245144342</v>
      </c>
      <c r="E26" s="17" t="n">
        <f aca="false">PL!F137</f>
        <v>-0.0150169264383307</v>
      </c>
      <c r="F26" s="20" t="n">
        <f aca="false">E26-B26</f>
        <v>-1.69264383307229E-005</v>
      </c>
      <c r="G26" s="17" t="n">
        <f aca="false">PL!F183</f>
        <v>-0.019612560128569</v>
      </c>
      <c r="H26" s="20" t="n">
        <f aca="false">G26-B26</f>
        <v>-0.004612560128569</v>
      </c>
      <c r="I26" s="8" t="s">
        <v>838</v>
      </c>
    </row>
    <row r="27" customFormat="false" ht="17.15" hidden="false" customHeight="false" outlineLevel="0" collapsed="false">
      <c r="A27" s="0" t="s">
        <v>840</v>
      </c>
      <c r="B27" s="17" t="n">
        <v>-0.015</v>
      </c>
      <c r="C27" s="17" t="n">
        <f aca="false">PL!G91</f>
        <v>-0.00131684021932539</v>
      </c>
      <c r="D27" s="20" t="n">
        <f aca="false">C27-B27</f>
        <v>0.0136831597806746</v>
      </c>
      <c r="E27" s="17" t="n">
        <f aca="false">PL!G137</f>
        <v>-0.00668214355693403</v>
      </c>
      <c r="F27" s="20" t="n">
        <f aca="false">E27-B27</f>
        <v>0.00831785644306596</v>
      </c>
      <c r="G27" s="17" t="n">
        <f aca="false">PL!G183</f>
        <v>-0.0164775358716676</v>
      </c>
      <c r="H27" s="20" t="n">
        <f aca="false">G27-B27</f>
        <v>-0.00147753587166759</v>
      </c>
      <c r="I27" s="8" t="s">
        <v>838</v>
      </c>
    </row>
    <row r="28" customFormat="false" ht="17.15" hidden="false" customHeight="false" outlineLevel="0" collapsed="false">
      <c r="A28" s="1" t="s">
        <v>841</v>
      </c>
    </row>
    <row r="29" customFormat="false" ht="17.15" hidden="false" customHeight="false" outlineLevel="0" collapsed="false">
      <c r="A29" s="0" t="s">
        <v>842</v>
      </c>
      <c r="B29" s="20" t="n">
        <f aca="false">apple</f>
        <v>0.298</v>
      </c>
      <c r="C29" s="20" t="n">
        <f aca="false">PL!E80</f>
        <v>0.355641012648864</v>
      </c>
      <c r="D29" s="20" t="n">
        <f aca="false">C29-B29</f>
        <v>0.0576410126488636</v>
      </c>
      <c r="E29" s="20" t="n">
        <f aca="false">PL!E126</f>
        <v>0.348896573367699</v>
      </c>
      <c r="F29" s="20" t="n">
        <f aca="false">E29-B29</f>
        <v>0.0508965733676989</v>
      </c>
      <c r="G29" s="20" t="n">
        <f aca="false">PL!E172</f>
        <v>0.334975078386392</v>
      </c>
      <c r="H29" s="20" t="n">
        <f aca="false">G29-B29</f>
        <v>0.0369750783863922</v>
      </c>
      <c r="I29" s="8" t="s">
        <v>843</v>
      </c>
      <c r="J29" s="5" t="s">
        <v>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845</v>
      </c>
    </row>
    <row r="3" customFormat="false" ht="17.15" hidden="false" customHeight="false" outlineLevel="0" collapsed="false">
      <c r="A3" s="6" t="s">
        <v>846</v>
      </c>
      <c r="B3" s="6" t="s">
        <v>847</v>
      </c>
      <c r="C3" s="14" t="s">
        <v>848</v>
      </c>
      <c r="D3" s="14" t="s">
        <v>849</v>
      </c>
      <c r="E3" s="14" t="s">
        <v>687</v>
      </c>
      <c r="F3" s="14" t="s">
        <v>850</v>
      </c>
      <c r="G3" s="14" t="s">
        <v>851</v>
      </c>
      <c r="H3" s="14" t="s">
        <v>852</v>
      </c>
      <c r="I3" s="14" t="s">
        <v>853</v>
      </c>
      <c r="J3" s="14" t="s">
        <v>854</v>
      </c>
    </row>
    <row r="4" customFormat="false" ht="17.15" hidden="false" customHeight="false" outlineLevel="0" collapsed="false">
      <c r="A4" s="5" t="s">
        <v>855</v>
      </c>
      <c r="B4" s="0" t="s">
        <v>856</v>
      </c>
      <c r="C4" s="23" t="n">
        <f aca="false">PL!E77</f>
        <v>8809.80483511738</v>
      </c>
      <c r="D4" s="17" t="n">
        <f aca="false">PL!E90</f>
        <v>0.180695883633292</v>
      </c>
      <c r="E4" s="18" t="n">
        <f aca="false">PL!E101</f>
        <v>3.10052397591464</v>
      </c>
      <c r="F4" s="20" t="n">
        <f aca="false">E4/E$4-1</f>
        <v>0</v>
      </c>
      <c r="G4" s="23" t="n">
        <f aca="false">PL!F77</f>
        <v>9939.61357738974</v>
      </c>
      <c r="H4" s="17" t="n">
        <f aca="false">PL!F90</f>
        <v>0.194223517647993</v>
      </c>
      <c r="I4" s="18" t="n">
        <f aca="false">PL!F101</f>
        <v>3.99736023666516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857</v>
      </c>
      <c r="B5" s="0" t="s">
        <v>858</v>
      </c>
      <c r="C5" s="23" t="n">
        <f aca="false">E57</f>
        <v>8475.79560618395</v>
      </c>
      <c r="D5" s="17" t="n">
        <f aca="false">E70</f>
        <v>0.172053674428043</v>
      </c>
      <c r="E5" s="18" t="n">
        <f aca="false">E81</f>
        <v>2.71172099246239</v>
      </c>
      <c r="F5" s="20" t="n">
        <f aca="false">E5/E$4-1</f>
        <v>-0.125399121720244</v>
      </c>
      <c r="G5" s="23" t="n">
        <f aca="false">F57</f>
        <v>9484.26508107414</v>
      </c>
      <c r="H5" s="17" t="n">
        <f aca="false">F70</f>
        <v>0.185048338918428</v>
      </c>
      <c r="I5" s="18" t="n">
        <f aca="false">F81</f>
        <v>3.48577492132019</v>
      </c>
      <c r="J5" s="20" t="n">
        <f aca="false">I5/I$4-1</f>
        <v>-0.127980788584562</v>
      </c>
    </row>
    <row r="6" customFormat="false" ht="17.15" hidden="false" customHeight="false" outlineLevel="0" collapsed="false">
      <c r="A6" s="0" t="s">
        <v>859</v>
      </c>
      <c r="B6" s="0" t="s">
        <v>860</v>
      </c>
      <c r="C6" s="23" t="n">
        <f aca="false">E103</f>
        <v>9143.81406405081</v>
      </c>
      <c r="D6" s="17" t="n">
        <f aca="false">E116</f>
        <v>0.188706720062868</v>
      </c>
      <c r="E6" s="18" t="n">
        <f aca="false">E127</f>
        <v>3.48932695936689</v>
      </c>
      <c r="F6" s="20" t="n">
        <f aca="false">E6/E$4-1</f>
        <v>0.125399121720244</v>
      </c>
      <c r="G6" s="23" t="n">
        <f aca="false">F103</f>
        <v>10394.9620737053</v>
      </c>
      <c r="H6" s="17" t="n">
        <f aca="false">F116</f>
        <v>0.202594863942517</v>
      </c>
      <c r="I6" s="18" t="n">
        <f aca="false">F127</f>
        <v>4.50924798949807</v>
      </c>
      <c r="J6" s="20" t="n">
        <f aca="false">I6/I$4-1</f>
        <v>0.128056447887207</v>
      </c>
    </row>
    <row r="7" customFormat="false" ht="17.15" hidden="false" customHeight="false" outlineLevel="0" collapsed="false">
      <c r="A7" s="5" t="s">
        <v>861</v>
      </c>
      <c r="B7" s="0" t="s">
        <v>862</v>
      </c>
      <c r="C7" s="23" t="n">
        <f aca="false">E149</f>
        <v>8506.16008154154</v>
      </c>
      <c r="D7" s="17" t="n">
        <f aca="false">E162</f>
        <v>0.172867375383507</v>
      </c>
      <c r="E7" s="18" t="n">
        <f aca="false">E173</f>
        <v>2.74706671823077</v>
      </c>
      <c r="F7" s="20" t="n">
        <f aca="false">E7/E$4-1</f>
        <v>-0.113999201563858</v>
      </c>
      <c r="G7" s="23" t="n">
        <f aca="false">F149</f>
        <v>9370.42795699524</v>
      </c>
      <c r="H7" s="17" t="n">
        <f aca="false">F162</f>
        <v>0.182372178498035</v>
      </c>
      <c r="I7" s="18" t="n">
        <f aca="false">F173</f>
        <v>3.35069424654064</v>
      </c>
      <c r="J7" s="20" t="n">
        <f aca="false">I7/I$4-1</f>
        <v>-0.161773258310093</v>
      </c>
    </row>
    <row r="8" customFormat="false" ht="17.15" hidden="false" customHeight="false" outlineLevel="0" collapsed="false">
      <c r="A8" s="5" t="s">
        <v>863</v>
      </c>
      <c r="B8" s="0" t="s">
        <v>864</v>
      </c>
      <c r="C8" s="23" t="n">
        <f aca="false">E195</f>
        <v>9113.44958869322</v>
      </c>
      <c r="D8" s="17" t="n">
        <f aca="false">E208</f>
        <v>0.188002726527881</v>
      </c>
      <c r="E8" s="18" t="n">
        <f aca="false">E219</f>
        <v>3.45398123359851</v>
      </c>
      <c r="F8" s="20" t="n">
        <f aca="false">E8/E$4-1</f>
        <v>0.113999201563858</v>
      </c>
      <c r="G8" s="23" t="n">
        <f aca="false">F195</f>
        <v>10319.0706576527</v>
      </c>
      <c r="H8" s="17" t="n">
        <f aca="false">F208</f>
        <v>0.201201902669048</v>
      </c>
      <c r="I8" s="18" t="n">
        <f aca="false">F219</f>
        <v>4.42223033280198</v>
      </c>
      <c r="J8" s="20" t="n">
        <f aca="false">I8/I$4-1</f>
        <v>0.106287667606177</v>
      </c>
    </row>
    <row r="9" customFormat="false" ht="17.15" hidden="false" customHeight="false" outlineLevel="0" collapsed="false">
      <c r="A9" s="0" t="s">
        <v>865</v>
      </c>
      <c r="B9" s="0" t="s">
        <v>866</v>
      </c>
      <c r="C9" s="23" t="n">
        <f aca="false">E241</f>
        <v>8475.79560618395</v>
      </c>
      <c r="D9" s="17" t="n">
        <f aca="false">E254</f>
        <v>0.172053674428043</v>
      </c>
      <c r="E9" s="18" t="n">
        <f aca="false">E265</f>
        <v>2.71172099246239</v>
      </c>
      <c r="F9" s="20" t="n">
        <f aca="false">E9/E$4-1</f>
        <v>-0.125399121720244</v>
      </c>
      <c r="G9" s="23" t="n">
        <f aca="false">F241</f>
        <v>9385.81135214104</v>
      </c>
      <c r="H9" s="17" t="n">
        <f aca="false">F254</f>
        <v>0.182793574596</v>
      </c>
      <c r="I9" s="18" t="n">
        <f aca="false">F265</f>
        <v>3.37063237545039</v>
      </c>
      <c r="J9" s="20" t="n">
        <f aca="false">I9/I$4-1</f>
        <v>-0.156785434413994</v>
      </c>
    </row>
    <row r="10" customFormat="false" ht="17.15" hidden="false" customHeight="false" outlineLevel="0" collapsed="false">
      <c r="A10" s="0" t="s">
        <v>867</v>
      </c>
      <c r="B10" s="0" t="s">
        <v>868</v>
      </c>
      <c r="C10" s="23" t="n">
        <f aca="false">E287</f>
        <v>9048.38285578411</v>
      </c>
      <c r="D10" s="17" t="n">
        <f aca="false">E300</f>
        <v>0.186478258543897</v>
      </c>
      <c r="E10" s="18" t="n">
        <f aca="false">E311</f>
        <v>3.37824039266625</v>
      </c>
      <c r="F10" s="20" t="n">
        <f aca="false">E10/E$4-1</f>
        <v>0.0895708012287462</v>
      </c>
      <c r="G10" s="23" t="n">
        <f aca="false">F287</f>
        <v>10431.8822220552</v>
      </c>
      <c r="H10" s="17" t="n">
        <f aca="false">F300</f>
        <v>0.203476473883834</v>
      </c>
      <c r="I10" s="18" t="n">
        <f aca="false">F311</f>
        <v>4.55885388058624</v>
      </c>
      <c r="J10" s="20" t="n">
        <f aca="false">I10/I$4-1</f>
        <v>0.140466110302209</v>
      </c>
    </row>
    <row r="11" customFormat="false" ht="17.15" hidden="false" customHeight="false" outlineLevel="0" collapsed="false">
      <c r="A11" s="5" t="s">
        <v>869</v>
      </c>
      <c r="B11" s="5" t="s">
        <v>870</v>
      </c>
      <c r="C11" s="23" t="n">
        <f aca="false">E333</f>
        <v>8729.81204936893</v>
      </c>
      <c r="D11" s="17" t="n">
        <f aca="false">E346</f>
        <v>0.178686361882415</v>
      </c>
      <c r="E11" s="18" t="n">
        <f aca="false">E357</f>
        <v>3.00740848370812</v>
      </c>
      <c r="F11" s="20" t="n">
        <f aca="false">E11/E$4-1</f>
        <v>-0.030032179376729</v>
      </c>
      <c r="G11" s="23" t="n">
        <f aca="false">F333</f>
        <v>9782.84673253228</v>
      </c>
      <c r="H11" s="17" t="n">
        <f aca="false">F346</f>
        <v>0.191089555212779</v>
      </c>
      <c r="I11" s="18" t="n">
        <f aca="false">F357</f>
        <v>3.81893502552147</v>
      </c>
      <c r="J11" s="20" t="n">
        <f aca="false">I11/I$4-1</f>
        <v>-0.0446357597464224</v>
      </c>
    </row>
    <row r="12" customFormat="false" ht="17.15" hidden="false" customHeight="false" outlineLevel="0" collapsed="false">
      <c r="A12" s="5" t="s">
        <v>871</v>
      </c>
      <c r="B12" s="5" t="s">
        <v>872</v>
      </c>
      <c r="C12" s="23" t="n">
        <f aca="false">E379</f>
        <v>9027.83873764088</v>
      </c>
      <c r="D12" s="17" t="n">
        <f aca="false">E392</f>
        <v>0.185992359757919</v>
      </c>
      <c r="E12" s="18" t="n">
        <f aca="false">E403</f>
        <v>3.35432604020362</v>
      </c>
      <c r="F12" s="20" t="n">
        <f aca="false">E12/E$4-1</f>
        <v>0.0818577976692192</v>
      </c>
      <c r="G12" s="23" t="n">
        <f aca="false">F379</f>
        <v>10384.1403442875</v>
      </c>
      <c r="H12" s="17" t="n">
        <f aca="false">F392</f>
        <v>0.202612510233305</v>
      </c>
      <c r="I12" s="18" t="n">
        <f aca="false">F403</f>
        <v>4.50420355191202</v>
      </c>
      <c r="J12" s="20" t="n">
        <f aca="false">I12/I$4-1</f>
        <v>0.126794505683504</v>
      </c>
    </row>
    <row r="13" customFormat="false" ht="17.15" hidden="false" customHeight="false" outlineLevel="0" collapsed="false">
      <c r="A13" s="0" t="s">
        <v>873</v>
      </c>
      <c r="B13" s="0" t="s">
        <v>874</v>
      </c>
      <c r="C13" s="23" t="n">
        <f aca="false">E425</f>
        <v>8892.53363100822</v>
      </c>
      <c r="D13" s="17" t="n">
        <f aca="false">E438</f>
        <v>0.182736108189503</v>
      </c>
      <c r="E13" s="18" t="n">
        <f aca="false">E449</f>
        <v>3.19682431696354</v>
      </c>
      <c r="F13" s="20" t="n">
        <f aca="false">E13/E$4-1</f>
        <v>0.0310593763496028</v>
      </c>
      <c r="G13" s="23" t="n">
        <f aca="false">F425</f>
        <v>10083.6365578538</v>
      </c>
      <c r="H13" s="17" t="n">
        <f aca="false">F438</f>
        <v>0.196998505244917</v>
      </c>
      <c r="I13" s="18" t="n">
        <f aca="false">F449</f>
        <v>4.16073297279135</v>
      </c>
      <c r="J13" s="20" t="n">
        <f aca="false">I13/I$4-1</f>
        <v>0.0408701559163147</v>
      </c>
    </row>
    <row r="14" customFormat="false" ht="17.15" hidden="false" customHeight="false" outlineLevel="0" collapsed="false">
      <c r="A14" s="5" t="s">
        <v>875</v>
      </c>
      <c r="B14" s="0" t="s">
        <v>876</v>
      </c>
      <c r="C14" s="23" t="n">
        <f aca="false">E471</f>
        <v>8536.03637671738</v>
      </c>
      <c r="D14" s="17" t="n">
        <f aca="false">E484</f>
        <v>0.173662344036126</v>
      </c>
      <c r="E14" s="18" t="n">
        <f aca="false">E495</f>
        <v>2.78184417853018</v>
      </c>
      <c r="F14" s="20" t="n">
        <f aca="false">E14/E$4-1</f>
        <v>-0.102782561870193</v>
      </c>
      <c r="G14" s="23" t="n">
        <f aca="false">F471</f>
        <v>9540.52000247774</v>
      </c>
      <c r="H14" s="17" t="n">
        <f aca="false">F484</f>
        <v>0.186189500342147</v>
      </c>
      <c r="I14" s="18" t="n">
        <f aca="false">F495</f>
        <v>3.5477537150607</v>
      </c>
      <c r="J14" s="20" t="n">
        <f aca="false">I14/I$4-1</f>
        <v>-0.112475857812492</v>
      </c>
    </row>
    <row r="15" customFormat="false" ht="17.15" hidden="false" customHeight="false" outlineLevel="0" collapsed="false">
      <c r="A15" s="5" t="s">
        <v>877</v>
      </c>
      <c r="B15" s="5" t="s">
        <v>878</v>
      </c>
      <c r="C15" s="23" t="n">
        <f aca="false">E517</f>
        <v>8710.38532951738</v>
      </c>
      <c r="D15" s="17" t="n">
        <f aca="false">E530</f>
        <v>0.178192767410484</v>
      </c>
      <c r="E15" s="18" t="n">
        <f aca="false">E541</f>
        <v>2.98479483718976</v>
      </c>
      <c r="F15" s="20" t="n">
        <f aca="false">E15/E$4-1</f>
        <v>-0.0373256712813337</v>
      </c>
      <c r="G15" s="23" t="n">
        <f aca="false">F517</f>
        <v>9726.85583540574</v>
      </c>
      <c r="H15" s="17" t="n">
        <f aca="false">F530</f>
        <v>0.189926944291318</v>
      </c>
      <c r="I15" s="18" t="n">
        <f aca="false">F541</f>
        <v>3.75463079670251</v>
      </c>
      <c r="J15" s="20" t="n">
        <f aca="false">I15/I$4-1</f>
        <v>-0.0607224332038577</v>
      </c>
    </row>
    <row r="16" customFormat="false" ht="17.15" hidden="false" customHeight="false" outlineLevel="0" collapsed="false">
      <c r="A16" s="5" t="s">
        <v>879</v>
      </c>
      <c r="C16" s="23" t="n">
        <f aca="false">E563</f>
        <v>8876.08450551738</v>
      </c>
      <c r="D16" s="17" t="n">
        <f aca="false">E576</f>
        <v>0.182333475585139</v>
      </c>
      <c r="E16" s="18" t="n">
        <f aca="false">E587</f>
        <v>3.17767673506456</v>
      </c>
      <c r="F16" s="20" t="n">
        <f aca="false">E16/E$4-1</f>
        <v>0.024883780854223</v>
      </c>
      <c r="G16" s="23" t="n">
        <f aca="false">F563</f>
        <v>10088.0800390857</v>
      </c>
      <c r="H16" s="17" t="n">
        <f aca="false">F576</f>
        <v>0.197120532016815</v>
      </c>
      <c r="I16" s="18" t="n">
        <f aca="false">F587</f>
        <v>4.16701133004525</v>
      </c>
      <c r="J16" s="20" t="n">
        <f aca="false">I16/I$4-1</f>
        <v>0.0424407817499126</v>
      </c>
    </row>
    <row r="17" customFormat="false" ht="17.15" hidden="false" customHeight="false" outlineLevel="0" collapsed="false">
      <c r="A17" s="5" t="s">
        <v>880</v>
      </c>
      <c r="B17" s="5" t="s">
        <v>881</v>
      </c>
      <c r="C17" s="23" t="n">
        <f aca="false">E609</f>
        <v>8809.80483511738</v>
      </c>
      <c r="D17" s="17" t="n">
        <f aca="false">E622</f>
        <v>0.167876736827501</v>
      </c>
      <c r="E17" s="18" t="n">
        <f aca="false">E633</f>
        <v>2.73901168089677</v>
      </c>
      <c r="F17" s="20" t="n">
        <f aca="false">E17/E$4-1</f>
        <v>-0.116597161584994</v>
      </c>
      <c r="G17" s="23" t="n">
        <f aca="false">F609</f>
        <v>9939.61357738974</v>
      </c>
      <c r="H17" s="17" t="n">
        <f aca="false">F622</f>
        <v>0.17300387423864</v>
      </c>
      <c r="I17" s="18" t="n">
        <f aca="false">F633</f>
        <v>3.32220250467157</v>
      </c>
      <c r="J17" s="20" t="n">
        <f aca="false">I17/I$4-1</f>
        <v>-0.168900897597573</v>
      </c>
    </row>
    <row r="18" customFormat="false" ht="17.15" hidden="false" customHeight="false" outlineLevel="0" collapsed="false">
      <c r="A18" s="5" t="s">
        <v>882</v>
      </c>
      <c r="C18" s="23" t="n">
        <f aca="false">E655</f>
        <v>8809.80483511738</v>
      </c>
      <c r="D18" s="17" t="n">
        <f aca="false">E668</f>
        <v>0.193515030439083</v>
      </c>
      <c r="E18" s="18" t="n">
        <f aca="false">E679</f>
        <v>3.46203627093251</v>
      </c>
      <c r="F18" s="20" t="n">
        <f aca="false">E18/E$4-1</f>
        <v>0.116597161584994</v>
      </c>
      <c r="G18" s="23" t="n">
        <f aca="false">F655</f>
        <v>9939.61357738974</v>
      </c>
      <c r="H18" s="17" t="n">
        <f aca="false">F668</f>
        <v>0.215443161057346</v>
      </c>
      <c r="I18" s="18" t="n">
        <f aca="false">F679</f>
        <v>4.67251796865876</v>
      </c>
      <c r="J18" s="20" t="n">
        <f aca="false">I18/I$4-1</f>
        <v>0.168900897597573</v>
      </c>
    </row>
    <row r="19" customFormat="false" ht="17.15" hidden="false" customHeight="false" outlineLevel="0" collapsed="false">
      <c r="A19" s="5" t="s">
        <v>883</v>
      </c>
      <c r="B19" s="5" t="s">
        <v>884</v>
      </c>
      <c r="C19" s="23" t="n">
        <f aca="false">E701</f>
        <v>8809.80483511738</v>
      </c>
      <c r="D19" s="17" t="n">
        <f aca="false">E714</f>
        <v>0.180695883633292</v>
      </c>
      <c r="E19" s="18" t="n">
        <f aca="false">E725</f>
        <v>3.10052397591464</v>
      </c>
      <c r="F19" s="20" t="n">
        <f aca="false">E19/E$4-1</f>
        <v>0</v>
      </c>
      <c r="G19" s="23" t="n">
        <f aca="false">F701</f>
        <v>9939.61357738974</v>
      </c>
      <c r="H19" s="17" t="n">
        <f aca="false">F714</f>
        <v>0.189158759192044</v>
      </c>
      <c r="I19" s="18" t="n">
        <f aca="false">F725</f>
        <v>3.83621187209335</v>
      </c>
      <c r="J19" s="20" t="n">
        <f aca="false">I19/I$4-1</f>
        <v>-0.0403136957969679</v>
      </c>
    </row>
    <row r="20" customFormat="false" ht="17.15" hidden="false" customHeight="false" outlineLevel="0" collapsed="false">
      <c r="A20" s="5" t="s">
        <v>885</v>
      </c>
      <c r="B20" s="5" t="s">
        <v>886</v>
      </c>
      <c r="C20" s="23" t="n">
        <f aca="false">E747</f>
        <v>8809.80483511738</v>
      </c>
      <c r="D20" s="17" t="n">
        <f aca="false">E760</f>
        <v>0.177716086797522</v>
      </c>
      <c r="E20" s="18" t="n">
        <f aca="false">E771</f>
        <v>3.01649083321755</v>
      </c>
      <c r="F20" s="20" t="n">
        <f aca="false">E20/E$4-1</f>
        <v>-0.0271028843349932</v>
      </c>
      <c r="G20" s="23" t="n">
        <f aca="false">F747</f>
        <v>9939.61357738974</v>
      </c>
      <c r="H20" s="17" t="n">
        <f aca="false">F760</f>
        <v>0.189654992211578</v>
      </c>
      <c r="I20" s="18" t="n">
        <f aca="false">F771</f>
        <v>3.8520008065983</v>
      </c>
      <c r="J20" s="20" t="n">
        <f aca="false">I20/I$4-1</f>
        <v>-0.0363638555098369</v>
      </c>
    </row>
    <row r="21" customFormat="false" ht="17.15" hidden="false" customHeight="false" outlineLevel="0" collapsed="false">
      <c r="A21" s="5" t="s">
        <v>887</v>
      </c>
      <c r="B21" s="0" t="s">
        <v>888</v>
      </c>
      <c r="C21" s="23" t="n">
        <f aca="false">E793</f>
        <v>8809.80483511738</v>
      </c>
      <c r="D21" s="17" t="n">
        <f aca="false">E806</f>
        <v>0.175020389007044</v>
      </c>
      <c r="E21" s="18" t="n">
        <f aca="false">E817</f>
        <v>2.94046955741235</v>
      </c>
      <c r="F21" s="20" t="n">
        <f aca="false">E21/E$4-1</f>
        <v>-0.0516217322444912</v>
      </c>
      <c r="G21" s="23" t="n">
        <f aca="false">F793</f>
        <v>9939.61357738974</v>
      </c>
      <c r="H21" s="17" t="n">
        <f aca="false">F806</f>
        <v>0.189193141002996</v>
      </c>
      <c r="I21" s="18" t="n">
        <f aca="false">F817</f>
        <v>3.83730581816287</v>
      </c>
      <c r="J21" s="20" t="n">
        <f aca="false">I21/I$4-1</f>
        <v>-0.0400400286754785</v>
      </c>
    </row>
    <row r="22" customFormat="false" ht="17.15" hidden="false" customHeight="false" outlineLevel="0" collapsed="false">
      <c r="A22" s="5" t="s">
        <v>889</v>
      </c>
      <c r="B22" s="5" t="s">
        <v>890</v>
      </c>
      <c r="C22" s="23" t="n">
        <f aca="false">E839</f>
        <v>8809.80483511738</v>
      </c>
      <c r="D22" s="17" t="n">
        <f aca="false">E852</f>
        <v>0.180695883633292</v>
      </c>
      <c r="E22" s="18" t="n">
        <f aca="false">E863</f>
        <v>3.10052397591464</v>
      </c>
      <c r="F22" s="20" t="n">
        <f aca="false">E22/E$4-1</f>
        <v>0</v>
      </c>
      <c r="G22" s="23" t="n">
        <f aca="false">F839</f>
        <v>9939.61357738974</v>
      </c>
      <c r="H22" s="17" t="n">
        <f aca="false">F852</f>
        <v>0.192022727865807</v>
      </c>
      <c r="I22" s="18" t="n">
        <f aca="false">F863</f>
        <v>3.92733642857041</v>
      </c>
      <c r="J22" s="20" t="n">
        <f aca="false">I22/I$4-1</f>
        <v>-0.0175175125455219</v>
      </c>
    </row>
    <row r="23" customFormat="false" ht="17.15" hidden="false" customHeight="false" outlineLevel="0" collapsed="false">
      <c r="A23" s="5" t="s">
        <v>891</v>
      </c>
      <c r="B23" s="5" t="s">
        <v>892</v>
      </c>
      <c r="C23" s="23" t="n">
        <f aca="false">E885</f>
        <v>8809.80483511738</v>
      </c>
      <c r="D23" s="17" t="n">
        <f aca="false">E898</f>
        <v>0.180695883633292</v>
      </c>
      <c r="E23" s="18" t="n">
        <f aca="false">E909</f>
        <v>2.96908358212476</v>
      </c>
      <c r="F23" s="20" t="n">
        <f aca="false">E23/E$4-1</f>
        <v>-0.042392961580342</v>
      </c>
      <c r="G23" s="23" t="n">
        <f aca="false">F885</f>
        <v>9939.61357738974</v>
      </c>
      <c r="H23" s="17" t="n">
        <f aca="false">F898</f>
        <v>0.194223517647993</v>
      </c>
      <c r="I23" s="18" t="n">
        <f aca="false">F909</f>
        <v>3.72599685321624</v>
      </c>
      <c r="J23" s="20" t="n">
        <f aca="false">I23/I$4-1</f>
        <v>-0.0678856463722936</v>
      </c>
    </row>
    <row r="24" customFormat="false" ht="17.15" hidden="false" customHeight="false" outlineLevel="0" collapsed="false">
      <c r="A24" s="5" t="s">
        <v>893</v>
      </c>
      <c r="B24" s="5" t="s">
        <v>894</v>
      </c>
      <c r="C24" s="23" t="n">
        <f aca="false">E931</f>
        <v>8809.80483511738</v>
      </c>
      <c r="D24" s="17" t="n">
        <f aca="false">E944</f>
        <v>0.180695883633292</v>
      </c>
      <c r="E24" s="18" t="n">
        <f aca="false">E955</f>
        <v>2.90599097233324</v>
      </c>
      <c r="F24" s="20" t="n">
        <f aca="false">E24/E$4-1</f>
        <v>-0.0627419768698961</v>
      </c>
      <c r="G24" s="23" t="n">
        <f aca="false">F931</f>
        <v>9939.61357738974</v>
      </c>
      <c r="H24" s="17" t="n">
        <f aca="false">F944</f>
        <v>0.194223517647993</v>
      </c>
      <c r="I24" s="18" t="n">
        <f aca="false">F955</f>
        <v>3.74677496678686</v>
      </c>
      <c r="J24" s="20" t="n">
        <f aca="false">I24/I$4-1</f>
        <v>-0.0626876876344163</v>
      </c>
    </row>
    <row r="25" customFormat="false" ht="17.15" hidden="false" customHeight="false" outlineLevel="0" collapsed="false">
      <c r="A25" s="5" t="s">
        <v>895</v>
      </c>
      <c r="B25" s="5" t="s">
        <v>896</v>
      </c>
      <c r="C25" s="23" t="n">
        <f aca="false">E977</f>
        <v>8809.80483511738</v>
      </c>
      <c r="D25" s="17" t="n">
        <f aca="false">E990</f>
        <v>0.180695883633292</v>
      </c>
      <c r="E25" s="18" t="n">
        <f aca="false">E1001</f>
        <v>2.97248044111281</v>
      </c>
      <c r="F25" s="20" t="n">
        <f aca="false">E25/E$4-1</f>
        <v>-0.0412973857955929</v>
      </c>
      <c r="G25" s="23" t="n">
        <f aca="false">F977</f>
        <v>9939.61357738974</v>
      </c>
      <c r="H25" s="17" t="n">
        <f aca="false">F990</f>
        <v>0.194223517647993</v>
      </c>
      <c r="I25" s="18" t="n">
        <f aca="false">F1001</f>
        <v>3.86931670186333</v>
      </c>
      <c r="J25" s="20" t="n">
        <f aca="false">I25/I$4-1</f>
        <v>-0.0320320229403829</v>
      </c>
    </row>
    <row r="26" customFormat="false" ht="17.15" hidden="false" customHeight="false" outlineLevel="0" collapsed="false">
      <c r="A26" s="5" t="s">
        <v>897</v>
      </c>
      <c r="B26" s="0" t="s">
        <v>898</v>
      </c>
      <c r="C26" s="23" t="n">
        <f aca="false">PL!E123</f>
        <v>8718.54868231738</v>
      </c>
      <c r="D26" s="17" t="n">
        <f aca="false">PL!E136</f>
        <v>0.178400449991518</v>
      </c>
      <c r="E26" s="18" t="n">
        <f aca="false">PL!E147</f>
        <v>2.99429737678648</v>
      </c>
      <c r="F26" s="20" t="n">
        <f aca="false">E26/E$4-1</f>
        <v>-0.0342608539567311</v>
      </c>
      <c r="G26" s="23" t="n">
        <f aca="false">PL!F123</f>
        <v>9308.93996456214</v>
      </c>
      <c r="H26" s="17" t="n">
        <f aca="false">PL!F136</f>
        <v>0.179672701441256</v>
      </c>
      <c r="I26" s="18" t="n">
        <f aca="false">PL!F147</f>
        <v>3.24072219564592</v>
      </c>
      <c r="J26" s="20" t="n">
        <f aca="false">I26/I$4-1</f>
        <v>-0.189284426777226</v>
      </c>
    </row>
    <row r="27" customFormat="false" ht="17.15" hidden="false" customHeight="false" outlineLevel="0" collapsed="false">
      <c r="A27" s="5" t="s">
        <v>899</v>
      </c>
      <c r="B27" s="0" t="s">
        <v>900</v>
      </c>
      <c r="C27" s="23" t="n">
        <f aca="false">PL!E169</f>
        <v>8536.03637671738</v>
      </c>
      <c r="D27" s="17" t="n">
        <f aca="false">PL!E182</f>
        <v>0.173662344036126</v>
      </c>
      <c r="E27" s="18" t="n">
        <f aca="false">PL!E193</f>
        <v>2.78184417853018</v>
      </c>
      <c r="F27" s="20" t="n">
        <f aca="false">E27/E$4-1</f>
        <v>-0.102782561870193</v>
      </c>
      <c r="G27" s="23" t="n">
        <f aca="false">PL!F169</f>
        <v>8529.82300984654</v>
      </c>
      <c r="H27" s="17" t="n">
        <f aca="false">PL!F182</f>
        <v>0.159096601845849</v>
      </c>
      <c r="I27" s="18" t="n">
        <f aca="false">PL!F193</f>
        <v>2.31734178808988</v>
      </c>
      <c r="J27" s="20" t="n">
        <f aca="false">I27/I$4-1</f>
        <v>-0.420281973379726</v>
      </c>
    </row>
    <row r="29" customFormat="false" ht="17.15" hidden="false" customHeight="false" outlineLevel="0" collapsed="false">
      <c r="A29" s="5" t="s">
        <v>901</v>
      </c>
    </row>
    <row r="31" customFormat="false" ht="17.15" hidden="false" customHeight="false" outlineLevel="0" collapsed="false">
      <c r="A31" s="3" t="s">
        <v>902</v>
      </c>
    </row>
    <row r="32" customFormat="false" ht="17.15" hidden="false" customHeight="false" outlineLevel="0" collapsed="false">
      <c r="A32" s="6" t="s">
        <v>846</v>
      </c>
      <c r="B32" s="6" t="s">
        <v>847</v>
      </c>
      <c r="C32" s="14" t="s">
        <v>903</v>
      </c>
      <c r="D32" s="14" t="s">
        <v>788</v>
      </c>
      <c r="E32" s="6" t="s">
        <v>904</v>
      </c>
      <c r="F32" s="6" t="s">
        <v>905</v>
      </c>
    </row>
    <row r="33" customFormat="false" ht="17.15" hidden="false" customHeight="false" outlineLevel="0" collapsed="false">
      <c r="A33" s="5" t="s">
        <v>25</v>
      </c>
      <c r="B33" s="0" t="s">
        <v>906</v>
      </c>
      <c r="C33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3" s="18" t="n">
        <f aca="false">tp_comp_adj</f>
        <v>96.7897547761557</v>
      </c>
      <c r="E33" s="18" t="n">
        <f aca="false">tp_w_dcf*C33+(1-tp_w_dcf)*D33</f>
        <v>66.3976000656303</v>
      </c>
      <c r="F33" s="20" t="n">
        <f aca="false">E33/E$33-1</f>
        <v>0</v>
      </c>
    </row>
    <row r="34" customFormat="false" ht="17.15" hidden="false" customHeight="false" outlineLevel="0" collapsed="false">
      <c r="A34" s="5" t="s">
        <v>907</v>
      </c>
      <c r="B34" s="0" t="s">
        <v>908</v>
      </c>
      <c r="C34" s="18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31.0948755048266</v>
      </c>
      <c r="D34" s="18" t="n">
        <f aca="false">tp_comp_adj</f>
        <v>96.7897547761557</v>
      </c>
      <c r="E34" s="18" t="n">
        <f aca="false">tp_w_dcf*C34+(1-tp_w_dcf)*D34</f>
        <v>63.9423151404911</v>
      </c>
      <c r="F34" s="20" t="n">
        <f aca="false">E34/E$33-1</f>
        <v>-0.0369785191439489</v>
      </c>
    </row>
    <row r="35" customFormat="false" ht="17.15" hidden="false" customHeight="false" outlineLevel="0" collapsed="false">
      <c r="A35" s="5" t="s">
        <v>909</v>
      </c>
      <c r="B35" s="0" t="s">
        <v>910</v>
      </c>
      <c r="C35" s="18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42.8787666572359</v>
      </c>
      <c r="D35" s="18" t="n">
        <f aca="false">tp_comp_adj</f>
        <v>96.7897547761557</v>
      </c>
      <c r="E35" s="18" t="n">
        <f aca="false">tp_w_dcf*C35+(1-tp_w_dcf)*D35</f>
        <v>69.8342607166958</v>
      </c>
      <c r="F35" s="20" t="n">
        <f aca="false">E35/E$33-1</f>
        <v>0.0517588082651863</v>
      </c>
    </row>
    <row r="36" customFormat="false" ht="17.15" hidden="false" customHeight="false" outlineLevel="0" collapsed="false">
      <c r="A36" s="5" t="s">
        <v>911</v>
      </c>
      <c r="B36" s="0" t="s">
        <v>912</v>
      </c>
      <c r="C36" s="18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33.0659083145965</v>
      </c>
      <c r="D36" s="18" t="n">
        <f aca="false">tp_comp_adj</f>
        <v>96.7897547761557</v>
      </c>
      <c r="E36" s="18" t="n">
        <f aca="false">tp_w_dcf*C36+(1-tp_w_dcf)*D36</f>
        <v>64.9278315453761</v>
      </c>
      <c r="F36" s="20" t="n">
        <f aca="false">E36/E$33-1</f>
        <v>-0.0221358681458582</v>
      </c>
    </row>
    <row r="37" customFormat="false" ht="17.15" hidden="false" customHeight="false" outlineLevel="0" collapsed="false">
      <c r="A37" s="5" t="s">
        <v>913</v>
      </c>
      <c r="B37" s="0" t="s">
        <v>914</v>
      </c>
      <c r="C37" s="18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38.6020521194918</v>
      </c>
      <c r="D37" s="18" t="n">
        <f aca="false">tp_comp_adj</f>
        <v>96.7897547761557</v>
      </c>
      <c r="E37" s="18" t="n">
        <f aca="false">tp_w_dcf*C37+(1-tp_w_dcf)*D37</f>
        <v>67.6959034478237</v>
      </c>
      <c r="F37" s="20" t="n">
        <f aca="false">E37/E$33-1</f>
        <v>0.0195534685125685</v>
      </c>
    </row>
    <row r="38" customFormat="false" ht="17.15" hidden="false" customHeight="false" outlineLevel="0" collapsed="false">
      <c r="A38" s="0" t="s">
        <v>915</v>
      </c>
      <c r="B38" s="0" t="s">
        <v>916</v>
      </c>
      <c r="C38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8" s="18" t="n">
        <f aca="false">tp_comp_adj</f>
        <v>96.7897547761557</v>
      </c>
      <c r="E38" s="18" t="n">
        <f aca="false">0.3*C38+(1-0.3)*D38</f>
        <v>78.5544619498404</v>
      </c>
      <c r="F38" s="20" t="n">
        <f aca="false">E38/E$33-1</f>
        <v>0.18309188693859</v>
      </c>
    </row>
    <row r="39" customFormat="false" ht="17.15" hidden="false" customHeight="false" outlineLevel="0" collapsed="false">
      <c r="A39" s="0" t="s">
        <v>917</v>
      </c>
      <c r="B39" s="0" t="s">
        <v>918</v>
      </c>
      <c r="C39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9" s="18" t="n">
        <f aca="false">tp_comp_adj</f>
        <v>96.7897547761557</v>
      </c>
      <c r="E39" s="18" t="n">
        <f aca="false">0.7*C39+(1-0.7)*D39</f>
        <v>54.2407381814202</v>
      </c>
      <c r="F39" s="20" t="n">
        <f aca="false">E39/E$33-1</f>
        <v>-0.18309188693859</v>
      </c>
    </row>
    <row r="40" customFormat="false" ht="17.15" hidden="false" customHeight="false" outlineLevel="0" collapsed="false">
      <c r="A40" s="3" t="s">
        <v>919</v>
      </c>
    </row>
    <row r="41" customFormat="false" ht="17.15" hidden="false" customHeight="false" outlineLevel="0" collapsed="false">
      <c r="A41" s="6" t="s">
        <v>22</v>
      </c>
      <c r="B41" s="6" t="s">
        <v>23</v>
      </c>
      <c r="C41" s="14" t="s">
        <v>437</v>
      </c>
      <c r="D41" s="14" t="s">
        <v>527</v>
      </c>
      <c r="E41" s="14" t="s">
        <v>528</v>
      </c>
      <c r="F41" s="14" t="s">
        <v>529</v>
      </c>
      <c r="G41" s="14" t="s">
        <v>530</v>
      </c>
      <c r="H41" s="14" t="s">
        <v>531</v>
      </c>
      <c r="I41" s="14" t="s">
        <v>532</v>
      </c>
      <c r="J41" s="14" t="s">
        <v>533</v>
      </c>
      <c r="K41" s="6" t="s">
        <v>503</v>
      </c>
    </row>
    <row r="42" customFormat="false" ht="17.15" hidden="false" customHeight="false" outlineLevel="0" collapsed="false">
      <c r="A42" s="1" t="s">
        <v>551</v>
      </c>
    </row>
    <row r="43" customFormat="false" ht="17.15" hidden="false" customHeight="false" outlineLevel="0" collapsed="false">
      <c r="A43" s="0" t="s">
        <v>552</v>
      </c>
      <c r="B43" s="5" t="s">
        <v>33</v>
      </c>
      <c r="D43" s="18" t="n">
        <f aca="false">units_26</f>
        <v>15.2</v>
      </c>
      <c r="E43" s="18" t="n">
        <f aca="false">units_27*0.8</f>
        <v>18.96</v>
      </c>
      <c r="F43" s="18" t="n">
        <f aca="false">units_28*um28_A*0.8</f>
        <v>21.2</v>
      </c>
      <c r="G43" s="18" t="n">
        <f aca="false">units_29*um29_A*0.8</f>
        <v>24.12</v>
      </c>
    </row>
    <row r="44" customFormat="false" ht="17.15" hidden="false" customHeight="false" outlineLevel="0" collapsed="false">
      <c r="A44" s="5" t="s">
        <v>506</v>
      </c>
      <c r="B44" s="0" t="s">
        <v>46</v>
      </c>
      <c r="D44" s="22" t="n">
        <f aca="false">ar_26</f>
        <v>1</v>
      </c>
      <c r="E44" s="22" t="n">
        <f aca="false">ar_27</f>
        <v>1.278156</v>
      </c>
      <c r="F44" s="22" t="n">
        <f aca="false">ar_28</f>
        <v>1.428615</v>
      </c>
      <c r="G44" s="22" t="n">
        <f aca="false">ar_29</f>
        <v>1.431796</v>
      </c>
    </row>
    <row r="45" customFormat="false" ht="17.15" hidden="false" customHeight="false" outlineLevel="0" collapsed="false">
      <c r="A45" s="5" t="s">
        <v>508</v>
      </c>
      <c r="B45" s="0" t="s">
        <v>77</v>
      </c>
      <c r="D45" s="20" t="n">
        <f aca="false">out_26</f>
        <v>0.5</v>
      </c>
      <c r="E45" s="20" t="n">
        <f aca="false">out_27</f>
        <v>0.55</v>
      </c>
      <c r="F45" s="20" t="n">
        <f aca="false">out_28</f>
        <v>0.6</v>
      </c>
      <c r="G45" s="20" t="n">
        <f aca="false">out_29</f>
        <v>0.6</v>
      </c>
      <c r="K45" s="8" t="s">
        <v>553</v>
      </c>
    </row>
    <row r="46" customFormat="false" ht="17.15" hidden="false" customHeight="false" outlineLevel="0" collapsed="false">
      <c r="A46" s="0" t="s">
        <v>509</v>
      </c>
      <c r="B46" s="0" t="s">
        <v>77</v>
      </c>
      <c r="D46" s="20" t="n">
        <f aca="false">sh_26</f>
        <v>0.35</v>
      </c>
      <c r="E46" s="20" t="n">
        <f aca="false">sh_27</f>
        <v>0.35</v>
      </c>
      <c r="F46" s="20" t="n">
        <f aca="false">sh_28</f>
        <v>0.37</v>
      </c>
      <c r="G46" s="20" t="n">
        <f aca="false">sh_29</f>
        <v>0.38</v>
      </c>
    </row>
    <row r="47" customFormat="false" ht="17.15" hidden="false" customHeight="false" outlineLevel="0" collapsed="false">
      <c r="A47" s="0" t="s">
        <v>554</v>
      </c>
      <c r="B47" s="0" t="s">
        <v>176</v>
      </c>
      <c r="C47" s="16" t="n">
        <f aca="false">(a26_comp-a25_comp*(1+g_pc26))/(tri-(1+g_pc26))</f>
        <v>287.089852216749</v>
      </c>
      <c r="D47" s="16" t="n">
        <f aca="false">C47*tri</f>
        <v>861.269556650246</v>
      </c>
      <c r="E47" s="16" t="n">
        <f aca="false">E43*E45*E46*E48</f>
        <v>1336.03691573371</v>
      </c>
      <c r="F47" s="16" t="n">
        <f aca="false">F43*F45*F46*F48</f>
        <v>1821.39398526239</v>
      </c>
      <c r="G47" s="16" t="n">
        <f aca="false">G43*G45*G46*G48</f>
        <v>2130.64052303749</v>
      </c>
      <c r="K47" s="8" t="s">
        <v>555</v>
      </c>
    </row>
    <row r="48" customFormat="false" ht="17.15" hidden="false" customHeight="false" outlineLevel="0" collapsed="false">
      <c r="A48" s="5" t="s">
        <v>556</v>
      </c>
      <c r="B48" s="0" t="s">
        <v>511</v>
      </c>
      <c r="D48" s="23" t="n">
        <f aca="false">D47/(D43*D45*D46)</f>
        <v>323.785547612874</v>
      </c>
      <c r="E48" s="23" t="n">
        <f aca="false">$D48*E44^el</f>
        <v>366.057569108912</v>
      </c>
      <c r="F48" s="23" t="n">
        <f aca="false">$D48*F44^el</f>
        <v>387.003651466596</v>
      </c>
      <c r="G48" s="23" t="n">
        <f aca="false">$D48*G44^el</f>
        <v>387.434269267239</v>
      </c>
      <c r="K48" s="8" t="s">
        <v>557</v>
      </c>
    </row>
    <row r="49" customFormat="false" ht="17.15" hidden="false" customHeight="false" outlineLevel="0" collapsed="false">
      <c r="A49" s="5" t="s">
        <v>515</v>
      </c>
      <c r="B49" s="0" t="s">
        <v>511</v>
      </c>
      <c r="D49" s="16" t="n">
        <f aca="false">D47/D43</f>
        <v>56.662470832253</v>
      </c>
      <c r="E49" s="16" t="n">
        <f aca="false">E47/E43</f>
        <v>70.4660820534656</v>
      </c>
      <c r="F49" s="16" t="n">
        <f aca="false">F47/F43</f>
        <v>85.9148106255842</v>
      </c>
      <c r="G49" s="16" t="n">
        <f aca="false">G47/G43</f>
        <v>88.3350133929306</v>
      </c>
      <c r="K49" s="5" t="s">
        <v>558</v>
      </c>
    </row>
    <row r="50" customFormat="false" ht="17.15" hidden="false" customHeight="false" outlineLevel="0" collapsed="false">
      <c r="A50" s="1" t="s">
        <v>559</v>
      </c>
    </row>
    <row r="51" customFormat="false" ht="17.15" hidden="false" customHeight="false" outlineLevel="0" collapsed="false">
      <c r="A51" s="5" t="s">
        <v>560</v>
      </c>
      <c r="B51" s="0" t="s">
        <v>176</v>
      </c>
      <c r="C51" s="16" t="n">
        <f aca="false">a25_comp-C47</f>
        <v>1054.51014778325</v>
      </c>
      <c r="D51" s="16" t="n">
        <f aca="false">a26_comp-D47</f>
        <v>1022.87484334975</v>
      </c>
      <c r="E51" s="16" t="n">
        <f aca="false">D51*(1+g_pc)</f>
        <v>1053.56108865025</v>
      </c>
      <c r="F51" s="16" t="n">
        <f aca="false">E51*(1+g_pc)</f>
        <v>1085.16792130975</v>
      </c>
      <c r="G51" s="16" t="n">
        <f aca="false">F51*(1+g_pc)</f>
        <v>1117.72295894905</v>
      </c>
    </row>
    <row r="52" customFormat="false" ht="15" hidden="false" customHeight="false" outlineLevel="0" collapsed="false">
      <c r="A52" s="5" t="s">
        <v>561</v>
      </c>
      <c r="B52" s="0" t="s">
        <v>176</v>
      </c>
      <c r="C52" s="16" t="n">
        <f aca="false">C47+C51</f>
        <v>1341.6</v>
      </c>
      <c r="D52" s="16" t="n">
        <f aca="false">D47+D51</f>
        <v>1884.1444</v>
      </c>
      <c r="E52" s="16" t="n">
        <f aca="false">E47+E51</f>
        <v>2389.59800438395</v>
      </c>
      <c r="F52" s="16" t="n">
        <f aca="false">F47+F51</f>
        <v>2906.56190657214</v>
      </c>
      <c r="G52" s="16" t="n">
        <f aca="false">G47+G51</f>
        <v>3248.36348198653</v>
      </c>
    </row>
    <row r="53" customFormat="false" ht="17.15" hidden="false" customHeight="false" outlineLevel="0" collapsed="false">
      <c r="A53" s="5" t="s">
        <v>562</v>
      </c>
      <c r="B53" s="0" t="s">
        <v>176</v>
      </c>
      <c r="C53" s="16" t="n">
        <f aca="false">a25_cm</f>
        <v>3085.68</v>
      </c>
      <c r="D53" s="16" t="n">
        <f aca="false">a26_cm</f>
        <v>3041.87176</v>
      </c>
      <c r="E53" s="16" t="n">
        <f aca="false">D53*(1+g_cm27_A)</f>
        <v>3133.1279128</v>
      </c>
      <c r="F53" s="16" t="n">
        <f aca="false">E53*(1+g_cmL_A)</f>
        <v>3258.453029312</v>
      </c>
      <c r="G53" s="16" t="n">
        <f aca="false">F53*(1+g_cmL_A)</f>
        <v>3388.79115048448</v>
      </c>
    </row>
    <row r="54" customFormat="false" ht="15" hidden="false" customHeight="false" outlineLevel="0" collapsed="false">
      <c r="A54" s="5" t="s">
        <v>563</v>
      </c>
      <c r="B54" s="0" t="s">
        <v>176</v>
      </c>
      <c r="C54" s="16" t="n">
        <f aca="false">a25_au</f>
        <v>1274.52</v>
      </c>
      <c r="D54" s="16" t="n">
        <f aca="false">a26_au</f>
        <v>1656.99176</v>
      </c>
      <c r="E54" s="16" t="n">
        <f aca="false">D54*(1+g_au)</f>
        <v>1822.690936</v>
      </c>
      <c r="F54" s="16" t="n">
        <f aca="false">E54*(1+g_au)</f>
        <v>2004.9600296</v>
      </c>
      <c r="G54" s="16" t="n">
        <f aca="false">F54*(1+g_au)</f>
        <v>2205.45603256</v>
      </c>
    </row>
    <row r="55" customFormat="false" ht="15" hidden="false" customHeight="false" outlineLevel="0" collapsed="false">
      <c r="A55" s="5" t="s">
        <v>564</v>
      </c>
      <c r="B55" s="0" t="s">
        <v>176</v>
      </c>
      <c r="C55" s="16" t="n">
        <f aca="false">a25_cs</f>
        <v>1006.2</v>
      </c>
      <c r="D55" s="16" t="n">
        <f aca="false">a26_cs</f>
        <v>1097.4551</v>
      </c>
      <c r="E55" s="16" t="n">
        <f aca="false">D55*(1+g_cs)</f>
        <v>1130.378753</v>
      </c>
      <c r="F55" s="16" t="n">
        <f aca="false">E55*(1+g_cs)</f>
        <v>1164.29011559</v>
      </c>
      <c r="G55" s="16" t="n">
        <f aca="false">F55*(1+g_cs)</f>
        <v>1199.2188190577</v>
      </c>
    </row>
    <row r="56" customFormat="false" ht="17.15" hidden="false" customHeight="false" outlineLevel="0" collapsed="false">
      <c r="A56" s="5" t="s">
        <v>565</v>
      </c>
      <c r="B56" s="0" t="s">
        <v>176</v>
      </c>
      <c r="C56" s="16" t="n">
        <f aca="false">0</f>
        <v>0</v>
      </c>
      <c r="D56" s="16" t="n">
        <f aca="false">0</f>
        <v>0</v>
      </c>
      <c r="E56" s="16" t="n">
        <f aca="false">0</f>
        <v>0</v>
      </c>
      <c r="F56" s="16" t="n">
        <f aca="false">az_rev28_A</f>
        <v>150</v>
      </c>
      <c r="G56" s="16" t="n">
        <f aca="false">az_rev29_A</f>
        <v>500</v>
      </c>
      <c r="K56" s="5" t="s">
        <v>566</v>
      </c>
    </row>
    <row r="57" customFormat="false" ht="17.15" hidden="false" customHeight="false" outlineLevel="0" collapsed="false">
      <c r="A57" s="5" t="s">
        <v>444</v>
      </c>
      <c r="B57" s="0" t="s">
        <v>176</v>
      </c>
      <c r="C57" s="16" t="n">
        <f aca="false">C52+C53+C54+C55+C56</f>
        <v>6708</v>
      </c>
      <c r="D57" s="16" t="n">
        <f aca="false">D52+D53+D54+D55+D56</f>
        <v>7680.46302</v>
      </c>
      <c r="E57" s="16" t="n">
        <f aca="false">E52+E53+E54+E55+E56</f>
        <v>8475.79560618395</v>
      </c>
      <c r="F57" s="16" t="n">
        <f aca="false">F52+F53+F54+F55+F56</f>
        <v>9484.26508107414</v>
      </c>
      <c r="G57" s="16" t="n">
        <f aca="false">G52+G53+G54+G55+G56</f>
        <v>10541.8294840887</v>
      </c>
      <c r="H57" s="29" t="n">
        <f aca="false">G57*(1+H58)</f>
        <v>11536.3264143254</v>
      </c>
      <c r="I57" s="29" t="n">
        <f aca="false">H57*(1+I58)</f>
        <v>12426.5741834409</v>
      </c>
      <c r="J57" s="29" t="n">
        <f aca="false">I57*(1+J58)</f>
        <v>13172.1686344474</v>
      </c>
      <c r="K57" s="8" t="s">
        <v>567</v>
      </c>
    </row>
    <row r="58" customFormat="false" ht="15" hidden="false" customHeight="false" outlineLevel="0" collapsed="false">
      <c r="A58" s="5" t="s">
        <v>568</v>
      </c>
      <c r="B58" s="0" t="s">
        <v>77</v>
      </c>
      <c r="D58" s="20" t="n">
        <f aca="false">D57/C57-1</f>
        <v>0.144970635062612</v>
      </c>
      <c r="E58" s="20" t="n">
        <f aca="false">E57/D57-1</f>
        <v>0.10355268739826</v>
      </c>
      <c r="F58" s="20" t="n">
        <f aca="false">F57/E57-1</f>
        <v>0.118982278684777</v>
      </c>
      <c r="G58" s="20" t="n">
        <f aca="false">G57/F57-1</f>
        <v>0.111507259020516</v>
      </c>
      <c r="H58" s="25" t="n">
        <f aca="false">$G58+(fade_gA-$G58)*1/3</f>
        <v>0.0943381726803443</v>
      </c>
      <c r="I58" s="25" t="n">
        <f aca="false">$G58+(fade_gA-$G58)*2/3</f>
        <v>0.0771690863401721</v>
      </c>
      <c r="J58" s="25" t="n">
        <f aca="false">$G58+(fade_gA-$G58)*3/3</f>
        <v>0.06</v>
      </c>
    </row>
    <row r="59" customFormat="false" ht="17.15" hidden="false" customHeight="false" outlineLevel="0" collapsed="false">
      <c r="A59" s="0" t="s">
        <v>569</v>
      </c>
      <c r="B59" s="0" t="s">
        <v>77</v>
      </c>
      <c r="C59" s="20" t="n">
        <f aca="false">C47/C57</f>
        <v>0.042798129430046</v>
      </c>
      <c r="D59" s="20" t="n">
        <f aca="false">D47/D57</f>
        <v>0.112137712844589</v>
      </c>
      <c r="E59" s="20" t="n">
        <f aca="false">E47/E57</f>
        <v>0.157629676057659</v>
      </c>
      <c r="F59" s="20" t="n">
        <f aca="false">F47/F57</f>
        <v>0.192043766142406</v>
      </c>
      <c r="G59" s="20" t="n">
        <f aca="false">G47/G57</f>
        <v>0.202112975385664</v>
      </c>
    </row>
    <row r="60" customFormat="false" ht="17.15" hidden="false" customHeight="false" outlineLevel="0" collapsed="false">
      <c r="A60" s="5" t="s">
        <v>570</v>
      </c>
      <c r="B60" s="0" t="s">
        <v>77</v>
      </c>
      <c r="C60" s="20" t="n">
        <f aca="false">C53/C57</f>
        <v>0.46</v>
      </c>
      <c r="D60" s="20" t="n">
        <f aca="false">D53/D57</f>
        <v>0.396053174408748</v>
      </c>
      <c r="E60" s="20" t="n">
        <f aca="false">E53/E57</f>
        <v>0.369655907053028</v>
      </c>
      <c r="F60" s="20" t="n">
        <f aca="false">F53/F57</f>
        <v>0.34356410343425</v>
      </c>
      <c r="G60" s="20" t="n">
        <f aca="false">G53/G57</f>
        <v>0.321461389182907</v>
      </c>
    </row>
    <row r="61" customFormat="false" ht="17.15" hidden="false" customHeight="false" outlineLevel="0" collapsed="false">
      <c r="A61" s="1" t="s">
        <v>571</v>
      </c>
    </row>
    <row r="62" customFormat="false" ht="15" hidden="false" customHeight="false" outlineLevel="0" collapsed="false">
      <c r="A62" s="5" t="s">
        <v>572</v>
      </c>
      <c r="B62" s="0" t="s">
        <v>176</v>
      </c>
      <c r="C62" s="16" t="n">
        <f aca="false">C57-C56</f>
        <v>6708</v>
      </c>
      <c r="D62" s="16" t="n">
        <f aca="false">D57-D56</f>
        <v>7680.46302</v>
      </c>
      <c r="E62" s="16" t="n">
        <f aca="false">E57-E56</f>
        <v>8475.79560618395</v>
      </c>
      <c r="F62" s="16" t="n">
        <f aca="false">F57-F56</f>
        <v>9334.26508107414</v>
      </c>
      <c r="G62" s="16" t="n">
        <f aca="false">G57-G56</f>
        <v>10041.8294840887</v>
      </c>
    </row>
    <row r="63" customFormat="false" ht="17.15" hidden="false" customHeight="false" outlineLevel="0" collapsed="false">
      <c r="A63" s="5" t="s">
        <v>573</v>
      </c>
      <c r="B63" s="0" t="s">
        <v>176</v>
      </c>
      <c r="D63" s="16" t="n">
        <f aca="false">cap_m26</f>
        <v>1200</v>
      </c>
      <c r="E63" s="16" t="n">
        <f aca="false">capi*E62</f>
        <v>1186.61138486575</v>
      </c>
      <c r="F63" s="16" t="n">
        <f aca="false">capi*F62</f>
        <v>1306.79711135038</v>
      </c>
      <c r="G63" s="16" t="n">
        <f aca="false">capi*G62</f>
        <v>1405.85612777242</v>
      </c>
      <c r="K63" s="8" t="s">
        <v>574</v>
      </c>
    </row>
    <row r="64" customFormat="false" ht="17.15" hidden="false" customHeight="false" outlineLevel="0" collapsed="false">
      <c r="A64" s="5" t="s">
        <v>575</v>
      </c>
      <c r="B64" s="0" t="s">
        <v>176</v>
      </c>
      <c r="C64" s="16" t="n">
        <f aca="false">a25_da</f>
        <v>642</v>
      </c>
      <c r="D64" s="16" t="n">
        <f aca="false">a26_da</f>
        <v>740.6</v>
      </c>
      <c r="E64" s="16" t="n">
        <f aca="false">D64*(1-1/life)+D63/life</f>
        <v>806.228571428572</v>
      </c>
      <c r="F64" s="16" t="n">
        <f aca="false">E64*(1-1/life)+E63/life</f>
        <v>860.568973348169</v>
      </c>
      <c r="G64" s="16" t="n">
        <f aca="false">F64*(1-1/life)+F63/life</f>
        <v>924.315850205628</v>
      </c>
      <c r="K64" s="5" t="s">
        <v>576</v>
      </c>
    </row>
    <row r="65" customFormat="false" ht="15" hidden="false" customHeight="false" outlineLevel="0" collapsed="false">
      <c r="A65" s="5" t="s">
        <v>577</v>
      </c>
      <c r="B65" s="0" t="s">
        <v>176</v>
      </c>
      <c r="E65" s="16" t="n">
        <f aca="false">0</f>
        <v>0</v>
      </c>
      <c r="F65" s="16" t="n">
        <f aca="false">az_capex1*(1-az_inc)/az_life*az_svc28</f>
        <v>94.7916666666667</v>
      </c>
      <c r="G65" s="16" t="n">
        <f aca="false">az_capex1*(1-az_inc)/az_life</f>
        <v>189.583333333333</v>
      </c>
    </row>
    <row r="66" customFormat="false" ht="15" hidden="false" customHeight="false" outlineLevel="0" collapsed="false">
      <c r="A66" s="5" t="s">
        <v>578</v>
      </c>
      <c r="B66" s="0" t="s">
        <v>176</v>
      </c>
      <c r="C66" s="16" t="n">
        <f aca="false">C64</f>
        <v>642</v>
      </c>
      <c r="D66" s="16" t="n">
        <f aca="false">D64</f>
        <v>740.6</v>
      </c>
      <c r="E66" s="16" t="n">
        <f aca="false">E64+E65</f>
        <v>806.228571428572</v>
      </c>
      <c r="F66" s="16" t="n">
        <f aca="false">F64+F65</f>
        <v>955.360640014836</v>
      </c>
      <c r="G66" s="16" t="n">
        <f aca="false">G64+G65</f>
        <v>1113.89918353896</v>
      </c>
    </row>
    <row r="67" customFormat="false" ht="17.15" hidden="false" customHeight="false" outlineLevel="0" collapsed="false">
      <c r="A67" s="5" t="s">
        <v>579</v>
      </c>
      <c r="B67" s="0" t="s">
        <v>176</v>
      </c>
      <c r="C67" s="16" t="n">
        <f aca="false">a25_gp</f>
        <v>938.6</v>
      </c>
      <c r="D67" s="16" t="n">
        <f aca="false">a26_gp</f>
        <v>1325.7873147</v>
      </c>
      <c r="E67" s="16" t="n">
        <f aca="false">$D67+ft*(E62-$D62)-(E64-$D64)</f>
        <v>1578.29177774501</v>
      </c>
      <c r="F67" s="16" t="n">
        <f aca="false">$D67+ft*(F62-$D62)-(F64-$D64)</f>
        <v>1867.33916578149</v>
      </c>
      <c r="G67" s="16" t="n">
        <f aca="false">$D67+ft*(G62-$D62)-(G64-$D64)</f>
        <v>2086.61805012986</v>
      </c>
      <c r="K67" s="5" t="s">
        <v>580</v>
      </c>
    </row>
    <row r="68" customFormat="false" ht="17.15" hidden="false" customHeight="false" outlineLevel="0" collapsed="false">
      <c r="A68" s="5" t="s">
        <v>581</v>
      </c>
      <c r="B68" s="0" t="s">
        <v>176</v>
      </c>
      <c r="E68" s="16" t="n">
        <f aca="false">E56*az_cm-az_fix27</f>
        <v>-120</v>
      </c>
      <c r="F68" s="16" t="n">
        <f aca="false">F56*az_cm-az_fix28-F65</f>
        <v>-112.291666666667</v>
      </c>
      <c r="G68" s="16" t="n">
        <f aca="false">G56*az_cm-az_fix29-G65</f>
        <v>-14.5833333333333</v>
      </c>
      <c r="K68" s="8" t="s">
        <v>582</v>
      </c>
    </row>
    <row r="69" customFormat="false" ht="15" hidden="false" customHeight="false" outlineLevel="0" collapsed="false">
      <c r="A69" s="5" t="s">
        <v>458</v>
      </c>
      <c r="B69" s="0" t="s">
        <v>176</v>
      </c>
      <c r="C69" s="16" t="n">
        <f aca="false">a25_gp</f>
        <v>938.6</v>
      </c>
      <c r="D69" s="16" t="n">
        <f aca="false">a26_gp</f>
        <v>1325.7873147</v>
      </c>
      <c r="E69" s="16" t="n">
        <f aca="false">E67+E68</f>
        <v>1458.29177774501</v>
      </c>
      <c r="F69" s="16" t="n">
        <f aca="false">F67+F68</f>
        <v>1755.04749911482</v>
      </c>
      <c r="G69" s="16" t="n">
        <f aca="false">G67+G68</f>
        <v>2072.03471679652</v>
      </c>
    </row>
    <row r="70" customFormat="false" ht="15" hidden="false" customHeight="false" outlineLevel="0" collapsed="false">
      <c r="A70" s="5" t="s">
        <v>461</v>
      </c>
      <c r="B70" s="0" t="s">
        <v>77</v>
      </c>
      <c r="C70" s="17" t="n">
        <f aca="false">C69/C57</f>
        <v>0.139922480620155</v>
      </c>
      <c r="D70" s="17" t="n">
        <f aca="false">D69/D57</f>
        <v>0.172618149615152</v>
      </c>
      <c r="E70" s="17" t="n">
        <f aca="false">E69/E57</f>
        <v>0.172053674428043</v>
      </c>
      <c r="F70" s="17" t="n">
        <f aca="false">F69/F57</f>
        <v>0.185048338918428</v>
      </c>
      <c r="G70" s="17" t="n">
        <f aca="false">G69/G57</f>
        <v>0.19655361718039</v>
      </c>
    </row>
    <row r="71" customFormat="false" ht="17.15" hidden="false" customHeight="false" outlineLevel="0" collapsed="false">
      <c r="A71" s="5" t="s">
        <v>583</v>
      </c>
      <c r="B71" s="0" t="s">
        <v>584</v>
      </c>
      <c r="E71" s="17" t="n">
        <f aca="false">E68/E57</f>
        <v>-0.014157962930636</v>
      </c>
      <c r="F71" s="17" t="n">
        <f aca="false">F68/F57</f>
        <v>-0.0118397857616554</v>
      </c>
      <c r="G71" s="17" t="n">
        <f aca="false">G68/G57</f>
        <v>-0.00138337784303423</v>
      </c>
      <c r="K71" s="5" t="s">
        <v>585</v>
      </c>
    </row>
    <row r="72" customFormat="false" ht="17.15" hidden="false" customHeight="false" outlineLevel="0" collapsed="false">
      <c r="A72" s="5" t="s">
        <v>463</v>
      </c>
      <c r="B72" s="0" t="s">
        <v>176</v>
      </c>
      <c r="C72" s="16" t="n">
        <f aca="false">a25_opx</f>
        <v>471.2</v>
      </c>
      <c r="D72" s="16" t="n">
        <f aca="false">a26_opx</f>
        <v>537.5</v>
      </c>
      <c r="E72" s="16" t="n">
        <f aca="false">(D72+opx_gain)*(1+phi*E58)</f>
        <v>587.417087955964</v>
      </c>
      <c r="F72" s="16" t="n">
        <f aca="false">E72*(1+phi*F58)</f>
        <v>622.363199787652</v>
      </c>
      <c r="G72" s="16" t="n">
        <f aca="false">F72*(1+phi*G58)</f>
        <v>657.062207049432</v>
      </c>
      <c r="K72" s="8" t="s">
        <v>586</v>
      </c>
    </row>
    <row r="73" customFormat="false" ht="15" hidden="false" customHeight="false" outlineLevel="0" collapsed="false">
      <c r="A73" s="5" t="s">
        <v>466</v>
      </c>
      <c r="B73" s="0" t="s">
        <v>176</v>
      </c>
      <c r="C73" s="16" t="n">
        <f aca="false">C69-C72</f>
        <v>467.4</v>
      </c>
      <c r="D73" s="16" t="n">
        <f aca="false">D69-D72</f>
        <v>788.2873147</v>
      </c>
      <c r="E73" s="16" t="n">
        <f aca="false">E69-E72</f>
        <v>870.874689789046</v>
      </c>
      <c r="F73" s="16" t="n">
        <f aca="false">F69-F72</f>
        <v>1132.68429932717</v>
      </c>
      <c r="G73" s="16" t="n">
        <f aca="false">G69-G72</f>
        <v>1414.97250974709</v>
      </c>
    </row>
    <row r="74" customFormat="false" ht="15" hidden="false" customHeight="false" outlineLevel="0" collapsed="false">
      <c r="A74" s="5" t="s">
        <v>540</v>
      </c>
      <c r="B74" s="0" t="s">
        <v>77</v>
      </c>
      <c r="C74" s="17" t="n">
        <f aca="false">C73/C57</f>
        <v>0.0696779964221825</v>
      </c>
      <c r="D74" s="17" t="n">
        <f aca="false">D73/D57</f>
        <v>0.102635389643475</v>
      </c>
      <c r="E74" s="17" t="n">
        <f aca="false">E73/E57</f>
        <v>0.102748429793854</v>
      </c>
      <c r="F74" s="17" t="n">
        <f aca="false">F73/F57</f>
        <v>0.119427735269382</v>
      </c>
      <c r="G74" s="17" t="n">
        <f aca="false">G73/G57</f>
        <v>0.1342245681248</v>
      </c>
    </row>
    <row r="75" customFormat="false" ht="15" hidden="false" customHeight="false" outlineLevel="0" collapsed="false">
      <c r="A75" s="5" t="s">
        <v>587</v>
      </c>
      <c r="B75" s="0" t="s">
        <v>176</v>
      </c>
      <c r="C75" s="16" t="n">
        <f aca="false">a25_nonop</f>
        <v>-22.7</v>
      </c>
      <c r="D75" s="16" t="n">
        <f aca="false">a26_nonop</f>
        <v>-0.700000000000003</v>
      </c>
      <c r="E75" s="16" t="n">
        <f aca="false">nonop27</f>
        <v>-20</v>
      </c>
      <c r="F75" s="16" t="n">
        <f aca="false">nonop28</f>
        <v>-40</v>
      </c>
      <c r="G75" s="16" t="n">
        <f aca="false">nonop29</f>
        <v>-60</v>
      </c>
    </row>
    <row r="76" customFormat="false" ht="15" hidden="false" customHeight="false" outlineLevel="0" collapsed="false">
      <c r="A76" s="5" t="s">
        <v>471</v>
      </c>
      <c r="B76" s="0" t="s">
        <v>176</v>
      </c>
      <c r="C76" s="16" t="n">
        <f aca="false">C73+C75</f>
        <v>444.7</v>
      </c>
      <c r="D76" s="16" t="n">
        <f aca="false">D73+D75</f>
        <v>787.5873147</v>
      </c>
      <c r="E76" s="16" t="n">
        <f aca="false">E73+E75</f>
        <v>850.874689789046</v>
      </c>
      <c r="F76" s="16" t="n">
        <f aca="false">F73+F75</f>
        <v>1092.68429932717</v>
      </c>
      <c r="G76" s="16" t="n">
        <f aca="false">G73+G75</f>
        <v>1354.97250974709</v>
      </c>
    </row>
    <row r="77" customFormat="false" ht="15" hidden="false" customHeight="false" outlineLevel="0" collapsed="false">
      <c r="A77" s="5" t="s">
        <v>472</v>
      </c>
      <c r="B77" s="0" t="s">
        <v>176</v>
      </c>
      <c r="C77" s="16" t="n">
        <f aca="false">a25_tax</f>
        <v>68.5</v>
      </c>
      <c r="D77" s="16" t="n">
        <f aca="false">a26_tax</f>
        <v>138.23746294</v>
      </c>
      <c r="E77" s="16" t="n">
        <f aca="false">E76*tax</f>
        <v>170.174937957809</v>
      </c>
      <c r="F77" s="16" t="n">
        <f aca="false">F76*tax</f>
        <v>218.536859865434</v>
      </c>
      <c r="G77" s="16" t="n">
        <f aca="false">G76*tax</f>
        <v>270.994501949418</v>
      </c>
    </row>
    <row r="78" customFormat="false" ht="15" hidden="false" customHeight="false" outlineLevel="0" collapsed="false">
      <c r="A78" s="5" t="s">
        <v>474</v>
      </c>
      <c r="B78" s="0" t="s">
        <v>176</v>
      </c>
      <c r="C78" s="16" t="n">
        <f aca="false">a25_nci</f>
        <v>2.30000000000007</v>
      </c>
      <c r="D78" s="16" t="n">
        <f aca="false">a26_nci</f>
        <v>3.7</v>
      </c>
      <c r="E78" s="16" t="n">
        <f aca="false">nci</f>
        <v>3</v>
      </c>
      <c r="F78" s="16" t="n">
        <f aca="false">nci</f>
        <v>3</v>
      </c>
      <c r="G78" s="16" t="n">
        <f aca="false">nci</f>
        <v>3</v>
      </c>
    </row>
    <row r="79" customFormat="false" ht="15" hidden="false" customHeight="false" outlineLevel="0" collapsed="false">
      <c r="A79" s="5" t="s">
        <v>476</v>
      </c>
      <c r="B79" s="0" t="s">
        <v>176</v>
      </c>
      <c r="C79" s="16" t="n">
        <f aca="false">C76-C77-C78</f>
        <v>373.9</v>
      </c>
      <c r="D79" s="16" t="n">
        <f aca="false">D76-D77-D78</f>
        <v>645.64985176</v>
      </c>
      <c r="E79" s="16" t="n">
        <f aca="false">E76-E77-E78</f>
        <v>677.699751831237</v>
      </c>
      <c r="F79" s="16" t="n">
        <f aca="false">F76-F77-F78</f>
        <v>871.147439461734</v>
      </c>
      <c r="G79" s="16" t="n">
        <f aca="false">G76-G77-G78</f>
        <v>1080.97800779767</v>
      </c>
      <c r="H79" s="29" t="n">
        <f aca="false">H57*H83</f>
        <v>1214.23138892841</v>
      </c>
      <c r="I79" s="29" t="n">
        <f aca="false">I57*I83</f>
        <v>1341.6219389309</v>
      </c>
      <c r="J79" s="29" t="n">
        <f aca="false">J57*J83</f>
        <v>1457.83004376689</v>
      </c>
    </row>
    <row r="80" customFormat="false" ht="15" hidden="false" customHeight="false" outlineLevel="0" collapsed="false">
      <c r="A80" s="5" t="s">
        <v>588</v>
      </c>
      <c r="B80" s="5" t="s">
        <v>310</v>
      </c>
      <c r="C80" s="21" t="n">
        <f aca="false">a25_sh</f>
        <v>248.5</v>
      </c>
      <c r="D80" s="21" t="n">
        <f aca="false">a26_sh</f>
        <v>249.915</v>
      </c>
      <c r="E80" s="21" t="n">
        <f aca="false">D80*(1+sh_g)</f>
        <v>249.915</v>
      </c>
      <c r="F80" s="21" t="n">
        <f aca="false">E80*(1+sh_g)</f>
        <v>249.915</v>
      </c>
      <c r="G80" s="21" t="n">
        <f aca="false">F80*(1+sh_g)</f>
        <v>249.915</v>
      </c>
      <c r="H80" s="30" t="n">
        <f aca="false">G80*(1+sh_g)</f>
        <v>249.915</v>
      </c>
      <c r="I80" s="30" t="n">
        <f aca="false">H80*(1+sh_g)</f>
        <v>249.915</v>
      </c>
      <c r="J80" s="30" t="n">
        <f aca="false">I80*(1+sh_g)</f>
        <v>249.915</v>
      </c>
    </row>
    <row r="81" customFormat="false" ht="17.15" hidden="false" customHeight="false" outlineLevel="0" collapsed="false">
      <c r="A81" s="0" t="s">
        <v>480</v>
      </c>
      <c r="B81" s="0" t="s">
        <v>331</v>
      </c>
      <c r="C81" s="18" t="n">
        <f aca="false">C79/C80</f>
        <v>1.5046277665996</v>
      </c>
      <c r="D81" s="18" t="n">
        <f aca="false">D79/D80</f>
        <v>2.58347778948843</v>
      </c>
      <c r="E81" s="18" t="n">
        <f aca="false">E79/E80</f>
        <v>2.71172099246239</v>
      </c>
      <c r="F81" s="18" t="n">
        <f aca="false">F79/F80</f>
        <v>3.48577492132019</v>
      </c>
      <c r="G81" s="18" t="n">
        <f aca="false">G79/G80</f>
        <v>4.32538266129553</v>
      </c>
      <c r="H81" s="27" t="n">
        <f aca="false">H79/H80</f>
        <v>4.85857747205413</v>
      </c>
      <c r="I81" s="27" t="n">
        <f aca="false">I79/I80</f>
        <v>5.36831298213754</v>
      </c>
      <c r="J81" s="27" t="n">
        <f aca="false">J79/J80</f>
        <v>5.83330349825695</v>
      </c>
    </row>
    <row r="82" customFormat="false" ht="17.15" hidden="false" customHeight="false" outlineLevel="0" collapsed="false">
      <c r="A82" s="0" t="s">
        <v>589</v>
      </c>
      <c r="B82" s="0" t="s">
        <v>77</v>
      </c>
      <c r="D82" s="20" t="n">
        <f aca="false">D81/C81-1</f>
        <v>0.717021210719106</v>
      </c>
      <c r="E82" s="20" t="n">
        <f aca="false">E81/D81-1</f>
        <v>0.0496397544022833</v>
      </c>
      <c r="F82" s="20" t="n">
        <f aca="false">F81/E81-1</f>
        <v>0.285447481879365</v>
      </c>
      <c r="G82" s="20" t="n">
        <f aca="false">G81/F81-1</f>
        <v>0.240866882953349</v>
      </c>
      <c r="H82" s="25" t="n">
        <f aca="false">H81/G81-1</f>
        <v>0.123271130559092</v>
      </c>
      <c r="I82" s="25" t="n">
        <f aca="false">I81/H81-1</f>
        <v>0.104914558431009</v>
      </c>
      <c r="J82" s="25" t="n">
        <f aca="false">J81/I81-1</f>
        <v>0.0866176241338057</v>
      </c>
    </row>
    <row r="83" customFormat="false" ht="17.15" hidden="false" customHeight="false" outlineLevel="0" collapsed="false">
      <c r="A83" s="5" t="s">
        <v>590</v>
      </c>
      <c r="B83" s="0" t="s">
        <v>77</v>
      </c>
      <c r="C83" s="17" t="n">
        <f aca="false">C79/C57</f>
        <v>0.0557394156231365</v>
      </c>
      <c r="D83" s="17" t="n">
        <f aca="false">D79/D57</f>
        <v>0.0840639229794768</v>
      </c>
      <c r="E83" s="17" t="n">
        <f aca="false">E79/E57</f>
        <v>0.0799570663710656</v>
      </c>
      <c r="F83" s="17" t="n">
        <f aca="false">F79/F57</f>
        <v>0.0918518653807041</v>
      </c>
      <c r="G83" s="17" t="n">
        <f aca="false">G79/G57</f>
        <v>0.102541784557343</v>
      </c>
      <c r="H83" s="26" t="n">
        <f aca="false">$G83+(fade_mA-$G83)*1/3</f>
        <v>0.10525286346099</v>
      </c>
      <c r="I83" s="26" t="n">
        <f aca="false">$G83+(fade_mA-$G83)*2/3</f>
        <v>0.107963942364637</v>
      </c>
      <c r="J83" s="26" t="n">
        <f aca="false">$G83+(fade_mA-$G83)*3/3</f>
        <v>0.110675021268284</v>
      </c>
    </row>
    <row r="86" customFormat="false" ht="17.15" hidden="false" customHeight="false" outlineLevel="0" collapsed="false">
      <c r="A86" s="3" t="s">
        <v>920</v>
      </c>
    </row>
    <row r="87" customFormat="false" ht="17.15" hidden="false" customHeight="false" outlineLevel="0" collapsed="false">
      <c r="A87" s="6" t="s">
        <v>22</v>
      </c>
      <c r="B87" s="6" t="s">
        <v>23</v>
      </c>
      <c r="C87" s="14" t="s">
        <v>437</v>
      </c>
      <c r="D87" s="14" t="s">
        <v>527</v>
      </c>
      <c r="E87" s="14" t="s">
        <v>528</v>
      </c>
      <c r="F87" s="14" t="s">
        <v>529</v>
      </c>
      <c r="G87" s="14" t="s">
        <v>530</v>
      </c>
      <c r="H87" s="14" t="s">
        <v>531</v>
      </c>
      <c r="I87" s="14" t="s">
        <v>532</v>
      </c>
      <c r="J87" s="14" t="s">
        <v>533</v>
      </c>
      <c r="K87" s="6" t="s">
        <v>503</v>
      </c>
    </row>
    <row r="88" customFormat="false" ht="17.15" hidden="false" customHeight="false" outlineLevel="0" collapsed="false">
      <c r="A88" s="1" t="s">
        <v>551</v>
      </c>
    </row>
    <row r="89" customFormat="false" ht="17.15" hidden="false" customHeight="false" outlineLevel="0" collapsed="false">
      <c r="A89" s="0" t="s">
        <v>552</v>
      </c>
      <c r="B89" s="5" t="s">
        <v>33</v>
      </c>
      <c r="D89" s="18" t="n">
        <f aca="false">units_26</f>
        <v>15.2</v>
      </c>
      <c r="E89" s="18" t="n">
        <f aca="false">units_27*1.2</f>
        <v>28.44</v>
      </c>
      <c r="F89" s="18" t="n">
        <f aca="false">units_28*um28_A*1.2</f>
        <v>31.8</v>
      </c>
      <c r="G89" s="18" t="n">
        <f aca="false">units_29*um29_A*1.2</f>
        <v>36.18</v>
      </c>
    </row>
    <row r="90" customFormat="false" ht="17.15" hidden="false" customHeight="false" outlineLevel="0" collapsed="false">
      <c r="A90" s="5" t="s">
        <v>506</v>
      </c>
      <c r="B90" s="0" t="s">
        <v>46</v>
      </c>
      <c r="D90" s="22" t="n">
        <f aca="false">ar_26</f>
        <v>1</v>
      </c>
      <c r="E90" s="22" t="n">
        <f aca="false">ar_27</f>
        <v>1.278156</v>
      </c>
      <c r="F90" s="22" t="n">
        <f aca="false">ar_28</f>
        <v>1.428615</v>
      </c>
      <c r="G90" s="22" t="n">
        <f aca="false">ar_29</f>
        <v>1.431796</v>
      </c>
    </row>
    <row r="91" customFormat="false" ht="17.15" hidden="false" customHeight="false" outlineLevel="0" collapsed="false">
      <c r="A91" s="5" t="s">
        <v>508</v>
      </c>
      <c r="B91" s="0" t="s">
        <v>77</v>
      </c>
      <c r="D91" s="20" t="n">
        <f aca="false">out_26</f>
        <v>0.5</v>
      </c>
      <c r="E91" s="20" t="n">
        <f aca="false">out_27</f>
        <v>0.55</v>
      </c>
      <c r="F91" s="20" t="n">
        <f aca="false">out_28</f>
        <v>0.6</v>
      </c>
      <c r="G91" s="20" t="n">
        <f aca="false">out_29</f>
        <v>0.6</v>
      </c>
      <c r="K91" s="8" t="s">
        <v>553</v>
      </c>
    </row>
    <row r="92" customFormat="false" ht="17.15" hidden="false" customHeight="false" outlineLevel="0" collapsed="false">
      <c r="A92" s="0" t="s">
        <v>509</v>
      </c>
      <c r="B92" s="0" t="s">
        <v>77</v>
      </c>
      <c r="D92" s="20" t="n">
        <f aca="false">sh_26</f>
        <v>0.35</v>
      </c>
      <c r="E92" s="20" t="n">
        <f aca="false">sh_27</f>
        <v>0.35</v>
      </c>
      <c r="F92" s="20" t="n">
        <f aca="false">sh_28</f>
        <v>0.37</v>
      </c>
      <c r="G92" s="20" t="n">
        <f aca="false">sh_29</f>
        <v>0.38</v>
      </c>
    </row>
    <row r="93" customFormat="false" ht="17.15" hidden="false" customHeight="false" outlineLevel="0" collapsed="false">
      <c r="A93" s="0" t="s">
        <v>554</v>
      </c>
      <c r="B93" s="0" t="s">
        <v>176</v>
      </c>
      <c r="C93" s="16" t="n">
        <f aca="false">(a26_comp-a25_comp*(1+g_pc26))/(tri-(1+g_pc26))</f>
        <v>287.089852216749</v>
      </c>
      <c r="D93" s="16" t="n">
        <f aca="false">C93*tri</f>
        <v>861.269556650246</v>
      </c>
      <c r="E93" s="16" t="n">
        <f aca="false">E89*E91*E92*E94</f>
        <v>2004.05537360056</v>
      </c>
      <c r="F93" s="16" t="n">
        <f aca="false">F89*F91*F92*F94</f>
        <v>2732.09097789358</v>
      </c>
      <c r="G93" s="16" t="n">
        <f aca="false">G89*G91*G92*G94</f>
        <v>3195.96078455623</v>
      </c>
      <c r="K93" s="8" t="s">
        <v>555</v>
      </c>
    </row>
    <row r="94" customFormat="false" ht="17.15" hidden="false" customHeight="false" outlineLevel="0" collapsed="false">
      <c r="A94" s="5" t="s">
        <v>556</v>
      </c>
      <c r="B94" s="0" t="s">
        <v>511</v>
      </c>
      <c r="D94" s="23" t="n">
        <f aca="false">D93/(D89*D91*D92)</f>
        <v>323.785547612874</v>
      </c>
      <c r="E94" s="23" t="n">
        <f aca="false">$D94*E90^el</f>
        <v>366.057569108912</v>
      </c>
      <c r="F94" s="23" t="n">
        <f aca="false">$D94*F90^el</f>
        <v>387.003651466596</v>
      </c>
      <c r="G94" s="23" t="n">
        <f aca="false">$D94*G90^el</f>
        <v>387.434269267239</v>
      </c>
      <c r="K94" s="8" t="s">
        <v>557</v>
      </c>
    </row>
    <row r="95" customFormat="false" ht="17.15" hidden="false" customHeight="false" outlineLevel="0" collapsed="false">
      <c r="A95" s="5" t="s">
        <v>515</v>
      </c>
      <c r="B95" s="0" t="s">
        <v>511</v>
      </c>
      <c r="D95" s="16" t="n">
        <f aca="false">D93/D89</f>
        <v>56.662470832253</v>
      </c>
      <c r="E95" s="16" t="n">
        <f aca="false">E93/E89</f>
        <v>70.4660820534656</v>
      </c>
      <c r="F95" s="16" t="n">
        <f aca="false">F93/F89</f>
        <v>85.9148106255842</v>
      </c>
      <c r="G95" s="16" t="n">
        <f aca="false">G93/G89</f>
        <v>88.3350133929305</v>
      </c>
      <c r="K95" s="5" t="s">
        <v>558</v>
      </c>
    </row>
    <row r="96" customFormat="false" ht="17.15" hidden="false" customHeight="false" outlineLevel="0" collapsed="false">
      <c r="A96" s="1" t="s">
        <v>559</v>
      </c>
    </row>
    <row r="97" customFormat="false" ht="17.15" hidden="false" customHeight="false" outlineLevel="0" collapsed="false">
      <c r="A97" s="5" t="s">
        <v>560</v>
      </c>
      <c r="B97" s="0" t="s">
        <v>176</v>
      </c>
      <c r="C97" s="16" t="n">
        <f aca="false">a25_comp-C93</f>
        <v>1054.51014778325</v>
      </c>
      <c r="D97" s="16" t="n">
        <f aca="false">a26_comp-D93</f>
        <v>1022.87484334975</v>
      </c>
      <c r="E97" s="16" t="n">
        <f aca="false">D97*(1+g_pc)</f>
        <v>1053.56108865025</v>
      </c>
      <c r="F97" s="16" t="n">
        <f aca="false">E97*(1+g_pc)</f>
        <v>1085.16792130975</v>
      </c>
      <c r="G97" s="16" t="n">
        <f aca="false">F97*(1+g_pc)</f>
        <v>1117.72295894905</v>
      </c>
    </row>
    <row r="98" customFormat="false" ht="15" hidden="false" customHeight="false" outlineLevel="0" collapsed="false">
      <c r="A98" s="5" t="s">
        <v>561</v>
      </c>
      <c r="B98" s="0" t="s">
        <v>176</v>
      </c>
      <c r="C98" s="16" t="n">
        <f aca="false">C93+C97</f>
        <v>1341.6</v>
      </c>
      <c r="D98" s="16" t="n">
        <f aca="false">D93+D97</f>
        <v>1884.1444</v>
      </c>
      <c r="E98" s="16" t="n">
        <f aca="false">E93+E97</f>
        <v>3057.61646225081</v>
      </c>
      <c r="F98" s="16" t="n">
        <f aca="false">F93+F97</f>
        <v>3817.25889920333</v>
      </c>
      <c r="G98" s="16" t="n">
        <f aca="false">G93+G97</f>
        <v>4313.68374350527</v>
      </c>
    </row>
    <row r="99" customFormat="false" ht="17.15" hidden="false" customHeight="false" outlineLevel="0" collapsed="false">
      <c r="A99" s="5" t="s">
        <v>562</v>
      </c>
      <c r="B99" s="0" t="s">
        <v>176</v>
      </c>
      <c r="C99" s="16" t="n">
        <f aca="false">a25_cm</f>
        <v>3085.68</v>
      </c>
      <c r="D99" s="16" t="n">
        <f aca="false">a26_cm</f>
        <v>3041.87176</v>
      </c>
      <c r="E99" s="16" t="n">
        <f aca="false">D99*(1+g_cm27_A)</f>
        <v>3133.1279128</v>
      </c>
      <c r="F99" s="16" t="n">
        <f aca="false">E99*(1+g_cmL_A)</f>
        <v>3258.453029312</v>
      </c>
      <c r="G99" s="16" t="n">
        <f aca="false">F99*(1+g_cmL_A)</f>
        <v>3388.79115048448</v>
      </c>
    </row>
    <row r="100" customFormat="false" ht="15" hidden="false" customHeight="false" outlineLevel="0" collapsed="false">
      <c r="A100" s="5" t="s">
        <v>563</v>
      </c>
      <c r="B100" s="0" t="s">
        <v>176</v>
      </c>
      <c r="C100" s="16" t="n">
        <f aca="false">a25_au</f>
        <v>1274.52</v>
      </c>
      <c r="D100" s="16" t="n">
        <f aca="false">a26_au</f>
        <v>1656.99176</v>
      </c>
      <c r="E100" s="16" t="n">
        <f aca="false">D100*(1+g_au)</f>
        <v>1822.690936</v>
      </c>
      <c r="F100" s="16" t="n">
        <f aca="false">E100*(1+g_au)</f>
        <v>2004.9600296</v>
      </c>
      <c r="G100" s="16" t="n">
        <f aca="false">F100*(1+g_au)</f>
        <v>2205.45603256</v>
      </c>
    </row>
    <row r="101" customFormat="false" ht="15" hidden="false" customHeight="false" outlineLevel="0" collapsed="false">
      <c r="A101" s="5" t="s">
        <v>564</v>
      </c>
      <c r="B101" s="0" t="s">
        <v>176</v>
      </c>
      <c r="C101" s="16" t="n">
        <f aca="false">a25_cs</f>
        <v>1006.2</v>
      </c>
      <c r="D101" s="16" t="n">
        <f aca="false">a26_cs</f>
        <v>1097.4551</v>
      </c>
      <c r="E101" s="16" t="n">
        <f aca="false">D101*(1+g_cs)</f>
        <v>1130.378753</v>
      </c>
      <c r="F101" s="16" t="n">
        <f aca="false">E101*(1+g_cs)</f>
        <v>1164.29011559</v>
      </c>
      <c r="G101" s="16" t="n">
        <f aca="false">F101*(1+g_cs)</f>
        <v>1199.2188190577</v>
      </c>
    </row>
    <row r="102" customFormat="false" ht="17.15" hidden="false" customHeight="false" outlineLevel="0" collapsed="false">
      <c r="A102" s="5" t="s">
        <v>565</v>
      </c>
      <c r="B102" s="0" t="s">
        <v>176</v>
      </c>
      <c r="C102" s="16" t="n">
        <f aca="false">0</f>
        <v>0</v>
      </c>
      <c r="D102" s="16" t="n">
        <f aca="false">0</f>
        <v>0</v>
      </c>
      <c r="E102" s="16" t="n">
        <f aca="false">0</f>
        <v>0</v>
      </c>
      <c r="F102" s="16" t="n">
        <f aca="false">az_rev28_A</f>
        <v>150</v>
      </c>
      <c r="G102" s="16" t="n">
        <f aca="false">az_rev29_A</f>
        <v>500</v>
      </c>
      <c r="K102" s="5" t="s">
        <v>566</v>
      </c>
    </row>
    <row r="103" customFormat="false" ht="17.15" hidden="false" customHeight="false" outlineLevel="0" collapsed="false">
      <c r="A103" s="5" t="s">
        <v>444</v>
      </c>
      <c r="B103" s="0" t="s">
        <v>176</v>
      </c>
      <c r="C103" s="16" t="n">
        <f aca="false">C98+C99+C100+C101+C102</f>
        <v>6708</v>
      </c>
      <c r="D103" s="16" t="n">
        <f aca="false">D98+D99+D100+D101+D102</f>
        <v>7680.46302</v>
      </c>
      <c r="E103" s="16" t="n">
        <f aca="false">E98+E99+E100+E101+E102</f>
        <v>9143.81406405081</v>
      </c>
      <c r="F103" s="16" t="n">
        <f aca="false">F98+F99+F100+F101+F102</f>
        <v>10394.9620737053</v>
      </c>
      <c r="G103" s="16" t="n">
        <f aca="false">G98+G99+G100+G101+G102</f>
        <v>11607.1497456075</v>
      </c>
      <c r="H103" s="29" t="n">
        <f aca="false">G103*(1+H104)</f>
        <v>12741.6557459693</v>
      </c>
      <c r="I103" s="29" t="n">
        <f aca="false">H103*(1+I104)</f>
        <v>13746.6028598033</v>
      </c>
      <c r="J103" s="29" t="n">
        <f aca="false">I103*(1+J104)</f>
        <v>14571.3990313915</v>
      </c>
      <c r="K103" s="8" t="s">
        <v>567</v>
      </c>
    </row>
    <row r="104" customFormat="false" ht="15" hidden="false" customHeight="false" outlineLevel="0" collapsed="false">
      <c r="A104" s="5" t="s">
        <v>568</v>
      </c>
      <c r="B104" s="0" t="s">
        <v>77</v>
      </c>
      <c r="D104" s="20" t="n">
        <f aca="false">D103/C103-1</f>
        <v>0.144970635062612</v>
      </c>
      <c r="E104" s="20" t="n">
        <f aca="false">E103/D103-1</f>
        <v>0.190529013711833</v>
      </c>
      <c r="F104" s="20" t="n">
        <f aca="false">F103/E103-1</f>
        <v>0.136829992483493</v>
      </c>
      <c r="G104" s="20" t="n">
        <f aca="false">G103/F103-1</f>
        <v>0.11661299611361</v>
      </c>
      <c r="H104" s="25" t="n">
        <f aca="false">$G104+(fade_gA-$G104)*1/3</f>
        <v>0.0977419974090733</v>
      </c>
      <c r="I104" s="25" t="n">
        <f aca="false">$G104+(fade_gA-$G104)*2/3</f>
        <v>0.0788709987045367</v>
      </c>
      <c r="J104" s="25" t="n">
        <f aca="false">$G104+(fade_gA-$G104)*3/3</f>
        <v>0.06</v>
      </c>
    </row>
    <row r="105" customFormat="false" ht="17.15" hidden="false" customHeight="false" outlineLevel="0" collapsed="false">
      <c r="A105" s="0" t="s">
        <v>569</v>
      </c>
      <c r="B105" s="0" t="s">
        <v>77</v>
      </c>
      <c r="C105" s="20" t="n">
        <f aca="false">C93/C103</f>
        <v>0.042798129430046</v>
      </c>
      <c r="D105" s="20" t="n">
        <f aca="false">D93/D103</f>
        <v>0.112137712844589</v>
      </c>
      <c r="E105" s="20" t="n">
        <f aca="false">E93/E103</f>
        <v>0.219170617377224</v>
      </c>
      <c r="F105" s="20" t="n">
        <f aca="false">F93/F103</f>
        <v>0.262828373833567</v>
      </c>
      <c r="G105" s="20" t="n">
        <f aca="false">G93/G103</f>
        <v>0.275344150338518</v>
      </c>
    </row>
    <row r="106" customFormat="false" ht="17.15" hidden="false" customHeight="false" outlineLevel="0" collapsed="false">
      <c r="A106" s="5" t="s">
        <v>570</v>
      </c>
      <c r="B106" s="0" t="s">
        <v>77</v>
      </c>
      <c r="C106" s="20" t="n">
        <f aca="false">C99/C103</f>
        <v>0.46</v>
      </c>
      <c r="D106" s="20" t="n">
        <f aca="false">D99/D103</f>
        <v>0.396053174408748</v>
      </c>
      <c r="E106" s="20" t="n">
        <f aca="false">E99/E103</f>
        <v>0.342650002597712</v>
      </c>
      <c r="F106" s="20" t="n">
        <f aca="false">F99/F103</f>
        <v>0.313464638563179</v>
      </c>
      <c r="G106" s="20" t="n">
        <f aca="false">G99/G103</f>
        <v>0.291957218159171</v>
      </c>
    </row>
    <row r="107" customFormat="false" ht="17.15" hidden="false" customHeight="false" outlineLevel="0" collapsed="false">
      <c r="A107" s="1" t="s">
        <v>571</v>
      </c>
    </row>
    <row r="108" customFormat="false" ht="15" hidden="false" customHeight="false" outlineLevel="0" collapsed="false">
      <c r="A108" s="5" t="s">
        <v>572</v>
      </c>
      <c r="B108" s="0" t="s">
        <v>176</v>
      </c>
      <c r="C108" s="16" t="n">
        <f aca="false">C103-C102</f>
        <v>6708</v>
      </c>
      <c r="D108" s="16" t="n">
        <f aca="false">D103-D102</f>
        <v>7680.46302</v>
      </c>
      <c r="E108" s="16" t="n">
        <f aca="false">E103-E102</f>
        <v>9143.81406405081</v>
      </c>
      <c r="F108" s="16" t="n">
        <f aca="false">F103-F102</f>
        <v>10244.9620737053</v>
      </c>
      <c r="G108" s="16" t="n">
        <f aca="false">G103-G102</f>
        <v>11107.1497456075</v>
      </c>
    </row>
    <row r="109" customFormat="false" ht="17.15" hidden="false" customHeight="false" outlineLevel="0" collapsed="false">
      <c r="A109" s="5" t="s">
        <v>573</v>
      </c>
      <c r="B109" s="0" t="s">
        <v>176</v>
      </c>
      <c r="D109" s="16" t="n">
        <f aca="false">cap_m26</f>
        <v>1200</v>
      </c>
      <c r="E109" s="16" t="n">
        <f aca="false">capi*E108</f>
        <v>1280.13396896711</v>
      </c>
      <c r="F109" s="16" t="n">
        <f aca="false">capi*F108</f>
        <v>1434.29469031875</v>
      </c>
      <c r="G109" s="16" t="n">
        <f aca="false">capi*G108</f>
        <v>1555.00096438504</v>
      </c>
      <c r="K109" s="8" t="s">
        <v>574</v>
      </c>
    </row>
    <row r="110" customFormat="false" ht="17.15" hidden="false" customHeight="false" outlineLevel="0" collapsed="false">
      <c r="A110" s="5" t="s">
        <v>575</v>
      </c>
      <c r="B110" s="0" t="s">
        <v>176</v>
      </c>
      <c r="C110" s="16" t="n">
        <f aca="false">a25_da</f>
        <v>642</v>
      </c>
      <c r="D110" s="16" t="n">
        <f aca="false">a26_da</f>
        <v>740.6</v>
      </c>
      <c r="E110" s="16" t="n">
        <f aca="false">D110*(1-1/life)+D109/life</f>
        <v>806.228571428572</v>
      </c>
      <c r="F110" s="16" t="n">
        <f aca="false">E110*(1-1/life)+E109/life</f>
        <v>873.929342505506</v>
      </c>
      <c r="G110" s="16" t="n">
        <f aca="false">F110*(1-1/life)+F109/life</f>
        <v>953.981535050255</v>
      </c>
      <c r="K110" s="5" t="s">
        <v>576</v>
      </c>
    </row>
    <row r="111" customFormat="false" ht="15" hidden="false" customHeight="false" outlineLevel="0" collapsed="false">
      <c r="A111" s="5" t="s">
        <v>577</v>
      </c>
      <c r="B111" s="0" t="s">
        <v>176</v>
      </c>
      <c r="E111" s="16" t="n">
        <f aca="false">0</f>
        <v>0</v>
      </c>
      <c r="F111" s="16" t="n">
        <f aca="false">az_capex1*(1-az_inc)/az_life*az_svc28</f>
        <v>94.7916666666667</v>
      </c>
      <c r="G111" s="16" t="n">
        <f aca="false">az_capex1*(1-az_inc)/az_life</f>
        <v>189.583333333333</v>
      </c>
    </row>
    <row r="112" customFormat="false" ht="15" hidden="false" customHeight="false" outlineLevel="0" collapsed="false">
      <c r="A112" s="5" t="s">
        <v>578</v>
      </c>
      <c r="B112" s="0" t="s">
        <v>176</v>
      </c>
      <c r="C112" s="16" t="n">
        <f aca="false">C110</f>
        <v>642</v>
      </c>
      <c r="D112" s="16" t="n">
        <f aca="false">D110</f>
        <v>740.6</v>
      </c>
      <c r="E112" s="16" t="n">
        <f aca="false">E110+E111</f>
        <v>806.228571428572</v>
      </c>
      <c r="F112" s="16" t="n">
        <f aca="false">F110+F111</f>
        <v>968.721009172173</v>
      </c>
      <c r="G112" s="16" t="n">
        <f aca="false">G110+G111</f>
        <v>1143.56486838359</v>
      </c>
    </row>
    <row r="113" customFormat="false" ht="17.15" hidden="false" customHeight="false" outlineLevel="0" collapsed="false">
      <c r="A113" s="5" t="s">
        <v>579</v>
      </c>
      <c r="B113" s="0" t="s">
        <v>176</v>
      </c>
      <c r="C113" s="16" t="n">
        <f aca="false">a25_gp</f>
        <v>938.6</v>
      </c>
      <c r="D113" s="16" t="n">
        <f aca="false">a26_gp</f>
        <v>1325.7873147</v>
      </c>
      <c r="E113" s="16" t="n">
        <f aca="false">$D113+ft*(E108-$D108)-(E110-$D110)</f>
        <v>1845.49916089175</v>
      </c>
      <c r="F113" s="16" t="n">
        <f aca="false">$D113+ft*(F108-$D108)-(F110-$D110)</f>
        <v>2218.25759367663</v>
      </c>
      <c r="G113" s="16" t="n">
        <f aca="false">$D113+ft*(G108-$D108)-(G110-$D110)</f>
        <v>2483.08046989273</v>
      </c>
      <c r="K113" s="5" t="s">
        <v>580</v>
      </c>
    </row>
    <row r="114" customFormat="false" ht="17.15" hidden="false" customHeight="false" outlineLevel="0" collapsed="false">
      <c r="A114" s="5" t="s">
        <v>581</v>
      </c>
      <c r="B114" s="0" t="s">
        <v>176</v>
      </c>
      <c r="E114" s="16" t="n">
        <f aca="false">E102*az_cm-az_fix27</f>
        <v>-120</v>
      </c>
      <c r="F114" s="16" t="n">
        <f aca="false">F102*az_cm-az_fix28-F111</f>
        <v>-112.291666666667</v>
      </c>
      <c r="G114" s="16" t="n">
        <f aca="false">G102*az_cm-az_fix29-G111</f>
        <v>-14.5833333333333</v>
      </c>
      <c r="K114" s="8" t="s">
        <v>582</v>
      </c>
    </row>
    <row r="115" customFormat="false" ht="15" hidden="false" customHeight="false" outlineLevel="0" collapsed="false">
      <c r="A115" s="5" t="s">
        <v>458</v>
      </c>
      <c r="B115" s="0" t="s">
        <v>176</v>
      </c>
      <c r="C115" s="16" t="n">
        <f aca="false">a25_gp</f>
        <v>938.6</v>
      </c>
      <c r="D115" s="16" t="n">
        <f aca="false">a26_gp</f>
        <v>1325.7873147</v>
      </c>
      <c r="E115" s="16" t="n">
        <f aca="false">E113+E114</f>
        <v>1725.49916089175</v>
      </c>
      <c r="F115" s="16" t="n">
        <f aca="false">F113+F114</f>
        <v>2105.96592700996</v>
      </c>
      <c r="G115" s="16" t="n">
        <f aca="false">G113+G114</f>
        <v>2468.49713655939</v>
      </c>
    </row>
    <row r="116" customFormat="false" ht="15" hidden="false" customHeight="false" outlineLevel="0" collapsed="false">
      <c r="A116" s="5" t="s">
        <v>461</v>
      </c>
      <c r="B116" s="0" t="s">
        <v>77</v>
      </c>
      <c r="C116" s="17" t="n">
        <f aca="false">C115/C103</f>
        <v>0.139922480620155</v>
      </c>
      <c r="D116" s="17" t="n">
        <f aca="false">D115/D103</f>
        <v>0.172618149615152</v>
      </c>
      <c r="E116" s="17" t="n">
        <f aca="false">E115/E103</f>
        <v>0.188706720062868</v>
      </c>
      <c r="F116" s="17" t="n">
        <f aca="false">F115/F103</f>
        <v>0.202594863942517</v>
      </c>
      <c r="G116" s="17" t="n">
        <f aca="false">G115/G103</f>
        <v>0.212670396321333</v>
      </c>
    </row>
    <row r="117" customFormat="false" ht="17.15" hidden="false" customHeight="false" outlineLevel="0" collapsed="false">
      <c r="A117" s="5" t="s">
        <v>583</v>
      </c>
      <c r="B117" s="0" t="s">
        <v>584</v>
      </c>
      <c r="E117" s="17" t="n">
        <f aca="false">E114/E103</f>
        <v>-0.0131236264385322</v>
      </c>
      <c r="F117" s="17" t="n">
        <f aca="false">F114/F103</f>
        <v>-0.0108025085488975</v>
      </c>
      <c r="G117" s="17" t="n">
        <f aca="false">G114/G103</f>
        <v>-0.00125640951077177</v>
      </c>
      <c r="K117" s="5" t="s">
        <v>585</v>
      </c>
    </row>
    <row r="118" customFormat="false" ht="17.15" hidden="false" customHeight="false" outlineLevel="0" collapsed="false">
      <c r="A118" s="5" t="s">
        <v>463</v>
      </c>
      <c r="B118" s="0" t="s">
        <v>176</v>
      </c>
      <c r="C118" s="16" t="n">
        <f aca="false">a25_opx</f>
        <v>471.2</v>
      </c>
      <c r="D118" s="16" t="n">
        <f aca="false">a26_opx</f>
        <v>537.5</v>
      </c>
      <c r="E118" s="16" t="n">
        <f aca="false">(D118+opx_gain)*(1+phi*E104)</f>
        <v>611.705227079029</v>
      </c>
      <c r="F118" s="16" t="n">
        <f aca="false">E118*(1+phi*F104)</f>
        <v>653.555037890698</v>
      </c>
      <c r="G118" s="16" t="n">
        <f aca="false">F118*(1+phi*G104)</f>
        <v>691.661543437487</v>
      </c>
      <c r="K118" s="8" t="s">
        <v>586</v>
      </c>
    </row>
    <row r="119" customFormat="false" ht="15" hidden="false" customHeight="false" outlineLevel="0" collapsed="false">
      <c r="A119" s="5" t="s">
        <v>466</v>
      </c>
      <c r="B119" s="0" t="s">
        <v>176</v>
      </c>
      <c r="C119" s="16" t="n">
        <f aca="false">C115-C118</f>
        <v>467.4</v>
      </c>
      <c r="D119" s="16" t="n">
        <f aca="false">D115-D118</f>
        <v>788.2873147</v>
      </c>
      <c r="E119" s="16" t="n">
        <f aca="false">E115-E118</f>
        <v>1113.79393381272</v>
      </c>
      <c r="F119" s="16" t="n">
        <f aca="false">F115-F118</f>
        <v>1452.41088911926</v>
      </c>
      <c r="G119" s="16" t="n">
        <f aca="false">G115-G118</f>
        <v>1776.83559312191</v>
      </c>
    </row>
    <row r="120" customFormat="false" ht="15" hidden="false" customHeight="false" outlineLevel="0" collapsed="false">
      <c r="A120" s="5" t="s">
        <v>540</v>
      </c>
      <c r="B120" s="0" t="s">
        <v>77</v>
      </c>
      <c r="C120" s="17" t="n">
        <f aca="false">C119/C103</f>
        <v>0.0696779964221825</v>
      </c>
      <c r="D120" s="17" t="n">
        <f aca="false">D119/D103</f>
        <v>0.102635389643475</v>
      </c>
      <c r="E120" s="17" t="n">
        <f aca="false">E119/E103</f>
        <v>0.121808462640512</v>
      </c>
      <c r="F120" s="17" t="n">
        <f aca="false">F119/F103</f>
        <v>0.139722577035006</v>
      </c>
      <c r="G120" s="17" t="n">
        <f aca="false">G119/G103</f>
        <v>0.153081129481794</v>
      </c>
    </row>
    <row r="121" customFormat="false" ht="15" hidden="false" customHeight="false" outlineLevel="0" collapsed="false">
      <c r="A121" s="5" t="s">
        <v>587</v>
      </c>
      <c r="B121" s="0" t="s">
        <v>176</v>
      </c>
      <c r="C121" s="16" t="n">
        <f aca="false">a25_nonop</f>
        <v>-22.7</v>
      </c>
      <c r="D121" s="16" t="n">
        <f aca="false">a26_nonop</f>
        <v>-0.700000000000003</v>
      </c>
      <c r="E121" s="16" t="n">
        <f aca="false">nonop27</f>
        <v>-20</v>
      </c>
      <c r="F121" s="16" t="n">
        <f aca="false">nonop28</f>
        <v>-40</v>
      </c>
      <c r="G121" s="16" t="n">
        <f aca="false">nonop29</f>
        <v>-60</v>
      </c>
    </row>
    <row r="122" customFormat="false" ht="15" hidden="false" customHeight="false" outlineLevel="0" collapsed="false">
      <c r="A122" s="5" t="s">
        <v>471</v>
      </c>
      <c r="B122" s="0" t="s">
        <v>176</v>
      </c>
      <c r="C122" s="16" t="n">
        <f aca="false">C119+C121</f>
        <v>444.7</v>
      </c>
      <c r="D122" s="16" t="n">
        <f aca="false">D119+D121</f>
        <v>787.5873147</v>
      </c>
      <c r="E122" s="16" t="n">
        <f aca="false">E119+E121</f>
        <v>1093.79393381272</v>
      </c>
      <c r="F122" s="16" t="n">
        <f aca="false">F119+F121</f>
        <v>1412.41088911926</v>
      </c>
      <c r="G122" s="16" t="n">
        <f aca="false">G119+G121</f>
        <v>1716.83559312191</v>
      </c>
    </row>
    <row r="123" customFormat="false" ht="15" hidden="false" customHeight="false" outlineLevel="0" collapsed="false">
      <c r="A123" s="5" t="s">
        <v>472</v>
      </c>
      <c r="B123" s="0" t="s">
        <v>176</v>
      </c>
      <c r="C123" s="16" t="n">
        <f aca="false">a25_tax</f>
        <v>68.5</v>
      </c>
      <c r="D123" s="16" t="n">
        <f aca="false">a26_tax</f>
        <v>138.23746294</v>
      </c>
      <c r="E123" s="16" t="n">
        <f aca="false">E122*tax</f>
        <v>218.758786762544</v>
      </c>
      <c r="F123" s="16" t="n">
        <f aca="false">F122*tax</f>
        <v>282.482177823852</v>
      </c>
      <c r="G123" s="16" t="n">
        <f aca="false">G122*tax</f>
        <v>343.367118624381</v>
      </c>
    </row>
    <row r="124" customFormat="false" ht="15" hidden="false" customHeight="false" outlineLevel="0" collapsed="false">
      <c r="A124" s="5" t="s">
        <v>474</v>
      </c>
      <c r="B124" s="0" t="s">
        <v>176</v>
      </c>
      <c r="C124" s="16" t="n">
        <f aca="false">a25_nci</f>
        <v>2.30000000000007</v>
      </c>
      <c r="D124" s="16" t="n">
        <f aca="false">a26_nci</f>
        <v>3.7</v>
      </c>
      <c r="E124" s="16" t="n">
        <f aca="false">nci</f>
        <v>3</v>
      </c>
      <c r="F124" s="16" t="n">
        <f aca="false">nci</f>
        <v>3</v>
      </c>
      <c r="G124" s="16" t="n">
        <f aca="false">nci</f>
        <v>3</v>
      </c>
    </row>
    <row r="125" customFormat="false" ht="15" hidden="false" customHeight="false" outlineLevel="0" collapsed="false">
      <c r="A125" s="5" t="s">
        <v>476</v>
      </c>
      <c r="B125" s="0" t="s">
        <v>176</v>
      </c>
      <c r="C125" s="16" t="n">
        <f aca="false">C122-C123-C124</f>
        <v>373.9</v>
      </c>
      <c r="D125" s="16" t="n">
        <f aca="false">D122-D123-D124</f>
        <v>645.64985176</v>
      </c>
      <c r="E125" s="16" t="n">
        <f aca="false">E122-E123-E124</f>
        <v>872.035147050177</v>
      </c>
      <c r="F125" s="16" t="n">
        <f aca="false">F122-F123-F124</f>
        <v>1126.92871129541</v>
      </c>
      <c r="G125" s="16" t="n">
        <f aca="false">G122-G123-G124</f>
        <v>1370.46847449753</v>
      </c>
      <c r="H125" s="29" t="n">
        <f aca="false">H103*H129</f>
        <v>1473.00820728016</v>
      </c>
      <c r="I125" s="29" t="n">
        <f aca="false">I103*I129</f>
        <v>1555.29569978186</v>
      </c>
      <c r="J125" s="29" t="n">
        <f aca="false">J103*J129</f>
        <v>1612.68989770791</v>
      </c>
    </row>
    <row r="126" customFormat="false" ht="15" hidden="false" customHeight="false" outlineLevel="0" collapsed="false">
      <c r="A126" s="5" t="s">
        <v>588</v>
      </c>
      <c r="B126" s="5" t="s">
        <v>310</v>
      </c>
      <c r="C126" s="21" t="n">
        <f aca="false">a25_sh</f>
        <v>248.5</v>
      </c>
      <c r="D126" s="21" t="n">
        <f aca="false">a26_sh</f>
        <v>249.915</v>
      </c>
      <c r="E126" s="21" t="n">
        <f aca="false">D126*(1+sh_g)</f>
        <v>249.915</v>
      </c>
      <c r="F126" s="21" t="n">
        <f aca="false">E126*(1+sh_g)</f>
        <v>249.915</v>
      </c>
      <c r="G126" s="21" t="n">
        <f aca="false">F126*(1+sh_g)</f>
        <v>249.915</v>
      </c>
      <c r="H126" s="30" t="n">
        <f aca="false">G126*(1+sh_g)</f>
        <v>249.915</v>
      </c>
      <c r="I126" s="30" t="n">
        <f aca="false">H126*(1+sh_g)</f>
        <v>249.915</v>
      </c>
      <c r="J126" s="30" t="n">
        <f aca="false">I126*(1+sh_g)</f>
        <v>249.915</v>
      </c>
    </row>
    <row r="127" customFormat="false" ht="17.15" hidden="false" customHeight="false" outlineLevel="0" collapsed="false">
      <c r="A127" s="0" t="s">
        <v>480</v>
      </c>
      <c r="B127" s="0" t="s">
        <v>331</v>
      </c>
      <c r="C127" s="18" t="n">
        <f aca="false">C125/C126</f>
        <v>1.5046277665996</v>
      </c>
      <c r="D127" s="18" t="n">
        <f aca="false">D125/D126</f>
        <v>2.58347778948843</v>
      </c>
      <c r="E127" s="18" t="n">
        <f aca="false">E125/E126</f>
        <v>3.48932695936689</v>
      </c>
      <c r="F127" s="18" t="n">
        <f aca="false">F125/F126</f>
        <v>4.50924798949807</v>
      </c>
      <c r="G127" s="18" t="n">
        <f aca="false">G125/G126</f>
        <v>5.48373836903557</v>
      </c>
      <c r="H127" s="27" t="n">
        <f aca="false">H125/H126</f>
        <v>5.89403680163318</v>
      </c>
      <c r="I127" s="27" t="n">
        <f aca="false">I125/I126</f>
        <v>6.22329872069246</v>
      </c>
      <c r="J127" s="27" t="n">
        <f aca="false">J125/J126</f>
        <v>6.45295359505398</v>
      </c>
    </row>
    <row r="128" customFormat="false" ht="17.15" hidden="false" customHeight="false" outlineLevel="0" collapsed="false">
      <c r="A128" s="0" t="s">
        <v>589</v>
      </c>
      <c r="B128" s="0" t="s">
        <v>77</v>
      </c>
      <c r="D128" s="20" t="n">
        <f aca="false">D127/C127-1</f>
        <v>0.717021210719106</v>
      </c>
      <c r="E128" s="20" t="n">
        <f aca="false">E127/D127-1</f>
        <v>0.35063168476391</v>
      </c>
      <c r="F128" s="20" t="n">
        <f aca="false">F127/E127-1</f>
        <v>0.292297351898554</v>
      </c>
      <c r="G128" s="20" t="n">
        <f aca="false">G127/F127-1</f>
        <v>0.216109289577124</v>
      </c>
      <c r="H128" s="25" t="n">
        <f aca="false">H127/G127-1</f>
        <v>0.0748209350968305</v>
      </c>
      <c r="I128" s="25" t="n">
        <f aca="false">I127/H127-1</f>
        <v>0.0558635668796712</v>
      </c>
      <c r="J128" s="25" t="n">
        <f aca="false">J127/I127-1</f>
        <v>0.0369024346522067</v>
      </c>
    </row>
    <row r="129" customFormat="false" ht="17.15" hidden="false" customHeight="false" outlineLevel="0" collapsed="false">
      <c r="A129" s="5" t="s">
        <v>590</v>
      </c>
      <c r="B129" s="0" t="s">
        <v>77</v>
      </c>
      <c r="C129" s="17" t="n">
        <f aca="false">C125/C103</f>
        <v>0.0557394156231365</v>
      </c>
      <c r="D129" s="17" t="n">
        <f aca="false">D125/D103</f>
        <v>0.0840639229794768</v>
      </c>
      <c r="E129" s="17" t="n">
        <f aca="false">E125/E103</f>
        <v>0.0953688625929754</v>
      </c>
      <c r="F129" s="17" t="n">
        <f aca="false">F125/F103</f>
        <v>0.108411045976401</v>
      </c>
      <c r="G129" s="17" t="n">
        <f aca="false">G125/G103</f>
        <v>0.118071060039193</v>
      </c>
      <c r="H129" s="26" t="n">
        <f aca="false">$G129+(fade_mA-$G129)*1/3</f>
        <v>0.115605713782224</v>
      </c>
      <c r="I129" s="26" t="n">
        <f aca="false">$G129+(fade_mA-$G129)*2/3</f>
        <v>0.113140367525254</v>
      </c>
      <c r="J129" s="26" t="n">
        <f aca="false">$G129+(fade_mA-$G129)*3/3</f>
        <v>0.110675021268284</v>
      </c>
    </row>
    <row r="132" customFormat="false" ht="17.15" hidden="false" customHeight="false" outlineLevel="0" collapsed="false">
      <c r="A132" s="3" t="s">
        <v>921</v>
      </c>
    </row>
    <row r="133" customFormat="false" ht="17.15" hidden="false" customHeight="false" outlineLevel="0" collapsed="false">
      <c r="A133" s="6" t="s">
        <v>22</v>
      </c>
      <c r="B133" s="6" t="s">
        <v>23</v>
      </c>
      <c r="C133" s="14" t="s">
        <v>437</v>
      </c>
      <c r="D133" s="14" t="s">
        <v>527</v>
      </c>
      <c r="E133" s="14" t="s">
        <v>528</v>
      </c>
      <c r="F133" s="14" t="s">
        <v>529</v>
      </c>
      <c r="G133" s="14" t="s">
        <v>530</v>
      </c>
      <c r="H133" s="14" t="s">
        <v>531</v>
      </c>
      <c r="I133" s="14" t="s">
        <v>532</v>
      </c>
      <c r="J133" s="14" t="s">
        <v>533</v>
      </c>
      <c r="K133" s="6" t="s">
        <v>503</v>
      </c>
    </row>
    <row r="134" customFormat="false" ht="17.15" hidden="false" customHeight="false" outlineLevel="0" collapsed="false">
      <c r="A134" s="1" t="s">
        <v>551</v>
      </c>
    </row>
    <row r="135" customFormat="false" ht="17.15" hidden="false" customHeight="false" outlineLevel="0" collapsed="false">
      <c r="A135" s="0" t="s">
        <v>552</v>
      </c>
      <c r="B135" s="5" t="s">
        <v>33</v>
      </c>
      <c r="D135" s="18" t="n">
        <f aca="false">units_26</f>
        <v>15.2</v>
      </c>
      <c r="E135" s="18" t="n">
        <f aca="false">units_27*1</f>
        <v>23.7</v>
      </c>
      <c r="F135" s="18" t="n">
        <f aca="false">units_28*um28_A*1</f>
        <v>26.5</v>
      </c>
      <c r="G135" s="18" t="n">
        <f aca="false">units_29*um29_A*1</f>
        <v>30.15</v>
      </c>
    </row>
    <row r="136" customFormat="false" ht="17.15" hidden="false" customHeight="false" outlineLevel="0" collapsed="false">
      <c r="A136" s="5" t="s">
        <v>506</v>
      </c>
      <c r="B136" s="0" t="s">
        <v>46</v>
      </c>
      <c r="D136" s="22" t="n">
        <f aca="false">ar_26</f>
        <v>1</v>
      </c>
      <c r="E136" s="22" t="n">
        <f aca="false">ar_27</f>
        <v>1.278156</v>
      </c>
      <c r="F136" s="22" t="n">
        <f aca="false">ar_28</f>
        <v>1.428615</v>
      </c>
      <c r="G136" s="22" t="n">
        <f aca="false">ar_29</f>
        <v>1.431796</v>
      </c>
    </row>
    <row r="137" customFormat="false" ht="17.15" hidden="false" customHeight="false" outlineLevel="0" collapsed="false">
      <c r="A137" s="5" t="s">
        <v>508</v>
      </c>
      <c r="B137" s="0" t="s">
        <v>77</v>
      </c>
      <c r="D137" s="20" t="n">
        <f aca="false">out_26</f>
        <v>0.5</v>
      </c>
      <c r="E137" s="20" t="n">
        <f aca="false">out_27_lo</f>
        <v>0.45</v>
      </c>
      <c r="F137" s="20" t="n">
        <f aca="false">out_28_lo</f>
        <v>0.45</v>
      </c>
      <c r="G137" s="20" t="n">
        <f aca="false">out_29_lo</f>
        <v>0.45</v>
      </c>
      <c r="K137" s="8" t="s">
        <v>553</v>
      </c>
    </row>
    <row r="138" customFormat="false" ht="17.15" hidden="false" customHeight="false" outlineLevel="0" collapsed="false">
      <c r="A138" s="0" t="s">
        <v>509</v>
      </c>
      <c r="B138" s="0" t="s">
        <v>77</v>
      </c>
      <c r="D138" s="20" t="n">
        <f aca="false">sh_26</f>
        <v>0.35</v>
      </c>
      <c r="E138" s="20" t="n">
        <f aca="false">sh_27</f>
        <v>0.35</v>
      </c>
      <c r="F138" s="20" t="n">
        <f aca="false">sh_28</f>
        <v>0.37</v>
      </c>
      <c r="G138" s="20" t="n">
        <f aca="false">sh_29</f>
        <v>0.38</v>
      </c>
    </row>
    <row r="139" customFormat="false" ht="17.15" hidden="false" customHeight="false" outlineLevel="0" collapsed="false">
      <c r="A139" s="0" t="s">
        <v>554</v>
      </c>
      <c r="B139" s="0" t="s">
        <v>176</v>
      </c>
      <c r="C139" s="16" t="n">
        <f aca="false">(a26_comp-a25_comp*(1+g_pc26))/(tri-(1+g_pc26))</f>
        <v>287.089852216749</v>
      </c>
      <c r="D139" s="16" t="n">
        <f aca="false">C139*tri</f>
        <v>861.269556650246</v>
      </c>
      <c r="E139" s="16" t="n">
        <f aca="false">E135*E137*E138*E140</f>
        <v>1366.40139109129</v>
      </c>
      <c r="F139" s="16" t="n">
        <f aca="false">F135*F137*F138*F140</f>
        <v>1707.55686118349</v>
      </c>
      <c r="G139" s="16" t="n">
        <f aca="false">G135*G137*G138*G140</f>
        <v>1997.47549034764</v>
      </c>
      <c r="K139" s="8" t="s">
        <v>555</v>
      </c>
    </row>
    <row r="140" customFormat="false" ht="17.15" hidden="false" customHeight="false" outlineLevel="0" collapsed="false">
      <c r="A140" s="5" t="s">
        <v>556</v>
      </c>
      <c r="B140" s="0" t="s">
        <v>511</v>
      </c>
      <c r="D140" s="23" t="n">
        <f aca="false">D139/(D135*D137*D138)</f>
        <v>323.785547612874</v>
      </c>
      <c r="E140" s="23" t="n">
        <f aca="false">$D140*E136^el</f>
        <v>366.057569108912</v>
      </c>
      <c r="F140" s="23" t="n">
        <f aca="false">$D140*F136^el</f>
        <v>387.003651466596</v>
      </c>
      <c r="G140" s="23" t="n">
        <f aca="false">$D140*G136^el</f>
        <v>387.434269267239</v>
      </c>
      <c r="K140" s="8" t="s">
        <v>557</v>
      </c>
    </row>
    <row r="141" customFormat="false" ht="17.15" hidden="false" customHeight="false" outlineLevel="0" collapsed="false">
      <c r="A141" s="5" t="s">
        <v>515</v>
      </c>
      <c r="B141" s="0" t="s">
        <v>511</v>
      </c>
      <c r="D141" s="16" t="n">
        <f aca="false">D139/D135</f>
        <v>56.662470832253</v>
      </c>
      <c r="E141" s="16" t="n">
        <f aca="false">E139/E135</f>
        <v>57.6540671346536</v>
      </c>
      <c r="F141" s="16" t="n">
        <f aca="false">F139/F135</f>
        <v>64.4361079691882</v>
      </c>
      <c r="G141" s="16" t="n">
        <f aca="false">G139/G135</f>
        <v>66.2512600446979</v>
      </c>
      <c r="K141" s="5" t="s">
        <v>558</v>
      </c>
    </row>
    <row r="142" customFormat="false" ht="17.15" hidden="false" customHeight="false" outlineLevel="0" collapsed="false">
      <c r="A142" s="1" t="s">
        <v>559</v>
      </c>
    </row>
    <row r="143" customFormat="false" ht="17.15" hidden="false" customHeight="false" outlineLevel="0" collapsed="false">
      <c r="A143" s="5" t="s">
        <v>560</v>
      </c>
      <c r="B143" s="0" t="s">
        <v>176</v>
      </c>
      <c r="C143" s="16" t="n">
        <f aca="false">a25_comp-C139</f>
        <v>1054.51014778325</v>
      </c>
      <c r="D143" s="16" t="n">
        <f aca="false">a26_comp-D139</f>
        <v>1022.87484334975</v>
      </c>
      <c r="E143" s="16" t="n">
        <f aca="false">D143*(1+g_pc)</f>
        <v>1053.56108865025</v>
      </c>
      <c r="F143" s="16" t="n">
        <f aca="false">E143*(1+g_pc)</f>
        <v>1085.16792130975</v>
      </c>
      <c r="G143" s="16" t="n">
        <f aca="false">F143*(1+g_pc)</f>
        <v>1117.72295894905</v>
      </c>
    </row>
    <row r="144" customFormat="false" ht="15" hidden="false" customHeight="false" outlineLevel="0" collapsed="false">
      <c r="A144" s="5" t="s">
        <v>561</v>
      </c>
      <c r="B144" s="0" t="s">
        <v>176</v>
      </c>
      <c r="C144" s="16" t="n">
        <f aca="false">C139+C143</f>
        <v>1341.6</v>
      </c>
      <c r="D144" s="16" t="n">
        <f aca="false">D139+D143</f>
        <v>1884.1444</v>
      </c>
      <c r="E144" s="16" t="n">
        <f aca="false">E139+E143</f>
        <v>2419.96247974154</v>
      </c>
      <c r="F144" s="16" t="n">
        <f aca="false">F139+F143</f>
        <v>2792.72478249324</v>
      </c>
      <c r="G144" s="16" t="n">
        <f aca="false">G139+G143</f>
        <v>3115.19844929669</v>
      </c>
    </row>
    <row r="145" customFormat="false" ht="17.15" hidden="false" customHeight="false" outlineLevel="0" collapsed="false">
      <c r="A145" s="5" t="s">
        <v>562</v>
      </c>
      <c r="B145" s="0" t="s">
        <v>176</v>
      </c>
      <c r="C145" s="16" t="n">
        <f aca="false">a25_cm</f>
        <v>3085.68</v>
      </c>
      <c r="D145" s="16" t="n">
        <f aca="false">a26_cm</f>
        <v>3041.87176</v>
      </c>
      <c r="E145" s="16" t="n">
        <f aca="false">D145*(1+g_cm27_A)</f>
        <v>3133.1279128</v>
      </c>
      <c r="F145" s="16" t="n">
        <f aca="false">E145*(1+g_cmL_A)</f>
        <v>3258.453029312</v>
      </c>
      <c r="G145" s="16" t="n">
        <f aca="false">F145*(1+g_cmL_A)</f>
        <v>3388.79115048448</v>
      </c>
    </row>
    <row r="146" customFormat="false" ht="15" hidden="false" customHeight="false" outlineLevel="0" collapsed="false">
      <c r="A146" s="5" t="s">
        <v>563</v>
      </c>
      <c r="B146" s="0" t="s">
        <v>176</v>
      </c>
      <c r="C146" s="16" t="n">
        <f aca="false">a25_au</f>
        <v>1274.52</v>
      </c>
      <c r="D146" s="16" t="n">
        <f aca="false">a26_au</f>
        <v>1656.99176</v>
      </c>
      <c r="E146" s="16" t="n">
        <f aca="false">D146*(1+g_au)</f>
        <v>1822.690936</v>
      </c>
      <c r="F146" s="16" t="n">
        <f aca="false">E146*(1+g_au)</f>
        <v>2004.9600296</v>
      </c>
      <c r="G146" s="16" t="n">
        <f aca="false">F146*(1+g_au)</f>
        <v>2205.45603256</v>
      </c>
    </row>
    <row r="147" customFormat="false" ht="15" hidden="false" customHeight="false" outlineLevel="0" collapsed="false">
      <c r="A147" s="5" t="s">
        <v>564</v>
      </c>
      <c r="B147" s="0" t="s">
        <v>176</v>
      </c>
      <c r="C147" s="16" t="n">
        <f aca="false">a25_cs</f>
        <v>1006.2</v>
      </c>
      <c r="D147" s="16" t="n">
        <f aca="false">a26_cs</f>
        <v>1097.4551</v>
      </c>
      <c r="E147" s="16" t="n">
        <f aca="false">D147*(1+g_cs)</f>
        <v>1130.378753</v>
      </c>
      <c r="F147" s="16" t="n">
        <f aca="false">E147*(1+g_cs)</f>
        <v>1164.29011559</v>
      </c>
      <c r="G147" s="16" t="n">
        <f aca="false">F147*(1+g_cs)</f>
        <v>1199.2188190577</v>
      </c>
    </row>
    <row r="148" customFormat="false" ht="17.15" hidden="false" customHeight="false" outlineLevel="0" collapsed="false">
      <c r="A148" s="5" t="s">
        <v>565</v>
      </c>
      <c r="B148" s="0" t="s">
        <v>176</v>
      </c>
      <c r="C148" s="16" t="n">
        <f aca="false">0</f>
        <v>0</v>
      </c>
      <c r="D148" s="16" t="n">
        <f aca="false">0</f>
        <v>0</v>
      </c>
      <c r="E148" s="16" t="n">
        <f aca="false">0</f>
        <v>0</v>
      </c>
      <c r="F148" s="16" t="n">
        <f aca="false">az_rev28_A</f>
        <v>150</v>
      </c>
      <c r="G148" s="16" t="n">
        <f aca="false">az_rev29_A</f>
        <v>500</v>
      </c>
      <c r="K148" s="5" t="s">
        <v>566</v>
      </c>
    </row>
    <row r="149" customFormat="false" ht="17.15" hidden="false" customHeight="false" outlineLevel="0" collapsed="false">
      <c r="A149" s="5" t="s">
        <v>444</v>
      </c>
      <c r="B149" s="0" t="s">
        <v>176</v>
      </c>
      <c r="C149" s="16" t="n">
        <f aca="false">C144+C145+C146+C147+C148</f>
        <v>6708</v>
      </c>
      <c r="D149" s="16" t="n">
        <f aca="false">D144+D145+D146+D147+D148</f>
        <v>7680.46302</v>
      </c>
      <c r="E149" s="16" t="n">
        <f aca="false">E144+E145+E146+E147+E148</f>
        <v>8506.16008154154</v>
      </c>
      <c r="F149" s="16" t="n">
        <f aca="false">F144+F145+F146+F147+F148</f>
        <v>9370.42795699524</v>
      </c>
      <c r="G149" s="16" t="n">
        <f aca="false">G144+G145+G146+G147+G148</f>
        <v>10408.6644513989</v>
      </c>
      <c r="H149" s="29" t="n">
        <f aca="false">G149*(1+H150)</f>
        <v>11385.6859610233</v>
      </c>
      <c r="I149" s="29" t="n">
        <f aca="false">H149*(1+I150)</f>
        <v>12261.6219302309</v>
      </c>
      <c r="J149" s="29" t="n">
        <f aca="false">I149*(1+J150)</f>
        <v>12997.3192460447</v>
      </c>
      <c r="K149" s="8" t="s">
        <v>567</v>
      </c>
    </row>
    <row r="150" customFormat="false" ht="15" hidden="false" customHeight="false" outlineLevel="0" collapsed="false">
      <c r="A150" s="5" t="s">
        <v>568</v>
      </c>
      <c r="B150" s="0" t="s">
        <v>77</v>
      </c>
      <c r="D150" s="20" t="n">
        <f aca="false">D149/C149-1</f>
        <v>0.144970635062612</v>
      </c>
      <c r="E150" s="20" t="n">
        <f aca="false">E149/D149-1</f>
        <v>0.10750615677615</v>
      </c>
      <c r="F150" s="20" t="n">
        <f aca="false">F149/E149-1</f>
        <v>0.101604938911175</v>
      </c>
      <c r="G150" s="20" t="n">
        <f aca="false">G149/F149-1</f>
        <v>0.110799261161659</v>
      </c>
      <c r="H150" s="25" t="n">
        <f aca="false">$G150+(fade_gA-$G150)*1/3</f>
        <v>0.0938661741077727</v>
      </c>
      <c r="I150" s="25" t="n">
        <f aca="false">$G150+(fade_gA-$G150)*2/3</f>
        <v>0.0769330870538864</v>
      </c>
      <c r="J150" s="25" t="n">
        <f aca="false">$G150+(fade_gA-$G150)*3/3</f>
        <v>0.06</v>
      </c>
    </row>
    <row r="151" customFormat="false" ht="17.15" hidden="false" customHeight="false" outlineLevel="0" collapsed="false">
      <c r="A151" s="0" t="s">
        <v>569</v>
      </c>
      <c r="B151" s="0" t="s">
        <v>77</v>
      </c>
      <c r="C151" s="20" t="n">
        <f aca="false">C139/C149</f>
        <v>0.042798129430046</v>
      </c>
      <c r="D151" s="20" t="n">
        <f aca="false">D139/D149</f>
        <v>0.112137712844589</v>
      </c>
      <c r="E151" s="20" t="n">
        <f aca="false">E139/E149</f>
        <v>0.160636688939866</v>
      </c>
      <c r="F151" s="20" t="n">
        <f aca="false">F139/F149</f>
        <v>0.182228268444106</v>
      </c>
      <c r="G151" s="20" t="n">
        <f aca="false">G139/G149</f>
        <v>0.191905070979514</v>
      </c>
    </row>
    <row r="152" customFormat="false" ht="17.15" hidden="false" customHeight="false" outlineLevel="0" collapsed="false">
      <c r="A152" s="5" t="s">
        <v>570</v>
      </c>
      <c r="B152" s="0" t="s">
        <v>77</v>
      </c>
      <c r="C152" s="20" t="n">
        <f aca="false">C145/C149</f>
        <v>0.46</v>
      </c>
      <c r="D152" s="20" t="n">
        <f aca="false">D145/D149</f>
        <v>0.396053174408748</v>
      </c>
      <c r="E152" s="20" t="n">
        <f aca="false">E145/E149</f>
        <v>0.36833634480956</v>
      </c>
      <c r="F152" s="20" t="n">
        <f aca="false">F145/F149</f>
        <v>0.347737909545475</v>
      </c>
      <c r="G152" s="20" t="n">
        <f aca="false">G145/G149</f>
        <v>0.325574060563461</v>
      </c>
    </row>
    <row r="153" customFormat="false" ht="17.15" hidden="false" customHeight="false" outlineLevel="0" collapsed="false">
      <c r="A153" s="1" t="s">
        <v>571</v>
      </c>
    </row>
    <row r="154" customFormat="false" ht="15" hidden="false" customHeight="false" outlineLevel="0" collapsed="false">
      <c r="A154" s="5" t="s">
        <v>572</v>
      </c>
      <c r="B154" s="0" t="s">
        <v>176</v>
      </c>
      <c r="C154" s="16" t="n">
        <f aca="false">C149-C148</f>
        <v>6708</v>
      </c>
      <c r="D154" s="16" t="n">
        <f aca="false">D149-D148</f>
        <v>7680.46302</v>
      </c>
      <c r="E154" s="16" t="n">
        <f aca="false">E149-E148</f>
        <v>8506.16008154154</v>
      </c>
      <c r="F154" s="16" t="n">
        <f aca="false">F149-F148</f>
        <v>9220.42795699524</v>
      </c>
      <c r="G154" s="16" t="n">
        <f aca="false">G149-G148</f>
        <v>9908.66445139887</v>
      </c>
    </row>
    <row r="155" customFormat="false" ht="17.15" hidden="false" customHeight="false" outlineLevel="0" collapsed="false">
      <c r="A155" s="5" t="s">
        <v>573</v>
      </c>
      <c r="B155" s="0" t="s">
        <v>176</v>
      </c>
      <c r="D155" s="16" t="n">
        <f aca="false">cap_m26</f>
        <v>1200</v>
      </c>
      <c r="E155" s="16" t="n">
        <f aca="false">capi*E154</f>
        <v>1190.86241141582</v>
      </c>
      <c r="F155" s="16" t="n">
        <f aca="false">capi*F154</f>
        <v>1290.85991397933</v>
      </c>
      <c r="G155" s="16" t="n">
        <f aca="false">capi*G154</f>
        <v>1387.21302319584</v>
      </c>
      <c r="K155" s="8" t="s">
        <v>574</v>
      </c>
    </row>
    <row r="156" customFormat="false" ht="17.15" hidden="false" customHeight="false" outlineLevel="0" collapsed="false">
      <c r="A156" s="5" t="s">
        <v>575</v>
      </c>
      <c r="B156" s="0" t="s">
        <v>176</v>
      </c>
      <c r="C156" s="16" t="n">
        <f aca="false">a25_da</f>
        <v>642</v>
      </c>
      <c r="D156" s="16" t="n">
        <f aca="false">a26_da</f>
        <v>740.6</v>
      </c>
      <c r="E156" s="16" t="n">
        <f aca="false">D156*(1-1/life)+D155/life</f>
        <v>806.228571428572</v>
      </c>
      <c r="F156" s="16" t="n">
        <f aca="false">E156*(1-1/life)+E155/life</f>
        <v>861.176262855321</v>
      </c>
      <c r="G156" s="16" t="n">
        <f aca="false">F156*(1-1/life)+F155/life</f>
        <v>922.559641587323</v>
      </c>
      <c r="K156" s="5" t="s">
        <v>576</v>
      </c>
    </row>
    <row r="157" customFormat="false" ht="15" hidden="false" customHeight="false" outlineLevel="0" collapsed="false">
      <c r="A157" s="5" t="s">
        <v>577</v>
      </c>
      <c r="B157" s="0" t="s">
        <v>176</v>
      </c>
      <c r="E157" s="16" t="n">
        <f aca="false">0</f>
        <v>0</v>
      </c>
      <c r="F157" s="16" t="n">
        <f aca="false">az_capex1*(1-az_inc)/az_life*az_svc28</f>
        <v>94.7916666666667</v>
      </c>
      <c r="G157" s="16" t="n">
        <f aca="false">az_capex1*(1-az_inc)/az_life</f>
        <v>189.583333333333</v>
      </c>
    </row>
    <row r="158" customFormat="false" ht="15" hidden="false" customHeight="false" outlineLevel="0" collapsed="false">
      <c r="A158" s="5" t="s">
        <v>578</v>
      </c>
      <c r="B158" s="0" t="s">
        <v>176</v>
      </c>
      <c r="C158" s="16" t="n">
        <f aca="false">C156</f>
        <v>642</v>
      </c>
      <c r="D158" s="16" t="n">
        <f aca="false">D156</f>
        <v>740.6</v>
      </c>
      <c r="E158" s="16" t="n">
        <f aca="false">E156+E157</f>
        <v>806.228571428572</v>
      </c>
      <c r="F158" s="16" t="n">
        <f aca="false">F156+F157</f>
        <v>955.967929521988</v>
      </c>
      <c r="G158" s="16" t="n">
        <f aca="false">G156+G157</f>
        <v>1112.14297492066</v>
      </c>
    </row>
    <row r="159" customFormat="false" ht="17.15" hidden="false" customHeight="false" outlineLevel="0" collapsed="false">
      <c r="A159" s="5" t="s">
        <v>579</v>
      </c>
      <c r="B159" s="0" t="s">
        <v>176</v>
      </c>
      <c r="C159" s="16" t="n">
        <f aca="false">a25_gp</f>
        <v>938.6</v>
      </c>
      <c r="D159" s="16" t="n">
        <f aca="false">a26_gp</f>
        <v>1325.7873147</v>
      </c>
      <c r="E159" s="16" t="n">
        <f aca="false">$D159+ft*(E154-$D154)-(E156-$D156)</f>
        <v>1590.43756788804</v>
      </c>
      <c r="F159" s="16" t="n">
        <f aca="false">$D159+ft*(F154-$D154)-(F156-$D156)</f>
        <v>1821.19702664278</v>
      </c>
      <c r="G159" s="16" t="n">
        <f aca="false">$D159+ft*(G154-$D154)-(G156-$D156)</f>
        <v>2035.10824567222</v>
      </c>
      <c r="K159" s="5" t="s">
        <v>580</v>
      </c>
    </row>
    <row r="160" customFormat="false" ht="17.15" hidden="false" customHeight="false" outlineLevel="0" collapsed="false">
      <c r="A160" s="5" t="s">
        <v>581</v>
      </c>
      <c r="B160" s="0" t="s">
        <v>176</v>
      </c>
      <c r="E160" s="16" t="n">
        <f aca="false">E148*az_cm-az_fix27</f>
        <v>-120</v>
      </c>
      <c r="F160" s="16" t="n">
        <f aca="false">F148*az_cm-az_fix28-F157</f>
        <v>-112.291666666667</v>
      </c>
      <c r="G160" s="16" t="n">
        <f aca="false">G148*az_cm-az_fix29-G157</f>
        <v>-14.5833333333333</v>
      </c>
      <c r="K160" s="8" t="s">
        <v>582</v>
      </c>
    </row>
    <row r="161" customFormat="false" ht="15" hidden="false" customHeight="false" outlineLevel="0" collapsed="false">
      <c r="A161" s="5" t="s">
        <v>458</v>
      </c>
      <c r="B161" s="0" t="s">
        <v>176</v>
      </c>
      <c r="C161" s="16" t="n">
        <f aca="false">a25_gp</f>
        <v>938.6</v>
      </c>
      <c r="D161" s="16" t="n">
        <f aca="false">a26_gp</f>
        <v>1325.7873147</v>
      </c>
      <c r="E161" s="16" t="n">
        <f aca="false">E159+E160</f>
        <v>1470.43756788804</v>
      </c>
      <c r="F161" s="16" t="n">
        <f aca="false">F159+F160</f>
        <v>1708.90535997611</v>
      </c>
      <c r="G161" s="16" t="n">
        <f aca="false">G159+G160</f>
        <v>2020.52491233889</v>
      </c>
    </row>
    <row r="162" customFormat="false" ht="15" hidden="false" customHeight="false" outlineLevel="0" collapsed="false">
      <c r="A162" s="5" t="s">
        <v>461</v>
      </c>
      <c r="B162" s="0" t="s">
        <v>77</v>
      </c>
      <c r="C162" s="17" t="n">
        <f aca="false">C161/C149</f>
        <v>0.139922480620155</v>
      </c>
      <c r="D162" s="17" t="n">
        <f aca="false">D161/D149</f>
        <v>0.172618149615152</v>
      </c>
      <c r="E162" s="17" t="n">
        <f aca="false">E161/E149</f>
        <v>0.172867375383507</v>
      </c>
      <c r="F162" s="17" t="n">
        <f aca="false">F161/F149</f>
        <v>0.182372178498035</v>
      </c>
      <c r="G162" s="17" t="n">
        <f aca="false">G161/G149</f>
        <v>0.19411951665589</v>
      </c>
    </row>
    <row r="163" customFormat="false" ht="17.15" hidden="false" customHeight="false" outlineLevel="0" collapsed="false">
      <c r="A163" s="5" t="s">
        <v>583</v>
      </c>
      <c r="B163" s="0" t="s">
        <v>584</v>
      </c>
      <c r="E163" s="17" t="n">
        <f aca="false">E160/E149</f>
        <v>-0.014107423190918</v>
      </c>
      <c r="F163" s="17" t="n">
        <f aca="false">F160/F149</f>
        <v>-0.0119836220055284</v>
      </c>
      <c r="G163" s="17" t="n">
        <f aca="false">G160/G149</f>
        <v>-0.00140107632457817</v>
      </c>
      <c r="K163" s="5" t="s">
        <v>585</v>
      </c>
    </row>
    <row r="164" customFormat="false" ht="17.15" hidden="false" customHeight="false" outlineLevel="0" collapsed="false">
      <c r="A164" s="5" t="s">
        <v>463</v>
      </c>
      <c r="B164" s="0" t="s">
        <v>176</v>
      </c>
      <c r="C164" s="16" t="n">
        <f aca="false">a25_opx</f>
        <v>471.2</v>
      </c>
      <c r="D164" s="16" t="n">
        <f aca="false">a26_opx</f>
        <v>537.5</v>
      </c>
      <c r="E164" s="16" t="n">
        <f aca="false">(D164+opx_gain)*(1+phi*E150)</f>
        <v>588.52109427974</v>
      </c>
      <c r="F164" s="16" t="n">
        <f aca="false">E164*(1+phi*F150)</f>
        <v>618.419419195855</v>
      </c>
      <c r="G164" s="16" t="n">
        <f aca="false">F164*(1+phi*G150)</f>
        <v>652.679626563316</v>
      </c>
      <c r="K164" s="8" t="s">
        <v>586</v>
      </c>
    </row>
    <row r="165" customFormat="false" ht="15" hidden="false" customHeight="false" outlineLevel="0" collapsed="false">
      <c r="A165" s="5" t="s">
        <v>466</v>
      </c>
      <c r="B165" s="0" t="s">
        <v>176</v>
      </c>
      <c r="C165" s="16" t="n">
        <f aca="false">C161-C164</f>
        <v>467.4</v>
      </c>
      <c r="D165" s="16" t="n">
        <f aca="false">D161-D164</f>
        <v>788.2873147</v>
      </c>
      <c r="E165" s="16" t="n">
        <f aca="false">E161-E164</f>
        <v>881.916473608304</v>
      </c>
      <c r="F165" s="16" t="n">
        <f aca="false">F161-F164</f>
        <v>1090.48594078025</v>
      </c>
      <c r="G165" s="16" t="n">
        <f aca="false">G161-G164</f>
        <v>1367.84528577557</v>
      </c>
    </row>
    <row r="166" customFormat="false" ht="15" hidden="false" customHeight="false" outlineLevel="0" collapsed="false">
      <c r="A166" s="5" t="s">
        <v>540</v>
      </c>
      <c r="B166" s="0" t="s">
        <v>77</v>
      </c>
      <c r="C166" s="17" t="n">
        <f aca="false">C165/C149</f>
        <v>0.0696779964221825</v>
      </c>
      <c r="D166" s="17" t="n">
        <f aca="false">D165/D149</f>
        <v>0.102635389643475</v>
      </c>
      <c r="E166" s="17" t="n">
        <f aca="false">E165/E149</f>
        <v>0.103679740935287</v>
      </c>
      <c r="F166" s="17" t="n">
        <f aca="false">F165/F149</f>
        <v>0.116375254767973</v>
      </c>
      <c r="G166" s="17" t="n">
        <f aca="false">G165/G149</f>
        <v>0.131414101411612</v>
      </c>
    </row>
    <row r="167" customFormat="false" ht="15" hidden="false" customHeight="false" outlineLevel="0" collapsed="false">
      <c r="A167" s="5" t="s">
        <v>587</v>
      </c>
      <c r="B167" s="0" t="s">
        <v>176</v>
      </c>
      <c r="C167" s="16" t="n">
        <f aca="false">a25_nonop</f>
        <v>-22.7</v>
      </c>
      <c r="D167" s="16" t="n">
        <f aca="false">a26_nonop</f>
        <v>-0.700000000000003</v>
      </c>
      <c r="E167" s="16" t="n">
        <f aca="false">nonop27</f>
        <v>-20</v>
      </c>
      <c r="F167" s="16" t="n">
        <f aca="false">nonop28</f>
        <v>-40</v>
      </c>
      <c r="G167" s="16" t="n">
        <f aca="false">nonop29</f>
        <v>-60</v>
      </c>
    </row>
    <row r="168" customFormat="false" ht="15" hidden="false" customHeight="false" outlineLevel="0" collapsed="false">
      <c r="A168" s="5" t="s">
        <v>471</v>
      </c>
      <c r="B168" s="0" t="s">
        <v>176</v>
      </c>
      <c r="C168" s="16" t="n">
        <f aca="false">C165+C167</f>
        <v>444.7</v>
      </c>
      <c r="D168" s="16" t="n">
        <f aca="false">D165+D167</f>
        <v>787.5873147</v>
      </c>
      <c r="E168" s="16" t="n">
        <f aca="false">E165+E167</f>
        <v>861.916473608304</v>
      </c>
      <c r="F168" s="16" t="n">
        <f aca="false">F165+F167</f>
        <v>1050.48594078025</v>
      </c>
      <c r="G168" s="16" t="n">
        <f aca="false">G165+G167</f>
        <v>1307.84528577557</v>
      </c>
    </row>
    <row r="169" customFormat="false" ht="15" hidden="false" customHeight="false" outlineLevel="0" collapsed="false">
      <c r="A169" s="5" t="s">
        <v>472</v>
      </c>
      <c r="B169" s="0" t="s">
        <v>176</v>
      </c>
      <c r="C169" s="16" t="n">
        <f aca="false">a25_tax</f>
        <v>68.5</v>
      </c>
      <c r="D169" s="16" t="n">
        <f aca="false">a26_tax</f>
        <v>138.23746294</v>
      </c>
      <c r="E169" s="16" t="n">
        <f aca="false">E168*tax</f>
        <v>172.383294721661</v>
      </c>
      <c r="F169" s="16" t="n">
        <f aca="false">F168*tax</f>
        <v>210.097188156051</v>
      </c>
      <c r="G169" s="16" t="n">
        <f aca="false">G168*tax</f>
        <v>261.569057155115</v>
      </c>
    </row>
    <row r="170" customFormat="false" ht="15" hidden="false" customHeight="false" outlineLevel="0" collapsed="false">
      <c r="A170" s="5" t="s">
        <v>474</v>
      </c>
      <c r="B170" s="0" t="s">
        <v>176</v>
      </c>
      <c r="C170" s="16" t="n">
        <f aca="false">a25_nci</f>
        <v>2.30000000000007</v>
      </c>
      <c r="D170" s="16" t="n">
        <f aca="false">a26_nci</f>
        <v>3.7</v>
      </c>
      <c r="E170" s="16" t="n">
        <f aca="false">nci</f>
        <v>3</v>
      </c>
      <c r="F170" s="16" t="n">
        <f aca="false">nci</f>
        <v>3</v>
      </c>
      <c r="G170" s="16" t="n">
        <f aca="false">nci</f>
        <v>3</v>
      </c>
    </row>
    <row r="171" customFormat="false" ht="15" hidden="false" customHeight="false" outlineLevel="0" collapsed="false">
      <c r="A171" s="5" t="s">
        <v>476</v>
      </c>
      <c r="B171" s="0" t="s">
        <v>176</v>
      </c>
      <c r="C171" s="16" t="n">
        <f aca="false">C168-C169-C170</f>
        <v>373.9</v>
      </c>
      <c r="D171" s="16" t="n">
        <f aca="false">D168-D169-D170</f>
        <v>645.64985176</v>
      </c>
      <c r="E171" s="16" t="n">
        <f aca="false">E168-E169-E170</f>
        <v>686.533178886643</v>
      </c>
      <c r="F171" s="16" t="n">
        <f aca="false">F168-F169-F170</f>
        <v>837.388752624203</v>
      </c>
      <c r="G171" s="16" t="n">
        <f aca="false">G168-G169-G170</f>
        <v>1043.27622862046</v>
      </c>
      <c r="H171" s="29" t="n">
        <f aca="false">H149*H175</f>
        <v>1180.84006312252</v>
      </c>
      <c r="I171" s="29" t="n">
        <f aca="false">I149*I175</f>
        <v>1314.3705012037</v>
      </c>
      <c r="J171" s="29" t="n">
        <f aca="false">J149*J175</f>
        <v>1438.47858398668</v>
      </c>
    </row>
    <row r="172" customFormat="false" ht="15" hidden="false" customHeight="false" outlineLevel="0" collapsed="false">
      <c r="A172" s="5" t="s">
        <v>588</v>
      </c>
      <c r="B172" s="5" t="s">
        <v>310</v>
      </c>
      <c r="C172" s="21" t="n">
        <f aca="false">a25_sh</f>
        <v>248.5</v>
      </c>
      <c r="D172" s="21" t="n">
        <f aca="false">a26_sh</f>
        <v>249.915</v>
      </c>
      <c r="E172" s="21" t="n">
        <f aca="false">D172*(1+sh_g)</f>
        <v>249.915</v>
      </c>
      <c r="F172" s="21" t="n">
        <f aca="false">E172*(1+sh_g)</f>
        <v>249.915</v>
      </c>
      <c r="G172" s="21" t="n">
        <f aca="false">F172*(1+sh_g)</f>
        <v>249.915</v>
      </c>
      <c r="H172" s="30" t="n">
        <f aca="false">G172*(1+sh_g)</f>
        <v>249.915</v>
      </c>
      <c r="I172" s="30" t="n">
        <f aca="false">H172*(1+sh_g)</f>
        <v>249.915</v>
      </c>
      <c r="J172" s="30" t="n">
        <f aca="false">I172*(1+sh_g)</f>
        <v>249.915</v>
      </c>
    </row>
    <row r="173" customFormat="false" ht="17.15" hidden="false" customHeight="false" outlineLevel="0" collapsed="false">
      <c r="A173" s="0" t="s">
        <v>480</v>
      </c>
      <c r="B173" s="0" t="s">
        <v>331</v>
      </c>
      <c r="C173" s="18" t="n">
        <f aca="false">C171/C172</f>
        <v>1.5046277665996</v>
      </c>
      <c r="D173" s="18" t="n">
        <f aca="false">D171/D172</f>
        <v>2.58347778948843</v>
      </c>
      <c r="E173" s="18" t="n">
        <f aca="false">E171/E172</f>
        <v>2.74706671823077</v>
      </c>
      <c r="F173" s="18" t="n">
        <f aca="false">F171/F172</f>
        <v>3.35069424654064</v>
      </c>
      <c r="G173" s="18" t="n">
        <f aca="false">G171/G172</f>
        <v>4.17452425272777</v>
      </c>
      <c r="H173" s="27" t="n">
        <f aca="false">H171/H172</f>
        <v>4.72496674118207</v>
      </c>
      <c r="I173" s="27" t="n">
        <f aca="false">I171/I172</f>
        <v>5.25927015666806</v>
      </c>
      <c r="J173" s="27" t="n">
        <f aca="false">J171/J172</f>
        <v>5.75587133219966</v>
      </c>
    </row>
    <row r="174" customFormat="false" ht="17.15" hidden="false" customHeight="false" outlineLevel="0" collapsed="false">
      <c r="A174" s="0" t="s">
        <v>589</v>
      </c>
      <c r="B174" s="0" t="s">
        <v>77</v>
      </c>
      <c r="D174" s="20" t="n">
        <f aca="false">D173/C173-1</f>
        <v>0.717021210719106</v>
      </c>
      <c r="E174" s="20" t="n">
        <f aca="false">E173/D173-1</f>
        <v>0.0633212057823571</v>
      </c>
      <c r="F174" s="20" t="n">
        <f aca="false">F173/E173-1</f>
        <v>0.219735299584798</v>
      </c>
      <c r="G174" s="20" t="n">
        <f aca="false">G173/F173-1</f>
        <v>0.245868451601538</v>
      </c>
      <c r="H174" s="25" t="n">
        <f aca="false">H173/G173-1</f>
        <v>0.131857537561227</v>
      </c>
      <c r="I174" s="25" t="n">
        <f aca="false">I173/H173-1</f>
        <v>0.113080883898947</v>
      </c>
      <c r="J174" s="25" t="n">
        <f aca="false">J173/I173-1</f>
        <v>0.0944239715280597</v>
      </c>
    </row>
    <row r="175" customFormat="false" ht="17.15" hidden="false" customHeight="false" outlineLevel="0" collapsed="false">
      <c r="A175" s="5" t="s">
        <v>590</v>
      </c>
      <c r="B175" s="0" t="s">
        <v>77</v>
      </c>
      <c r="C175" s="17" t="n">
        <f aca="false">C171/C149</f>
        <v>0.0557394156231365</v>
      </c>
      <c r="D175" s="17" t="n">
        <f aca="false">D171/D149</f>
        <v>0.0840639229794768</v>
      </c>
      <c r="E175" s="17" t="n">
        <f aca="false">E171/E149</f>
        <v>0.0807101174096674</v>
      </c>
      <c r="F175" s="17" t="n">
        <f aca="false">F171/F149</f>
        <v>0.089365048903564</v>
      </c>
      <c r="G175" s="17" t="n">
        <f aca="false">G171/G149</f>
        <v>0.100231517068479</v>
      </c>
      <c r="H175" s="26" t="n">
        <f aca="false">$G175+(fade_mA-$G175)*1/3</f>
        <v>0.103712685135081</v>
      </c>
      <c r="I175" s="26" t="n">
        <f aca="false">$G175+(fade_mA-$G175)*2/3</f>
        <v>0.107193853201683</v>
      </c>
      <c r="J175" s="26" t="n">
        <f aca="false">$G175+(fade_mA-$G175)*3/3</f>
        <v>0.110675021268284</v>
      </c>
    </row>
    <row r="178" customFormat="false" ht="17.15" hidden="false" customHeight="false" outlineLevel="0" collapsed="false">
      <c r="A178" s="3" t="s">
        <v>922</v>
      </c>
    </row>
    <row r="179" customFormat="false" ht="17.15" hidden="false" customHeight="false" outlineLevel="0" collapsed="false">
      <c r="A179" s="6" t="s">
        <v>22</v>
      </c>
      <c r="B179" s="6" t="s">
        <v>23</v>
      </c>
      <c r="C179" s="14" t="s">
        <v>437</v>
      </c>
      <c r="D179" s="14" t="s">
        <v>527</v>
      </c>
      <c r="E179" s="14" t="s">
        <v>528</v>
      </c>
      <c r="F179" s="14" t="s">
        <v>529</v>
      </c>
      <c r="G179" s="14" t="s">
        <v>530</v>
      </c>
      <c r="H179" s="14" t="s">
        <v>531</v>
      </c>
      <c r="I179" s="14" t="s">
        <v>532</v>
      </c>
      <c r="J179" s="14" t="s">
        <v>533</v>
      </c>
      <c r="K179" s="6" t="s">
        <v>503</v>
      </c>
    </row>
    <row r="180" customFormat="false" ht="17.15" hidden="false" customHeight="false" outlineLevel="0" collapsed="false">
      <c r="A180" s="1" t="s">
        <v>551</v>
      </c>
    </row>
    <row r="181" customFormat="false" ht="17.15" hidden="false" customHeight="false" outlineLevel="0" collapsed="false">
      <c r="A181" s="0" t="s">
        <v>552</v>
      </c>
      <c r="B181" s="5" t="s">
        <v>33</v>
      </c>
      <c r="D181" s="18" t="n">
        <f aca="false">units_26</f>
        <v>15.2</v>
      </c>
      <c r="E181" s="18" t="n">
        <f aca="false">units_27*1</f>
        <v>23.7</v>
      </c>
      <c r="F181" s="18" t="n">
        <f aca="false">units_28*um28_A*1</f>
        <v>26.5</v>
      </c>
      <c r="G181" s="18" t="n">
        <f aca="false">units_29*um29_A*1</f>
        <v>30.15</v>
      </c>
    </row>
    <row r="182" customFormat="false" ht="17.15" hidden="false" customHeight="false" outlineLevel="0" collapsed="false">
      <c r="A182" s="5" t="s">
        <v>506</v>
      </c>
      <c r="B182" s="0" t="s">
        <v>46</v>
      </c>
      <c r="D182" s="22" t="n">
        <f aca="false">ar_26</f>
        <v>1</v>
      </c>
      <c r="E182" s="22" t="n">
        <f aca="false">ar_27</f>
        <v>1.278156</v>
      </c>
      <c r="F182" s="22" t="n">
        <f aca="false">ar_28</f>
        <v>1.428615</v>
      </c>
      <c r="G182" s="22" t="n">
        <f aca="false">ar_29</f>
        <v>1.431796</v>
      </c>
    </row>
    <row r="183" customFormat="false" ht="17.15" hidden="false" customHeight="false" outlineLevel="0" collapsed="false">
      <c r="A183" s="5" t="s">
        <v>508</v>
      </c>
      <c r="B183" s="0" t="s">
        <v>77</v>
      </c>
      <c r="D183" s="20" t="n">
        <f aca="false">out_26</f>
        <v>0.5</v>
      </c>
      <c r="E183" s="20" t="n">
        <f aca="false">out_27_hi</f>
        <v>0.65</v>
      </c>
      <c r="F183" s="20" t="n">
        <f aca="false">out_28_hi</f>
        <v>0.7</v>
      </c>
      <c r="G183" s="20" t="n">
        <f aca="false">out_29_hi</f>
        <v>0.75</v>
      </c>
      <c r="K183" s="8" t="s">
        <v>553</v>
      </c>
    </row>
    <row r="184" customFormat="false" ht="17.15" hidden="false" customHeight="false" outlineLevel="0" collapsed="false">
      <c r="A184" s="0" t="s">
        <v>509</v>
      </c>
      <c r="B184" s="0" t="s">
        <v>77</v>
      </c>
      <c r="D184" s="20" t="n">
        <f aca="false">sh_26</f>
        <v>0.35</v>
      </c>
      <c r="E184" s="20" t="n">
        <f aca="false">sh_27</f>
        <v>0.35</v>
      </c>
      <c r="F184" s="20" t="n">
        <f aca="false">sh_28</f>
        <v>0.37</v>
      </c>
      <c r="G184" s="20" t="n">
        <f aca="false">sh_29</f>
        <v>0.38</v>
      </c>
    </row>
    <row r="185" customFormat="false" ht="17.15" hidden="false" customHeight="false" outlineLevel="0" collapsed="false">
      <c r="A185" s="0" t="s">
        <v>554</v>
      </c>
      <c r="B185" s="0" t="s">
        <v>176</v>
      </c>
      <c r="C185" s="16" t="n">
        <f aca="false">(a26_comp-a25_comp*(1+g_pc26))/(tri-(1+g_pc26))</f>
        <v>287.089852216749</v>
      </c>
      <c r="D185" s="16" t="n">
        <f aca="false">C185*tri</f>
        <v>861.269556650246</v>
      </c>
      <c r="E185" s="16" t="n">
        <f aca="false">E181*E183*E184*E186</f>
        <v>1973.69089824298</v>
      </c>
      <c r="F185" s="16" t="n">
        <f aca="false">F181*F183*F184*F186</f>
        <v>2656.19956184098</v>
      </c>
      <c r="G185" s="16" t="n">
        <f aca="false">G181*G183*G184*G186</f>
        <v>3329.12581724607</v>
      </c>
      <c r="K185" s="8" t="s">
        <v>555</v>
      </c>
    </row>
    <row r="186" customFormat="false" ht="17.15" hidden="false" customHeight="false" outlineLevel="0" collapsed="false">
      <c r="A186" s="5" t="s">
        <v>556</v>
      </c>
      <c r="B186" s="0" t="s">
        <v>511</v>
      </c>
      <c r="D186" s="23" t="n">
        <f aca="false">D185/(D181*D183*D184)</f>
        <v>323.785547612874</v>
      </c>
      <c r="E186" s="23" t="n">
        <f aca="false">$D186*E182^el</f>
        <v>366.057569108912</v>
      </c>
      <c r="F186" s="23" t="n">
        <f aca="false">$D186*F182^el</f>
        <v>387.003651466596</v>
      </c>
      <c r="G186" s="23" t="n">
        <f aca="false">$D186*G182^el</f>
        <v>387.434269267239</v>
      </c>
      <c r="K186" s="8" t="s">
        <v>557</v>
      </c>
    </row>
    <row r="187" customFormat="false" ht="17.15" hidden="false" customHeight="false" outlineLevel="0" collapsed="false">
      <c r="A187" s="5" t="s">
        <v>515</v>
      </c>
      <c r="B187" s="0" t="s">
        <v>511</v>
      </c>
      <c r="D187" s="16" t="n">
        <f aca="false">D185/D181</f>
        <v>56.662470832253</v>
      </c>
      <c r="E187" s="16" t="n">
        <f aca="false">E185/E181</f>
        <v>83.2780969722775</v>
      </c>
      <c r="F187" s="16" t="n">
        <f aca="false">F185/F181</f>
        <v>100.233945729848</v>
      </c>
      <c r="G187" s="16" t="n">
        <f aca="false">G185/G181</f>
        <v>110.418766741163</v>
      </c>
      <c r="K187" s="5" t="s">
        <v>558</v>
      </c>
    </row>
    <row r="188" customFormat="false" ht="17.15" hidden="false" customHeight="false" outlineLevel="0" collapsed="false">
      <c r="A188" s="1" t="s">
        <v>559</v>
      </c>
    </row>
    <row r="189" customFormat="false" ht="17.15" hidden="false" customHeight="false" outlineLevel="0" collapsed="false">
      <c r="A189" s="5" t="s">
        <v>560</v>
      </c>
      <c r="B189" s="0" t="s">
        <v>176</v>
      </c>
      <c r="C189" s="16" t="n">
        <f aca="false">a25_comp-C185</f>
        <v>1054.51014778325</v>
      </c>
      <c r="D189" s="16" t="n">
        <f aca="false">a26_comp-D185</f>
        <v>1022.87484334975</v>
      </c>
      <c r="E189" s="16" t="n">
        <f aca="false">D189*(1+g_pc)</f>
        <v>1053.56108865025</v>
      </c>
      <c r="F189" s="16" t="n">
        <f aca="false">E189*(1+g_pc)</f>
        <v>1085.16792130975</v>
      </c>
      <c r="G189" s="16" t="n">
        <f aca="false">F189*(1+g_pc)</f>
        <v>1117.72295894905</v>
      </c>
    </row>
    <row r="190" customFormat="false" ht="15" hidden="false" customHeight="false" outlineLevel="0" collapsed="false">
      <c r="A190" s="5" t="s">
        <v>561</v>
      </c>
      <c r="B190" s="0" t="s">
        <v>176</v>
      </c>
      <c r="C190" s="16" t="n">
        <f aca="false">C185+C189</f>
        <v>1341.6</v>
      </c>
      <c r="D190" s="16" t="n">
        <f aca="false">D185+D189</f>
        <v>1884.1444</v>
      </c>
      <c r="E190" s="16" t="n">
        <f aca="false">E185+E189</f>
        <v>3027.25198689322</v>
      </c>
      <c r="F190" s="16" t="n">
        <f aca="false">F185+F189</f>
        <v>3741.36748315073</v>
      </c>
      <c r="G190" s="16" t="n">
        <f aca="false">G185+G189</f>
        <v>4446.84877619512</v>
      </c>
    </row>
    <row r="191" customFormat="false" ht="17.15" hidden="false" customHeight="false" outlineLevel="0" collapsed="false">
      <c r="A191" s="5" t="s">
        <v>562</v>
      </c>
      <c r="B191" s="0" t="s">
        <v>176</v>
      </c>
      <c r="C191" s="16" t="n">
        <f aca="false">a25_cm</f>
        <v>3085.68</v>
      </c>
      <c r="D191" s="16" t="n">
        <f aca="false">a26_cm</f>
        <v>3041.87176</v>
      </c>
      <c r="E191" s="16" t="n">
        <f aca="false">D191*(1+g_cm27_A)</f>
        <v>3133.1279128</v>
      </c>
      <c r="F191" s="16" t="n">
        <f aca="false">E191*(1+g_cmL_A)</f>
        <v>3258.453029312</v>
      </c>
      <c r="G191" s="16" t="n">
        <f aca="false">F191*(1+g_cmL_A)</f>
        <v>3388.79115048448</v>
      </c>
    </row>
    <row r="192" customFormat="false" ht="15" hidden="false" customHeight="false" outlineLevel="0" collapsed="false">
      <c r="A192" s="5" t="s">
        <v>563</v>
      </c>
      <c r="B192" s="0" t="s">
        <v>176</v>
      </c>
      <c r="C192" s="16" t="n">
        <f aca="false">a25_au</f>
        <v>1274.52</v>
      </c>
      <c r="D192" s="16" t="n">
        <f aca="false">a26_au</f>
        <v>1656.99176</v>
      </c>
      <c r="E192" s="16" t="n">
        <f aca="false">D192*(1+g_au)</f>
        <v>1822.690936</v>
      </c>
      <c r="F192" s="16" t="n">
        <f aca="false">E192*(1+g_au)</f>
        <v>2004.9600296</v>
      </c>
      <c r="G192" s="16" t="n">
        <f aca="false">F192*(1+g_au)</f>
        <v>2205.45603256</v>
      </c>
    </row>
    <row r="193" customFormat="false" ht="15" hidden="false" customHeight="false" outlineLevel="0" collapsed="false">
      <c r="A193" s="5" t="s">
        <v>564</v>
      </c>
      <c r="B193" s="0" t="s">
        <v>176</v>
      </c>
      <c r="C193" s="16" t="n">
        <f aca="false">a25_cs</f>
        <v>1006.2</v>
      </c>
      <c r="D193" s="16" t="n">
        <f aca="false">a26_cs</f>
        <v>1097.4551</v>
      </c>
      <c r="E193" s="16" t="n">
        <f aca="false">D193*(1+g_cs)</f>
        <v>1130.378753</v>
      </c>
      <c r="F193" s="16" t="n">
        <f aca="false">E193*(1+g_cs)</f>
        <v>1164.29011559</v>
      </c>
      <c r="G193" s="16" t="n">
        <f aca="false">F193*(1+g_cs)</f>
        <v>1199.2188190577</v>
      </c>
    </row>
    <row r="194" customFormat="false" ht="17.15" hidden="false" customHeight="false" outlineLevel="0" collapsed="false">
      <c r="A194" s="5" t="s">
        <v>565</v>
      </c>
      <c r="B194" s="0" t="s">
        <v>176</v>
      </c>
      <c r="C194" s="16" t="n">
        <f aca="false">0</f>
        <v>0</v>
      </c>
      <c r="D194" s="16" t="n">
        <f aca="false">0</f>
        <v>0</v>
      </c>
      <c r="E194" s="16" t="n">
        <f aca="false">0</f>
        <v>0</v>
      </c>
      <c r="F194" s="16" t="n">
        <f aca="false">az_rev28_A</f>
        <v>150</v>
      </c>
      <c r="G194" s="16" t="n">
        <f aca="false">az_rev29_A</f>
        <v>500</v>
      </c>
      <c r="K194" s="5" t="s">
        <v>566</v>
      </c>
    </row>
    <row r="195" customFormat="false" ht="17.15" hidden="false" customHeight="false" outlineLevel="0" collapsed="false">
      <c r="A195" s="5" t="s">
        <v>444</v>
      </c>
      <c r="B195" s="0" t="s">
        <v>176</v>
      </c>
      <c r="C195" s="16" t="n">
        <f aca="false">C190+C191+C192+C193+C194</f>
        <v>6708</v>
      </c>
      <c r="D195" s="16" t="n">
        <f aca="false">D190+D191+D192+D193+D194</f>
        <v>7680.46302</v>
      </c>
      <c r="E195" s="16" t="n">
        <f aca="false">E190+E191+E192+E193+E194</f>
        <v>9113.44958869322</v>
      </c>
      <c r="F195" s="16" t="n">
        <f aca="false">F190+F191+F192+F193+F194</f>
        <v>10319.0706576527</v>
      </c>
      <c r="G195" s="16" t="n">
        <f aca="false">G190+G191+G192+G193+G194</f>
        <v>11740.3147782973</v>
      </c>
      <c r="H195" s="29" t="n">
        <f aca="false">G195*(1+H196)</f>
        <v>13053.1156534621</v>
      </c>
      <c r="I195" s="29" t="n">
        <f aca="false">H195*(1+I196)</f>
        <v>14174.5081947728</v>
      </c>
      <c r="J195" s="29" t="n">
        <f aca="false">I195*(1+J196)</f>
        <v>15024.9786864591</v>
      </c>
      <c r="K195" s="8" t="s">
        <v>567</v>
      </c>
    </row>
    <row r="196" customFormat="false" ht="15" hidden="false" customHeight="false" outlineLevel="0" collapsed="false">
      <c r="A196" s="5" t="s">
        <v>568</v>
      </c>
      <c r="B196" s="0" t="s">
        <v>77</v>
      </c>
      <c r="D196" s="20" t="n">
        <f aca="false">D195/C195-1</f>
        <v>0.144970635062612</v>
      </c>
      <c r="E196" s="20" t="n">
        <f aca="false">E195/D195-1</f>
        <v>0.186575544333943</v>
      </c>
      <c r="F196" s="20" t="n">
        <f aca="false">F195/E195-1</f>
        <v>0.132290309747835</v>
      </c>
      <c r="G196" s="20" t="n">
        <f aca="false">G195/F195-1</f>
        <v>0.137729856476034</v>
      </c>
      <c r="H196" s="25" t="n">
        <f aca="false">$G196+(fade_gA-$G196)*1/3</f>
        <v>0.111819904317356</v>
      </c>
      <c r="I196" s="25" t="n">
        <f aca="false">$G196+(fade_gA-$G196)*2/3</f>
        <v>0.0859099521586779</v>
      </c>
      <c r="J196" s="25" t="n">
        <f aca="false">$G196+(fade_gA-$G196)*3/3</f>
        <v>0.06</v>
      </c>
    </row>
    <row r="197" customFormat="false" ht="17.15" hidden="false" customHeight="false" outlineLevel="0" collapsed="false">
      <c r="A197" s="0" t="s">
        <v>569</v>
      </c>
      <c r="B197" s="0" t="s">
        <v>77</v>
      </c>
      <c r="C197" s="20" t="n">
        <f aca="false">C185/C195</f>
        <v>0.042798129430046</v>
      </c>
      <c r="D197" s="20" t="n">
        <f aca="false">D185/D195</f>
        <v>0.112137712844589</v>
      </c>
      <c r="E197" s="20" t="n">
        <f aca="false">E185/E195</f>
        <v>0.216569025705884</v>
      </c>
      <c r="F197" s="20" t="n">
        <f aca="false">F185/F195</f>
        <v>0.257406858617749</v>
      </c>
      <c r="G197" s="20" t="n">
        <f aca="false">G185/G195</f>
        <v>0.283563590935412</v>
      </c>
    </row>
    <row r="198" customFormat="false" ht="17.15" hidden="false" customHeight="false" outlineLevel="0" collapsed="false">
      <c r="A198" s="5" t="s">
        <v>570</v>
      </c>
      <c r="B198" s="0" t="s">
        <v>77</v>
      </c>
      <c r="C198" s="20" t="n">
        <f aca="false">C191/C195</f>
        <v>0.46</v>
      </c>
      <c r="D198" s="20" t="n">
        <f aca="false">D191/D195</f>
        <v>0.396053174408748</v>
      </c>
      <c r="E198" s="20" t="n">
        <f aca="false">E191/E195</f>
        <v>0.343791654554953</v>
      </c>
      <c r="F198" s="20" t="n">
        <f aca="false">F191/F195</f>
        <v>0.315770008503188</v>
      </c>
      <c r="G198" s="20" t="n">
        <f aca="false">G191/G195</f>
        <v>0.288645680671942</v>
      </c>
    </row>
    <row r="199" customFormat="false" ht="17.15" hidden="false" customHeight="false" outlineLevel="0" collapsed="false">
      <c r="A199" s="1" t="s">
        <v>571</v>
      </c>
    </row>
    <row r="200" customFormat="false" ht="15" hidden="false" customHeight="false" outlineLevel="0" collapsed="false">
      <c r="A200" s="5" t="s">
        <v>572</v>
      </c>
      <c r="B200" s="0" t="s">
        <v>176</v>
      </c>
      <c r="C200" s="16" t="n">
        <f aca="false">C195-C194</f>
        <v>6708</v>
      </c>
      <c r="D200" s="16" t="n">
        <f aca="false">D195-D194</f>
        <v>7680.46302</v>
      </c>
      <c r="E200" s="16" t="n">
        <f aca="false">E195-E194</f>
        <v>9113.44958869322</v>
      </c>
      <c r="F200" s="16" t="n">
        <f aca="false">F195-F194</f>
        <v>10169.0706576527</v>
      </c>
      <c r="G200" s="16" t="n">
        <f aca="false">G195-G194</f>
        <v>11240.3147782973</v>
      </c>
    </row>
    <row r="201" customFormat="false" ht="17.15" hidden="false" customHeight="false" outlineLevel="0" collapsed="false">
      <c r="A201" s="5" t="s">
        <v>573</v>
      </c>
      <c r="B201" s="0" t="s">
        <v>176</v>
      </c>
      <c r="D201" s="16" t="n">
        <f aca="false">cap_m26</f>
        <v>1200</v>
      </c>
      <c r="E201" s="16" t="n">
        <f aca="false">capi*E200</f>
        <v>1275.88294241705</v>
      </c>
      <c r="F201" s="16" t="n">
        <f aca="false">capi*F200</f>
        <v>1423.66989207138</v>
      </c>
      <c r="G201" s="16" t="n">
        <f aca="false">capi*G200</f>
        <v>1573.64406896162</v>
      </c>
      <c r="K201" s="8" t="s">
        <v>574</v>
      </c>
    </row>
    <row r="202" customFormat="false" ht="17.15" hidden="false" customHeight="false" outlineLevel="0" collapsed="false">
      <c r="A202" s="5" t="s">
        <v>575</v>
      </c>
      <c r="B202" s="0" t="s">
        <v>176</v>
      </c>
      <c r="C202" s="16" t="n">
        <f aca="false">a25_da</f>
        <v>642</v>
      </c>
      <c r="D202" s="16" t="n">
        <f aca="false">a26_da</f>
        <v>740.6</v>
      </c>
      <c r="E202" s="16" t="n">
        <f aca="false">D202*(1-1/life)+D201/life</f>
        <v>806.228571428572</v>
      </c>
      <c r="F202" s="16" t="n">
        <f aca="false">E202*(1-1/life)+E201/life</f>
        <v>873.322052998354</v>
      </c>
      <c r="G202" s="16" t="n">
        <f aca="false">F202*(1-1/life)+F201/life</f>
        <v>951.94317286593</v>
      </c>
      <c r="K202" s="5" t="s">
        <v>576</v>
      </c>
    </row>
    <row r="203" customFormat="false" ht="15" hidden="false" customHeight="false" outlineLevel="0" collapsed="false">
      <c r="A203" s="5" t="s">
        <v>577</v>
      </c>
      <c r="B203" s="0" t="s">
        <v>176</v>
      </c>
      <c r="E203" s="16" t="n">
        <f aca="false">0</f>
        <v>0</v>
      </c>
      <c r="F203" s="16" t="n">
        <f aca="false">az_capex1*(1-az_inc)/az_life*az_svc28</f>
        <v>94.7916666666667</v>
      </c>
      <c r="G203" s="16" t="n">
        <f aca="false">az_capex1*(1-az_inc)/az_life</f>
        <v>189.583333333333</v>
      </c>
    </row>
    <row r="204" customFormat="false" ht="15" hidden="false" customHeight="false" outlineLevel="0" collapsed="false">
      <c r="A204" s="5" t="s">
        <v>578</v>
      </c>
      <c r="B204" s="0" t="s">
        <v>176</v>
      </c>
      <c r="C204" s="16" t="n">
        <f aca="false">C202</f>
        <v>642</v>
      </c>
      <c r="D204" s="16" t="n">
        <f aca="false">D202</f>
        <v>740.6</v>
      </c>
      <c r="E204" s="16" t="n">
        <f aca="false">E202+E203</f>
        <v>806.228571428572</v>
      </c>
      <c r="F204" s="16" t="n">
        <f aca="false">F202+F203</f>
        <v>968.113719665021</v>
      </c>
      <c r="G204" s="16" t="n">
        <f aca="false">G202+G203</f>
        <v>1141.52650619926</v>
      </c>
    </row>
    <row r="205" customFormat="false" ht="17.15" hidden="false" customHeight="false" outlineLevel="0" collapsed="false">
      <c r="A205" s="5" t="s">
        <v>579</v>
      </c>
      <c r="B205" s="0" t="s">
        <v>176</v>
      </c>
      <c r="C205" s="16" t="n">
        <f aca="false">a25_gp</f>
        <v>938.6</v>
      </c>
      <c r="D205" s="16" t="n">
        <f aca="false">a26_gp</f>
        <v>1325.7873147</v>
      </c>
      <c r="E205" s="16" t="n">
        <f aca="false">$D205+ft*(E200-$D200)-(E202-$D202)</f>
        <v>1833.35337074872</v>
      </c>
      <c r="F205" s="16" t="n">
        <f aca="false">$D205+ft*(F200-$D200)-(F202-$D202)</f>
        <v>2188.50831676274</v>
      </c>
      <c r="G205" s="16" t="n">
        <f aca="false">$D205+ft*(G200-$D200)-(G202-$D202)</f>
        <v>2538.38484515299</v>
      </c>
      <c r="K205" s="5" t="s">
        <v>580</v>
      </c>
    </row>
    <row r="206" customFormat="false" ht="17.15" hidden="false" customHeight="false" outlineLevel="0" collapsed="false">
      <c r="A206" s="5" t="s">
        <v>581</v>
      </c>
      <c r="B206" s="0" t="s">
        <v>176</v>
      </c>
      <c r="E206" s="16" t="n">
        <f aca="false">E194*az_cm-az_fix27</f>
        <v>-120</v>
      </c>
      <c r="F206" s="16" t="n">
        <f aca="false">F194*az_cm-az_fix28-F203</f>
        <v>-112.291666666667</v>
      </c>
      <c r="G206" s="16" t="n">
        <f aca="false">G194*az_cm-az_fix29-G203</f>
        <v>-14.5833333333333</v>
      </c>
      <c r="K206" s="8" t="s">
        <v>582</v>
      </c>
    </row>
    <row r="207" customFormat="false" ht="15" hidden="false" customHeight="false" outlineLevel="0" collapsed="false">
      <c r="A207" s="5" t="s">
        <v>458</v>
      </c>
      <c r="B207" s="0" t="s">
        <v>176</v>
      </c>
      <c r="C207" s="16" t="n">
        <f aca="false">a25_gp</f>
        <v>938.6</v>
      </c>
      <c r="D207" s="16" t="n">
        <f aca="false">a26_gp</f>
        <v>1325.7873147</v>
      </c>
      <c r="E207" s="16" t="n">
        <f aca="false">E205+E206</f>
        <v>1713.35337074872</v>
      </c>
      <c r="F207" s="16" t="n">
        <f aca="false">F205+F206</f>
        <v>2076.21665009607</v>
      </c>
      <c r="G207" s="16" t="n">
        <f aca="false">G205+G206</f>
        <v>2523.80151181966</v>
      </c>
    </row>
    <row r="208" customFormat="false" ht="15" hidden="false" customHeight="false" outlineLevel="0" collapsed="false">
      <c r="A208" s="5" t="s">
        <v>461</v>
      </c>
      <c r="B208" s="0" t="s">
        <v>77</v>
      </c>
      <c r="C208" s="17" t="n">
        <f aca="false">C207/C195</f>
        <v>0.139922480620155</v>
      </c>
      <c r="D208" s="17" t="n">
        <f aca="false">D207/D195</f>
        <v>0.172618149615152</v>
      </c>
      <c r="E208" s="17" t="n">
        <f aca="false">E207/E195</f>
        <v>0.188002726527881</v>
      </c>
      <c r="F208" s="17" t="n">
        <f aca="false">F207/F195</f>
        <v>0.201201902669048</v>
      </c>
      <c r="G208" s="17" t="n">
        <f aca="false">G207/G195</f>
        <v>0.214968811269444</v>
      </c>
    </row>
    <row r="209" customFormat="false" ht="17.15" hidden="false" customHeight="false" outlineLevel="0" collapsed="false">
      <c r="A209" s="5" t="s">
        <v>583</v>
      </c>
      <c r="B209" s="0" t="s">
        <v>584</v>
      </c>
      <c r="E209" s="17" t="n">
        <f aca="false">E206/E195</f>
        <v>-0.0131673521460941</v>
      </c>
      <c r="F209" s="17" t="n">
        <f aca="false">F206/F195</f>
        <v>-0.0108819554000621</v>
      </c>
      <c r="G209" s="17" t="n">
        <f aca="false">G206/G195</f>
        <v>-0.00124215863106938</v>
      </c>
      <c r="K209" s="5" t="s">
        <v>585</v>
      </c>
    </row>
    <row r="210" customFormat="false" ht="17.15" hidden="false" customHeight="false" outlineLevel="0" collapsed="false">
      <c r="A210" s="5" t="s">
        <v>463</v>
      </c>
      <c r="B210" s="0" t="s">
        <v>176</v>
      </c>
      <c r="C210" s="16" t="n">
        <f aca="false">a25_opx</f>
        <v>471.2</v>
      </c>
      <c r="D210" s="16" t="n">
        <f aca="false">a26_opx</f>
        <v>537.5</v>
      </c>
      <c r="E210" s="16" t="n">
        <f aca="false">(D210+opx_gain)*(1+phi*E196)</f>
        <v>610.601220755254</v>
      </c>
      <c r="F210" s="16" t="n">
        <f aca="false">E210*(1+phi*F196)</f>
        <v>650.989533068313</v>
      </c>
      <c r="G210" s="16" t="n">
        <f aca="false">F210*(1+phi*G196)</f>
        <v>695.819880546763</v>
      </c>
      <c r="K210" s="8" t="s">
        <v>586</v>
      </c>
    </row>
    <row r="211" customFormat="false" ht="15" hidden="false" customHeight="false" outlineLevel="0" collapsed="false">
      <c r="A211" s="5" t="s">
        <v>466</v>
      </c>
      <c r="B211" s="0" t="s">
        <v>176</v>
      </c>
      <c r="C211" s="16" t="n">
        <f aca="false">C207-C210</f>
        <v>467.4</v>
      </c>
      <c r="D211" s="16" t="n">
        <f aca="false">D207-D210</f>
        <v>788.2873147</v>
      </c>
      <c r="E211" s="16" t="n">
        <f aca="false">E207-E210</f>
        <v>1102.75214999346</v>
      </c>
      <c r="F211" s="16" t="n">
        <f aca="false">F207-F210</f>
        <v>1425.22711702776</v>
      </c>
      <c r="G211" s="16" t="n">
        <f aca="false">G207-G210</f>
        <v>1827.98163127289</v>
      </c>
    </row>
    <row r="212" customFormat="false" ht="15" hidden="false" customHeight="false" outlineLevel="0" collapsed="false">
      <c r="A212" s="5" t="s">
        <v>540</v>
      </c>
      <c r="B212" s="0" t="s">
        <v>77</v>
      </c>
      <c r="C212" s="17" t="n">
        <f aca="false">C211/C195</f>
        <v>0.0696779964221825</v>
      </c>
      <c r="D212" s="17" t="n">
        <f aca="false">D211/D195</f>
        <v>0.102635389643475</v>
      </c>
      <c r="E212" s="17" t="n">
        <f aca="false">E211/E195</f>
        <v>0.121002715740219</v>
      </c>
      <c r="F212" s="17" t="n">
        <f aca="false">F211/F195</f>
        <v>0.138115840496818</v>
      </c>
      <c r="G212" s="17" t="n">
        <f aca="false">G211/G195</f>
        <v>0.155701245306645</v>
      </c>
    </row>
    <row r="213" customFormat="false" ht="15" hidden="false" customHeight="false" outlineLevel="0" collapsed="false">
      <c r="A213" s="5" t="s">
        <v>587</v>
      </c>
      <c r="B213" s="0" t="s">
        <v>176</v>
      </c>
      <c r="C213" s="16" t="n">
        <f aca="false">a25_nonop</f>
        <v>-22.7</v>
      </c>
      <c r="D213" s="16" t="n">
        <f aca="false">a26_nonop</f>
        <v>-0.700000000000003</v>
      </c>
      <c r="E213" s="16" t="n">
        <f aca="false">nonop27</f>
        <v>-20</v>
      </c>
      <c r="F213" s="16" t="n">
        <f aca="false">nonop28</f>
        <v>-40</v>
      </c>
      <c r="G213" s="16" t="n">
        <f aca="false">nonop29</f>
        <v>-60</v>
      </c>
    </row>
    <row r="214" customFormat="false" ht="15" hidden="false" customHeight="false" outlineLevel="0" collapsed="false">
      <c r="A214" s="5" t="s">
        <v>471</v>
      </c>
      <c r="B214" s="0" t="s">
        <v>176</v>
      </c>
      <c r="C214" s="16" t="n">
        <f aca="false">C211+C213</f>
        <v>444.7</v>
      </c>
      <c r="D214" s="16" t="n">
        <f aca="false">D211+D213</f>
        <v>787.5873147</v>
      </c>
      <c r="E214" s="16" t="n">
        <f aca="false">E211+E213</f>
        <v>1082.75214999346</v>
      </c>
      <c r="F214" s="16" t="n">
        <f aca="false">F211+F213</f>
        <v>1385.22711702776</v>
      </c>
      <c r="G214" s="16" t="n">
        <f aca="false">G211+G213</f>
        <v>1767.98163127289</v>
      </c>
    </row>
    <row r="215" customFormat="false" ht="15" hidden="false" customHeight="false" outlineLevel="0" collapsed="false">
      <c r="A215" s="5" t="s">
        <v>472</v>
      </c>
      <c r="B215" s="0" t="s">
        <v>176</v>
      </c>
      <c r="C215" s="16" t="n">
        <f aca="false">a25_tax</f>
        <v>68.5</v>
      </c>
      <c r="D215" s="16" t="n">
        <f aca="false">a26_tax</f>
        <v>138.23746294</v>
      </c>
      <c r="E215" s="16" t="n">
        <f aca="false">E214*tax</f>
        <v>216.550429998693</v>
      </c>
      <c r="F215" s="16" t="n">
        <f aca="false">F214*tax</f>
        <v>277.045423405552</v>
      </c>
      <c r="G215" s="16" t="n">
        <f aca="false">G214*tax</f>
        <v>353.596326254578</v>
      </c>
    </row>
    <row r="216" customFormat="false" ht="15" hidden="false" customHeight="false" outlineLevel="0" collapsed="false">
      <c r="A216" s="5" t="s">
        <v>474</v>
      </c>
      <c r="B216" s="0" t="s">
        <v>176</v>
      </c>
      <c r="C216" s="16" t="n">
        <f aca="false">a25_nci</f>
        <v>2.30000000000007</v>
      </c>
      <c r="D216" s="16" t="n">
        <f aca="false">a26_nci</f>
        <v>3.7</v>
      </c>
      <c r="E216" s="16" t="n">
        <f aca="false">nci</f>
        <v>3</v>
      </c>
      <c r="F216" s="16" t="n">
        <f aca="false">nci</f>
        <v>3</v>
      </c>
      <c r="G216" s="16" t="n">
        <f aca="false">nci</f>
        <v>3</v>
      </c>
    </row>
    <row r="217" customFormat="false" ht="15" hidden="false" customHeight="false" outlineLevel="0" collapsed="false">
      <c r="A217" s="5" t="s">
        <v>476</v>
      </c>
      <c r="B217" s="0" t="s">
        <v>176</v>
      </c>
      <c r="C217" s="16" t="n">
        <f aca="false">C214-C215-C216</f>
        <v>373.9</v>
      </c>
      <c r="D217" s="16" t="n">
        <f aca="false">D214-D215-D216</f>
        <v>645.64985176</v>
      </c>
      <c r="E217" s="16" t="n">
        <f aca="false">E214-E215-E216</f>
        <v>863.201719994771</v>
      </c>
      <c r="F217" s="16" t="n">
        <f aca="false">F214-F215-F216</f>
        <v>1105.18169362221</v>
      </c>
      <c r="G217" s="16" t="n">
        <f aca="false">G214-G215-G216</f>
        <v>1411.38530501831</v>
      </c>
      <c r="H217" s="29" t="n">
        <f aca="false">H195*H221</f>
        <v>1527.68880070835</v>
      </c>
      <c r="I217" s="29" t="n">
        <f aca="false">I195*I221</f>
        <v>1613.84823420725</v>
      </c>
      <c r="J217" s="29" t="n">
        <f aca="false">J195*J221</f>
        <v>1662.88983567938</v>
      </c>
    </row>
    <row r="218" customFormat="false" ht="15" hidden="false" customHeight="false" outlineLevel="0" collapsed="false">
      <c r="A218" s="5" t="s">
        <v>588</v>
      </c>
      <c r="B218" s="5" t="s">
        <v>310</v>
      </c>
      <c r="C218" s="21" t="n">
        <f aca="false">a25_sh</f>
        <v>248.5</v>
      </c>
      <c r="D218" s="21" t="n">
        <f aca="false">a26_sh</f>
        <v>249.915</v>
      </c>
      <c r="E218" s="21" t="n">
        <f aca="false">D218*(1+sh_g)</f>
        <v>249.915</v>
      </c>
      <c r="F218" s="21" t="n">
        <f aca="false">E218*(1+sh_g)</f>
        <v>249.915</v>
      </c>
      <c r="G218" s="21" t="n">
        <f aca="false">F218*(1+sh_g)</f>
        <v>249.915</v>
      </c>
      <c r="H218" s="30" t="n">
        <f aca="false">G218*(1+sh_g)</f>
        <v>249.915</v>
      </c>
      <c r="I218" s="30" t="n">
        <f aca="false">H218*(1+sh_g)</f>
        <v>249.915</v>
      </c>
      <c r="J218" s="30" t="n">
        <f aca="false">I218*(1+sh_g)</f>
        <v>249.915</v>
      </c>
    </row>
    <row r="219" customFormat="false" ht="17.15" hidden="false" customHeight="false" outlineLevel="0" collapsed="false">
      <c r="A219" s="0" t="s">
        <v>480</v>
      </c>
      <c r="B219" s="0" t="s">
        <v>331</v>
      </c>
      <c r="C219" s="18" t="n">
        <f aca="false">C217/C218</f>
        <v>1.5046277665996</v>
      </c>
      <c r="D219" s="18" t="n">
        <f aca="false">D217/D218</f>
        <v>2.58347778948843</v>
      </c>
      <c r="E219" s="18" t="n">
        <f aca="false">E217/E218</f>
        <v>3.45398123359851</v>
      </c>
      <c r="F219" s="18" t="n">
        <f aca="false">F217/F218</f>
        <v>4.42223033280198</v>
      </c>
      <c r="G219" s="18" t="n">
        <f aca="false">G217/G218</f>
        <v>5.64746135693461</v>
      </c>
      <c r="H219" s="27" t="n">
        <f aca="false">H217/H218</f>
        <v>6.11283356624594</v>
      </c>
      <c r="I219" s="27" t="n">
        <f aca="false">I217/I218</f>
        <v>6.45758851692476</v>
      </c>
      <c r="J219" s="27" t="n">
        <f aca="false">J217/J218</f>
        <v>6.65382164207583</v>
      </c>
    </row>
    <row r="220" customFormat="false" ht="17.15" hidden="false" customHeight="false" outlineLevel="0" collapsed="false">
      <c r="A220" s="0" t="s">
        <v>589</v>
      </c>
      <c r="B220" s="0" t="s">
        <v>77</v>
      </c>
      <c r="D220" s="20" t="n">
        <f aca="false">D219/C219-1</f>
        <v>0.717021210719106</v>
      </c>
      <c r="E220" s="20" t="n">
        <f aca="false">E219/D219-1</f>
        <v>0.336950233383836</v>
      </c>
      <c r="F220" s="20" t="n">
        <f aca="false">F219/E219-1</f>
        <v>0.280328419212258</v>
      </c>
      <c r="G220" s="20" t="n">
        <f aca="false">G219/F219-1</f>
        <v>0.27706178374393</v>
      </c>
      <c r="H220" s="25" t="n">
        <f aca="false">H219/G219-1</f>
        <v>0.0824037881622493</v>
      </c>
      <c r="I220" s="25" t="n">
        <f aca="false">I219/H219-1</f>
        <v>0.0563985501883273</v>
      </c>
      <c r="J220" s="25" t="n">
        <f aca="false">J219/I219-1</f>
        <v>0.0303879884320226</v>
      </c>
    </row>
    <row r="221" customFormat="false" ht="17.15" hidden="false" customHeight="false" outlineLevel="0" collapsed="false">
      <c r="A221" s="5" t="s">
        <v>590</v>
      </c>
      <c r="B221" s="0" t="s">
        <v>77</v>
      </c>
      <c r="C221" s="17" t="n">
        <f aca="false">C217/C195</f>
        <v>0.0557394156231365</v>
      </c>
      <c r="D221" s="17" t="n">
        <f aca="false">D217/D195</f>
        <v>0.0840639229794768</v>
      </c>
      <c r="E221" s="17" t="n">
        <f aca="false">E217/E195</f>
        <v>0.0947173418357105</v>
      </c>
      <c r="F221" s="17" t="n">
        <f aca="false">F217/F195</f>
        <v>0.107100894090941</v>
      </c>
      <c r="G221" s="17" t="n">
        <f aca="false">G217/G195</f>
        <v>0.120216990061233</v>
      </c>
      <c r="H221" s="26" t="n">
        <f aca="false">$G221+(fade_mA-$G221)*1/3</f>
        <v>0.117036333796917</v>
      </c>
      <c r="I221" s="26" t="n">
        <f aca="false">$G221+(fade_mA-$G221)*2/3</f>
        <v>0.1138556775326</v>
      </c>
      <c r="J221" s="26" t="n">
        <f aca="false">$G221+(fade_mA-$G221)*3/3</f>
        <v>0.110675021268284</v>
      </c>
    </row>
    <row r="224" customFormat="false" ht="17.15" hidden="false" customHeight="false" outlineLevel="0" collapsed="false">
      <c r="A224" s="3" t="s">
        <v>923</v>
      </c>
    </row>
    <row r="225" customFormat="false" ht="17.15" hidden="false" customHeight="false" outlineLevel="0" collapsed="false">
      <c r="A225" s="6" t="s">
        <v>22</v>
      </c>
      <c r="B225" s="6" t="s">
        <v>23</v>
      </c>
      <c r="C225" s="14" t="s">
        <v>437</v>
      </c>
      <c r="D225" s="14" t="s">
        <v>527</v>
      </c>
      <c r="E225" s="14" t="s">
        <v>528</v>
      </c>
      <c r="F225" s="14" t="s">
        <v>529</v>
      </c>
      <c r="G225" s="14" t="s">
        <v>530</v>
      </c>
      <c r="H225" s="14" t="s">
        <v>531</v>
      </c>
      <c r="I225" s="14" t="s">
        <v>532</v>
      </c>
      <c r="J225" s="14" t="s">
        <v>533</v>
      </c>
      <c r="K225" s="6" t="s">
        <v>503</v>
      </c>
    </row>
    <row r="226" customFormat="false" ht="17.15" hidden="false" customHeight="false" outlineLevel="0" collapsed="false">
      <c r="A226" s="1" t="s">
        <v>551</v>
      </c>
    </row>
    <row r="227" customFormat="false" ht="17.15" hidden="false" customHeight="false" outlineLevel="0" collapsed="false">
      <c r="A227" s="0" t="s">
        <v>552</v>
      </c>
      <c r="B227" s="5" t="s">
        <v>33</v>
      </c>
      <c r="D227" s="18" t="n">
        <f aca="false">units_26</f>
        <v>15.2</v>
      </c>
      <c r="E227" s="18" t="n">
        <f aca="false">units_27*1</f>
        <v>23.7</v>
      </c>
      <c r="F227" s="18" t="n">
        <f aca="false">units_28*um28_A*1</f>
        <v>26.5</v>
      </c>
      <c r="G227" s="18" t="n">
        <f aca="false">units_29*um29_A*1</f>
        <v>30.15</v>
      </c>
    </row>
    <row r="228" customFormat="false" ht="17.15" hidden="false" customHeight="false" outlineLevel="0" collapsed="false">
      <c r="A228" s="5" t="s">
        <v>506</v>
      </c>
      <c r="B228" s="0" t="s">
        <v>46</v>
      </c>
      <c r="D228" s="22" t="n">
        <f aca="false">ar_26</f>
        <v>1</v>
      </c>
      <c r="E228" s="22" t="n">
        <f aca="false">ar_27</f>
        <v>1.278156</v>
      </c>
      <c r="F228" s="22" t="n">
        <f aca="false">ar_28</f>
        <v>1.428615</v>
      </c>
      <c r="G228" s="22" t="n">
        <f aca="false">ar_29</f>
        <v>1.431796</v>
      </c>
    </row>
    <row r="229" customFormat="false" ht="17.15" hidden="false" customHeight="false" outlineLevel="0" collapsed="false">
      <c r="A229" s="5" t="s">
        <v>508</v>
      </c>
      <c r="B229" s="0" t="s">
        <v>77</v>
      </c>
      <c r="D229" s="20" t="n">
        <f aca="false">out_26</f>
        <v>0.5</v>
      </c>
      <c r="E229" s="20" t="n">
        <f aca="false">out_27</f>
        <v>0.55</v>
      </c>
      <c r="F229" s="20" t="n">
        <f aca="false">out_28</f>
        <v>0.6</v>
      </c>
      <c r="G229" s="20" t="n">
        <f aca="false">out_29</f>
        <v>0.6</v>
      </c>
      <c r="K229" s="8" t="s">
        <v>553</v>
      </c>
    </row>
    <row r="230" customFormat="false" ht="17.15" hidden="false" customHeight="false" outlineLevel="0" collapsed="false">
      <c r="A230" s="0" t="s">
        <v>509</v>
      </c>
      <c r="B230" s="0" t="s">
        <v>77</v>
      </c>
      <c r="D230" s="20" t="n">
        <f aca="false">sh_26</f>
        <v>0.35</v>
      </c>
      <c r="E230" s="20" t="n">
        <f aca="false">sh_27_lo</f>
        <v>0.28</v>
      </c>
      <c r="F230" s="20" t="n">
        <f aca="false">sh_28_lo</f>
        <v>0.28</v>
      </c>
      <c r="G230" s="20" t="n">
        <f aca="false">sh_29_lo</f>
        <v>0.28</v>
      </c>
    </row>
    <row r="231" customFormat="false" ht="17.15" hidden="false" customHeight="false" outlineLevel="0" collapsed="false">
      <c r="A231" s="0" t="s">
        <v>554</v>
      </c>
      <c r="B231" s="0" t="s">
        <v>176</v>
      </c>
      <c r="C231" s="16" t="n">
        <f aca="false">(a26_comp-a25_comp*(1+g_pc26))/(tri-(1+g_pc26))</f>
        <v>287.089852216749</v>
      </c>
      <c r="D231" s="16" t="n">
        <f aca="false">C231*tri</f>
        <v>861.269556650246</v>
      </c>
      <c r="E231" s="16" t="n">
        <f aca="false">E227*E229*E230*E232</f>
        <v>1336.03691573371</v>
      </c>
      <c r="F231" s="16" t="n">
        <f aca="false">F227*F229*F230*F232</f>
        <v>1722.94025632928</v>
      </c>
      <c r="G231" s="16" t="n">
        <f aca="false">G227*G229*G230*G232</f>
        <v>1962.43206069242</v>
      </c>
      <c r="K231" s="8" t="s">
        <v>555</v>
      </c>
    </row>
    <row r="232" customFormat="false" ht="17.15" hidden="false" customHeight="false" outlineLevel="0" collapsed="false">
      <c r="A232" s="5" t="s">
        <v>556</v>
      </c>
      <c r="B232" s="0" t="s">
        <v>511</v>
      </c>
      <c r="D232" s="23" t="n">
        <f aca="false">D231/(D227*D229*D230)</f>
        <v>323.785547612874</v>
      </c>
      <c r="E232" s="23" t="n">
        <f aca="false">$D232*E228^el</f>
        <v>366.057569108912</v>
      </c>
      <c r="F232" s="23" t="n">
        <f aca="false">$D232*F228^el</f>
        <v>387.003651466596</v>
      </c>
      <c r="G232" s="23" t="n">
        <f aca="false">$D232*G228^el</f>
        <v>387.434269267239</v>
      </c>
      <c r="K232" s="8" t="s">
        <v>557</v>
      </c>
    </row>
    <row r="233" customFormat="false" ht="17.15" hidden="false" customHeight="false" outlineLevel="0" collapsed="false">
      <c r="A233" s="5" t="s">
        <v>515</v>
      </c>
      <c r="B233" s="0" t="s">
        <v>511</v>
      </c>
      <c r="D233" s="16" t="n">
        <f aca="false">D231/D227</f>
        <v>56.662470832253</v>
      </c>
      <c r="E233" s="16" t="n">
        <f aca="false">E231/E227</f>
        <v>56.3728656427725</v>
      </c>
      <c r="F233" s="16" t="n">
        <f aca="false">F231/F227</f>
        <v>65.016613446388</v>
      </c>
      <c r="G233" s="16" t="n">
        <f aca="false">G231/G227</f>
        <v>65.0889572368962</v>
      </c>
      <c r="K233" s="5" t="s">
        <v>558</v>
      </c>
    </row>
    <row r="234" customFormat="false" ht="17.15" hidden="false" customHeight="false" outlineLevel="0" collapsed="false">
      <c r="A234" s="1" t="s">
        <v>559</v>
      </c>
    </row>
    <row r="235" customFormat="false" ht="17.15" hidden="false" customHeight="false" outlineLevel="0" collapsed="false">
      <c r="A235" s="5" t="s">
        <v>560</v>
      </c>
      <c r="B235" s="0" t="s">
        <v>176</v>
      </c>
      <c r="C235" s="16" t="n">
        <f aca="false">a25_comp-C231</f>
        <v>1054.51014778325</v>
      </c>
      <c r="D235" s="16" t="n">
        <f aca="false">a26_comp-D231</f>
        <v>1022.87484334975</v>
      </c>
      <c r="E235" s="16" t="n">
        <f aca="false">D235*(1+g_pc)</f>
        <v>1053.56108865025</v>
      </c>
      <c r="F235" s="16" t="n">
        <f aca="false">E235*(1+g_pc)</f>
        <v>1085.16792130975</v>
      </c>
      <c r="G235" s="16" t="n">
        <f aca="false">F235*(1+g_pc)</f>
        <v>1117.72295894905</v>
      </c>
    </row>
    <row r="236" customFormat="false" ht="15" hidden="false" customHeight="false" outlineLevel="0" collapsed="false">
      <c r="A236" s="5" t="s">
        <v>561</v>
      </c>
      <c r="B236" s="0" t="s">
        <v>176</v>
      </c>
      <c r="C236" s="16" t="n">
        <f aca="false">C231+C235</f>
        <v>1341.6</v>
      </c>
      <c r="D236" s="16" t="n">
        <f aca="false">D231+D235</f>
        <v>1884.1444</v>
      </c>
      <c r="E236" s="16" t="n">
        <f aca="false">E231+E235</f>
        <v>2389.59800438395</v>
      </c>
      <c r="F236" s="16" t="n">
        <f aca="false">F231+F235</f>
        <v>2808.10817763904</v>
      </c>
      <c r="G236" s="16" t="n">
        <f aca="false">G231+G235</f>
        <v>3080.15501964147</v>
      </c>
    </row>
    <row r="237" customFormat="false" ht="17.15" hidden="false" customHeight="false" outlineLevel="0" collapsed="false">
      <c r="A237" s="5" t="s">
        <v>562</v>
      </c>
      <c r="B237" s="0" t="s">
        <v>176</v>
      </c>
      <c r="C237" s="16" t="n">
        <f aca="false">a25_cm</f>
        <v>3085.68</v>
      </c>
      <c r="D237" s="16" t="n">
        <f aca="false">a26_cm</f>
        <v>3041.87176</v>
      </c>
      <c r="E237" s="16" t="n">
        <f aca="false">D237*(1+g_cm27_A)</f>
        <v>3133.1279128</v>
      </c>
      <c r="F237" s="16" t="n">
        <f aca="false">E237*(1+g_cmL_A)</f>
        <v>3258.453029312</v>
      </c>
      <c r="G237" s="16" t="n">
        <f aca="false">F237*(1+g_cmL_A)</f>
        <v>3388.79115048448</v>
      </c>
    </row>
    <row r="238" customFormat="false" ht="15" hidden="false" customHeight="false" outlineLevel="0" collapsed="false">
      <c r="A238" s="5" t="s">
        <v>563</v>
      </c>
      <c r="B238" s="0" t="s">
        <v>176</v>
      </c>
      <c r="C238" s="16" t="n">
        <f aca="false">a25_au</f>
        <v>1274.52</v>
      </c>
      <c r="D238" s="16" t="n">
        <f aca="false">a26_au</f>
        <v>1656.99176</v>
      </c>
      <c r="E238" s="16" t="n">
        <f aca="false">D238*(1+g_au)</f>
        <v>1822.690936</v>
      </c>
      <c r="F238" s="16" t="n">
        <f aca="false">E238*(1+g_au)</f>
        <v>2004.9600296</v>
      </c>
      <c r="G238" s="16" t="n">
        <f aca="false">F238*(1+g_au)</f>
        <v>2205.45603256</v>
      </c>
    </row>
    <row r="239" customFormat="false" ht="15" hidden="false" customHeight="false" outlineLevel="0" collapsed="false">
      <c r="A239" s="5" t="s">
        <v>564</v>
      </c>
      <c r="B239" s="0" t="s">
        <v>176</v>
      </c>
      <c r="C239" s="16" t="n">
        <f aca="false">a25_cs</f>
        <v>1006.2</v>
      </c>
      <c r="D239" s="16" t="n">
        <f aca="false">a26_cs</f>
        <v>1097.4551</v>
      </c>
      <c r="E239" s="16" t="n">
        <f aca="false">D239*(1+g_cs)</f>
        <v>1130.378753</v>
      </c>
      <c r="F239" s="16" t="n">
        <f aca="false">E239*(1+g_cs)</f>
        <v>1164.29011559</v>
      </c>
      <c r="G239" s="16" t="n">
        <f aca="false">F239*(1+g_cs)</f>
        <v>1199.2188190577</v>
      </c>
    </row>
    <row r="240" customFormat="false" ht="17.15" hidden="false" customHeight="false" outlineLevel="0" collapsed="false">
      <c r="A240" s="5" t="s">
        <v>565</v>
      </c>
      <c r="B240" s="0" t="s">
        <v>176</v>
      </c>
      <c r="C240" s="16" t="n">
        <f aca="false">0</f>
        <v>0</v>
      </c>
      <c r="D240" s="16" t="n">
        <f aca="false">0</f>
        <v>0</v>
      </c>
      <c r="E240" s="16" t="n">
        <f aca="false">0</f>
        <v>0</v>
      </c>
      <c r="F240" s="16" t="n">
        <f aca="false">az_rev28_A</f>
        <v>150</v>
      </c>
      <c r="G240" s="16" t="n">
        <f aca="false">az_rev29_A</f>
        <v>500</v>
      </c>
      <c r="K240" s="5" t="s">
        <v>566</v>
      </c>
    </row>
    <row r="241" customFormat="false" ht="17.15" hidden="false" customHeight="false" outlineLevel="0" collapsed="false">
      <c r="A241" s="5" t="s">
        <v>444</v>
      </c>
      <c r="B241" s="0" t="s">
        <v>176</v>
      </c>
      <c r="C241" s="16" t="n">
        <f aca="false">C236+C237+C238+C239+C240</f>
        <v>6708</v>
      </c>
      <c r="D241" s="16" t="n">
        <f aca="false">D236+D237+D238+D239+D240</f>
        <v>7680.46302</v>
      </c>
      <c r="E241" s="16" t="n">
        <f aca="false">E236+E237+E238+E239+E240</f>
        <v>8475.79560618395</v>
      </c>
      <c r="F241" s="16" t="n">
        <f aca="false">F236+F237+F238+F239+F240</f>
        <v>9385.81135214104</v>
      </c>
      <c r="G241" s="16" t="n">
        <f aca="false">G236+G237+G238+G239+G240</f>
        <v>10373.6210217437</v>
      </c>
      <c r="H241" s="29" t="n">
        <f aca="false">G241*(1+H242)</f>
        <v>11308.9412377935</v>
      </c>
      <c r="I241" s="29" t="n">
        <f aca="false">H241*(1+I242)</f>
        <v>12158.0353756257</v>
      </c>
      <c r="J241" s="29" t="n">
        <f aca="false">I241*(1+J242)</f>
        <v>12887.5174981633</v>
      </c>
      <c r="K241" s="8" t="s">
        <v>567</v>
      </c>
    </row>
    <row r="242" customFormat="false" ht="15" hidden="false" customHeight="false" outlineLevel="0" collapsed="false">
      <c r="A242" s="5" t="s">
        <v>568</v>
      </c>
      <c r="B242" s="0" t="s">
        <v>77</v>
      </c>
      <c r="D242" s="20" t="n">
        <f aca="false">D241/C241-1</f>
        <v>0.144970635062612</v>
      </c>
      <c r="E242" s="20" t="n">
        <f aca="false">E241/D241-1</f>
        <v>0.10355268739826</v>
      </c>
      <c r="F242" s="20" t="n">
        <f aca="false">F241/E241-1</f>
        <v>0.107366409979629</v>
      </c>
      <c r="G242" s="20" t="n">
        <f aca="false">G241/F241-1</f>
        <v>0.105244995082634</v>
      </c>
      <c r="H242" s="25" t="n">
        <f aca="false">$G242+(fade_gA-$G242)*1/3</f>
        <v>0.0901633300550892</v>
      </c>
      <c r="I242" s="25" t="n">
        <f aca="false">$G242+(fade_gA-$G242)*2/3</f>
        <v>0.0750816650275446</v>
      </c>
      <c r="J242" s="25" t="n">
        <f aca="false">$G242+(fade_gA-$G242)*3/3</f>
        <v>0.06</v>
      </c>
    </row>
    <row r="243" customFormat="false" ht="17.15" hidden="false" customHeight="false" outlineLevel="0" collapsed="false">
      <c r="A243" s="0" t="s">
        <v>569</v>
      </c>
      <c r="B243" s="0" t="s">
        <v>77</v>
      </c>
      <c r="C243" s="20" t="n">
        <f aca="false">C231/C241</f>
        <v>0.042798129430046</v>
      </c>
      <c r="D243" s="20" t="n">
        <f aca="false">D231/D241</f>
        <v>0.112137712844589</v>
      </c>
      <c r="E243" s="20" t="n">
        <f aca="false">E231/E241</f>
        <v>0.157629676057659</v>
      </c>
      <c r="F243" s="20" t="n">
        <f aca="false">F231/F241</f>
        <v>0.183568600698144</v>
      </c>
      <c r="G243" s="20" t="n">
        <f aca="false">G231/G241</f>
        <v>0.189175222092562</v>
      </c>
    </row>
    <row r="244" customFormat="false" ht="17.15" hidden="false" customHeight="false" outlineLevel="0" collapsed="false">
      <c r="A244" s="5" t="s">
        <v>570</v>
      </c>
      <c r="B244" s="0" t="s">
        <v>77</v>
      </c>
      <c r="C244" s="20" t="n">
        <f aca="false">C237/C241</f>
        <v>0.46</v>
      </c>
      <c r="D244" s="20" t="n">
        <f aca="false">D237/D241</f>
        <v>0.396053174408748</v>
      </c>
      <c r="E244" s="20" t="n">
        <f aca="false">E237/E241</f>
        <v>0.369655907053028</v>
      </c>
      <c r="F244" s="20" t="n">
        <f aca="false">F237/F241</f>
        <v>0.347167965246681</v>
      </c>
      <c r="G244" s="20" t="n">
        <f aca="false">G237/G241</f>
        <v>0.326673891728009</v>
      </c>
    </row>
    <row r="245" customFormat="false" ht="17.15" hidden="false" customHeight="false" outlineLevel="0" collapsed="false">
      <c r="A245" s="1" t="s">
        <v>571</v>
      </c>
    </row>
    <row r="246" customFormat="false" ht="15" hidden="false" customHeight="false" outlineLevel="0" collapsed="false">
      <c r="A246" s="5" t="s">
        <v>572</v>
      </c>
      <c r="B246" s="0" t="s">
        <v>176</v>
      </c>
      <c r="C246" s="16" t="n">
        <f aca="false">C241-C240</f>
        <v>6708</v>
      </c>
      <c r="D246" s="16" t="n">
        <f aca="false">D241-D240</f>
        <v>7680.46302</v>
      </c>
      <c r="E246" s="16" t="n">
        <f aca="false">E241-E240</f>
        <v>8475.79560618395</v>
      </c>
      <c r="F246" s="16" t="n">
        <f aca="false">F241-F240</f>
        <v>9235.81135214104</v>
      </c>
      <c r="G246" s="16" t="n">
        <f aca="false">G241-G240</f>
        <v>9873.62102174365</v>
      </c>
    </row>
    <row r="247" customFormat="false" ht="17.15" hidden="false" customHeight="false" outlineLevel="0" collapsed="false">
      <c r="A247" s="5" t="s">
        <v>573</v>
      </c>
      <c r="B247" s="0" t="s">
        <v>176</v>
      </c>
      <c r="D247" s="16" t="n">
        <f aca="false">cap_m26</f>
        <v>1200</v>
      </c>
      <c r="E247" s="16" t="n">
        <f aca="false">capi*E246</f>
        <v>1186.61138486575</v>
      </c>
      <c r="F247" s="16" t="n">
        <f aca="false">capi*F246</f>
        <v>1293.01358929975</v>
      </c>
      <c r="G247" s="16" t="n">
        <f aca="false">capi*G246</f>
        <v>1382.30694304411</v>
      </c>
      <c r="K247" s="8" t="s">
        <v>574</v>
      </c>
    </row>
    <row r="248" customFormat="false" ht="17.15" hidden="false" customHeight="false" outlineLevel="0" collapsed="false">
      <c r="A248" s="5" t="s">
        <v>575</v>
      </c>
      <c r="B248" s="0" t="s">
        <v>176</v>
      </c>
      <c r="C248" s="16" t="n">
        <f aca="false">a25_da</f>
        <v>642</v>
      </c>
      <c r="D248" s="16" t="n">
        <f aca="false">a26_da</f>
        <v>740.6</v>
      </c>
      <c r="E248" s="16" t="n">
        <f aca="false">D248*(1-1/life)+D247/life</f>
        <v>806.228571428572</v>
      </c>
      <c r="F248" s="16" t="n">
        <f aca="false">E248*(1-1/life)+E247/life</f>
        <v>860.568973348169</v>
      </c>
      <c r="G248" s="16" t="n">
        <f aca="false">F248*(1-1/life)+F247/life</f>
        <v>922.346775626966</v>
      </c>
      <c r="K248" s="5" t="s">
        <v>576</v>
      </c>
    </row>
    <row r="249" customFormat="false" ht="15" hidden="false" customHeight="false" outlineLevel="0" collapsed="false">
      <c r="A249" s="5" t="s">
        <v>577</v>
      </c>
      <c r="B249" s="0" t="s">
        <v>176</v>
      </c>
      <c r="E249" s="16" t="n">
        <f aca="false">0</f>
        <v>0</v>
      </c>
      <c r="F249" s="16" t="n">
        <f aca="false">az_capex1*(1-az_inc)/az_life*az_svc28</f>
        <v>94.7916666666667</v>
      </c>
      <c r="G249" s="16" t="n">
        <f aca="false">az_capex1*(1-az_inc)/az_life</f>
        <v>189.583333333333</v>
      </c>
    </row>
    <row r="250" customFormat="false" ht="15" hidden="false" customHeight="false" outlineLevel="0" collapsed="false">
      <c r="A250" s="5" t="s">
        <v>578</v>
      </c>
      <c r="B250" s="0" t="s">
        <v>176</v>
      </c>
      <c r="C250" s="16" t="n">
        <f aca="false">C248</f>
        <v>642</v>
      </c>
      <c r="D250" s="16" t="n">
        <f aca="false">D248</f>
        <v>740.6</v>
      </c>
      <c r="E250" s="16" t="n">
        <f aca="false">E248+E249</f>
        <v>806.228571428572</v>
      </c>
      <c r="F250" s="16" t="n">
        <f aca="false">F248+F249</f>
        <v>955.360640014836</v>
      </c>
      <c r="G250" s="16" t="n">
        <f aca="false">G248+G249</f>
        <v>1111.9301089603</v>
      </c>
    </row>
    <row r="251" customFormat="false" ht="17.15" hidden="false" customHeight="false" outlineLevel="0" collapsed="false">
      <c r="A251" s="5" t="s">
        <v>579</v>
      </c>
      <c r="B251" s="0" t="s">
        <v>176</v>
      </c>
      <c r="C251" s="16" t="n">
        <f aca="false">a25_gp</f>
        <v>938.6</v>
      </c>
      <c r="D251" s="16" t="n">
        <f aca="false">a26_gp</f>
        <v>1325.7873147</v>
      </c>
      <c r="E251" s="16" t="n">
        <f aca="false">$D251+ft*(E246-$D246)-(E248-$D248)</f>
        <v>1578.29177774501</v>
      </c>
      <c r="F251" s="16" t="n">
        <f aca="false">$D251+ft*(F246-$D246)-(F248-$D248)</f>
        <v>1827.95767420825</v>
      </c>
      <c r="G251" s="16" t="n">
        <f aca="false">$D251+ft*(G246-$D246)-(G248-$D248)</f>
        <v>2021.30373977049</v>
      </c>
      <c r="K251" s="5" t="s">
        <v>580</v>
      </c>
    </row>
    <row r="252" customFormat="false" ht="17.15" hidden="false" customHeight="false" outlineLevel="0" collapsed="false">
      <c r="A252" s="5" t="s">
        <v>581</v>
      </c>
      <c r="B252" s="0" t="s">
        <v>176</v>
      </c>
      <c r="E252" s="16" t="n">
        <f aca="false">E240*az_cm-az_fix27</f>
        <v>-120</v>
      </c>
      <c r="F252" s="16" t="n">
        <f aca="false">F240*az_cm-az_fix28-F249</f>
        <v>-112.291666666667</v>
      </c>
      <c r="G252" s="16" t="n">
        <f aca="false">G240*az_cm-az_fix29-G249</f>
        <v>-14.5833333333333</v>
      </c>
      <c r="K252" s="8" t="s">
        <v>582</v>
      </c>
    </row>
    <row r="253" customFormat="false" ht="15" hidden="false" customHeight="false" outlineLevel="0" collapsed="false">
      <c r="A253" s="5" t="s">
        <v>458</v>
      </c>
      <c r="B253" s="0" t="s">
        <v>176</v>
      </c>
      <c r="C253" s="16" t="n">
        <f aca="false">a25_gp</f>
        <v>938.6</v>
      </c>
      <c r="D253" s="16" t="n">
        <f aca="false">a26_gp</f>
        <v>1325.7873147</v>
      </c>
      <c r="E253" s="16" t="n">
        <f aca="false">E251+E252</f>
        <v>1458.29177774501</v>
      </c>
      <c r="F253" s="16" t="n">
        <f aca="false">F251+F252</f>
        <v>1715.66600754158</v>
      </c>
      <c r="G253" s="16" t="n">
        <f aca="false">G251+G252</f>
        <v>2006.72040643716</v>
      </c>
    </row>
    <row r="254" customFormat="false" ht="15" hidden="false" customHeight="false" outlineLevel="0" collapsed="false">
      <c r="A254" s="5" t="s">
        <v>461</v>
      </c>
      <c r="B254" s="0" t="s">
        <v>77</v>
      </c>
      <c r="C254" s="17" t="n">
        <f aca="false">C253/C241</f>
        <v>0.139922480620155</v>
      </c>
      <c r="D254" s="17" t="n">
        <f aca="false">D253/D241</f>
        <v>0.172618149615152</v>
      </c>
      <c r="E254" s="17" t="n">
        <f aca="false">E253/E241</f>
        <v>0.172053674428043</v>
      </c>
      <c r="F254" s="17" t="n">
        <f aca="false">F253/F241</f>
        <v>0.182793574596</v>
      </c>
      <c r="G254" s="17" t="n">
        <f aca="false">G253/G241</f>
        <v>0.193444545759959</v>
      </c>
    </row>
    <row r="255" customFormat="false" ht="17.15" hidden="false" customHeight="false" outlineLevel="0" collapsed="false">
      <c r="A255" s="5" t="s">
        <v>583</v>
      </c>
      <c r="B255" s="0" t="s">
        <v>584</v>
      </c>
      <c r="E255" s="17" t="n">
        <f aca="false">E252/E241</f>
        <v>-0.014157962930636</v>
      </c>
      <c r="F255" s="17" t="n">
        <f aca="false">F252/F241</f>
        <v>-0.0119639807847887</v>
      </c>
      <c r="G255" s="17" t="n">
        <f aca="false">G252/G241</f>
        <v>-0.00140580934109371</v>
      </c>
      <c r="K255" s="5" t="s">
        <v>585</v>
      </c>
    </row>
    <row r="256" customFormat="false" ht="17.15" hidden="false" customHeight="false" outlineLevel="0" collapsed="false">
      <c r="A256" s="5" t="s">
        <v>463</v>
      </c>
      <c r="B256" s="0" t="s">
        <v>176</v>
      </c>
      <c r="C256" s="16" t="n">
        <f aca="false">a25_opx</f>
        <v>471.2</v>
      </c>
      <c r="D256" s="16" t="n">
        <f aca="false">a26_opx</f>
        <v>537.5</v>
      </c>
      <c r="E256" s="16" t="n">
        <f aca="false">(D256+opx_gain)*(1+phi*E242)</f>
        <v>587.417087955964</v>
      </c>
      <c r="F256" s="16" t="n">
        <f aca="false">E256*(1+phi*F242)</f>
        <v>618.951519903224</v>
      </c>
      <c r="G256" s="16" t="n">
        <f aca="false">F256*(1+phi*G242)</f>
        <v>651.522294737526</v>
      </c>
      <c r="K256" s="8" t="s">
        <v>586</v>
      </c>
    </row>
    <row r="257" customFormat="false" ht="15" hidden="false" customHeight="false" outlineLevel="0" collapsed="false">
      <c r="A257" s="5" t="s">
        <v>466</v>
      </c>
      <c r="B257" s="0" t="s">
        <v>176</v>
      </c>
      <c r="C257" s="16" t="n">
        <f aca="false">C253-C256</f>
        <v>467.4</v>
      </c>
      <c r="D257" s="16" t="n">
        <f aca="false">D253-D256</f>
        <v>788.2873147</v>
      </c>
      <c r="E257" s="16" t="n">
        <f aca="false">E253-E256</f>
        <v>870.874689789046</v>
      </c>
      <c r="F257" s="16" t="n">
        <f aca="false">F253-F256</f>
        <v>1096.71448763836</v>
      </c>
      <c r="G257" s="16" t="n">
        <f aca="false">G253-G256</f>
        <v>1355.19811169963</v>
      </c>
    </row>
    <row r="258" customFormat="false" ht="15" hidden="false" customHeight="false" outlineLevel="0" collapsed="false">
      <c r="A258" s="5" t="s">
        <v>540</v>
      </c>
      <c r="B258" s="0" t="s">
        <v>77</v>
      </c>
      <c r="C258" s="17" t="n">
        <f aca="false">C257/C241</f>
        <v>0.0696779964221825</v>
      </c>
      <c r="D258" s="17" t="n">
        <f aca="false">D257/D241</f>
        <v>0.102635389643475</v>
      </c>
      <c r="E258" s="17" t="n">
        <f aca="false">E257/E241</f>
        <v>0.102748429793854</v>
      </c>
      <c r="F258" s="17" t="n">
        <f aca="false">F257/F241</f>
        <v>0.11684812814698</v>
      </c>
      <c r="G258" s="17" t="n">
        <f aca="false">G257/G241</f>
        <v>0.130638868420108</v>
      </c>
    </row>
    <row r="259" customFormat="false" ht="15" hidden="false" customHeight="false" outlineLevel="0" collapsed="false">
      <c r="A259" s="5" t="s">
        <v>587</v>
      </c>
      <c r="B259" s="0" t="s">
        <v>176</v>
      </c>
      <c r="C259" s="16" t="n">
        <f aca="false">a25_nonop</f>
        <v>-22.7</v>
      </c>
      <c r="D259" s="16" t="n">
        <f aca="false">a26_nonop</f>
        <v>-0.700000000000003</v>
      </c>
      <c r="E259" s="16" t="n">
        <f aca="false">nonop27</f>
        <v>-20</v>
      </c>
      <c r="F259" s="16" t="n">
        <f aca="false">nonop28</f>
        <v>-40</v>
      </c>
      <c r="G259" s="16" t="n">
        <f aca="false">nonop29</f>
        <v>-60</v>
      </c>
    </row>
    <row r="260" customFormat="false" ht="15" hidden="false" customHeight="false" outlineLevel="0" collapsed="false">
      <c r="A260" s="5" t="s">
        <v>471</v>
      </c>
      <c r="B260" s="0" t="s">
        <v>176</v>
      </c>
      <c r="C260" s="16" t="n">
        <f aca="false">C257+C259</f>
        <v>444.7</v>
      </c>
      <c r="D260" s="16" t="n">
        <f aca="false">D257+D259</f>
        <v>787.5873147</v>
      </c>
      <c r="E260" s="16" t="n">
        <f aca="false">E257+E259</f>
        <v>850.874689789046</v>
      </c>
      <c r="F260" s="16" t="n">
        <f aca="false">F257+F259</f>
        <v>1056.71448763836</v>
      </c>
      <c r="G260" s="16" t="n">
        <f aca="false">G257+G259</f>
        <v>1295.19811169963</v>
      </c>
    </row>
    <row r="261" customFormat="false" ht="15" hidden="false" customHeight="false" outlineLevel="0" collapsed="false">
      <c r="A261" s="5" t="s">
        <v>472</v>
      </c>
      <c r="B261" s="0" t="s">
        <v>176</v>
      </c>
      <c r="C261" s="16" t="n">
        <f aca="false">a25_tax</f>
        <v>68.5</v>
      </c>
      <c r="D261" s="16" t="n">
        <f aca="false">a26_tax</f>
        <v>138.23746294</v>
      </c>
      <c r="E261" s="16" t="n">
        <f aca="false">E260*tax</f>
        <v>170.174937957809</v>
      </c>
      <c r="F261" s="16" t="n">
        <f aca="false">F260*tax</f>
        <v>211.342897527671</v>
      </c>
      <c r="G261" s="16" t="n">
        <f aca="false">G260*tax</f>
        <v>259.039622339927</v>
      </c>
    </row>
    <row r="262" customFormat="false" ht="15" hidden="false" customHeight="false" outlineLevel="0" collapsed="false">
      <c r="A262" s="5" t="s">
        <v>474</v>
      </c>
      <c r="B262" s="0" t="s">
        <v>176</v>
      </c>
      <c r="C262" s="16" t="n">
        <f aca="false">a25_nci</f>
        <v>2.30000000000007</v>
      </c>
      <c r="D262" s="16" t="n">
        <f aca="false">a26_nci</f>
        <v>3.7</v>
      </c>
      <c r="E262" s="16" t="n">
        <f aca="false">nci</f>
        <v>3</v>
      </c>
      <c r="F262" s="16" t="n">
        <f aca="false">nci</f>
        <v>3</v>
      </c>
      <c r="G262" s="16" t="n">
        <f aca="false">nci</f>
        <v>3</v>
      </c>
    </row>
    <row r="263" customFormat="false" ht="15" hidden="false" customHeight="false" outlineLevel="0" collapsed="false">
      <c r="A263" s="5" t="s">
        <v>476</v>
      </c>
      <c r="B263" s="0" t="s">
        <v>176</v>
      </c>
      <c r="C263" s="16" t="n">
        <f aca="false">C260-C261-C262</f>
        <v>373.9</v>
      </c>
      <c r="D263" s="16" t="n">
        <f aca="false">D260-D261-D262</f>
        <v>645.64985176</v>
      </c>
      <c r="E263" s="16" t="n">
        <f aca="false">E260-E261-E262</f>
        <v>677.699751831237</v>
      </c>
      <c r="F263" s="16" t="n">
        <f aca="false">F260-F261-F262</f>
        <v>842.371590110684</v>
      </c>
      <c r="G263" s="16" t="n">
        <f aca="false">G260-G261-G262</f>
        <v>1033.15848935971</v>
      </c>
      <c r="H263" s="29" t="n">
        <f aca="false">H241*H267</f>
        <v>1168.0801034949</v>
      </c>
      <c r="I263" s="29" t="n">
        <f aca="false">I241*I267</f>
        <v>1300.68616316439</v>
      </c>
      <c r="J263" s="29" t="n">
        <f aca="false">J241*J267</f>
        <v>1426.3262732046</v>
      </c>
    </row>
    <row r="264" customFormat="false" ht="15" hidden="false" customHeight="false" outlineLevel="0" collapsed="false">
      <c r="A264" s="5" t="s">
        <v>588</v>
      </c>
      <c r="B264" s="5" t="s">
        <v>310</v>
      </c>
      <c r="C264" s="21" t="n">
        <f aca="false">a25_sh</f>
        <v>248.5</v>
      </c>
      <c r="D264" s="21" t="n">
        <f aca="false">a26_sh</f>
        <v>249.915</v>
      </c>
      <c r="E264" s="21" t="n">
        <f aca="false">D264*(1+sh_g)</f>
        <v>249.915</v>
      </c>
      <c r="F264" s="21" t="n">
        <f aca="false">E264*(1+sh_g)</f>
        <v>249.915</v>
      </c>
      <c r="G264" s="21" t="n">
        <f aca="false">F264*(1+sh_g)</f>
        <v>249.915</v>
      </c>
      <c r="H264" s="30" t="n">
        <f aca="false">G264*(1+sh_g)</f>
        <v>249.915</v>
      </c>
      <c r="I264" s="30" t="n">
        <f aca="false">H264*(1+sh_g)</f>
        <v>249.915</v>
      </c>
      <c r="J264" s="30" t="n">
        <f aca="false">I264*(1+sh_g)</f>
        <v>249.915</v>
      </c>
    </row>
    <row r="265" customFormat="false" ht="17.15" hidden="false" customHeight="false" outlineLevel="0" collapsed="false">
      <c r="A265" s="0" t="s">
        <v>480</v>
      </c>
      <c r="B265" s="0" t="s">
        <v>331</v>
      </c>
      <c r="C265" s="18" t="n">
        <f aca="false">C263/C264</f>
        <v>1.5046277665996</v>
      </c>
      <c r="D265" s="18" t="n">
        <f aca="false">D263/D264</f>
        <v>2.58347778948843</v>
      </c>
      <c r="E265" s="18" t="n">
        <f aca="false">E263/E264</f>
        <v>2.71172099246239</v>
      </c>
      <c r="F265" s="18" t="n">
        <f aca="false">F263/F264</f>
        <v>3.37063237545039</v>
      </c>
      <c r="G265" s="18" t="n">
        <f aca="false">G263/G264</f>
        <v>4.13403953087933</v>
      </c>
      <c r="H265" s="27" t="n">
        <f aca="false">H263/H264</f>
        <v>4.6739095432243</v>
      </c>
      <c r="I265" s="27" t="n">
        <f aca="false">I263/I264</f>
        <v>5.20451418748129</v>
      </c>
      <c r="J265" s="27" t="n">
        <f aca="false">J263/J264</f>
        <v>5.70724555630756</v>
      </c>
    </row>
    <row r="266" customFormat="false" ht="17.15" hidden="false" customHeight="false" outlineLevel="0" collapsed="false">
      <c r="A266" s="0" t="s">
        <v>589</v>
      </c>
      <c r="B266" s="0" t="s">
        <v>77</v>
      </c>
      <c r="D266" s="20" t="n">
        <f aca="false">D265/C265-1</f>
        <v>0.717021210719106</v>
      </c>
      <c r="E266" s="20" t="n">
        <f aca="false">E265/D265-1</f>
        <v>0.0496397544022833</v>
      </c>
      <c r="F266" s="20" t="n">
        <f aca="false">F265/E265-1</f>
        <v>0.242986422577966</v>
      </c>
      <c r="G266" s="20" t="n">
        <f aca="false">G265/F265-1</f>
        <v>0.226487813084906</v>
      </c>
      <c r="H266" s="25" t="n">
        <f aca="false">H265/G265-1</f>
        <v>0.130591400568959</v>
      </c>
      <c r="I266" s="25" t="n">
        <f aca="false">I265/H265-1</f>
        <v>0.113524799602979</v>
      </c>
      <c r="J266" s="25" t="n">
        <f aca="false">J265/I265-1</f>
        <v>0.096595253796314</v>
      </c>
    </row>
    <row r="267" customFormat="false" ht="17.15" hidden="false" customHeight="false" outlineLevel="0" collapsed="false">
      <c r="A267" s="5" t="s">
        <v>590</v>
      </c>
      <c r="B267" s="0" t="s">
        <v>77</v>
      </c>
      <c r="C267" s="17" t="n">
        <f aca="false">C263/C241</f>
        <v>0.0557394156231365</v>
      </c>
      <c r="D267" s="17" t="n">
        <f aca="false">D263/D241</f>
        <v>0.0840639229794768</v>
      </c>
      <c r="E267" s="17" t="n">
        <f aca="false">E263/E241</f>
        <v>0.0799570663710656</v>
      </c>
      <c r="F267" s="17" t="n">
        <f aca="false">F263/F241</f>
        <v>0.0897494695457018</v>
      </c>
      <c r="G267" s="17" t="n">
        <f aca="false">G263/G241</f>
        <v>0.0995947786403758</v>
      </c>
      <c r="H267" s="26" t="n">
        <f aca="false">$G267+(fade_mA-$G267)*1/3</f>
        <v>0.103288192849679</v>
      </c>
      <c r="I267" s="26" t="n">
        <f aca="false">$G267+(fade_mA-$G267)*2/3</f>
        <v>0.106981607058981</v>
      </c>
      <c r="J267" s="26" t="n">
        <f aca="false">$G267+(fade_mA-$G267)*3/3</f>
        <v>0.110675021268284</v>
      </c>
    </row>
    <row r="270" customFormat="false" ht="17.15" hidden="false" customHeight="false" outlineLevel="0" collapsed="false">
      <c r="A270" s="3" t="s">
        <v>924</v>
      </c>
    </row>
    <row r="271" customFormat="false" ht="17.15" hidden="false" customHeight="false" outlineLevel="0" collapsed="false">
      <c r="A271" s="6" t="s">
        <v>22</v>
      </c>
      <c r="B271" s="6" t="s">
        <v>23</v>
      </c>
      <c r="C271" s="14" t="s">
        <v>437</v>
      </c>
      <c r="D271" s="14" t="s">
        <v>527</v>
      </c>
      <c r="E271" s="14" t="s">
        <v>528</v>
      </c>
      <c r="F271" s="14" t="s">
        <v>529</v>
      </c>
      <c r="G271" s="14" t="s">
        <v>530</v>
      </c>
      <c r="H271" s="14" t="s">
        <v>531</v>
      </c>
      <c r="I271" s="14" t="s">
        <v>532</v>
      </c>
      <c r="J271" s="14" t="s">
        <v>533</v>
      </c>
      <c r="K271" s="6" t="s">
        <v>503</v>
      </c>
    </row>
    <row r="272" customFormat="false" ht="17.15" hidden="false" customHeight="false" outlineLevel="0" collapsed="false">
      <c r="A272" s="1" t="s">
        <v>551</v>
      </c>
    </row>
    <row r="273" customFormat="false" ht="17.15" hidden="false" customHeight="false" outlineLevel="0" collapsed="false">
      <c r="A273" s="0" t="s">
        <v>552</v>
      </c>
      <c r="B273" s="5" t="s">
        <v>33</v>
      </c>
      <c r="D273" s="18" t="n">
        <f aca="false">units_26</f>
        <v>15.2</v>
      </c>
      <c r="E273" s="18" t="n">
        <f aca="false">units_27*1</f>
        <v>23.7</v>
      </c>
      <c r="F273" s="18" t="n">
        <f aca="false">units_28*um28_A*1</f>
        <v>26.5</v>
      </c>
      <c r="G273" s="18" t="n">
        <f aca="false">units_29*um29_A*1</f>
        <v>30.15</v>
      </c>
    </row>
    <row r="274" customFormat="false" ht="17.15" hidden="false" customHeight="false" outlineLevel="0" collapsed="false">
      <c r="A274" s="5" t="s">
        <v>506</v>
      </c>
      <c r="B274" s="0" t="s">
        <v>46</v>
      </c>
      <c r="D274" s="22" t="n">
        <f aca="false">ar_26</f>
        <v>1</v>
      </c>
      <c r="E274" s="22" t="n">
        <f aca="false">ar_27</f>
        <v>1.278156</v>
      </c>
      <c r="F274" s="22" t="n">
        <f aca="false">ar_28</f>
        <v>1.428615</v>
      </c>
      <c r="G274" s="22" t="n">
        <f aca="false">ar_29</f>
        <v>1.431796</v>
      </c>
    </row>
    <row r="275" customFormat="false" ht="17.15" hidden="false" customHeight="false" outlineLevel="0" collapsed="false">
      <c r="A275" s="5" t="s">
        <v>508</v>
      </c>
      <c r="B275" s="0" t="s">
        <v>77</v>
      </c>
      <c r="D275" s="20" t="n">
        <f aca="false">out_26</f>
        <v>0.5</v>
      </c>
      <c r="E275" s="20" t="n">
        <f aca="false">out_27</f>
        <v>0.55</v>
      </c>
      <c r="F275" s="20" t="n">
        <f aca="false">out_28</f>
        <v>0.6</v>
      </c>
      <c r="G275" s="20" t="n">
        <f aca="false">out_29</f>
        <v>0.6</v>
      </c>
      <c r="K275" s="8" t="s">
        <v>553</v>
      </c>
    </row>
    <row r="276" customFormat="false" ht="17.15" hidden="false" customHeight="false" outlineLevel="0" collapsed="false">
      <c r="A276" s="0" t="s">
        <v>509</v>
      </c>
      <c r="B276" s="0" t="s">
        <v>77</v>
      </c>
      <c r="D276" s="20" t="n">
        <f aca="false">sh_26</f>
        <v>0.35</v>
      </c>
      <c r="E276" s="20" t="n">
        <f aca="false">sh_27_hi</f>
        <v>0.4</v>
      </c>
      <c r="F276" s="20" t="n">
        <f aca="false">sh_28_hi</f>
        <v>0.45</v>
      </c>
      <c r="G276" s="20" t="n">
        <f aca="false">sh_29_hi</f>
        <v>0.45</v>
      </c>
    </row>
    <row r="277" customFormat="false" ht="17.15" hidden="false" customHeight="false" outlineLevel="0" collapsed="false">
      <c r="A277" s="0" t="s">
        <v>554</v>
      </c>
      <c r="B277" s="0" t="s">
        <v>176</v>
      </c>
      <c r="C277" s="16" t="n">
        <f aca="false">(a26_comp-a25_comp*(1+g_pc26))/(tri-(1+g_pc26))</f>
        <v>287.089852216749</v>
      </c>
      <c r="D277" s="16" t="n">
        <f aca="false">C277*tri</f>
        <v>861.269556650246</v>
      </c>
      <c r="E277" s="16" t="n">
        <f aca="false">E273*E275*E276*E278</f>
        <v>1908.62416533387</v>
      </c>
      <c r="F277" s="16" t="n">
        <f aca="false">F273*F275*F276*F278</f>
        <v>2769.01112624349</v>
      </c>
      <c r="G277" s="16" t="n">
        <f aca="false">G273*G275*G276*G278</f>
        <v>3153.90866896996</v>
      </c>
      <c r="K277" s="8" t="s">
        <v>555</v>
      </c>
    </row>
    <row r="278" customFormat="false" ht="17.15" hidden="false" customHeight="false" outlineLevel="0" collapsed="false">
      <c r="A278" s="5" t="s">
        <v>556</v>
      </c>
      <c r="B278" s="0" t="s">
        <v>511</v>
      </c>
      <c r="D278" s="23" t="n">
        <f aca="false">D277/(D273*D275*D276)</f>
        <v>323.785547612874</v>
      </c>
      <c r="E278" s="23" t="n">
        <f aca="false">$D278*E274^el</f>
        <v>366.057569108912</v>
      </c>
      <c r="F278" s="23" t="n">
        <f aca="false">$D278*F274^el</f>
        <v>387.003651466596</v>
      </c>
      <c r="G278" s="23" t="n">
        <f aca="false">$D278*G274^el</f>
        <v>387.434269267239</v>
      </c>
      <c r="K278" s="8" t="s">
        <v>557</v>
      </c>
    </row>
    <row r="279" customFormat="false" ht="17.15" hidden="false" customHeight="false" outlineLevel="0" collapsed="false">
      <c r="A279" s="5" t="s">
        <v>515</v>
      </c>
      <c r="B279" s="0" t="s">
        <v>511</v>
      </c>
      <c r="D279" s="16" t="n">
        <f aca="false">D277/D273</f>
        <v>56.662470832253</v>
      </c>
      <c r="E279" s="16" t="n">
        <f aca="false">E277/E273</f>
        <v>80.5326652039607</v>
      </c>
      <c r="F279" s="16" t="n">
        <f aca="false">F277/F273</f>
        <v>104.490985895981</v>
      </c>
      <c r="G279" s="16" t="n">
        <f aca="false">G277/G273</f>
        <v>104.607252702155</v>
      </c>
      <c r="K279" s="5" t="s">
        <v>558</v>
      </c>
    </row>
    <row r="280" customFormat="false" ht="17.15" hidden="false" customHeight="false" outlineLevel="0" collapsed="false">
      <c r="A280" s="1" t="s">
        <v>559</v>
      </c>
    </row>
    <row r="281" customFormat="false" ht="17.15" hidden="false" customHeight="false" outlineLevel="0" collapsed="false">
      <c r="A281" s="5" t="s">
        <v>560</v>
      </c>
      <c r="B281" s="0" t="s">
        <v>176</v>
      </c>
      <c r="C281" s="16" t="n">
        <f aca="false">a25_comp-C277</f>
        <v>1054.51014778325</v>
      </c>
      <c r="D281" s="16" t="n">
        <f aca="false">a26_comp-D277</f>
        <v>1022.87484334975</v>
      </c>
      <c r="E281" s="16" t="n">
        <f aca="false">D281*(1+g_pc)</f>
        <v>1053.56108865025</v>
      </c>
      <c r="F281" s="16" t="n">
        <f aca="false">E281*(1+g_pc)</f>
        <v>1085.16792130975</v>
      </c>
      <c r="G281" s="16" t="n">
        <f aca="false">F281*(1+g_pc)</f>
        <v>1117.72295894905</v>
      </c>
    </row>
    <row r="282" customFormat="false" ht="15" hidden="false" customHeight="false" outlineLevel="0" collapsed="false">
      <c r="A282" s="5" t="s">
        <v>561</v>
      </c>
      <c r="B282" s="0" t="s">
        <v>176</v>
      </c>
      <c r="C282" s="16" t="n">
        <f aca="false">C277+C281</f>
        <v>1341.6</v>
      </c>
      <c r="D282" s="16" t="n">
        <f aca="false">D277+D281</f>
        <v>1884.1444</v>
      </c>
      <c r="E282" s="16" t="n">
        <f aca="false">E277+E281</f>
        <v>2962.18525398411</v>
      </c>
      <c r="F282" s="16" t="n">
        <f aca="false">F277+F281</f>
        <v>3854.17904755325</v>
      </c>
      <c r="G282" s="16" t="n">
        <f aca="false">G277+G281</f>
        <v>4271.63162791901</v>
      </c>
    </row>
    <row r="283" customFormat="false" ht="17.15" hidden="false" customHeight="false" outlineLevel="0" collapsed="false">
      <c r="A283" s="5" t="s">
        <v>562</v>
      </c>
      <c r="B283" s="0" t="s">
        <v>176</v>
      </c>
      <c r="C283" s="16" t="n">
        <f aca="false">a25_cm</f>
        <v>3085.68</v>
      </c>
      <c r="D283" s="16" t="n">
        <f aca="false">a26_cm</f>
        <v>3041.87176</v>
      </c>
      <c r="E283" s="16" t="n">
        <f aca="false">D283*(1+g_cm27_A)</f>
        <v>3133.1279128</v>
      </c>
      <c r="F283" s="16" t="n">
        <f aca="false">E283*(1+g_cmL_A)</f>
        <v>3258.453029312</v>
      </c>
      <c r="G283" s="16" t="n">
        <f aca="false">F283*(1+g_cmL_A)</f>
        <v>3388.79115048448</v>
      </c>
    </row>
    <row r="284" customFormat="false" ht="15" hidden="false" customHeight="false" outlineLevel="0" collapsed="false">
      <c r="A284" s="5" t="s">
        <v>563</v>
      </c>
      <c r="B284" s="0" t="s">
        <v>176</v>
      </c>
      <c r="C284" s="16" t="n">
        <f aca="false">a25_au</f>
        <v>1274.52</v>
      </c>
      <c r="D284" s="16" t="n">
        <f aca="false">a26_au</f>
        <v>1656.99176</v>
      </c>
      <c r="E284" s="16" t="n">
        <f aca="false">D284*(1+g_au)</f>
        <v>1822.690936</v>
      </c>
      <c r="F284" s="16" t="n">
        <f aca="false">E284*(1+g_au)</f>
        <v>2004.9600296</v>
      </c>
      <c r="G284" s="16" t="n">
        <f aca="false">F284*(1+g_au)</f>
        <v>2205.45603256</v>
      </c>
    </row>
    <row r="285" customFormat="false" ht="15" hidden="false" customHeight="false" outlineLevel="0" collapsed="false">
      <c r="A285" s="5" t="s">
        <v>564</v>
      </c>
      <c r="B285" s="0" t="s">
        <v>176</v>
      </c>
      <c r="C285" s="16" t="n">
        <f aca="false">a25_cs</f>
        <v>1006.2</v>
      </c>
      <c r="D285" s="16" t="n">
        <f aca="false">a26_cs</f>
        <v>1097.4551</v>
      </c>
      <c r="E285" s="16" t="n">
        <f aca="false">D285*(1+g_cs)</f>
        <v>1130.378753</v>
      </c>
      <c r="F285" s="16" t="n">
        <f aca="false">E285*(1+g_cs)</f>
        <v>1164.29011559</v>
      </c>
      <c r="G285" s="16" t="n">
        <f aca="false">F285*(1+g_cs)</f>
        <v>1199.2188190577</v>
      </c>
    </row>
    <row r="286" customFormat="false" ht="17.15" hidden="false" customHeight="false" outlineLevel="0" collapsed="false">
      <c r="A286" s="5" t="s">
        <v>565</v>
      </c>
      <c r="B286" s="0" t="s">
        <v>176</v>
      </c>
      <c r="C286" s="16" t="n">
        <f aca="false">0</f>
        <v>0</v>
      </c>
      <c r="D286" s="16" t="n">
        <f aca="false">0</f>
        <v>0</v>
      </c>
      <c r="E286" s="16" t="n">
        <f aca="false">0</f>
        <v>0</v>
      </c>
      <c r="F286" s="16" t="n">
        <f aca="false">az_rev28_A</f>
        <v>150</v>
      </c>
      <c r="G286" s="16" t="n">
        <f aca="false">az_rev29_A</f>
        <v>500</v>
      </c>
      <c r="K286" s="5" t="s">
        <v>566</v>
      </c>
    </row>
    <row r="287" customFormat="false" ht="17.15" hidden="false" customHeight="false" outlineLevel="0" collapsed="false">
      <c r="A287" s="5" t="s">
        <v>444</v>
      </c>
      <c r="B287" s="0" t="s">
        <v>176</v>
      </c>
      <c r="C287" s="16" t="n">
        <f aca="false">C282+C283+C284+C285+C286</f>
        <v>6708</v>
      </c>
      <c r="D287" s="16" t="n">
        <f aca="false">D282+D283+D284+D285+D286</f>
        <v>7680.46302</v>
      </c>
      <c r="E287" s="16" t="n">
        <f aca="false">E282+E283+E284+E285+E286</f>
        <v>9048.38285578411</v>
      </c>
      <c r="F287" s="16" t="n">
        <f aca="false">F282+F283+F284+F285+F286</f>
        <v>10431.8822220552</v>
      </c>
      <c r="G287" s="16" t="n">
        <f aca="false">G282+G283+G284+G285+G286</f>
        <v>11565.0976300212</v>
      </c>
      <c r="H287" s="29" t="n">
        <f aca="false">G287*(1+H288)</f>
        <v>12633.9439841654</v>
      </c>
      <c r="I287" s="29" t="n">
        <f aca="false">H287*(1+I288)</f>
        <v>13596.7768722283</v>
      </c>
      <c r="J287" s="29" t="n">
        <f aca="false">I287*(1+J288)</f>
        <v>14412.5834845619</v>
      </c>
      <c r="K287" s="8" t="s">
        <v>567</v>
      </c>
    </row>
    <row r="288" customFormat="false" ht="15" hidden="false" customHeight="false" outlineLevel="0" collapsed="false">
      <c r="A288" s="5" t="s">
        <v>568</v>
      </c>
      <c r="B288" s="0" t="s">
        <v>77</v>
      </c>
      <c r="D288" s="20" t="n">
        <f aca="false">D287/C287-1</f>
        <v>0.144970635062612</v>
      </c>
      <c r="E288" s="20" t="n">
        <f aca="false">E287/D287-1</f>
        <v>0.178103824238465</v>
      </c>
      <c r="F288" s="20" t="n">
        <f aca="false">F287/E287-1</f>
        <v>0.152900179879849</v>
      </c>
      <c r="G288" s="20" t="n">
        <f aca="false">G287/F287-1</f>
        <v>0.108630004043765</v>
      </c>
      <c r="H288" s="25" t="n">
        <f aca="false">$G288+(fade_gA-$G288)*1/3</f>
        <v>0.0924200026958434</v>
      </c>
      <c r="I288" s="25" t="n">
        <f aca="false">$G288+(fade_gA-$G288)*2/3</f>
        <v>0.0762100013479217</v>
      </c>
      <c r="J288" s="25" t="n">
        <f aca="false">$G288+(fade_gA-$G288)*3/3</f>
        <v>0.06</v>
      </c>
    </row>
    <row r="289" customFormat="false" ht="17.15" hidden="false" customHeight="false" outlineLevel="0" collapsed="false">
      <c r="A289" s="0" t="s">
        <v>569</v>
      </c>
      <c r="B289" s="0" t="s">
        <v>77</v>
      </c>
      <c r="C289" s="20" t="n">
        <f aca="false">C277/C287</f>
        <v>0.042798129430046</v>
      </c>
      <c r="D289" s="20" t="n">
        <f aca="false">D277/D287</f>
        <v>0.112137712844589</v>
      </c>
      <c r="E289" s="20" t="n">
        <f aca="false">E277/E287</f>
        <v>0.21093538986514</v>
      </c>
      <c r="F289" s="20" t="n">
        <f aca="false">F277/F287</f>
        <v>0.265437345562549</v>
      </c>
      <c r="G289" s="20" t="n">
        <f aca="false">G277/G287</f>
        <v>0.27270921265575</v>
      </c>
    </row>
    <row r="290" customFormat="false" ht="17.15" hidden="false" customHeight="false" outlineLevel="0" collapsed="false">
      <c r="A290" s="5" t="s">
        <v>570</v>
      </c>
      <c r="B290" s="0" t="s">
        <v>77</v>
      </c>
      <c r="C290" s="20" t="n">
        <f aca="false">C283/C287</f>
        <v>0.46</v>
      </c>
      <c r="D290" s="20" t="n">
        <f aca="false">D283/D287</f>
        <v>0.396053174408748</v>
      </c>
      <c r="E290" s="20" t="n">
        <f aca="false">E283/E287</f>
        <v>0.346263853191974</v>
      </c>
      <c r="F290" s="20" t="n">
        <f aca="false">F283/F287</f>
        <v>0.312355235608674</v>
      </c>
      <c r="G290" s="20" t="n">
        <f aca="false">G283/G287</f>
        <v>0.293018810467082</v>
      </c>
    </row>
    <row r="291" customFormat="false" ht="17.15" hidden="false" customHeight="false" outlineLevel="0" collapsed="false">
      <c r="A291" s="1" t="s">
        <v>571</v>
      </c>
    </row>
    <row r="292" customFormat="false" ht="15" hidden="false" customHeight="false" outlineLevel="0" collapsed="false">
      <c r="A292" s="5" t="s">
        <v>572</v>
      </c>
      <c r="B292" s="0" t="s">
        <v>176</v>
      </c>
      <c r="C292" s="16" t="n">
        <f aca="false">C287-C286</f>
        <v>6708</v>
      </c>
      <c r="D292" s="16" t="n">
        <f aca="false">D287-D286</f>
        <v>7680.46302</v>
      </c>
      <c r="E292" s="16" t="n">
        <f aca="false">E287-E286</f>
        <v>9048.38285578411</v>
      </c>
      <c r="F292" s="16" t="n">
        <f aca="false">F287-F286</f>
        <v>10281.8822220552</v>
      </c>
      <c r="G292" s="16" t="n">
        <f aca="false">G287-G286</f>
        <v>11065.0976300212</v>
      </c>
    </row>
    <row r="293" customFormat="false" ht="17.15" hidden="false" customHeight="false" outlineLevel="0" collapsed="false">
      <c r="A293" s="5" t="s">
        <v>573</v>
      </c>
      <c r="B293" s="0" t="s">
        <v>176</v>
      </c>
      <c r="D293" s="16" t="n">
        <f aca="false">cap_m26</f>
        <v>1200</v>
      </c>
      <c r="E293" s="16" t="n">
        <f aca="false">capi*E292</f>
        <v>1266.77359980978</v>
      </c>
      <c r="F293" s="16" t="n">
        <f aca="false">capi*F292</f>
        <v>1439.46351108773</v>
      </c>
      <c r="G293" s="16" t="n">
        <f aca="false">capi*G292</f>
        <v>1549.11366820297</v>
      </c>
      <c r="K293" s="8" t="s">
        <v>574</v>
      </c>
    </row>
    <row r="294" customFormat="false" ht="17.15" hidden="false" customHeight="false" outlineLevel="0" collapsed="false">
      <c r="A294" s="5" t="s">
        <v>575</v>
      </c>
      <c r="B294" s="0" t="s">
        <v>176</v>
      </c>
      <c r="C294" s="16" t="n">
        <f aca="false">a25_da</f>
        <v>642</v>
      </c>
      <c r="D294" s="16" t="n">
        <f aca="false">a26_da</f>
        <v>740.6</v>
      </c>
      <c r="E294" s="16" t="n">
        <f aca="false">D294*(1-1/life)+D293/life</f>
        <v>806.228571428572</v>
      </c>
      <c r="F294" s="16" t="n">
        <f aca="false">E294*(1-1/life)+E293/life</f>
        <v>872.020718340172</v>
      </c>
      <c r="G294" s="16" t="n">
        <f aca="false">F294*(1-1/life)+F293/life</f>
        <v>953.083974446967</v>
      </c>
      <c r="K294" s="5" t="s">
        <v>576</v>
      </c>
    </row>
    <row r="295" customFormat="false" ht="15" hidden="false" customHeight="false" outlineLevel="0" collapsed="false">
      <c r="A295" s="5" t="s">
        <v>577</v>
      </c>
      <c r="B295" s="0" t="s">
        <v>176</v>
      </c>
      <c r="E295" s="16" t="n">
        <f aca="false">0</f>
        <v>0</v>
      </c>
      <c r="F295" s="16" t="n">
        <f aca="false">az_capex1*(1-az_inc)/az_life*az_svc28</f>
        <v>94.7916666666667</v>
      </c>
      <c r="G295" s="16" t="n">
        <f aca="false">az_capex1*(1-az_inc)/az_life</f>
        <v>189.583333333333</v>
      </c>
    </row>
    <row r="296" customFormat="false" ht="15" hidden="false" customHeight="false" outlineLevel="0" collapsed="false">
      <c r="A296" s="5" t="s">
        <v>578</v>
      </c>
      <c r="B296" s="0" t="s">
        <v>176</v>
      </c>
      <c r="C296" s="16" t="n">
        <f aca="false">C294</f>
        <v>642</v>
      </c>
      <c r="D296" s="16" t="n">
        <f aca="false">D294</f>
        <v>740.6</v>
      </c>
      <c r="E296" s="16" t="n">
        <f aca="false">E294+E295</f>
        <v>806.228571428572</v>
      </c>
      <c r="F296" s="16" t="n">
        <f aca="false">F294+F295</f>
        <v>966.812385006839</v>
      </c>
      <c r="G296" s="16" t="n">
        <f aca="false">G294+G295</f>
        <v>1142.6673077803</v>
      </c>
    </row>
    <row r="297" customFormat="false" ht="17.15" hidden="false" customHeight="false" outlineLevel="0" collapsed="false">
      <c r="A297" s="5" t="s">
        <v>579</v>
      </c>
      <c r="B297" s="0" t="s">
        <v>176</v>
      </c>
      <c r="C297" s="16" t="n">
        <f aca="false">a25_gp</f>
        <v>938.6</v>
      </c>
      <c r="D297" s="16" t="n">
        <f aca="false">a26_gp</f>
        <v>1325.7873147</v>
      </c>
      <c r="E297" s="16" t="n">
        <f aca="false">$D297+ft*(E292-$D292)-(E294-$D294)</f>
        <v>1807.32667758507</v>
      </c>
      <c r="F297" s="16" t="n">
        <f aca="false">$D297+ft*(F292-$D292)-(F294-$D294)</f>
        <v>2234.93427718193</v>
      </c>
      <c r="G297" s="16" t="n">
        <f aca="false">$D297+ft*(G292-$D292)-(G294-$D294)</f>
        <v>2467.15718426151</v>
      </c>
      <c r="K297" s="5" t="s">
        <v>580</v>
      </c>
    </row>
    <row r="298" customFormat="false" ht="17.15" hidden="false" customHeight="false" outlineLevel="0" collapsed="false">
      <c r="A298" s="5" t="s">
        <v>581</v>
      </c>
      <c r="B298" s="0" t="s">
        <v>176</v>
      </c>
      <c r="E298" s="16" t="n">
        <f aca="false">E286*az_cm-az_fix27</f>
        <v>-120</v>
      </c>
      <c r="F298" s="16" t="n">
        <f aca="false">F286*az_cm-az_fix28-F295</f>
        <v>-112.291666666667</v>
      </c>
      <c r="G298" s="16" t="n">
        <f aca="false">G286*az_cm-az_fix29-G295</f>
        <v>-14.5833333333333</v>
      </c>
      <c r="K298" s="8" t="s">
        <v>582</v>
      </c>
    </row>
    <row r="299" customFormat="false" ht="15" hidden="false" customHeight="false" outlineLevel="0" collapsed="false">
      <c r="A299" s="5" t="s">
        <v>458</v>
      </c>
      <c r="B299" s="0" t="s">
        <v>176</v>
      </c>
      <c r="C299" s="16" t="n">
        <f aca="false">a25_gp</f>
        <v>938.6</v>
      </c>
      <c r="D299" s="16" t="n">
        <f aca="false">a26_gp</f>
        <v>1325.7873147</v>
      </c>
      <c r="E299" s="16" t="n">
        <f aca="false">E297+E298</f>
        <v>1687.32667758507</v>
      </c>
      <c r="F299" s="16" t="n">
        <f aca="false">F297+F298</f>
        <v>2122.64261051526</v>
      </c>
      <c r="G299" s="16" t="n">
        <f aca="false">G297+G298</f>
        <v>2452.57385092817</v>
      </c>
    </row>
    <row r="300" customFormat="false" ht="15" hidden="false" customHeight="false" outlineLevel="0" collapsed="false">
      <c r="A300" s="5" t="s">
        <v>461</v>
      </c>
      <c r="B300" s="0" t="s">
        <v>77</v>
      </c>
      <c r="C300" s="17" t="n">
        <f aca="false">C299/C287</f>
        <v>0.139922480620155</v>
      </c>
      <c r="D300" s="17" t="n">
        <f aca="false">D299/D287</f>
        <v>0.172618149615152</v>
      </c>
      <c r="E300" s="17" t="n">
        <f aca="false">E299/E287</f>
        <v>0.186478258543897</v>
      </c>
      <c r="F300" s="17" t="n">
        <f aca="false">F299/F287</f>
        <v>0.203476473883834</v>
      </c>
      <c r="G300" s="17" t="n">
        <f aca="false">G299/G287</f>
        <v>0.21206685229891</v>
      </c>
    </row>
    <row r="301" customFormat="false" ht="17.15" hidden="false" customHeight="false" outlineLevel="0" collapsed="false">
      <c r="A301" s="5" t="s">
        <v>583</v>
      </c>
      <c r="B301" s="0" t="s">
        <v>584</v>
      </c>
      <c r="E301" s="17" t="n">
        <f aca="false">E298/E287</f>
        <v>-0.013262038301495</v>
      </c>
      <c r="F301" s="17" t="n">
        <f aca="false">F298/F287</f>
        <v>-0.010764276692969</v>
      </c>
      <c r="G301" s="17" t="n">
        <f aca="false">G298/G287</f>
        <v>-0.00126097797008451</v>
      </c>
      <c r="K301" s="5" t="s">
        <v>585</v>
      </c>
    </row>
    <row r="302" customFormat="false" ht="17.15" hidden="false" customHeight="false" outlineLevel="0" collapsed="false">
      <c r="A302" s="5" t="s">
        <v>463</v>
      </c>
      <c r="B302" s="0" t="s">
        <v>176</v>
      </c>
      <c r="C302" s="16" t="n">
        <f aca="false">a25_opx</f>
        <v>471.2</v>
      </c>
      <c r="D302" s="16" t="n">
        <f aca="false">a26_opx</f>
        <v>537.5</v>
      </c>
      <c r="E302" s="16" t="n">
        <f aca="false">(D302+opx_gain)*(1+phi*E288)</f>
        <v>608.235492918591</v>
      </c>
      <c r="F302" s="16" t="n">
        <f aca="false">E302*(1+phi*F288)</f>
        <v>654.735151056872</v>
      </c>
      <c r="G302" s="16" t="n">
        <f aca="false">F302*(1+phi*G288)</f>
        <v>690.297092110324</v>
      </c>
      <c r="K302" s="8" t="s">
        <v>586</v>
      </c>
    </row>
    <row r="303" customFormat="false" ht="15" hidden="false" customHeight="false" outlineLevel="0" collapsed="false">
      <c r="A303" s="5" t="s">
        <v>466</v>
      </c>
      <c r="B303" s="0" t="s">
        <v>176</v>
      </c>
      <c r="C303" s="16" t="n">
        <f aca="false">C299-C302</f>
        <v>467.4</v>
      </c>
      <c r="D303" s="16" t="n">
        <f aca="false">D299-D302</f>
        <v>788.2873147</v>
      </c>
      <c r="E303" s="16" t="n">
        <f aca="false">E299-E302</f>
        <v>1079.09118466648</v>
      </c>
      <c r="F303" s="16" t="n">
        <f aca="false">F299-F302</f>
        <v>1467.90745945839</v>
      </c>
      <c r="G303" s="16" t="n">
        <f aca="false">G299-G302</f>
        <v>1762.27675881785</v>
      </c>
    </row>
    <row r="304" customFormat="false" ht="15" hidden="false" customHeight="false" outlineLevel="0" collapsed="false">
      <c r="A304" s="5" t="s">
        <v>540</v>
      </c>
      <c r="B304" s="0" t="s">
        <v>77</v>
      </c>
      <c r="C304" s="17" t="n">
        <f aca="false">C303/C287</f>
        <v>0.0696779964221825</v>
      </c>
      <c r="D304" s="17" t="n">
        <f aca="false">D303/D287</f>
        <v>0.102635389643475</v>
      </c>
      <c r="E304" s="17" t="n">
        <f aca="false">E303/E287</f>
        <v>0.119257905182105</v>
      </c>
      <c r="F304" s="17" t="n">
        <f aca="false">F303/F287</f>
        <v>0.140713576726826</v>
      </c>
      <c r="G304" s="17" t="n">
        <f aca="false">G303/G287</f>
        <v>0.152378891661343</v>
      </c>
    </row>
    <row r="305" customFormat="false" ht="15" hidden="false" customHeight="false" outlineLevel="0" collapsed="false">
      <c r="A305" s="5" t="s">
        <v>587</v>
      </c>
      <c r="B305" s="0" t="s">
        <v>176</v>
      </c>
      <c r="C305" s="16" t="n">
        <f aca="false">a25_nonop</f>
        <v>-22.7</v>
      </c>
      <c r="D305" s="16" t="n">
        <f aca="false">a26_nonop</f>
        <v>-0.700000000000003</v>
      </c>
      <c r="E305" s="16" t="n">
        <f aca="false">nonop27</f>
        <v>-20</v>
      </c>
      <c r="F305" s="16" t="n">
        <f aca="false">nonop28</f>
        <v>-40</v>
      </c>
      <c r="G305" s="16" t="n">
        <f aca="false">nonop29</f>
        <v>-60</v>
      </c>
    </row>
    <row r="306" customFormat="false" ht="15" hidden="false" customHeight="false" outlineLevel="0" collapsed="false">
      <c r="A306" s="5" t="s">
        <v>471</v>
      </c>
      <c r="B306" s="0" t="s">
        <v>176</v>
      </c>
      <c r="C306" s="16" t="n">
        <f aca="false">C303+C305</f>
        <v>444.7</v>
      </c>
      <c r="D306" s="16" t="n">
        <f aca="false">D303+D305</f>
        <v>787.5873147</v>
      </c>
      <c r="E306" s="16" t="n">
        <f aca="false">E303+E305</f>
        <v>1059.09118466648</v>
      </c>
      <c r="F306" s="16" t="n">
        <f aca="false">F303+F305</f>
        <v>1427.90745945839</v>
      </c>
      <c r="G306" s="16" t="n">
        <f aca="false">G303+G305</f>
        <v>1702.27675881785</v>
      </c>
    </row>
    <row r="307" customFormat="false" ht="15" hidden="false" customHeight="false" outlineLevel="0" collapsed="false">
      <c r="A307" s="5" t="s">
        <v>472</v>
      </c>
      <c r="B307" s="0" t="s">
        <v>176</v>
      </c>
      <c r="C307" s="16" t="n">
        <f aca="false">a25_tax</f>
        <v>68.5</v>
      </c>
      <c r="D307" s="16" t="n">
        <f aca="false">a26_tax</f>
        <v>138.23746294</v>
      </c>
      <c r="E307" s="16" t="n">
        <f aca="false">E306*tax</f>
        <v>211.818236933297</v>
      </c>
      <c r="F307" s="16" t="n">
        <f aca="false">F306*tax</f>
        <v>285.581491891677</v>
      </c>
      <c r="G307" s="16" t="n">
        <f aca="false">G306*tax</f>
        <v>340.45535176357</v>
      </c>
    </row>
    <row r="308" customFormat="false" ht="15" hidden="false" customHeight="false" outlineLevel="0" collapsed="false">
      <c r="A308" s="5" t="s">
        <v>474</v>
      </c>
      <c r="B308" s="0" t="s">
        <v>176</v>
      </c>
      <c r="C308" s="16" t="n">
        <f aca="false">a25_nci</f>
        <v>2.30000000000007</v>
      </c>
      <c r="D308" s="16" t="n">
        <f aca="false">a26_nci</f>
        <v>3.7</v>
      </c>
      <c r="E308" s="16" t="n">
        <f aca="false">nci</f>
        <v>3</v>
      </c>
      <c r="F308" s="16" t="n">
        <f aca="false">nci</f>
        <v>3</v>
      </c>
      <c r="G308" s="16" t="n">
        <f aca="false">nci</f>
        <v>3</v>
      </c>
    </row>
    <row r="309" customFormat="false" ht="15" hidden="false" customHeight="false" outlineLevel="0" collapsed="false">
      <c r="A309" s="5" t="s">
        <v>476</v>
      </c>
      <c r="B309" s="0" t="s">
        <v>176</v>
      </c>
      <c r="C309" s="16" t="n">
        <f aca="false">C306-C307-C308</f>
        <v>373.9</v>
      </c>
      <c r="D309" s="16" t="n">
        <f aca="false">D306-D307-D308</f>
        <v>645.64985176</v>
      </c>
      <c r="E309" s="16" t="n">
        <f aca="false">E306-E307-E308</f>
        <v>844.272947733186</v>
      </c>
      <c r="F309" s="16" t="n">
        <f aca="false">F306-F307-F308</f>
        <v>1139.32596756671</v>
      </c>
      <c r="G309" s="16" t="n">
        <f aca="false">G306-G307-G308</f>
        <v>1358.82140705428</v>
      </c>
      <c r="H309" s="29" t="n">
        <f aca="false">H287*H313</f>
        <v>1455.68979648821</v>
      </c>
      <c r="I309" s="29" t="n">
        <f aca="false">I287*I313</f>
        <v>1535.72574367735</v>
      </c>
      <c r="J309" s="29" t="n">
        <f aca="false">J287*J313</f>
        <v>1595.11298368481</v>
      </c>
    </row>
    <row r="310" customFormat="false" ht="15" hidden="false" customHeight="false" outlineLevel="0" collapsed="false">
      <c r="A310" s="5" t="s">
        <v>588</v>
      </c>
      <c r="B310" s="5" t="s">
        <v>310</v>
      </c>
      <c r="C310" s="21" t="n">
        <f aca="false">a25_sh</f>
        <v>248.5</v>
      </c>
      <c r="D310" s="21" t="n">
        <f aca="false">a26_sh</f>
        <v>249.915</v>
      </c>
      <c r="E310" s="21" t="n">
        <f aca="false">D310*(1+sh_g)</f>
        <v>249.915</v>
      </c>
      <c r="F310" s="21" t="n">
        <f aca="false">E310*(1+sh_g)</f>
        <v>249.915</v>
      </c>
      <c r="G310" s="21" t="n">
        <f aca="false">F310*(1+sh_g)</f>
        <v>249.915</v>
      </c>
      <c r="H310" s="30" t="n">
        <f aca="false">G310*(1+sh_g)</f>
        <v>249.915</v>
      </c>
      <c r="I310" s="30" t="n">
        <f aca="false">H310*(1+sh_g)</f>
        <v>249.915</v>
      </c>
      <c r="J310" s="30" t="n">
        <f aca="false">I310*(1+sh_g)</f>
        <v>249.915</v>
      </c>
    </row>
    <row r="311" customFormat="false" ht="17.15" hidden="false" customHeight="false" outlineLevel="0" collapsed="false">
      <c r="A311" s="0" t="s">
        <v>480</v>
      </c>
      <c r="B311" s="0" t="s">
        <v>331</v>
      </c>
      <c r="C311" s="18" t="n">
        <f aca="false">C309/C310</f>
        <v>1.5046277665996</v>
      </c>
      <c r="D311" s="18" t="n">
        <f aca="false">D309/D310</f>
        <v>2.58347778948843</v>
      </c>
      <c r="E311" s="18" t="n">
        <f aca="false">E309/E310</f>
        <v>3.37824039266625</v>
      </c>
      <c r="F311" s="18" t="n">
        <f aca="false">F309/F310</f>
        <v>4.55885388058624</v>
      </c>
      <c r="G311" s="18" t="n">
        <f aca="false">G309/G310</f>
        <v>5.43713425386344</v>
      </c>
      <c r="H311" s="27" t="n">
        <f aca="false">H309/H310</f>
        <v>5.82473959741597</v>
      </c>
      <c r="I311" s="27" t="n">
        <f aca="false">I309/I310</f>
        <v>6.14499227208193</v>
      </c>
      <c r="J311" s="27" t="n">
        <f aca="false">J309/J310</f>
        <v>6.38262202622818</v>
      </c>
    </row>
    <row r="312" customFormat="false" ht="17.15" hidden="false" customHeight="false" outlineLevel="0" collapsed="false">
      <c r="A312" s="0" t="s">
        <v>589</v>
      </c>
      <c r="B312" s="0" t="s">
        <v>77</v>
      </c>
      <c r="D312" s="20" t="n">
        <f aca="false">D311/C311-1</f>
        <v>0.717021210719106</v>
      </c>
      <c r="E312" s="20" t="n">
        <f aca="false">E311/D311-1</f>
        <v>0.307632837569392</v>
      </c>
      <c r="F312" s="20" t="n">
        <f aca="false">F311/E311-1</f>
        <v>0.349475866336497</v>
      </c>
      <c r="G312" s="20" t="n">
        <f aca="false">G311/F311-1</f>
        <v>0.192653766995545</v>
      </c>
      <c r="H312" s="25" t="n">
        <f aca="false">H311/G311-1</f>
        <v>0.0712885364706808</v>
      </c>
      <c r="I312" s="25" t="n">
        <f aca="false">I311/H311-1</f>
        <v>0.054981457850585</v>
      </c>
      <c r="J312" s="25" t="n">
        <f aca="false">J311/I311-1</f>
        <v>0.038670472414726</v>
      </c>
    </row>
    <row r="313" customFormat="false" ht="17.15" hidden="false" customHeight="false" outlineLevel="0" collapsed="false">
      <c r="A313" s="5" t="s">
        <v>590</v>
      </c>
      <c r="B313" s="0" t="s">
        <v>77</v>
      </c>
      <c r="C313" s="17" t="n">
        <f aca="false">C309/C287</f>
        <v>0.0557394156231365</v>
      </c>
      <c r="D313" s="17" t="n">
        <f aca="false">D309/D287</f>
        <v>0.0840639229794768</v>
      </c>
      <c r="E313" s="17" t="n">
        <f aca="false">E309/E287</f>
        <v>0.0933065014146136</v>
      </c>
      <c r="F313" s="17" t="n">
        <f aca="false">F309/F287</f>
        <v>0.109215762152484</v>
      </c>
      <c r="G313" s="17" t="n">
        <f aca="false">G309/G287</f>
        <v>0.117493293227979</v>
      </c>
      <c r="H313" s="26" t="n">
        <f aca="false">$G313+(fade_mA-$G313)*1/3</f>
        <v>0.115220535908081</v>
      </c>
      <c r="I313" s="26" t="n">
        <f aca="false">$G313+(fade_mA-$G313)*2/3</f>
        <v>0.112947778588182</v>
      </c>
      <c r="J313" s="26" t="n">
        <f aca="false">$G313+(fade_mA-$G313)*3/3</f>
        <v>0.110675021268284</v>
      </c>
    </row>
    <row r="316" customFormat="false" ht="17.15" hidden="false" customHeight="false" outlineLevel="0" collapsed="false">
      <c r="A316" s="3" t="s">
        <v>925</v>
      </c>
    </row>
    <row r="317" customFormat="false" ht="17.15" hidden="false" customHeight="false" outlineLevel="0" collapsed="false">
      <c r="A317" s="6" t="s">
        <v>22</v>
      </c>
      <c r="B317" s="6" t="s">
        <v>23</v>
      </c>
      <c r="C317" s="14" t="s">
        <v>437</v>
      </c>
      <c r="D317" s="14" t="s">
        <v>527</v>
      </c>
      <c r="E317" s="14" t="s">
        <v>528</v>
      </c>
      <c r="F317" s="14" t="s">
        <v>529</v>
      </c>
      <c r="G317" s="14" t="s">
        <v>530</v>
      </c>
      <c r="H317" s="14" t="s">
        <v>531</v>
      </c>
      <c r="I317" s="14" t="s">
        <v>532</v>
      </c>
      <c r="J317" s="14" t="s">
        <v>533</v>
      </c>
      <c r="K317" s="6" t="s">
        <v>503</v>
      </c>
    </row>
    <row r="318" customFormat="false" ht="17.15" hidden="false" customHeight="false" outlineLevel="0" collapsed="false">
      <c r="A318" s="1" t="s">
        <v>551</v>
      </c>
    </row>
    <row r="319" customFormat="false" ht="17.15" hidden="false" customHeight="false" outlineLevel="0" collapsed="false">
      <c r="A319" s="0" t="s">
        <v>552</v>
      </c>
      <c r="B319" s="5" t="s">
        <v>33</v>
      </c>
      <c r="D319" s="18" t="n">
        <f aca="false">units_26</f>
        <v>15.2</v>
      </c>
      <c r="E319" s="18" t="n">
        <f aca="false">units_27*1</f>
        <v>23.7</v>
      </c>
      <c r="F319" s="18" t="n">
        <f aca="false">units_28*um28_A*1</f>
        <v>26.5</v>
      </c>
      <c r="G319" s="18" t="n">
        <f aca="false">units_29*um29_A*1</f>
        <v>30.15</v>
      </c>
    </row>
    <row r="320" customFormat="false" ht="17.15" hidden="false" customHeight="false" outlineLevel="0" collapsed="false">
      <c r="A320" s="5" t="s">
        <v>506</v>
      </c>
      <c r="B320" s="0" t="s">
        <v>46</v>
      </c>
      <c r="D320" s="22" t="n">
        <f aca="false">ar_26</f>
        <v>1</v>
      </c>
      <c r="E320" s="22" t="n">
        <f aca="false">ar_27</f>
        <v>1.278156</v>
      </c>
      <c r="F320" s="22" t="n">
        <f aca="false">ar_28</f>
        <v>1.428615</v>
      </c>
      <c r="G320" s="22" t="n">
        <f aca="false">ar_29</f>
        <v>1.431796</v>
      </c>
    </row>
    <row r="321" customFormat="false" ht="17.15" hidden="false" customHeight="false" outlineLevel="0" collapsed="false">
      <c r="A321" s="5" t="s">
        <v>508</v>
      </c>
      <c r="B321" s="0" t="s">
        <v>77</v>
      </c>
      <c r="D321" s="20" t="n">
        <f aca="false">out_26</f>
        <v>0.5</v>
      </c>
      <c r="E321" s="20" t="n">
        <f aca="false">out_27</f>
        <v>0.55</v>
      </c>
      <c r="F321" s="20" t="n">
        <f aca="false">out_28</f>
        <v>0.6</v>
      </c>
      <c r="G321" s="20" t="n">
        <f aca="false">out_29</f>
        <v>0.6</v>
      </c>
      <c r="K321" s="8" t="s">
        <v>553</v>
      </c>
    </row>
    <row r="322" customFormat="false" ht="17.15" hidden="false" customHeight="false" outlineLevel="0" collapsed="false">
      <c r="A322" s="0" t="s">
        <v>509</v>
      </c>
      <c r="B322" s="0" t="s">
        <v>77</v>
      </c>
      <c r="D322" s="20" t="n">
        <f aca="false">sh_26</f>
        <v>0.35</v>
      </c>
      <c r="E322" s="20" t="n">
        <f aca="false">sh_27</f>
        <v>0.35</v>
      </c>
      <c r="F322" s="20" t="n">
        <f aca="false">sh_28</f>
        <v>0.37</v>
      </c>
      <c r="G322" s="20" t="n">
        <f aca="false">sh_29</f>
        <v>0.38</v>
      </c>
    </row>
    <row r="323" customFormat="false" ht="17.15" hidden="false" customHeight="false" outlineLevel="0" collapsed="false">
      <c r="A323" s="0" t="s">
        <v>554</v>
      </c>
      <c r="B323" s="0" t="s">
        <v>176</v>
      </c>
      <c r="C323" s="16" t="n">
        <f aca="false">(a26_comp-a25_comp*(1+g_pc26))/(tri-(1+g_pc26))</f>
        <v>287.089852216749</v>
      </c>
      <c r="D323" s="16" t="n">
        <f aca="false">C323*tri</f>
        <v>861.269556650246</v>
      </c>
      <c r="E323" s="16" t="n">
        <f aca="false">E319*E321*E322*E324</f>
        <v>1590.05335891868</v>
      </c>
      <c r="F323" s="16" t="n">
        <f aca="false">F319*F321*F322*F324</f>
        <v>2119.97563672053</v>
      </c>
      <c r="G323" s="16" t="n">
        <f aca="false">G319*G321*G322*G324</f>
        <v>2478.81415078365</v>
      </c>
      <c r="K323" s="8" t="s">
        <v>555</v>
      </c>
    </row>
    <row r="324" customFormat="false" ht="17.15" hidden="false" customHeight="false" outlineLevel="0" collapsed="false">
      <c r="A324" s="5" t="s">
        <v>556</v>
      </c>
      <c r="B324" s="0" t="s">
        <v>511</v>
      </c>
      <c r="D324" s="23" t="n">
        <f aca="false">D323/(D319*D321*D322)</f>
        <v>323.785547612874</v>
      </c>
      <c r="E324" s="23" t="n">
        <f aca="false">$D324*E320^el_lo</f>
        <v>348.523942992752</v>
      </c>
      <c r="F324" s="23" t="n">
        <f aca="false">$D324*F320^el_lo</f>
        <v>360.356219058394</v>
      </c>
      <c r="G324" s="23" t="n">
        <f aca="false">$D324*G320^el_lo</f>
        <v>360.596745917147</v>
      </c>
      <c r="K324" s="8" t="s">
        <v>557</v>
      </c>
    </row>
    <row r="325" customFormat="false" ht="17.15" hidden="false" customHeight="false" outlineLevel="0" collapsed="false">
      <c r="A325" s="5" t="s">
        <v>515</v>
      </c>
      <c r="B325" s="0" t="s">
        <v>511</v>
      </c>
      <c r="D325" s="16" t="n">
        <f aca="false">D323/D319</f>
        <v>56.662470832253</v>
      </c>
      <c r="E325" s="16" t="n">
        <f aca="false">E323/E319</f>
        <v>67.0908590261047</v>
      </c>
      <c r="F325" s="16" t="n">
        <f aca="false">F323/F319</f>
        <v>79.9990806309634</v>
      </c>
      <c r="G325" s="16" t="n">
        <f aca="false">G323/G319</f>
        <v>82.2160580691095</v>
      </c>
      <c r="K325" s="5" t="s">
        <v>558</v>
      </c>
    </row>
    <row r="326" customFormat="false" ht="17.15" hidden="false" customHeight="false" outlineLevel="0" collapsed="false">
      <c r="A326" s="1" t="s">
        <v>559</v>
      </c>
    </row>
    <row r="327" customFormat="false" ht="17.15" hidden="false" customHeight="false" outlineLevel="0" collapsed="false">
      <c r="A327" s="5" t="s">
        <v>560</v>
      </c>
      <c r="B327" s="0" t="s">
        <v>176</v>
      </c>
      <c r="C327" s="16" t="n">
        <f aca="false">a25_comp-C323</f>
        <v>1054.51014778325</v>
      </c>
      <c r="D327" s="16" t="n">
        <f aca="false">a26_comp-D323</f>
        <v>1022.87484334975</v>
      </c>
      <c r="E327" s="16" t="n">
        <f aca="false">D327*(1+g_pc)</f>
        <v>1053.56108865025</v>
      </c>
      <c r="F327" s="16" t="n">
        <f aca="false">E327*(1+g_pc)</f>
        <v>1085.16792130975</v>
      </c>
      <c r="G327" s="16" t="n">
        <f aca="false">F327*(1+g_pc)</f>
        <v>1117.72295894905</v>
      </c>
    </row>
    <row r="328" customFormat="false" ht="15" hidden="false" customHeight="false" outlineLevel="0" collapsed="false">
      <c r="A328" s="5" t="s">
        <v>561</v>
      </c>
      <c r="B328" s="0" t="s">
        <v>176</v>
      </c>
      <c r="C328" s="16" t="n">
        <f aca="false">C323+C327</f>
        <v>1341.6</v>
      </c>
      <c r="D328" s="16" t="n">
        <f aca="false">D323+D327</f>
        <v>1884.1444</v>
      </c>
      <c r="E328" s="16" t="n">
        <f aca="false">E323+E327</f>
        <v>2643.61444756893</v>
      </c>
      <c r="F328" s="16" t="n">
        <f aca="false">F323+F327</f>
        <v>3205.14355803028</v>
      </c>
      <c r="G328" s="16" t="n">
        <f aca="false">G323+G327</f>
        <v>3596.5371097327</v>
      </c>
    </row>
    <row r="329" customFormat="false" ht="17.15" hidden="false" customHeight="false" outlineLevel="0" collapsed="false">
      <c r="A329" s="5" t="s">
        <v>562</v>
      </c>
      <c r="B329" s="0" t="s">
        <v>176</v>
      </c>
      <c r="C329" s="16" t="n">
        <f aca="false">a25_cm</f>
        <v>3085.68</v>
      </c>
      <c r="D329" s="16" t="n">
        <f aca="false">a26_cm</f>
        <v>3041.87176</v>
      </c>
      <c r="E329" s="16" t="n">
        <f aca="false">D329*(1+g_cm27_A)</f>
        <v>3133.1279128</v>
      </c>
      <c r="F329" s="16" t="n">
        <f aca="false">E329*(1+g_cmL_A)</f>
        <v>3258.453029312</v>
      </c>
      <c r="G329" s="16" t="n">
        <f aca="false">F329*(1+g_cmL_A)</f>
        <v>3388.79115048448</v>
      </c>
    </row>
    <row r="330" customFormat="false" ht="15" hidden="false" customHeight="false" outlineLevel="0" collapsed="false">
      <c r="A330" s="5" t="s">
        <v>563</v>
      </c>
      <c r="B330" s="0" t="s">
        <v>176</v>
      </c>
      <c r="C330" s="16" t="n">
        <f aca="false">a25_au</f>
        <v>1274.52</v>
      </c>
      <c r="D330" s="16" t="n">
        <f aca="false">a26_au</f>
        <v>1656.99176</v>
      </c>
      <c r="E330" s="16" t="n">
        <f aca="false">D330*(1+g_au)</f>
        <v>1822.690936</v>
      </c>
      <c r="F330" s="16" t="n">
        <f aca="false">E330*(1+g_au)</f>
        <v>2004.9600296</v>
      </c>
      <c r="G330" s="16" t="n">
        <f aca="false">F330*(1+g_au)</f>
        <v>2205.45603256</v>
      </c>
    </row>
    <row r="331" customFormat="false" ht="15" hidden="false" customHeight="false" outlineLevel="0" collapsed="false">
      <c r="A331" s="5" t="s">
        <v>564</v>
      </c>
      <c r="B331" s="0" t="s">
        <v>176</v>
      </c>
      <c r="C331" s="16" t="n">
        <f aca="false">a25_cs</f>
        <v>1006.2</v>
      </c>
      <c r="D331" s="16" t="n">
        <f aca="false">a26_cs</f>
        <v>1097.4551</v>
      </c>
      <c r="E331" s="16" t="n">
        <f aca="false">D331*(1+g_cs)</f>
        <v>1130.378753</v>
      </c>
      <c r="F331" s="16" t="n">
        <f aca="false">E331*(1+g_cs)</f>
        <v>1164.29011559</v>
      </c>
      <c r="G331" s="16" t="n">
        <f aca="false">F331*(1+g_cs)</f>
        <v>1199.2188190577</v>
      </c>
    </row>
    <row r="332" customFormat="false" ht="17.15" hidden="false" customHeight="false" outlineLevel="0" collapsed="false">
      <c r="A332" s="5" t="s">
        <v>565</v>
      </c>
      <c r="B332" s="0" t="s">
        <v>176</v>
      </c>
      <c r="C332" s="16" t="n">
        <f aca="false">0</f>
        <v>0</v>
      </c>
      <c r="D332" s="16" t="n">
        <f aca="false">0</f>
        <v>0</v>
      </c>
      <c r="E332" s="16" t="n">
        <f aca="false">0</f>
        <v>0</v>
      </c>
      <c r="F332" s="16" t="n">
        <f aca="false">az_rev28_A</f>
        <v>150</v>
      </c>
      <c r="G332" s="16" t="n">
        <f aca="false">az_rev29_A</f>
        <v>500</v>
      </c>
      <c r="K332" s="5" t="s">
        <v>566</v>
      </c>
    </row>
    <row r="333" customFormat="false" ht="17.15" hidden="false" customHeight="false" outlineLevel="0" collapsed="false">
      <c r="A333" s="5" t="s">
        <v>444</v>
      </c>
      <c r="B333" s="0" t="s">
        <v>176</v>
      </c>
      <c r="C333" s="16" t="n">
        <f aca="false">C328+C329+C330+C331+C332</f>
        <v>6708</v>
      </c>
      <c r="D333" s="16" t="n">
        <f aca="false">D328+D329+D330+D331+D332</f>
        <v>7680.46302</v>
      </c>
      <c r="E333" s="16" t="n">
        <f aca="false">E328+E329+E330+E331+E332</f>
        <v>8729.81204936893</v>
      </c>
      <c r="F333" s="16" t="n">
        <f aca="false">F328+F329+F330+F331+F332</f>
        <v>9782.84673253228</v>
      </c>
      <c r="G333" s="16" t="n">
        <f aca="false">G328+G329+G330+G331+G332</f>
        <v>10890.0031118349</v>
      </c>
      <c r="H333" s="29" t="n">
        <f aca="false">G333*(1+H334)</f>
        <v>11929.44107052</v>
      </c>
      <c r="I333" s="29" t="n">
        <f aca="false">H333*(1+I334)</f>
        <v>12856.6498458543</v>
      </c>
      <c r="J333" s="29" t="n">
        <f aca="false">I333*(1+J334)</f>
        <v>13628.0488366055</v>
      </c>
      <c r="K333" s="8" t="s">
        <v>567</v>
      </c>
    </row>
    <row r="334" customFormat="false" ht="15" hidden="false" customHeight="false" outlineLevel="0" collapsed="false">
      <c r="A334" s="5" t="s">
        <v>568</v>
      </c>
      <c r="B334" s="0" t="s">
        <v>77</v>
      </c>
      <c r="D334" s="20" t="n">
        <f aca="false">D333/C333-1</f>
        <v>0.144970635062612</v>
      </c>
      <c r="E334" s="20" t="n">
        <f aca="false">E333/D333-1</f>
        <v>0.136625751160628</v>
      </c>
      <c r="F334" s="20" t="n">
        <f aca="false">F333/E333-1</f>
        <v>0.120625126544331</v>
      </c>
      <c r="G334" s="20" t="n">
        <f aca="false">G333/F333-1</f>
        <v>0.113173231634184</v>
      </c>
      <c r="H334" s="25" t="n">
        <f aca="false">$G334+(fade_gA-$G334)*1/3</f>
        <v>0.0954488210894559</v>
      </c>
      <c r="I334" s="25" t="n">
        <f aca="false">$G334+(fade_gA-$G334)*2/3</f>
        <v>0.0777244105447279</v>
      </c>
      <c r="J334" s="25" t="n">
        <f aca="false">$G334+(fade_gA-$G334)*3/3</f>
        <v>0.06</v>
      </c>
    </row>
    <row r="335" customFormat="false" ht="17.15" hidden="false" customHeight="false" outlineLevel="0" collapsed="false">
      <c r="A335" s="0" t="s">
        <v>569</v>
      </c>
      <c r="B335" s="0" t="s">
        <v>77</v>
      </c>
      <c r="C335" s="20" t="n">
        <f aca="false">C323/C333</f>
        <v>0.042798129430046</v>
      </c>
      <c r="D335" s="20" t="n">
        <f aca="false">D323/D333</f>
        <v>0.112137712844589</v>
      </c>
      <c r="E335" s="20" t="n">
        <f aca="false">E323/E333</f>
        <v>0.182140617681869</v>
      </c>
      <c r="F335" s="20" t="n">
        <f aca="false">F323/F333</f>
        <v>0.216703347673911</v>
      </c>
      <c r="G335" s="20" t="n">
        <f aca="false">G323/G333</f>
        <v>0.227622905643595</v>
      </c>
    </row>
    <row r="336" customFormat="false" ht="17.15" hidden="false" customHeight="false" outlineLevel="0" collapsed="false">
      <c r="A336" s="5" t="s">
        <v>570</v>
      </c>
      <c r="B336" s="0" t="s">
        <v>77</v>
      </c>
      <c r="C336" s="20" t="n">
        <f aca="false">C329/C333</f>
        <v>0.46</v>
      </c>
      <c r="D336" s="20" t="n">
        <f aca="false">D329/D333</f>
        <v>0.396053174408748</v>
      </c>
      <c r="E336" s="20" t="n">
        <f aca="false">E329/E333</f>
        <v>0.358899813086639</v>
      </c>
      <c r="F336" s="20" t="n">
        <f aca="false">F329/F333</f>
        <v>0.33307820498467</v>
      </c>
      <c r="G336" s="20" t="n">
        <f aca="false">G329/G333</f>
        <v>0.311183671453836</v>
      </c>
    </row>
    <row r="337" customFormat="false" ht="17.15" hidden="false" customHeight="false" outlineLevel="0" collapsed="false">
      <c r="A337" s="1" t="s">
        <v>571</v>
      </c>
    </row>
    <row r="338" customFormat="false" ht="15" hidden="false" customHeight="false" outlineLevel="0" collapsed="false">
      <c r="A338" s="5" t="s">
        <v>572</v>
      </c>
      <c r="B338" s="0" t="s">
        <v>176</v>
      </c>
      <c r="C338" s="16" t="n">
        <f aca="false">C333-C332</f>
        <v>6708</v>
      </c>
      <c r="D338" s="16" t="n">
        <f aca="false">D333-D332</f>
        <v>7680.46302</v>
      </c>
      <c r="E338" s="16" t="n">
        <f aca="false">E333-E332</f>
        <v>8729.81204936893</v>
      </c>
      <c r="F338" s="16" t="n">
        <f aca="false">F333-F332</f>
        <v>9632.84673253228</v>
      </c>
      <c r="G338" s="16" t="n">
        <f aca="false">G333-G332</f>
        <v>10390.0031118349</v>
      </c>
    </row>
    <row r="339" customFormat="false" ht="17.15" hidden="false" customHeight="false" outlineLevel="0" collapsed="false">
      <c r="A339" s="5" t="s">
        <v>573</v>
      </c>
      <c r="B339" s="0" t="s">
        <v>176</v>
      </c>
      <c r="D339" s="16" t="n">
        <f aca="false">cap_m26</f>
        <v>1200</v>
      </c>
      <c r="E339" s="16" t="n">
        <f aca="false">capi*E338</f>
        <v>1222.17368691165</v>
      </c>
      <c r="F339" s="16" t="n">
        <f aca="false">capi*F338</f>
        <v>1348.59854255452</v>
      </c>
      <c r="G339" s="16" t="n">
        <f aca="false">capi*G338</f>
        <v>1454.60043565688</v>
      </c>
      <c r="K339" s="8" t="s">
        <v>574</v>
      </c>
    </row>
    <row r="340" customFormat="false" ht="17.15" hidden="false" customHeight="false" outlineLevel="0" collapsed="false">
      <c r="A340" s="5" t="s">
        <v>575</v>
      </c>
      <c r="B340" s="0" t="s">
        <v>176</v>
      </c>
      <c r="C340" s="16" t="n">
        <f aca="false">a25_da</f>
        <v>642</v>
      </c>
      <c r="D340" s="16" t="n">
        <f aca="false">a26_da</f>
        <v>740.6</v>
      </c>
      <c r="E340" s="16" t="n">
        <f aca="false">D340*(1-1/life)+D339/life</f>
        <v>806.228571428572</v>
      </c>
      <c r="F340" s="16" t="n">
        <f aca="false">E340*(1-1/life)+E339/life</f>
        <v>865.649302211869</v>
      </c>
      <c r="G340" s="16" t="n">
        <f aca="false">F340*(1-1/life)+F339/life</f>
        <v>934.642050832247</v>
      </c>
      <c r="K340" s="5" t="s">
        <v>576</v>
      </c>
    </row>
    <row r="341" customFormat="false" ht="15" hidden="false" customHeight="false" outlineLevel="0" collapsed="false">
      <c r="A341" s="5" t="s">
        <v>577</v>
      </c>
      <c r="B341" s="0" t="s">
        <v>176</v>
      </c>
      <c r="E341" s="16" t="n">
        <f aca="false">0</f>
        <v>0</v>
      </c>
      <c r="F341" s="16" t="n">
        <f aca="false">az_capex1*(1-az_inc)/az_life*az_svc28</f>
        <v>94.7916666666667</v>
      </c>
      <c r="G341" s="16" t="n">
        <f aca="false">az_capex1*(1-az_inc)/az_life</f>
        <v>189.583333333333</v>
      </c>
    </row>
    <row r="342" customFormat="false" ht="15" hidden="false" customHeight="false" outlineLevel="0" collapsed="false">
      <c r="A342" s="5" t="s">
        <v>578</v>
      </c>
      <c r="B342" s="0" t="s">
        <v>176</v>
      </c>
      <c r="C342" s="16" t="n">
        <f aca="false">C340</f>
        <v>642</v>
      </c>
      <c r="D342" s="16" t="n">
        <f aca="false">D340</f>
        <v>740.6</v>
      </c>
      <c r="E342" s="16" t="n">
        <f aca="false">E340+E341</f>
        <v>806.228571428572</v>
      </c>
      <c r="F342" s="16" t="n">
        <f aca="false">F340+F341</f>
        <v>960.440968878535</v>
      </c>
      <c r="G342" s="16" t="n">
        <f aca="false">G340+G341</f>
        <v>1124.22538416558</v>
      </c>
    </row>
    <row r="343" customFormat="false" ht="17.15" hidden="false" customHeight="false" outlineLevel="0" collapsed="false">
      <c r="A343" s="5" t="s">
        <v>579</v>
      </c>
      <c r="B343" s="0" t="s">
        <v>176</v>
      </c>
      <c r="C343" s="16" t="n">
        <f aca="false">a25_gp</f>
        <v>938.6</v>
      </c>
      <c r="D343" s="16" t="n">
        <f aca="false">a26_gp</f>
        <v>1325.7873147</v>
      </c>
      <c r="E343" s="16" t="n">
        <f aca="false">$D343+ft*(E338-$D338)-(E340-$D340)</f>
        <v>1679.898355019</v>
      </c>
      <c r="F343" s="16" t="n">
        <f aca="false">$D343+ft*(F338-$D338)-(F340-$D340)</f>
        <v>1981.69149750105</v>
      </c>
      <c r="G343" s="16" t="n">
        <f aca="false">$D343+ft*(G338-$D338)-(G340-$D340)</f>
        <v>2215.5613006017</v>
      </c>
      <c r="K343" s="5" t="s">
        <v>580</v>
      </c>
    </row>
    <row r="344" customFormat="false" ht="17.15" hidden="false" customHeight="false" outlineLevel="0" collapsed="false">
      <c r="A344" s="5" t="s">
        <v>581</v>
      </c>
      <c r="B344" s="0" t="s">
        <v>176</v>
      </c>
      <c r="E344" s="16" t="n">
        <f aca="false">E332*az_cm-az_fix27</f>
        <v>-120</v>
      </c>
      <c r="F344" s="16" t="n">
        <f aca="false">F332*az_cm-az_fix28-F341</f>
        <v>-112.291666666667</v>
      </c>
      <c r="G344" s="16" t="n">
        <f aca="false">G332*az_cm-az_fix29-G341</f>
        <v>-14.5833333333333</v>
      </c>
      <c r="K344" s="8" t="s">
        <v>582</v>
      </c>
    </row>
    <row r="345" customFormat="false" ht="15" hidden="false" customHeight="false" outlineLevel="0" collapsed="false">
      <c r="A345" s="5" t="s">
        <v>458</v>
      </c>
      <c r="B345" s="0" t="s">
        <v>176</v>
      </c>
      <c r="C345" s="16" t="n">
        <f aca="false">a25_gp</f>
        <v>938.6</v>
      </c>
      <c r="D345" s="16" t="n">
        <f aca="false">a26_gp</f>
        <v>1325.7873147</v>
      </c>
      <c r="E345" s="16" t="n">
        <f aca="false">E343+E344</f>
        <v>1559.898355019</v>
      </c>
      <c r="F345" s="16" t="n">
        <f aca="false">F343+F344</f>
        <v>1869.39983083438</v>
      </c>
      <c r="G345" s="16" t="n">
        <f aca="false">G343+G344</f>
        <v>2200.97796726837</v>
      </c>
    </row>
    <row r="346" customFormat="false" ht="15" hidden="false" customHeight="false" outlineLevel="0" collapsed="false">
      <c r="A346" s="5" t="s">
        <v>461</v>
      </c>
      <c r="B346" s="0" t="s">
        <v>77</v>
      </c>
      <c r="C346" s="17" t="n">
        <f aca="false">C345/C333</f>
        <v>0.139922480620155</v>
      </c>
      <c r="D346" s="17" t="n">
        <f aca="false">D345/D333</f>
        <v>0.172618149615152</v>
      </c>
      <c r="E346" s="17" t="n">
        <f aca="false">E345/E333</f>
        <v>0.178686361882415</v>
      </c>
      <c r="F346" s="17" t="n">
        <f aca="false">F345/F333</f>
        <v>0.191089555212779</v>
      </c>
      <c r="G346" s="17" t="n">
        <f aca="false">G345/G333</f>
        <v>0.202109948423837</v>
      </c>
    </row>
    <row r="347" customFormat="false" ht="17.15" hidden="false" customHeight="false" outlineLevel="0" collapsed="false">
      <c r="A347" s="5" t="s">
        <v>583</v>
      </c>
      <c r="B347" s="0" t="s">
        <v>584</v>
      </c>
      <c r="E347" s="17" t="n">
        <f aca="false">E344/E333</f>
        <v>-0.0137460004088719</v>
      </c>
      <c r="F347" s="17" t="n">
        <f aca="false">F344/F333</f>
        <v>-0.0114784244031185</v>
      </c>
      <c r="G347" s="17" t="n">
        <f aca="false">G344/G333</f>
        <v>-0.00133914868375792</v>
      </c>
      <c r="K347" s="5" t="s">
        <v>585</v>
      </c>
    </row>
    <row r="348" customFormat="false" ht="17.15" hidden="false" customHeight="false" outlineLevel="0" collapsed="false">
      <c r="A348" s="5" t="s">
        <v>463</v>
      </c>
      <c r="B348" s="0" t="s">
        <v>176</v>
      </c>
      <c r="C348" s="16" t="n">
        <f aca="false">a25_opx</f>
        <v>471.2</v>
      </c>
      <c r="D348" s="16" t="n">
        <f aca="false">a26_opx</f>
        <v>537.5</v>
      </c>
      <c r="E348" s="16" t="n">
        <f aca="false">(D348+opx_gain)*(1+phi*E334)</f>
        <v>596.652741011606</v>
      </c>
      <c r="F348" s="16" t="n">
        <f aca="false">E348*(1+phi*F334)</f>
        <v>632.638397205379</v>
      </c>
      <c r="G348" s="16" t="n">
        <f aca="false">F348*(1+phi*G334)</f>
        <v>668.437263139181</v>
      </c>
      <c r="K348" s="8" t="s">
        <v>586</v>
      </c>
    </row>
    <row r="349" customFormat="false" ht="15" hidden="false" customHeight="false" outlineLevel="0" collapsed="false">
      <c r="A349" s="5" t="s">
        <v>466</v>
      </c>
      <c r="B349" s="0" t="s">
        <v>176</v>
      </c>
      <c r="C349" s="16" t="n">
        <f aca="false">C345-C348</f>
        <v>467.4</v>
      </c>
      <c r="D349" s="16" t="n">
        <f aca="false">D345-D348</f>
        <v>788.2873147</v>
      </c>
      <c r="E349" s="16" t="n">
        <f aca="false">E345-E348</f>
        <v>963.245614007394</v>
      </c>
      <c r="F349" s="16" t="n">
        <f aca="false">F345-F348</f>
        <v>1236.761433629</v>
      </c>
      <c r="G349" s="16" t="n">
        <f aca="false">G345-G348</f>
        <v>1532.54070412919</v>
      </c>
    </row>
    <row r="350" customFormat="false" ht="15" hidden="false" customHeight="false" outlineLevel="0" collapsed="false">
      <c r="A350" s="5" t="s">
        <v>540</v>
      </c>
      <c r="B350" s="0" t="s">
        <v>77</v>
      </c>
      <c r="C350" s="17" t="n">
        <f aca="false">C349/C333</f>
        <v>0.0696779964221825</v>
      </c>
      <c r="D350" s="17" t="n">
        <f aca="false">D349/D333</f>
        <v>0.102635389643475</v>
      </c>
      <c r="E350" s="17" t="n">
        <f aca="false">E349/E333</f>
        <v>0.110339788366581</v>
      </c>
      <c r="F350" s="17" t="n">
        <f aca="false">F349/F333</f>
        <v>0.126421425934868</v>
      </c>
      <c r="G350" s="17" t="n">
        <f aca="false">G349/G333</f>
        <v>0.140729133719317</v>
      </c>
    </row>
    <row r="351" customFormat="false" ht="15" hidden="false" customHeight="false" outlineLevel="0" collapsed="false">
      <c r="A351" s="5" t="s">
        <v>587</v>
      </c>
      <c r="B351" s="0" t="s">
        <v>176</v>
      </c>
      <c r="C351" s="16" t="n">
        <f aca="false">a25_nonop</f>
        <v>-22.7</v>
      </c>
      <c r="D351" s="16" t="n">
        <f aca="false">a26_nonop</f>
        <v>-0.700000000000003</v>
      </c>
      <c r="E351" s="16" t="n">
        <f aca="false">nonop27</f>
        <v>-20</v>
      </c>
      <c r="F351" s="16" t="n">
        <f aca="false">nonop28</f>
        <v>-40</v>
      </c>
      <c r="G351" s="16" t="n">
        <f aca="false">nonop29</f>
        <v>-60</v>
      </c>
    </row>
    <row r="352" customFormat="false" ht="15" hidden="false" customHeight="false" outlineLevel="0" collapsed="false">
      <c r="A352" s="5" t="s">
        <v>471</v>
      </c>
      <c r="B352" s="0" t="s">
        <v>176</v>
      </c>
      <c r="C352" s="16" t="n">
        <f aca="false">C349+C351</f>
        <v>444.7</v>
      </c>
      <c r="D352" s="16" t="n">
        <f aca="false">D349+D351</f>
        <v>787.5873147</v>
      </c>
      <c r="E352" s="16" t="n">
        <f aca="false">E349+E351</f>
        <v>943.245614007394</v>
      </c>
      <c r="F352" s="16" t="n">
        <f aca="false">F349+F351</f>
        <v>1196.761433629</v>
      </c>
      <c r="G352" s="16" t="n">
        <f aca="false">G349+G351</f>
        <v>1472.54070412919</v>
      </c>
    </row>
    <row r="353" customFormat="false" ht="15" hidden="false" customHeight="false" outlineLevel="0" collapsed="false">
      <c r="A353" s="5" t="s">
        <v>472</v>
      </c>
      <c r="B353" s="0" t="s">
        <v>176</v>
      </c>
      <c r="C353" s="16" t="n">
        <f aca="false">a25_tax</f>
        <v>68.5</v>
      </c>
      <c r="D353" s="16" t="n">
        <f aca="false">a26_tax</f>
        <v>138.23746294</v>
      </c>
      <c r="E353" s="16" t="n">
        <f aca="false">E352*tax</f>
        <v>188.649122801479</v>
      </c>
      <c r="F353" s="16" t="n">
        <f aca="false">F352*tax</f>
        <v>239.3522867258</v>
      </c>
      <c r="G353" s="16" t="n">
        <f aca="false">G352*tax</f>
        <v>294.508140825838</v>
      </c>
    </row>
    <row r="354" customFormat="false" ht="15" hidden="false" customHeight="false" outlineLevel="0" collapsed="false">
      <c r="A354" s="5" t="s">
        <v>474</v>
      </c>
      <c r="B354" s="0" t="s">
        <v>176</v>
      </c>
      <c r="C354" s="16" t="n">
        <f aca="false">a25_nci</f>
        <v>2.30000000000007</v>
      </c>
      <c r="D354" s="16" t="n">
        <f aca="false">a26_nci</f>
        <v>3.7</v>
      </c>
      <c r="E354" s="16" t="n">
        <f aca="false">nci</f>
        <v>3</v>
      </c>
      <c r="F354" s="16" t="n">
        <f aca="false">nci</f>
        <v>3</v>
      </c>
      <c r="G354" s="16" t="n">
        <f aca="false">nci</f>
        <v>3</v>
      </c>
    </row>
    <row r="355" customFormat="false" ht="15" hidden="false" customHeight="false" outlineLevel="0" collapsed="false">
      <c r="A355" s="5" t="s">
        <v>476</v>
      </c>
      <c r="B355" s="0" t="s">
        <v>176</v>
      </c>
      <c r="C355" s="16" t="n">
        <f aca="false">C352-C353-C354</f>
        <v>373.9</v>
      </c>
      <c r="D355" s="16" t="n">
        <f aca="false">D352-D353-D354</f>
        <v>645.64985176</v>
      </c>
      <c r="E355" s="16" t="n">
        <f aca="false">E352-E353-E354</f>
        <v>751.596491205915</v>
      </c>
      <c r="F355" s="16" t="n">
        <f aca="false">F352-F353-F354</f>
        <v>954.409146903199</v>
      </c>
      <c r="G355" s="16" t="n">
        <f aca="false">G352-G353-G354</f>
        <v>1175.03256330335</v>
      </c>
      <c r="H355" s="29" t="n">
        <f aca="false">H333*H359</f>
        <v>1298.2224055411</v>
      </c>
      <c r="I355" s="29" t="n">
        <f aca="false">I333*I359</f>
        <v>1411.01798594827</v>
      </c>
      <c r="J355" s="29" t="n">
        <f aca="false">J333*J359</f>
        <v>1508.28459483653</v>
      </c>
    </row>
    <row r="356" customFormat="false" ht="15" hidden="false" customHeight="false" outlineLevel="0" collapsed="false">
      <c r="A356" s="5" t="s">
        <v>588</v>
      </c>
      <c r="B356" s="5" t="s">
        <v>310</v>
      </c>
      <c r="C356" s="21" t="n">
        <f aca="false">a25_sh</f>
        <v>248.5</v>
      </c>
      <c r="D356" s="21" t="n">
        <f aca="false">a26_sh</f>
        <v>249.915</v>
      </c>
      <c r="E356" s="21" t="n">
        <f aca="false">D356*(1+sh_g)</f>
        <v>249.915</v>
      </c>
      <c r="F356" s="21" t="n">
        <f aca="false">E356*(1+sh_g)</f>
        <v>249.915</v>
      </c>
      <c r="G356" s="21" t="n">
        <f aca="false">F356*(1+sh_g)</f>
        <v>249.915</v>
      </c>
      <c r="H356" s="30" t="n">
        <f aca="false">G356*(1+sh_g)</f>
        <v>249.915</v>
      </c>
      <c r="I356" s="30" t="n">
        <f aca="false">H356*(1+sh_g)</f>
        <v>249.915</v>
      </c>
      <c r="J356" s="30" t="n">
        <f aca="false">I356*(1+sh_g)</f>
        <v>249.915</v>
      </c>
    </row>
    <row r="357" customFormat="false" ht="17.15" hidden="false" customHeight="false" outlineLevel="0" collapsed="false">
      <c r="A357" s="0" t="s">
        <v>480</v>
      </c>
      <c r="B357" s="0" t="s">
        <v>331</v>
      </c>
      <c r="C357" s="18" t="n">
        <f aca="false">C355/C356</f>
        <v>1.5046277665996</v>
      </c>
      <c r="D357" s="18" t="n">
        <f aca="false">D355/D356</f>
        <v>2.58347778948843</v>
      </c>
      <c r="E357" s="18" t="n">
        <f aca="false">E355/E356</f>
        <v>3.00740848370812</v>
      </c>
      <c r="F357" s="18" t="n">
        <f aca="false">F355/F356</f>
        <v>3.81893502552147</v>
      </c>
      <c r="G357" s="18" t="n">
        <f aca="false">G355/G356</f>
        <v>4.70172884101936</v>
      </c>
      <c r="H357" s="27" t="n">
        <f aca="false">H355/H356</f>
        <v>5.19465580513815</v>
      </c>
      <c r="I357" s="27" t="n">
        <f aca="false">I355/I356</f>
        <v>5.64599158093061</v>
      </c>
      <c r="J357" s="27" t="n">
        <f aca="false">J355/J356</f>
        <v>6.0351903440631</v>
      </c>
    </row>
    <row r="358" customFormat="false" ht="17.15" hidden="false" customHeight="false" outlineLevel="0" collapsed="false">
      <c r="A358" s="0" t="s">
        <v>589</v>
      </c>
      <c r="B358" s="0" t="s">
        <v>77</v>
      </c>
      <c r="D358" s="20" t="n">
        <f aca="false">D357/C357-1</f>
        <v>0.717021210719106</v>
      </c>
      <c r="E358" s="20" t="n">
        <f aca="false">E357/D357-1</f>
        <v>0.164093028376157</v>
      </c>
      <c r="F358" s="20" t="n">
        <f aca="false">F357/E357-1</f>
        <v>0.269842472750075</v>
      </c>
      <c r="G358" s="20" t="n">
        <f aca="false">G357/F357-1</f>
        <v>0.231162302997636</v>
      </c>
      <c r="H358" s="25" t="n">
        <f aca="false">H357/G357-1</f>
        <v>0.104839513461165</v>
      </c>
      <c r="I358" s="25" t="n">
        <f aca="false">I357/H357-1</f>
        <v>0.0868846354258983</v>
      </c>
      <c r="J358" s="25" t="n">
        <f aca="false">J357/I357-1</f>
        <v>0.0689336421341862</v>
      </c>
    </row>
    <row r="359" customFormat="false" ht="17.15" hidden="false" customHeight="false" outlineLevel="0" collapsed="false">
      <c r="A359" s="5" t="s">
        <v>590</v>
      </c>
      <c r="B359" s="0" t="s">
        <v>77</v>
      </c>
      <c r="C359" s="17" t="n">
        <f aca="false">C355/C333</f>
        <v>0.0557394156231365</v>
      </c>
      <c r="D359" s="17" t="n">
        <f aca="false">D355/D333</f>
        <v>0.0840639229794768</v>
      </c>
      <c r="E359" s="17" t="n">
        <f aca="false">E355/E333</f>
        <v>0.0860953806285266</v>
      </c>
      <c r="F359" s="17" t="n">
        <f aca="false">F355/F333</f>
        <v>0.0975594500248448</v>
      </c>
      <c r="G359" s="17" t="n">
        <f aca="false">G355/G333</f>
        <v>0.107900112721397</v>
      </c>
      <c r="H359" s="26" t="n">
        <f aca="false">$G359+(fade_mA-$G359)*1/3</f>
        <v>0.108825082237026</v>
      </c>
      <c r="I359" s="26" t="n">
        <f aca="false">$G359+(fade_mA-$G359)*2/3</f>
        <v>0.109750051752655</v>
      </c>
      <c r="J359" s="26" t="n">
        <f aca="false">$G359+(fade_mA-$G359)*3/3</f>
        <v>0.110675021268284</v>
      </c>
    </row>
    <row r="362" customFormat="false" ht="17.15" hidden="false" customHeight="false" outlineLevel="0" collapsed="false">
      <c r="A362" s="3" t="s">
        <v>926</v>
      </c>
    </row>
    <row r="363" customFormat="false" ht="17.15" hidden="false" customHeight="false" outlineLevel="0" collapsed="false">
      <c r="A363" s="6" t="s">
        <v>22</v>
      </c>
      <c r="B363" s="6" t="s">
        <v>23</v>
      </c>
      <c r="C363" s="14" t="s">
        <v>437</v>
      </c>
      <c r="D363" s="14" t="s">
        <v>527</v>
      </c>
      <c r="E363" s="14" t="s">
        <v>528</v>
      </c>
      <c r="F363" s="14" t="s">
        <v>529</v>
      </c>
      <c r="G363" s="14" t="s">
        <v>530</v>
      </c>
      <c r="H363" s="14" t="s">
        <v>531</v>
      </c>
      <c r="I363" s="14" t="s">
        <v>532</v>
      </c>
      <c r="J363" s="14" t="s">
        <v>533</v>
      </c>
      <c r="K363" s="6" t="s">
        <v>503</v>
      </c>
    </row>
    <row r="364" customFormat="false" ht="17.15" hidden="false" customHeight="false" outlineLevel="0" collapsed="false">
      <c r="A364" s="1" t="s">
        <v>551</v>
      </c>
    </row>
    <row r="365" customFormat="false" ht="17.15" hidden="false" customHeight="false" outlineLevel="0" collapsed="false">
      <c r="A365" s="0" t="s">
        <v>552</v>
      </c>
      <c r="B365" s="5" t="s">
        <v>33</v>
      </c>
      <c r="D365" s="18" t="n">
        <f aca="false">units_26</f>
        <v>15.2</v>
      </c>
      <c r="E365" s="18" t="n">
        <f aca="false">units_27*1</f>
        <v>23.7</v>
      </c>
      <c r="F365" s="18" t="n">
        <f aca="false">units_28*um28_A*1</f>
        <v>26.5</v>
      </c>
      <c r="G365" s="18" t="n">
        <f aca="false">units_29*um29_A*1</f>
        <v>30.15</v>
      </c>
    </row>
    <row r="366" customFormat="false" ht="17.15" hidden="false" customHeight="false" outlineLevel="0" collapsed="false">
      <c r="A366" s="5" t="s">
        <v>506</v>
      </c>
      <c r="B366" s="0" t="s">
        <v>46</v>
      </c>
      <c r="D366" s="22" t="n">
        <f aca="false">ar_26</f>
        <v>1</v>
      </c>
      <c r="E366" s="22" t="n">
        <f aca="false">ar_27</f>
        <v>1.278156</v>
      </c>
      <c r="F366" s="22" t="n">
        <f aca="false">ar_28</f>
        <v>1.428615</v>
      </c>
      <c r="G366" s="22" t="n">
        <f aca="false">ar_29</f>
        <v>1.431796</v>
      </c>
    </row>
    <row r="367" customFormat="false" ht="17.15" hidden="false" customHeight="false" outlineLevel="0" collapsed="false">
      <c r="A367" s="5" t="s">
        <v>508</v>
      </c>
      <c r="B367" s="0" t="s">
        <v>77</v>
      </c>
      <c r="D367" s="20" t="n">
        <f aca="false">out_26</f>
        <v>0.5</v>
      </c>
      <c r="E367" s="20" t="n">
        <f aca="false">out_27</f>
        <v>0.55</v>
      </c>
      <c r="F367" s="20" t="n">
        <f aca="false">out_28</f>
        <v>0.6</v>
      </c>
      <c r="G367" s="20" t="n">
        <f aca="false">out_29</f>
        <v>0.6</v>
      </c>
      <c r="K367" s="8" t="s">
        <v>553</v>
      </c>
    </row>
    <row r="368" customFormat="false" ht="17.15" hidden="false" customHeight="false" outlineLevel="0" collapsed="false">
      <c r="A368" s="0" t="s">
        <v>509</v>
      </c>
      <c r="B368" s="0" t="s">
        <v>77</v>
      </c>
      <c r="D368" s="20" t="n">
        <f aca="false">sh_26</f>
        <v>0.35</v>
      </c>
      <c r="E368" s="20" t="n">
        <f aca="false">sh_27</f>
        <v>0.35</v>
      </c>
      <c r="F368" s="20" t="n">
        <f aca="false">sh_28</f>
        <v>0.37</v>
      </c>
      <c r="G368" s="20" t="n">
        <f aca="false">sh_29</f>
        <v>0.38</v>
      </c>
    </row>
    <row r="369" customFormat="false" ht="17.15" hidden="false" customHeight="false" outlineLevel="0" collapsed="false">
      <c r="A369" s="0" t="s">
        <v>554</v>
      </c>
      <c r="B369" s="0" t="s">
        <v>176</v>
      </c>
      <c r="C369" s="16" t="n">
        <f aca="false">(a26_comp-a25_comp*(1+g_pc26))/(tri-(1+g_pc26))</f>
        <v>287.089852216749</v>
      </c>
      <c r="D369" s="16" t="n">
        <f aca="false">C369*tri</f>
        <v>861.269556650246</v>
      </c>
      <c r="E369" s="16" t="n">
        <f aca="false">E365*E367*E368*E370</f>
        <v>1888.08004719063</v>
      </c>
      <c r="F369" s="16" t="n">
        <f aca="false">F365*F367*F368*F370</f>
        <v>2721.26924847575</v>
      </c>
      <c r="G369" s="16" t="n">
        <f aca="false">G365*G367*G368*G370</f>
        <v>3186.84373113668</v>
      </c>
      <c r="K369" s="8" t="s">
        <v>555</v>
      </c>
    </row>
    <row r="370" customFormat="false" ht="17.15" hidden="false" customHeight="false" outlineLevel="0" collapsed="false">
      <c r="A370" s="5" t="s">
        <v>556</v>
      </c>
      <c r="B370" s="0" t="s">
        <v>511</v>
      </c>
      <c r="D370" s="23" t="n">
        <f aca="false">D369/(D365*D367*D368)</f>
        <v>323.785547612874</v>
      </c>
      <c r="E370" s="23" t="n">
        <f aca="false">$D370*E366^el_hi</f>
        <v>413.848440394681</v>
      </c>
      <c r="F370" s="23" t="n">
        <f aca="false">$D370*F366^el_hi</f>
        <v>462.564890102967</v>
      </c>
      <c r="G370" s="23" t="n">
        <f aca="false">$D370*G366^el_hi</f>
        <v>463.594851929923</v>
      </c>
      <c r="K370" s="8" t="s">
        <v>557</v>
      </c>
    </row>
    <row r="371" customFormat="false" ht="17.15" hidden="false" customHeight="false" outlineLevel="0" collapsed="false">
      <c r="A371" s="5" t="s">
        <v>515</v>
      </c>
      <c r="B371" s="0" t="s">
        <v>511</v>
      </c>
      <c r="D371" s="16" t="n">
        <f aca="false">D369/D365</f>
        <v>56.662470832253</v>
      </c>
      <c r="E371" s="16" t="n">
        <f aca="false">E369/E365</f>
        <v>79.6658247759761</v>
      </c>
      <c r="F371" s="16" t="n">
        <f aca="false">F369/F365</f>
        <v>102.689405602859</v>
      </c>
      <c r="G371" s="16" t="n">
        <f aca="false">G369/G365</f>
        <v>105.699626240023</v>
      </c>
      <c r="K371" s="5" t="s">
        <v>558</v>
      </c>
    </row>
    <row r="372" customFormat="false" ht="17.15" hidden="false" customHeight="false" outlineLevel="0" collapsed="false">
      <c r="A372" s="1" t="s">
        <v>559</v>
      </c>
    </row>
    <row r="373" customFormat="false" ht="17.15" hidden="false" customHeight="false" outlineLevel="0" collapsed="false">
      <c r="A373" s="5" t="s">
        <v>560</v>
      </c>
      <c r="B373" s="0" t="s">
        <v>176</v>
      </c>
      <c r="C373" s="16" t="n">
        <f aca="false">a25_comp-C369</f>
        <v>1054.51014778325</v>
      </c>
      <c r="D373" s="16" t="n">
        <f aca="false">a26_comp-D369</f>
        <v>1022.87484334975</v>
      </c>
      <c r="E373" s="16" t="n">
        <f aca="false">D373*(1+g_pc)</f>
        <v>1053.56108865025</v>
      </c>
      <c r="F373" s="16" t="n">
        <f aca="false">E373*(1+g_pc)</f>
        <v>1085.16792130975</v>
      </c>
      <c r="G373" s="16" t="n">
        <f aca="false">F373*(1+g_pc)</f>
        <v>1117.72295894905</v>
      </c>
    </row>
    <row r="374" customFormat="false" ht="15" hidden="false" customHeight="false" outlineLevel="0" collapsed="false">
      <c r="A374" s="5" t="s">
        <v>561</v>
      </c>
      <c r="B374" s="0" t="s">
        <v>176</v>
      </c>
      <c r="C374" s="16" t="n">
        <f aca="false">C369+C373</f>
        <v>1341.6</v>
      </c>
      <c r="D374" s="16" t="n">
        <f aca="false">D369+D373</f>
        <v>1884.1444</v>
      </c>
      <c r="E374" s="16" t="n">
        <f aca="false">E369+E373</f>
        <v>2941.64113584088</v>
      </c>
      <c r="F374" s="16" t="n">
        <f aca="false">F369+F373</f>
        <v>3806.43716978551</v>
      </c>
      <c r="G374" s="16" t="n">
        <f aca="false">G369+G373</f>
        <v>4304.56669008573</v>
      </c>
    </row>
    <row r="375" customFormat="false" ht="17.15" hidden="false" customHeight="false" outlineLevel="0" collapsed="false">
      <c r="A375" s="5" t="s">
        <v>562</v>
      </c>
      <c r="B375" s="0" t="s">
        <v>176</v>
      </c>
      <c r="C375" s="16" t="n">
        <f aca="false">a25_cm</f>
        <v>3085.68</v>
      </c>
      <c r="D375" s="16" t="n">
        <f aca="false">a26_cm</f>
        <v>3041.87176</v>
      </c>
      <c r="E375" s="16" t="n">
        <f aca="false">D375*(1+g_cm27_A)</f>
        <v>3133.1279128</v>
      </c>
      <c r="F375" s="16" t="n">
        <f aca="false">E375*(1+g_cmL_A)</f>
        <v>3258.453029312</v>
      </c>
      <c r="G375" s="16" t="n">
        <f aca="false">F375*(1+g_cmL_A)</f>
        <v>3388.79115048448</v>
      </c>
    </row>
    <row r="376" customFormat="false" ht="15" hidden="false" customHeight="false" outlineLevel="0" collapsed="false">
      <c r="A376" s="5" t="s">
        <v>563</v>
      </c>
      <c r="B376" s="0" t="s">
        <v>176</v>
      </c>
      <c r="C376" s="16" t="n">
        <f aca="false">a25_au</f>
        <v>1274.52</v>
      </c>
      <c r="D376" s="16" t="n">
        <f aca="false">a26_au</f>
        <v>1656.99176</v>
      </c>
      <c r="E376" s="16" t="n">
        <f aca="false">D376*(1+g_au)</f>
        <v>1822.690936</v>
      </c>
      <c r="F376" s="16" t="n">
        <f aca="false">E376*(1+g_au)</f>
        <v>2004.9600296</v>
      </c>
      <c r="G376" s="16" t="n">
        <f aca="false">F376*(1+g_au)</f>
        <v>2205.45603256</v>
      </c>
    </row>
    <row r="377" customFormat="false" ht="15" hidden="false" customHeight="false" outlineLevel="0" collapsed="false">
      <c r="A377" s="5" t="s">
        <v>564</v>
      </c>
      <c r="B377" s="0" t="s">
        <v>176</v>
      </c>
      <c r="C377" s="16" t="n">
        <f aca="false">a25_cs</f>
        <v>1006.2</v>
      </c>
      <c r="D377" s="16" t="n">
        <f aca="false">a26_cs</f>
        <v>1097.4551</v>
      </c>
      <c r="E377" s="16" t="n">
        <f aca="false">D377*(1+g_cs)</f>
        <v>1130.378753</v>
      </c>
      <c r="F377" s="16" t="n">
        <f aca="false">E377*(1+g_cs)</f>
        <v>1164.29011559</v>
      </c>
      <c r="G377" s="16" t="n">
        <f aca="false">F377*(1+g_cs)</f>
        <v>1199.2188190577</v>
      </c>
    </row>
    <row r="378" customFormat="false" ht="17.15" hidden="false" customHeight="false" outlineLevel="0" collapsed="false">
      <c r="A378" s="5" t="s">
        <v>565</v>
      </c>
      <c r="B378" s="0" t="s">
        <v>176</v>
      </c>
      <c r="C378" s="16" t="n">
        <f aca="false">0</f>
        <v>0</v>
      </c>
      <c r="D378" s="16" t="n">
        <f aca="false">0</f>
        <v>0</v>
      </c>
      <c r="E378" s="16" t="n">
        <f aca="false">0</f>
        <v>0</v>
      </c>
      <c r="F378" s="16" t="n">
        <f aca="false">az_rev28_A</f>
        <v>150</v>
      </c>
      <c r="G378" s="16" t="n">
        <f aca="false">az_rev29_A</f>
        <v>500</v>
      </c>
      <c r="K378" s="5" t="s">
        <v>566</v>
      </c>
    </row>
    <row r="379" customFormat="false" ht="17.15" hidden="false" customHeight="false" outlineLevel="0" collapsed="false">
      <c r="A379" s="5" t="s">
        <v>444</v>
      </c>
      <c r="B379" s="0" t="s">
        <v>176</v>
      </c>
      <c r="C379" s="16" t="n">
        <f aca="false">C374+C375+C376+C377+C378</f>
        <v>6708</v>
      </c>
      <c r="D379" s="16" t="n">
        <f aca="false">D374+D375+D376+D377+D378</f>
        <v>7680.46302</v>
      </c>
      <c r="E379" s="16" t="n">
        <f aca="false">E374+E375+E376+E377+E378</f>
        <v>9027.83873764088</v>
      </c>
      <c r="F379" s="16" t="n">
        <f aca="false">F374+F375+F376+F377+F378</f>
        <v>10384.1403442875</v>
      </c>
      <c r="G379" s="16" t="n">
        <f aca="false">G374+G375+G376+G377+G378</f>
        <v>11598.0326921879</v>
      </c>
      <c r="H379" s="29" t="n">
        <f aca="false">G379*(1+H380)</f>
        <v>12733.8565238498</v>
      </c>
      <c r="I379" s="29" t="n">
        <f aca="false">H379*(1+I380)</f>
        <v>13739.4011443671</v>
      </c>
      <c r="J379" s="29" t="n">
        <f aca="false">I379*(1+J380)</f>
        <v>14563.7652130291</v>
      </c>
      <c r="K379" s="8" t="s">
        <v>567</v>
      </c>
    </row>
    <row r="380" customFormat="false" ht="15" hidden="false" customHeight="false" outlineLevel="0" collapsed="false">
      <c r="A380" s="5" t="s">
        <v>568</v>
      </c>
      <c r="B380" s="0" t="s">
        <v>77</v>
      </c>
      <c r="D380" s="20" t="n">
        <f aca="false">D379/C379-1</f>
        <v>0.144970635062612</v>
      </c>
      <c r="E380" s="20" t="n">
        <f aca="false">E379/D379-1</f>
        <v>0.175428970119679</v>
      </c>
      <c r="F380" s="20" t="n">
        <f aca="false">F379/E379-1</f>
        <v>0.150235471197733</v>
      </c>
      <c r="G380" s="20" t="n">
        <f aca="false">G379/F379-1</f>
        <v>0.11689868469162</v>
      </c>
      <c r="H380" s="25" t="n">
        <f aca="false">$G380+(fade_gA-$G380)*1/3</f>
        <v>0.0979324564610802</v>
      </c>
      <c r="I380" s="25" t="n">
        <f aca="false">$G380+(fade_gA-$G380)*2/3</f>
        <v>0.0789662282305401</v>
      </c>
      <c r="J380" s="25" t="n">
        <f aca="false">$G380+(fade_gA-$G380)*3/3</f>
        <v>0.06</v>
      </c>
    </row>
    <row r="381" customFormat="false" ht="17.15" hidden="false" customHeight="false" outlineLevel="0" collapsed="false">
      <c r="A381" s="0" t="s">
        <v>569</v>
      </c>
      <c r="B381" s="0" t="s">
        <v>77</v>
      </c>
      <c r="C381" s="20" t="n">
        <f aca="false">C369/C379</f>
        <v>0.042798129430046</v>
      </c>
      <c r="D381" s="20" t="n">
        <f aca="false">D369/D379</f>
        <v>0.112137712844589</v>
      </c>
      <c r="E381" s="20" t="n">
        <f aca="false">E369/E379</f>
        <v>0.209139762246575</v>
      </c>
      <c r="F381" s="20" t="n">
        <f aca="false">F369/F379</f>
        <v>0.262060137695728</v>
      </c>
      <c r="G381" s="20" t="n">
        <f aca="false">G369/G379</f>
        <v>0.274774508377032</v>
      </c>
    </row>
    <row r="382" customFormat="false" ht="17.15" hidden="false" customHeight="false" outlineLevel="0" collapsed="false">
      <c r="A382" s="5" t="s">
        <v>570</v>
      </c>
      <c r="B382" s="0" t="s">
        <v>77</v>
      </c>
      <c r="C382" s="20" t="n">
        <f aca="false">C375/C379</f>
        <v>0.46</v>
      </c>
      <c r="D382" s="20" t="n">
        <f aca="false">D375/D379</f>
        <v>0.396053174408748</v>
      </c>
      <c r="E382" s="20" t="n">
        <f aca="false">E375/E379</f>
        <v>0.347051825342943</v>
      </c>
      <c r="F382" s="20" t="n">
        <f aca="false">F375/F379</f>
        <v>0.313791312643856</v>
      </c>
      <c r="G382" s="20" t="n">
        <f aca="false">G375/G379</f>
        <v>0.292186721698678</v>
      </c>
    </row>
    <row r="383" customFormat="false" ht="17.15" hidden="false" customHeight="false" outlineLevel="0" collapsed="false">
      <c r="A383" s="1" t="s">
        <v>571</v>
      </c>
    </row>
    <row r="384" customFormat="false" ht="15" hidden="false" customHeight="false" outlineLevel="0" collapsed="false">
      <c r="A384" s="5" t="s">
        <v>572</v>
      </c>
      <c r="B384" s="0" t="s">
        <v>176</v>
      </c>
      <c r="C384" s="16" t="n">
        <f aca="false">C379-C378</f>
        <v>6708</v>
      </c>
      <c r="D384" s="16" t="n">
        <f aca="false">D379-D378</f>
        <v>7680.46302</v>
      </c>
      <c r="E384" s="16" t="n">
        <f aca="false">E379-E378</f>
        <v>9027.83873764088</v>
      </c>
      <c r="F384" s="16" t="n">
        <f aca="false">F379-F378</f>
        <v>10234.1403442875</v>
      </c>
      <c r="G384" s="16" t="n">
        <f aca="false">G379-G378</f>
        <v>11098.0326921879</v>
      </c>
    </row>
    <row r="385" customFormat="false" ht="17.15" hidden="false" customHeight="false" outlineLevel="0" collapsed="false">
      <c r="A385" s="5" t="s">
        <v>573</v>
      </c>
      <c r="B385" s="0" t="s">
        <v>176</v>
      </c>
      <c r="D385" s="16" t="n">
        <f aca="false">cap_m26</f>
        <v>1200</v>
      </c>
      <c r="E385" s="16" t="n">
        <f aca="false">capi*E384</f>
        <v>1263.89742326972</v>
      </c>
      <c r="F385" s="16" t="n">
        <f aca="false">capi*F384</f>
        <v>1432.77964820025</v>
      </c>
      <c r="G385" s="16" t="n">
        <f aca="false">capi*G384</f>
        <v>1553.72457690631</v>
      </c>
      <c r="K385" s="8" t="s">
        <v>574</v>
      </c>
    </row>
    <row r="386" customFormat="false" ht="17.15" hidden="false" customHeight="false" outlineLevel="0" collapsed="false">
      <c r="A386" s="5" t="s">
        <v>575</v>
      </c>
      <c r="B386" s="0" t="s">
        <v>176</v>
      </c>
      <c r="C386" s="16" t="n">
        <f aca="false">a25_da</f>
        <v>642</v>
      </c>
      <c r="D386" s="16" t="n">
        <f aca="false">a26_da</f>
        <v>740.6</v>
      </c>
      <c r="E386" s="16" t="n">
        <f aca="false">D386*(1-1/life)+D385/life</f>
        <v>806.228571428572</v>
      </c>
      <c r="F386" s="16" t="n">
        <f aca="false">E386*(1-1/life)+E385/life</f>
        <v>871.609835977308</v>
      </c>
      <c r="G386" s="16" t="n">
        <f aca="false">F386*(1-1/life)+F385/life</f>
        <v>951.776952009157</v>
      </c>
      <c r="K386" s="5" t="s">
        <v>576</v>
      </c>
    </row>
    <row r="387" customFormat="false" ht="15" hidden="false" customHeight="false" outlineLevel="0" collapsed="false">
      <c r="A387" s="5" t="s">
        <v>577</v>
      </c>
      <c r="B387" s="0" t="s">
        <v>176</v>
      </c>
      <c r="E387" s="16" t="n">
        <f aca="false">0</f>
        <v>0</v>
      </c>
      <c r="F387" s="16" t="n">
        <f aca="false">az_capex1*(1-az_inc)/az_life*az_svc28</f>
        <v>94.7916666666667</v>
      </c>
      <c r="G387" s="16" t="n">
        <f aca="false">az_capex1*(1-az_inc)/az_life</f>
        <v>189.583333333333</v>
      </c>
    </row>
    <row r="388" customFormat="false" ht="15" hidden="false" customHeight="false" outlineLevel="0" collapsed="false">
      <c r="A388" s="5" t="s">
        <v>578</v>
      </c>
      <c r="B388" s="0" t="s">
        <v>176</v>
      </c>
      <c r="C388" s="16" t="n">
        <f aca="false">C386</f>
        <v>642</v>
      </c>
      <c r="D388" s="16" t="n">
        <f aca="false">D386</f>
        <v>740.6</v>
      </c>
      <c r="E388" s="16" t="n">
        <f aca="false">E386+E387</f>
        <v>806.228571428572</v>
      </c>
      <c r="F388" s="16" t="n">
        <f aca="false">F386+F387</f>
        <v>966.401502643974</v>
      </c>
      <c r="G388" s="16" t="n">
        <f aca="false">G386+G387</f>
        <v>1141.36028534249</v>
      </c>
    </row>
    <row r="389" customFormat="false" ht="17.15" hidden="false" customHeight="false" outlineLevel="0" collapsed="false">
      <c r="A389" s="5" t="s">
        <v>579</v>
      </c>
      <c r="B389" s="0" t="s">
        <v>176</v>
      </c>
      <c r="C389" s="16" t="n">
        <f aca="false">a25_gp</f>
        <v>938.6</v>
      </c>
      <c r="D389" s="16" t="n">
        <f aca="false">a26_gp</f>
        <v>1325.7873147</v>
      </c>
      <c r="E389" s="16" t="n">
        <f aca="false">$D389+ft*(E384-$D384)-(E386-$D386)</f>
        <v>1799.10903032778</v>
      </c>
      <c r="F389" s="16" t="n">
        <f aca="false">$D389+ft*(F384-$D384)-(F386-$D386)</f>
        <v>2216.2484084377</v>
      </c>
      <c r="G389" s="16" t="n">
        <f aca="false">$D389+ft*(G384-$D384)-(G386-$D386)</f>
        <v>2481.63823156601</v>
      </c>
      <c r="K389" s="5" t="s">
        <v>580</v>
      </c>
    </row>
    <row r="390" customFormat="false" ht="17.15" hidden="false" customHeight="false" outlineLevel="0" collapsed="false">
      <c r="A390" s="5" t="s">
        <v>581</v>
      </c>
      <c r="B390" s="0" t="s">
        <v>176</v>
      </c>
      <c r="E390" s="16" t="n">
        <f aca="false">E378*az_cm-az_fix27</f>
        <v>-120</v>
      </c>
      <c r="F390" s="16" t="n">
        <f aca="false">F378*az_cm-az_fix28-F387</f>
        <v>-112.291666666667</v>
      </c>
      <c r="G390" s="16" t="n">
        <f aca="false">G378*az_cm-az_fix29-G387</f>
        <v>-14.5833333333333</v>
      </c>
      <c r="K390" s="8" t="s">
        <v>582</v>
      </c>
    </row>
    <row r="391" customFormat="false" ht="15" hidden="false" customHeight="false" outlineLevel="0" collapsed="false">
      <c r="A391" s="5" t="s">
        <v>458</v>
      </c>
      <c r="B391" s="0" t="s">
        <v>176</v>
      </c>
      <c r="C391" s="16" t="n">
        <f aca="false">a25_gp</f>
        <v>938.6</v>
      </c>
      <c r="D391" s="16" t="n">
        <f aca="false">a26_gp</f>
        <v>1325.7873147</v>
      </c>
      <c r="E391" s="16" t="n">
        <f aca="false">E389+E390</f>
        <v>1679.10903032778</v>
      </c>
      <c r="F391" s="16" t="n">
        <f aca="false">F389+F390</f>
        <v>2103.95674177103</v>
      </c>
      <c r="G391" s="16" t="n">
        <f aca="false">G389+G390</f>
        <v>2467.05489823267</v>
      </c>
    </row>
    <row r="392" customFormat="false" ht="15" hidden="false" customHeight="false" outlineLevel="0" collapsed="false">
      <c r="A392" s="5" t="s">
        <v>461</v>
      </c>
      <c r="B392" s="0" t="s">
        <v>77</v>
      </c>
      <c r="C392" s="17" t="n">
        <f aca="false">C391/C379</f>
        <v>0.139922480620155</v>
      </c>
      <c r="D392" s="17" t="n">
        <f aca="false">D391/D379</f>
        <v>0.172618149615152</v>
      </c>
      <c r="E392" s="17" t="n">
        <f aca="false">E391/E379</f>
        <v>0.185992359757919</v>
      </c>
      <c r="F392" s="17" t="n">
        <f aca="false">F391/F379</f>
        <v>0.202612510233305</v>
      </c>
      <c r="G392" s="17" t="n">
        <f aca="false">G391/G379</f>
        <v>0.212713221604765</v>
      </c>
    </row>
    <row r="393" customFormat="false" ht="17.15" hidden="false" customHeight="false" outlineLevel="0" collapsed="false">
      <c r="A393" s="5" t="s">
        <v>583</v>
      </c>
      <c r="B393" s="0" t="s">
        <v>584</v>
      </c>
      <c r="E393" s="17" t="n">
        <f aca="false">E390/E379</f>
        <v>-0.0132922179369099</v>
      </c>
      <c r="F393" s="17" t="n">
        <f aca="false">F390/F379</f>
        <v>-0.0108137662766124</v>
      </c>
      <c r="G393" s="17" t="n">
        <f aca="false">G390/G379</f>
        <v>-0.00125739715694682</v>
      </c>
      <c r="K393" s="5" t="s">
        <v>585</v>
      </c>
    </row>
    <row r="394" customFormat="false" ht="17.15" hidden="false" customHeight="false" outlineLevel="0" collapsed="false">
      <c r="A394" s="5" t="s">
        <v>463</v>
      </c>
      <c r="B394" s="0" t="s">
        <v>176</v>
      </c>
      <c r="C394" s="16" t="n">
        <f aca="false">a25_opx</f>
        <v>471.2</v>
      </c>
      <c r="D394" s="16" t="n">
        <f aca="false">a26_opx</f>
        <v>537.5</v>
      </c>
      <c r="E394" s="16" t="n">
        <f aca="false">(D394+opx_gain)*(1+phi*E380)</f>
        <v>607.48853990592</v>
      </c>
      <c r="F394" s="16" t="n">
        <f aca="false">E394*(1+phi*F380)</f>
        <v>653.121703425915</v>
      </c>
      <c r="G394" s="16" t="n">
        <f aca="false">F394*(1+phi*G380)</f>
        <v>691.296237462935</v>
      </c>
      <c r="K394" s="8" t="s">
        <v>586</v>
      </c>
    </row>
    <row r="395" customFormat="false" ht="15" hidden="false" customHeight="false" outlineLevel="0" collapsed="false">
      <c r="A395" s="5" t="s">
        <v>466</v>
      </c>
      <c r="B395" s="0" t="s">
        <v>176</v>
      </c>
      <c r="C395" s="16" t="n">
        <f aca="false">C391-C394</f>
        <v>467.4</v>
      </c>
      <c r="D395" s="16" t="n">
        <f aca="false">D391-D394</f>
        <v>788.2873147</v>
      </c>
      <c r="E395" s="16" t="n">
        <f aca="false">E391-E394</f>
        <v>1071.62049042186</v>
      </c>
      <c r="F395" s="16" t="n">
        <f aca="false">F391-F394</f>
        <v>1450.83503834511</v>
      </c>
      <c r="G395" s="16" t="n">
        <f aca="false">G391-G394</f>
        <v>1775.75866076974</v>
      </c>
    </row>
    <row r="396" customFormat="false" ht="15" hidden="false" customHeight="false" outlineLevel="0" collapsed="false">
      <c r="A396" s="5" t="s">
        <v>540</v>
      </c>
      <c r="B396" s="0" t="s">
        <v>77</v>
      </c>
      <c r="C396" s="17" t="n">
        <f aca="false">C395/C379</f>
        <v>0.0696779964221825</v>
      </c>
      <c r="D396" s="17" t="n">
        <f aca="false">D395/D379</f>
        <v>0.102635389643475</v>
      </c>
      <c r="E396" s="17" t="n">
        <f aca="false">E395/E379</f>
        <v>0.118701775869547</v>
      </c>
      <c r="F396" s="17" t="n">
        <f aca="false">F395/F379</f>
        <v>0.139716432005201</v>
      </c>
      <c r="G396" s="17" t="n">
        <f aca="false">G395/G379</f>
        <v>0.153108609701181</v>
      </c>
    </row>
    <row r="397" customFormat="false" ht="15" hidden="false" customHeight="false" outlineLevel="0" collapsed="false">
      <c r="A397" s="5" t="s">
        <v>587</v>
      </c>
      <c r="B397" s="0" t="s">
        <v>176</v>
      </c>
      <c r="C397" s="16" t="n">
        <f aca="false">a25_nonop</f>
        <v>-22.7</v>
      </c>
      <c r="D397" s="16" t="n">
        <f aca="false">a26_nonop</f>
        <v>-0.700000000000003</v>
      </c>
      <c r="E397" s="16" t="n">
        <f aca="false">nonop27</f>
        <v>-20</v>
      </c>
      <c r="F397" s="16" t="n">
        <f aca="false">nonop28</f>
        <v>-40</v>
      </c>
      <c r="G397" s="16" t="n">
        <f aca="false">nonop29</f>
        <v>-60</v>
      </c>
    </row>
    <row r="398" customFormat="false" ht="15" hidden="false" customHeight="false" outlineLevel="0" collapsed="false">
      <c r="A398" s="5" t="s">
        <v>471</v>
      </c>
      <c r="B398" s="0" t="s">
        <v>176</v>
      </c>
      <c r="C398" s="16" t="n">
        <f aca="false">C395+C397</f>
        <v>444.7</v>
      </c>
      <c r="D398" s="16" t="n">
        <f aca="false">D395+D397</f>
        <v>787.5873147</v>
      </c>
      <c r="E398" s="16" t="n">
        <f aca="false">E395+E397</f>
        <v>1051.62049042186</v>
      </c>
      <c r="F398" s="16" t="n">
        <f aca="false">F395+F397</f>
        <v>1410.83503834511</v>
      </c>
      <c r="G398" s="16" t="n">
        <f aca="false">G395+G397</f>
        <v>1715.75866076974</v>
      </c>
    </row>
    <row r="399" customFormat="false" ht="15" hidden="false" customHeight="false" outlineLevel="0" collapsed="false">
      <c r="A399" s="5" t="s">
        <v>472</v>
      </c>
      <c r="B399" s="0" t="s">
        <v>176</v>
      </c>
      <c r="C399" s="16" t="n">
        <f aca="false">a25_tax</f>
        <v>68.5</v>
      </c>
      <c r="D399" s="16" t="n">
        <f aca="false">a26_tax</f>
        <v>138.23746294</v>
      </c>
      <c r="E399" s="16" t="n">
        <f aca="false">E398*tax</f>
        <v>210.324098084372</v>
      </c>
      <c r="F399" s="16" t="n">
        <f aca="false">F398*tax</f>
        <v>282.167007669023</v>
      </c>
      <c r="G399" s="16" t="n">
        <f aca="false">G398*tax</f>
        <v>343.151732153948</v>
      </c>
    </row>
    <row r="400" customFormat="false" ht="15" hidden="false" customHeight="false" outlineLevel="0" collapsed="false">
      <c r="A400" s="5" t="s">
        <v>474</v>
      </c>
      <c r="B400" s="0" t="s">
        <v>176</v>
      </c>
      <c r="C400" s="16" t="n">
        <f aca="false">a25_nci</f>
        <v>2.30000000000007</v>
      </c>
      <c r="D400" s="16" t="n">
        <f aca="false">a26_nci</f>
        <v>3.7</v>
      </c>
      <c r="E400" s="16" t="n">
        <f aca="false">nci</f>
        <v>3</v>
      </c>
      <c r="F400" s="16" t="n">
        <f aca="false">nci</f>
        <v>3</v>
      </c>
      <c r="G400" s="16" t="n">
        <f aca="false">nci</f>
        <v>3</v>
      </c>
    </row>
    <row r="401" customFormat="false" ht="15" hidden="false" customHeight="false" outlineLevel="0" collapsed="false">
      <c r="A401" s="5" t="s">
        <v>476</v>
      </c>
      <c r="B401" s="0" t="s">
        <v>176</v>
      </c>
      <c r="C401" s="16" t="n">
        <f aca="false">C398-C399-C400</f>
        <v>373.9</v>
      </c>
      <c r="D401" s="16" t="n">
        <f aca="false">D398-D399-D400</f>
        <v>645.64985176</v>
      </c>
      <c r="E401" s="16" t="n">
        <f aca="false">E398-E399-E400</f>
        <v>838.296392337489</v>
      </c>
      <c r="F401" s="16" t="n">
        <f aca="false">F398-F399-F400</f>
        <v>1125.66803067609</v>
      </c>
      <c r="G401" s="16" t="n">
        <f aca="false">G398-G399-G400</f>
        <v>1369.60692861579</v>
      </c>
      <c r="H401" s="29" t="n">
        <f aca="false">H379*H405</f>
        <v>1472.26388021562</v>
      </c>
      <c r="I401" s="29" t="n">
        <f aca="false">I379*I405</f>
        <v>1554.56575983131</v>
      </c>
      <c r="J401" s="29" t="n">
        <f aca="false">J379*J405</f>
        <v>1611.84502469829</v>
      </c>
    </row>
    <row r="402" customFormat="false" ht="15" hidden="false" customHeight="false" outlineLevel="0" collapsed="false">
      <c r="A402" s="5" t="s">
        <v>588</v>
      </c>
      <c r="B402" s="5" t="s">
        <v>310</v>
      </c>
      <c r="C402" s="21" t="n">
        <f aca="false">a25_sh</f>
        <v>248.5</v>
      </c>
      <c r="D402" s="21" t="n">
        <f aca="false">a26_sh</f>
        <v>249.915</v>
      </c>
      <c r="E402" s="21" t="n">
        <f aca="false">D402*(1+sh_g)</f>
        <v>249.915</v>
      </c>
      <c r="F402" s="21" t="n">
        <f aca="false">E402*(1+sh_g)</f>
        <v>249.915</v>
      </c>
      <c r="G402" s="21" t="n">
        <f aca="false">F402*(1+sh_g)</f>
        <v>249.915</v>
      </c>
      <c r="H402" s="30" t="n">
        <f aca="false">G402*(1+sh_g)</f>
        <v>249.915</v>
      </c>
      <c r="I402" s="30" t="n">
        <f aca="false">H402*(1+sh_g)</f>
        <v>249.915</v>
      </c>
      <c r="J402" s="30" t="n">
        <f aca="false">I402*(1+sh_g)</f>
        <v>249.915</v>
      </c>
    </row>
    <row r="403" customFormat="false" ht="17.15" hidden="false" customHeight="false" outlineLevel="0" collapsed="false">
      <c r="A403" s="0" t="s">
        <v>480</v>
      </c>
      <c r="B403" s="0" t="s">
        <v>331</v>
      </c>
      <c r="C403" s="18" t="n">
        <f aca="false">C401/C402</f>
        <v>1.5046277665996</v>
      </c>
      <c r="D403" s="18" t="n">
        <f aca="false">D401/D402</f>
        <v>2.58347778948843</v>
      </c>
      <c r="E403" s="18" t="n">
        <f aca="false">E401/E402</f>
        <v>3.35432604020362</v>
      </c>
      <c r="F403" s="18" t="n">
        <f aca="false">F401/F402</f>
        <v>4.50420355191202</v>
      </c>
      <c r="G403" s="18" t="n">
        <f aca="false">G401/G402</f>
        <v>5.48029101340772</v>
      </c>
      <c r="H403" s="27" t="n">
        <f aca="false">H401/H402</f>
        <v>5.89105848074592</v>
      </c>
      <c r="I403" s="27" t="n">
        <f aca="false">I401/I402</f>
        <v>6.2203779678343</v>
      </c>
      <c r="J403" s="27" t="n">
        <f aca="false">J401/J402</f>
        <v>6.44957295359738</v>
      </c>
    </row>
    <row r="404" customFormat="false" ht="17.15" hidden="false" customHeight="false" outlineLevel="0" collapsed="false">
      <c r="A404" s="0" t="s">
        <v>589</v>
      </c>
      <c r="B404" s="0" t="s">
        <v>77</v>
      </c>
      <c r="D404" s="20" t="n">
        <f aca="false">D403/C403-1</f>
        <v>0.717021210719106</v>
      </c>
      <c r="E404" s="20" t="n">
        <f aca="false">E403/D403-1</f>
        <v>0.298376186492332</v>
      </c>
      <c r="F404" s="20" t="n">
        <f aca="false">F403/E403-1</f>
        <v>0.34280433622922</v>
      </c>
      <c r="G404" s="20" t="n">
        <f aca="false">G403/F403-1</f>
        <v>0.216705894892641</v>
      </c>
      <c r="H404" s="25" t="n">
        <f aca="false">H403/G403-1</f>
        <v>0.0749535866495499</v>
      </c>
      <c r="I404" s="25" t="n">
        <f aca="false">I403/H403-1</f>
        <v>0.0559015817216388</v>
      </c>
      <c r="J404" s="25" t="n">
        <f aca="false">J403/I403-1</f>
        <v>0.0368458294573513</v>
      </c>
    </row>
    <row r="405" customFormat="false" ht="17.15" hidden="false" customHeight="false" outlineLevel="0" collapsed="false">
      <c r="A405" s="5" t="s">
        <v>590</v>
      </c>
      <c r="B405" s="0" t="s">
        <v>77</v>
      </c>
      <c r="C405" s="17" t="n">
        <f aca="false">C401/C379</f>
        <v>0.0557394156231365</v>
      </c>
      <c r="D405" s="17" t="n">
        <f aca="false">D401/D379</f>
        <v>0.0840639229794768</v>
      </c>
      <c r="E405" s="17" t="n">
        <f aca="false">E401/E379</f>
        <v>0.0928568195222934</v>
      </c>
      <c r="F405" s="17" t="n">
        <f aca="false">F401/F379</f>
        <v>0.108402621050412</v>
      </c>
      <c r="G405" s="17" t="n">
        <f aca="false">G401/G379</f>
        <v>0.118089590274937</v>
      </c>
      <c r="H405" s="26" t="n">
        <f aca="false">$G405+(fade_mA-$G405)*1/3</f>
        <v>0.115618067272719</v>
      </c>
      <c r="I405" s="26" t="n">
        <f aca="false">$G405+(fade_mA-$G405)*2/3</f>
        <v>0.113146544270502</v>
      </c>
      <c r="J405" s="26" t="n">
        <f aca="false">$G405+(fade_mA-$G405)*3/3</f>
        <v>0.110675021268284</v>
      </c>
    </row>
    <row r="408" customFormat="false" ht="17.15" hidden="false" customHeight="false" outlineLevel="0" collapsed="false">
      <c r="A408" s="3" t="s">
        <v>927</v>
      </c>
    </row>
    <row r="409" customFormat="false" ht="17.15" hidden="false" customHeight="false" outlineLevel="0" collapsed="false">
      <c r="A409" s="6" t="s">
        <v>22</v>
      </c>
      <c r="B409" s="6" t="s">
        <v>23</v>
      </c>
      <c r="C409" s="14" t="s">
        <v>437</v>
      </c>
      <c r="D409" s="14" t="s">
        <v>527</v>
      </c>
      <c r="E409" s="14" t="s">
        <v>528</v>
      </c>
      <c r="F409" s="14" t="s">
        <v>529</v>
      </c>
      <c r="G409" s="14" t="s">
        <v>530</v>
      </c>
      <c r="H409" s="14" t="s">
        <v>531</v>
      </c>
      <c r="I409" s="14" t="s">
        <v>532</v>
      </c>
      <c r="J409" s="14" t="s">
        <v>533</v>
      </c>
      <c r="K409" s="6" t="s">
        <v>503</v>
      </c>
    </row>
    <row r="410" customFormat="false" ht="17.15" hidden="false" customHeight="false" outlineLevel="0" collapsed="false">
      <c r="A410" s="1" t="s">
        <v>551</v>
      </c>
    </row>
    <row r="411" customFormat="false" ht="17.15" hidden="false" customHeight="false" outlineLevel="0" collapsed="false">
      <c r="A411" s="0" t="s">
        <v>552</v>
      </c>
      <c r="B411" s="5" t="s">
        <v>33</v>
      </c>
      <c r="D411" s="18" t="n">
        <f aca="false">units_26</f>
        <v>15.2</v>
      </c>
      <c r="E411" s="18" t="n">
        <f aca="false">units_27*1</f>
        <v>23.7</v>
      </c>
      <c r="F411" s="18" t="n">
        <f aca="false">units_28*um28_A*1</f>
        <v>26.5</v>
      </c>
      <c r="G411" s="18" t="n">
        <f aca="false">units_29*um29_A*1</f>
        <v>30.15</v>
      </c>
    </row>
    <row r="412" customFormat="false" ht="17.15" hidden="false" customHeight="false" outlineLevel="0" collapsed="false">
      <c r="A412" s="5" t="s">
        <v>506</v>
      </c>
      <c r="B412" s="0" t="s">
        <v>46</v>
      </c>
      <c r="D412" s="22" t="n">
        <f aca="false">ar_26</f>
        <v>1</v>
      </c>
      <c r="E412" s="22" t="n">
        <f aca="false">ar_27</f>
        <v>1.278156</v>
      </c>
      <c r="F412" s="22" t="n">
        <f aca="false">ar_28</f>
        <v>1.428615</v>
      </c>
      <c r="G412" s="22" t="n">
        <f aca="false">ar_29</f>
        <v>1.431796</v>
      </c>
    </row>
    <row r="413" customFormat="false" ht="17.15" hidden="false" customHeight="false" outlineLevel="0" collapsed="false">
      <c r="A413" s="5" t="s">
        <v>508</v>
      </c>
      <c r="B413" s="0" t="s">
        <v>77</v>
      </c>
      <c r="D413" s="20" t="n">
        <f aca="false">out_26</f>
        <v>0.5</v>
      </c>
      <c r="E413" s="20" t="n">
        <f aca="false">out_27</f>
        <v>0.55</v>
      </c>
      <c r="F413" s="20" t="n">
        <f aca="false">out_28</f>
        <v>0.6</v>
      </c>
      <c r="G413" s="20" t="n">
        <f aca="false">out_29</f>
        <v>0.6</v>
      </c>
      <c r="K413" s="8" t="s">
        <v>553</v>
      </c>
    </row>
    <row r="414" customFormat="false" ht="17.15" hidden="false" customHeight="false" outlineLevel="0" collapsed="false">
      <c r="A414" s="0" t="s">
        <v>509</v>
      </c>
      <c r="B414" s="0" t="s">
        <v>77</v>
      </c>
      <c r="D414" s="20" t="n">
        <f aca="false">sh_26</f>
        <v>0.35</v>
      </c>
      <c r="E414" s="20" t="n">
        <f aca="false">sh_27</f>
        <v>0.35</v>
      </c>
      <c r="F414" s="20" t="n">
        <f aca="false">sh_28</f>
        <v>0.37</v>
      </c>
      <c r="G414" s="20" t="n">
        <f aca="false">sh_29</f>
        <v>0.38</v>
      </c>
    </row>
    <row r="415" customFormat="false" ht="17.15" hidden="false" customHeight="false" outlineLevel="0" collapsed="false">
      <c r="A415" s="0" t="s">
        <v>554</v>
      </c>
      <c r="B415" s="0" t="s">
        <v>176</v>
      </c>
      <c r="C415" s="16" t="n">
        <f aca="false">(a26_comp-a25_comp*(1+g_pc26))/(tri_lo-(1+g_pc26))</f>
        <v>380.910065359477</v>
      </c>
      <c r="D415" s="16" t="n">
        <f aca="false">C415*tri_lo</f>
        <v>952.275163398693</v>
      </c>
      <c r="E415" s="16" t="n">
        <f aca="false">E411*E413*E414*E416</f>
        <v>1846.51071550887</v>
      </c>
      <c r="F415" s="16" t="n">
        <f aca="false">F411*F413*F414*F416</f>
        <v>2517.31331024145</v>
      </c>
      <c r="G415" s="16" t="n">
        <f aca="false">G411*G413*G414*G416</f>
        <v>2944.71695381679</v>
      </c>
      <c r="K415" s="8" t="s">
        <v>555</v>
      </c>
    </row>
    <row r="416" customFormat="false" ht="17.15" hidden="false" customHeight="false" outlineLevel="0" collapsed="false">
      <c r="A416" s="5" t="s">
        <v>556</v>
      </c>
      <c r="B416" s="0" t="s">
        <v>511</v>
      </c>
      <c r="D416" s="23" t="n">
        <f aca="false">D415/(D411*D413*D414)</f>
        <v>357.998181728832</v>
      </c>
      <c r="E416" s="23" t="n">
        <f aca="false">$D416*E412^el</f>
        <v>404.73685473371</v>
      </c>
      <c r="F416" s="23" t="n">
        <f aca="false">$D416*F412^el</f>
        <v>427.896194159689</v>
      </c>
      <c r="G416" s="23" t="n">
        <f aca="false">$D416*G412^el</f>
        <v>428.372312969769</v>
      </c>
      <c r="K416" s="8" t="s">
        <v>557</v>
      </c>
    </row>
    <row r="417" customFormat="false" ht="17.15" hidden="false" customHeight="false" outlineLevel="0" collapsed="false">
      <c r="A417" s="5" t="s">
        <v>515</v>
      </c>
      <c r="B417" s="0" t="s">
        <v>511</v>
      </c>
      <c r="D417" s="16" t="n">
        <f aca="false">D415/D411</f>
        <v>62.6496818025456</v>
      </c>
      <c r="E417" s="16" t="n">
        <f aca="false">E415/E411</f>
        <v>77.9118445362392</v>
      </c>
      <c r="F417" s="16" t="n">
        <f aca="false">F415/F411</f>
        <v>94.9929551034509</v>
      </c>
      <c r="G417" s="16" t="n">
        <f aca="false">G415/G411</f>
        <v>97.6688873571073</v>
      </c>
      <c r="K417" s="5" t="s">
        <v>558</v>
      </c>
    </row>
    <row r="418" customFormat="false" ht="17.15" hidden="false" customHeight="false" outlineLevel="0" collapsed="false">
      <c r="A418" s="1" t="s">
        <v>559</v>
      </c>
    </row>
    <row r="419" customFormat="false" ht="17.15" hidden="false" customHeight="false" outlineLevel="0" collapsed="false">
      <c r="A419" s="5" t="s">
        <v>560</v>
      </c>
      <c r="B419" s="0" t="s">
        <v>176</v>
      </c>
      <c r="C419" s="16" t="n">
        <f aca="false">a25_comp-C415</f>
        <v>960.689934640523</v>
      </c>
      <c r="D419" s="16" t="n">
        <f aca="false">a26_comp-D415</f>
        <v>931.869236601307</v>
      </c>
      <c r="E419" s="16" t="n">
        <f aca="false">D419*(1+g_pc)</f>
        <v>959.825313699347</v>
      </c>
      <c r="F419" s="16" t="n">
        <f aca="false">E419*(1+g_pc)</f>
        <v>988.620073110327</v>
      </c>
      <c r="G419" s="16" t="n">
        <f aca="false">F419*(1+g_pc)</f>
        <v>1018.27867530364</v>
      </c>
    </row>
    <row r="420" customFormat="false" ht="15" hidden="false" customHeight="false" outlineLevel="0" collapsed="false">
      <c r="A420" s="5" t="s">
        <v>561</v>
      </c>
      <c r="B420" s="0" t="s">
        <v>176</v>
      </c>
      <c r="C420" s="16" t="n">
        <f aca="false">C415+C419</f>
        <v>1341.6</v>
      </c>
      <c r="D420" s="16" t="n">
        <f aca="false">D415+D419</f>
        <v>1884.1444</v>
      </c>
      <c r="E420" s="16" t="n">
        <f aca="false">E415+E419</f>
        <v>2806.33602920821</v>
      </c>
      <c r="F420" s="16" t="n">
        <f aca="false">F415+F419</f>
        <v>3505.93338335178</v>
      </c>
      <c r="G420" s="16" t="n">
        <f aca="false">G415+G419</f>
        <v>3962.99562912042</v>
      </c>
    </row>
    <row r="421" customFormat="false" ht="17.15" hidden="false" customHeight="false" outlineLevel="0" collapsed="false">
      <c r="A421" s="5" t="s">
        <v>562</v>
      </c>
      <c r="B421" s="0" t="s">
        <v>176</v>
      </c>
      <c r="C421" s="16" t="n">
        <f aca="false">a25_cm</f>
        <v>3085.68</v>
      </c>
      <c r="D421" s="16" t="n">
        <f aca="false">a26_cm</f>
        <v>3041.87176</v>
      </c>
      <c r="E421" s="16" t="n">
        <f aca="false">D421*(1+g_cm27_A)</f>
        <v>3133.1279128</v>
      </c>
      <c r="F421" s="16" t="n">
        <f aca="false">E421*(1+g_cmL_A)</f>
        <v>3258.453029312</v>
      </c>
      <c r="G421" s="16" t="n">
        <f aca="false">F421*(1+g_cmL_A)</f>
        <v>3388.79115048448</v>
      </c>
    </row>
    <row r="422" customFormat="false" ht="15" hidden="false" customHeight="false" outlineLevel="0" collapsed="false">
      <c r="A422" s="5" t="s">
        <v>563</v>
      </c>
      <c r="B422" s="0" t="s">
        <v>176</v>
      </c>
      <c r="C422" s="16" t="n">
        <f aca="false">a25_au</f>
        <v>1274.52</v>
      </c>
      <c r="D422" s="16" t="n">
        <f aca="false">a26_au</f>
        <v>1656.99176</v>
      </c>
      <c r="E422" s="16" t="n">
        <f aca="false">D422*(1+g_au)</f>
        <v>1822.690936</v>
      </c>
      <c r="F422" s="16" t="n">
        <f aca="false">E422*(1+g_au)</f>
        <v>2004.9600296</v>
      </c>
      <c r="G422" s="16" t="n">
        <f aca="false">F422*(1+g_au)</f>
        <v>2205.45603256</v>
      </c>
    </row>
    <row r="423" customFormat="false" ht="15" hidden="false" customHeight="false" outlineLevel="0" collapsed="false">
      <c r="A423" s="5" t="s">
        <v>564</v>
      </c>
      <c r="B423" s="0" t="s">
        <v>176</v>
      </c>
      <c r="C423" s="16" t="n">
        <f aca="false">a25_cs</f>
        <v>1006.2</v>
      </c>
      <c r="D423" s="16" t="n">
        <f aca="false">a26_cs</f>
        <v>1097.4551</v>
      </c>
      <c r="E423" s="16" t="n">
        <f aca="false">D423*(1+g_cs)</f>
        <v>1130.378753</v>
      </c>
      <c r="F423" s="16" t="n">
        <f aca="false">E423*(1+g_cs)</f>
        <v>1164.29011559</v>
      </c>
      <c r="G423" s="16" t="n">
        <f aca="false">F423*(1+g_cs)</f>
        <v>1199.2188190577</v>
      </c>
    </row>
    <row r="424" customFormat="false" ht="17.15" hidden="false" customHeight="false" outlineLevel="0" collapsed="false">
      <c r="A424" s="5" t="s">
        <v>565</v>
      </c>
      <c r="B424" s="0" t="s">
        <v>176</v>
      </c>
      <c r="C424" s="16" t="n">
        <f aca="false">0</f>
        <v>0</v>
      </c>
      <c r="D424" s="16" t="n">
        <f aca="false">0</f>
        <v>0</v>
      </c>
      <c r="E424" s="16" t="n">
        <f aca="false">0</f>
        <v>0</v>
      </c>
      <c r="F424" s="16" t="n">
        <f aca="false">az_rev28_A</f>
        <v>150</v>
      </c>
      <c r="G424" s="16" t="n">
        <f aca="false">az_rev29_A</f>
        <v>500</v>
      </c>
      <c r="K424" s="5" t="s">
        <v>566</v>
      </c>
    </row>
    <row r="425" customFormat="false" ht="17.15" hidden="false" customHeight="false" outlineLevel="0" collapsed="false">
      <c r="A425" s="5" t="s">
        <v>444</v>
      </c>
      <c r="B425" s="0" t="s">
        <v>176</v>
      </c>
      <c r="C425" s="16" t="n">
        <f aca="false">C420+C421+C422+C423+C424</f>
        <v>6708</v>
      </c>
      <c r="D425" s="16" t="n">
        <f aca="false">D420+D421+D422+D423+D424</f>
        <v>7680.46302</v>
      </c>
      <c r="E425" s="16" t="n">
        <f aca="false">E420+E421+E422+E423+E424</f>
        <v>8892.53363100822</v>
      </c>
      <c r="F425" s="16" t="n">
        <f aca="false">F420+F421+F422+F423+F424</f>
        <v>10083.6365578538</v>
      </c>
      <c r="G425" s="16" t="n">
        <f aca="false">G420+G421+G422+G423+G424</f>
        <v>11256.4616312226</v>
      </c>
      <c r="H425" s="29" t="n">
        <f aca="false">G425*(1+H426)</f>
        <v>12354.4148933373</v>
      </c>
      <c r="I425" s="29" t="n">
        <f aca="false">H425*(1+I426)</f>
        <v>13327.5710539852</v>
      </c>
      <c r="J425" s="29" t="n">
        <f aca="false">I425*(1+J426)</f>
        <v>14127.2253172243</v>
      </c>
      <c r="K425" s="8" t="s">
        <v>567</v>
      </c>
    </row>
    <row r="426" customFormat="false" ht="15" hidden="false" customHeight="false" outlineLevel="0" collapsed="false">
      <c r="A426" s="5" t="s">
        <v>568</v>
      </c>
      <c r="B426" s="0" t="s">
        <v>77</v>
      </c>
      <c r="D426" s="20" t="n">
        <f aca="false">D425/C425-1</f>
        <v>0.144970635062612</v>
      </c>
      <c r="E426" s="20" t="n">
        <f aca="false">E425/D425-1</f>
        <v>0.157812179793324</v>
      </c>
      <c r="F426" s="20" t="n">
        <f aca="false">F425/E425-1</f>
        <v>0.133944157679898</v>
      </c>
      <c r="G426" s="20" t="n">
        <f aca="false">G425/F425-1</f>
        <v>0.116309732767526</v>
      </c>
      <c r="H426" s="25" t="n">
        <f aca="false">$G426+(fade_gA-$G426)*1/3</f>
        <v>0.0975398218450172</v>
      </c>
      <c r="I426" s="25" t="n">
        <f aca="false">$G426+(fade_gA-$G426)*2/3</f>
        <v>0.0787699109225086</v>
      </c>
      <c r="J426" s="25" t="n">
        <f aca="false">$G426+(fade_gA-$G426)*3/3</f>
        <v>0.06</v>
      </c>
    </row>
    <row r="427" customFormat="false" ht="17.15" hidden="false" customHeight="false" outlineLevel="0" collapsed="false">
      <c r="A427" s="0" t="s">
        <v>569</v>
      </c>
      <c r="B427" s="0" t="s">
        <v>77</v>
      </c>
      <c r="C427" s="20" t="n">
        <f aca="false">C415/C425</f>
        <v>0.0567844462372506</v>
      </c>
      <c r="D427" s="20" t="n">
        <f aca="false">D415/D425</f>
        <v>0.123986686859758</v>
      </c>
      <c r="E427" s="20" t="n">
        <f aca="false">E415/E425</f>
        <v>0.207647313142578</v>
      </c>
      <c r="F427" s="20" t="n">
        <f aca="false">F415/F425</f>
        <v>0.249643399561124</v>
      </c>
      <c r="G427" s="20" t="n">
        <f aca="false">G415/G425</f>
        <v>0.261602362295526</v>
      </c>
    </row>
    <row r="428" customFormat="false" ht="17.15" hidden="false" customHeight="false" outlineLevel="0" collapsed="false">
      <c r="A428" s="5" t="s">
        <v>570</v>
      </c>
      <c r="B428" s="0" t="s">
        <v>77</v>
      </c>
      <c r="C428" s="20" t="n">
        <f aca="false">C421/C425</f>
        <v>0.46</v>
      </c>
      <c r="D428" s="20" t="n">
        <f aca="false">D421/D425</f>
        <v>0.396053174408748</v>
      </c>
      <c r="E428" s="20" t="n">
        <f aca="false">E421/E425</f>
        <v>0.352332422097882</v>
      </c>
      <c r="F428" s="20" t="n">
        <f aca="false">F421/F425</f>
        <v>0.323142649045012</v>
      </c>
      <c r="G428" s="20" t="n">
        <f aca="false">G421/G425</f>
        <v>0.301052965088498</v>
      </c>
    </row>
    <row r="429" customFormat="false" ht="17.15" hidden="false" customHeight="false" outlineLevel="0" collapsed="false">
      <c r="A429" s="1" t="s">
        <v>571</v>
      </c>
    </row>
    <row r="430" customFormat="false" ht="15" hidden="false" customHeight="false" outlineLevel="0" collapsed="false">
      <c r="A430" s="5" t="s">
        <v>572</v>
      </c>
      <c r="B430" s="0" t="s">
        <v>176</v>
      </c>
      <c r="C430" s="16" t="n">
        <f aca="false">C425-C424</f>
        <v>6708</v>
      </c>
      <c r="D430" s="16" t="n">
        <f aca="false">D425-D424</f>
        <v>7680.46302</v>
      </c>
      <c r="E430" s="16" t="n">
        <f aca="false">E425-E424</f>
        <v>8892.53363100822</v>
      </c>
      <c r="F430" s="16" t="n">
        <f aca="false">F425-F424</f>
        <v>9933.63655785378</v>
      </c>
      <c r="G430" s="16" t="n">
        <f aca="false">G425-G424</f>
        <v>10756.4616312226</v>
      </c>
    </row>
    <row r="431" customFormat="false" ht="17.15" hidden="false" customHeight="false" outlineLevel="0" collapsed="false">
      <c r="A431" s="5" t="s">
        <v>573</v>
      </c>
      <c r="B431" s="0" t="s">
        <v>176</v>
      </c>
      <c r="D431" s="16" t="n">
        <f aca="false">cap_m26</f>
        <v>1200</v>
      </c>
      <c r="E431" s="16" t="n">
        <f aca="false">capi*E430</f>
        <v>1244.95470834115</v>
      </c>
      <c r="F431" s="16" t="n">
        <f aca="false">capi*F430</f>
        <v>1390.70911809953</v>
      </c>
      <c r="G431" s="16" t="n">
        <f aca="false">capi*G430</f>
        <v>1505.90462837116</v>
      </c>
      <c r="K431" s="8" t="s">
        <v>574</v>
      </c>
    </row>
    <row r="432" customFormat="false" ht="17.15" hidden="false" customHeight="false" outlineLevel="0" collapsed="false">
      <c r="A432" s="5" t="s">
        <v>575</v>
      </c>
      <c r="B432" s="0" t="s">
        <v>176</v>
      </c>
      <c r="C432" s="16" t="n">
        <f aca="false">a25_da</f>
        <v>642</v>
      </c>
      <c r="D432" s="16" t="n">
        <f aca="false">a26_da</f>
        <v>740.6</v>
      </c>
      <c r="E432" s="16" t="n">
        <f aca="false">D432*(1-1/life)+D431/life</f>
        <v>806.228571428572</v>
      </c>
      <c r="F432" s="16" t="n">
        <f aca="false">E432*(1-1/life)+E431/life</f>
        <v>868.903733844654</v>
      </c>
      <c r="G432" s="16" t="n">
        <f aca="false">F432*(1-1/life)+F431/life</f>
        <v>943.447360166779</v>
      </c>
      <c r="K432" s="5" t="s">
        <v>576</v>
      </c>
    </row>
    <row r="433" customFormat="false" ht="15" hidden="false" customHeight="false" outlineLevel="0" collapsed="false">
      <c r="A433" s="5" t="s">
        <v>577</v>
      </c>
      <c r="B433" s="0" t="s">
        <v>176</v>
      </c>
      <c r="E433" s="16" t="n">
        <f aca="false">0</f>
        <v>0</v>
      </c>
      <c r="F433" s="16" t="n">
        <f aca="false">az_capex1*(1-az_inc)/az_life*az_svc28</f>
        <v>94.7916666666667</v>
      </c>
      <c r="G433" s="16" t="n">
        <f aca="false">az_capex1*(1-az_inc)/az_life</f>
        <v>189.583333333333</v>
      </c>
    </row>
    <row r="434" customFormat="false" ht="15" hidden="false" customHeight="false" outlineLevel="0" collapsed="false">
      <c r="A434" s="5" t="s">
        <v>578</v>
      </c>
      <c r="B434" s="0" t="s">
        <v>176</v>
      </c>
      <c r="C434" s="16" t="n">
        <f aca="false">C432</f>
        <v>642</v>
      </c>
      <c r="D434" s="16" t="n">
        <f aca="false">D432</f>
        <v>740.6</v>
      </c>
      <c r="E434" s="16" t="n">
        <f aca="false">E432+E433</f>
        <v>806.228571428572</v>
      </c>
      <c r="F434" s="16" t="n">
        <f aca="false">F432+F433</f>
        <v>963.695400511321</v>
      </c>
      <c r="G434" s="16" t="n">
        <f aca="false">G432+G433</f>
        <v>1133.03069350011</v>
      </c>
    </row>
    <row r="435" customFormat="false" ht="17.15" hidden="false" customHeight="false" outlineLevel="0" collapsed="false">
      <c r="A435" s="5" t="s">
        <v>579</v>
      </c>
      <c r="B435" s="0" t="s">
        <v>176</v>
      </c>
      <c r="C435" s="16" t="n">
        <f aca="false">a25_gp</f>
        <v>938.6</v>
      </c>
      <c r="D435" s="16" t="n">
        <f aca="false">a26_gp</f>
        <v>1325.7873147</v>
      </c>
      <c r="E435" s="16" t="n">
        <f aca="false">$D435+ft*(E430-$D430)-(E432-$D432)</f>
        <v>1744.98698767471</v>
      </c>
      <c r="F435" s="16" t="n">
        <f aca="false">$D435+ft*(F430-$D430)-(F432-$D432)</f>
        <v>2098.75299599686</v>
      </c>
      <c r="G435" s="16" t="n">
        <f aca="false">$D435+ft*(G430-$D430)-(G432-$D432)</f>
        <v>2353.33939902226</v>
      </c>
      <c r="K435" s="5" t="s">
        <v>580</v>
      </c>
    </row>
    <row r="436" customFormat="false" ht="17.15" hidden="false" customHeight="false" outlineLevel="0" collapsed="false">
      <c r="A436" s="5" t="s">
        <v>581</v>
      </c>
      <c r="B436" s="0" t="s">
        <v>176</v>
      </c>
      <c r="E436" s="16" t="n">
        <f aca="false">E424*az_cm-az_fix27</f>
        <v>-120</v>
      </c>
      <c r="F436" s="16" t="n">
        <f aca="false">F424*az_cm-az_fix28-F433</f>
        <v>-112.291666666667</v>
      </c>
      <c r="G436" s="16" t="n">
        <f aca="false">G424*az_cm-az_fix29-G433</f>
        <v>-14.5833333333333</v>
      </c>
      <c r="K436" s="8" t="s">
        <v>582</v>
      </c>
    </row>
    <row r="437" customFormat="false" ht="15" hidden="false" customHeight="false" outlineLevel="0" collapsed="false">
      <c r="A437" s="5" t="s">
        <v>458</v>
      </c>
      <c r="B437" s="0" t="s">
        <v>176</v>
      </c>
      <c r="C437" s="16" t="n">
        <f aca="false">a25_gp</f>
        <v>938.6</v>
      </c>
      <c r="D437" s="16" t="n">
        <f aca="false">a26_gp</f>
        <v>1325.7873147</v>
      </c>
      <c r="E437" s="16" t="n">
        <f aca="false">E435+E436</f>
        <v>1624.98698767471</v>
      </c>
      <c r="F437" s="16" t="n">
        <f aca="false">F435+F436</f>
        <v>1986.46132933019</v>
      </c>
      <c r="G437" s="16" t="n">
        <f aca="false">G435+G436</f>
        <v>2338.75606568893</v>
      </c>
    </row>
    <row r="438" customFormat="false" ht="15" hidden="false" customHeight="false" outlineLevel="0" collapsed="false">
      <c r="A438" s="5" t="s">
        <v>461</v>
      </c>
      <c r="B438" s="0" t="s">
        <v>77</v>
      </c>
      <c r="C438" s="17" t="n">
        <f aca="false">C437/C425</f>
        <v>0.139922480620155</v>
      </c>
      <c r="D438" s="17" t="n">
        <f aca="false">D437/D425</f>
        <v>0.172618149615152</v>
      </c>
      <c r="E438" s="17" t="n">
        <f aca="false">E437/E425</f>
        <v>0.182736108189503</v>
      </c>
      <c r="F438" s="17" t="n">
        <f aca="false">F437/F425</f>
        <v>0.196998505244917</v>
      </c>
      <c r="G438" s="17" t="n">
        <f aca="false">G437/G425</f>
        <v>0.207770091731296</v>
      </c>
    </row>
    <row r="439" customFormat="false" ht="17.15" hidden="false" customHeight="false" outlineLevel="0" collapsed="false">
      <c r="A439" s="5" t="s">
        <v>583</v>
      </c>
      <c r="B439" s="0" t="s">
        <v>584</v>
      </c>
      <c r="E439" s="17" t="n">
        <f aca="false">E436/E425</f>
        <v>-0.0134944668166967</v>
      </c>
      <c r="F439" s="17" t="n">
        <f aca="false">F436/F425</f>
        <v>-0.0111360287553409</v>
      </c>
      <c r="G439" s="17" t="n">
        <f aca="false">G436/G425</f>
        <v>-0.00129555217359626</v>
      </c>
      <c r="K439" s="5" t="s">
        <v>585</v>
      </c>
    </row>
    <row r="440" customFormat="false" ht="17.15" hidden="false" customHeight="false" outlineLevel="0" collapsed="false">
      <c r="A440" s="5" t="s">
        <v>463</v>
      </c>
      <c r="B440" s="0" t="s">
        <v>176</v>
      </c>
      <c r="C440" s="16" t="n">
        <f aca="false">a25_opx</f>
        <v>471.2</v>
      </c>
      <c r="D440" s="16" t="n">
        <f aca="false">a26_opx</f>
        <v>537.5</v>
      </c>
      <c r="E440" s="16" t="n">
        <f aca="false">(D440+opx_gain)*(1+phi*E426)</f>
        <v>602.569051207286</v>
      </c>
      <c r="F440" s="16" t="n">
        <f aca="false">E440*(1+phi*F426)</f>
        <v>642.924353211253</v>
      </c>
      <c r="G440" s="16" t="n">
        <f aca="false">F440*(1+phi*G426)</f>
        <v>680.313533067121</v>
      </c>
      <c r="K440" s="8" t="s">
        <v>586</v>
      </c>
    </row>
    <row r="441" customFormat="false" ht="15" hidden="false" customHeight="false" outlineLevel="0" collapsed="false">
      <c r="A441" s="5" t="s">
        <v>466</v>
      </c>
      <c r="B441" s="0" t="s">
        <v>176</v>
      </c>
      <c r="C441" s="16" t="n">
        <f aca="false">C437-C440</f>
        <v>467.4</v>
      </c>
      <c r="D441" s="16" t="n">
        <f aca="false">D437-D440</f>
        <v>788.2873147</v>
      </c>
      <c r="E441" s="16" t="n">
        <f aca="false">E437-E440</f>
        <v>1022.41793646743</v>
      </c>
      <c r="F441" s="16" t="n">
        <f aca="false">F437-F440</f>
        <v>1343.53697611894</v>
      </c>
      <c r="G441" s="16" t="n">
        <f aca="false">G437-G440</f>
        <v>1658.44253262181</v>
      </c>
    </row>
    <row r="442" customFormat="false" ht="15" hidden="false" customHeight="false" outlineLevel="0" collapsed="false">
      <c r="A442" s="5" t="s">
        <v>540</v>
      </c>
      <c r="B442" s="0" t="s">
        <v>77</v>
      </c>
      <c r="C442" s="17" t="n">
        <f aca="false">C441/C425</f>
        <v>0.0696779964221825</v>
      </c>
      <c r="D442" s="17" t="n">
        <f aca="false">D441/D425</f>
        <v>0.102635389643475</v>
      </c>
      <c r="E442" s="17" t="n">
        <f aca="false">E441/E425</f>
        <v>0.114974874303794</v>
      </c>
      <c r="F442" s="17" t="n">
        <f aca="false">F441/F425</f>
        <v>0.133239329721032</v>
      </c>
      <c r="G442" s="17" t="n">
        <f aca="false">G441/G425</f>
        <v>0.147332491057554</v>
      </c>
    </row>
    <row r="443" customFormat="false" ht="15" hidden="false" customHeight="false" outlineLevel="0" collapsed="false">
      <c r="A443" s="5" t="s">
        <v>587</v>
      </c>
      <c r="B443" s="0" t="s">
        <v>176</v>
      </c>
      <c r="C443" s="16" t="n">
        <f aca="false">a25_nonop</f>
        <v>-22.7</v>
      </c>
      <c r="D443" s="16" t="n">
        <f aca="false">a26_nonop</f>
        <v>-0.700000000000003</v>
      </c>
      <c r="E443" s="16" t="n">
        <f aca="false">nonop27</f>
        <v>-20</v>
      </c>
      <c r="F443" s="16" t="n">
        <f aca="false">nonop28</f>
        <v>-40</v>
      </c>
      <c r="G443" s="16" t="n">
        <f aca="false">nonop29</f>
        <v>-60</v>
      </c>
    </row>
    <row r="444" customFormat="false" ht="15" hidden="false" customHeight="false" outlineLevel="0" collapsed="false">
      <c r="A444" s="5" t="s">
        <v>471</v>
      </c>
      <c r="B444" s="0" t="s">
        <v>176</v>
      </c>
      <c r="C444" s="16" t="n">
        <f aca="false">C441+C443</f>
        <v>444.7</v>
      </c>
      <c r="D444" s="16" t="n">
        <f aca="false">D441+D443</f>
        <v>787.5873147</v>
      </c>
      <c r="E444" s="16" t="n">
        <f aca="false">E441+E443</f>
        <v>1002.41793646743</v>
      </c>
      <c r="F444" s="16" t="n">
        <f aca="false">F441+F443</f>
        <v>1303.53697611894</v>
      </c>
      <c r="G444" s="16" t="n">
        <f aca="false">G441+G443</f>
        <v>1598.44253262181</v>
      </c>
    </row>
    <row r="445" customFormat="false" ht="15" hidden="false" customHeight="false" outlineLevel="0" collapsed="false">
      <c r="A445" s="5" t="s">
        <v>472</v>
      </c>
      <c r="B445" s="0" t="s">
        <v>176</v>
      </c>
      <c r="C445" s="16" t="n">
        <f aca="false">a25_tax</f>
        <v>68.5</v>
      </c>
      <c r="D445" s="16" t="n">
        <f aca="false">a26_tax</f>
        <v>138.23746294</v>
      </c>
      <c r="E445" s="16" t="n">
        <f aca="false">E444*tax</f>
        <v>200.483587293486</v>
      </c>
      <c r="F445" s="16" t="n">
        <f aca="false">F444*tax</f>
        <v>260.707395223787</v>
      </c>
      <c r="G445" s="16" t="n">
        <f aca="false">G444*tax</f>
        <v>319.688506524362</v>
      </c>
    </row>
    <row r="446" customFormat="false" ht="15" hidden="false" customHeight="false" outlineLevel="0" collapsed="false">
      <c r="A446" s="5" t="s">
        <v>474</v>
      </c>
      <c r="B446" s="0" t="s">
        <v>176</v>
      </c>
      <c r="C446" s="16" t="n">
        <f aca="false">a25_nci</f>
        <v>2.30000000000007</v>
      </c>
      <c r="D446" s="16" t="n">
        <f aca="false">a26_nci</f>
        <v>3.7</v>
      </c>
      <c r="E446" s="16" t="n">
        <f aca="false">nci</f>
        <v>3</v>
      </c>
      <c r="F446" s="16" t="n">
        <f aca="false">nci</f>
        <v>3</v>
      </c>
      <c r="G446" s="16" t="n">
        <f aca="false">nci</f>
        <v>3</v>
      </c>
    </row>
    <row r="447" customFormat="false" ht="15" hidden="false" customHeight="false" outlineLevel="0" collapsed="false">
      <c r="A447" s="5" t="s">
        <v>476</v>
      </c>
      <c r="B447" s="0" t="s">
        <v>176</v>
      </c>
      <c r="C447" s="16" t="n">
        <f aca="false">C444-C445-C446</f>
        <v>373.9</v>
      </c>
      <c r="D447" s="16" t="n">
        <f aca="false">D444-D445-D446</f>
        <v>645.64985176</v>
      </c>
      <c r="E447" s="16" t="n">
        <f aca="false">E444-E445-E446</f>
        <v>798.934349173943</v>
      </c>
      <c r="F447" s="16" t="n">
        <f aca="false">F444-F445-F446</f>
        <v>1039.82958089515</v>
      </c>
      <c r="G447" s="16" t="n">
        <f aca="false">G444-G445-G446</f>
        <v>1275.75402609745</v>
      </c>
      <c r="H447" s="29" t="n">
        <f aca="false">H425*H451</f>
        <v>1389.23560803981</v>
      </c>
      <c r="I447" s="29" t="n">
        <f aca="false">I425*I451</f>
        <v>1486.84739149493</v>
      </c>
      <c r="J447" s="29" t="n">
        <f aca="false">J425*J451</f>
        <v>1563.53096244565</v>
      </c>
    </row>
    <row r="448" customFormat="false" ht="15" hidden="false" customHeight="false" outlineLevel="0" collapsed="false">
      <c r="A448" s="5" t="s">
        <v>588</v>
      </c>
      <c r="B448" s="5" t="s">
        <v>310</v>
      </c>
      <c r="C448" s="21" t="n">
        <f aca="false">a25_sh</f>
        <v>248.5</v>
      </c>
      <c r="D448" s="21" t="n">
        <f aca="false">a26_sh</f>
        <v>249.915</v>
      </c>
      <c r="E448" s="21" t="n">
        <f aca="false">D448*(1+sh_g)</f>
        <v>249.915</v>
      </c>
      <c r="F448" s="21" t="n">
        <f aca="false">E448*(1+sh_g)</f>
        <v>249.915</v>
      </c>
      <c r="G448" s="21" t="n">
        <f aca="false">F448*(1+sh_g)</f>
        <v>249.915</v>
      </c>
      <c r="H448" s="30" t="n">
        <f aca="false">G448*(1+sh_g)</f>
        <v>249.915</v>
      </c>
      <c r="I448" s="30" t="n">
        <f aca="false">H448*(1+sh_g)</f>
        <v>249.915</v>
      </c>
      <c r="J448" s="30" t="n">
        <f aca="false">I448*(1+sh_g)</f>
        <v>249.915</v>
      </c>
    </row>
    <row r="449" customFormat="false" ht="17.15" hidden="false" customHeight="false" outlineLevel="0" collapsed="false">
      <c r="A449" s="0" t="s">
        <v>480</v>
      </c>
      <c r="B449" s="0" t="s">
        <v>331</v>
      </c>
      <c r="C449" s="18" t="n">
        <f aca="false">C447/C448</f>
        <v>1.5046277665996</v>
      </c>
      <c r="D449" s="18" t="n">
        <f aca="false">D447/D448</f>
        <v>2.58347778948843</v>
      </c>
      <c r="E449" s="18" t="n">
        <f aca="false">E447/E448</f>
        <v>3.19682431696354</v>
      </c>
      <c r="F449" s="18" t="n">
        <f aca="false">F447/F448</f>
        <v>4.16073297279135</v>
      </c>
      <c r="G449" s="18" t="n">
        <f aca="false">G447/G448</f>
        <v>5.10475171997458</v>
      </c>
      <c r="H449" s="27" t="n">
        <f aca="false">H447/H448</f>
        <v>5.55883243518719</v>
      </c>
      <c r="I449" s="27" t="n">
        <f aca="false">I447/I448</f>
        <v>5.94941236618423</v>
      </c>
      <c r="J449" s="27" t="n">
        <f aca="false">J447/J448</f>
        <v>6.25625097511412</v>
      </c>
    </row>
    <row r="450" customFormat="false" ht="17.15" hidden="false" customHeight="false" outlineLevel="0" collapsed="false">
      <c r="A450" s="0" t="s">
        <v>589</v>
      </c>
      <c r="B450" s="0" t="s">
        <v>77</v>
      </c>
      <c r="D450" s="20" t="n">
        <f aca="false">D449/C449-1</f>
        <v>0.717021210719106</v>
      </c>
      <c r="E450" s="20" t="n">
        <f aca="false">E449/D449-1</f>
        <v>0.237411186568229</v>
      </c>
      <c r="F450" s="20" t="n">
        <f aca="false">F449/E449-1</f>
        <v>0.301520684359459</v>
      </c>
      <c r="G450" s="20" t="n">
        <f aca="false">G449/F449-1</f>
        <v>0.226887606908816</v>
      </c>
      <c r="H450" s="25" t="n">
        <f aca="false">H449/G449-1</f>
        <v>0.0889525563869893</v>
      </c>
      <c r="I450" s="25" t="n">
        <f aca="false">I449/H449-1</f>
        <v>0.0702629438017737</v>
      </c>
      <c r="J450" s="25" t="n">
        <f aca="false">J449/I449-1</f>
        <v>0.0515746077165413</v>
      </c>
    </row>
    <row r="451" customFormat="false" ht="17.15" hidden="false" customHeight="false" outlineLevel="0" collapsed="false">
      <c r="A451" s="5" t="s">
        <v>590</v>
      </c>
      <c r="B451" s="0" t="s">
        <v>77</v>
      </c>
      <c r="C451" s="17" t="n">
        <f aca="false">C447/C425</f>
        <v>0.0557394156231365</v>
      </c>
      <c r="D451" s="17" t="n">
        <f aca="false">D447/D425</f>
        <v>0.0840639229794768</v>
      </c>
      <c r="E451" s="17" t="n">
        <f aca="false">E447/E425</f>
        <v>0.0898432755303914</v>
      </c>
      <c r="F451" s="17" t="n">
        <f aca="false">F447/F425</f>
        <v>0.103120493775161</v>
      </c>
      <c r="G451" s="17" t="n">
        <f aca="false">G447/G425</f>
        <v>0.113335261816095</v>
      </c>
      <c r="H451" s="26" t="n">
        <f aca="false">$G451+(fade_mA-$G451)*1/3</f>
        <v>0.112448514966825</v>
      </c>
      <c r="I451" s="26" t="n">
        <f aca="false">$G451+(fade_mA-$G451)*2/3</f>
        <v>0.111561768117555</v>
      </c>
      <c r="J451" s="26" t="n">
        <f aca="false">$G451+(fade_mA-$G451)*3/3</f>
        <v>0.110675021268284</v>
      </c>
    </row>
    <row r="454" customFormat="false" ht="17.15" hidden="false" customHeight="false" outlineLevel="0" collapsed="false">
      <c r="A454" s="3" t="s">
        <v>928</v>
      </c>
    </row>
    <row r="455" customFormat="false" ht="17.15" hidden="false" customHeight="false" outlineLevel="0" collapsed="false">
      <c r="A455" s="6" t="s">
        <v>22</v>
      </c>
      <c r="B455" s="6" t="s">
        <v>23</v>
      </c>
      <c r="C455" s="14" t="s">
        <v>437</v>
      </c>
      <c r="D455" s="14" t="s">
        <v>527</v>
      </c>
      <c r="E455" s="14" t="s">
        <v>528</v>
      </c>
      <c r="F455" s="14" t="s">
        <v>529</v>
      </c>
      <c r="G455" s="14" t="s">
        <v>530</v>
      </c>
      <c r="H455" s="14" t="s">
        <v>531</v>
      </c>
      <c r="I455" s="14" t="s">
        <v>532</v>
      </c>
      <c r="J455" s="14" t="s">
        <v>533</v>
      </c>
      <c r="K455" s="6" t="s">
        <v>503</v>
      </c>
    </row>
    <row r="456" customFormat="false" ht="17.15" hidden="false" customHeight="false" outlineLevel="0" collapsed="false">
      <c r="A456" s="1" t="s">
        <v>551</v>
      </c>
    </row>
    <row r="457" customFormat="false" ht="17.15" hidden="false" customHeight="false" outlineLevel="0" collapsed="false">
      <c r="A457" s="0" t="s">
        <v>552</v>
      </c>
      <c r="B457" s="5" t="s">
        <v>33</v>
      </c>
      <c r="D457" s="18" t="n">
        <f aca="false">units_26</f>
        <v>15.2</v>
      </c>
      <c r="E457" s="18" t="n">
        <f aca="false">units_27*1</f>
        <v>23.7</v>
      </c>
      <c r="F457" s="18" t="n">
        <f aca="false">units_28*um28_A*1</f>
        <v>26.5</v>
      </c>
      <c r="G457" s="18" t="n">
        <f aca="false">units_29*um29_A*1</f>
        <v>30.15</v>
      </c>
    </row>
    <row r="458" customFormat="false" ht="17.15" hidden="false" customHeight="false" outlineLevel="0" collapsed="false">
      <c r="A458" s="5" t="s">
        <v>506</v>
      </c>
      <c r="B458" s="0" t="s">
        <v>46</v>
      </c>
      <c r="D458" s="22" t="n">
        <f aca="false">ar_26</f>
        <v>1</v>
      </c>
      <c r="E458" s="22" t="n">
        <f aca="false">ar_27</f>
        <v>1.278156</v>
      </c>
      <c r="F458" s="22" t="n">
        <f aca="false">ar_28</f>
        <v>1.428615</v>
      </c>
      <c r="G458" s="22" t="n">
        <f aca="false">ar_29</f>
        <v>1.431796</v>
      </c>
    </row>
    <row r="459" customFormat="false" ht="17.15" hidden="false" customHeight="false" outlineLevel="0" collapsed="false">
      <c r="A459" s="5" t="s">
        <v>508</v>
      </c>
      <c r="B459" s="0" t="s">
        <v>77</v>
      </c>
      <c r="D459" s="20" t="n">
        <f aca="false">out_26</f>
        <v>0.5</v>
      </c>
      <c r="E459" s="20" t="n">
        <f aca="false">out_27</f>
        <v>0.55</v>
      </c>
      <c r="F459" s="20" t="n">
        <f aca="false">out_28</f>
        <v>0.6</v>
      </c>
      <c r="G459" s="20" t="n">
        <f aca="false">out_29</f>
        <v>0.6</v>
      </c>
      <c r="K459" s="8" t="s">
        <v>553</v>
      </c>
    </row>
    <row r="460" customFormat="false" ht="17.15" hidden="false" customHeight="false" outlineLevel="0" collapsed="false">
      <c r="A460" s="0" t="s">
        <v>509</v>
      </c>
      <c r="B460" s="0" t="s">
        <v>77</v>
      </c>
      <c r="D460" s="20" t="n">
        <f aca="false">sh_26</f>
        <v>0.35</v>
      </c>
      <c r="E460" s="20" t="n">
        <f aca="false">sh_27</f>
        <v>0.35</v>
      </c>
      <c r="F460" s="20" t="n">
        <f aca="false">sh_28</f>
        <v>0.37</v>
      </c>
      <c r="G460" s="20" t="n">
        <f aca="false">sh_29</f>
        <v>0.38</v>
      </c>
    </row>
    <row r="461" customFormat="false" ht="17.15" hidden="false" customHeight="false" outlineLevel="0" collapsed="false">
      <c r="A461" s="0" t="s">
        <v>554</v>
      </c>
      <c r="B461" s="0" t="s">
        <v>176</v>
      </c>
      <c r="C461" s="16" t="n">
        <f aca="false">(a26_comp-a25_comp*(1+g_pc26))/(tri-(1+g_pc26))</f>
        <v>287.089852216749</v>
      </c>
      <c r="D461" s="16" t="n">
        <f aca="false">C461*tri</f>
        <v>861.269556650246</v>
      </c>
      <c r="E461" s="16" t="n">
        <f aca="false">E457*E459*E460*E462</f>
        <v>1670.04614466713</v>
      </c>
      <c r="F461" s="16" t="n">
        <f aca="false">F457*F459*F460*F462</f>
        <v>2276.74248157798</v>
      </c>
      <c r="G461" s="16" t="n">
        <f aca="false">G457*G459*G460*G462</f>
        <v>2663.30065379686</v>
      </c>
      <c r="K461" s="8" t="s">
        <v>555</v>
      </c>
    </row>
    <row r="462" customFormat="false" ht="17.15" hidden="false" customHeight="false" outlineLevel="0" collapsed="false">
      <c r="A462" s="5" t="s">
        <v>556</v>
      </c>
      <c r="B462" s="0" t="s">
        <v>511</v>
      </c>
      <c r="D462" s="23" t="n">
        <f aca="false">D461/(D457*D459*D460)</f>
        <v>323.785547612874</v>
      </c>
      <c r="E462" s="23" t="n">
        <f aca="false">$D462*E458^el</f>
        <v>366.057569108912</v>
      </c>
      <c r="F462" s="23" t="n">
        <f aca="false">$D462*F458^el</f>
        <v>387.003651466596</v>
      </c>
      <c r="G462" s="23" t="n">
        <f aca="false">$D462*G458^el</f>
        <v>387.434269267239</v>
      </c>
      <c r="K462" s="8" t="s">
        <v>557</v>
      </c>
    </row>
    <row r="463" customFormat="false" ht="17.15" hidden="false" customHeight="false" outlineLevel="0" collapsed="false">
      <c r="A463" s="5" t="s">
        <v>515</v>
      </c>
      <c r="B463" s="0" t="s">
        <v>511</v>
      </c>
      <c r="D463" s="16" t="n">
        <f aca="false">D461/D457</f>
        <v>56.662470832253</v>
      </c>
      <c r="E463" s="16" t="n">
        <f aca="false">E461/E457</f>
        <v>70.4660820534656</v>
      </c>
      <c r="F463" s="16" t="n">
        <f aca="false">F461/F457</f>
        <v>85.9148106255842</v>
      </c>
      <c r="G463" s="16" t="n">
        <f aca="false">G461/G457</f>
        <v>88.3350133929306</v>
      </c>
      <c r="K463" s="5" t="s">
        <v>558</v>
      </c>
    </row>
    <row r="464" customFormat="false" ht="17.15" hidden="false" customHeight="false" outlineLevel="0" collapsed="false">
      <c r="A464" s="1" t="s">
        <v>559</v>
      </c>
    </row>
    <row r="465" customFormat="false" ht="17.15" hidden="false" customHeight="false" outlineLevel="0" collapsed="false">
      <c r="A465" s="5" t="s">
        <v>560</v>
      </c>
      <c r="B465" s="0" t="s">
        <v>176</v>
      </c>
      <c r="C465" s="16" t="n">
        <f aca="false">a25_comp-C461</f>
        <v>1054.51014778325</v>
      </c>
      <c r="D465" s="16" t="n">
        <f aca="false">a26_comp-D461</f>
        <v>1022.87484334975</v>
      </c>
      <c r="E465" s="16" t="n">
        <f aca="false">D465*(1+g_pc)</f>
        <v>1053.56108865025</v>
      </c>
      <c r="F465" s="16" t="n">
        <f aca="false">E465*(1+g_pc)</f>
        <v>1085.16792130975</v>
      </c>
      <c r="G465" s="16" t="n">
        <f aca="false">F465*(1+g_pc)</f>
        <v>1117.72295894905</v>
      </c>
    </row>
    <row r="466" customFormat="false" ht="15" hidden="false" customHeight="false" outlineLevel="0" collapsed="false">
      <c r="A466" s="5" t="s">
        <v>561</v>
      </c>
      <c r="B466" s="0" t="s">
        <v>176</v>
      </c>
      <c r="C466" s="16" t="n">
        <f aca="false">C461+C465</f>
        <v>1341.6</v>
      </c>
      <c r="D466" s="16" t="n">
        <f aca="false">D461+D465</f>
        <v>1884.1444</v>
      </c>
      <c r="E466" s="16" t="n">
        <f aca="false">E461+E465</f>
        <v>2723.60723331738</v>
      </c>
      <c r="F466" s="16" t="n">
        <f aca="false">F461+F465</f>
        <v>3361.91040288774</v>
      </c>
      <c r="G466" s="16" t="n">
        <f aca="false">G461+G465</f>
        <v>3781.0236127459</v>
      </c>
    </row>
    <row r="467" customFormat="false" ht="17.15" hidden="false" customHeight="false" outlineLevel="0" collapsed="false">
      <c r="A467" s="5" t="s">
        <v>562</v>
      </c>
      <c r="B467" s="0" t="s">
        <v>176</v>
      </c>
      <c r="C467" s="16" t="n">
        <f aca="false">a25_cm</f>
        <v>3085.68</v>
      </c>
      <c r="D467" s="16" t="n">
        <f aca="false">a26_cm</f>
        <v>3041.87176</v>
      </c>
      <c r="E467" s="16" t="n">
        <f aca="false">D467*(1+g_cm27_C)</f>
        <v>2859.3594544</v>
      </c>
      <c r="F467" s="16" t="n">
        <f aca="false">E467*(1+g_cmL_C)</f>
        <v>2859.3594544</v>
      </c>
      <c r="G467" s="16" t="n">
        <f aca="false">F467*(1+g_cmL_C)</f>
        <v>2859.3594544</v>
      </c>
    </row>
    <row r="468" customFormat="false" ht="15" hidden="false" customHeight="false" outlineLevel="0" collapsed="false">
      <c r="A468" s="5" t="s">
        <v>563</v>
      </c>
      <c r="B468" s="0" t="s">
        <v>176</v>
      </c>
      <c r="C468" s="16" t="n">
        <f aca="false">a25_au</f>
        <v>1274.52</v>
      </c>
      <c r="D468" s="16" t="n">
        <f aca="false">a26_au</f>
        <v>1656.99176</v>
      </c>
      <c r="E468" s="16" t="n">
        <f aca="false">D468*(1+g_au)</f>
        <v>1822.690936</v>
      </c>
      <c r="F468" s="16" t="n">
        <f aca="false">E468*(1+g_au)</f>
        <v>2004.9600296</v>
      </c>
      <c r="G468" s="16" t="n">
        <f aca="false">F468*(1+g_au)</f>
        <v>2205.45603256</v>
      </c>
    </row>
    <row r="469" customFormat="false" ht="15" hidden="false" customHeight="false" outlineLevel="0" collapsed="false">
      <c r="A469" s="5" t="s">
        <v>564</v>
      </c>
      <c r="B469" s="0" t="s">
        <v>176</v>
      </c>
      <c r="C469" s="16" t="n">
        <f aca="false">a25_cs</f>
        <v>1006.2</v>
      </c>
      <c r="D469" s="16" t="n">
        <f aca="false">a26_cs</f>
        <v>1097.4551</v>
      </c>
      <c r="E469" s="16" t="n">
        <f aca="false">D469*(1+g_cs)</f>
        <v>1130.378753</v>
      </c>
      <c r="F469" s="16" t="n">
        <f aca="false">E469*(1+g_cs)</f>
        <v>1164.29011559</v>
      </c>
      <c r="G469" s="16" t="n">
        <f aca="false">F469*(1+g_cs)</f>
        <v>1199.2188190577</v>
      </c>
    </row>
    <row r="470" customFormat="false" ht="17.15" hidden="false" customHeight="false" outlineLevel="0" collapsed="false">
      <c r="A470" s="5" t="s">
        <v>565</v>
      </c>
      <c r="B470" s="0" t="s">
        <v>176</v>
      </c>
      <c r="C470" s="16" t="n">
        <f aca="false">0</f>
        <v>0</v>
      </c>
      <c r="D470" s="16" t="n">
        <f aca="false">0</f>
        <v>0</v>
      </c>
      <c r="E470" s="16" t="n">
        <f aca="false">0</f>
        <v>0</v>
      </c>
      <c r="F470" s="16" t="n">
        <f aca="false">az_rev28_A</f>
        <v>150</v>
      </c>
      <c r="G470" s="16" t="n">
        <f aca="false">az_rev29_A</f>
        <v>500</v>
      </c>
      <c r="K470" s="5" t="s">
        <v>566</v>
      </c>
    </row>
    <row r="471" customFormat="false" ht="17.15" hidden="false" customHeight="false" outlineLevel="0" collapsed="false">
      <c r="A471" s="5" t="s">
        <v>444</v>
      </c>
      <c r="B471" s="0" t="s">
        <v>176</v>
      </c>
      <c r="C471" s="16" t="n">
        <f aca="false">C466+C467+C468+C469+C470</f>
        <v>6708</v>
      </c>
      <c r="D471" s="16" t="n">
        <f aca="false">D466+D467+D468+D469+D470</f>
        <v>7680.46302</v>
      </c>
      <c r="E471" s="16" t="n">
        <f aca="false">E466+E467+E468+E469+E470</f>
        <v>8536.03637671738</v>
      </c>
      <c r="F471" s="16" t="n">
        <f aca="false">F466+F467+F468+F469+F470</f>
        <v>9540.52000247774</v>
      </c>
      <c r="G471" s="16" t="n">
        <f aca="false">G466+G467+G468+G469+G470</f>
        <v>10545.0579187636</v>
      </c>
      <c r="H471" s="29" t="n">
        <f aca="false">G471*(1+H472)</f>
        <v>11496.1640489208</v>
      </c>
      <c r="I471" s="29" t="n">
        <f aca="false">H471*(1+I472)</f>
        <v>12359.4943020526</v>
      </c>
      <c r="J471" s="29" t="n">
        <f aca="false">I471*(1+J472)</f>
        <v>13101.0639601757</v>
      </c>
      <c r="K471" s="8" t="s">
        <v>567</v>
      </c>
    </row>
    <row r="472" customFormat="false" ht="15" hidden="false" customHeight="false" outlineLevel="0" collapsed="false">
      <c r="A472" s="5" t="s">
        <v>568</v>
      </c>
      <c r="B472" s="0" t="s">
        <v>77</v>
      </c>
      <c r="D472" s="20" t="n">
        <f aca="false">D471/C471-1</f>
        <v>0.144970635062612</v>
      </c>
      <c r="E472" s="20" t="n">
        <f aca="false">E471/D471-1</f>
        <v>0.111396064858259</v>
      </c>
      <c r="F472" s="20" t="n">
        <f aca="false">F471/E471-1</f>
        <v>0.117675649614164</v>
      </c>
      <c r="G472" s="20" t="n">
        <f aca="false">G471/F471-1</f>
        <v>0.105291736302108</v>
      </c>
      <c r="H472" s="25" t="n">
        <f aca="false">$G472+(fade_gA-$G472)*1/3</f>
        <v>0.0901944908680717</v>
      </c>
      <c r="I472" s="25" t="n">
        <f aca="false">$G472+(fade_gA-$G472)*2/3</f>
        <v>0.0750972454340358</v>
      </c>
      <c r="J472" s="25" t="n">
        <f aca="false">$G472+(fade_gA-$G472)*3/3</f>
        <v>0.06</v>
      </c>
    </row>
    <row r="473" customFormat="false" ht="17.15" hidden="false" customHeight="false" outlineLevel="0" collapsed="false">
      <c r="A473" s="0" t="s">
        <v>569</v>
      </c>
      <c r="B473" s="0" t="s">
        <v>77</v>
      </c>
      <c r="C473" s="20" t="n">
        <f aca="false">C461/C471</f>
        <v>0.042798129430046</v>
      </c>
      <c r="D473" s="20" t="n">
        <f aca="false">D461/D471</f>
        <v>0.112137712844589</v>
      </c>
      <c r="E473" s="20" t="n">
        <f aca="false">E461/E471</f>
        <v>0.195646559007445</v>
      </c>
      <c r="F473" s="20" t="n">
        <f aca="false">F461/F471</f>
        <v>0.23863924408593</v>
      </c>
      <c r="G473" s="20" t="n">
        <f aca="false">G461/G471</f>
        <v>0.252563871560899</v>
      </c>
    </row>
    <row r="474" customFormat="false" ht="17.15" hidden="false" customHeight="false" outlineLevel="0" collapsed="false">
      <c r="A474" s="5" t="s">
        <v>570</v>
      </c>
      <c r="B474" s="0" t="s">
        <v>77</v>
      </c>
      <c r="C474" s="20" t="n">
        <f aca="false">C467/C471</f>
        <v>0.46</v>
      </c>
      <c r="D474" s="20" t="n">
        <f aca="false">D467/D471</f>
        <v>0.396053174408748</v>
      </c>
      <c r="E474" s="20" t="n">
        <f aca="false">E467/E471</f>
        <v>0.334975078386392</v>
      </c>
      <c r="F474" s="20" t="n">
        <f aca="false">F467/F471</f>
        <v>0.299706876947735</v>
      </c>
      <c r="G474" s="20" t="n">
        <f aca="false">G467/G471</f>
        <v>0.27115635366138</v>
      </c>
    </row>
    <row r="475" customFormat="false" ht="17.15" hidden="false" customHeight="false" outlineLevel="0" collapsed="false">
      <c r="A475" s="1" t="s">
        <v>571</v>
      </c>
    </row>
    <row r="476" customFormat="false" ht="15" hidden="false" customHeight="false" outlineLevel="0" collapsed="false">
      <c r="A476" s="5" t="s">
        <v>572</v>
      </c>
      <c r="B476" s="0" t="s">
        <v>176</v>
      </c>
      <c r="C476" s="16" t="n">
        <f aca="false">C471-C470</f>
        <v>6708</v>
      </c>
      <c r="D476" s="16" t="n">
        <f aca="false">D471-D470</f>
        <v>7680.46302</v>
      </c>
      <c r="E476" s="16" t="n">
        <f aca="false">E471-E470</f>
        <v>8536.03637671738</v>
      </c>
      <c r="F476" s="16" t="n">
        <f aca="false">F471-F470</f>
        <v>9390.52000247774</v>
      </c>
      <c r="G476" s="16" t="n">
        <f aca="false">G471-G470</f>
        <v>10045.0579187636</v>
      </c>
    </row>
    <row r="477" customFormat="false" ht="17.15" hidden="false" customHeight="false" outlineLevel="0" collapsed="false">
      <c r="A477" s="5" t="s">
        <v>573</v>
      </c>
      <c r="B477" s="0" t="s">
        <v>176</v>
      </c>
      <c r="D477" s="16" t="n">
        <f aca="false">cap_m26</f>
        <v>1200</v>
      </c>
      <c r="E477" s="16" t="n">
        <f aca="false">capi*E476</f>
        <v>1195.04509274043</v>
      </c>
      <c r="F477" s="16" t="n">
        <f aca="false">capi*F476</f>
        <v>1314.67280034688</v>
      </c>
      <c r="G477" s="16" t="n">
        <f aca="false">capi*G476</f>
        <v>1406.3081086269</v>
      </c>
      <c r="K477" s="8" t="s">
        <v>574</v>
      </c>
    </row>
    <row r="478" customFormat="false" ht="17.15" hidden="false" customHeight="false" outlineLevel="0" collapsed="false">
      <c r="A478" s="5" t="s">
        <v>575</v>
      </c>
      <c r="B478" s="0" t="s">
        <v>176</v>
      </c>
      <c r="C478" s="16" t="n">
        <f aca="false">a25_da</f>
        <v>642</v>
      </c>
      <c r="D478" s="16" t="n">
        <f aca="false">a26_da</f>
        <v>740.6</v>
      </c>
      <c r="E478" s="16" t="n">
        <f aca="false">D478*(1-1/life)+D477/life</f>
        <v>806.228571428572</v>
      </c>
      <c r="F478" s="16" t="n">
        <f aca="false">E478*(1-1/life)+E477/life</f>
        <v>861.773788758838</v>
      </c>
      <c r="G478" s="16" t="n">
        <f aca="false">F478*(1-1/life)+F477/life</f>
        <v>926.47364755713</v>
      </c>
      <c r="K478" s="5" t="s">
        <v>576</v>
      </c>
    </row>
    <row r="479" customFormat="false" ht="15" hidden="false" customHeight="false" outlineLevel="0" collapsed="false">
      <c r="A479" s="5" t="s">
        <v>577</v>
      </c>
      <c r="B479" s="0" t="s">
        <v>176</v>
      </c>
      <c r="E479" s="16" t="n">
        <f aca="false">0</f>
        <v>0</v>
      </c>
      <c r="F479" s="16" t="n">
        <f aca="false">az_capex1*(1-az_inc)/az_life*az_svc28</f>
        <v>94.7916666666667</v>
      </c>
      <c r="G479" s="16" t="n">
        <f aca="false">az_capex1*(1-az_inc)/az_life</f>
        <v>189.583333333333</v>
      </c>
    </row>
    <row r="480" customFormat="false" ht="15" hidden="false" customHeight="false" outlineLevel="0" collapsed="false">
      <c r="A480" s="5" t="s">
        <v>578</v>
      </c>
      <c r="B480" s="0" t="s">
        <v>176</v>
      </c>
      <c r="C480" s="16" t="n">
        <f aca="false">C478</f>
        <v>642</v>
      </c>
      <c r="D480" s="16" t="n">
        <f aca="false">D478</f>
        <v>740.6</v>
      </c>
      <c r="E480" s="16" t="n">
        <f aca="false">E478+E479</f>
        <v>806.228571428572</v>
      </c>
      <c r="F480" s="16" t="n">
        <f aca="false">F478+F479</f>
        <v>956.565455425504</v>
      </c>
      <c r="G480" s="16" t="n">
        <f aca="false">G478+G479</f>
        <v>1116.05698089046</v>
      </c>
    </row>
    <row r="481" customFormat="false" ht="17.15" hidden="false" customHeight="false" outlineLevel="0" collapsed="false">
      <c r="A481" s="5" t="s">
        <v>579</v>
      </c>
      <c r="B481" s="0" t="s">
        <v>176</v>
      </c>
      <c r="C481" s="16" t="n">
        <f aca="false">a25_gp</f>
        <v>938.6</v>
      </c>
      <c r="D481" s="16" t="n">
        <f aca="false">a26_gp</f>
        <v>1325.7873147</v>
      </c>
      <c r="E481" s="16" t="n">
        <f aca="false">$D481+ft*(E476-$D476)-(E478-$D478)</f>
        <v>1602.38808595838</v>
      </c>
      <c r="F481" s="16" t="n">
        <f aca="false">$D481+ft*(F476-$D476)-(F478-$D478)</f>
        <v>1888.63631893226</v>
      </c>
      <c r="G481" s="16" t="n">
        <f aca="false">$D481+ft*(G476-$D476)-(G478-$D478)</f>
        <v>2085.75162664831</v>
      </c>
      <c r="K481" s="5" t="s">
        <v>580</v>
      </c>
    </row>
    <row r="482" customFormat="false" ht="17.15" hidden="false" customHeight="false" outlineLevel="0" collapsed="false">
      <c r="A482" s="5" t="s">
        <v>581</v>
      </c>
      <c r="B482" s="0" t="s">
        <v>176</v>
      </c>
      <c r="E482" s="16" t="n">
        <f aca="false">E470*az_cm-az_fix27</f>
        <v>-120</v>
      </c>
      <c r="F482" s="16" t="n">
        <f aca="false">F470*az_cm-az_fix28-F479</f>
        <v>-112.291666666667</v>
      </c>
      <c r="G482" s="16" t="n">
        <f aca="false">G470*az_cm-az_fix29-G479</f>
        <v>-14.5833333333333</v>
      </c>
      <c r="K482" s="8" t="s">
        <v>582</v>
      </c>
    </row>
    <row r="483" customFormat="false" ht="15" hidden="false" customHeight="false" outlineLevel="0" collapsed="false">
      <c r="A483" s="5" t="s">
        <v>458</v>
      </c>
      <c r="B483" s="0" t="s">
        <v>176</v>
      </c>
      <c r="C483" s="16" t="n">
        <f aca="false">a25_gp</f>
        <v>938.6</v>
      </c>
      <c r="D483" s="16" t="n">
        <f aca="false">a26_gp</f>
        <v>1325.7873147</v>
      </c>
      <c r="E483" s="16" t="n">
        <f aca="false">E481+E482</f>
        <v>1482.38808595838</v>
      </c>
      <c r="F483" s="16" t="n">
        <f aca="false">F481+F482</f>
        <v>1776.34465226559</v>
      </c>
      <c r="G483" s="16" t="n">
        <f aca="false">G481+G482</f>
        <v>2071.16829331498</v>
      </c>
    </row>
    <row r="484" customFormat="false" ht="15" hidden="false" customHeight="false" outlineLevel="0" collapsed="false">
      <c r="A484" s="5" t="s">
        <v>461</v>
      </c>
      <c r="B484" s="0" t="s">
        <v>77</v>
      </c>
      <c r="C484" s="17" t="n">
        <f aca="false">C483/C471</f>
        <v>0.139922480620155</v>
      </c>
      <c r="D484" s="17" t="n">
        <f aca="false">D483/D471</f>
        <v>0.172618149615152</v>
      </c>
      <c r="E484" s="17" t="n">
        <f aca="false">E483/E471</f>
        <v>0.173662344036126</v>
      </c>
      <c r="F484" s="17" t="n">
        <f aca="false">F483/F471</f>
        <v>0.186189500342147</v>
      </c>
      <c r="G484" s="17" t="n">
        <f aca="false">G483/G471</f>
        <v>0.196411277137662</v>
      </c>
    </row>
    <row r="485" customFormat="false" ht="17.15" hidden="false" customHeight="false" outlineLevel="0" collapsed="false">
      <c r="A485" s="5" t="s">
        <v>583</v>
      </c>
      <c r="B485" s="0" t="s">
        <v>584</v>
      </c>
      <c r="E485" s="17" t="n">
        <f aca="false">E482/E471</f>
        <v>-0.0140580469323336</v>
      </c>
      <c r="F485" s="17" t="n">
        <f aca="false">F482/F471</f>
        <v>-0.0117699734016074</v>
      </c>
      <c r="G485" s="17" t="n">
        <f aca="false">G482/G471</f>
        <v>-0.00138295431335509</v>
      </c>
      <c r="K485" s="5" t="s">
        <v>585</v>
      </c>
    </row>
    <row r="486" customFormat="false" ht="17.15" hidden="false" customHeight="false" outlineLevel="0" collapsed="false">
      <c r="A486" s="5" t="s">
        <v>463</v>
      </c>
      <c r="B486" s="0" t="s">
        <v>176</v>
      </c>
      <c r="C486" s="16" t="n">
        <f aca="false">a25_opx</f>
        <v>471.2</v>
      </c>
      <c r="D486" s="16" t="n">
        <f aca="false">a26_opx</f>
        <v>537.5</v>
      </c>
      <c r="E486" s="16" t="n">
        <f aca="false">(D486+opx_gain)*(1+phi*E472)</f>
        <v>589.607351111669</v>
      </c>
      <c r="F486" s="16" t="n">
        <f aca="false">E486*(1+phi*F472)</f>
        <v>624.298565141345</v>
      </c>
      <c r="G486" s="16" t="n">
        <f aca="false">F486*(1+phi*G472)</f>
        <v>657.165305088668</v>
      </c>
      <c r="K486" s="8" t="s">
        <v>586</v>
      </c>
    </row>
    <row r="487" customFormat="false" ht="15" hidden="false" customHeight="false" outlineLevel="0" collapsed="false">
      <c r="A487" s="5" t="s">
        <v>466</v>
      </c>
      <c r="B487" s="0" t="s">
        <v>176</v>
      </c>
      <c r="C487" s="16" t="n">
        <f aca="false">C483-C486</f>
        <v>467.4</v>
      </c>
      <c r="D487" s="16" t="n">
        <f aca="false">D483-D486</f>
        <v>788.2873147</v>
      </c>
      <c r="E487" s="16" t="n">
        <f aca="false">E483-E486</f>
        <v>892.780734846712</v>
      </c>
      <c r="F487" s="16" t="n">
        <f aca="false">F483-F486</f>
        <v>1152.04608712424</v>
      </c>
      <c r="G487" s="16" t="n">
        <f aca="false">G483-G486</f>
        <v>1414.00298822631</v>
      </c>
    </row>
    <row r="488" customFormat="false" ht="15" hidden="false" customHeight="false" outlineLevel="0" collapsed="false">
      <c r="A488" s="5" t="s">
        <v>540</v>
      </c>
      <c r="B488" s="0" t="s">
        <v>77</v>
      </c>
      <c r="C488" s="17" t="n">
        <f aca="false">C487/C471</f>
        <v>0.0696779964221825</v>
      </c>
      <c r="D488" s="17" t="n">
        <f aca="false">D487/D471</f>
        <v>0.102635389643475</v>
      </c>
      <c r="E488" s="17" t="n">
        <f aca="false">E487/E471</f>
        <v>0.10458961225632</v>
      </c>
      <c r="F488" s="17" t="n">
        <f aca="false">F487/F471</f>
        <v>0.120752965962552</v>
      </c>
      <c r="G488" s="17" t="n">
        <f aca="false">G487/G471</f>
        <v>0.134091533599855</v>
      </c>
    </row>
    <row r="489" customFormat="false" ht="15" hidden="false" customHeight="false" outlineLevel="0" collapsed="false">
      <c r="A489" s="5" t="s">
        <v>587</v>
      </c>
      <c r="B489" s="0" t="s">
        <v>176</v>
      </c>
      <c r="C489" s="16" t="n">
        <f aca="false">a25_nonop</f>
        <v>-22.7</v>
      </c>
      <c r="D489" s="16" t="n">
        <f aca="false">a26_nonop</f>
        <v>-0.700000000000003</v>
      </c>
      <c r="E489" s="16" t="n">
        <f aca="false">nonop27</f>
        <v>-20</v>
      </c>
      <c r="F489" s="16" t="n">
        <f aca="false">nonop28</f>
        <v>-40</v>
      </c>
      <c r="G489" s="16" t="n">
        <f aca="false">nonop29</f>
        <v>-60</v>
      </c>
    </row>
    <row r="490" customFormat="false" ht="15" hidden="false" customHeight="false" outlineLevel="0" collapsed="false">
      <c r="A490" s="5" t="s">
        <v>471</v>
      </c>
      <c r="B490" s="0" t="s">
        <v>176</v>
      </c>
      <c r="C490" s="16" t="n">
        <f aca="false">C487+C489</f>
        <v>444.7</v>
      </c>
      <c r="D490" s="16" t="n">
        <f aca="false">D487+D489</f>
        <v>787.5873147</v>
      </c>
      <c r="E490" s="16" t="n">
        <f aca="false">E487+E489</f>
        <v>872.780734846712</v>
      </c>
      <c r="F490" s="16" t="n">
        <f aca="false">F487+F489</f>
        <v>1112.04608712424</v>
      </c>
      <c r="G490" s="16" t="n">
        <f aca="false">G487+G489</f>
        <v>1354.00298822631</v>
      </c>
    </row>
    <row r="491" customFormat="false" ht="15" hidden="false" customHeight="false" outlineLevel="0" collapsed="false">
      <c r="A491" s="5" t="s">
        <v>472</v>
      </c>
      <c r="B491" s="0" t="s">
        <v>176</v>
      </c>
      <c r="C491" s="16" t="n">
        <f aca="false">a25_tax</f>
        <v>68.5</v>
      </c>
      <c r="D491" s="16" t="n">
        <f aca="false">a26_tax</f>
        <v>138.23746294</v>
      </c>
      <c r="E491" s="16" t="n">
        <f aca="false">E490*tax</f>
        <v>174.556146969342</v>
      </c>
      <c r="F491" s="16" t="n">
        <f aca="false">F490*tax</f>
        <v>222.409217424849</v>
      </c>
      <c r="G491" s="16" t="n">
        <f aca="false">G490*tax</f>
        <v>270.800597645262</v>
      </c>
    </row>
    <row r="492" customFormat="false" ht="15" hidden="false" customHeight="false" outlineLevel="0" collapsed="false">
      <c r="A492" s="5" t="s">
        <v>474</v>
      </c>
      <c r="B492" s="0" t="s">
        <v>176</v>
      </c>
      <c r="C492" s="16" t="n">
        <f aca="false">a25_nci</f>
        <v>2.30000000000007</v>
      </c>
      <c r="D492" s="16" t="n">
        <f aca="false">a26_nci</f>
        <v>3.7</v>
      </c>
      <c r="E492" s="16" t="n">
        <f aca="false">nci</f>
        <v>3</v>
      </c>
      <c r="F492" s="16" t="n">
        <f aca="false">nci</f>
        <v>3</v>
      </c>
      <c r="G492" s="16" t="n">
        <f aca="false">nci</f>
        <v>3</v>
      </c>
    </row>
    <row r="493" customFormat="false" ht="15" hidden="false" customHeight="false" outlineLevel="0" collapsed="false">
      <c r="A493" s="5" t="s">
        <v>476</v>
      </c>
      <c r="B493" s="0" t="s">
        <v>176</v>
      </c>
      <c r="C493" s="16" t="n">
        <f aca="false">C490-C491-C492</f>
        <v>373.9</v>
      </c>
      <c r="D493" s="16" t="n">
        <f aca="false">D490-D491-D492</f>
        <v>645.64985176</v>
      </c>
      <c r="E493" s="16" t="n">
        <f aca="false">E490-E491-E492</f>
        <v>695.224587877369</v>
      </c>
      <c r="F493" s="16" t="n">
        <f aca="false">F490-F491-F492</f>
        <v>886.636869699396</v>
      </c>
      <c r="G493" s="16" t="n">
        <f aca="false">G490-G491-G492</f>
        <v>1080.20239058105</v>
      </c>
      <c r="H493" s="29" t="n">
        <f aca="false">H471*H497</f>
        <v>1209.19986369532</v>
      </c>
      <c r="I493" s="29" t="n">
        <f aca="false">I471*I497</f>
        <v>1333.94736869148</v>
      </c>
      <c r="J493" s="29" t="n">
        <f aca="false">J471*J497</f>
        <v>1449.9605324296</v>
      </c>
    </row>
    <row r="494" customFormat="false" ht="15" hidden="false" customHeight="false" outlineLevel="0" collapsed="false">
      <c r="A494" s="5" t="s">
        <v>588</v>
      </c>
      <c r="B494" s="5" t="s">
        <v>310</v>
      </c>
      <c r="C494" s="21" t="n">
        <f aca="false">a25_sh</f>
        <v>248.5</v>
      </c>
      <c r="D494" s="21" t="n">
        <f aca="false">a26_sh</f>
        <v>249.915</v>
      </c>
      <c r="E494" s="21" t="n">
        <f aca="false">D494*(1+sh_g)</f>
        <v>249.915</v>
      </c>
      <c r="F494" s="21" t="n">
        <f aca="false">E494*(1+sh_g)</f>
        <v>249.915</v>
      </c>
      <c r="G494" s="21" t="n">
        <f aca="false">F494*(1+sh_g)</f>
        <v>249.915</v>
      </c>
      <c r="H494" s="30" t="n">
        <f aca="false">G494*(1+sh_g)</f>
        <v>249.915</v>
      </c>
      <c r="I494" s="30" t="n">
        <f aca="false">H494*(1+sh_g)</f>
        <v>249.915</v>
      </c>
      <c r="J494" s="30" t="n">
        <f aca="false">I494*(1+sh_g)</f>
        <v>249.915</v>
      </c>
    </row>
    <row r="495" customFormat="false" ht="17.15" hidden="false" customHeight="false" outlineLevel="0" collapsed="false">
      <c r="A495" s="0" t="s">
        <v>480</v>
      </c>
      <c r="B495" s="0" t="s">
        <v>331</v>
      </c>
      <c r="C495" s="18" t="n">
        <f aca="false">C493/C494</f>
        <v>1.5046277665996</v>
      </c>
      <c r="D495" s="18" t="n">
        <f aca="false">D493/D494</f>
        <v>2.58347778948843</v>
      </c>
      <c r="E495" s="18" t="n">
        <f aca="false">E493/E494</f>
        <v>2.78184417853018</v>
      </c>
      <c r="F495" s="18" t="n">
        <f aca="false">F493/F494</f>
        <v>3.5477537150607</v>
      </c>
      <c r="G495" s="18" t="n">
        <f aca="false">G493/G494</f>
        <v>4.32227913723085</v>
      </c>
      <c r="H495" s="27" t="n">
        <f aca="false">H493/H494</f>
        <v>4.83844452592008</v>
      </c>
      <c r="I495" s="27" t="n">
        <f aca="false">I493/I494</f>
        <v>5.33760426021437</v>
      </c>
      <c r="J495" s="27" t="n">
        <f aca="false">J493/J494</f>
        <v>5.80181474673228</v>
      </c>
    </row>
    <row r="496" customFormat="false" ht="17.15" hidden="false" customHeight="false" outlineLevel="0" collapsed="false">
      <c r="A496" s="0" t="s">
        <v>589</v>
      </c>
      <c r="B496" s="0" t="s">
        <v>77</v>
      </c>
      <c r="D496" s="20" t="n">
        <f aca="false">D495/C495-1</f>
        <v>0.717021210719106</v>
      </c>
      <c r="E496" s="20" t="n">
        <f aca="false">E495/D495-1</f>
        <v>0.0767826957324189</v>
      </c>
      <c r="F496" s="20" t="n">
        <f aca="false">F495/E495-1</f>
        <v>0.275324384608488</v>
      </c>
      <c r="G496" s="20" t="n">
        <f aca="false">G495/F495-1</f>
        <v>0.218314315021976</v>
      </c>
      <c r="H496" s="25" t="n">
        <f aca="false">H495/G495-1</f>
        <v>0.11941972563575</v>
      </c>
      <c r="I496" s="25" t="n">
        <f aca="false">I495/H495-1</f>
        <v>0.103165331672242</v>
      </c>
      <c r="J496" s="25" t="n">
        <f aca="false">J495/I495-1</f>
        <v>0.0869698208947511</v>
      </c>
    </row>
    <row r="497" customFormat="false" ht="17.15" hidden="false" customHeight="false" outlineLevel="0" collapsed="false">
      <c r="A497" s="5" t="s">
        <v>590</v>
      </c>
      <c r="B497" s="0" t="s">
        <v>77</v>
      </c>
      <c r="C497" s="17" t="n">
        <f aca="false">C493/C471</f>
        <v>0.0557394156231365</v>
      </c>
      <c r="D497" s="17" t="n">
        <f aca="false">D493/D471</f>
        <v>0.0840639229794768</v>
      </c>
      <c r="E497" s="17" t="n">
        <f aca="false">E493/E471</f>
        <v>0.081445832374103</v>
      </c>
      <c r="F497" s="17" t="n">
        <f aca="false">F493/F471</f>
        <v>0.0929338096318786</v>
      </c>
      <c r="G497" s="17" t="n">
        <f aca="false">G493/G471</f>
        <v>0.10243683808118</v>
      </c>
      <c r="H497" s="26" t="n">
        <f aca="false">$G497+(fade_mA-$G497)*1/3</f>
        <v>0.105182899143548</v>
      </c>
      <c r="I497" s="26" t="n">
        <f aca="false">$G497+(fade_mA-$G497)*2/3</f>
        <v>0.107928960205916</v>
      </c>
      <c r="J497" s="26" t="n">
        <f aca="false">$G497+(fade_mA-$G497)*3/3</f>
        <v>0.110675021268284</v>
      </c>
    </row>
    <row r="500" customFormat="false" ht="17.15" hidden="false" customHeight="false" outlineLevel="0" collapsed="false">
      <c r="A500" s="3" t="s">
        <v>929</v>
      </c>
    </row>
    <row r="501" customFormat="false" ht="17.15" hidden="false" customHeight="false" outlineLevel="0" collapsed="false">
      <c r="A501" s="6" t="s">
        <v>22</v>
      </c>
      <c r="B501" s="6" t="s">
        <v>23</v>
      </c>
      <c r="C501" s="14" t="s">
        <v>437</v>
      </c>
      <c r="D501" s="14" t="s">
        <v>527</v>
      </c>
      <c r="E501" s="14" t="s">
        <v>528</v>
      </c>
      <c r="F501" s="14" t="s">
        <v>529</v>
      </c>
      <c r="G501" s="14" t="s">
        <v>530</v>
      </c>
      <c r="H501" s="14" t="s">
        <v>531</v>
      </c>
      <c r="I501" s="14" t="s">
        <v>532</v>
      </c>
      <c r="J501" s="14" t="s">
        <v>533</v>
      </c>
      <c r="K501" s="6" t="s">
        <v>503</v>
      </c>
    </row>
    <row r="502" customFormat="false" ht="17.15" hidden="false" customHeight="false" outlineLevel="0" collapsed="false">
      <c r="A502" s="1" t="s">
        <v>551</v>
      </c>
    </row>
    <row r="503" customFormat="false" ht="17.15" hidden="false" customHeight="false" outlineLevel="0" collapsed="false">
      <c r="A503" s="0" t="s">
        <v>552</v>
      </c>
      <c r="B503" s="5" t="s">
        <v>33</v>
      </c>
      <c r="D503" s="18" t="n">
        <f aca="false">units_26</f>
        <v>15.2</v>
      </c>
      <c r="E503" s="18" t="n">
        <f aca="false">units_27*1</f>
        <v>23.7</v>
      </c>
      <c r="F503" s="18" t="n">
        <f aca="false">units_28*um28_A*1</f>
        <v>26.5</v>
      </c>
      <c r="G503" s="18" t="n">
        <f aca="false">units_29*um29_A*1</f>
        <v>30.15</v>
      </c>
    </row>
    <row r="504" customFormat="false" ht="17.15" hidden="false" customHeight="false" outlineLevel="0" collapsed="false">
      <c r="A504" s="5" t="s">
        <v>506</v>
      </c>
      <c r="B504" s="0" t="s">
        <v>46</v>
      </c>
      <c r="D504" s="22" t="n">
        <f aca="false">ar_26</f>
        <v>1</v>
      </c>
      <c r="E504" s="22" t="n">
        <f aca="false">ar_27</f>
        <v>1.278156</v>
      </c>
      <c r="F504" s="22" t="n">
        <f aca="false">ar_28</f>
        <v>1.428615</v>
      </c>
      <c r="G504" s="22" t="n">
        <f aca="false">ar_29</f>
        <v>1.431796</v>
      </c>
    </row>
    <row r="505" customFormat="false" ht="17.15" hidden="false" customHeight="false" outlineLevel="0" collapsed="false">
      <c r="A505" s="5" t="s">
        <v>508</v>
      </c>
      <c r="B505" s="0" t="s">
        <v>77</v>
      </c>
      <c r="D505" s="20" t="n">
        <f aca="false">out_26</f>
        <v>0.5</v>
      </c>
      <c r="E505" s="20" t="n">
        <f aca="false">out_27</f>
        <v>0.55</v>
      </c>
      <c r="F505" s="20" t="n">
        <f aca="false">out_28</f>
        <v>0.6</v>
      </c>
      <c r="G505" s="20" t="n">
        <f aca="false">out_29</f>
        <v>0.6</v>
      </c>
      <c r="K505" s="8" t="s">
        <v>553</v>
      </c>
    </row>
    <row r="506" customFormat="false" ht="17.15" hidden="false" customHeight="false" outlineLevel="0" collapsed="false">
      <c r="A506" s="0" t="s">
        <v>509</v>
      </c>
      <c r="B506" s="0" t="s">
        <v>77</v>
      </c>
      <c r="D506" s="20" t="n">
        <f aca="false">sh_26</f>
        <v>0.35</v>
      </c>
      <c r="E506" s="20" t="n">
        <f aca="false">sh_27</f>
        <v>0.35</v>
      </c>
      <c r="F506" s="20" t="n">
        <f aca="false">sh_28</f>
        <v>0.37</v>
      </c>
      <c r="G506" s="20" t="n">
        <f aca="false">sh_29</f>
        <v>0.38</v>
      </c>
    </row>
    <row r="507" customFormat="false" ht="17.15" hidden="false" customHeight="false" outlineLevel="0" collapsed="false">
      <c r="A507" s="0" t="s">
        <v>554</v>
      </c>
      <c r="B507" s="0" t="s">
        <v>176</v>
      </c>
      <c r="C507" s="16" t="n">
        <f aca="false">(a26_comp-a25_comp*(1+g_pc26))/(tri-(1+g_pc26))</f>
        <v>287.089852216749</v>
      </c>
      <c r="D507" s="16" t="n">
        <f aca="false">C507*tri</f>
        <v>861.269556650246</v>
      </c>
      <c r="E507" s="16" t="n">
        <f aca="false">E503*E505*E506*E508</f>
        <v>1670.04614466713</v>
      </c>
      <c r="F507" s="16" t="n">
        <f aca="false">F503*F505*F506*F508</f>
        <v>2276.74248157798</v>
      </c>
      <c r="G507" s="16" t="n">
        <f aca="false">G503*G505*G506*G508</f>
        <v>2663.30065379686</v>
      </c>
      <c r="K507" s="8" t="s">
        <v>555</v>
      </c>
    </row>
    <row r="508" customFormat="false" ht="17.15" hidden="false" customHeight="false" outlineLevel="0" collapsed="false">
      <c r="A508" s="5" t="s">
        <v>556</v>
      </c>
      <c r="B508" s="0" t="s">
        <v>511</v>
      </c>
      <c r="D508" s="23" t="n">
        <f aca="false">D507/(D503*D505*D506)</f>
        <v>323.785547612874</v>
      </c>
      <c r="E508" s="23" t="n">
        <f aca="false">$D508*E504^el</f>
        <v>366.057569108912</v>
      </c>
      <c r="F508" s="23" t="n">
        <f aca="false">$D508*F504^el</f>
        <v>387.003651466596</v>
      </c>
      <c r="G508" s="23" t="n">
        <f aca="false">$D508*G504^el</f>
        <v>387.434269267239</v>
      </c>
      <c r="K508" s="8" t="s">
        <v>557</v>
      </c>
    </row>
    <row r="509" customFormat="false" ht="17.15" hidden="false" customHeight="false" outlineLevel="0" collapsed="false">
      <c r="A509" s="5" t="s">
        <v>515</v>
      </c>
      <c r="B509" s="0" t="s">
        <v>511</v>
      </c>
      <c r="D509" s="16" t="n">
        <f aca="false">D507/D503</f>
        <v>56.662470832253</v>
      </c>
      <c r="E509" s="16" t="n">
        <f aca="false">E507/E503</f>
        <v>70.4660820534656</v>
      </c>
      <c r="F509" s="16" t="n">
        <f aca="false">F507/F503</f>
        <v>85.9148106255842</v>
      </c>
      <c r="G509" s="16" t="n">
        <f aca="false">G507/G503</f>
        <v>88.3350133929306</v>
      </c>
      <c r="K509" s="5" t="s">
        <v>558</v>
      </c>
    </row>
    <row r="510" customFormat="false" ht="17.15" hidden="false" customHeight="false" outlineLevel="0" collapsed="false">
      <c r="A510" s="1" t="s">
        <v>559</v>
      </c>
    </row>
    <row r="511" customFormat="false" ht="17.15" hidden="false" customHeight="false" outlineLevel="0" collapsed="false">
      <c r="A511" s="5" t="s">
        <v>560</v>
      </c>
      <c r="B511" s="0" t="s">
        <v>176</v>
      </c>
      <c r="C511" s="16" t="n">
        <f aca="false">a25_comp-C507</f>
        <v>1054.51014778325</v>
      </c>
      <c r="D511" s="16" t="n">
        <f aca="false">a26_comp-D507</f>
        <v>1022.87484334975</v>
      </c>
      <c r="E511" s="16" t="n">
        <f aca="false">D511*(1+g_pc)</f>
        <v>1053.56108865025</v>
      </c>
      <c r="F511" s="16" t="n">
        <f aca="false">E511*(1+g_pc)</f>
        <v>1085.16792130975</v>
      </c>
      <c r="G511" s="16" t="n">
        <f aca="false">F511*(1+g_pc)</f>
        <v>1117.72295894905</v>
      </c>
    </row>
    <row r="512" customFormat="false" ht="15" hidden="false" customHeight="false" outlineLevel="0" collapsed="false">
      <c r="A512" s="5" t="s">
        <v>561</v>
      </c>
      <c r="B512" s="0" t="s">
        <v>176</v>
      </c>
      <c r="C512" s="16" t="n">
        <f aca="false">C507+C511</f>
        <v>1341.6</v>
      </c>
      <c r="D512" s="16" t="n">
        <f aca="false">D507+D511</f>
        <v>1884.1444</v>
      </c>
      <c r="E512" s="16" t="n">
        <f aca="false">E507+E511</f>
        <v>2723.60723331738</v>
      </c>
      <c r="F512" s="16" t="n">
        <f aca="false">F507+F511</f>
        <v>3361.91040288774</v>
      </c>
      <c r="G512" s="16" t="n">
        <f aca="false">G507+G511</f>
        <v>3781.0236127459</v>
      </c>
    </row>
    <row r="513" customFormat="false" ht="17.15" hidden="false" customHeight="false" outlineLevel="0" collapsed="false">
      <c r="A513" s="5" t="s">
        <v>562</v>
      </c>
      <c r="B513" s="0" t="s">
        <v>176</v>
      </c>
      <c r="C513" s="16" t="n">
        <f aca="false">a25_cm</f>
        <v>3085.68</v>
      </c>
      <c r="D513" s="16" t="n">
        <f aca="false">a26_cm</f>
        <v>3041.87176</v>
      </c>
      <c r="E513" s="16" t="n">
        <f aca="false">D513*(1+g_cm27_A)</f>
        <v>3133.1279128</v>
      </c>
      <c r="F513" s="16" t="n">
        <f aca="false">E513*(1+g_cmL_A)</f>
        <v>3258.453029312</v>
      </c>
      <c r="G513" s="16" t="n">
        <f aca="false">F513*(1+g_cmL_A)</f>
        <v>3388.79115048448</v>
      </c>
    </row>
    <row r="514" customFormat="false" ht="15" hidden="false" customHeight="false" outlineLevel="0" collapsed="false">
      <c r="A514" s="5" t="s">
        <v>563</v>
      </c>
      <c r="B514" s="0" t="s">
        <v>176</v>
      </c>
      <c r="C514" s="16" t="n">
        <f aca="false">a25_au</f>
        <v>1274.52</v>
      </c>
      <c r="D514" s="16" t="n">
        <f aca="false">a26_au</f>
        <v>1656.99176</v>
      </c>
      <c r="E514" s="16" t="n">
        <f aca="false">D514*(1+g_au_lo)</f>
        <v>1723.2714304</v>
      </c>
      <c r="F514" s="16" t="n">
        <f aca="false">E514*(1+g_au_lo)</f>
        <v>1792.202287616</v>
      </c>
      <c r="G514" s="16" t="n">
        <f aca="false">F514*(1+g_au_lo)</f>
        <v>1863.89037912064</v>
      </c>
    </row>
    <row r="515" customFormat="false" ht="15" hidden="false" customHeight="false" outlineLevel="0" collapsed="false">
      <c r="A515" s="5" t="s">
        <v>564</v>
      </c>
      <c r="B515" s="0" t="s">
        <v>176</v>
      </c>
      <c r="C515" s="16" t="n">
        <f aca="false">a25_cs</f>
        <v>1006.2</v>
      </c>
      <c r="D515" s="16" t="n">
        <f aca="false">a26_cs</f>
        <v>1097.4551</v>
      </c>
      <c r="E515" s="16" t="n">
        <f aca="false">D515*(1+g_cs)</f>
        <v>1130.378753</v>
      </c>
      <c r="F515" s="16" t="n">
        <f aca="false">E515*(1+g_cs)</f>
        <v>1164.29011559</v>
      </c>
      <c r="G515" s="16" t="n">
        <f aca="false">F515*(1+g_cs)</f>
        <v>1199.2188190577</v>
      </c>
    </row>
    <row r="516" customFormat="false" ht="17.15" hidden="false" customHeight="false" outlineLevel="0" collapsed="false">
      <c r="A516" s="5" t="s">
        <v>565</v>
      </c>
      <c r="B516" s="0" t="s">
        <v>176</v>
      </c>
      <c r="C516" s="16" t="n">
        <f aca="false">0</f>
        <v>0</v>
      </c>
      <c r="D516" s="16" t="n">
        <f aca="false">0</f>
        <v>0</v>
      </c>
      <c r="E516" s="16" t="n">
        <f aca="false">0</f>
        <v>0</v>
      </c>
      <c r="F516" s="16" t="n">
        <f aca="false">az_rev28_A</f>
        <v>150</v>
      </c>
      <c r="G516" s="16" t="n">
        <f aca="false">az_rev29_A</f>
        <v>500</v>
      </c>
      <c r="K516" s="5" t="s">
        <v>566</v>
      </c>
    </row>
    <row r="517" customFormat="false" ht="17.15" hidden="false" customHeight="false" outlineLevel="0" collapsed="false">
      <c r="A517" s="5" t="s">
        <v>444</v>
      </c>
      <c r="B517" s="0" t="s">
        <v>176</v>
      </c>
      <c r="C517" s="16" t="n">
        <f aca="false">C512+C513+C514+C515+C516</f>
        <v>6708</v>
      </c>
      <c r="D517" s="16" t="n">
        <f aca="false">D512+D513+D514+D515+D516</f>
        <v>7680.46302</v>
      </c>
      <c r="E517" s="16" t="n">
        <f aca="false">E512+E513+E514+E515+E516</f>
        <v>8710.38532951738</v>
      </c>
      <c r="F517" s="16" t="n">
        <f aca="false">F512+F513+F514+F515+F516</f>
        <v>9726.85583540574</v>
      </c>
      <c r="G517" s="16" t="n">
        <f aca="false">G512+G513+G514+G515+G516</f>
        <v>10732.9239614087</v>
      </c>
      <c r="H517" s="29" t="n">
        <f aca="false">G517*(1+H518)</f>
        <v>11687.6676150658</v>
      </c>
      <c r="I517" s="29" t="n">
        <f aca="false">H517*(1+I518)</f>
        <v>12558.1339212023</v>
      </c>
      <c r="J517" s="29" t="n">
        <f aca="false">I517*(1+J518)</f>
        <v>13311.6219564744</v>
      </c>
      <c r="K517" s="8" t="s">
        <v>567</v>
      </c>
    </row>
    <row r="518" customFormat="false" ht="15" hidden="false" customHeight="false" outlineLevel="0" collapsed="false">
      <c r="A518" s="5" t="s">
        <v>568</v>
      </c>
      <c r="B518" s="0" t="s">
        <v>77</v>
      </c>
      <c r="D518" s="20" t="n">
        <f aca="false">D517/C517-1</f>
        <v>0.144970635062612</v>
      </c>
      <c r="E518" s="20" t="n">
        <f aca="false">E517/D517-1</f>
        <v>0.13409638283987</v>
      </c>
      <c r="F518" s="20" t="n">
        <f aca="false">F517/E517-1</f>
        <v>0.116696387982261</v>
      </c>
      <c r="G518" s="20" t="n">
        <f aca="false">G517/F517-1</f>
        <v>0.103431997248371</v>
      </c>
      <c r="H518" s="25" t="n">
        <f aca="false">$G518+(fade_gA-$G518)*1/3</f>
        <v>0.0889546648322474</v>
      </c>
      <c r="I518" s="25" t="n">
        <f aca="false">$G518+(fade_gA-$G518)*2/3</f>
        <v>0.0744773324161237</v>
      </c>
      <c r="J518" s="25" t="n">
        <f aca="false">$G518+(fade_gA-$G518)*3/3</f>
        <v>0.06</v>
      </c>
    </row>
    <row r="519" customFormat="false" ht="17.15" hidden="false" customHeight="false" outlineLevel="0" collapsed="false">
      <c r="A519" s="0" t="s">
        <v>569</v>
      </c>
      <c r="B519" s="0" t="s">
        <v>77</v>
      </c>
      <c r="C519" s="20" t="n">
        <f aca="false">C507/C517</f>
        <v>0.042798129430046</v>
      </c>
      <c r="D519" s="20" t="n">
        <f aca="false">D507/D517</f>
        <v>0.112137712844589</v>
      </c>
      <c r="E519" s="20" t="n">
        <f aca="false">E507/E517</f>
        <v>0.191730455254115</v>
      </c>
      <c r="F519" s="20" t="n">
        <f aca="false">F507/F517</f>
        <v>0.234067669975188</v>
      </c>
      <c r="G519" s="20" t="n">
        <f aca="false">G507/G517</f>
        <v>0.248143065521848</v>
      </c>
    </row>
    <row r="520" customFormat="false" ht="17.15" hidden="false" customHeight="false" outlineLevel="0" collapsed="false">
      <c r="A520" s="5" t="s">
        <v>570</v>
      </c>
      <c r="B520" s="0" t="s">
        <v>77</v>
      </c>
      <c r="C520" s="20" t="n">
        <f aca="false">C513/C517</f>
        <v>0.46</v>
      </c>
      <c r="D520" s="20" t="n">
        <f aca="false">D513/D517</f>
        <v>0.396053174408748</v>
      </c>
      <c r="E520" s="20" t="n">
        <f aca="false">E513/E517</f>
        <v>0.35970026517456</v>
      </c>
      <c r="F520" s="20" t="n">
        <f aca="false">F513/F517</f>
        <v>0.334995509797857</v>
      </c>
      <c r="G520" s="20" t="n">
        <f aca="false">G513/G517</f>
        <v>0.315737925906231</v>
      </c>
    </row>
    <row r="521" customFormat="false" ht="17.15" hidden="false" customHeight="false" outlineLevel="0" collapsed="false">
      <c r="A521" s="1" t="s">
        <v>571</v>
      </c>
    </row>
    <row r="522" customFormat="false" ht="15" hidden="false" customHeight="false" outlineLevel="0" collapsed="false">
      <c r="A522" s="5" t="s">
        <v>572</v>
      </c>
      <c r="B522" s="0" t="s">
        <v>176</v>
      </c>
      <c r="C522" s="16" t="n">
        <f aca="false">C517-C516</f>
        <v>6708</v>
      </c>
      <c r="D522" s="16" t="n">
        <f aca="false">D517-D516</f>
        <v>7680.46302</v>
      </c>
      <c r="E522" s="16" t="n">
        <f aca="false">E517-E516</f>
        <v>8710.38532951738</v>
      </c>
      <c r="F522" s="16" t="n">
        <f aca="false">F517-F516</f>
        <v>9576.85583540574</v>
      </c>
      <c r="G522" s="16" t="n">
        <f aca="false">G517-G516</f>
        <v>10232.9239614087</v>
      </c>
    </row>
    <row r="523" customFormat="false" ht="17.15" hidden="false" customHeight="false" outlineLevel="0" collapsed="false">
      <c r="A523" s="5" t="s">
        <v>573</v>
      </c>
      <c r="B523" s="0" t="s">
        <v>176</v>
      </c>
      <c r="D523" s="16" t="n">
        <f aca="false">cap_m26</f>
        <v>1200</v>
      </c>
      <c r="E523" s="16" t="n">
        <f aca="false">capi*E522</f>
        <v>1219.45394613243</v>
      </c>
      <c r="F523" s="16" t="n">
        <f aca="false">capi*F522</f>
        <v>1340.7598169568</v>
      </c>
      <c r="G523" s="16" t="n">
        <f aca="false">capi*G522</f>
        <v>1432.60935459722</v>
      </c>
      <c r="K523" s="8" t="s">
        <v>574</v>
      </c>
    </row>
    <row r="524" customFormat="false" ht="17.15" hidden="false" customHeight="false" outlineLevel="0" collapsed="false">
      <c r="A524" s="5" t="s">
        <v>575</v>
      </c>
      <c r="B524" s="0" t="s">
        <v>176</v>
      </c>
      <c r="C524" s="16" t="n">
        <f aca="false">a25_da</f>
        <v>642</v>
      </c>
      <c r="D524" s="16" t="n">
        <f aca="false">a26_da</f>
        <v>740.6</v>
      </c>
      <c r="E524" s="16" t="n">
        <f aca="false">D524*(1-1/life)+D523/life</f>
        <v>806.228571428572</v>
      </c>
      <c r="F524" s="16" t="n">
        <f aca="false">E524*(1-1/life)+E523/life</f>
        <v>865.260767814838</v>
      </c>
      <c r="G524" s="16" t="n">
        <f aca="false">F524*(1-1/life)+F523/life</f>
        <v>933.189203406547</v>
      </c>
      <c r="K524" s="5" t="s">
        <v>576</v>
      </c>
    </row>
    <row r="525" customFormat="false" ht="15" hidden="false" customHeight="false" outlineLevel="0" collapsed="false">
      <c r="A525" s="5" t="s">
        <v>577</v>
      </c>
      <c r="B525" s="0" t="s">
        <v>176</v>
      </c>
      <c r="E525" s="16" t="n">
        <f aca="false">0</f>
        <v>0</v>
      </c>
      <c r="F525" s="16" t="n">
        <f aca="false">az_capex1*(1-az_inc)/az_life*az_svc28</f>
        <v>94.7916666666667</v>
      </c>
      <c r="G525" s="16" t="n">
        <f aca="false">az_capex1*(1-az_inc)/az_life</f>
        <v>189.583333333333</v>
      </c>
    </row>
    <row r="526" customFormat="false" ht="15" hidden="false" customHeight="false" outlineLevel="0" collapsed="false">
      <c r="A526" s="5" t="s">
        <v>578</v>
      </c>
      <c r="B526" s="0" t="s">
        <v>176</v>
      </c>
      <c r="C526" s="16" t="n">
        <f aca="false">C524</f>
        <v>642</v>
      </c>
      <c r="D526" s="16" t="n">
        <f aca="false">D524</f>
        <v>740.6</v>
      </c>
      <c r="E526" s="16" t="n">
        <f aca="false">E524+E525</f>
        <v>806.228571428572</v>
      </c>
      <c r="F526" s="16" t="n">
        <f aca="false">F524+F525</f>
        <v>960.052434481504</v>
      </c>
      <c r="G526" s="16" t="n">
        <f aca="false">G524+G525</f>
        <v>1122.77253673988</v>
      </c>
    </row>
    <row r="527" customFormat="false" ht="17.15" hidden="false" customHeight="false" outlineLevel="0" collapsed="false">
      <c r="A527" s="5" t="s">
        <v>579</v>
      </c>
      <c r="B527" s="0" t="s">
        <v>176</v>
      </c>
      <c r="C527" s="16" t="n">
        <f aca="false">a25_gp</f>
        <v>938.6</v>
      </c>
      <c r="D527" s="16" t="n">
        <f aca="false">a26_gp</f>
        <v>1325.7873147</v>
      </c>
      <c r="E527" s="16" t="n">
        <f aca="false">$D527+ft*(E522-$D522)-(E524-$D524)</f>
        <v>1672.12766707838</v>
      </c>
      <c r="F527" s="16" t="n">
        <f aca="false">$D527+ft*(F522-$D522)-(F524-$D524)</f>
        <v>1959.68367304746</v>
      </c>
      <c r="G527" s="16" t="n">
        <f aca="false">$D527+ft*(G522-$D522)-(G524-$D524)</f>
        <v>2154.18248785694</v>
      </c>
      <c r="K527" s="5" t="s">
        <v>580</v>
      </c>
    </row>
    <row r="528" customFormat="false" ht="17.15" hidden="false" customHeight="false" outlineLevel="0" collapsed="false">
      <c r="A528" s="5" t="s">
        <v>581</v>
      </c>
      <c r="B528" s="0" t="s">
        <v>176</v>
      </c>
      <c r="E528" s="16" t="n">
        <f aca="false">E516*az_cm-az_fix27</f>
        <v>-120</v>
      </c>
      <c r="F528" s="16" t="n">
        <f aca="false">F516*az_cm-az_fix28-F525</f>
        <v>-112.291666666667</v>
      </c>
      <c r="G528" s="16" t="n">
        <f aca="false">G516*az_cm-az_fix29-G525</f>
        <v>-14.5833333333333</v>
      </c>
      <c r="K528" s="8" t="s">
        <v>582</v>
      </c>
    </row>
    <row r="529" customFormat="false" ht="15" hidden="false" customHeight="false" outlineLevel="0" collapsed="false">
      <c r="A529" s="5" t="s">
        <v>458</v>
      </c>
      <c r="B529" s="0" t="s">
        <v>176</v>
      </c>
      <c r="C529" s="16" t="n">
        <f aca="false">a25_gp</f>
        <v>938.6</v>
      </c>
      <c r="D529" s="16" t="n">
        <f aca="false">a26_gp</f>
        <v>1325.7873147</v>
      </c>
      <c r="E529" s="16" t="n">
        <f aca="false">E527+E528</f>
        <v>1552.12766707838</v>
      </c>
      <c r="F529" s="16" t="n">
        <f aca="false">F527+F528</f>
        <v>1847.39200638079</v>
      </c>
      <c r="G529" s="16" t="n">
        <f aca="false">G527+G528</f>
        <v>2139.59915452361</v>
      </c>
    </row>
    <row r="530" customFormat="false" ht="15" hidden="false" customHeight="false" outlineLevel="0" collapsed="false">
      <c r="A530" s="5" t="s">
        <v>461</v>
      </c>
      <c r="B530" s="0" t="s">
        <v>77</v>
      </c>
      <c r="C530" s="17" t="n">
        <f aca="false">C529/C517</f>
        <v>0.139922480620155</v>
      </c>
      <c r="D530" s="17" t="n">
        <f aca="false">D529/D517</f>
        <v>0.172618149615152</v>
      </c>
      <c r="E530" s="17" t="n">
        <f aca="false">E529/E517</f>
        <v>0.178192767410484</v>
      </c>
      <c r="F530" s="17" t="n">
        <f aca="false">F529/F517</f>
        <v>0.189926944291318</v>
      </c>
      <c r="G530" s="17" t="n">
        <f aca="false">G529/G517</f>
        <v>0.199349139360043</v>
      </c>
    </row>
    <row r="531" customFormat="false" ht="17.15" hidden="false" customHeight="false" outlineLevel="0" collapsed="false">
      <c r="A531" s="5" t="s">
        <v>583</v>
      </c>
      <c r="B531" s="0" t="s">
        <v>584</v>
      </c>
      <c r="E531" s="17" t="n">
        <f aca="false">E528/E517</f>
        <v>-0.0137766580306556</v>
      </c>
      <c r="F531" s="17" t="n">
        <f aca="false">F528/F517</f>
        <v>-0.0115444978898449</v>
      </c>
      <c r="G531" s="17" t="n">
        <f aca="false">G528/G517</f>
        <v>-0.00135874747513065</v>
      </c>
      <c r="K531" s="5" t="s">
        <v>585</v>
      </c>
    </row>
    <row r="532" customFormat="false" ht="17.15" hidden="false" customHeight="false" outlineLevel="0" collapsed="false">
      <c r="A532" s="5" t="s">
        <v>463</v>
      </c>
      <c r="B532" s="0" t="s">
        <v>176</v>
      </c>
      <c r="C532" s="16" t="n">
        <f aca="false">a25_opx</f>
        <v>471.2</v>
      </c>
      <c r="D532" s="16" t="n">
        <f aca="false">a26_opx</f>
        <v>537.5</v>
      </c>
      <c r="E532" s="16" t="n">
        <f aca="false">(D532+opx_gain)*(1+phi*E518)</f>
        <v>595.946414908034</v>
      </c>
      <c r="F532" s="16" t="n">
        <f aca="false">E532*(1+phi*F518)</f>
        <v>630.718811933406</v>
      </c>
      <c r="G532" s="16" t="n">
        <f aca="false">F532*(1+phi*G518)</f>
        <v>663.337065143602</v>
      </c>
      <c r="K532" s="8" t="s">
        <v>586</v>
      </c>
    </row>
    <row r="533" customFormat="false" ht="15" hidden="false" customHeight="false" outlineLevel="0" collapsed="false">
      <c r="A533" s="5" t="s">
        <v>466</v>
      </c>
      <c r="B533" s="0" t="s">
        <v>176</v>
      </c>
      <c r="C533" s="16" t="n">
        <f aca="false">C529-C532</f>
        <v>467.4</v>
      </c>
      <c r="D533" s="16" t="n">
        <f aca="false">D529-D532</f>
        <v>788.2873147</v>
      </c>
      <c r="E533" s="16" t="n">
        <f aca="false">E529-E532</f>
        <v>956.181252170347</v>
      </c>
      <c r="F533" s="16" t="n">
        <f aca="false">F529-F532</f>
        <v>1216.67319444738</v>
      </c>
      <c r="G533" s="16" t="n">
        <f aca="false">G529-G532</f>
        <v>1476.26208938001</v>
      </c>
    </row>
    <row r="534" customFormat="false" ht="15" hidden="false" customHeight="false" outlineLevel="0" collapsed="false">
      <c r="A534" s="5" t="s">
        <v>540</v>
      </c>
      <c r="B534" s="0" t="s">
        <v>77</v>
      </c>
      <c r="C534" s="17" t="n">
        <f aca="false">C533/C517</f>
        <v>0.0696779964221825</v>
      </c>
      <c r="D534" s="17" t="n">
        <f aca="false">D533/D517</f>
        <v>0.102635389643475</v>
      </c>
      <c r="E534" s="17" t="n">
        <f aca="false">E533/E517</f>
        <v>0.109774851053958</v>
      </c>
      <c r="F534" s="17" t="n">
        <f aca="false">F533/F517</f>
        <v>0.125083913551869</v>
      </c>
      <c r="G534" s="17" t="n">
        <f aca="false">G533/G517</f>
        <v>0.137545192222367</v>
      </c>
    </row>
    <row r="535" customFormat="false" ht="15" hidden="false" customHeight="false" outlineLevel="0" collapsed="false">
      <c r="A535" s="5" t="s">
        <v>587</v>
      </c>
      <c r="B535" s="0" t="s">
        <v>176</v>
      </c>
      <c r="C535" s="16" t="n">
        <f aca="false">a25_nonop</f>
        <v>-22.7</v>
      </c>
      <c r="D535" s="16" t="n">
        <f aca="false">a26_nonop</f>
        <v>-0.700000000000003</v>
      </c>
      <c r="E535" s="16" t="n">
        <f aca="false">nonop27</f>
        <v>-20</v>
      </c>
      <c r="F535" s="16" t="n">
        <f aca="false">nonop28</f>
        <v>-40</v>
      </c>
      <c r="G535" s="16" t="n">
        <f aca="false">nonop29</f>
        <v>-60</v>
      </c>
    </row>
    <row r="536" customFormat="false" ht="15" hidden="false" customHeight="false" outlineLevel="0" collapsed="false">
      <c r="A536" s="5" t="s">
        <v>471</v>
      </c>
      <c r="B536" s="0" t="s">
        <v>176</v>
      </c>
      <c r="C536" s="16" t="n">
        <f aca="false">C533+C535</f>
        <v>444.7</v>
      </c>
      <c r="D536" s="16" t="n">
        <f aca="false">D533+D535</f>
        <v>787.5873147</v>
      </c>
      <c r="E536" s="16" t="n">
        <f aca="false">E533+E535</f>
        <v>936.181252170347</v>
      </c>
      <c r="F536" s="16" t="n">
        <f aca="false">F533+F535</f>
        <v>1176.67319444738</v>
      </c>
      <c r="G536" s="16" t="n">
        <f aca="false">G533+G535</f>
        <v>1416.26208938001</v>
      </c>
    </row>
    <row r="537" customFormat="false" ht="15" hidden="false" customHeight="false" outlineLevel="0" collapsed="false">
      <c r="A537" s="5" t="s">
        <v>472</v>
      </c>
      <c r="B537" s="0" t="s">
        <v>176</v>
      </c>
      <c r="C537" s="16" t="n">
        <f aca="false">a25_tax</f>
        <v>68.5</v>
      </c>
      <c r="D537" s="16" t="n">
        <f aca="false">a26_tax</f>
        <v>138.23746294</v>
      </c>
      <c r="E537" s="16" t="n">
        <f aca="false">E536*tax</f>
        <v>187.236250434069</v>
      </c>
      <c r="F537" s="16" t="n">
        <f aca="false">F536*tax</f>
        <v>235.334638889477</v>
      </c>
      <c r="G537" s="16" t="n">
        <f aca="false">G536*tax</f>
        <v>283.252417876001</v>
      </c>
    </row>
    <row r="538" customFormat="false" ht="15" hidden="false" customHeight="false" outlineLevel="0" collapsed="false">
      <c r="A538" s="5" t="s">
        <v>474</v>
      </c>
      <c r="B538" s="0" t="s">
        <v>176</v>
      </c>
      <c r="C538" s="16" t="n">
        <f aca="false">a25_nci</f>
        <v>2.30000000000007</v>
      </c>
      <c r="D538" s="16" t="n">
        <f aca="false">a26_nci</f>
        <v>3.7</v>
      </c>
      <c r="E538" s="16" t="n">
        <f aca="false">nci</f>
        <v>3</v>
      </c>
      <c r="F538" s="16" t="n">
        <f aca="false">nci</f>
        <v>3</v>
      </c>
      <c r="G538" s="16" t="n">
        <f aca="false">nci</f>
        <v>3</v>
      </c>
    </row>
    <row r="539" customFormat="false" ht="15" hidden="false" customHeight="false" outlineLevel="0" collapsed="false">
      <c r="A539" s="5" t="s">
        <v>476</v>
      </c>
      <c r="B539" s="0" t="s">
        <v>176</v>
      </c>
      <c r="C539" s="16" t="n">
        <f aca="false">C536-C537-C538</f>
        <v>373.9</v>
      </c>
      <c r="D539" s="16" t="n">
        <f aca="false">D536-D537-D538</f>
        <v>645.64985176</v>
      </c>
      <c r="E539" s="16" t="n">
        <f aca="false">E536-E537-E538</f>
        <v>745.945001736278</v>
      </c>
      <c r="F539" s="16" t="n">
        <f aca="false">F536-F537-F538</f>
        <v>938.338555557907</v>
      </c>
      <c r="G539" s="16" t="n">
        <f aca="false">G536-G537-G538</f>
        <v>1130.00967150401</v>
      </c>
      <c r="H539" s="29" t="n">
        <f aca="false">H517*H543</f>
        <v>1251.53048935124</v>
      </c>
      <c r="I539" s="29" t="n">
        <f aca="false">I517*I543</f>
        <v>1367.30644022729</v>
      </c>
      <c r="J539" s="29" t="n">
        <f aca="false">J517*J543</f>
        <v>1473.26404314816</v>
      </c>
    </row>
    <row r="540" customFormat="false" ht="15" hidden="false" customHeight="false" outlineLevel="0" collapsed="false">
      <c r="A540" s="5" t="s">
        <v>588</v>
      </c>
      <c r="B540" s="5" t="s">
        <v>310</v>
      </c>
      <c r="C540" s="21" t="n">
        <f aca="false">a25_sh</f>
        <v>248.5</v>
      </c>
      <c r="D540" s="21" t="n">
        <f aca="false">a26_sh</f>
        <v>249.915</v>
      </c>
      <c r="E540" s="21" t="n">
        <f aca="false">D540*(1+sh_g)</f>
        <v>249.915</v>
      </c>
      <c r="F540" s="21" t="n">
        <f aca="false">E540*(1+sh_g)</f>
        <v>249.915</v>
      </c>
      <c r="G540" s="21" t="n">
        <f aca="false">F540*(1+sh_g)</f>
        <v>249.915</v>
      </c>
      <c r="H540" s="30" t="n">
        <f aca="false">G540*(1+sh_g)</f>
        <v>249.915</v>
      </c>
      <c r="I540" s="30" t="n">
        <f aca="false">H540*(1+sh_g)</f>
        <v>249.915</v>
      </c>
      <c r="J540" s="30" t="n">
        <f aca="false">I540*(1+sh_g)</f>
        <v>249.915</v>
      </c>
    </row>
    <row r="541" customFormat="false" ht="17.15" hidden="false" customHeight="false" outlineLevel="0" collapsed="false">
      <c r="A541" s="0" t="s">
        <v>480</v>
      </c>
      <c r="B541" s="0" t="s">
        <v>331</v>
      </c>
      <c r="C541" s="18" t="n">
        <f aca="false">C539/C540</f>
        <v>1.5046277665996</v>
      </c>
      <c r="D541" s="18" t="n">
        <f aca="false">D539/D540</f>
        <v>2.58347778948843</v>
      </c>
      <c r="E541" s="18" t="n">
        <f aca="false">E539/E540</f>
        <v>2.98479483718976</v>
      </c>
      <c r="F541" s="18" t="n">
        <f aca="false">F539/F540</f>
        <v>3.75463079670251</v>
      </c>
      <c r="G541" s="18" t="n">
        <f aca="false">G539/G540</f>
        <v>4.52157602186345</v>
      </c>
      <c r="H541" s="27" t="n">
        <f aca="false">H539/H540</f>
        <v>5.00782461777502</v>
      </c>
      <c r="I541" s="27" t="n">
        <f aca="false">I539/I540</f>
        <v>5.47108593012542</v>
      </c>
      <c r="J541" s="27" t="n">
        <f aca="false">J539/J540</f>
        <v>5.89506049316032</v>
      </c>
    </row>
    <row r="542" customFormat="false" ht="17.15" hidden="false" customHeight="false" outlineLevel="0" collapsed="false">
      <c r="A542" s="0" t="s">
        <v>589</v>
      </c>
      <c r="B542" s="0" t="s">
        <v>77</v>
      </c>
      <c r="D542" s="20" t="n">
        <f aca="false">D541/C541-1</f>
        <v>0.717021210719106</v>
      </c>
      <c r="E542" s="20" t="n">
        <f aca="false">E541/D541-1</f>
        <v>0.155339848220951</v>
      </c>
      <c r="F542" s="20" t="n">
        <f aca="false">F541/E541-1</f>
        <v>0.25791922108709</v>
      </c>
      <c r="G542" s="20" t="n">
        <f aca="false">G541/F541-1</f>
        <v>0.204266482295547</v>
      </c>
      <c r="H542" s="25" t="n">
        <f aca="false">H541/G541-1</f>
        <v>0.107539626351603</v>
      </c>
      <c r="I542" s="25" t="n">
        <f aca="false">I541/H541-1</f>
        <v>0.0925074953116534</v>
      </c>
      <c r="J542" s="25" t="n">
        <f aca="false">J541/I541-1</f>
        <v>0.0774936764747869</v>
      </c>
    </row>
    <row r="543" customFormat="false" ht="17.15" hidden="false" customHeight="false" outlineLevel="0" collapsed="false">
      <c r="A543" s="5" t="s">
        <v>590</v>
      </c>
      <c r="B543" s="0" t="s">
        <v>77</v>
      </c>
      <c r="C543" s="17" t="n">
        <f aca="false">C539/C517</f>
        <v>0.0557394156231365</v>
      </c>
      <c r="D543" s="17" t="n">
        <f aca="false">D539/D517</f>
        <v>0.0840639229794768</v>
      </c>
      <c r="E543" s="17" t="n">
        <f aca="false">E539/E517</f>
        <v>0.0856385766549789</v>
      </c>
      <c r="F543" s="17" t="n">
        <f aca="false">F539/F517</f>
        <v>0.0964688457849202</v>
      </c>
      <c r="G543" s="17" t="n">
        <f aca="false">G539/G517</f>
        <v>0.105284419750579</v>
      </c>
      <c r="H543" s="26" t="n">
        <f aca="false">$G543+(fade_mA-$G543)*1/3</f>
        <v>0.107081286923148</v>
      </c>
      <c r="I543" s="26" t="n">
        <f aca="false">$G543+(fade_mA-$G543)*2/3</f>
        <v>0.108878154095716</v>
      </c>
      <c r="J543" s="26" t="n">
        <f aca="false">$G543+(fade_mA-$G543)*3/3</f>
        <v>0.110675021268284</v>
      </c>
    </row>
    <row r="546" customFormat="false" ht="17.15" hidden="false" customHeight="false" outlineLevel="0" collapsed="false">
      <c r="A546" s="3" t="s">
        <v>930</v>
      </c>
    </row>
    <row r="547" customFormat="false" ht="17.15" hidden="false" customHeight="false" outlineLevel="0" collapsed="false">
      <c r="A547" s="6" t="s">
        <v>22</v>
      </c>
      <c r="B547" s="6" t="s">
        <v>23</v>
      </c>
      <c r="C547" s="14" t="s">
        <v>437</v>
      </c>
      <c r="D547" s="14" t="s">
        <v>527</v>
      </c>
      <c r="E547" s="14" t="s">
        <v>528</v>
      </c>
      <c r="F547" s="14" t="s">
        <v>529</v>
      </c>
      <c r="G547" s="14" t="s">
        <v>530</v>
      </c>
      <c r="H547" s="14" t="s">
        <v>531</v>
      </c>
      <c r="I547" s="14" t="s">
        <v>532</v>
      </c>
      <c r="J547" s="14" t="s">
        <v>533</v>
      </c>
      <c r="K547" s="6" t="s">
        <v>503</v>
      </c>
    </row>
    <row r="548" customFormat="false" ht="17.15" hidden="false" customHeight="false" outlineLevel="0" collapsed="false">
      <c r="A548" s="1" t="s">
        <v>551</v>
      </c>
    </row>
    <row r="549" customFormat="false" ht="17.15" hidden="false" customHeight="false" outlineLevel="0" collapsed="false">
      <c r="A549" s="0" t="s">
        <v>552</v>
      </c>
      <c r="B549" s="5" t="s">
        <v>33</v>
      </c>
      <c r="D549" s="18" t="n">
        <f aca="false">units_26</f>
        <v>15.2</v>
      </c>
      <c r="E549" s="18" t="n">
        <f aca="false">units_27*1</f>
        <v>23.7</v>
      </c>
      <c r="F549" s="18" t="n">
        <f aca="false">units_28*um28_A*1</f>
        <v>26.5</v>
      </c>
      <c r="G549" s="18" t="n">
        <f aca="false">units_29*um29_A*1</f>
        <v>30.15</v>
      </c>
    </row>
    <row r="550" customFormat="false" ht="17.15" hidden="false" customHeight="false" outlineLevel="0" collapsed="false">
      <c r="A550" s="5" t="s">
        <v>506</v>
      </c>
      <c r="B550" s="0" t="s">
        <v>46</v>
      </c>
      <c r="D550" s="22" t="n">
        <f aca="false">ar_26</f>
        <v>1</v>
      </c>
      <c r="E550" s="22" t="n">
        <f aca="false">ar_27</f>
        <v>1.278156</v>
      </c>
      <c r="F550" s="22" t="n">
        <f aca="false">ar_28</f>
        <v>1.428615</v>
      </c>
      <c r="G550" s="22" t="n">
        <f aca="false">ar_29</f>
        <v>1.431796</v>
      </c>
    </row>
    <row r="551" customFormat="false" ht="17.15" hidden="false" customHeight="false" outlineLevel="0" collapsed="false">
      <c r="A551" s="5" t="s">
        <v>508</v>
      </c>
      <c r="B551" s="0" t="s">
        <v>77</v>
      </c>
      <c r="D551" s="20" t="n">
        <f aca="false">out_26</f>
        <v>0.5</v>
      </c>
      <c r="E551" s="20" t="n">
        <f aca="false">out_27</f>
        <v>0.55</v>
      </c>
      <c r="F551" s="20" t="n">
        <f aca="false">out_28</f>
        <v>0.6</v>
      </c>
      <c r="G551" s="20" t="n">
        <f aca="false">out_29</f>
        <v>0.6</v>
      </c>
      <c r="K551" s="8" t="s">
        <v>553</v>
      </c>
    </row>
    <row r="552" customFormat="false" ht="17.15" hidden="false" customHeight="false" outlineLevel="0" collapsed="false">
      <c r="A552" s="0" t="s">
        <v>509</v>
      </c>
      <c r="B552" s="0" t="s">
        <v>77</v>
      </c>
      <c r="D552" s="20" t="n">
        <f aca="false">sh_26</f>
        <v>0.35</v>
      </c>
      <c r="E552" s="20" t="n">
        <f aca="false">sh_27</f>
        <v>0.35</v>
      </c>
      <c r="F552" s="20" t="n">
        <f aca="false">sh_28</f>
        <v>0.37</v>
      </c>
      <c r="G552" s="20" t="n">
        <f aca="false">sh_29</f>
        <v>0.38</v>
      </c>
    </row>
    <row r="553" customFormat="false" ht="17.15" hidden="false" customHeight="false" outlineLevel="0" collapsed="false">
      <c r="A553" s="0" t="s">
        <v>554</v>
      </c>
      <c r="B553" s="0" t="s">
        <v>176</v>
      </c>
      <c r="C553" s="16" t="n">
        <f aca="false">(a26_comp-a25_comp*(1+g_pc26))/(tri-(1+g_pc26))</f>
        <v>287.089852216749</v>
      </c>
      <c r="D553" s="16" t="n">
        <f aca="false">C553*tri</f>
        <v>861.269556650246</v>
      </c>
      <c r="E553" s="16" t="n">
        <f aca="false">E549*E551*E552*E554</f>
        <v>1670.04614466713</v>
      </c>
      <c r="F553" s="16" t="n">
        <f aca="false">F549*F551*F552*F554</f>
        <v>2276.74248157798</v>
      </c>
      <c r="G553" s="16" t="n">
        <f aca="false">G549*G551*G552*G554</f>
        <v>2663.30065379686</v>
      </c>
      <c r="K553" s="8" t="s">
        <v>555</v>
      </c>
    </row>
    <row r="554" customFormat="false" ht="17.15" hidden="false" customHeight="false" outlineLevel="0" collapsed="false">
      <c r="A554" s="5" t="s">
        <v>556</v>
      </c>
      <c r="B554" s="0" t="s">
        <v>511</v>
      </c>
      <c r="D554" s="23" t="n">
        <f aca="false">D553/(D549*D551*D552)</f>
        <v>323.785547612874</v>
      </c>
      <c r="E554" s="23" t="n">
        <f aca="false">$D554*E550^el</f>
        <v>366.057569108912</v>
      </c>
      <c r="F554" s="23" t="n">
        <f aca="false">$D554*F550^el</f>
        <v>387.003651466596</v>
      </c>
      <c r="G554" s="23" t="n">
        <f aca="false">$D554*G550^el</f>
        <v>387.434269267239</v>
      </c>
      <c r="K554" s="8" t="s">
        <v>557</v>
      </c>
    </row>
    <row r="555" customFormat="false" ht="17.15" hidden="false" customHeight="false" outlineLevel="0" collapsed="false">
      <c r="A555" s="5" t="s">
        <v>515</v>
      </c>
      <c r="B555" s="0" t="s">
        <v>511</v>
      </c>
      <c r="D555" s="16" t="n">
        <f aca="false">D553/D549</f>
        <v>56.662470832253</v>
      </c>
      <c r="E555" s="16" t="n">
        <f aca="false">E553/E549</f>
        <v>70.4660820534656</v>
      </c>
      <c r="F555" s="16" t="n">
        <f aca="false">F553/F549</f>
        <v>85.9148106255842</v>
      </c>
      <c r="G555" s="16" t="n">
        <f aca="false">G553/G549</f>
        <v>88.3350133929306</v>
      </c>
      <c r="K555" s="5" t="s">
        <v>558</v>
      </c>
    </row>
    <row r="556" customFormat="false" ht="17.15" hidden="false" customHeight="false" outlineLevel="0" collapsed="false">
      <c r="A556" s="1" t="s">
        <v>559</v>
      </c>
    </row>
    <row r="557" customFormat="false" ht="17.15" hidden="false" customHeight="false" outlineLevel="0" collapsed="false">
      <c r="A557" s="5" t="s">
        <v>560</v>
      </c>
      <c r="B557" s="0" t="s">
        <v>176</v>
      </c>
      <c r="C557" s="16" t="n">
        <f aca="false">a25_comp-C553</f>
        <v>1054.51014778325</v>
      </c>
      <c r="D557" s="16" t="n">
        <f aca="false">a26_comp-D553</f>
        <v>1022.87484334975</v>
      </c>
      <c r="E557" s="16" t="n">
        <f aca="false">D557*(1+g_pc)</f>
        <v>1053.56108865025</v>
      </c>
      <c r="F557" s="16" t="n">
        <f aca="false">E557*(1+g_pc)</f>
        <v>1085.16792130975</v>
      </c>
      <c r="G557" s="16" t="n">
        <f aca="false">F557*(1+g_pc)</f>
        <v>1117.72295894905</v>
      </c>
    </row>
    <row r="558" customFormat="false" ht="15" hidden="false" customHeight="false" outlineLevel="0" collapsed="false">
      <c r="A558" s="5" t="s">
        <v>561</v>
      </c>
      <c r="B558" s="0" t="s">
        <v>176</v>
      </c>
      <c r="C558" s="16" t="n">
        <f aca="false">C553+C557</f>
        <v>1341.6</v>
      </c>
      <c r="D558" s="16" t="n">
        <f aca="false">D553+D557</f>
        <v>1884.1444</v>
      </c>
      <c r="E558" s="16" t="n">
        <f aca="false">E553+E557</f>
        <v>2723.60723331738</v>
      </c>
      <c r="F558" s="16" t="n">
        <f aca="false">F553+F557</f>
        <v>3361.91040288774</v>
      </c>
      <c r="G558" s="16" t="n">
        <f aca="false">G553+G557</f>
        <v>3781.0236127459</v>
      </c>
    </row>
    <row r="559" customFormat="false" ht="17.15" hidden="false" customHeight="false" outlineLevel="0" collapsed="false">
      <c r="A559" s="5" t="s">
        <v>562</v>
      </c>
      <c r="B559" s="0" t="s">
        <v>176</v>
      </c>
      <c r="C559" s="16" t="n">
        <f aca="false">a25_cm</f>
        <v>3085.68</v>
      </c>
      <c r="D559" s="16" t="n">
        <f aca="false">a26_cm</f>
        <v>3041.87176</v>
      </c>
      <c r="E559" s="16" t="n">
        <f aca="false">D559*(1+g_cm27_A)</f>
        <v>3133.1279128</v>
      </c>
      <c r="F559" s="16" t="n">
        <f aca="false">E559*(1+g_cmL_A)</f>
        <v>3258.453029312</v>
      </c>
      <c r="G559" s="16" t="n">
        <f aca="false">F559*(1+g_cmL_A)</f>
        <v>3388.79115048448</v>
      </c>
    </row>
    <row r="560" customFormat="false" ht="15" hidden="false" customHeight="false" outlineLevel="0" collapsed="false">
      <c r="A560" s="5" t="s">
        <v>563</v>
      </c>
      <c r="B560" s="0" t="s">
        <v>176</v>
      </c>
      <c r="C560" s="16" t="n">
        <f aca="false">a25_au</f>
        <v>1274.52</v>
      </c>
      <c r="D560" s="16" t="n">
        <f aca="false">a26_au</f>
        <v>1656.99176</v>
      </c>
      <c r="E560" s="16" t="n">
        <f aca="false">D560*(1+g_au_hi)</f>
        <v>1888.9706064</v>
      </c>
      <c r="F560" s="16" t="n">
        <f aca="false">E560*(1+g_au_hi)</f>
        <v>2153.426491296</v>
      </c>
      <c r="G560" s="16" t="n">
        <f aca="false">F560*(1+g_au_hi)</f>
        <v>2454.90620007744</v>
      </c>
    </row>
    <row r="561" customFormat="false" ht="15" hidden="false" customHeight="false" outlineLevel="0" collapsed="false">
      <c r="A561" s="5" t="s">
        <v>564</v>
      </c>
      <c r="B561" s="0" t="s">
        <v>176</v>
      </c>
      <c r="C561" s="16" t="n">
        <f aca="false">a25_cs</f>
        <v>1006.2</v>
      </c>
      <c r="D561" s="16" t="n">
        <f aca="false">a26_cs</f>
        <v>1097.4551</v>
      </c>
      <c r="E561" s="16" t="n">
        <f aca="false">D561*(1+g_cs)</f>
        <v>1130.378753</v>
      </c>
      <c r="F561" s="16" t="n">
        <f aca="false">E561*(1+g_cs)</f>
        <v>1164.29011559</v>
      </c>
      <c r="G561" s="16" t="n">
        <f aca="false">F561*(1+g_cs)</f>
        <v>1199.2188190577</v>
      </c>
    </row>
    <row r="562" customFormat="false" ht="17.15" hidden="false" customHeight="false" outlineLevel="0" collapsed="false">
      <c r="A562" s="5" t="s">
        <v>565</v>
      </c>
      <c r="B562" s="0" t="s">
        <v>176</v>
      </c>
      <c r="C562" s="16" t="n">
        <f aca="false">0</f>
        <v>0</v>
      </c>
      <c r="D562" s="16" t="n">
        <f aca="false">0</f>
        <v>0</v>
      </c>
      <c r="E562" s="16" t="n">
        <f aca="false">0</f>
        <v>0</v>
      </c>
      <c r="F562" s="16" t="n">
        <f aca="false">az_rev28_A</f>
        <v>150</v>
      </c>
      <c r="G562" s="16" t="n">
        <f aca="false">az_rev29_A</f>
        <v>500</v>
      </c>
      <c r="K562" s="5" t="s">
        <v>566</v>
      </c>
    </row>
    <row r="563" customFormat="false" ht="17.15" hidden="false" customHeight="false" outlineLevel="0" collapsed="false">
      <c r="A563" s="5" t="s">
        <v>444</v>
      </c>
      <c r="B563" s="0" t="s">
        <v>176</v>
      </c>
      <c r="C563" s="16" t="n">
        <f aca="false">C558+C559+C560+C561+C562</f>
        <v>6708</v>
      </c>
      <c r="D563" s="16" t="n">
        <f aca="false">D558+D559+D560+D561+D562</f>
        <v>7680.46302</v>
      </c>
      <c r="E563" s="16" t="n">
        <f aca="false">E558+E559+E560+E561+E562</f>
        <v>8876.08450551738</v>
      </c>
      <c r="F563" s="16" t="n">
        <f aca="false">F558+F559+F560+F561+F562</f>
        <v>10088.0800390857</v>
      </c>
      <c r="G563" s="16" t="n">
        <f aca="false">G558+G559+G560+G561+G562</f>
        <v>11323.9397823655</v>
      </c>
      <c r="H563" s="29" t="n">
        <f aca="false">G563*(1+H564)</f>
        <v>12475.2593312006</v>
      </c>
      <c r="I563" s="29" t="n">
        <f aca="false">H563*(1+I564)</f>
        <v>13483.7049565703</v>
      </c>
      <c r="J563" s="29" t="n">
        <f aca="false">I563*(1+J564)</f>
        <v>14292.7272539646</v>
      </c>
      <c r="K563" s="8" t="s">
        <v>567</v>
      </c>
    </row>
    <row r="564" customFormat="false" ht="15" hidden="false" customHeight="false" outlineLevel="0" collapsed="false">
      <c r="A564" s="5" t="s">
        <v>568</v>
      </c>
      <c r="B564" s="0" t="s">
        <v>77</v>
      </c>
      <c r="D564" s="20" t="n">
        <f aca="false">D563/C563-1</f>
        <v>0.144970635062612</v>
      </c>
      <c r="E564" s="20" t="n">
        <f aca="false">E563/D563-1</f>
        <v>0.155670495698498</v>
      </c>
      <c r="F564" s="20" t="n">
        <f aca="false">F563/E563-1</f>
        <v>0.13654619137695</v>
      </c>
      <c r="G564" s="20" t="n">
        <f aca="false">G563/F563-1</f>
        <v>0.12250693278518</v>
      </c>
      <c r="H564" s="25" t="n">
        <f aca="false">$G564+(fade_gA-$G564)*1/3</f>
        <v>0.101671288523453</v>
      </c>
      <c r="I564" s="25" t="n">
        <f aca="false">$G564+(fade_gA-$G564)*2/3</f>
        <v>0.0808356442617266</v>
      </c>
      <c r="J564" s="25" t="n">
        <f aca="false">$G564+(fade_gA-$G564)*3/3</f>
        <v>0.06</v>
      </c>
    </row>
    <row r="565" customFormat="false" ht="17.15" hidden="false" customHeight="false" outlineLevel="0" collapsed="false">
      <c r="A565" s="0" t="s">
        <v>569</v>
      </c>
      <c r="B565" s="0" t="s">
        <v>77</v>
      </c>
      <c r="C565" s="20" t="n">
        <f aca="false">C553/C563</f>
        <v>0.042798129430046</v>
      </c>
      <c r="D565" s="20" t="n">
        <f aca="false">D553/D563</f>
        <v>0.112137712844589</v>
      </c>
      <c r="E565" s="20" t="n">
        <f aca="false">E553/E563</f>
        <v>0.188151221817349</v>
      </c>
      <c r="F565" s="20" t="n">
        <f aca="false">F553/F563</f>
        <v>0.2256864014517</v>
      </c>
      <c r="G565" s="20" t="n">
        <f aca="false">G553/G563</f>
        <v>0.235192053735957</v>
      </c>
    </row>
    <row r="566" customFormat="false" ht="17.15" hidden="false" customHeight="false" outlineLevel="0" collapsed="false">
      <c r="A566" s="5" t="s">
        <v>570</v>
      </c>
      <c r="B566" s="0" t="s">
        <v>77</v>
      </c>
      <c r="C566" s="20" t="n">
        <f aca="false">C559/C563</f>
        <v>0.46</v>
      </c>
      <c r="D566" s="20" t="n">
        <f aca="false">D559/D563</f>
        <v>0.396053174408748</v>
      </c>
      <c r="E566" s="20" t="n">
        <f aca="false">E559/E563</f>
        <v>0.352985363180403</v>
      </c>
      <c r="F566" s="20" t="n">
        <f aca="false">F559/F563</f>
        <v>0.323000314895133</v>
      </c>
      <c r="G566" s="20" t="n">
        <f aca="false">G559/G563</f>
        <v>0.299259022532225</v>
      </c>
    </row>
    <row r="567" customFormat="false" ht="17.15" hidden="false" customHeight="false" outlineLevel="0" collapsed="false">
      <c r="A567" s="1" t="s">
        <v>571</v>
      </c>
    </row>
    <row r="568" customFormat="false" ht="15" hidden="false" customHeight="false" outlineLevel="0" collapsed="false">
      <c r="A568" s="5" t="s">
        <v>572</v>
      </c>
      <c r="B568" s="0" t="s">
        <v>176</v>
      </c>
      <c r="C568" s="16" t="n">
        <f aca="false">C563-C562</f>
        <v>6708</v>
      </c>
      <c r="D568" s="16" t="n">
        <f aca="false">D563-D562</f>
        <v>7680.46302</v>
      </c>
      <c r="E568" s="16" t="n">
        <f aca="false">E563-E562</f>
        <v>8876.08450551738</v>
      </c>
      <c r="F568" s="16" t="n">
        <f aca="false">F563-F562</f>
        <v>9938.08003908574</v>
      </c>
      <c r="G568" s="16" t="n">
        <f aca="false">G563-G562</f>
        <v>10823.9397823655</v>
      </c>
    </row>
    <row r="569" customFormat="false" ht="17.15" hidden="false" customHeight="false" outlineLevel="0" collapsed="false">
      <c r="A569" s="5" t="s">
        <v>573</v>
      </c>
      <c r="B569" s="0" t="s">
        <v>176</v>
      </c>
      <c r="D569" s="16" t="n">
        <f aca="false">cap_m26</f>
        <v>1200</v>
      </c>
      <c r="E569" s="16" t="n">
        <f aca="false">capi*E568</f>
        <v>1242.65183077243</v>
      </c>
      <c r="F569" s="16" t="n">
        <f aca="false">capi*F568</f>
        <v>1391.331205472</v>
      </c>
      <c r="G569" s="16" t="n">
        <f aca="false">capi*G568</f>
        <v>1515.35156953117</v>
      </c>
      <c r="K569" s="8" t="s">
        <v>574</v>
      </c>
    </row>
    <row r="570" customFormat="false" ht="17.15" hidden="false" customHeight="false" outlineLevel="0" collapsed="false">
      <c r="A570" s="5" t="s">
        <v>575</v>
      </c>
      <c r="B570" s="0" t="s">
        <v>176</v>
      </c>
      <c r="C570" s="16" t="n">
        <f aca="false">a25_da</f>
        <v>642</v>
      </c>
      <c r="D570" s="16" t="n">
        <f aca="false">a26_da</f>
        <v>740.6</v>
      </c>
      <c r="E570" s="16" t="n">
        <f aca="false">D570*(1-1/life)+D569/life</f>
        <v>806.228571428572</v>
      </c>
      <c r="F570" s="16" t="n">
        <f aca="false">E570*(1-1/life)+E569/life</f>
        <v>868.574751334838</v>
      </c>
      <c r="G570" s="16" t="n">
        <f aca="false">F570*(1-1/life)+F569/life</f>
        <v>943.254244783004</v>
      </c>
      <c r="K570" s="5" t="s">
        <v>576</v>
      </c>
    </row>
    <row r="571" customFormat="false" ht="15" hidden="false" customHeight="false" outlineLevel="0" collapsed="false">
      <c r="A571" s="5" t="s">
        <v>577</v>
      </c>
      <c r="B571" s="0" t="s">
        <v>176</v>
      </c>
      <c r="E571" s="16" t="n">
        <f aca="false">0</f>
        <v>0</v>
      </c>
      <c r="F571" s="16" t="n">
        <f aca="false">az_capex1*(1-az_inc)/az_life*az_svc28</f>
        <v>94.7916666666667</v>
      </c>
      <c r="G571" s="16" t="n">
        <f aca="false">az_capex1*(1-az_inc)/az_life</f>
        <v>189.583333333333</v>
      </c>
    </row>
    <row r="572" customFormat="false" ht="15" hidden="false" customHeight="false" outlineLevel="0" collapsed="false">
      <c r="A572" s="5" t="s">
        <v>578</v>
      </c>
      <c r="B572" s="0" t="s">
        <v>176</v>
      </c>
      <c r="C572" s="16" t="n">
        <f aca="false">C570</f>
        <v>642</v>
      </c>
      <c r="D572" s="16" t="n">
        <f aca="false">D570</f>
        <v>740.6</v>
      </c>
      <c r="E572" s="16" t="n">
        <f aca="false">E570+E571</f>
        <v>806.228571428572</v>
      </c>
      <c r="F572" s="16" t="n">
        <f aca="false">F570+F571</f>
        <v>963.366418001504</v>
      </c>
      <c r="G572" s="16" t="n">
        <f aca="false">G570+G571</f>
        <v>1132.83757811634</v>
      </c>
    </row>
    <row r="573" customFormat="false" ht="17.15" hidden="false" customHeight="false" outlineLevel="0" collapsed="false">
      <c r="A573" s="5" t="s">
        <v>579</v>
      </c>
      <c r="B573" s="0" t="s">
        <v>176</v>
      </c>
      <c r="C573" s="16" t="n">
        <f aca="false">a25_gp</f>
        <v>938.6</v>
      </c>
      <c r="D573" s="16" t="n">
        <f aca="false">a26_gp</f>
        <v>1325.7873147</v>
      </c>
      <c r="E573" s="16" t="n">
        <f aca="false">$D573+ft*(E568-$D568)-(E570-$D570)</f>
        <v>1738.40733747838</v>
      </c>
      <c r="F573" s="16" t="n">
        <f aca="false">$D573+ft*(F568-$D568)-(F570-$D570)</f>
        <v>2100.85937099946</v>
      </c>
      <c r="G573" s="16" t="n">
        <f aca="false">$D573+ft*(G568-$D568)-(G570-$D570)</f>
        <v>2380.52377486321</v>
      </c>
      <c r="K573" s="5" t="s">
        <v>580</v>
      </c>
    </row>
    <row r="574" customFormat="false" ht="17.15" hidden="false" customHeight="false" outlineLevel="0" collapsed="false">
      <c r="A574" s="5" t="s">
        <v>581</v>
      </c>
      <c r="B574" s="0" t="s">
        <v>176</v>
      </c>
      <c r="E574" s="16" t="n">
        <f aca="false">E562*az_cm-az_fix27</f>
        <v>-120</v>
      </c>
      <c r="F574" s="16" t="n">
        <f aca="false">F562*az_cm-az_fix28-F571</f>
        <v>-112.291666666667</v>
      </c>
      <c r="G574" s="16" t="n">
        <f aca="false">G562*az_cm-az_fix29-G571</f>
        <v>-14.5833333333333</v>
      </c>
      <c r="K574" s="8" t="s">
        <v>582</v>
      </c>
    </row>
    <row r="575" customFormat="false" ht="15" hidden="false" customHeight="false" outlineLevel="0" collapsed="false">
      <c r="A575" s="5" t="s">
        <v>458</v>
      </c>
      <c r="B575" s="0" t="s">
        <v>176</v>
      </c>
      <c r="C575" s="16" t="n">
        <f aca="false">a25_gp</f>
        <v>938.6</v>
      </c>
      <c r="D575" s="16" t="n">
        <f aca="false">a26_gp</f>
        <v>1325.7873147</v>
      </c>
      <c r="E575" s="16" t="n">
        <f aca="false">E573+E574</f>
        <v>1618.40733747838</v>
      </c>
      <c r="F575" s="16" t="n">
        <f aca="false">F573+F574</f>
        <v>1988.56770433279</v>
      </c>
      <c r="G575" s="16" t="n">
        <f aca="false">G573+G574</f>
        <v>2365.94044152987</v>
      </c>
    </row>
    <row r="576" customFormat="false" ht="15" hidden="false" customHeight="false" outlineLevel="0" collapsed="false">
      <c r="A576" s="5" t="s">
        <v>461</v>
      </c>
      <c r="B576" s="0" t="s">
        <v>77</v>
      </c>
      <c r="C576" s="17" t="n">
        <f aca="false">C575/C563</f>
        <v>0.139922480620155</v>
      </c>
      <c r="D576" s="17" t="n">
        <f aca="false">D575/D563</f>
        <v>0.172618149615152</v>
      </c>
      <c r="E576" s="17" t="n">
        <f aca="false">E575/E563</f>
        <v>0.182333475585139</v>
      </c>
      <c r="F576" s="17" t="n">
        <f aca="false">F575/F563</f>
        <v>0.197120532016815</v>
      </c>
      <c r="G576" s="17" t="n">
        <f aca="false">G575/G563</f>
        <v>0.208932623009378</v>
      </c>
    </row>
    <row r="577" customFormat="false" ht="17.15" hidden="false" customHeight="false" outlineLevel="0" collapsed="false">
      <c r="A577" s="5" t="s">
        <v>583</v>
      </c>
      <c r="B577" s="0" t="s">
        <v>584</v>
      </c>
      <c r="E577" s="17" t="n">
        <f aca="false">E574/E563</f>
        <v>-0.0135194747104321</v>
      </c>
      <c r="F577" s="17" t="n">
        <f aca="false">F574/F563</f>
        <v>-0.0111311236857359</v>
      </c>
      <c r="G577" s="17" t="n">
        <f aca="false">G574/G563</f>
        <v>-0.00128783211617246</v>
      </c>
      <c r="K577" s="5" t="s">
        <v>585</v>
      </c>
    </row>
    <row r="578" customFormat="false" ht="17.15" hidden="false" customHeight="false" outlineLevel="0" collapsed="false">
      <c r="A578" s="5" t="s">
        <v>463</v>
      </c>
      <c r="B578" s="0" t="s">
        <v>176</v>
      </c>
      <c r="C578" s="16" t="n">
        <f aca="false">a25_opx</f>
        <v>471.2</v>
      </c>
      <c r="D578" s="16" t="n">
        <f aca="false">a26_opx</f>
        <v>537.5</v>
      </c>
      <c r="E578" s="16" t="n">
        <f aca="false">(D578+opx_gain)*(1+phi*E564)</f>
        <v>601.970985923806</v>
      </c>
      <c r="F578" s="16" t="n">
        <f aca="false">E578*(1+phi*F564)</f>
        <v>643.069408647467</v>
      </c>
      <c r="G578" s="16" t="n">
        <f aca="false">F578*(1+phi*G564)</f>
        <v>682.459639058157</v>
      </c>
      <c r="K578" s="8" t="s">
        <v>586</v>
      </c>
    </row>
    <row r="579" customFormat="false" ht="15" hidden="false" customHeight="false" outlineLevel="0" collapsed="false">
      <c r="A579" s="5" t="s">
        <v>466</v>
      </c>
      <c r="B579" s="0" t="s">
        <v>176</v>
      </c>
      <c r="C579" s="16" t="n">
        <f aca="false">C575-C578</f>
        <v>467.4</v>
      </c>
      <c r="D579" s="16" t="n">
        <f aca="false">D575-D578</f>
        <v>788.2873147</v>
      </c>
      <c r="E579" s="16" t="n">
        <f aca="false">E575-E578</f>
        <v>1016.43635155458</v>
      </c>
      <c r="F579" s="16" t="n">
        <f aca="false">F575-F578</f>
        <v>1345.49829568532</v>
      </c>
      <c r="G579" s="16" t="n">
        <f aca="false">G575-G578</f>
        <v>1683.48080247171</v>
      </c>
    </row>
    <row r="580" customFormat="false" ht="15" hidden="false" customHeight="false" outlineLevel="0" collapsed="false">
      <c r="A580" s="5" t="s">
        <v>540</v>
      </c>
      <c r="B580" s="0" t="s">
        <v>77</v>
      </c>
      <c r="C580" s="17" t="n">
        <f aca="false">C579/C563</f>
        <v>0.0696779964221825</v>
      </c>
      <c r="D580" s="17" t="n">
        <f aca="false">D579/D563</f>
        <v>0.102635389643475</v>
      </c>
      <c r="E580" s="17" t="n">
        <f aca="false">E579/E563</f>
        <v>0.114514046246716</v>
      </c>
      <c r="F580" s="17" t="n">
        <f aca="false">F579/F563</f>
        <v>0.133375061505486</v>
      </c>
      <c r="G580" s="17" t="n">
        <f aca="false">G579/G563</f>
        <v>0.148665644186254</v>
      </c>
    </row>
    <row r="581" customFormat="false" ht="15" hidden="false" customHeight="false" outlineLevel="0" collapsed="false">
      <c r="A581" s="5" t="s">
        <v>587</v>
      </c>
      <c r="B581" s="0" t="s">
        <v>176</v>
      </c>
      <c r="C581" s="16" t="n">
        <f aca="false">a25_nonop</f>
        <v>-22.7</v>
      </c>
      <c r="D581" s="16" t="n">
        <f aca="false">a26_nonop</f>
        <v>-0.700000000000003</v>
      </c>
      <c r="E581" s="16" t="n">
        <f aca="false">nonop27</f>
        <v>-20</v>
      </c>
      <c r="F581" s="16" t="n">
        <f aca="false">nonop28</f>
        <v>-40</v>
      </c>
      <c r="G581" s="16" t="n">
        <f aca="false">nonop29</f>
        <v>-60</v>
      </c>
    </row>
    <row r="582" customFormat="false" ht="15" hidden="false" customHeight="false" outlineLevel="0" collapsed="false">
      <c r="A582" s="5" t="s">
        <v>471</v>
      </c>
      <c r="B582" s="0" t="s">
        <v>176</v>
      </c>
      <c r="C582" s="16" t="n">
        <f aca="false">C579+C581</f>
        <v>444.7</v>
      </c>
      <c r="D582" s="16" t="n">
        <f aca="false">D579+D581</f>
        <v>787.5873147</v>
      </c>
      <c r="E582" s="16" t="n">
        <f aca="false">E579+E581</f>
        <v>996.436351554576</v>
      </c>
      <c r="F582" s="16" t="n">
        <f aca="false">F579+F581</f>
        <v>1305.49829568532</v>
      </c>
      <c r="G582" s="16" t="n">
        <f aca="false">G579+G581</f>
        <v>1623.48080247171</v>
      </c>
    </row>
    <row r="583" customFormat="false" ht="15" hidden="false" customHeight="false" outlineLevel="0" collapsed="false">
      <c r="A583" s="5" t="s">
        <v>472</v>
      </c>
      <c r="B583" s="0" t="s">
        <v>176</v>
      </c>
      <c r="C583" s="16" t="n">
        <f aca="false">a25_tax</f>
        <v>68.5</v>
      </c>
      <c r="D583" s="16" t="n">
        <f aca="false">a26_tax</f>
        <v>138.23746294</v>
      </c>
      <c r="E583" s="16" t="n">
        <f aca="false">E582*tax</f>
        <v>199.287270310915</v>
      </c>
      <c r="F583" s="16" t="n">
        <f aca="false">F582*tax</f>
        <v>261.099659137065</v>
      </c>
      <c r="G583" s="16" t="n">
        <f aca="false">G582*tax</f>
        <v>324.696160494343</v>
      </c>
    </row>
    <row r="584" customFormat="false" ht="15" hidden="false" customHeight="false" outlineLevel="0" collapsed="false">
      <c r="A584" s="5" t="s">
        <v>474</v>
      </c>
      <c r="B584" s="0" t="s">
        <v>176</v>
      </c>
      <c r="C584" s="16" t="n">
        <f aca="false">a25_nci</f>
        <v>2.30000000000007</v>
      </c>
      <c r="D584" s="16" t="n">
        <f aca="false">a26_nci</f>
        <v>3.7</v>
      </c>
      <c r="E584" s="16" t="n">
        <f aca="false">nci</f>
        <v>3</v>
      </c>
      <c r="F584" s="16" t="n">
        <f aca="false">nci</f>
        <v>3</v>
      </c>
      <c r="G584" s="16" t="n">
        <f aca="false">nci</f>
        <v>3</v>
      </c>
    </row>
    <row r="585" customFormat="false" ht="15" hidden="false" customHeight="false" outlineLevel="0" collapsed="false">
      <c r="A585" s="5" t="s">
        <v>476</v>
      </c>
      <c r="B585" s="0" t="s">
        <v>176</v>
      </c>
      <c r="C585" s="16" t="n">
        <f aca="false">C582-C583-C584</f>
        <v>373.9</v>
      </c>
      <c r="D585" s="16" t="n">
        <f aca="false">D582-D583-D584</f>
        <v>645.64985176</v>
      </c>
      <c r="E585" s="16" t="n">
        <f aca="false">E582-E583-E584</f>
        <v>794.149081243661</v>
      </c>
      <c r="F585" s="16" t="n">
        <f aca="false">F582-F583-F584</f>
        <v>1041.39863654826</v>
      </c>
      <c r="G585" s="16" t="n">
        <f aca="false">G582-G583-G584</f>
        <v>1295.78464197737</v>
      </c>
      <c r="H585" s="29" t="n">
        <f aca="false">H563*H589</f>
        <v>1411.91902138674</v>
      </c>
      <c r="I585" s="29" t="n">
        <f aca="false">I563*I589</f>
        <v>1509.18086898481</v>
      </c>
      <c r="J585" s="29" t="n">
        <f aca="false">J563*J589</f>
        <v>1581.84789281431</v>
      </c>
    </row>
    <row r="586" customFormat="false" ht="15" hidden="false" customHeight="false" outlineLevel="0" collapsed="false">
      <c r="A586" s="5" t="s">
        <v>588</v>
      </c>
      <c r="B586" s="5" t="s">
        <v>310</v>
      </c>
      <c r="C586" s="21" t="n">
        <f aca="false">a25_sh</f>
        <v>248.5</v>
      </c>
      <c r="D586" s="21" t="n">
        <f aca="false">a26_sh</f>
        <v>249.915</v>
      </c>
      <c r="E586" s="21" t="n">
        <f aca="false">D586*(1+sh_g)</f>
        <v>249.915</v>
      </c>
      <c r="F586" s="21" t="n">
        <f aca="false">E586*(1+sh_g)</f>
        <v>249.915</v>
      </c>
      <c r="G586" s="21" t="n">
        <f aca="false">F586*(1+sh_g)</f>
        <v>249.915</v>
      </c>
      <c r="H586" s="30" t="n">
        <f aca="false">G586*(1+sh_g)</f>
        <v>249.915</v>
      </c>
      <c r="I586" s="30" t="n">
        <f aca="false">H586*(1+sh_g)</f>
        <v>249.915</v>
      </c>
      <c r="J586" s="30" t="n">
        <f aca="false">I586*(1+sh_g)</f>
        <v>249.915</v>
      </c>
    </row>
    <row r="587" customFormat="false" ht="17.15" hidden="false" customHeight="false" outlineLevel="0" collapsed="false">
      <c r="A587" s="0" t="s">
        <v>480</v>
      </c>
      <c r="B587" s="0" t="s">
        <v>331</v>
      </c>
      <c r="C587" s="18" t="n">
        <f aca="false">C585/C586</f>
        <v>1.5046277665996</v>
      </c>
      <c r="D587" s="18" t="n">
        <f aca="false">D585/D586</f>
        <v>2.58347778948843</v>
      </c>
      <c r="E587" s="18" t="n">
        <f aca="false">E585/E586</f>
        <v>3.17767673506456</v>
      </c>
      <c r="F587" s="18" t="n">
        <f aca="false">F585/F586</f>
        <v>4.16701133004525</v>
      </c>
      <c r="G587" s="18" t="n">
        <f aca="false">G585/G586</f>
        <v>5.18490143439718</v>
      </c>
      <c r="H587" s="27" t="n">
        <f aca="false">H585/H586</f>
        <v>5.64959694850945</v>
      </c>
      <c r="I587" s="27" t="n">
        <f aca="false">I585/I586</f>
        <v>6.03877666000363</v>
      </c>
      <c r="J587" s="27" t="n">
        <f aca="false">J585/J586</f>
        <v>6.32954361608672</v>
      </c>
    </row>
    <row r="588" customFormat="false" ht="17.15" hidden="false" customHeight="false" outlineLevel="0" collapsed="false">
      <c r="A588" s="0" t="s">
        <v>589</v>
      </c>
      <c r="B588" s="0" t="s">
        <v>77</v>
      </c>
      <c r="D588" s="20" t="n">
        <f aca="false">D587/C587-1</f>
        <v>0.717021210719106</v>
      </c>
      <c r="E588" s="20" t="n">
        <f aca="false">E587/D587-1</f>
        <v>0.229999633824528</v>
      </c>
      <c r="F588" s="20" t="n">
        <f aca="false">F587/E587-1</f>
        <v>0.311338967889251</v>
      </c>
      <c r="G588" s="20" t="n">
        <f aca="false">G587/F587-1</f>
        <v>0.244273418940015</v>
      </c>
      <c r="H588" s="25" t="n">
        <f aca="false">H587/G587-1</f>
        <v>0.0896247537184458</v>
      </c>
      <c r="I588" s="25" t="n">
        <f aca="false">I587/H587-1</f>
        <v>0.0688862789755043</v>
      </c>
      <c r="J588" s="25" t="n">
        <f aca="false">J587/I587-1</f>
        <v>0.0481499768005858</v>
      </c>
    </row>
    <row r="589" customFormat="false" ht="17.15" hidden="false" customHeight="false" outlineLevel="0" collapsed="false">
      <c r="A589" s="5" t="s">
        <v>590</v>
      </c>
      <c r="B589" s="0" t="s">
        <v>77</v>
      </c>
      <c r="C589" s="17" t="n">
        <f aca="false">C585/C563</f>
        <v>0.0557394156231365</v>
      </c>
      <c r="D589" s="17" t="n">
        <f aca="false">D585/D563</f>
        <v>0.0840639229794768</v>
      </c>
      <c r="E589" s="17" t="n">
        <f aca="false">E585/E563</f>
        <v>0.0894706535015543</v>
      </c>
      <c r="F589" s="17" t="n">
        <f aca="false">F585/F563</f>
        <v>0.103230608055588</v>
      </c>
      <c r="G589" s="17" t="n">
        <f aca="false">G585/G563</f>
        <v>0.114428782462731</v>
      </c>
      <c r="H589" s="26" t="n">
        <f aca="false">$G589+(fade_mA-$G589)*1/3</f>
        <v>0.113177528731249</v>
      </c>
      <c r="I589" s="26" t="n">
        <f aca="false">$G589+(fade_mA-$G589)*2/3</f>
        <v>0.111926274999766</v>
      </c>
      <c r="J589" s="26" t="n">
        <f aca="false">$G589+(fade_mA-$G589)*3/3</f>
        <v>0.110675021268284</v>
      </c>
    </row>
    <row r="592" customFormat="false" ht="17.15" hidden="false" customHeight="false" outlineLevel="0" collapsed="false">
      <c r="A592" s="3" t="s">
        <v>931</v>
      </c>
    </row>
    <row r="593" customFormat="false" ht="17.15" hidden="false" customHeight="false" outlineLevel="0" collapsed="false">
      <c r="A593" s="6" t="s">
        <v>22</v>
      </c>
      <c r="B593" s="6" t="s">
        <v>23</v>
      </c>
      <c r="C593" s="14" t="s">
        <v>437</v>
      </c>
      <c r="D593" s="14" t="s">
        <v>527</v>
      </c>
      <c r="E593" s="14" t="s">
        <v>528</v>
      </c>
      <c r="F593" s="14" t="s">
        <v>529</v>
      </c>
      <c r="G593" s="14" t="s">
        <v>530</v>
      </c>
      <c r="H593" s="14" t="s">
        <v>531</v>
      </c>
      <c r="I593" s="14" t="s">
        <v>532</v>
      </c>
      <c r="J593" s="14" t="s">
        <v>533</v>
      </c>
      <c r="K593" s="6" t="s">
        <v>503</v>
      </c>
    </row>
    <row r="594" customFormat="false" ht="17.15" hidden="false" customHeight="false" outlineLevel="0" collapsed="false">
      <c r="A594" s="1" t="s">
        <v>551</v>
      </c>
    </row>
    <row r="595" customFormat="false" ht="17.15" hidden="false" customHeight="false" outlineLevel="0" collapsed="false">
      <c r="A595" s="0" t="s">
        <v>552</v>
      </c>
      <c r="B595" s="5" t="s">
        <v>33</v>
      </c>
      <c r="D595" s="18" t="n">
        <f aca="false">units_26</f>
        <v>15.2</v>
      </c>
      <c r="E595" s="18" t="n">
        <f aca="false">units_27*1</f>
        <v>23.7</v>
      </c>
      <c r="F595" s="18" t="n">
        <f aca="false">units_28*um28_A*1</f>
        <v>26.5</v>
      </c>
      <c r="G595" s="18" t="n">
        <f aca="false">units_29*um29_A*1</f>
        <v>30.15</v>
      </c>
    </row>
    <row r="596" customFormat="false" ht="17.15" hidden="false" customHeight="false" outlineLevel="0" collapsed="false">
      <c r="A596" s="5" t="s">
        <v>506</v>
      </c>
      <c r="B596" s="0" t="s">
        <v>46</v>
      </c>
      <c r="D596" s="22" t="n">
        <f aca="false">ar_26</f>
        <v>1</v>
      </c>
      <c r="E596" s="22" t="n">
        <f aca="false">ar_27</f>
        <v>1.278156</v>
      </c>
      <c r="F596" s="22" t="n">
        <f aca="false">ar_28</f>
        <v>1.428615</v>
      </c>
      <c r="G596" s="22" t="n">
        <f aca="false">ar_29</f>
        <v>1.431796</v>
      </c>
    </row>
    <row r="597" customFormat="false" ht="17.15" hidden="false" customHeight="false" outlineLevel="0" collapsed="false">
      <c r="A597" s="5" t="s">
        <v>508</v>
      </c>
      <c r="B597" s="0" t="s">
        <v>77</v>
      </c>
      <c r="D597" s="20" t="n">
        <f aca="false">out_26</f>
        <v>0.5</v>
      </c>
      <c r="E597" s="20" t="n">
        <f aca="false">out_27</f>
        <v>0.55</v>
      </c>
      <c r="F597" s="20" t="n">
        <f aca="false">out_28</f>
        <v>0.6</v>
      </c>
      <c r="G597" s="20" t="n">
        <f aca="false">out_29</f>
        <v>0.6</v>
      </c>
      <c r="K597" s="8" t="s">
        <v>553</v>
      </c>
    </row>
    <row r="598" customFormat="false" ht="17.15" hidden="false" customHeight="false" outlineLevel="0" collapsed="false">
      <c r="A598" s="0" t="s">
        <v>509</v>
      </c>
      <c r="B598" s="0" t="s">
        <v>77</v>
      </c>
      <c r="D598" s="20" t="n">
        <f aca="false">sh_26</f>
        <v>0.35</v>
      </c>
      <c r="E598" s="20" t="n">
        <f aca="false">sh_27</f>
        <v>0.35</v>
      </c>
      <c r="F598" s="20" t="n">
        <f aca="false">sh_28</f>
        <v>0.37</v>
      </c>
      <c r="G598" s="20" t="n">
        <f aca="false">sh_29</f>
        <v>0.38</v>
      </c>
    </row>
    <row r="599" customFormat="false" ht="17.15" hidden="false" customHeight="false" outlineLevel="0" collapsed="false">
      <c r="A599" s="0" t="s">
        <v>554</v>
      </c>
      <c r="B599" s="0" t="s">
        <v>176</v>
      </c>
      <c r="C599" s="16" t="n">
        <f aca="false">(a26_comp-a25_comp*(1+g_pc26))/(tri-(1+g_pc26))</f>
        <v>287.089852216749</v>
      </c>
      <c r="D599" s="16" t="n">
        <f aca="false">C599*tri</f>
        <v>861.269556650246</v>
      </c>
      <c r="E599" s="16" t="n">
        <f aca="false">E595*E597*E598*E600</f>
        <v>1670.04614466713</v>
      </c>
      <c r="F599" s="16" t="n">
        <f aca="false">F595*F597*F598*F600</f>
        <v>2276.74248157798</v>
      </c>
      <c r="G599" s="16" t="n">
        <f aca="false">G595*G597*G598*G600</f>
        <v>2663.30065379686</v>
      </c>
      <c r="K599" s="8" t="s">
        <v>555</v>
      </c>
    </row>
    <row r="600" customFormat="false" ht="17.15" hidden="false" customHeight="false" outlineLevel="0" collapsed="false">
      <c r="A600" s="5" t="s">
        <v>556</v>
      </c>
      <c r="B600" s="0" t="s">
        <v>511</v>
      </c>
      <c r="D600" s="23" t="n">
        <f aca="false">D599/(D595*D597*D598)</f>
        <v>323.785547612874</v>
      </c>
      <c r="E600" s="23" t="n">
        <f aca="false">$D600*E596^el</f>
        <v>366.057569108912</v>
      </c>
      <c r="F600" s="23" t="n">
        <f aca="false">$D600*F596^el</f>
        <v>387.003651466596</v>
      </c>
      <c r="G600" s="23" t="n">
        <f aca="false">$D600*G596^el</f>
        <v>387.434269267239</v>
      </c>
      <c r="K600" s="8" t="s">
        <v>557</v>
      </c>
    </row>
    <row r="601" customFormat="false" ht="17.15" hidden="false" customHeight="false" outlineLevel="0" collapsed="false">
      <c r="A601" s="5" t="s">
        <v>515</v>
      </c>
      <c r="B601" s="0" t="s">
        <v>511</v>
      </c>
      <c r="D601" s="16" t="n">
        <f aca="false">D599/D595</f>
        <v>56.662470832253</v>
      </c>
      <c r="E601" s="16" t="n">
        <f aca="false">E599/E595</f>
        <v>70.4660820534656</v>
      </c>
      <c r="F601" s="16" t="n">
        <f aca="false">F599/F595</f>
        <v>85.9148106255842</v>
      </c>
      <c r="G601" s="16" t="n">
        <f aca="false">G599/G595</f>
        <v>88.3350133929306</v>
      </c>
      <c r="K601" s="5" t="s">
        <v>558</v>
      </c>
    </row>
    <row r="602" customFormat="false" ht="17.15" hidden="false" customHeight="false" outlineLevel="0" collapsed="false">
      <c r="A602" s="1" t="s">
        <v>559</v>
      </c>
    </row>
    <row r="603" customFormat="false" ht="17.15" hidden="false" customHeight="false" outlineLevel="0" collapsed="false">
      <c r="A603" s="5" t="s">
        <v>560</v>
      </c>
      <c r="B603" s="0" t="s">
        <v>176</v>
      </c>
      <c r="C603" s="16" t="n">
        <f aca="false">a25_comp-C599</f>
        <v>1054.51014778325</v>
      </c>
      <c r="D603" s="16" t="n">
        <f aca="false">a26_comp-D599</f>
        <v>1022.87484334975</v>
      </c>
      <c r="E603" s="16" t="n">
        <f aca="false">D603*(1+g_pc)</f>
        <v>1053.56108865025</v>
      </c>
      <c r="F603" s="16" t="n">
        <f aca="false">E603*(1+g_pc)</f>
        <v>1085.16792130975</v>
      </c>
      <c r="G603" s="16" t="n">
        <f aca="false">F603*(1+g_pc)</f>
        <v>1117.72295894905</v>
      </c>
    </row>
    <row r="604" customFormat="false" ht="15" hidden="false" customHeight="false" outlineLevel="0" collapsed="false">
      <c r="A604" s="5" t="s">
        <v>561</v>
      </c>
      <c r="B604" s="0" t="s">
        <v>176</v>
      </c>
      <c r="C604" s="16" t="n">
        <f aca="false">C599+C603</f>
        <v>1341.6</v>
      </c>
      <c r="D604" s="16" t="n">
        <f aca="false">D599+D603</f>
        <v>1884.1444</v>
      </c>
      <c r="E604" s="16" t="n">
        <f aca="false">E599+E603</f>
        <v>2723.60723331738</v>
      </c>
      <c r="F604" s="16" t="n">
        <f aca="false">F599+F603</f>
        <v>3361.91040288774</v>
      </c>
      <c r="G604" s="16" t="n">
        <f aca="false">G599+G603</f>
        <v>3781.0236127459</v>
      </c>
    </row>
    <row r="605" customFormat="false" ht="17.15" hidden="false" customHeight="false" outlineLevel="0" collapsed="false">
      <c r="A605" s="5" t="s">
        <v>562</v>
      </c>
      <c r="B605" s="0" t="s">
        <v>176</v>
      </c>
      <c r="C605" s="16" t="n">
        <f aca="false">a25_cm</f>
        <v>3085.68</v>
      </c>
      <c r="D605" s="16" t="n">
        <f aca="false">a26_cm</f>
        <v>3041.87176</v>
      </c>
      <c r="E605" s="16" t="n">
        <f aca="false">D605*(1+g_cm27_A)</f>
        <v>3133.1279128</v>
      </c>
      <c r="F605" s="16" t="n">
        <f aca="false">E605*(1+g_cmL_A)</f>
        <v>3258.453029312</v>
      </c>
      <c r="G605" s="16" t="n">
        <f aca="false">F605*(1+g_cmL_A)</f>
        <v>3388.79115048448</v>
      </c>
    </row>
    <row r="606" customFormat="false" ht="15" hidden="false" customHeight="false" outlineLevel="0" collapsed="false">
      <c r="A606" s="5" t="s">
        <v>563</v>
      </c>
      <c r="B606" s="0" t="s">
        <v>176</v>
      </c>
      <c r="C606" s="16" t="n">
        <f aca="false">a25_au</f>
        <v>1274.52</v>
      </c>
      <c r="D606" s="16" t="n">
        <f aca="false">a26_au</f>
        <v>1656.99176</v>
      </c>
      <c r="E606" s="16" t="n">
        <f aca="false">D606*(1+g_au)</f>
        <v>1822.690936</v>
      </c>
      <c r="F606" s="16" t="n">
        <f aca="false">E606*(1+g_au)</f>
        <v>2004.9600296</v>
      </c>
      <c r="G606" s="16" t="n">
        <f aca="false">F606*(1+g_au)</f>
        <v>2205.45603256</v>
      </c>
    </row>
    <row r="607" customFormat="false" ht="15" hidden="false" customHeight="false" outlineLevel="0" collapsed="false">
      <c r="A607" s="5" t="s">
        <v>564</v>
      </c>
      <c r="B607" s="0" t="s">
        <v>176</v>
      </c>
      <c r="C607" s="16" t="n">
        <f aca="false">a25_cs</f>
        <v>1006.2</v>
      </c>
      <c r="D607" s="16" t="n">
        <f aca="false">a26_cs</f>
        <v>1097.4551</v>
      </c>
      <c r="E607" s="16" t="n">
        <f aca="false">D607*(1+g_cs)</f>
        <v>1130.378753</v>
      </c>
      <c r="F607" s="16" t="n">
        <f aca="false">E607*(1+g_cs)</f>
        <v>1164.29011559</v>
      </c>
      <c r="G607" s="16" t="n">
        <f aca="false">F607*(1+g_cs)</f>
        <v>1199.2188190577</v>
      </c>
    </row>
    <row r="608" customFormat="false" ht="17.15" hidden="false" customHeight="false" outlineLevel="0" collapsed="false">
      <c r="A608" s="5" t="s">
        <v>565</v>
      </c>
      <c r="B608" s="0" t="s">
        <v>176</v>
      </c>
      <c r="C608" s="16" t="n">
        <f aca="false">0</f>
        <v>0</v>
      </c>
      <c r="D608" s="16" t="n">
        <f aca="false">0</f>
        <v>0</v>
      </c>
      <c r="E608" s="16" t="n">
        <f aca="false">0</f>
        <v>0</v>
      </c>
      <c r="F608" s="16" t="n">
        <f aca="false">az_rev28_A</f>
        <v>150</v>
      </c>
      <c r="G608" s="16" t="n">
        <f aca="false">az_rev29_A</f>
        <v>500</v>
      </c>
      <c r="K608" s="5" t="s">
        <v>566</v>
      </c>
    </row>
    <row r="609" customFormat="false" ht="17.15" hidden="false" customHeight="false" outlineLevel="0" collapsed="false">
      <c r="A609" s="5" t="s">
        <v>444</v>
      </c>
      <c r="B609" s="0" t="s">
        <v>176</v>
      </c>
      <c r="C609" s="16" t="n">
        <f aca="false">C604+C605+C606+C607+C608</f>
        <v>6708</v>
      </c>
      <c r="D609" s="16" t="n">
        <f aca="false">D604+D605+D606+D607+D608</f>
        <v>7680.46302</v>
      </c>
      <c r="E609" s="16" t="n">
        <f aca="false">E604+E605+E606+E607+E608</f>
        <v>8809.80483511738</v>
      </c>
      <c r="F609" s="16" t="n">
        <f aca="false">F604+F605+F606+F607+F608</f>
        <v>9939.61357738974</v>
      </c>
      <c r="G609" s="16" t="n">
        <f aca="false">G604+G605+G606+G607+G608</f>
        <v>11074.4896148481</v>
      </c>
      <c r="H609" s="29" t="n">
        <f aca="false">G609*(1+H610)</f>
        <v>12138.9479855589</v>
      </c>
      <c r="I609" s="29" t="n">
        <f aca="false">H609*(1+I610)</f>
        <v>13086.5024430928</v>
      </c>
      <c r="J609" s="29" t="n">
        <f aca="false">I609*(1+J610)</f>
        <v>13871.6925896784</v>
      </c>
      <c r="K609" s="8" t="s">
        <v>567</v>
      </c>
    </row>
    <row r="610" customFormat="false" ht="15" hidden="false" customHeight="false" outlineLevel="0" collapsed="false">
      <c r="A610" s="5" t="s">
        <v>568</v>
      </c>
      <c r="B610" s="0" t="s">
        <v>77</v>
      </c>
      <c r="D610" s="20" t="n">
        <f aca="false">D609/C609-1</f>
        <v>0.144970635062612</v>
      </c>
      <c r="E610" s="20" t="n">
        <f aca="false">E609/D609-1</f>
        <v>0.147040850555046</v>
      </c>
      <c r="F610" s="20" t="n">
        <f aca="false">F609/E609-1</f>
        <v>0.128244468909089</v>
      </c>
      <c r="G610" s="20" t="n">
        <f aca="false">G609/F609-1</f>
        <v>0.114177078275953</v>
      </c>
      <c r="H610" s="25" t="n">
        <f aca="false">$G610+(fade_gA-$G610)*1/3</f>
        <v>0.0961180521839684</v>
      </c>
      <c r="I610" s="25" t="n">
        <f aca="false">$G610+(fade_gA-$G610)*2/3</f>
        <v>0.0780590260919842</v>
      </c>
      <c r="J610" s="25" t="n">
        <f aca="false">$G610+(fade_gA-$G610)*3/3</f>
        <v>0.06</v>
      </c>
    </row>
    <row r="611" customFormat="false" ht="17.15" hidden="false" customHeight="false" outlineLevel="0" collapsed="false">
      <c r="A611" s="0" t="s">
        <v>569</v>
      </c>
      <c r="B611" s="0" t="s">
        <v>77</v>
      </c>
      <c r="C611" s="20" t="n">
        <f aca="false">C599/C609</f>
        <v>0.042798129430046</v>
      </c>
      <c r="D611" s="20" t="n">
        <f aca="false">D599/D609</f>
        <v>0.112137712844589</v>
      </c>
      <c r="E611" s="20" t="n">
        <f aca="false">E599/E609</f>
        <v>0.189566758392881</v>
      </c>
      <c r="F611" s="20" t="n">
        <f aca="false">F599/F609</f>
        <v>0.229057444120064</v>
      </c>
      <c r="G611" s="20" t="n">
        <f aca="false">G599/G609</f>
        <v>0.240489697170879</v>
      </c>
    </row>
    <row r="612" customFormat="false" ht="17.15" hidden="false" customHeight="false" outlineLevel="0" collapsed="false">
      <c r="A612" s="5" t="s">
        <v>570</v>
      </c>
      <c r="B612" s="0" t="s">
        <v>77</v>
      </c>
      <c r="C612" s="20" t="n">
        <f aca="false">C605/C609</f>
        <v>0.46</v>
      </c>
      <c r="D612" s="20" t="n">
        <f aca="false">D605/D609</f>
        <v>0.396053174408748</v>
      </c>
      <c r="E612" s="20" t="n">
        <f aca="false">E605/E609</f>
        <v>0.355641012648864</v>
      </c>
      <c r="F612" s="20" t="n">
        <f aca="false">F605/F609</f>
        <v>0.32782492034944</v>
      </c>
      <c r="G612" s="20" t="n">
        <f aca="false">G605/G609</f>
        <v>0.305999758755561</v>
      </c>
    </row>
    <row r="613" customFormat="false" ht="17.15" hidden="false" customHeight="false" outlineLevel="0" collapsed="false">
      <c r="A613" s="1" t="s">
        <v>571</v>
      </c>
    </row>
    <row r="614" customFormat="false" ht="15" hidden="false" customHeight="false" outlineLevel="0" collapsed="false">
      <c r="A614" s="5" t="s">
        <v>572</v>
      </c>
      <c r="B614" s="0" t="s">
        <v>176</v>
      </c>
      <c r="C614" s="16" t="n">
        <f aca="false">C609-C608</f>
        <v>6708</v>
      </c>
      <c r="D614" s="16" t="n">
        <f aca="false">D609-D608</f>
        <v>7680.46302</v>
      </c>
      <c r="E614" s="16" t="n">
        <f aca="false">E609-E608</f>
        <v>8809.80483511738</v>
      </c>
      <c r="F614" s="16" t="n">
        <f aca="false">F609-F608</f>
        <v>9789.61357738974</v>
      </c>
      <c r="G614" s="16" t="n">
        <f aca="false">G609-G608</f>
        <v>10574.4896148481</v>
      </c>
    </row>
    <row r="615" customFormat="false" ht="17.15" hidden="false" customHeight="false" outlineLevel="0" collapsed="false">
      <c r="A615" s="5" t="s">
        <v>573</v>
      </c>
      <c r="B615" s="0" t="s">
        <v>176</v>
      </c>
      <c r="D615" s="16" t="n">
        <f aca="false">cap_m26</f>
        <v>1200</v>
      </c>
      <c r="E615" s="16" t="n">
        <f aca="false">capi*E614</f>
        <v>1233.37267691643</v>
      </c>
      <c r="F615" s="16" t="n">
        <f aca="false">capi*F614</f>
        <v>1370.54590083456</v>
      </c>
      <c r="G615" s="16" t="n">
        <f aca="false">capi*G614</f>
        <v>1480.42854607873</v>
      </c>
      <c r="K615" s="8" t="s">
        <v>574</v>
      </c>
    </row>
    <row r="616" customFormat="false" ht="17.15" hidden="false" customHeight="false" outlineLevel="0" collapsed="false">
      <c r="A616" s="5" t="s">
        <v>575</v>
      </c>
      <c r="B616" s="0" t="s">
        <v>176</v>
      </c>
      <c r="C616" s="16" t="n">
        <f aca="false">a25_da</f>
        <v>642</v>
      </c>
      <c r="D616" s="16" t="n">
        <f aca="false">a26_da</f>
        <v>740.6</v>
      </c>
      <c r="E616" s="16" t="n">
        <f aca="false">D616*(1-1/life)+D615/life</f>
        <v>806.228571428572</v>
      </c>
      <c r="F616" s="16" t="n">
        <f aca="false">E616*(1-1/life)+E615/life</f>
        <v>867.249157926838</v>
      </c>
      <c r="G616" s="16" t="n">
        <f aca="false">F616*(1-1/life)+F615/life</f>
        <v>939.148692627941</v>
      </c>
      <c r="K616" s="5" t="s">
        <v>576</v>
      </c>
    </row>
    <row r="617" customFormat="false" ht="15" hidden="false" customHeight="false" outlineLevel="0" collapsed="false">
      <c r="A617" s="5" t="s">
        <v>577</v>
      </c>
      <c r="B617" s="0" t="s">
        <v>176</v>
      </c>
      <c r="E617" s="16" t="n">
        <f aca="false">0</f>
        <v>0</v>
      </c>
      <c r="F617" s="16" t="n">
        <f aca="false">az_capex1*(1-az_inc)/az_life*az_svc28</f>
        <v>94.7916666666667</v>
      </c>
      <c r="G617" s="16" t="n">
        <f aca="false">az_capex1*(1-az_inc)/az_life</f>
        <v>189.583333333333</v>
      </c>
    </row>
    <row r="618" customFormat="false" ht="15" hidden="false" customHeight="false" outlineLevel="0" collapsed="false">
      <c r="A618" s="5" t="s">
        <v>578</v>
      </c>
      <c r="B618" s="0" t="s">
        <v>176</v>
      </c>
      <c r="C618" s="16" t="n">
        <f aca="false">C616</f>
        <v>642</v>
      </c>
      <c r="D618" s="16" t="n">
        <f aca="false">D616</f>
        <v>740.6</v>
      </c>
      <c r="E618" s="16" t="n">
        <f aca="false">E616+E617</f>
        <v>806.228571428572</v>
      </c>
      <c r="F618" s="16" t="n">
        <f aca="false">F616+F617</f>
        <v>962.040824593504</v>
      </c>
      <c r="G618" s="16" t="n">
        <f aca="false">G616+G617</f>
        <v>1128.73202596127</v>
      </c>
    </row>
    <row r="619" customFormat="false" ht="17.15" hidden="false" customHeight="false" outlineLevel="0" collapsed="false">
      <c r="A619" s="5" t="s">
        <v>579</v>
      </c>
      <c r="B619" s="0" t="s">
        <v>176</v>
      </c>
      <c r="C619" s="16" t="n">
        <f aca="false">a25_gp</f>
        <v>938.6</v>
      </c>
      <c r="D619" s="16" t="n">
        <f aca="false">a26_gp</f>
        <v>1325.7873147</v>
      </c>
      <c r="E619" s="16" t="n">
        <f aca="false">$D619+ft_lo*(E614-$D614)-(E616-$D616)</f>
        <v>1598.96128780664</v>
      </c>
      <c r="F619" s="16" t="n">
        <f aca="false">$D619+ft_lo*(F614-$D614)-(F616-$D616)</f>
        <v>1831.88332399008</v>
      </c>
      <c r="G619" s="16" t="n">
        <f aca="false">$D619+ft_lo*(G614-$D614)-(G616-$D616)</f>
        <v>1995.44660052648</v>
      </c>
      <c r="K619" s="5" t="s">
        <v>580</v>
      </c>
    </row>
    <row r="620" customFormat="false" ht="17.15" hidden="false" customHeight="false" outlineLevel="0" collapsed="false">
      <c r="A620" s="5" t="s">
        <v>581</v>
      </c>
      <c r="B620" s="0" t="s">
        <v>176</v>
      </c>
      <c r="E620" s="16" t="n">
        <f aca="false">E608*az_cm-az_fix27</f>
        <v>-120</v>
      </c>
      <c r="F620" s="16" t="n">
        <f aca="false">F608*az_cm-az_fix28-F617</f>
        <v>-112.291666666667</v>
      </c>
      <c r="G620" s="16" t="n">
        <f aca="false">G608*az_cm-az_fix29-G617</f>
        <v>-14.5833333333333</v>
      </c>
      <c r="K620" s="8" t="s">
        <v>582</v>
      </c>
    </row>
    <row r="621" customFormat="false" ht="15" hidden="false" customHeight="false" outlineLevel="0" collapsed="false">
      <c r="A621" s="5" t="s">
        <v>458</v>
      </c>
      <c r="B621" s="0" t="s">
        <v>176</v>
      </c>
      <c r="C621" s="16" t="n">
        <f aca="false">a25_gp</f>
        <v>938.6</v>
      </c>
      <c r="D621" s="16" t="n">
        <f aca="false">a26_gp</f>
        <v>1325.7873147</v>
      </c>
      <c r="E621" s="16" t="n">
        <f aca="false">E619+E620</f>
        <v>1478.96128780664</v>
      </c>
      <c r="F621" s="16" t="n">
        <f aca="false">F619+F620</f>
        <v>1719.59165732342</v>
      </c>
      <c r="G621" s="16" t="n">
        <f aca="false">G619+G620</f>
        <v>1980.86326719315</v>
      </c>
    </row>
    <row r="622" customFormat="false" ht="15" hidden="false" customHeight="false" outlineLevel="0" collapsed="false">
      <c r="A622" s="5" t="s">
        <v>461</v>
      </c>
      <c r="B622" s="0" t="s">
        <v>77</v>
      </c>
      <c r="C622" s="17" t="n">
        <f aca="false">C621/C609</f>
        <v>0.139922480620155</v>
      </c>
      <c r="D622" s="17" t="n">
        <f aca="false">D621/D609</f>
        <v>0.172618149615152</v>
      </c>
      <c r="E622" s="17" t="n">
        <f aca="false">E621/E609</f>
        <v>0.167876736827501</v>
      </c>
      <c r="F622" s="17" t="n">
        <f aca="false">F621/F609</f>
        <v>0.17300387423864</v>
      </c>
      <c r="G622" s="17" t="n">
        <f aca="false">G621/G609</f>
        <v>0.178867228746805</v>
      </c>
    </row>
    <row r="623" customFormat="false" ht="17.15" hidden="false" customHeight="false" outlineLevel="0" collapsed="false">
      <c r="A623" s="5" t="s">
        <v>583</v>
      </c>
      <c r="B623" s="0" t="s">
        <v>584</v>
      </c>
      <c r="E623" s="17" t="n">
        <f aca="false">E620/E609</f>
        <v>-0.0136211871029946</v>
      </c>
      <c r="F623" s="17" t="n">
        <f aca="false">F620/F609</f>
        <v>-0.0112973875485566</v>
      </c>
      <c r="G623" s="17" t="n">
        <f aca="false">G620/G609</f>
        <v>-0.00131684021932539</v>
      </c>
      <c r="K623" s="5" t="s">
        <v>585</v>
      </c>
    </row>
    <row r="624" customFormat="false" ht="17.15" hidden="false" customHeight="false" outlineLevel="0" collapsed="false">
      <c r="A624" s="5" t="s">
        <v>463</v>
      </c>
      <c r="B624" s="0" t="s">
        <v>176</v>
      </c>
      <c r="C624" s="16" t="n">
        <f aca="false">a25_opx</f>
        <v>471.2</v>
      </c>
      <c r="D624" s="16" t="n">
        <f aca="false">a26_opx</f>
        <v>537.5</v>
      </c>
      <c r="E624" s="16" t="n">
        <f aca="false">(D624+opx_gain)*(1+phi*E610)</f>
        <v>599.561157517497</v>
      </c>
      <c r="F624" s="16" t="n">
        <f aca="false">E624*(1+phi*F610)</f>
        <v>638.006358629672</v>
      </c>
      <c r="G624" s="16" t="n">
        <f aca="false">F624*(1+phi*G610)</f>
        <v>674.42920960458</v>
      </c>
      <c r="K624" s="8" t="s">
        <v>586</v>
      </c>
    </row>
    <row r="625" customFormat="false" ht="15" hidden="false" customHeight="false" outlineLevel="0" collapsed="false">
      <c r="A625" s="5" t="s">
        <v>466</v>
      </c>
      <c r="B625" s="0" t="s">
        <v>176</v>
      </c>
      <c r="C625" s="16" t="n">
        <f aca="false">C621-C624</f>
        <v>467.4</v>
      </c>
      <c r="D625" s="16" t="n">
        <f aca="false">D621-D624</f>
        <v>788.2873147</v>
      </c>
      <c r="E625" s="16" t="n">
        <f aca="false">E621-E624</f>
        <v>879.400130289146</v>
      </c>
      <c r="F625" s="16" t="n">
        <f aca="false">F621-F624</f>
        <v>1081.58529869374</v>
      </c>
      <c r="G625" s="16" t="n">
        <f aca="false">G621-G624</f>
        <v>1306.43405758857</v>
      </c>
    </row>
    <row r="626" customFormat="false" ht="15" hidden="false" customHeight="false" outlineLevel="0" collapsed="false">
      <c r="A626" s="5" t="s">
        <v>540</v>
      </c>
      <c r="B626" s="0" t="s">
        <v>77</v>
      </c>
      <c r="C626" s="17" t="n">
        <f aca="false">C625/C609</f>
        <v>0.0696779964221825</v>
      </c>
      <c r="D626" s="17" t="n">
        <f aca="false">D625/D609</f>
        <v>0.102635389643475</v>
      </c>
      <c r="E626" s="17" t="n">
        <f aca="false">E625/E609</f>
        <v>0.0998206142755521</v>
      </c>
      <c r="F626" s="17" t="n">
        <f aca="false">F625/F609</f>
        <v>0.10881562852243</v>
      </c>
      <c r="G626" s="17" t="n">
        <f aca="false">G625/G609</f>
        <v>0.117967879606567</v>
      </c>
    </row>
    <row r="627" customFormat="false" ht="15" hidden="false" customHeight="false" outlineLevel="0" collapsed="false">
      <c r="A627" s="5" t="s">
        <v>587</v>
      </c>
      <c r="B627" s="0" t="s">
        <v>176</v>
      </c>
      <c r="C627" s="16" t="n">
        <f aca="false">a25_nonop</f>
        <v>-22.7</v>
      </c>
      <c r="D627" s="16" t="n">
        <f aca="false">a26_nonop</f>
        <v>-0.700000000000003</v>
      </c>
      <c r="E627" s="16" t="n">
        <f aca="false">nonop27</f>
        <v>-20</v>
      </c>
      <c r="F627" s="16" t="n">
        <f aca="false">nonop28</f>
        <v>-40</v>
      </c>
      <c r="G627" s="16" t="n">
        <f aca="false">nonop29</f>
        <v>-60</v>
      </c>
    </row>
    <row r="628" customFormat="false" ht="15" hidden="false" customHeight="false" outlineLevel="0" collapsed="false">
      <c r="A628" s="5" t="s">
        <v>471</v>
      </c>
      <c r="B628" s="0" t="s">
        <v>176</v>
      </c>
      <c r="C628" s="16" t="n">
        <f aca="false">C625+C627</f>
        <v>444.7</v>
      </c>
      <c r="D628" s="16" t="n">
        <f aca="false">D625+D627</f>
        <v>787.5873147</v>
      </c>
      <c r="E628" s="16" t="n">
        <f aca="false">E625+E627</f>
        <v>859.400130289146</v>
      </c>
      <c r="F628" s="16" t="n">
        <f aca="false">F625+F627</f>
        <v>1041.58529869374</v>
      </c>
      <c r="G628" s="16" t="n">
        <f aca="false">G625+G627</f>
        <v>1246.43405758857</v>
      </c>
    </row>
    <row r="629" customFormat="false" ht="15" hidden="false" customHeight="false" outlineLevel="0" collapsed="false">
      <c r="A629" s="5" t="s">
        <v>472</v>
      </c>
      <c r="B629" s="0" t="s">
        <v>176</v>
      </c>
      <c r="C629" s="16" t="n">
        <f aca="false">a25_tax</f>
        <v>68.5</v>
      </c>
      <c r="D629" s="16" t="n">
        <f aca="false">a26_tax</f>
        <v>138.23746294</v>
      </c>
      <c r="E629" s="16" t="n">
        <f aca="false">E628*tax</f>
        <v>171.880026057829</v>
      </c>
      <c r="F629" s="16" t="n">
        <f aca="false">F628*tax</f>
        <v>208.317059738749</v>
      </c>
      <c r="G629" s="16" t="n">
        <f aca="false">G628*tax</f>
        <v>249.286811517714</v>
      </c>
    </row>
    <row r="630" customFormat="false" ht="15" hidden="false" customHeight="false" outlineLevel="0" collapsed="false">
      <c r="A630" s="5" t="s">
        <v>474</v>
      </c>
      <c r="B630" s="0" t="s">
        <v>176</v>
      </c>
      <c r="C630" s="16" t="n">
        <f aca="false">a25_nci</f>
        <v>2.30000000000007</v>
      </c>
      <c r="D630" s="16" t="n">
        <f aca="false">a26_nci</f>
        <v>3.7</v>
      </c>
      <c r="E630" s="16" t="n">
        <f aca="false">nci</f>
        <v>3</v>
      </c>
      <c r="F630" s="16" t="n">
        <f aca="false">nci</f>
        <v>3</v>
      </c>
      <c r="G630" s="16" t="n">
        <f aca="false">nci</f>
        <v>3</v>
      </c>
    </row>
    <row r="631" customFormat="false" ht="15" hidden="false" customHeight="false" outlineLevel="0" collapsed="false">
      <c r="A631" s="5" t="s">
        <v>476</v>
      </c>
      <c r="B631" s="0" t="s">
        <v>176</v>
      </c>
      <c r="C631" s="16" t="n">
        <f aca="false">C628-C629-C630</f>
        <v>373.9</v>
      </c>
      <c r="D631" s="16" t="n">
        <f aca="false">D628-D629-D630</f>
        <v>645.64985176</v>
      </c>
      <c r="E631" s="16" t="n">
        <f aca="false">E628-E629-E630</f>
        <v>684.520104231317</v>
      </c>
      <c r="F631" s="16" t="n">
        <f aca="false">F628-F629-F630</f>
        <v>830.268238954996</v>
      </c>
      <c r="G631" s="16" t="n">
        <f aca="false">G628-G629-G630</f>
        <v>994.147246070857</v>
      </c>
      <c r="H631" s="29" t="n">
        <f aca="false">H609*H635</f>
        <v>1174.2946041236</v>
      </c>
      <c r="I631" s="29" t="n">
        <f aca="false">I609*I635</f>
        <v>1357.15391674166</v>
      </c>
      <c r="J631" s="29" t="n">
        <f aca="false">J609*J635</f>
        <v>1535.24987238976</v>
      </c>
    </row>
    <row r="632" customFormat="false" ht="15" hidden="false" customHeight="false" outlineLevel="0" collapsed="false">
      <c r="A632" s="5" t="s">
        <v>588</v>
      </c>
      <c r="B632" s="5" t="s">
        <v>310</v>
      </c>
      <c r="C632" s="21" t="n">
        <f aca="false">a25_sh</f>
        <v>248.5</v>
      </c>
      <c r="D632" s="21" t="n">
        <f aca="false">a26_sh</f>
        <v>249.915</v>
      </c>
      <c r="E632" s="21" t="n">
        <f aca="false">D632*(1+sh_g)</f>
        <v>249.915</v>
      </c>
      <c r="F632" s="21" t="n">
        <f aca="false">E632*(1+sh_g)</f>
        <v>249.915</v>
      </c>
      <c r="G632" s="21" t="n">
        <f aca="false">F632*(1+sh_g)</f>
        <v>249.915</v>
      </c>
      <c r="H632" s="30" t="n">
        <f aca="false">G632*(1+sh_g)</f>
        <v>249.915</v>
      </c>
      <c r="I632" s="30" t="n">
        <f aca="false">H632*(1+sh_g)</f>
        <v>249.915</v>
      </c>
      <c r="J632" s="30" t="n">
        <f aca="false">I632*(1+sh_g)</f>
        <v>249.915</v>
      </c>
    </row>
    <row r="633" customFormat="false" ht="17.15" hidden="false" customHeight="false" outlineLevel="0" collapsed="false">
      <c r="A633" s="0" t="s">
        <v>480</v>
      </c>
      <c r="B633" s="0" t="s">
        <v>331</v>
      </c>
      <c r="C633" s="18" t="n">
        <f aca="false">C631/C632</f>
        <v>1.5046277665996</v>
      </c>
      <c r="D633" s="18" t="n">
        <f aca="false">D631/D632</f>
        <v>2.58347778948843</v>
      </c>
      <c r="E633" s="18" t="n">
        <f aca="false">E631/E632</f>
        <v>2.73901168089677</v>
      </c>
      <c r="F633" s="18" t="n">
        <f aca="false">F631/F632</f>
        <v>3.32220250467157</v>
      </c>
      <c r="G633" s="18" t="n">
        <f aca="false">G631/G632</f>
        <v>3.97794148438812</v>
      </c>
      <c r="H633" s="27" t="n">
        <f aca="false">H631/H632</f>
        <v>4.69877600033453</v>
      </c>
      <c r="I633" s="27" t="n">
        <f aca="false">I631/I632</f>
        <v>5.43046202405481</v>
      </c>
      <c r="J633" s="27" t="n">
        <f aca="false">J631/J632</f>
        <v>6.14308813952647</v>
      </c>
    </row>
    <row r="634" customFormat="false" ht="17.15" hidden="false" customHeight="false" outlineLevel="0" collapsed="false">
      <c r="A634" s="0" t="s">
        <v>589</v>
      </c>
      <c r="B634" s="0" t="s">
        <v>77</v>
      </c>
      <c r="D634" s="20" t="n">
        <f aca="false">D633/C633-1</f>
        <v>0.717021210719106</v>
      </c>
      <c r="E634" s="20" t="n">
        <f aca="false">E633/D633-1</f>
        <v>0.0602033011629433</v>
      </c>
      <c r="F634" s="20" t="n">
        <f aca="false">F633/E633-1</f>
        <v>0.212920166731037</v>
      </c>
      <c r="G634" s="20" t="n">
        <f aca="false">G633/F633-1</f>
        <v>0.19738079746628</v>
      </c>
      <c r="H634" s="25" t="n">
        <f aca="false">H633/G633-1</f>
        <v>0.181207923438644</v>
      </c>
      <c r="I634" s="25" t="n">
        <f aca="false">I633/H633-1</f>
        <v>0.155718430431286</v>
      </c>
      <c r="J634" s="25" t="n">
        <f aca="false">J633/I633-1</f>
        <v>0.131227529502095</v>
      </c>
    </row>
    <row r="635" customFormat="false" ht="17.15" hidden="false" customHeight="false" outlineLevel="0" collapsed="false">
      <c r="A635" s="5" t="s">
        <v>590</v>
      </c>
      <c r="B635" s="0" t="s">
        <v>77</v>
      </c>
      <c r="C635" s="17" t="n">
        <f aca="false">C631/C609</f>
        <v>0.0557394156231365</v>
      </c>
      <c r="D635" s="17" t="n">
        <f aca="false">D631/D609</f>
        <v>0.0840639229794768</v>
      </c>
      <c r="E635" s="17" t="n">
        <f aca="false">E631/E609</f>
        <v>0.0776998034624676</v>
      </c>
      <c r="F635" s="17" t="n">
        <f aca="false">F631/F609</f>
        <v>0.083531239166446</v>
      </c>
      <c r="G635" s="17" t="n">
        <f aca="false">G631/G609</f>
        <v>0.0897691253182411</v>
      </c>
      <c r="H635" s="26" t="n">
        <f aca="false">$G635+(fade_mA-$G635)*1/3</f>
        <v>0.0967377573015888</v>
      </c>
      <c r="I635" s="26" t="n">
        <f aca="false">$G635+(fade_mA-$G635)*2/3</f>
        <v>0.103706389284936</v>
      </c>
      <c r="J635" s="26" t="n">
        <f aca="false">$G635+(fade_mA-$G635)*3/3</f>
        <v>0.110675021268284</v>
      </c>
    </row>
    <row r="638" customFormat="false" ht="17.15" hidden="false" customHeight="false" outlineLevel="0" collapsed="false">
      <c r="A638" s="3" t="s">
        <v>932</v>
      </c>
    </row>
    <row r="639" customFormat="false" ht="17.15" hidden="false" customHeight="false" outlineLevel="0" collapsed="false">
      <c r="A639" s="6" t="s">
        <v>22</v>
      </c>
      <c r="B639" s="6" t="s">
        <v>23</v>
      </c>
      <c r="C639" s="14" t="s">
        <v>437</v>
      </c>
      <c r="D639" s="14" t="s">
        <v>527</v>
      </c>
      <c r="E639" s="14" t="s">
        <v>528</v>
      </c>
      <c r="F639" s="14" t="s">
        <v>529</v>
      </c>
      <c r="G639" s="14" t="s">
        <v>530</v>
      </c>
      <c r="H639" s="14" t="s">
        <v>531</v>
      </c>
      <c r="I639" s="14" t="s">
        <v>532</v>
      </c>
      <c r="J639" s="14" t="s">
        <v>533</v>
      </c>
      <c r="K639" s="6" t="s">
        <v>503</v>
      </c>
    </row>
    <row r="640" customFormat="false" ht="17.15" hidden="false" customHeight="false" outlineLevel="0" collapsed="false">
      <c r="A640" s="1" t="s">
        <v>551</v>
      </c>
    </row>
    <row r="641" customFormat="false" ht="17.15" hidden="false" customHeight="false" outlineLevel="0" collapsed="false">
      <c r="A641" s="0" t="s">
        <v>552</v>
      </c>
      <c r="B641" s="5" t="s">
        <v>33</v>
      </c>
      <c r="D641" s="18" t="n">
        <f aca="false">units_26</f>
        <v>15.2</v>
      </c>
      <c r="E641" s="18" t="n">
        <f aca="false">units_27*1</f>
        <v>23.7</v>
      </c>
      <c r="F641" s="18" t="n">
        <f aca="false">units_28*um28_A*1</f>
        <v>26.5</v>
      </c>
      <c r="G641" s="18" t="n">
        <f aca="false">units_29*um29_A*1</f>
        <v>30.15</v>
      </c>
    </row>
    <row r="642" customFormat="false" ht="17.15" hidden="false" customHeight="false" outlineLevel="0" collapsed="false">
      <c r="A642" s="5" t="s">
        <v>506</v>
      </c>
      <c r="B642" s="0" t="s">
        <v>46</v>
      </c>
      <c r="D642" s="22" t="n">
        <f aca="false">ar_26</f>
        <v>1</v>
      </c>
      <c r="E642" s="22" t="n">
        <f aca="false">ar_27</f>
        <v>1.278156</v>
      </c>
      <c r="F642" s="22" t="n">
        <f aca="false">ar_28</f>
        <v>1.428615</v>
      </c>
      <c r="G642" s="22" t="n">
        <f aca="false">ar_29</f>
        <v>1.431796</v>
      </c>
    </row>
    <row r="643" customFormat="false" ht="17.15" hidden="false" customHeight="false" outlineLevel="0" collapsed="false">
      <c r="A643" s="5" t="s">
        <v>508</v>
      </c>
      <c r="B643" s="0" t="s">
        <v>77</v>
      </c>
      <c r="D643" s="20" t="n">
        <f aca="false">out_26</f>
        <v>0.5</v>
      </c>
      <c r="E643" s="20" t="n">
        <f aca="false">out_27</f>
        <v>0.55</v>
      </c>
      <c r="F643" s="20" t="n">
        <f aca="false">out_28</f>
        <v>0.6</v>
      </c>
      <c r="G643" s="20" t="n">
        <f aca="false">out_29</f>
        <v>0.6</v>
      </c>
      <c r="K643" s="8" t="s">
        <v>553</v>
      </c>
    </row>
    <row r="644" customFormat="false" ht="17.15" hidden="false" customHeight="false" outlineLevel="0" collapsed="false">
      <c r="A644" s="0" t="s">
        <v>509</v>
      </c>
      <c r="B644" s="0" t="s">
        <v>77</v>
      </c>
      <c r="D644" s="20" t="n">
        <f aca="false">sh_26</f>
        <v>0.35</v>
      </c>
      <c r="E644" s="20" t="n">
        <f aca="false">sh_27</f>
        <v>0.35</v>
      </c>
      <c r="F644" s="20" t="n">
        <f aca="false">sh_28</f>
        <v>0.37</v>
      </c>
      <c r="G644" s="20" t="n">
        <f aca="false">sh_29</f>
        <v>0.38</v>
      </c>
    </row>
    <row r="645" customFormat="false" ht="17.15" hidden="false" customHeight="false" outlineLevel="0" collapsed="false">
      <c r="A645" s="0" t="s">
        <v>554</v>
      </c>
      <c r="B645" s="0" t="s">
        <v>176</v>
      </c>
      <c r="C645" s="16" t="n">
        <f aca="false">(a26_comp-a25_comp*(1+g_pc26))/(tri-(1+g_pc26))</f>
        <v>287.089852216749</v>
      </c>
      <c r="D645" s="16" t="n">
        <f aca="false">C645*tri</f>
        <v>861.269556650246</v>
      </c>
      <c r="E645" s="16" t="n">
        <f aca="false">E641*E643*E644*E646</f>
        <v>1670.04614466713</v>
      </c>
      <c r="F645" s="16" t="n">
        <f aca="false">F641*F643*F644*F646</f>
        <v>2276.74248157798</v>
      </c>
      <c r="G645" s="16" t="n">
        <f aca="false">G641*G643*G644*G646</f>
        <v>2663.30065379686</v>
      </c>
      <c r="K645" s="8" t="s">
        <v>555</v>
      </c>
    </row>
    <row r="646" customFormat="false" ht="17.15" hidden="false" customHeight="false" outlineLevel="0" collapsed="false">
      <c r="A646" s="5" t="s">
        <v>556</v>
      </c>
      <c r="B646" s="0" t="s">
        <v>511</v>
      </c>
      <c r="D646" s="23" t="n">
        <f aca="false">D645/(D641*D643*D644)</f>
        <v>323.785547612874</v>
      </c>
      <c r="E646" s="23" t="n">
        <f aca="false">$D646*E642^el</f>
        <v>366.057569108912</v>
      </c>
      <c r="F646" s="23" t="n">
        <f aca="false">$D646*F642^el</f>
        <v>387.003651466596</v>
      </c>
      <c r="G646" s="23" t="n">
        <f aca="false">$D646*G642^el</f>
        <v>387.434269267239</v>
      </c>
      <c r="K646" s="8" t="s">
        <v>557</v>
      </c>
    </row>
    <row r="647" customFormat="false" ht="17.15" hidden="false" customHeight="false" outlineLevel="0" collapsed="false">
      <c r="A647" s="5" t="s">
        <v>515</v>
      </c>
      <c r="B647" s="0" t="s">
        <v>511</v>
      </c>
      <c r="D647" s="16" t="n">
        <f aca="false">D645/D641</f>
        <v>56.662470832253</v>
      </c>
      <c r="E647" s="16" t="n">
        <f aca="false">E645/E641</f>
        <v>70.4660820534656</v>
      </c>
      <c r="F647" s="16" t="n">
        <f aca="false">F645/F641</f>
        <v>85.9148106255842</v>
      </c>
      <c r="G647" s="16" t="n">
        <f aca="false">G645/G641</f>
        <v>88.3350133929306</v>
      </c>
      <c r="K647" s="5" t="s">
        <v>558</v>
      </c>
    </row>
    <row r="648" customFormat="false" ht="17.15" hidden="false" customHeight="false" outlineLevel="0" collapsed="false">
      <c r="A648" s="1" t="s">
        <v>559</v>
      </c>
    </row>
    <row r="649" customFormat="false" ht="17.15" hidden="false" customHeight="false" outlineLevel="0" collapsed="false">
      <c r="A649" s="5" t="s">
        <v>560</v>
      </c>
      <c r="B649" s="0" t="s">
        <v>176</v>
      </c>
      <c r="C649" s="16" t="n">
        <f aca="false">a25_comp-C645</f>
        <v>1054.51014778325</v>
      </c>
      <c r="D649" s="16" t="n">
        <f aca="false">a26_comp-D645</f>
        <v>1022.87484334975</v>
      </c>
      <c r="E649" s="16" t="n">
        <f aca="false">D649*(1+g_pc)</f>
        <v>1053.56108865025</v>
      </c>
      <c r="F649" s="16" t="n">
        <f aca="false">E649*(1+g_pc)</f>
        <v>1085.16792130975</v>
      </c>
      <c r="G649" s="16" t="n">
        <f aca="false">F649*(1+g_pc)</f>
        <v>1117.72295894905</v>
      </c>
    </row>
    <row r="650" customFormat="false" ht="15" hidden="false" customHeight="false" outlineLevel="0" collapsed="false">
      <c r="A650" s="5" t="s">
        <v>561</v>
      </c>
      <c r="B650" s="0" t="s">
        <v>176</v>
      </c>
      <c r="C650" s="16" t="n">
        <f aca="false">C645+C649</f>
        <v>1341.6</v>
      </c>
      <c r="D650" s="16" t="n">
        <f aca="false">D645+D649</f>
        <v>1884.1444</v>
      </c>
      <c r="E650" s="16" t="n">
        <f aca="false">E645+E649</f>
        <v>2723.60723331738</v>
      </c>
      <c r="F650" s="16" t="n">
        <f aca="false">F645+F649</f>
        <v>3361.91040288774</v>
      </c>
      <c r="G650" s="16" t="n">
        <f aca="false">G645+G649</f>
        <v>3781.0236127459</v>
      </c>
    </row>
    <row r="651" customFormat="false" ht="17.15" hidden="false" customHeight="false" outlineLevel="0" collapsed="false">
      <c r="A651" s="5" t="s">
        <v>562</v>
      </c>
      <c r="B651" s="0" t="s">
        <v>176</v>
      </c>
      <c r="C651" s="16" t="n">
        <f aca="false">a25_cm</f>
        <v>3085.68</v>
      </c>
      <c r="D651" s="16" t="n">
        <f aca="false">a26_cm</f>
        <v>3041.87176</v>
      </c>
      <c r="E651" s="16" t="n">
        <f aca="false">D651*(1+g_cm27_A)</f>
        <v>3133.1279128</v>
      </c>
      <c r="F651" s="16" t="n">
        <f aca="false">E651*(1+g_cmL_A)</f>
        <v>3258.453029312</v>
      </c>
      <c r="G651" s="16" t="n">
        <f aca="false">F651*(1+g_cmL_A)</f>
        <v>3388.79115048448</v>
      </c>
    </row>
    <row r="652" customFormat="false" ht="15" hidden="false" customHeight="false" outlineLevel="0" collapsed="false">
      <c r="A652" s="5" t="s">
        <v>563</v>
      </c>
      <c r="B652" s="0" t="s">
        <v>176</v>
      </c>
      <c r="C652" s="16" t="n">
        <f aca="false">a25_au</f>
        <v>1274.52</v>
      </c>
      <c r="D652" s="16" t="n">
        <f aca="false">a26_au</f>
        <v>1656.99176</v>
      </c>
      <c r="E652" s="16" t="n">
        <f aca="false">D652*(1+g_au)</f>
        <v>1822.690936</v>
      </c>
      <c r="F652" s="16" t="n">
        <f aca="false">E652*(1+g_au)</f>
        <v>2004.9600296</v>
      </c>
      <c r="G652" s="16" t="n">
        <f aca="false">F652*(1+g_au)</f>
        <v>2205.45603256</v>
      </c>
    </row>
    <row r="653" customFormat="false" ht="15" hidden="false" customHeight="false" outlineLevel="0" collapsed="false">
      <c r="A653" s="5" t="s">
        <v>564</v>
      </c>
      <c r="B653" s="0" t="s">
        <v>176</v>
      </c>
      <c r="C653" s="16" t="n">
        <f aca="false">a25_cs</f>
        <v>1006.2</v>
      </c>
      <c r="D653" s="16" t="n">
        <f aca="false">a26_cs</f>
        <v>1097.4551</v>
      </c>
      <c r="E653" s="16" t="n">
        <f aca="false">D653*(1+g_cs)</f>
        <v>1130.378753</v>
      </c>
      <c r="F653" s="16" t="n">
        <f aca="false">E653*(1+g_cs)</f>
        <v>1164.29011559</v>
      </c>
      <c r="G653" s="16" t="n">
        <f aca="false">F653*(1+g_cs)</f>
        <v>1199.2188190577</v>
      </c>
    </row>
    <row r="654" customFormat="false" ht="17.15" hidden="false" customHeight="false" outlineLevel="0" collapsed="false">
      <c r="A654" s="5" t="s">
        <v>565</v>
      </c>
      <c r="B654" s="0" t="s">
        <v>176</v>
      </c>
      <c r="C654" s="16" t="n">
        <f aca="false">0</f>
        <v>0</v>
      </c>
      <c r="D654" s="16" t="n">
        <f aca="false">0</f>
        <v>0</v>
      </c>
      <c r="E654" s="16" t="n">
        <f aca="false">0</f>
        <v>0</v>
      </c>
      <c r="F654" s="16" t="n">
        <f aca="false">az_rev28_A</f>
        <v>150</v>
      </c>
      <c r="G654" s="16" t="n">
        <f aca="false">az_rev29_A</f>
        <v>500</v>
      </c>
      <c r="K654" s="5" t="s">
        <v>566</v>
      </c>
    </row>
    <row r="655" customFormat="false" ht="17.15" hidden="false" customHeight="false" outlineLevel="0" collapsed="false">
      <c r="A655" s="5" t="s">
        <v>444</v>
      </c>
      <c r="B655" s="0" t="s">
        <v>176</v>
      </c>
      <c r="C655" s="16" t="n">
        <f aca="false">C650+C651+C652+C653+C654</f>
        <v>6708</v>
      </c>
      <c r="D655" s="16" t="n">
        <f aca="false">D650+D651+D652+D653+D654</f>
        <v>7680.46302</v>
      </c>
      <c r="E655" s="16" t="n">
        <f aca="false">E650+E651+E652+E653+E654</f>
        <v>8809.80483511738</v>
      </c>
      <c r="F655" s="16" t="n">
        <f aca="false">F650+F651+F652+F653+F654</f>
        <v>9939.61357738974</v>
      </c>
      <c r="G655" s="16" t="n">
        <f aca="false">G650+G651+G652+G653+G654</f>
        <v>11074.4896148481</v>
      </c>
      <c r="H655" s="29" t="n">
        <f aca="false">G655*(1+H656)</f>
        <v>12138.9479855589</v>
      </c>
      <c r="I655" s="29" t="n">
        <f aca="false">H655*(1+I656)</f>
        <v>13086.5024430928</v>
      </c>
      <c r="J655" s="29" t="n">
        <f aca="false">I655*(1+J656)</f>
        <v>13871.6925896784</v>
      </c>
      <c r="K655" s="8" t="s">
        <v>567</v>
      </c>
    </row>
    <row r="656" customFormat="false" ht="15" hidden="false" customHeight="false" outlineLevel="0" collapsed="false">
      <c r="A656" s="5" t="s">
        <v>568</v>
      </c>
      <c r="B656" s="0" t="s">
        <v>77</v>
      </c>
      <c r="D656" s="20" t="n">
        <f aca="false">D655/C655-1</f>
        <v>0.144970635062612</v>
      </c>
      <c r="E656" s="20" t="n">
        <f aca="false">E655/D655-1</f>
        <v>0.147040850555046</v>
      </c>
      <c r="F656" s="20" t="n">
        <f aca="false">F655/E655-1</f>
        <v>0.128244468909089</v>
      </c>
      <c r="G656" s="20" t="n">
        <f aca="false">G655/F655-1</f>
        <v>0.114177078275953</v>
      </c>
      <c r="H656" s="25" t="n">
        <f aca="false">$G656+(fade_gA-$G656)*1/3</f>
        <v>0.0961180521839684</v>
      </c>
      <c r="I656" s="25" t="n">
        <f aca="false">$G656+(fade_gA-$G656)*2/3</f>
        <v>0.0780590260919842</v>
      </c>
      <c r="J656" s="25" t="n">
        <f aca="false">$G656+(fade_gA-$G656)*3/3</f>
        <v>0.06</v>
      </c>
    </row>
    <row r="657" customFormat="false" ht="17.15" hidden="false" customHeight="false" outlineLevel="0" collapsed="false">
      <c r="A657" s="0" t="s">
        <v>569</v>
      </c>
      <c r="B657" s="0" t="s">
        <v>77</v>
      </c>
      <c r="C657" s="20" t="n">
        <f aca="false">C645/C655</f>
        <v>0.042798129430046</v>
      </c>
      <c r="D657" s="20" t="n">
        <f aca="false">D645/D655</f>
        <v>0.112137712844589</v>
      </c>
      <c r="E657" s="20" t="n">
        <f aca="false">E645/E655</f>
        <v>0.189566758392881</v>
      </c>
      <c r="F657" s="20" t="n">
        <f aca="false">F645/F655</f>
        <v>0.229057444120064</v>
      </c>
      <c r="G657" s="20" t="n">
        <f aca="false">G645/G655</f>
        <v>0.240489697170879</v>
      </c>
    </row>
    <row r="658" customFormat="false" ht="17.15" hidden="false" customHeight="false" outlineLevel="0" collapsed="false">
      <c r="A658" s="5" t="s">
        <v>570</v>
      </c>
      <c r="B658" s="0" t="s">
        <v>77</v>
      </c>
      <c r="C658" s="20" t="n">
        <f aca="false">C651/C655</f>
        <v>0.46</v>
      </c>
      <c r="D658" s="20" t="n">
        <f aca="false">D651/D655</f>
        <v>0.396053174408748</v>
      </c>
      <c r="E658" s="20" t="n">
        <f aca="false">E651/E655</f>
        <v>0.355641012648864</v>
      </c>
      <c r="F658" s="20" t="n">
        <f aca="false">F651/F655</f>
        <v>0.32782492034944</v>
      </c>
      <c r="G658" s="20" t="n">
        <f aca="false">G651/G655</f>
        <v>0.305999758755561</v>
      </c>
    </row>
    <row r="659" customFormat="false" ht="17.15" hidden="false" customHeight="false" outlineLevel="0" collapsed="false">
      <c r="A659" s="1" t="s">
        <v>571</v>
      </c>
    </row>
    <row r="660" customFormat="false" ht="15" hidden="false" customHeight="false" outlineLevel="0" collapsed="false">
      <c r="A660" s="5" t="s">
        <v>572</v>
      </c>
      <c r="B660" s="0" t="s">
        <v>176</v>
      </c>
      <c r="C660" s="16" t="n">
        <f aca="false">C655-C654</f>
        <v>6708</v>
      </c>
      <c r="D660" s="16" t="n">
        <f aca="false">D655-D654</f>
        <v>7680.46302</v>
      </c>
      <c r="E660" s="16" t="n">
        <f aca="false">E655-E654</f>
        <v>8809.80483511738</v>
      </c>
      <c r="F660" s="16" t="n">
        <f aca="false">F655-F654</f>
        <v>9789.61357738974</v>
      </c>
      <c r="G660" s="16" t="n">
        <f aca="false">G655-G654</f>
        <v>10574.4896148481</v>
      </c>
    </row>
    <row r="661" customFormat="false" ht="17.15" hidden="false" customHeight="false" outlineLevel="0" collapsed="false">
      <c r="A661" s="5" t="s">
        <v>573</v>
      </c>
      <c r="B661" s="0" t="s">
        <v>176</v>
      </c>
      <c r="D661" s="16" t="n">
        <f aca="false">cap_m26</f>
        <v>1200</v>
      </c>
      <c r="E661" s="16" t="n">
        <f aca="false">capi*E660</f>
        <v>1233.37267691643</v>
      </c>
      <c r="F661" s="16" t="n">
        <f aca="false">capi*F660</f>
        <v>1370.54590083456</v>
      </c>
      <c r="G661" s="16" t="n">
        <f aca="false">capi*G660</f>
        <v>1480.42854607873</v>
      </c>
      <c r="K661" s="8" t="s">
        <v>574</v>
      </c>
    </row>
    <row r="662" customFormat="false" ht="17.15" hidden="false" customHeight="false" outlineLevel="0" collapsed="false">
      <c r="A662" s="5" t="s">
        <v>575</v>
      </c>
      <c r="B662" s="0" t="s">
        <v>176</v>
      </c>
      <c r="C662" s="16" t="n">
        <f aca="false">a25_da</f>
        <v>642</v>
      </c>
      <c r="D662" s="16" t="n">
        <f aca="false">a26_da</f>
        <v>740.6</v>
      </c>
      <c r="E662" s="16" t="n">
        <f aca="false">D662*(1-1/life)+D661/life</f>
        <v>806.228571428572</v>
      </c>
      <c r="F662" s="16" t="n">
        <f aca="false">E662*(1-1/life)+E661/life</f>
        <v>867.249157926838</v>
      </c>
      <c r="G662" s="16" t="n">
        <f aca="false">F662*(1-1/life)+F661/life</f>
        <v>939.148692627941</v>
      </c>
      <c r="K662" s="5" t="s">
        <v>576</v>
      </c>
    </row>
    <row r="663" customFormat="false" ht="15" hidden="false" customHeight="false" outlineLevel="0" collapsed="false">
      <c r="A663" s="5" t="s">
        <v>577</v>
      </c>
      <c r="B663" s="0" t="s">
        <v>176</v>
      </c>
      <c r="E663" s="16" t="n">
        <f aca="false">0</f>
        <v>0</v>
      </c>
      <c r="F663" s="16" t="n">
        <f aca="false">az_capex1*(1-az_inc)/az_life*az_svc28</f>
        <v>94.7916666666667</v>
      </c>
      <c r="G663" s="16" t="n">
        <f aca="false">az_capex1*(1-az_inc)/az_life</f>
        <v>189.583333333333</v>
      </c>
    </row>
    <row r="664" customFormat="false" ht="15" hidden="false" customHeight="false" outlineLevel="0" collapsed="false">
      <c r="A664" s="5" t="s">
        <v>578</v>
      </c>
      <c r="B664" s="0" t="s">
        <v>176</v>
      </c>
      <c r="C664" s="16" t="n">
        <f aca="false">C662</f>
        <v>642</v>
      </c>
      <c r="D664" s="16" t="n">
        <f aca="false">D662</f>
        <v>740.6</v>
      </c>
      <c r="E664" s="16" t="n">
        <f aca="false">E662+E663</f>
        <v>806.228571428572</v>
      </c>
      <c r="F664" s="16" t="n">
        <f aca="false">F662+F663</f>
        <v>962.040824593504</v>
      </c>
      <c r="G664" s="16" t="n">
        <f aca="false">G662+G663</f>
        <v>1128.73202596127</v>
      </c>
    </row>
    <row r="665" customFormat="false" ht="17.15" hidden="false" customHeight="false" outlineLevel="0" collapsed="false">
      <c r="A665" s="5" t="s">
        <v>579</v>
      </c>
      <c r="B665" s="0" t="s">
        <v>176</v>
      </c>
      <c r="C665" s="16" t="n">
        <f aca="false">a25_gp</f>
        <v>938.6</v>
      </c>
      <c r="D665" s="16" t="n">
        <f aca="false">a26_gp</f>
        <v>1325.7873147</v>
      </c>
      <c r="E665" s="16" t="n">
        <f aca="false">$D665+ft_hi*(E660-$D660)-(E662-$D662)</f>
        <v>1824.82965083012</v>
      </c>
      <c r="F665" s="16" t="n">
        <f aca="false">$D665+ft_hi*(F660-$D660)-(F662-$D662)</f>
        <v>2253.71343546803</v>
      </c>
      <c r="G665" s="16" t="n">
        <f aca="false">$D665+ft_hi*(G660-$D660)-(G662-$D662)</f>
        <v>2574.2519194961</v>
      </c>
      <c r="K665" s="5" t="s">
        <v>580</v>
      </c>
    </row>
    <row r="666" customFormat="false" ht="17.15" hidden="false" customHeight="false" outlineLevel="0" collapsed="false">
      <c r="A666" s="5" t="s">
        <v>581</v>
      </c>
      <c r="B666" s="0" t="s">
        <v>176</v>
      </c>
      <c r="E666" s="16" t="n">
        <f aca="false">E654*az_cm-az_fix27</f>
        <v>-120</v>
      </c>
      <c r="F666" s="16" t="n">
        <f aca="false">F654*az_cm-az_fix28-F663</f>
        <v>-112.291666666667</v>
      </c>
      <c r="G666" s="16" t="n">
        <f aca="false">G654*az_cm-az_fix29-G663</f>
        <v>-14.5833333333333</v>
      </c>
      <c r="K666" s="8" t="s">
        <v>582</v>
      </c>
    </row>
    <row r="667" customFormat="false" ht="15" hidden="false" customHeight="false" outlineLevel="0" collapsed="false">
      <c r="A667" s="5" t="s">
        <v>458</v>
      </c>
      <c r="B667" s="0" t="s">
        <v>176</v>
      </c>
      <c r="C667" s="16" t="n">
        <f aca="false">a25_gp</f>
        <v>938.6</v>
      </c>
      <c r="D667" s="16" t="n">
        <f aca="false">a26_gp</f>
        <v>1325.7873147</v>
      </c>
      <c r="E667" s="16" t="n">
        <f aca="false">E665+E666</f>
        <v>1704.82965083012</v>
      </c>
      <c r="F667" s="16" t="n">
        <f aca="false">F665+F666</f>
        <v>2141.42176880136</v>
      </c>
      <c r="G667" s="16" t="n">
        <f aca="false">G665+G666</f>
        <v>2559.66858616277</v>
      </c>
    </row>
    <row r="668" customFormat="false" ht="15" hidden="false" customHeight="false" outlineLevel="0" collapsed="false">
      <c r="A668" s="5" t="s">
        <v>461</v>
      </c>
      <c r="B668" s="0" t="s">
        <v>77</v>
      </c>
      <c r="C668" s="17" t="n">
        <f aca="false">C667/C655</f>
        <v>0.139922480620155</v>
      </c>
      <c r="D668" s="17" t="n">
        <f aca="false">D667/D655</f>
        <v>0.172618149615152</v>
      </c>
      <c r="E668" s="17" t="n">
        <f aca="false">E667/E655</f>
        <v>0.193515030439083</v>
      </c>
      <c r="F668" s="17" t="n">
        <f aca="false">F667/F655</f>
        <v>0.215443161057346</v>
      </c>
      <c r="G668" s="17" t="n">
        <f aca="false">G667/G655</f>
        <v>0.231131968621913</v>
      </c>
    </row>
    <row r="669" customFormat="false" ht="17.15" hidden="false" customHeight="false" outlineLevel="0" collapsed="false">
      <c r="A669" s="5" t="s">
        <v>583</v>
      </c>
      <c r="B669" s="0" t="s">
        <v>584</v>
      </c>
      <c r="E669" s="17" t="n">
        <f aca="false">E666/E655</f>
        <v>-0.0136211871029946</v>
      </c>
      <c r="F669" s="17" t="n">
        <f aca="false">F666/F655</f>
        <v>-0.0112973875485566</v>
      </c>
      <c r="G669" s="17" t="n">
        <f aca="false">G666/G655</f>
        <v>-0.00131684021932539</v>
      </c>
      <c r="K669" s="5" t="s">
        <v>585</v>
      </c>
    </row>
    <row r="670" customFormat="false" ht="17.15" hidden="false" customHeight="false" outlineLevel="0" collapsed="false">
      <c r="A670" s="5" t="s">
        <v>463</v>
      </c>
      <c r="B670" s="0" t="s">
        <v>176</v>
      </c>
      <c r="C670" s="16" t="n">
        <f aca="false">a25_opx</f>
        <v>471.2</v>
      </c>
      <c r="D670" s="16" t="n">
        <f aca="false">a26_opx</f>
        <v>537.5</v>
      </c>
      <c r="E670" s="16" t="n">
        <f aca="false">(D670+opx_gain)*(1+phi*E656)</f>
        <v>599.561157517497</v>
      </c>
      <c r="F670" s="16" t="n">
        <f aca="false">E670*(1+phi*F656)</f>
        <v>638.006358629672</v>
      </c>
      <c r="G670" s="16" t="n">
        <f aca="false">F670*(1+phi*G656)</f>
        <v>674.42920960458</v>
      </c>
      <c r="K670" s="8" t="s">
        <v>586</v>
      </c>
    </row>
    <row r="671" customFormat="false" ht="15" hidden="false" customHeight="false" outlineLevel="0" collapsed="false">
      <c r="A671" s="5" t="s">
        <v>466</v>
      </c>
      <c r="B671" s="0" t="s">
        <v>176</v>
      </c>
      <c r="C671" s="16" t="n">
        <f aca="false">C667-C670</f>
        <v>467.4</v>
      </c>
      <c r="D671" s="16" t="n">
        <f aca="false">D667-D670</f>
        <v>788.2873147</v>
      </c>
      <c r="E671" s="16" t="n">
        <f aca="false">E667-E670</f>
        <v>1105.26849331262</v>
      </c>
      <c r="F671" s="16" t="n">
        <f aca="false">F667-F670</f>
        <v>1503.41541017169</v>
      </c>
      <c r="G671" s="16" t="n">
        <f aca="false">G667-G670</f>
        <v>1885.23937655819</v>
      </c>
    </row>
    <row r="672" customFormat="false" ht="15" hidden="false" customHeight="false" outlineLevel="0" collapsed="false">
      <c r="A672" s="5" t="s">
        <v>540</v>
      </c>
      <c r="B672" s="0" t="s">
        <v>77</v>
      </c>
      <c r="C672" s="17" t="n">
        <f aca="false">C671/C655</f>
        <v>0.0696779964221825</v>
      </c>
      <c r="D672" s="17" t="n">
        <f aca="false">D671/D655</f>
        <v>0.102635389643475</v>
      </c>
      <c r="E672" s="17" t="n">
        <f aca="false">E671/E655</f>
        <v>0.125458907887134</v>
      </c>
      <c r="F672" s="17" t="n">
        <f aca="false">F671/F655</f>
        <v>0.151254915341136</v>
      </c>
      <c r="G672" s="17" t="n">
        <f aca="false">G671/G655</f>
        <v>0.170232619481674</v>
      </c>
    </row>
    <row r="673" customFormat="false" ht="15" hidden="false" customHeight="false" outlineLevel="0" collapsed="false">
      <c r="A673" s="5" t="s">
        <v>587</v>
      </c>
      <c r="B673" s="0" t="s">
        <v>176</v>
      </c>
      <c r="C673" s="16" t="n">
        <f aca="false">a25_nonop</f>
        <v>-22.7</v>
      </c>
      <c r="D673" s="16" t="n">
        <f aca="false">a26_nonop</f>
        <v>-0.700000000000003</v>
      </c>
      <c r="E673" s="16" t="n">
        <f aca="false">nonop27</f>
        <v>-20</v>
      </c>
      <c r="F673" s="16" t="n">
        <f aca="false">nonop28</f>
        <v>-40</v>
      </c>
      <c r="G673" s="16" t="n">
        <f aca="false">nonop29</f>
        <v>-60</v>
      </c>
    </row>
    <row r="674" customFormat="false" ht="15" hidden="false" customHeight="false" outlineLevel="0" collapsed="false">
      <c r="A674" s="5" t="s">
        <v>471</v>
      </c>
      <c r="B674" s="0" t="s">
        <v>176</v>
      </c>
      <c r="C674" s="16" t="n">
        <f aca="false">C671+C673</f>
        <v>444.7</v>
      </c>
      <c r="D674" s="16" t="n">
        <f aca="false">D671+D673</f>
        <v>787.5873147</v>
      </c>
      <c r="E674" s="16" t="n">
        <f aca="false">E671+E673</f>
        <v>1085.26849331262</v>
      </c>
      <c r="F674" s="16" t="n">
        <f aca="false">F671+F673</f>
        <v>1463.41541017169</v>
      </c>
      <c r="G674" s="16" t="n">
        <f aca="false">G671+G673</f>
        <v>1825.23937655819</v>
      </c>
    </row>
    <row r="675" customFormat="false" ht="15" hidden="false" customHeight="false" outlineLevel="0" collapsed="false">
      <c r="A675" s="5" t="s">
        <v>472</v>
      </c>
      <c r="B675" s="0" t="s">
        <v>176</v>
      </c>
      <c r="C675" s="16" t="n">
        <f aca="false">a25_tax</f>
        <v>68.5</v>
      </c>
      <c r="D675" s="16" t="n">
        <f aca="false">a26_tax</f>
        <v>138.23746294</v>
      </c>
      <c r="E675" s="16" t="n">
        <f aca="false">E674*tax</f>
        <v>217.053698662524</v>
      </c>
      <c r="F675" s="16" t="n">
        <f aca="false">F674*tax</f>
        <v>292.683082034338</v>
      </c>
      <c r="G675" s="16" t="n">
        <f aca="false">G674*tax</f>
        <v>365.047875311638</v>
      </c>
    </row>
    <row r="676" customFormat="false" ht="15" hidden="false" customHeight="false" outlineLevel="0" collapsed="false">
      <c r="A676" s="5" t="s">
        <v>474</v>
      </c>
      <c r="B676" s="0" t="s">
        <v>176</v>
      </c>
      <c r="C676" s="16" t="n">
        <f aca="false">a25_nci</f>
        <v>2.30000000000007</v>
      </c>
      <c r="D676" s="16" t="n">
        <f aca="false">a26_nci</f>
        <v>3.7</v>
      </c>
      <c r="E676" s="16" t="n">
        <f aca="false">nci</f>
        <v>3</v>
      </c>
      <c r="F676" s="16" t="n">
        <f aca="false">nci</f>
        <v>3</v>
      </c>
      <c r="G676" s="16" t="n">
        <f aca="false">nci</f>
        <v>3</v>
      </c>
    </row>
    <row r="677" customFormat="false" ht="15" hidden="false" customHeight="false" outlineLevel="0" collapsed="false">
      <c r="A677" s="5" t="s">
        <v>476</v>
      </c>
      <c r="B677" s="0" t="s">
        <v>176</v>
      </c>
      <c r="C677" s="16" t="n">
        <f aca="false">C674-C675-C676</f>
        <v>373.9</v>
      </c>
      <c r="D677" s="16" t="n">
        <f aca="false">D674-D675-D676</f>
        <v>645.64985176</v>
      </c>
      <c r="E677" s="16" t="n">
        <f aca="false">E674-E675-E676</f>
        <v>865.214794650098</v>
      </c>
      <c r="F677" s="16" t="n">
        <f aca="false">F674-F675-F676</f>
        <v>1167.73232813735</v>
      </c>
      <c r="G677" s="16" t="n">
        <f aca="false">G674-G675-G676</f>
        <v>1457.19150124655</v>
      </c>
      <c r="H677" s="29" t="n">
        <f aca="false">H655*H681</f>
        <v>1512.66204882904</v>
      </c>
      <c r="I677" s="29" t="n">
        <f aca="false">I655*I681</f>
        <v>1539.54395569185</v>
      </c>
      <c r="J677" s="29" t="n">
        <f aca="false">J655*J681</f>
        <v>1535.24987238976</v>
      </c>
    </row>
    <row r="678" customFormat="false" ht="15" hidden="false" customHeight="false" outlineLevel="0" collapsed="false">
      <c r="A678" s="5" t="s">
        <v>588</v>
      </c>
      <c r="B678" s="5" t="s">
        <v>310</v>
      </c>
      <c r="C678" s="21" t="n">
        <f aca="false">a25_sh</f>
        <v>248.5</v>
      </c>
      <c r="D678" s="21" t="n">
        <f aca="false">a26_sh</f>
        <v>249.915</v>
      </c>
      <c r="E678" s="21" t="n">
        <f aca="false">D678*(1+sh_g)</f>
        <v>249.915</v>
      </c>
      <c r="F678" s="21" t="n">
        <f aca="false">E678*(1+sh_g)</f>
        <v>249.915</v>
      </c>
      <c r="G678" s="21" t="n">
        <f aca="false">F678*(1+sh_g)</f>
        <v>249.915</v>
      </c>
      <c r="H678" s="30" t="n">
        <f aca="false">G678*(1+sh_g)</f>
        <v>249.915</v>
      </c>
      <c r="I678" s="30" t="n">
        <f aca="false">H678*(1+sh_g)</f>
        <v>249.915</v>
      </c>
      <c r="J678" s="30" t="n">
        <f aca="false">I678*(1+sh_g)</f>
        <v>249.915</v>
      </c>
    </row>
    <row r="679" customFormat="false" ht="17.15" hidden="false" customHeight="false" outlineLevel="0" collapsed="false">
      <c r="A679" s="0" t="s">
        <v>480</v>
      </c>
      <c r="B679" s="0" t="s">
        <v>331</v>
      </c>
      <c r="C679" s="18" t="n">
        <f aca="false">C677/C678</f>
        <v>1.5046277665996</v>
      </c>
      <c r="D679" s="18" t="n">
        <f aca="false">D677/D678</f>
        <v>2.58347778948843</v>
      </c>
      <c r="E679" s="18" t="n">
        <f aca="false">E677/E678</f>
        <v>3.46203627093251</v>
      </c>
      <c r="F679" s="18" t="n">
        <f aca="false">F677/F678</f>
        <v>4.67251796865876</v>
      </c>
      <c r="G679" s="18" t="n">
        <f aca="false">G677/G678</f>
        <v>5.83074845946242</v>
      </c>
      <c r="H679" s="27" t="n">
        <f aca="false">H677/H678</f>
        <v>6.0527061153954</v>
      </c>
      <c r="I679" s="27" t="n">
        <f aca="false">I677/I678</f>
        <v>6.16027031467438</v>
      </c>
      <c r="J679" s="27" t="n">
        <f aca="false">J677/J678</f>
        <v>6.14308813952647</v>
      </c>
    </row>
    <row r="680" customFormat="false" ht="17.15" hidden="false" customHeight="false" outlineLevel="0" collapsed="false">
      <c r="A680" s="0" t="s">
        <v>589</v>
      </c>
      <c r="B680" s="0" t="s">
        <v>77</v>
      </c>
      <c r="D680" s="20" t="n">
        <f aca="false">D679/C679-1</f>
        <v>0.717021210719106</v>
      </c>
      <c r="E680" s="20" t="n">
        <f aca="false">E679/D679-1</f>
        <v>0.34006813800325</v>
      </c>
      <c r="F680" s="20" t="n">
        <f aca="false">F679/E679-1</f>
        <v>0.349644429750646</v>
      </c>
      <c r="G680" s="20" t="n">
        <f aca="false">G679/F679-1</f>
        <v>0.247881441777768</v>
      </c>
      <c r="H680" s="25" t="n">
        <f aca="false">H679/G679-1</f>
        <v>0.0380667520604119</v>
      </c>
      <c r="I680" s="25" t="n">
        <f aca="false">I679/H679-1</f>
        <v>0.0177712575545974</v>
      </c>
      <c r="J680" s="25" t="n">
        <f aca="false">J679/I679-1</f>
        <v>-0.00278919175137127</v>
      </c>
    </row>
    <row r="681" customFormat="false" ht="17.15" hidden="false" customHeight="false" outlineLevel="0" collapsed="false">
      <c r="A681" s="5" t="s">
        <v>590</v>
      </c>
      <c r="B681" s="0" t="s">
        <v>77</v>
      </c>
      <c r="C681" s="17" t="n">
        <f aca="false">C677/C655</f>
        <v>0.0557394156231365</v>
      </c>
      <c r="D681" s="17" t="n">
        <f aca="false">D677/D655</f>
        <v>0.0840639229794768</v>
      </c>
      <c r="E681" s="17" t="n">
        <f aca="false">E677/E655</f>
        <v>0.0982104383517333</v>
      </c>
      <c r="F681" s="17" t="n">
        <f aca="false">F677/F655</f>
        <v>0.117482668621411</v>
      </c>
      <c r="G681" s="17" t="n">
        <f aca="false">G677/G655</f>
        <v>0.131580917218327</v>
      </c>
      <c r="H681" s="26" t="n">
        <f aca="false">$G681+(fade_mA-$G681)*1/3</f>
        <v>0.12461228523498</v>
      </c>
      <c r="I681" s="26" t="n">
        <f aca="false">$G681+(fade_mA-$G681)*2/3</f>
        <v>0.117643653251632</v>
      </c>
      <c r="J681" s="26" t="n">
        <f aca="false">$G681+(fade_mA-$G681)*3/3</f>
        <v>0.110675021268284</v>
      </c>
    </row>
    <row r="684" customFormat="false" ht="17.15" hidden="false" customHeight="false" outlineLevel="0" collapsed="false">
      <c r="A684" s="3" t="s">
        <v>933</v>
      </c>
    </row>
    <row r="685" customFormat="false" ht="17.15" hidden="false" customHeight="false" outlineLevel="0" collapsed="false">
      <c r="A685" s="6" t="s">
        <v>22</v>
      </c>
      <c r="B685" s="6" t="s">
        <v>23</v>
      </c>
      <c r="C685" s="14" t="s">
        <v>437</v>
      </c>
      <c r="D685" s="14" t="s">
        <v>527</v>
      </c>
      <c r="E685" s="14" t="s">
        <v>528</v>
      </c>
      <c r="F685" s="14" t="s">
        <v>529</v>
      </c>
      <c r="G685" s="14" t="s">
        <v>530</v>
      </c>
      <c r="H685" s="14" t="s">
        <v>531</v>
      </c>
      <c r="I685" s="14" t="s">
        <v>532</v>
      </c>
      <c r="J685" s="14" t="s">
        <v>533</v>
      </c>
      <c r="K685" s="6" t="s">
        <v>503</v>
      </c>
    </row>
    <row r="686" customFormat="false" ht="17.15" hidden="false" customHeight="false" outlineLevel="0" collapsed="false">
      <c r="A686" s="1" t="s">
        <v>551</v>
      </c>
    </row>
    <row r="687" customFormat="false" ht="17.15" hidden="false" customHeight="false" outlineLevel="0" collapsed="false">
      <c r="A687" s="0" t="s">
        <v>552</v>
      </c>
      <c r="B687" s="5" t="s">
        <v>33</v>
      </c>
      <c r="D687" s="18" t="n">
        <f aca="false">units_26</f>
        <v>15.2</v>
      </c>
      <c r="E687" s="18" t="n">
        <f aca="false">units_27*1</f>
        <v>23.7</v>
      </c>
      <c r="F687" s="18" t="n">
        <f aca="false">units_28*um28_A*1</f>
        <v>26.5</v>
      </c>
      <c r="G687" s="18" t="n">
        <f aca="false">units_29*um29_A*1</f>
        <v>30.15</v>
      </c>
    </row>
    <row r="688" customFormat="false" ht="17.15" hidden="false" customHeight="false" outlineLevel="0" collapsed="false">
      <c r="A688" s="5" t="s">
        <v>506</v>
      </c>
      <c r="B688" s="0" t="s">
        <v>46</v>
      </c>
      <c r="D688" s="22" t="n">
        <f aca="false">ar_26</f>
        <v>1</v>
      </c>
      <c r="E688" s="22" t="n">
        <f aca="false">ar_27</f>
        <v>1.278156</v>
      </c>
      <c r="F688" s="22" t="n">
        <f aca="false">ar_28</f>
        <v>1.428615</v>
      </c>
      <c r="G688" s="22" t="n">
        <f aca="false">ar_29</f>
        <v>1.431796</v>
      </c>
    </row>
    <row r="689" customFormat="false" ht="17.15" hidden="false" customHeight="false" outlineLevel="0" collapsed="false">
      <c r="A689" s="5" t="s">
        <v>508</v>
      </c>
      <c r="B689" s="0" t="s">
        <v>77</v>
      </c>
      <c r="D689" s="20" t="n">
        <f aca="false">out_26</f>
        <v>0.5</v>
      </c>
      <c r="E689" s="20" t="n">
        <f aca="false">out_27</f>
        <v>0.55</v>
      </c>
      <c r="F689" s="20" t="n">
        <f aca="false">out_28</f>
        <v>0.6</v>
      </c>
      <c r="G689" s="20" t="n">
        <f aca="false">out_29</f>
        <v>0.6</v>
      </c>
      <c r="K689" s="8" t="s">
        <v>553</v>
      </c>
    </row>
    <row r="690" customFormat="false" ht="17.15" hidden="false" customHeight="false" outlineLevel="0" collapsed="false">
      <c r="A690" s="0" t="s">
        <v>509</v>
      </c>
      <c r="B690" s="0" t="s">
        <v>77</v>
      </c>
      <c r="D690" s="20" t="n">
        <f aca="false">sh_26</f>
        <v>0.35</v>
      </c>
      <c r="E690" s="20" t="n">
        <f aca="false">sh_27</f>
        <v>0.35</v>
      </c>
      <c r="F690" s="20" t="n">
        <f aca="false">sh_28</f>
        <v>0.37</v>
      </c>
      <c r="G690" s="20" t="n">
        <f aca="false">sh_29</f>
        <v>0.38</v>
      </c>
    </row>
    <row r="691" customFormat="false" ht="17.15" hidden="false" customHeight="false" outlineLevel="0" collapsed="false">
      <c r="A691" s="0" t="s">
        <v>554</v>
      </c>
      <c r="B691" s="0" t="s">
        <v>176</v>
      </c>
      <c r="C691" s="16" t="n">
        <f aca="false">(a26_comp-a25_comp*(1+g_pc26))/(tri-(1+g_pc26))</f>
        <v>287.089852216749</v>
      </c>
      <c r="D691" s="16" t="n">
        <f aca="false">C691*tri</f>
        <v>861.269556650246</v>
      </c>
      <c r="E691" s="16" t="n">
        <f aca="false">E687*E689*E690*E692</f>
        <v>1670.04614466713</v>
      </c>
      <c r="F691" s="16" t="n">
        <f aca="false">F687*F689*F690*F692</f>
        <v>2276.74248157798</v>
      </c>
      <c r="G691" s="16" t="n">
        <f aca="false">G687*G689*G690*G692</f>
        <v>2663.30065379686</v>
      </c>
      <c r="K691" s="8" t="s">
        <v>555</v>
      </c>
    </row>
    <row r="692" customFormat="false" ht="17.15" hidden="false" customHeight="false" outlineLevel="0" collapsed="false">
      <c r="A692" s="5" t="s">
        <v>556</v>
      </c>
      <c r="B692" s="0" t="s">
        <v>511</v>
      </c>
      <c r="D692" s="23" t="n">
        <f aca="false">D691/(D687*D689*D690)</f>
        <v>323.785547612874</v>
      </c>
      <c r="E692" s="23" t="n">
        <f aca="false">$D692*E688^el</f>
        <v>366.057569108912</v>
      </c>
      <c r="F692" s="23" t="n">
        <f aca="false">$D692*F688^el</f>
        <v>387.003651466596</v>
      </c>
      <c r="G692" s="23" t="n">
        <f aca="false">$D692*G688^el</f>
        <v>387.434269267239</v>
      </c>
      <c r="K692" s="8" t="s">
        <v>557</v>
      </c>
    </row>
    <row r="693" customFormat="false" ht="17.15" hidden="false" customHeight="false" outlineLevel="0" collapsed="false">
      <c r="A693" s="5" t="s">
        <v>515</v>
      </c>
      <c r="B693" s="0" t="s">
        <v>511</v>
      </c>
      <c r="D693" s="16" t="n">
        <f aca="false">D691/D687</f>
        <v>56.662470832253</v>
      </c>
      <c r="E693" s="16" t="n">
        <f aca="false">E691/E687</f>
        <v>70.4660820534656</v>
      </c>
      <c r="F693" s="16" t="n">
        <f aca="false">F691/F687</f>
        <v>85.9148106255842</v>
      </c>
      <c r="G693" s="16" t="n">
        <f aca="false">G691/G687</f>
        <v>88.3350133929306</v>
      </c>
      <c r="K693" s="5" t="s">
        <v>558</v>
      </c>
    </row>
    <row r="694" customFormat="false" ht="17.15" hidden="false" customHeight="false" outlineLevel="0" collapsed="false">
      <c r="A694" s="1" t="s">
        <v>559</v>
      </c>
    </row>
    <row r="695" customFormat="false" ht="17.15" hidden="false" customHeight="false" outlineLevel="0" collapsed="false">
      <c r="A695" s="5" t="s">
        <v>560</v>
      </c>
      <c r="B695" s="0" t="s">
        <v>176</v>
      </c>
      <c r="C695" s="16" t="n">
        <f aca="false">a25_comp-C691</f>
        <v>1054.51014778325</v>
      </c>
      <c r="D695" s="16" t="n">
        <f aca="false">a26_comp-D691</f>
        <v>1022.87484334975</v>
      </c>
      <c r="E695" s="16" t="n">
        <f aca="false">D695*(1+g_pc)</f>
        <v>1053.56108865025</v>
      </c>
      <c r="F695" s="16" t="n">
        <f aca="false">E695*(1+g_pc)</f>
        <v>1085.16792130975</v>
      </c>
      <c r="G695" s="16" t="n">
        <f aca="false">F695*(1+g_pc)</f>
        <v>1117.72295894905</v>
      </c>
    </row>
    <row r="696" customFormat="false" ht="15" hidden="false" customHeight="false" outlineLevel="0" collapsed="false">
      <c r="A696" s="5" t="s">
        <v>561</v>
      </c>
      <c r="B696" s="0" t="s">
        <v>176</v>
      </c>
      <c r="C696" s="16" t="n">
        <f aca="false">C691+C695</f>
        <v>1341.6</v>
      </c>
      <c r="D696" s="16" t="n">
        <f aca="false">D691+D695</f>
        <v>1884.1444</v>
      </c>
      <c r="E696" s="16" t="n">
        <f aca="false">E691+E695</f>
        <v>2723.60723331738</v>
      </c>
      <c r="F696" s="16" t="n">
        <f aca="false">F691+F695</f>
        <v>3361.91040288774</v>
      </c>
      <c r="G696" s="16" t="n">
        <f aca="false">G691+G695</f>
        <v>3781.0236127459</v>
      </c>
    </row>
    <row r="697" customFormat="false" ht="17.15" hidden="false" customHeight="false" outlineLevel="0" collapsed="false">
      <c r="A697" s="5" t="s">
        <v>562</v>
      </c>
      <c r="B697" s="0" t="s">
        <v>176</v>
      </c>
      <c r="C697" s="16" t="n">
        <f aca="false">a25_cm</f>
        <v>3085.68</v>
      </c>
      <c r="D697" s="16" t="n">
        <f aca="false">a26_cm</f>
        <v>3041.87176</v>
      </c>
      <c r="E697" s="16" t="n">
        <f aca="false">D697*(1+g_cm27_A)</f>
        <v>3133.1279128</v>
      </c>
      <c r="F697" s="16" t="n">
        <f aca="false">E697*(1+g_cmL_A)</f>
        <v>3258.453029312</v>
      </c>
      <c r="G697" s="16" t="n">
        <f aca="false">F697*(1+g_cmL_A)</f>
        <v>3388.79115048448</v>
      </c>
    </row>
    <row r="698" customFormat="false" ht="15" hidden="false" customHeight="false" outlineLevel="0" collapsed="false">
      <c r="A698" s="5" t="s">
        <v>563</v>
      </c>
      <c r="B698" s="0" t="s">
        <v>176</v>
      </c>
      <c r="C698" s="16" t="n">
        <f aca="false">a25_au</f>
        <v>1274.52</v>
      </c>
      <c r="D698" s="16" t="n">
        <f aca="false">a26_au</f>
        <v>1656.99176</v>
      </c>
      <c r="E698" s="16" t="n">
        <f aca="false">D698*(1+g_au)</f>
        <v>1822.690936</v>
      </c>
      <c r="F698" s="16" t="n">
        <f aca="false">E698*(1+g_au)</f>
        <v>2004.9600296</v>
      </c>
      <c r="G698" s="16" t="n">
        <f aca="false">F698*(1+g_au)</f>
        <v>2205.45603256</v>
      </c>
    </row>
    <row r="699" customFormat="false" ht="15" hidden="false" customHeight="false" outlineLevel="0" collapsed="false">
      <c r="A699" s="5" t="s">
        <v>564</v>
      </c>
      <c r="B699" s="0" t="s">
        <v>176</v>
      </c>
      <c r="C699" s="16" t="n">
        <f aca="false">a25_cs</f>
        <v>1006.2</v>
      </c>
      <c r="D699" s="16" t="n">
        <f aca="false">a26_cs</f>
        <v>1097.4551</v>
      </c>
      <c r="E699" s="16" t="n">
        <f aca="false">D699*(1+g_cs)</f>
        <v>1130.378753</v>
      </c>
      <c r="F699" s="16" t="n">
        <f aca="false">E699*(1+g_cs)</f>
        <v>1164.29011559</v>
      </c>
      <c r="G699" s="16" t="n">
        <f aca="false">F699*(1+g_cs)</f>
        <v>1199.2188190577</v>
      </c>
    </row>
    <row r="700" customFormat="false" ht="17.15" hidden="false" customHeight="false" outlineLevel="0" collapsed="false">
      <c r="A700" s="5" t="s">
        <v>565</v>
      </c>
      <c r="B700" s="0" t="s">
        <v>176</v>
      </c>
      <c r="C700" s="16" t="n">
        <f aca="false">0</f>
        <v>0</v>
      </c>
      <c r="D700" s="16" t="n">
        <f aca="false">0</f>
        <v>0</v>
      </c>
      <c r="E700" s="16" t="n">
        <f aca="false">0</f>
        <v>0</v>
      </c>
      <c r="F700" s="16" t="n">
        <f aca="false">az_rev28_A</f>
        <v>150</v>
      </c>
      <c r="G700" s="16" t="n">
        <f aca="false">az_rev29_A</f>
        <v>500</v>
      </c>
      <c r="K700" s="5" t="s">
        <v>566</v>
      </c>
    </row>
    <row r="701" customFormat="false" ht="17.15" hidden="false" customHeight="false" outlineLevel="0" collapsed="false">
      <c r="A701" s="5" t="s">
        <v>444</v>
      </c>
      <c r="B701" s="0" t="s">
        <v>176</v>
      </c>
      <c r="C701" s="16" t="n">
        <f aca="false">C696+C697+C698+C699+C700</f>
        <v>6708</v>
      </c>
      <c r="D701" s="16" t="n">
        <f aca="false">D696+D697+D698+D699+D700</f>
        <v>7680.46302</v>
      </c>
      <c r="E701" s="16" t="n">
        <f aca="false">E696+E697+E698+E699+E700</f>
        <v>8809.80483511738</v>
      </c>
      <c r="F701" s="16" t="n">
        <f aca="false">F696+F697+F698+F699+F700</f>
        <v>9939.61357738974</v>
      </c>
      <c r="G701" s="16" t="n">
        <f aca="false">G696+G697+G698+G699+G700</f>
        <v>11074.4896148481</v>
      </c>
      <c r="H701" s="29" t="n">
        <f aca="false">G701*(1+H702)</f>
        <v>12138.9479855589</v>
      </c>
      <c r="I701" s="29" t="n">
        <f aca="false">H701*(1+I702)</f>
        <v>13086.5024430928</v>
      </c>
      <c r="J701" s="29" t="n">
        <f aca="false">I701*(1+J702)</f>
        <v>13871.6925896784</v>
      </c>
      <c r="K701" s="8" t="s">
        <v>567</v>
      </c>
    </row>
    <row r="702" customFormat="false" ht="15" hidden="false" customHeight="false" outlineLevel="0" collapsed="false">
      <c r="A702" s="5" t="s">
        <v>568</v>
      </c>
      <c r="B702" s="0" t="s">
        <v>77</v>
      </c>
      <c r="D702" s="20" t="n">
        <f aca="false">D701/C701-1</f>
        <v>0.144970635062612</v>
      </c>
      <c r="E702" s="20" t="n">
        <f aca="false">E701/D701-1</f>
        <v>0.147040850555046</v>
      </c>
      <c r="F702" s="20" t="n">
        <f aca="false">F701/E701-1</f>
        <v>0.128244468909089</v>
      </c>
      <c r="G702" s="20" t="n">
        <f aca="false">G701/F701-1</f>
        <v>0.114177078275953</v>
      </c>
      <c r="H702" s="25" t="n">
        <f aca="false">$G702+(fade_gA-$G702)*1/3</f>
        <v>0.0961180521839684</v>
      </c>
      <c r="I702" s="25" t="n">
        <f aca="false">$G702+(fade_gA-$G702)*2/3</f>
        <v>0.0780590260919842</v>
      </c>
      <c r="J702" s="25" t="n">
        <f aca="false">$G702+(fade_gA-$G702)*3/3</f>
        <v>0.06</v>
      </c>
    </row>
    <row r="703" customFormat="false" ht="17.15" hidden="false" customHeight="false" outlineLevel="0" collapsed="false">
      <c r="A703" s="0" t="s">
        <v>569</v>
      </c>
      <c r="B703" s="0" t="s">
        <v>77</v>
      </c>
      <c r="C703" s="20" t="n">
        <f aca="false">C691/C701</f>
        <v>0.042798129430046</v>
      </c>
      <c r="D703" s="20" t="n">
        <f aca="false">D691/D701</f>
        <v>0.112137712844589</v>
      </c>
      <c r="E703" s="20" t="n">
        <f aca="false">E691/E701</f>
        <v>0.189566758392881</v>
      </c>
      <c r="F703" s="20" t="n">
        <f aca="false">F691/F701</f>
        <v>0.229057444120064</v>
      </c>
      <c r="G703" s="20" t="n">
        <f aca="false">G691/G701</f>
        <v>0.240489697170879</v>
      </c>
    </row>
    <row r="704" customFormat="false" ht="17.15" hidden="false" customHeight="false" outlineLevel="0" collapsed="false">
      <c r="A704" s="5" t="s">
        <v>570</v>
      </c>
      <c r="B704" s="0" t="s">
        <v>77</v>
      </c>
      <c r="C704" s="20" t="n">
        <f aca="false">C697/C701</f>
        <v>0.46</v>
      </c>
      <c r="D704" s="20" t="n">
        <f aca="false">D697/D701</f>
        <v>0.396053174408748</v>
      </c>
      <c r="E704" s="20" t="n">
        <f aca="false">E697/E701</f>
        <v>0.355641012648864</v>
      </c>
      <c r="F704" s="20" t="n">
        <f aca="false">F697/F701</f>
        <v>0.32782492034944</v>
      </c>
      <c r="G704" s="20" t="n">
        <f aca="false">G697/G701</f>
        <v>0.305999758755561</v>
      </c>
    </row>
    <row r="705" customFormat="false" ht="17.15" hidden="false" customHeight="false" outlineLevel="0" collapsed="false">
      <c r="A705" s="1" t="s">
        <v>571</v>
      </c>
    </row>
    <row r="706" customFormat="false" ht="15" hidden="false" customHeight="false" outlineLevel="0" collapsed="false">
      <c r="A706" s="5" t="s">
        <v>572</v>
      </c>
      <c r="B706" s="0" t="s">
        <v>176</v>
      </c>
      <c r="C706" s="16" t="n">
        <f aca="false">C701-C700</f>
        <v>6708</v>
      </c>
      <c r="D706" s="16" t="n">
        <f aca="false">D701-D700</f>
        <v>7680.46302</v>
      </c>
      <c r="E706" s="16" t="n">
        <f aca="false">E701-E700</f>
        <v>8809.80483511738</v>
      </c>
      <c r="F706" s="16" t="n">
        <f aca="false">F701-F700</f>
        <v>9789.61357738974</v>
      </c>
      <c r="G706" s="16" t="n">
        <f aca="false">G701-G700</f>
        <v>10574.4896148481</v>
      </c>
    </row>
    <row r="707" customFormat="false" ht="17.15" hidden="false" customHeight="false" outlineLevel="0" collapsed="false">
      <c r="A707" s="5" t="s">
        <v>573</v>
      </c>
      <c r="B707" s="0" t="s">
        <v>176</v>
      </c>
      <c r="D707" s="16" t="n">
        <f aca="false">cap_m26</f>
        <v>1200</v>
      </c>
      <c r="E707" s="16" t="n">
        <f aca="false">capi_hi*E706</f>
        <v>1585.76487032113</v>
      </c>
      <c r="F707" s="16" t="n">
        <f aca="false">capi_hi*F706</f>
        <v>1762.13044393015</v>
      </c>
      <c r="G707" s="16" t="n">
        <f aca="false">capi_hi*G706</f>
        <v>1903.40813067266</v>
      </c>
      <c r="K707" s="8" t="s">
        <v>574</v>
      </c>
    </row>
    <row r="708" customFormat="false" ht="17.15" hidden="false" customHeight="false" outlineLevel="0" collapsed="false">
      <c r="A708" s="5" t="s">
        <v>575</v>
      </c>
      <c r="B708" s="0" t="s">
        <v>176</v>
      </c>
      <c r="C708" s="16" t="n">
        <f aca="false">a25_da</f>
        <v>642</v>
      </c>
      <c r="D708" s="16" t="n">
        <f aca="false">a26_da</f>
        <v>740.6</v>
      </c>
      <c r="E708" s="16" t="n">
        <f aca="false">D708*(1-1/life)+D707/life</f>
        <v>806.228571428572</v>
      </c>
      <c r="F708" s="16" t="n">
        <f aca="false">E708*(1-1/life)+E707/life</f>
        <v>917.590899841794</v>
      </c>
      <c r="G708" s="16" t="n">
        <f aca="false">F708*(1-1/life)+F707/life</f>
        <v>1038.23940614013</v>
      </c>
      <c r="K708" s="5" t="s">
        <v>576</v>
      </c>
    </row>
    <row r="709" customFormat="false" ht="15" hidden="false" customHeight="false" outlineLevel="0" collapsed="false">
      <c r="A709" s="5" t="s">
        <v>577</v>
      </c>
      <c r="B709" s="0" t="s">
        <v>176</v>
      </c>
      <c r="E709" s="16" t="n">
        <f aca="false">0</f>
        <v>0</v>
      </c>
      <c r="F709" s="16" t="n">
        <f aca="false">az_capex1*(1-az_inc)/az_life*az_svc28</f>
        <v>94.7916666666667</v>
      </c>
      <c r="G709" s="16" t="n">
        <f aca="false">az_capex1*(1-az_inc)/az_life</f>
        <v>189.583333333333</v>
      </c>
    </row>
    <row r="710" customFormat="false" ht="15" hidden="false" customHeight="false" outlineLevel="0" collapsed="false">
      <c r="A710" s="5" t="s">
        <v>578</v>
      </c>
      <c r="B710" s="0" t="s">
        <v>176</v>
      </c>
      <c r="C710" s="16" t="n">
        <f aca="false">C708</f>
        <v>642</v>
      </c>
      <c r="D710" s="16" t="n">
        <f aca="false">D708</f>
        <v>740.6</v>
      </c>
      <c r="E710" s="16" t="n">
        <f aca="false">E708+E709</f>
        <v>806.228571428572</v>
      </c>
      <c r="F710" s="16" t="n">
        <f aca="false">F708+F709</f>
        <v>1012.38256650846</v>
      </c>
      <c r="G710" s="16" t="n">
        <f aca="false">G708+G709</f>
        <v>1227.82273947346</v>
      </c>
    </row>
    <row r="711" customFormat="false" ht="17.15" hidden="false" customHeight="false" outlineLevel="0" collapsed="false">
      <c r="A711" s="5" t="s">
        <v>579</v>
      </c>
      <c r="B711" s="0" t="s">
        <v>176</v>
      </c>
      <c r="C711" s="16" t="n">
        <f aca="false">a25_gp</f>
        <v>938.6</v>
      </c>
      <c r="D711" s="16" t="n">
        <f aca="false">a26_gp</f>
        <v>1325.7873147</v>
      </c>
      <c r="E711" s="16" t="n">
        <f aca="false">$D711+ft*(E706-$D706)-(E708-$D708)</f>
        <v>1711.89546931838</v>
      </c>
      <c r="F711" s="16" t="n">
        <f aca="false">$D711+ft*(F706-$D706)-(F708-$D708)</f>
        <v>1992.4566378141</v>
      </c>
      <c r="G711" s="16" t="n">
        <f aca="false">$D711+ft*(G706-$D706)-(G708-$D708)</f>
        <v>2185.7585464991</v>
      </c>
      <c r="K711" s="5" t="s">
        <v>580</v>
      </c>
    </row>
    <row r="712" customFormat="false" ht="17.15" hidden="false" customHeight="false" outlineLevel="0" collapsed="false">
      <c r="A712" s="5" t="s">
        <v>581</v>
      </c>
      <c r="B712" s="0" t="s">
        <v>176</v>
      </c>
      <c r="E712" s="16" t="n">
        <f aca="false">E700*az_cm-az_fix27</f>
        <v>-120</v>
      </c>
      <c r="F712" s="16" t="n">
        <f aca="false">F700*az_cm-az_fix28-F709</f>
        <v>-112.291666666667</v>
      </c>
      <c r="G712" s="16" t="n">
        <f aca="false">G700*az_cm-az_fix29-G709</f>
        <v>-14.5833333333333</v>
      </c>
      <c r="K712" s="8" t="s">
        <v>582</v>
      </c>
    </row>
    <row r="713" customFormat="false" ht="15" hidden="false" customHeight="false" outlineLevel="0" collapsed="false">
      <c r="A713" s="5" t="s">
        <v>458</v>
      </c>
      <c r="B713" s="0" t="s">
        <v>176</v>
      </c>
      <c r="C713" s="16" t="n">
        <f aca="false">a25_gp</f>
        <v>938.6</v>
      </c>
      <c r="D713" s="16" t="n">
        <f aca="false">a26_gp</f>
        <v>1325.7873147</v>
      </c>
      <c r="E713" s="16" t="n">
        <f aca="false">E711+E712</f>
        <v>1591.89546931838</v>
      </c>
      <c r="F713" s="16" t="n">
        <f aca="false">F711+F712</f>
        <v>1880.16497114743</v>
      </c>
      <c r="G713" s="16" t="n">
        <f aca="false">G711+G712</f>
        <v>2171.17521316577</v>
      </c>
    </row>
    <row r="714" customFormat="false" ht="15" hidden="false" customHeight="false" outlineLevel="0" collapsed="false">
      <c r="A714" s="5" t="s">
        <v>461</v>
      </c>
      <c r="B714" s="0" t="s">
        <v>77</v>
      </c>
      <c r="C714" s="17" t="n">
        <f aca="false">C713/C701</f>
        <v>0.139922480620155</v>
      </c>
      <c r="D714" s="17" t="n">
        <f aca="false">D713/D701</f>
        <v>0.172618149615152</v>
      </c>
      <c r="E714" s="17" t="n">
        <f aca="false">E713/E701</f>
        <v>0.180695883633292</v>
      </c>
      <c r="F714" s="17" t="n">
        <f aca="false">F713/F701</f>
        <v>0.189158759192044</v>
      </c>
      <c r="G714" s="17" t="n">
        <f aca="false">G713/G701</f>
        <v>0.19605194358165</v>
      </c>
    </row>
    <row r="715" customFormat="false" ht="17.15" hidden="false" customHeight="false" outlineLevel="0" collapsed="false">
      <c r="A715" s="5" t="s">
        <v>583</v>
      </c>
      <c r="B715" s="0" t="s">
        <v>584</v>
      </c>
      <c r="E715" s="17" t="n">
        <f aca="false">E712/E701</f>
        <v>-0.0136211871029946</v>
      </c>
      <c r="F715" s="17" t="n">
        <f aca="false">F712/F701</f>
        <v>-0.0112973875485566</v>
      </c>
      <c r="G715" s="17" t="n">
        <f aca="false">G712/G701</f>
        <v>-0.00131684021932539</v>
      </c>
      <c r="K715" s="5" t="s">
        <v>585</v>
      </c>
    </row>
    <row r="716" customFormat="false" ht="17.15" hidden="false" customHeight="false" outlineLevel="0" collapsed="false">
      <c r="A716" s="5" t="s">
        <v>463</v>
      </c>
      <c r="B716" s="0" t="s">
        <v>176</v>
      </c>
      <c r="C716" s="16" t="n">
        <f aca="false">a25_opx</f>
        <v>471.2</v>
      </c>
      <c r="D716" s="16" t="n">
        <f aca="false">a26_opx</f>
        <v>537.5</v>
      </c>
      <c r="E716" s="16" t="n">
        <f aca="false">(D716+opx_gain)*(1+phi*E702)</f>
        <v>599.561157517497</v>
      </c>
      <c r="F716" s="16" t="n">
        <f aca="false">E716*(1+phi*F702)</f>
        <v>638.006358629672</v>
      </c>
      <c r="G716" s="16" t="n">
        <f aca="false">F716*(1+phi*G702)</f>
        <v>674.42920960458</v>
      </c>
      <c r="K716" s="8" t="s">
        <v>586</v>
      </c>
    </row>
    <row r="717" customFormat="false" ht="15" hidden="false" customHeight="false" outlineLevel="0" collapsed="false">
      <c r="A717" s="5" t="s">
        <v>466</v>
      </c>
      <c r="B717" s="0" t="s">
        <v>176</v>
      </c>
      <c r="C717" s="16" t="n">
        <f aca="false">C713-C716</f>
        <v>467.4</v>
      </c>
      <c r="D717" s="16" t="n">
        <f aca="false">D713-D716</f>
        <v>788.2873147</v>
      </c>
      <c r="E717" s="16" t="n">
        <f aca="false">E713-E716</f>
        <v>992.334311800884</v>
      </c>
      <c r="F717" s="16" t="n">
        <f aca="false">F713-F716</f>
        <v>1242.15861251776</v>
      </c>
      <c r="G717" s="16" t="n">
        <f aca="false">G713-G716</f>
        <v>1496.74600356119</v>
      </c>
    </row>
    <row r="718" customFormat="false" ht="15" hidden="false" customHeight="false" outlineLevel="0" collapsed="false">
      <c r="A718" s="5" t="s">
        <v>540</v>
      </c>
      <c r="B718" s="0" t="s">
        <v>77</v>
      </c>
      <c r="C718" s="17" t="n">
        <f aca="false">C717/C701</f>
        <v>0.0696779964221825</v>
      </c>
      <c r="D718" s="17" t="n">
        <f aca="false">D717/D701</f>
        <v>0.102635389643475</v>
      </c>
      <c r="E718" s="17" t="n">
        <f aca="false">E717/E701</f>
        <v>0.112639761081343</v>
      </c>
      <c r="F718" s="17" t="n">
        <f aca="false">F717/F701</f>
        <v>0.124970513475833</v>
      </c>
      <c r="G718" s="17" t="n">
        <f aca="false">G717/G701</f>
        <v>0.135152594441412</v>
      </c>
    </row>
    <row r="719" customFormat="false" ht="15" hidden="false" customHeight="false" outlineLevel="0" collapsed="false">
      <c r="A719" s="5" t="s">
        <v>587</v>
      </c>
      <c r="B719" s="0" t="s">
        <v>176</v>
      </c>
      <c r="C719" s="16" t="n">
        <f aca="false">a25_nonop</f>
        <v>-22.7</v>
      </c>
      <c r="D719" s="16" t="n">
        <f aca="false">a26_nonop</f>
        <v>-0.700000000000003</v>
      </c>
      <c r="E719" s="16" t="n">
        <f aca="false">nonop27</f>
        <v>-20</v>
      </c>
      <c r="F719" s="16" t="n">
        <f aca="false">nonop28</f>
        <v>-40</v>
      </c>
      <c r="G719" s="16" t="n">
        <f aca="false">nonop29</f>
        <v>-60</v>
      </c>
    </row>
    <row r="720" customFormat="false" ht="15" hidden="false" customHeight="false" outlineLevel="0" collapsed="false">
      <c r="A720" s="5" t="s">
        <v>471</v>
      </c>
      <c r="B720" s="0" t="s">
        <v>176</v>
      </c>
      <c r="C720" s="16" t="n">
        <f aca="false">C717+C719</f>
        <v>444.7</v>
      </c>
      <c r="D720" s="16" t="n">
        <f aca="false">D717+D719</f>
        <v>787.5873147</v>
      </c>
      <c r="E720" s="16" t="n">
        <f aca="false">E717+E719</f>
        <v>972.334311800884</v>
      </c>
      <c r="F720" s="16" t="n">
        <f aca="false">F717+F719</f>
        <v>1202.15861251776</v>
      </c>
      <c r="G720" s="16" t="n">
        <f aca="false">G717+G719</f>
        <v>1436.74600356119</v>
      </c>
    </row>
    <row r="721" customFormat="false" ht="15" hidden="false" customHeight="false" outlineLevel="0" collapsed="false">
      <c r="A721" s="5" t="s">
        <v>472</v>
      </c>
      <c r="B721" s="0" t="s">
        <v>176</v>
      </c>
      <c r="C721" s="16" t="n">
        <f aca="false">a25_tax</f>
        <v>68.5</v>
      </c>
      <c r="D721" s="16" t="n">
        <f aca="false">a26_tax</f>
        <v>138.23746294</v>
      </c>
      <c r="E721" s="16" t="n">
        <f aca="false">E720*tax</f>
        <v>194.466862360177</v>
      </c>
      <c r="F721" s="16" t="n">
        <f aca="false">F720*tax</f>
        <v>240.431722503552</v>
      </c>
      <c r="G721" s="16" t="n">
        <f aca="false">G720*tax</f>
        <v>287.349200712238</v>
      </c>
    </row>
    <row r="722" customFormat="false" ht="15" hidden="false" customHeight="false" outlineLevel="0" collapsed="false">
      <c r="A722" s="5" t="s">
        <v>474</v>
      </c>
      <c r="B722" s="0" t="s">
        <v>176</v>
      </c>
      <c r="C722" s="16" t="n">
        <f aca="false">a25_nci</f>
        <v>2.30000000000007</v>
      </c>
      <c r="D722" s="16" t="n">
        <f aca="false">a26_nci</f>
        <v>3.7</v>
      </c>
      <c r="E722" s="16" t="n">
        <f aca="false">nci</f>
        <v>3</v>
      </c>
      <c r="F722" s="16" t="n">
        <f aca="false">nci</f>
        <v>3</v>
      </c>
      <c r="G722" s="16" t="n">
        <f aca="false">nci</f>
        <v>3</v>
      </c>
    </row>
    <row r="723" customFormat="false" ht="15" hidden="false" customHeight="false" outlineLevel="0" collapsed="false">
      <c r="A723" s="5" t="s">
        <v>476</v>
      </c>
      <c r="B723" s="0" t="s">
        <v>176</v>
      </c>
      <c r="C723" s="16" t="n">
        <f aca="false">C720-C721-C722</f>
        <v>373.9</v>
      </c>
      <c r="D723" s="16" t="n">
        <f aca="false">D720-D721-D722</f>
        <v>645.64985176</v>
      </c>
      <c r="E723" s="16" t="n">
        <f aca="false">E720-E721-E722</f>
        <v>774.867449440707</v>
      </c>
      <c r="F723" s="16" t="n">
        <f aca="false">F720-F721-F722</f>
        <v>958.726890014209</v>
      </c>
      <c r="G723" s="16" t="n">
        <f aca="false">G720-G721-G722</f>
        <v>1146.39680284895</v>
      </c>
      <c r="H723" s="29" t="n">
        <f aca="false">H701*H727</f>
        <v>1285.55026253792</v>
      </c>
      <c r="I723" s="29" t="n">
        <f aca="false">I701*I727</f>
        <v>1417.12400012034</v>
      </c>
      <c r="J723" s="29" t="n">
        <f aca="false">J701*J727</f>
        <v>1535.24987238976</v>
      </c>
    </row>
    <row r="724" customFormat="false" ht="15" hidden="false" customHeight="false" outlineLevel="0" collapsed="false">
      <c r="A724" s="5" t="s">
        <v>588</v>
      </c>
      <c r="B724" s="5" t="s">
        <v>310</v>
      </c>
      <c r="C724" s="21" t="n">
        <f aca="false">a25_sh</f>
        <v>248.5</v>
      </c>
      <c r="D724" s="21" t="n">
        <f aca="false">a26_sh</f>
        <v>249.915</v>
      </c>
      <c r="E724" s="21" t="n">
        <f aca="false">D724*(1+sh_g)</f>
        <v>249.915</v>
      </c>
      <c r="F724" s="21" t="n">
        <f aca="false">E724*(1+sh_g)</f>
        <v>249.915</v>
      </c>
      <c r="G724" s="21" t="n">
        <f aca="false">F724*(1+sh_g)</f>
        <v>249.915</v>
      </c>
      <c r="H724" s="30" t="n">
        <f aca="false">G724*(1+sh_g)</f>
        <v>249.915</v>
      </c>
      <c r="I724" s="30" t="n">
        <f aca="false">H724*(1+sh_g)</f>
        <v>249.915</v>
      </c>
      <c r="J724" s="30" t="n">
        <f aca="false">I724*(1+sh_g)</f>
        <v>249.915</v>
      </c>
    </row>
    <row r="725" customFormat="false" ht="17.15" hidden="false" customHeight="false" outlineLevel="0" collapsed="false">
      <c r="A725" s="0" t="s">
        <v>480</v>
      </c>
      <c r="B725" s="0" t="s">
        <v>331</v>
      </c>
      <c r="C725" s="18" t="n">
        <f aca="false">C723/C724</f>
        <v>1.5046277665996</v>
      </c>
      <c r="D725" s="18" t="n">
        <f aca="false">D723/D724</f>
        <v>2.58347778948843</v>
      </c>
      <c r="E725" s="18" t="n">
        <f aca="false">E723/E724</f>
        <v>3.10052397591464</v>
      </c>
      <c r="F725" s="18" t="n">
        <f aca="false">F723/F724</f>
        <v>3.83621187209335</v>
      </c>
      <c r="G725" s="18" t="n">
        <f aca="false">G723/G724</f>
        <v>4.58714684132186</v>
      </c>
      <c r="H725" s="27" t="n">
        <f aca="false">H723/H724</f>
        <v>5.14394999314936</v>
      </c>
      <c r="I725" s="27" t="n">
        <f aca="false">I723/I724</f>
        <v>5.67042394462253</v>
      </c>
      <c r="J725" s="27" t="n">
        <f aca="false">J723/J724</f>
        <v>6.14308813952647</v>
      </c>
    </row>
    <row r="726" customFormat="false" ht="17.15" hidden="false" customHeight="false" outlineLevel="0" collapsed="false">
      <c r="A726" s="0" t="s">
        <v>589</v>
      </c>
      <c r="B726" s="0" t="s">
        <v>77</v>
      </c>
      <c r="D726" s="20" t="n">
        <f aca="false">D725/C725-1</f>
        <v>0.717021210719106</v>
      </c>
      <c r="E726" s="20" t="n">
        <f aca="false">E725/D725-1</f>
        <v>0.200135719583097</v>
      </c>
      <c r="F726" s="20" t="n">
        <f aca="false">F725/E725-1</f>
        <v>0.237278570297682</v>
      </c>
      <c r="G726" s="20" t="n">
        <f aca="false">G725/F725-1</f>
        <v>0.195749086407664</v>
      </c>
      <c r="H726" s="25" t="n">
        <f aca="false">H725/G725-1</f>
        <v>0.121383328480292</v>
      </c>
      <c r="I726" s="25" t="n">
        <f aca="false">I725/H725-1</f>
        <v>0.102348186155449</v>
      </c>
      <c r="J726" s="25" t="n">
        <f aca="false">J725/I725-1</f>
        <v>0.0833560593564058</v>
      </c>
    </row>
    <row r="727" customFormat="false" ht="17.15" hidden="false" customHeight="false" outlineLevel="0" collapsed="false">
      <c r="A727" s="5" t="s">
        <v>590</v>
      </c>
      <c r="B727" s="0" t="s">
        <v>77</v>
      </c>
      <c r="C727" s="17" t="n">
        <f aca="false">C723/C701</f>
        <v>0.0557394156231365</v>
      </c>
      <c r="D727" s="17" t="n">
        <f aca="false">D723/D701</f>
        <v>0.0840639229794768</v>
      </c>
      <c r="E727" s="17" t="n">
        <f aca="false">E723/E701</f>
        <v>0.0879551209071004</v>
      </c>
      <c r="F727" s="17" t="n">
        <f aca="false">F723/F701</f>
        <v>0.0964551471291686</v>
      </c>
      <c r="G727" s="17" t="n">
        <f aca="false">G723/G701</f>
        <v>0.103516897186117</v>
      </c>
      <c r="H727" s="26" t="n">
        <f aca="false">$G727+(fade_mA-$G727)*1/3</f>
        <v>0.10590293854684</v>
      </c>
      <c r="I727" s="26" t="n">
        <f aca="false">$G727+(fade_mA-$G727)*2/3</f>
        <v>0.108288979907562</v>
      </c>
      <c r="J727" s="26" t="n">
        <f aca="false">$G727+(fade_mA-$G727)*3/3</f>
        <v>0.110675021268284</v>
      </c>
    </row>
    <row r="730" customFormat="false" ht="17.15" hidden="false" customHeight="false" outlineLevel="0" collapsed="false">
      <c r="A730" s="3" t="s">
        <v>934</v>
      </c>
    </row>
    <row r="731" customFormat="false" ht="17.15" hidden="false" customHeight="false" outlineLevel="0" collapsed="false">
      <c r="A731" s="6" t="s">
        <v>22</v>
      </c>
      <c r="B731" s="6" t="s">
        <v>23</v>
      </c>
      <c r="C731" s="14" t="s">
        <v>437</v>
      </c>
      <c r="D731" s="14" t="s">
        <v>527</v>
      </c>
      <c r="E731" s="14" t="s">
        <v>528</v>
      </c>
      <c r="F731" s="14" t="s">
        <v>529</v>
      </c>
      <c r="G731" s="14" t="s">
        <v>530</v>
      </c>
      <c r="H731" s="14" t="s">
        <v>531</v>
      </c>
      <c r="I731" s="14" t="s">
        <v>532</v>
      </c>
      <c r="J731" s="14" t="s">
        <v>533</v>
      </c>
      <c r="K731" s="6" t="s">
        <v>503</v>
      </c>
    </row>
    <row r="732" customFormat="false" ht="17.15" hidden="false" customHeight="false" outlineLevel="0" collapsed="false">
      <c r="A732" s="1" t="s">
        <v>551</v>
      </c>
    </row>
    <row r="733" customFormat="false" ht="17.15" hidden="false" customHeight="false" outlineLevel="0" collapsed="false">
      <c r="A733" s="0" t="s">
        <v>552</v>
      </c>
      <c r="B733" s="5" t="s">
        <v>33</v>
      </c>
      <c r="D733" s="18" t="n">
        <f aca="false">units_26</f>
        <v>15.2</v>
      </c>
      <c r="E733" s="18" t="n">
        <f aca="false">units_27*1</f>
        <v>23.7</v>
      </c>
      <c r="F733" s="18" t="n">
        <f aca="false">units_28*um28_A*1</f>
        <v>26.5</v>
      </c>
      <c r="G733" s="18" t="n">
        <f aca="false">units_29*um29_A*1</f>
        <v>30.15</v>
      </c>
    </row>
    <row r="734" customFormat="false" ht="17.15" hidden="false" customHeight="false" outlineLevel="0" collapsed="false">
      <c r="A734" s="5" t="s">
        <v>506</v>
      </c>
      <c r="B734" s="0" t="s">
        <v>46</v>
      </c>
      <c r="D734" s="22" t="n">
        <f aca="false">ar_26</f>
        <v>1</v>
      </c>
      <c r="E734" s="22" t="n">
        <f aca="false">ar_27</f>
        <v>1.278156</v>
      </c>
      <c r="F734" s="22" t="n">
        <f aca="false">ar_28</f>
        <v>1.428615</v>
      </c>
      <c r="G734" s="22" t="n">
        <f aca="false">ar_29</f>
        <v>1.431796</v>
      </c>
    </row>
    <row r="735" customFormat="false" ht="17.15" hidden="false" customHeight="false" outlineLevel="0" collapsed="false">
      <c r="A735" s="5" t="s">
        <v>508</v>
      </c>
      <c r="B735" s="0" t="s">
        <v>77</v>
      </c>
      <c r="D735" s="20" t="n">
        <f aca="false">out_26</f>
        <v>0.5</v>
      </c>
      <c r="E735" s="20" t="n">
        <f aca="false">out_27</f>
        <v>0.55</v>
      </c>
      <c r="F735" s="20" t="n">
        <f aca="false">out_28</f>
        <v>0.6</v>
      </c>
      <c r="G735" s="20" t="n">
        <f aca="false">out_29</f>
        <v>0.6</v>
      </c>
      <c r="K735" s="8" t="s">
        <v>553</v>
      </c>
    </row>
    <row r="736" customFormat="false" ht="17.15" hidden="false" customHeight="false" outlineLevel="0" collapsed="false">
      <c r="A736" s="0" t="s">
        <v>509</v>
      </c>
      <c r="B736" s="0" t="s">
        <v>77</v>
      </c>
      <c r="D736" s="20" t="n">
        <f aca="false">sh_26</f>
        <v>0.35</v>
      </c>
      <c r="E736" s="20" t="n">
        <f aca="false">sh_27</f>
        <v>0.35</v>
      </c>
      <c r="F736" s="20" t="n">
        <f aca="false">sh_28</f>
        <v>0.37</v>
      </c>
      <c r="G736" s="20" t="n">
        <f aca="false">sh_29</f>
        <v>0.38</v>
      </c>
    </row>
    <row r="737" customFormat="false" ht="17.15" hidden="false" customHeight="false" outlineLevel="0" collapsed="false">
      <c r="A737" s="0" t="s">
        <v>554</v>
      </c>
      <c r="B737" s="0" t="s">
        <v>176</v>
      </c>
      <c r="C737" s="16" t="n">
        <f aca="false">(a26_comp-a25_comp*(1+g_pc26))/(tri-(1+g_pc26))</f>
        <v>287.089852216749</v>
      </c>
      <c r="D737" s="16" t="n">
        <f aca="false">C737*tri</f>
        <v>861.269556650246</v>
      </c>
      <c r="E737" s="16" t="n">
        <f aca="false">E733*E735*E736*E738</f>
        <v>1670.04614466713</v>
      </c>
      <c r="F737" s="16" t="n">
        <f aca="false">F733*F735*F736*F738</f>
        <v>2276.74248157798</v>
      </c>
      <c r="G737" s="16" t="n">
        <f aca="false">G733*G735*G736*G738</f>
        <v>2663.30065379686</v>
      </c>
      <c r="K737" s="8" t="s">
        <v>555</v>
      </c>
    </row>
    <row r="738" customFormat="false" ht="17.15" hidden="false" customHeight="false" outlineLevel="0" collapsed="false">
      <c r="A738" s="5" t="s">
        <v>556</v>
      </c>
      <c r="B738" s="0" t="s">
        <v>511</v>
      </c>
      <c r="D738" s="23" t="n">
        <f aca="false">D737/(D733*D735*D736)</f>
        <v>323.785547612874</v>
      </c>
      <c r="E738" s="23" t="n">
        <f aca="false">$D738*E734^el</f>
        <v>366.057569108912</v>
      </c>
      <c r="F738" s="23" t="n">
        <f aca="false">$D738*F734^el</f>
        <v>387.003651466596</v>
      </c>
      <c r="G738" s="23" t="n">
        <f aca="false">$D738*G734^el</f>
        <v>387.434269267239</v>
      </c>
      <c r="K738" s="8" t="s">
        <v>557</v>
      </c>
    </row>
    <row r="739" customFormat="false" ht="17.15" hidden="false" customHeight="false" outlineLevel="0" collapsed="false">
      <c r="A739" s="5" t="s">
        <v>515</v>
      </c>
      <c r="B739" s="0" t="s">
        <v>511</v>
      </c>
      <c r="D739" s="16" t="n">
        <f aca="false">D737/D733</f>
        <v>56.662470832253</v>
      </c>
      <c r="E739" s="16" t="n">
        <f aca="false">E737/E733</f>
        <v>70.4660820534656</v>
      </c>
      <c r="F739" s="16" t="n">
        <f aca="false">F737/F733</f>
        <v>85.9148106255842</v>
      </c>
      <c r="G739" s="16" t="n">
        <f aca="false">G737/G733</f>
        <v>88.3350133929306</v>
      </c>
      <c r="K739" s="5" t="s">
        <v>558</v>
      </c>
    </row>
    <row r="740" customFormat="false" ht="17.15" hidden="false" customHeight="false" outlineLevel="0" collapsed="false">
      <c r="A740" s="1" t="s">
        <v>559</v>
      </c>
    </row>
    <row r="741" customFormat="false" ht="17.15" hidden="false" customHeight="false" outlineLevel="0" collapsed="false">
      <c r="A741" s="5" t="s">
        <v>560</v>
      </c>
      <c r="B741" s="0" t="s">
        <v>176</v>
      </c>
      <c r="C741" s="16" t="n">
        <f aca="false">a25_comp-C737</f>
        <v>1054.51014778325</v>
      </c>
      <c r="D741" s="16" t="n">
        <f aca="false">a26_comp-D737</f>
        <v>1022.87484334975</v>
      </c>
      <c r="E741" s="16" t="n">
        <f aca="false">D741*(1+g_pc)</f>
        <v>1053.56108865025</v>
      </c>
      <c r="F741" s="16" t="n">
        <f aca="false">E741*(1+g_pc)</f>
        <v>1085.16792130975</v>
      </c>
      <c r="G741" s="16" t="n">
        <f aca="false">F741*(1+g_pc)</f>
        <v>1117.72295894905</v>
      </c>
    </row>
    <row r="742" customFormat="false" ht="15" hidden="false" customHeight="false" outlineLevel="0" collapsed="false">
      <c r="A742" s="5" t="s">
        <v>561</v>
      </c>
      <c r="B742" s="0" t="s">
        <v>176</v>
      </c>
      <c r="C742" s="16" t="n">
        <f aca="false">C737+C741</f>
        <v>1341.6</v>
      </c>
      <c r="D742" s="16" t="n">
        <f aca="false">D737+D741</f>
        <v>1884.1444</v>
      </c>
      <c r="E742" s="16" t="n">
        <f aca="false">E737+E741</f>
        <v>2723.60723331738</v>
      </c>
      <c r="F742" s="16" t="n">
        <f aca="false">F737+F741</f>
        <v>3361.91040288774</v>
      </c>
      <c r="G742" s="16" t="n">
        <f aca="false">G737+G741</f>
        <v>3781.0236127459</v>
      </c>
    </row>
    <row r="743" customFormat="false" ht="17.15" hidden="false" customHeight="false" outlineLevel="0" collapsed="false">
      <c r="A743" s="5" t="s">
        <v>562</v>
      </c>
      <c r="B743" s="0" t="s">
        <v>176</v>
      </c>
      <c r="C743" s="16" t="n">
        <f aca="false">a25_cm</f>
        <v>3085.68</v>
      </c>
      <c r="D743" s="16" t="n">
        <f aca="false">a26_cm</f>
        <v>3041.87176</v>
      </c>
      <c r="E743" s="16" t="n">
        <f aca="false">D743*(1+g_cm27_A)</f>
        <v>3133.1279128</v>
      </c>
      <c r="F743" s="16" t="n">
        <f aca="false">E743*(1+g_cmL_A)</f>
        <v>3258.453029312</v>
      </c>
      <c r="G743" s="16" t="n">
        <f aca="false">F743*(1+g_cmL_A)</f>
        <v>3388.79115048448</v>
      </c>
    </row>
    <row r="744" customFormat="false" ht="15" hidden="false" customHeight="false" outlineLevel="0" collapsed="false">
      <c r="A744" s="5" t="s">
        <v>563</v>
      </c>
      <c r="B744" s="0" t="s">
        <v>176</v>
      </c>
      <c r="C744" s="16" t="n">
        <f aca="false">a25_au</f>
        <v>1274.52</v>
      </c>
      <c r="D744" s="16" t="n">
        <f aca="false">a26_au</f>
        <v>1656.99176</v>
      </c>
      <c r="E744" s="16" t="n">
        <f aca="false">D744*(1+g_au)</f>
        <v>1822.690936</v>
      </c>
      <c r="F744" s="16" t="n">
        <f aca="false">E744*(1+g_au)</f>
        <v>2004.9600296</v>
      </c>
      <c r="G744" s="16" t="n">
        <f aca="false">F744*(1+g_au)</f>
        <v>2205.45603256</v>
      </c>
    </row>
    <row r="745" customFormat="false" ht="15" hidden="false" customHeight="false" outlineLevel="0" collapsed="false">
      <c r="A745" s="5" t="s">
        <v>564</v>
      </c>
      <c r="B745" s="0" t="s">
        <v>176</v>
      </c>
      <c r="C745" s="16" t="n">
        <f aca="false">a25_cs</f>
        <v>1006.2</v>
      </c>
      <c r="D745" s="16" t="n">
        <f aca="false">a26_cs</f>
        <v>1097.4551</v>
      </c>
      <c r="E745" s="16" t="n">
        <f aca="false">D745*(1+g_cs)</f>
        <v>1130.378753</v>
      </c>
      <c r="F745" s="16" t="n">
        <f aca="false">E745*(1+g_cs)</f>
        <v>1164.29011559</v>
      </c>
      <c r="G745" s="16" t="n">
        <f aca="false">F745*(1+g_cs)</f>
        <v>1199.2188190577</v>
      </c>
    </row>
    <row r="746" customFormat="false" ht="17.15" hidden="false" customHeight="false" outlineLevel="0" collapsed="false">
      <c r="A746" s="5" t="s">
        <v>565</v>
      </c>
      <c r="B746" s="0" t="s">
        <v>176</v>
      </c>
      <c r="C746" s="16" t="n">
        <f aca="false">0</f>
        <v>0</v>
      </c>
      <c r="D746" s="16" t="n">
        <f aca="false">0</f>
        <v>0</v>
      </c>
      <c r="E746" s="16" t="n">
        <f aca="false">0</f>
        <v>0</v>
      </c>
      <c r="F746" s="16" t="n">
        <f aca="false">az_rev28_A</f>
        <v>150</v>
      </c>
      <c r="G746" s="16" t="n">
        <f aca="false">az_rev29_A</f>
        <v>500</v>
      </c>
      <c r="K746" s="5" t="s">
        <v>566</v>
      </c>
    </row>
    <row r="747" customFormat="false" ht="17.15" hidden="false" customHeight="false" outlineLevel="0" collapsed="false">
      <c r="A747" s="5" t="s">
        <v>444</v>
      </c>
      <c r="B747" s="0" t="s">
        <v>176</v>
      </c>
      <c r="C747" s="16" t="n">
        <f aca="false">C742+C743+C744+C745+C746</f>
        <v>6708</v>
      </c>
      <c r="D747" s="16" t="n">
        <f aca="false">D742+D743+D744+D745+D746</f>
        <v>7680.46302</v>
      </c>
      <c r="E747" s="16" t="n">
        <f aca="false">E742+E743+E744+E745+E746</f>
        <v>8809.80483511738</v>
      </c>
      <c r="F747" s="16" t="n">
        <f aca="false">F742+F743+F744+F745+F746</f>
        <v>9939.61357738974</v>
      </c>
      <c r="G747" s="16" t="n">
        <f aca="false">G742+G743+G744+G745+G746</f>
        <v>11074.4896148481</v>
      </c>
      <c r="H747" s="29" t="n">
        <f aca="false">G747*(1+H748)</f>
        <v>12138.9479855589</v>
      </c>
      <c r="I747" s="29" t="n">
        <f aca="false">H747*(1+I748)</f>
        <v>13086.5024430928</v>
      </c>
      <c r="J747" s="29" t="n">
        <f aca="false">I747*(1+J748)</f>
        <v>13871.6925896784</v>
      </c>
      <c r="K747" s="8" t="s">
        <v>567</v>
      </c>
    </row>
    <row r="748" customFormat="false" ht="15" hidden="false" customHeight="false" outlineLevel="0" collapsed="false">
      <c r="A748" s="5" t="s">
        <v>568</v>
      </c>
      <c r="B748" s="0" t="s">
        <v>77</v>
      </c>
      <c r="D748" s="20" t="n">
        <f aca="false">D747/C747-1</f>
        <v>0.144970635062612</v>
      </c>
      <c r="E748" s="20" t="n">
        <f aca="false">E747/D747-1</f>
        <v>0.147040850555046</v>
      </c>
      <c r="F748" s="20" t="n">
        <f aca="false">F747/E747-1</f>
        <v>0.128244468909089</v>
      </c>
      <c r="G748" s="20" t="n">
        <f aca="false">G747/F747-1</f>
        <v>0.114177078275953</v>
      </c>
      <c r="H748" s="25" t="n">
        <f aca="false">$G748+(fade_gA-$G748)*1/3</f>
        <v>0.0961180521839684</v>
      </c>
      <c r="I748" s="25" t="n">
        <f aca="false">$G748+(fade_gA-$G748)*2/3</f>
        <v>0.0780590260919842</v>
      </c>
      <c r="J748" s="25" t="n">
        <f aca="false">$G748+(fade_gA-$G748)*3/3</f>
        <v>0.06</v>
      </c>
    </row>
    <row r="749" customFormat="false" ht="17.15" hidden="false" customHeight="false" outlineLevel="0" collapsed="false">
      <c r="A749" s="0" t="s">
        <v>569</v>
      </c>
      <c r="B749" s="0" t="s">
        <v>77</v>
      </c>
      <c r="C749" s="20" t="n">
        <f aca="false">C737/C747</f>
        <v>0.042798129430046</v>
      </c>
      <c r="D749" s="20" t="n">
        <f aca="false">D737/D747</f>
        <v>0.112137712844589</v>
      </c>
      <c r="E749" s="20" t="n">
        <f aca="false">E737/E747</f>
        <v>0.189566758392881</v>
      </c>
      <c r="F749" s="20" t="n">
        <f aca="false">F737/F747</f>
        <v>0.229057444120064</v>
      </c>
      <c r="G749" s="20" t="n">
        <f aca="false">G737/G747</f>
        <v>0.240489697170879</v>
      </c>
    </row>
    <row r="750" customFormat="false" ht="17.15" hidden="false" customHeight="false" outlineLevel="0" collapsed="false">
      <c r="A750" s="5" t="s">
        <v>570</v>
      </c>
      <c r="B750" s="0" t="s">
        <v>77</v>
      </c>
      <c r="C750" s="20" t="n">
        <f aca="false">C743/C747</f>
        <v>0.46</v>
      </c>
      <c r="D750" s="20" t="n">
        <f aca="false">D743/D747</f>
        <v>0.396053174408748</v>
      </c>
      <c r="E750" s="20" t="n">
        <f aca="false">E743/E747</f>
        <v>0.355641012648864</v>
      </c>
      <c r="F750" s="20" t="n">
        <f aca="false">F743/F747</f>
        <v>0.32782492034944</v>
      </c>
      <c r="G750" s="20" t="n">
        <f aca="false">G743/G747</f>
        <v>0.305999758755561</v>
      </c>
    </row>
    <row r="751" customFormat="false" ht="17.15" hidden="false" customHeight="false" outlineLevel="0" collapsed="false">
      <c r="A751" s="1" t="s">
        <v>571</v>
      </c>
    </row>
    <row r="752" customFormat="false" ht="15" hidden="false" customHeight="false" outlineLevel="0" collapsed="false">
      <c r="A752" s="5" t="s">
        <v>572</v>
      </c>
      <c r="B752" s="0" t="s">
        <v>176</v>
      </c>
      <c r="C752" s="16" t="n">
        <f aca="false">C747-C746</f>
        <v>6708</v>
      </c>
      <c r="D752" s="16" t="n">
        <f aca="false">D747-D746</f>
        <v>7680.46302</v>
      </c>
      <c r="E752" s="16" t="n">
        <f aca="false">E747-E746</f>
        <v>8809.80483511738</v>
      </c>
      <c r="F752" s="16" t="n">
        <f aca="false">F747-F746</f>
        <v>9789.61357738974</v>
      </c>
      <c r="G752" s="16" t="n">
        <f aca="false">G747-G746</f>
        <v>10574.4896148481</v>
      </c>
    </row>
    <row r="753" customFormat="false" ht="17.15" hidden="false" customHeight="false" outlineLevel="0" collapsed="false">
      <c r="A753" s="5" t="s">
        <v>573</v>
      </c>
      <c r="B753" s="0" t="s">
        <v>176</v>
      </c>
      <c r="D753" s="16" t="n">
        <f aca="false">cap_m26</f>
        <v>1200</v>
      </c>
      <c r="E753" s="16" t="n">
        <f aca="false">capi*E752</f>
        <v>1233.37267691643</v>
      </c>
      <c r="F753" s="16" t="n">
        <f aca="false">capi*F752</f>
        <v>1370.54590083456</v>
      </c>
      <c r="G753" s="16" t="n">
        <f aca="false">capi*G752</f>
        <v>1480.42854607873</v>
      </c>
      <c r="K753" s="8" t="s">
        <v>574</v>
      </c>
    </row>
    <row r="754" customFormat="false" ht="17.15" hidden="false" customHeight="false" outlineLevel="0" collapsed="false">
      <c r="A754" s="5" t="s">
        <v>575</v>
      </c>
      <c r="B754" s="0" t="s">
        <v>176</v>
      </c>
      <c r="C754" s="16" t="n">
        <f aca="false">a25_da</f>
        <v>642</v>
      </c>
      <c r="D754" s="16" t="n">
        <f aca="false">a26_da</f>
        <v>740.6</v>
      </c>
      <c r="E754" s="16" t="n">
        <f aca="false">D754*(1-1/life_lo)+D753/life_lo</f>
        <v>832.48</v>
      </c>
      <c r="F754" s="16" t="n">
        <f aca="false">E754*(1-1/life_lo)+E753/life_lo</f>
        <v>912.658535383287</v>
      </c>
      <c r="G754" s="16" t="n">
        <f aca="false">F754*(1-1/life_lo)+F753/life_lo</f>
        <v>1004.23600847354</v>
      </c>
      <c r="K754" s="5" t="s">
        <v>576</v>
      </c>
    </row>
    <row r="755" customFormat="false" ht="15" hidden="false" customHeight="false" outlineLevel="0" collapsed="false">
      <c r="A755" s="5" t="s">
        <v>577</v>
      </c>
      <c r="B755" s="0" t="s">
        <v>176</v>
      </c>
      <c r="E755" s="16" t="n">
        <f aca="false">0</f>
        <v>0</v>
      </c>
      <c r="F755" s="16" t="n">
        <f aca="false">az_capex1*(1-az_inc)/az_life*az_svc28</f>
        <v>94.7916666666667</v>
      </c>
      <c r="G755" s="16" t="n">
        <f aca="false">az_capex1*(1-az_inc)/az_life</f>
        <v>189.583333333333</v>
      </c>
    </row>
    <row r="756" customFormat="false" ht="15" hidden="false" customHeight="false" outlineLevel="0" collapsed="false">
      <c r="A756" s="5" t="s">
        <v>578</v>
      </c>
      <c r="B756" s="0" t="s">
        <v>176</v>
      </c>
      <c r="C756" s="16" t="n">
        <f aca="false">C754</f>
        <v>642</v>
      </c>
      <c r="D756" s="16" t="n">
        <f aca="false">D754</f>
        <v>740.6</v>
      </c>
      <c r="E756" s="16" t="n">
        <f aca="false">E754+E755</f>
        <v>832.48</v>
      </c>
      <c r="F756" s="16" t="n">
        <f aca="false">F754+F755</f>
        <v>1007.45020204995</v>
      </c>
      <c r="G756" s="16" t="n">
        <f aca="false">G754+G755</f>
        <v>1193.81934180688</v>
      </c>
    </row>
    <row r="757" customFormat="false" ht="17.15" hidden="false" customHeight="false" outlineLevel="0" collapsed="false">
      <c r="A757" s="5" t="s">
        <v>579</v>
      </c>
      <c r="B757" s="0" t="s">
        <v>176</v>
      </c>
      <c r="C757" s="16" t="n">
        <f aca="false">a25_gp</f>
        <v>938.6</v>
      </c>
      <c r="D757" s="16" t="n">
        <f aca="false">a26_gp</f>
        <v>1325.7873147</v>
      </c>
      <c r="E757" s="16" t="n">
        <f aca="false">$D757+ft*(E752-$D752)-(E754-$D754)</f>
        <v>1685.64404074695</v>
      </c>
      <c r="F757" s="16" t="n">
        <f aca="false">$D757+ft*(F752-$D752)-(F754-$D754)</f>
        <v>1997.38900227261</v>
      </c>
      <c r="G757" s="16" t="n">
        <f aca="false">$D757+ft*(G752-$D752)-(G754-$D754)</f>
        <v>2219.76194416569</v>
      </c>
      <c r="K757" s="5" t="s">
        <v>580</v>
      </c>
    </row>
    <row r="758" customFormat="false" ht="17.15" hidden="false" customHeight="false" outlineLevel="0" collapsed="false">
      <c r="A758" s="5" t="s">
        <v>581</v>
      </c>
      <c r="B758" s="0" t="s">
        <v>176</v>
      </c>
      <c r="E758" s="16" t="n">
        <f aca="false">E746*az_cm-az_fix27</f>
        <v>-120</v>
      </c>
      <c r="F758" s="16" t="n">
        <f aca="false">F746*az_cm-az_fix28-F755</f>
        <v>-112.291666666667</v>
      </c>
      <c r="G758" s="16" t="n">
        <f aca="false">G746*az_cm-az_fix29-G755</f>
        <v>-14.5833333333333</v>
      </c>
      <c r="K758" s="8" t="s">
        <v>582</v>
      </c>
    </row>
    <row r="759" customFormat="false" ht="15" hidden="false" customHeight="false" outlineLevel="0" collapsed="false">
      <c r="A759" s="5" t="s">
        <v>458</v>
      </c>
      <c r="B759" s="0" t="s">
        <v>176</v>
      </c>
      <c r="C759" s="16" t="n">
        <f aca="false">a25_gp</f>
        <v>938.6</v>
      </c>
      <c r="D759" s="16" t="n">
        <f aca="false">a26_gp</f>
        <v>1325.7873147</v>
      </c>
      <c r="E759" s="16" t="n">
        <f aca="false">E757+E758</f>
        <v>1565.64404074695</v>
      </c>
      <c r="F759" s="16" t="n">
        <f aca="false">F757+F758</f>
        <v>1885.09733560594</v>
      </c>
      <c r="G759" s="16" t="n">
        <f aca="false">G757+G758</f>
        <v>2205.17861083236</v>
      </c>
    </row>
    <row r="760" customFormat="false" ht="15" hidden="false" customHeight="false" outlineLevel="0" collapsed="false">
      <c r="A760" s="5" t="s">
        <v>461</v>
      </c>
      <c r="B760" s="0" t="s">
        <v>77</v>
      </c>
      <c r="C760" s="17" t="n">
        <f aca="false">C759/C747</f>
        <v>0.139922480620155</v>
      </c>
      <c r="D760" s="17" t="n">
        <f aca="false">D759/D747</f>
        <v>0.172618149615152</v>
      </c>
      <c r="E760" s="17" t="n">
        <f aca="false">E759/E747</f>
        <v>0.177716086797522</v>
      </c>
      <c r="F760" s="17" t="n">
        <f aca="false">F759/F747</f>
        <v>0.189654992211578</v>
      </c>
      <c r="G760" s="17" t="n">
        <f aca="false">G759/G747</f>
        <v>0.199122369294182</v>
      </c>
    </row>
    <row r="761" customFormat="false" ht="17.15" hidden="false" customHeight="false" outlineLevel="0" collapsed="false">
      <c r="A761" s="5" t="s">
        <v>583</v>
      </c>
      <c r="B761" s="0" t="s">
        <v>584</v>
      </c>
      <c r="E761" s="17" t="n">
        <f aca="false">E758/E747</f>
        <v>-0.0136211871029946</v>
      </c>
      <c r="F761" s="17" t="n">
        <f aca="false">F758/F747</f>
        <v>-0.0112973875485566</v>
      </c>
      <c r="G761" s="17" t="n">
        <f aca="false">G758/G747</f>
        <v>-0.00131684021932539</v>
      </c>
      <c r="K761" s="5" t="s">
        <v>585</v>
      </c>
    </row>
    <row r="762" customFormat="false" ht="17.15" hidden="false" customHeight="false" outlineLevel="0" collapsed="false">
      <c r="A762" s="5" t="s">
        <v>463</v>
      </c>
      <c r="B762" s="0" t="s">
        <v>176</v>
      </c>
      <c r="C762" s="16" t="n">
        <f aca="false">a25_opx</f>
        <v>471.2</v>
      </c>
      <c r="D762" s="16" t="n">
        <f aca="false">a26_opx</f>
        <v>537.5</v>
      </c>
      <c r="E762" s="16" t="n">
        <f aca="false">(D762+opx_gain)*(1+phi*E748)</f>
        <v>599.561157517497</v>
      </c>
      <c r="F762" s="16" t="n">
        <f aca="false">E762*(1+phi*F748)</f>
        <v>638.006358629672</v>
      </c>
      <c r="G762" s="16" t="n">
        <f aca="false">F762*(1+phi*G748)</f>
        <v>674.42920960458</v>
      </c>
      <c r="K762" s="8" t="s">
        <v>586</v>
      </c>
    </row>
    <row r="763" customFormat="false" ht="15" hidden="false" customHeight="false" outlineLevel="0" collapsed="false">
      <c r="A763" s="5" t="s">
        <v>466</v>
      </c>
      <c r="B763" s="0" t="s">
        <v>176</v>
      </c>
      <c r="C763" s="16" t="n">
        <f aca="false">C759-C762</f>
        <v>467.4</v>
      </c>
      <c r="D763" s="16" t="n">
        <f aca="false">D759-D762</f>
        <v>788.2873147</v>
      </c>
      <c r="E763" s="16" t="n">
        <f aca="false">E759-E762</f>
        <v>966.082883229456</v>
      </c>
      <c r="F763" s="16" t="n">
        <f aca="false">F759-F762</f>
        <v>1247.09097697627</v>
      </c>
      <c r="G763" s="16" t="n">
        <f aca="false">G759-G762</f>
        <v>1530.74940122778</v>
      </c>
    </row>
    <row r="764" customFormat="false" ht="15" hidden="false" customHeight="false" outlineLevel="0" collapsed="false">
      <c r="A764" s="5" t="s">
        <v>540</v>
      </c>
      <c r="B764" s="0" t="s">
        <v>77</v>
      </c>
      <c r="C764" s="17" t="n">
        <f aca="false">C763/C747</f>
        <v>0.0696779964221825</v>
      </c>
      <c r="D764" s="17" t="n">
        <f aca="false">D763/D747</f>
        <v>0.102635389643475</v>
      </c>
      <c r="E764" s="17" t="n">
        <f aca="false">E763/E747</f>
        <v>0.109659964245574</v>
      </c>
      <c r="F764" s="17" t="n">
        <f aca="false">F763/F747</f>
        <v>0.125466746495367</v>
      </c>
      <c r="G764" s="17" t="n">
        <f aca="false">G763/G747</f>
        <v>0.138223020153943</v>
      </c>
    </row>
    <row r="765" customFormat="false" ht="15" hidden="false" customHeight="false" outlineLevel="0" collapsed="false">
      <c r="A765" s="5" t="s">
        <v>587</v>
      </c>
      <c r="B765" s="0" t="s">
        <v>176</v>
      </c>
      <c r="C765" s="16" t="n">
        <f aca="false">a25_nonop</f>
        <v>-22.7</v>
      </c>
      <c r="D765" s="16" t="n">
        <f aca="false">a26_nonop</f>
        <v>-0.700000000000003</v>
      </c>
      <c r="E765" s="16" t="n">
        <f aca="false">nonop27</f>
        <v>-20</v>
      </c>
      <c r="F765" s="16" t="n">
        <f aca="false">nonop28</f>
        <v>-40</v>
      </c>
      <c r="G765" s="16" t="n">
        <f aca="false">nonop29</f>
        <v>-60</v>
      </c>
    </row>
    <row r="766" customFormat="false" ht="15" hidden="false" customHeight="false" outlineLevel="0" collapsed="false">
      <c r="A766" s="5" t="s">
        <v>471</v>
      </c>
      <c r="B766" s="0" t="s">
        <v>176</v>
      </c>
      <c r="C766" s="16" t="n">
        <f aca="false">C763+C765</f>
        <v>444.7</v>
      </c>
      <c r="D766" s="16" t="n">
        <f aca="false">D763+D765</f>
        <v>787.5873147</v>
      </c>
      <c r="E766" s="16" t="n">
        <f aca="false">E763+E765</f>
        <v>946.082883229456</v>
      </c>
      <c r="F766" s="16" t="n">
        <f aca="false">F763+F765</f>
        <v>1207.09097697627</v>
      </c>
      <c r="G766" s="16" t="n">
        <f aca="false">G763+G765</f>
        <v>1470.74940122778</v>
      </c>
    </row>
    <row r="767" customFormat="false" ht="15" hidden="false" customHeight="false" outlineLevel="0" collapsed="false">
      <c r="A767" s="5" t="s">
        <v>472</v>
      </c>
      <c r="B767" s="0" t="s">
        <v>176</v>
      </c>
      <c r="C767" s="16" t="n">
        <f aca="false">a25_tax</f>
        <v>68.5</v>
      </c>
      <c r="D767" s="16" t="n">
        <f aca="false">a26_tax</f>
        <v>138.23746294</v>
      </c>
      <c r="E767" s="16" t="n">
        <f aca="false">E766*tax</f>
        <v>189.216576645891</v>
      </c>
      <c r="F767" s="16" t="n">
        <f aca="false">F766*tax</f>
        <v>241.418195395254</v>
      </c>
      <c r="G767" s="16" t="n">
        <f aca="false">G766*tax</f>
        <v>294.149880245556</v>
      </c>
    </row>
    <row r="768" customFormat="false" ht="15" hidden="false" customHeight="false" outlineLevel="0" collapsed="false">
      <c r="A768" s="5" t="s">
        <v>474</v>
      </c>
      <c r="B768" s="0" t="s">
        <v>176</v>
      </c>
      <c r="C768" s="16" t="n">
        <f aca="false">a25_nci</f>
        <v>2.30000000000007</v>
      </c>
      <c r="D768" s="16" t="n">
        <f aca="false">a26_nci</f>
        <v>3.7</v>
      </c>
      <c r="E768" s="16" t="n">
        <f aca="false">nci</f>
        <v>3</v>
      </c>
      <c r="F768" s="16" t="n">
        <f aca="false">nci</f>
        <v>3</v>
      </c>
      <c r="G768" s="16" t="n">
        <f aca="false">nci</f>
        <v>3</v>
      </c>
    </row>
    <row r="769" customFormat="false" ht="15" hidden="false" customHeight="false" outlineLevel="0" collapsed="false">
      <c r="A769" s="5" t="s">
        <v>476</v>
      </c>
      <c r="B769" s="0" t="s">
        <v>176</v>
      </c>
      <c r="C769" s="16" t="n">
        <f aca="false">C766-C767-C768</f>
        <v>373.9</v>
      </c>
      <c r="D769" s="16" t="n">
        <f aca="false">D766-D767-D768</f>
        <v>645.64985176</v>
      </c>
      <c r="E769" s="16" t="n">
        <f aca="false">E766-E767-E768</f>
        <v>753.866306583564</v>
      </c>
      <c r="F769" s="16" t="n">
        <f aca="false">F766-F767-F768</f>
        <v>962.672781581015</v>
      </c>
      <c r="G769" s="16" t="n">
        <f aca="false">G766-G767-G768</f>
        <v>1173.59952098222</v>
      </c>
      <c r="H769" s="29" t="n">
        <f aca="false">H747*H773</f>
        <v>1305.42852281416</v>
      </c>
      <c r="I769" s="29" t="n">
        <f aca="false">I747*I773</f>
        <v>1427.83896907724</v>
      </c>
      <c r="J769" s="29" t="n">
        <f aca="false">J747*J773</f>
        <v>1535.24987238976</v>
      </c>
    </row>
    <row r="770" customFormat="false" ht="15" hidden="false" customHeight="false" outlineLevel="0" collapsed="false">
      <c r="A770" s="5" t="s">
        <v>588</v>
      </c>
      <c r="B770" s="5" t="s">
        <v>310</v>
      </c>
      <c r="C770" s="21" t="n">
        <f aca="false">a25_sh</f>
        <v>248.5</v>
      </c>
      <c r="D770" s="21" t="n">
        <f aca="false">a26_sh</f>
        <v>249.915</v>
      </c>
      <c r="E770" s="21" t="n">
        <f aca="false">D770*(1+sh_g)</f>
        <v>249.915</v>
      </c>
      <c r="F770" s="21" t="n">
        <f aca="false">E770*(1+sh_g)</f>
        <v>249.915</v>
      </c>
      <c r="G770" s="21" t="n">
        <f aca="false">F770*(1+sh_g)</f>
        <v>249.915</v>
      </c>
      <c r="H770" s="30" t="n">
        <f aca="false">G770*(1+sh_g)</f>
        <v>249.915</v>
      </c>
      <c r="I770" s="30" t="n">
        <f aca="false">H770*(1+sh_g)</f>
        <v>249.915</v>
      </c>
      <c r="J770" s="30" t="n">
        <f aca="false">I770*(1+sh_g)</f>
        <v>249.915</v>
      </c>
    </row>
    <row r="771" customFormat="false" ht="17.15" hidden="false" customHeight="false" outlineLevel="0" collapsed="false">
      <c r="A771" s="0" t="s">
        <v>480</v>
      </c>
      <c r="B771" s="0" t="s">
        <v>331</v>
      </c>
      <c r="C771" s="18" t="n">
        <f aca="false">C769/C770</f>
        <v>1.5046277665996</v>
      </c>
      <c r="D771" s="18" t="n">
        <f aca="false">D769/D770</f>
        <v>2.58347778948843</v>
      </c>
      <c r="E771" s="18" t="n">
        <f aca="false">E769/E770</f>
        <v>3.01649083321755</v>
      </c>
      <c r="F771" s="18" t="n">
        <f aca="false">F769/F770</f>
        <v>3.8520008065983</v>
      </c>
      <c r="G771" s="18" t="n">
        <f aca="false">G769/G770</f>
        <v>4.69599472213442</v>
      </c>
      <c r="H771" s="27" t="n">
        <f aca="false">H769/H770</f>
        <v>5.2234900778831</v>
      </c>
      <c r="I771" s="27" t="n">
        <f aca="false">I769/I770</f>
        <v>5.7132983977642</v>
      </c>
      <c r="J771" s="27" t="n">
        <f aca="false">J769/J770</f>
        <v>6.14308813952647</v>
      </c>
    </row>
    <row r="772" customFormat="false" ht="17.15" hidden="false" customHeight="false" outlineLevel="0" collapsed="false">
      <c r="A772" s="0" t="s">
        <v>589</v>
      </c>
      <c r="B772" s="0" t="s">
        <v>77</v>
      </c>
      <c r="D772" s="20" t="n">
        <f aca="false">D771/C771-1</f>
        <v>0.717021210719106</v>
      </c>
      <c r="E772" s="20" t="n">
        <f aca="false">E771/D771-1</f>
        <v>0.167608579988942</v>
      </c>
      <c r="F772" s="20" t="n">
        <f aca="false">F771/E771-1</f>
        <v>0.276980776530175</v>
      </c>
      <c r="G772" s="20" t="n">
        <f aca="false">G771/F771-1</f>
        <v>0.219105331984975</v>
      </c>
      <c r="H772" s="25" t="n">
        <f aca="false">H771/G771-1</f>
        <v>0.112328779515521</v>
      </c>
      <c r="I772" s="25" t="n">
        <f aca="false">I771/H771-1</f>
        <v>0.0937703168911921</v>
      </c>
      <c r="J772" s="25" t="n">
        <f aca="false">J771/I771-1</f>
        <v>0.0752262024210855</v>
      </c>
    </row>
    <row r="773" customFormat="false" ht="17.15" hidden="false" customHeight="false" outlineLevel="0" collapsed="false">
      <c r="A773" s="5" t="s">
        <v>590</v>
      </c>
      <c r="B773" s="0" t="s">
        <v>77</v>
      </c>
      <c r="C773" s="17" t="n">
        <f aca="false">C769/C747</f>
        <v>0.0557394156231365</v>
      </c>
      <c r="D773" s="17" t="n">
        <f aca="false">D769/D747</f>
        <v>0.0840639229794768</v>
      </c>
      <c r="E773" s="17" t="n">
        <f aca="false">E769/E747</f>
        <v>0.0855712834384849</v>
      </c>
      <c r="F773" s="17" t="n">
        <f aca="false">F769/F747</f>
        <v>0.0968521335447957</v>
      </c>
      <c r="G773" s="17" t="n">
        <f aca="false">G769/G747</f>
        <v>0.105973237756142</v>
      </c>
      <c r="H773" s="26" t="n">
        <f aca="false">$G773+(fade_mA-$G773)*1/3</f>
        <v>0.107540498926856</v>
      </c>
      <c r="I773" s="26" t="n">
        <f aca="false">$G773+(fade_mA-$G773)*2/3</f>
        <v>0.10910776009757</v>
      </c>
      <c r="J773" s="26" t="n">
        <f aca="false">$G773+(fade_mA-$G773)*3/3</f>
        <v>0.110675021268284</v>
      </c>
    </row>
    <row r="776" customFormat="false" ht="17.15" hidden="false" customHeight="false" outlineLevel="0" collapsed="false">
      <c r="A776" s="3" t="s">
        <v>935</v>
      </c>
    </row>
    <row r="777" customFormat="false" ht="17.15" hidden="false" customHeight="false" outlineLevel="0" collapsed="false">
      <c r="A777" s="6" t="s">
        <v>22</v>
      </c>
      <c r="B777" s="6" t="s">
        <v>23</v>
      </c>
      <c r="C777" s="14" t="s">
        <v>437</v>
      </c>
      <c r="D777" s="14" t="s">
        <v>527</v>
      </c>
      <c r="E777" s="14" t="s">
        <v>528</v>
      </c>
      <c r="F777" s="14" t="s">
        <v>529</v>
      </c>
      <c r="G777" s="14" t="s">
        <v>530</v>
      </c>
      <c r="H777" s="14" t="s">
        <v>531</v>
      </c>
      <c r="I777" s="14" t="s">
        <v>532</v>
      </c>
      <c r="J777" s="14" t="s">
        <v>533</v>
      </c>
      <c r="K777" s="6" t="s">
        <v>503</v>
      </c>
    </row>
    <row r="778" customFormat="false" ht="17.15" hidden="false" customHeight="false" outlineLevel="0" collapsed="false">
      <c r="A778" s="1" t="s">
        <v>551</v>
      </c>
    </row>
    <row r="779" customFormat="false" ht="17.15" hidden="false" customHeight="false" outlineLevel="0" collapsed="false">
      <c r="A779" s="0" t="s">
        <v>552</v>
      </c>
      <c r="B779" s="5" t="s">
        <v>33</v>
      </c>
      <c r="D779" s="18" t="n">
        <f aca="false">units_26</f>
        <v>15.2</v>
      </c>
      <c r="E779" s="18" t="n">
        <f aca="false">units_27*1</f>
        <v>23.7</v>
      </c>
      <c r="F779" s="18" t="n">
        <f aca="false">units_28*um28_A*1</f>
        <v>26.5</v>
      </c>
      <c r="G779" s="18" t="n">
        <f aca="false">units_29*um29_A*1</f>
        <v>30.15</v>
      </c>
    </row>
    <row r="780" customFormat="false" ht="17.15" hidden="false" customHeight="false" outlineLevel="0" collapsed="false">
      <c r="A780" s="5" t="s">
        <v>506</v>
      </c>
      <c r="B780" s="0" t="s">
        <v>46</v>
      </c>
      <c r="D780" s="22" t="n">
        <f aca="false">ar_26</f>
        <v>1</v>
      </c>
      <c r="E780" s="22" t="n">
        <f aca="false">ar_27</f>
        <v>1.278156</v>
      </c>
      <c r="F780" s="22" t="n">
        <f aca="false">ar_28</f>
        <v>1.428615</v>
      </c>
      <c r="G780" s="22" t="n">
        <f aca="false">ar_29</f>
        <v>1.431796</v>
      </c>
    </row>
    <row r="781" customFormat="false" ht="17.15" hidden="false" customHeight="false" outlineLevel="0" collapsed="false">
      <c r="A781" s="5" t="s">
        <v>508</v>
      </c>
      <c r="B781" s="0" t="s">
        <v>77</v>
      </c>
      <c r="D781" s="20" t="n">
        <f aca="false">out_26</f>
        <v>0.5</v>
      </c>
      <c r="E781" s="20" t="n">
        <f aca="false">out_27</f>
        <v>0.55</v>
      </c>
      <c r="F781" s="20" t="n">
        <f aca="false">out_28</f>
        <v>0.6</v>
      </c>
      <c r="G781" s="20" t="n">
        <f aca="false">out_29</f>
        <v>0.6</v>
      </c>
      <c r="K781" s="8" t="s">
        <v>553</v>
      </c>
    </row>
    <row r="782" customFormat="false" ht="17.15" hidden="false" customHeight="false" outlineLevel="0" collapsed="false">
      <c r="A782" s="0" t="s">
        <v>509</v>
      </c>
      <c r="B782" s="0" t="s">
        <v>77</v>
      </c>
      <c r="D782" s="20" t="n">
        <f aca="false">sh_26</f>
        <v>0.35</v>
      </c>
      <c r="E782" s="20" t="n">
        <f aca="false">sh_27</f>
        <v>0.35</v>
      </c>
      <c r="F782" s="20" t="n">
        <f aca="false">sh_28</f>
        <v>0.37</v>
      </c>
      <c r="G782" s="20" t="n">
        <f aca="false">sh_29</f>
        <v>0.38</v>
      </c>
    </row>
    <row r="783" customFormat="false" ht="17.15" hidden="false" customHeight="false" outlineLevel="0" collapsed="false">
      <c r="A783" s="0" t="s">
        <v>554</v>
      </c>
      <c r="B783" s="0" t="s">
        <v>176</v>
      </c>
      <c r="C783" s="16" t="n">
        <f aca="false">(a26_comp-a25_comp*(1+g_pc26))/(tri-(1+g_pc26))</f>
        <v>287.089852216749</v>
      </c>
      <c r="D783" s="16" t="n">
        <f aca="false">C783*tri</f>
        <v>861.269556650246</v>
      </c>
      <c r="E783" s="16" t="n">
        <f aca="false">E779*E781*E782*E784</f>
        <v>1670.04614466713</v>
      </c>
      <c r="F783" s="16" t="n">
        <f aca="false">F779*F781*F782*F784</f>
        <v>2276.74248157798</v>
      </c>
      <c r="G783" s="16" t="n">
        <f aca="false">G779*G781*G782*G784</f>
        <v>2663.30065379686</v>
      </c>
      <c r="K783" s="8" t="s">
        <v>555</v>
      </c>
    </row>
    <row r="784" customFormat="false" ht="17.15" hidden="false" customHeight="false" outlineLevel="0" collapsed="false">
      <c r="A784" s="5" t="s">
        <v>556</v>
      </c>
      <c r="B784" s="0" t="s">
        <v>511</v>
      </c>
      <c r="D784" s="23" t="n">
        <f aca="false">D783/(D779*D781*D782)</f>
        <v>323.785547612874</v>
      </c>
      <c r="E784" s="23" t="n">
        <f aca="false">$D784*E780^el</f>
        <v>366.057569108912</v>
      </c>
      <c r="F784" s="23" t="n">
        <f aca="false">$D784*F780^el</f>
        <v>387.003651466596</v>
      </c>
      <c r="G784" s="23" t="n">
        <f aca="false">$D784*G780^el</f>
        <v>387.434269267239</v>
      </c>
      <c r="K784" s="8" t="s">
        <v>557</v>
      </c>
    </row>
    <row r="785" customFormat="false" ht="17.15" hidden="false" customHeight="false" outlineLevel="0" collapsed="false">
      <c r="A785" s="5" t="s">
        <v>515</v>
      </c>
      <c r="B785" s="0" t="s">
        <v>511</v>
      </c>
      <c r="D785" s="16" t="n">
        <f aca="false">D783/D779</f>
        <v>56.662470832253</v>
      </c>
      <c r="E785" s="16" t="n">
        <f aca="false">E783/E779</f>
        <v>70.4660820534656</v>
      </c>
      <c r="F785" s="16" t="n">
        <f aca="false">F783/F779</f>
        <v>85.9148106255842</v>
      </c>
      <c r="G785" s="16" t="n">
        <f aca="false">G783/G779</f>
        <v>88.3350133929306</v>
      </c>
      <c r="K785" s="5" t="s">
        <v>558</v>
      </c>
    </row>
    <row r="786" customFormat="false" ht="17.15" hidden="false" customHeight="false" outlineLevel="0" collapsed="false">
      <c r="A786" s="1" t="s">
        <v>559</v>
      </c>
    </row>
    <row r="787" customFormat="false" ht="17.15" hidden="false" customHeight="false" outlineLevel="0" collapsed="false">
      <c r="A787" s="5" t="s">
        <v>560</v>
      </c>
      <c r="B787" s="0" t="s">
        <v>176</v>
      </c>
      <c r="C787" s="16" t="n">
        <f aca="false">a25_comp-C783</f>
        <v>1054.51014778325</v>
      </c>
      <c r="D787" s="16" t="n">
        <f aca="false">a26_comp-D783</f>
        <v>1022.87484334975</v>
      </c>
      <c r="E787" s="16" t="n">
        <f aca="false">D787*(1+g_pc)</f>
        <v>1053.56108865025</v>
      </c>
      <c r="F787" s="16" t="n">
        <f aca="false">E787*(1+g_pc)</f>
        <v>1085.16792130975</v>
      </c>
      <c r="G787" s="16" t="n">
        <f aca="false">F787*(1+g_pc)</f>
        <v>1117.72295894905</v>
      </c>
    </row>
    <row r="788" customFormat="false" ht="15" hidden="false" customHeight="false" outlineLevel="0" collapsed="false">
      <c r="A788" s="5" t="s">
        <v>561</v>
      </c>
      <c r="B788" s="0" t="s">
        <v>176</v>
      </c>
      <c r="C788" s="16" t="n">
        <f aca="false">C783+C787</f>
        <v>1341.6</v>
      </c>
      <c r="D788" s="16" t="n">
        <f aca="false">D783+D787</f>
        <v>1884.1444</v>
      </c>
      <c r="E788" s="16" t="n">
        <f aca="false">E783+E787</f>
        <v>2723.60723331738</v>
      </c>
      <c r="F788" s="16" t="n">
        <f aca="false">F783+F787</f>
        <v>3361.91040288774</v>
      </c>
      <c r="G788" s="16" t="n">
        <f aca="false">G783+G787</f>
        <v>3781.0236127459</v>
      </c>
    </row>
    <row r="789" customFormat="false" ht="17.15" hidden="false" customHeight="false" outlineLevel="0" collapsed="false">
      <c r="A789" s="5" t="s">
        <v>562</v>
      </c>
      <c r="B789" s="0" t="s">
        <v>176</v>
      </c>
      <c r="C789" s="16" t="n">
        <f aca="false">a25_cm</f>
        <v>3085.68</v>
      </c>
      <c r="D789" s="16" t="n">
        <f aca="false">a26_cm</f>
        <v>3041.87176</v>
      </c>
      <c r="E789" s="16" t="n">
        <f aca="false">D789*(1+g_cm27_A)</f>
        <v>3133.1279128</v>
      </c>
      <c r="F789" s="16" t="n">
        <f aca="false">E789*(1+g_cmL_A)</f>
        <v>3258.453029312</v>
      </c>
      <c r="G789" s="16" t="n">
        <f aca="false">F789*(1+g_cmL_A)</f>
        <v>3388.79115048448</v>
      </c>
    </row>
    <row r="790" customFormat="false" ht="15" hidden="false" customHeight="false" outlineLevel="0" collapsed="false">
      <c r="A790" s="5" t="s">
        <v>563</v>
      </c>
      <c r="B790" s="0" t="s">
        <v>176</v>
      </c>
      <c r="C790" s="16" t="n">
        <f aca="false">a25_au</f>
        <v>1274.52</v>
      </c>
      <c r="D790" s="16" t="n">
        <f aca="false">a26_au</f>
        <v>1656.99176</v>
      </c>
      <c r="E790" s="16" t="n">
        <f aca="false">D790*(1+g_au)</f>
        <v>1822.690936</v>
      </c>
      <c r="F790" s="16" t="n">
        <f aca="false">E790*(1+g_au)</f>
        <v>2004.9600296</v>
      </c>
      <c r="G790" s="16" t="n">
        <f aca="false">F790*(1+g_au)</f>
        <v>2205.45603256</v>
      </c>
    </row>
    <row r="791" customFormat="false" ht="15" hidden="false" customHeight="false" outlineLevel="0" collapsed="false">
      <c r="A791" s="5" t="s">
        <v>564</v>
      </c>
      <c r="B791" s="0" t="s">
        <v>176</v>
      </c>
      <c r="C791" s="16" t="n">
        <f aca="false">a25_cs</f>
        <v>1006.2</v>
      </c>
      <c r="D791" s="16" t="n">
        <f aca="false">a26_cs</f>
        <v>1097.4551</v>
      </c>
      <c r="E791" s="16" t="n">
        <f aca="false">D791*(1+g_cs)</f>
        <v>1130.378753</v>
      </c>
      <c r="F791" s="16" t="n">
        <f aca="false">E791*(1+g_cs)</f>
        <v>1164.29011559</v>
      </c>
      <c r="G791" s="16" t="n">
        <f aca="false">F791*(1+g_cs)</f>
        <v>1199.2188190577</v>
      </c>
    </row>
    <row r="792" customFormat="false" ht="17.15" hidden="false" customHeight="false" outlineLevel="0" collapsed="false">
      <c r="A792" s="5" t="s">
        <v>565</v>
      </c>
      <c r="B792" s="0" t="s">
        <v>176</v>
      </c>
      <c r="C792" s="16" t="n">
        <f aca="false">0</f>
        <v>0</v>
      </c>
      <c r="D792" s="16" t="n">
        <f aca="false">0</f>
        <v>0</v>
      </c>
      <c r="E792" s="16" t="n">
        <f aca="false">0</f>
        <v>0</v>
      </c>
      <c r="F792" s="16" t="n">
        <f aca="false">az_rev28_A</f>
        <v>150</v>
      </c>
      <c r="G792" s="16" t="n">
        <f aca="false">az_rev29_A</f>
        <v>500</v>
      </c>
      <c r="K792" s="5" t="s">
        <v>566</v>
      </c>
    </row>
    <row r="793" customFormat="false" ht="17.15" hidden="false" customHeight="false" outlineLevel="0" collapsed="false">
      <c r="A793" s="5" t="s">
        <v>444</v>
      </c>
      <c r="B793" s="0" t="s">
        <v>176</v>
      </c>
      <c r="C793" s="16" t="n">
        <f aca="false">C788+C789+C790+C791+C792</f>
        <v>6708</v>
      </c>
      <c r="D793" s="16" t="n">
        <f aca="false">D788+D789+D790+D791+D792</f>
        <v>7680.46302</v>
      </c>
      <c r="E793" s="16" t="n">
        <f aca="false">E788+E789+E790+E791+E792</f>
        <v>8809.80483511738</v>
      </c>
      <c r="F793" s="16" t="n">
        <f aca="false">F788+F789+F790+F791+F792</f>
        <v>9939.61357738974</v>
      </c>
      <c r="G793" s="16" t="n">
        <f aca="false">G788+G789+G790+G791+G792</f>
        <v>11074.4896148481</v>
      </c>
      <c r="H793" s="29" t="n">
        <f aca="false">G793*(1+H794)</f>
        <v>12138.9479855589</v>
      </c>
      <c r="I793" s="29" t="n">
        <f aca="false">H793*(1+I794)</f>
        <v>13086.5024430928</v>
      </c>
      <c r="J793" s="29" t="n">
        <f aca="false">I793*(1+J794)</f>
        <v>13871.6925896784</v>
      </c>
      <c r="K793" s="8" t="s">
        <v>567</v>
      </c>
    </row>
    <row r="794" customFormat="false" ht="15" hidden="false" customHeight="false" outlineLevel="0" collapsed="false">
      <c r="A794" s="5" t="s">
        <v>568</v>
      </c>
      <c r="B794" s="0" t="s">
        <v>77</v>
      </c>
      <c r="D794" s="20" t="n">
        <f aca="false">D793/C793-1</f>
        <v>0.144970635062612</v>
      </c>
      <c r="E794" s="20" t="n">
        <f aca="false">E793/D793-1</f>
        <v>0.147040850555046</v>
      </c>
      <c r="F794" s="20" t="n">
        <f aca="false">F793/E793-1</f>
        <v>0.128244468909089</v>
      </c>
      <c r="G794" s="20" t="n">
        <f aca="false">G793/F793-1</f>
        <v>0.114177078275953</v>
      </c>
      <c r="H794" s="25" t="n">
        <f aca="false">$G794+(fade_gA-$G794)*1/3</f>
        <v>0.0961180521839684</v>
      </c>
      <c r="I794" s="25" t="n">
        <f aca="false">$G794+(fade_gA-$G794)*2/3</f>
        <v>0.0780590260919842</v>
      </c>
      <c r="J794" s="25" t="n">
        <f aca="false">$G794+(fade_gA-$G794)*3/3</f>
        <v>0.06</v>
      </c>
    </row>
    <row r="795" customFormat="false" ht="17.15" hidden="false" customHeight="false" outlineLevel="0" collapsed="false">
      <c r="A795" s="0" t="s">
        <v>569</v>
      </c>
      <c r="B795" s="0" t="s">
        <v>77</v>
      </c>
      <c r="C795" s="20" t="n">
        <f aca="false">C783/C793</f>
        <v>0.042798129430046</v>
      </c>
      <c r="D795" s="20" t="n">
        <f aca="false">D783/D793</f>
        <v>0.112137712844589</v>
      </c>
      <c r="E795" s="20" t="n">
        <f aca="false">E783/E793</f>
        <v>0.189566758392881</v>
      </c>
      <c r="F795" s="20" t="n">
        <f aca="false">F783/F793</f>
        <v>0.229057444120064</v>
      </c>
      <c r="G795" s="20" t="n">
        <f aca="false">G783/G793</f>
        <v>0.240489697170879</v>
      </c>
    </row>
    <row r="796" customFormat="false" ht="17.15" hidden="false" customHeight="false" outlineLevel="0" collapsed="false">
      <c r="A796" s="5" t="s">
        <v>570</v>
      </c>
      <c r="B796" s="0" t="s">
        <v>77</v>
      </c>
      <c r="C796" s="20" t="n">
        <f aca="false">C789/C793</f>
        <v>0.46</v>
      </c>
      <c r="D796" s="20" t="n">
        <f aca="false">D789/D793</f>
        <v>0.396053174408748</v>
      </c>
      <c r="E796" s="20" t="n">
        <f aca="false">E789/E793</f>
        <v>0.355641012648864</v>
      </c>
      <c r="F796" s="20" t="n">
        <f aca="false">F789/F793</f>
        <v>0.32782492034944</v>
      </c>
      <c r="G796" s="20" t="n">
        <f aca="false">G789/G793</f>
        <v>0.305999758755561</v>
      </c>
    </row>
    <row r="797" customFormat="false" ht="17.15" hidden="false" customHeight="false" outlineLevel="0" collapsed="false">
      <c r="A797" s="1" t="s">
        <v>571</v>
      </c>
    </row>
    <row r="798" customFormat="false" ht="15" hidden="false" customHeight="false" outlineLevel="0" collapsed="false">
      <c r="A798" s="5" t="s">
        <v>572</v>
      </c>
      <c r="B798" s="0" t="s">
        <v>176</v>
      </c>
      <c r="C798" s="16" t="n">
        <f aca="false">C793-C792</f>
        <v>6708</v>
      </c>
      <c r="D798" s="16" t="n">
        <f aca="false">D793-D792</f>
        <v>7680.46302</v>
      </c>
      <c r="E798" s="16" t="n">
        <f aca="false">E793-E792</f>
        <v>8809.80483511738</v>
      </c>
      <c r="F798" s="16" t="n">
        <f aca="false">F793-F792</f>
        <v>9789.61357738974</v>
      </c>
      <c r="G798" s="16" t="n">
        <f aca="false">G793-G792</f>
        <v>10574.4896148481</v>
      </c>
    </row>
    <row r="799" customFormat="false" ht="17.15" hidden="false" customHeight="false" outlineLevel="0" collapsed="false">
      <c r="A799" s="5" t="s">
        <v>573</v>
      </c>
      <c r="B799" s="0" t="s">
        <v>176</v>
      </c>
      <c r="D799" s="16" t="n">
        <f aca="false">cap_m26</f>
        <v>1200</v>
      </c>
      <c r="E799" s="16" t="n">
        <f aca="false">capi*E798</f>
        <v>1233.37267691643</v>
      </c>
      <c r="F799" s="16" t="n">
        <f aca="false">capi*F798</f>
        <v>1370.54590083456</v>
      </c>
      <c r="G799" s="16" t="n">
        <f aca="false">capi*G798</f>
        <v>1480.42854607873</v>
      </c>
      <c r="K799" s="8" t="s">
        <v>574</v>
      </c>
    </row>
    <row r="800" customFormat="false" ht="17.15" hidden="false" customHeight="false" outlineLevel="0" collapsed="false">
      <c r="A800" s="5" t="s">
        <v>575</v>
      </c>
      <c r="B800" s="0" t="s">
        <v>176</v>
      </c>
      <c r="C800" s="16" t="n">
        <f aca="false">a25_da</f>
        <v>642</v>
      </c>
      <c r="D800" s="16" t="n">
        <f aca="false">a26_da</f>
        <v>740.6</v>
      </c>
      <c r="E800" s="16" t="n">
        <f aca="false">D800*(1-1/life)+D799/life</f>
        <v>806.228571428572</v>
      </c>
      <c r="F800" s="16" t="n">
        <f aca="false">E800*(1-1/life)+E799/life</f>
        <v>867.249157926838</v>
      </c>
      <c r="G800" s="16" t="n">
        <f aca="false">F800*(1-1/life)+F799/life</f>
        <v>939.148692627941</v>
      </c>
      <c r="K800" s="5" t="s">
        <v>576</v>
      </c>
    </row>
    <row r="801" customFormat="false" ht="15" hidden="false" customHeight="false" outlineLevel="0" collapsed="false">
      <c r="A801" s="5" t="s">
        <v>577</v>
      </c>
      <c r="B801" s="0" t="s">
        <v>176</v>
      </c>
      <c r="E801" s="16" t="n">
        <f aca="false">0</f>
        <v>0</v>
      </c>
      <c r="F801" s="16" t="n">
        <f aca="false">az_capex1*(1-az_inc)/az_life*az_svc28</f>
        <v>94.7916666666667</v>
      </c>
      <c r="G801" s="16" t="n">
        <f aca="false">az_capex1*(1-az_inc)/az_life</f>
        <v>189.583333333333</v>
      </c>
    </row>
    <row r="802" customFormat="false" ht="15" hidden="false" customHeight="false" outlineLevel="0" collapsed="false">
      <c r="A802" s="5" t="s">
        <v>578</v>
      </c>
      <c r="B802" s="0" t="s">
        <v>176</v>
      </c>
      <c r="C802" s="16" t="n">
        <f aca="false">C800</f>
        <v>642</v>
      </c>
      <c r="D802" s="16" t="n">
        <f aca="false">D800</f>
        <v>740.6</v>
      </c>
      <c r="E802" s="16" t="n">
        <f aca="false">E800+E801</f>
        <v>806.228571428572</v>
      </c>
      <c r="F802" s="16" t="n">
        <f aca="false">F800+F801</f>
        <v>962.040824593504</v>
      </c>
      <c r="G802" s="16" t="n">
        <f aca="false">G800+G801</f>
        <v>1128.73202596127</v>
      </c>
    </row>
    <row r="803" customFormat="false" ht="17.15" hidden="false" customHeight="false" outlineLevel="0" collapsed="false">
      <c r="A803" s="5" t="s">
        <v>579</v>
      </c>
      <c r="B803" s="0" t="s">
        <v>176</v>
      </c>
      <c r="C803" s="16" t="n">
        <f aca="false">a25_gp</f>
        <v>938.6</v>
      </c>
      <c r="D803" s="16" t="n">
        <f aca="false">a26_gp</f>
        <v>1325.7873147</v>
      </c>
      <c r="E803" s="16" t="n">
        <f aca="false">$D803+ft*(E798-$D798)-(E800-$D800)</f>
        <v>1711.89546931838</v>
      </c>
      <c r="F803" s="16" t="n">
        <f aca="false">$D803+ft*(F798-$D798)-(F800-$D800)</f>
        <v>2042.79837972906</v>
      </c>
      <c r="G803" s="16" t="n">
        <f aca="false">$D803+ft*(G798-$D798)-(G800-$D800)</f>
        <v>2284.84926001129</v>
      </c>
      <c r="K803" s="5" t="s">
        <v>580</v>
      </c>
    </row>
    <row r="804" customFormat="false" ht="17.15" hidden="false" customHeight="false" outlineLevel="0" collapsed="false">
      <c r="A804" s="5" t="s">
        <v>581</v>
      </c>
      <c r="B804" s="0" t="s">
        <v>176</v>
      </c>
      <c r="E804" s="16" t="n">
        <f aca="false">E792*az_cm-az_fix27_hi</f>
        <v>-170</v>
      </c>
      <c r="F804" s="16" t="n">
        <f aca="false">F792*az_cm-az_fix28_hi-F801</f>
        <v>-162.291666666667</v>
      </c>
      <c r="G804" s="16" t="n">
        <f aca="false">G792*az_cm-az_fix29_hi-G801</f>
        <v>-64.5833333333333</v>
      </c>
      <c r="K804" s="8" t="s">
        <v>582</v>
      </c>
    </row>
    <row r="805" customFormat="false" ht="15" hidden="false" customHeight="false" outlineLevel="0" collapsed="false">
      <c r="A805" s="5" t="s">
        <v>458</v>
      </c>
      <c r="B805" s="0" t="s">
        <v>176</v>
      </c>
      <c r="C805" s="16" t="n">
        <f aca="false">a25_gp</f>
        <v>938.6</v>
      </c>
      <c r="D805" s="16" t="n">
        <f aca="false">a26_gp</f>
        <v>1325.7873147</v>
      </c>
      <c r="E805" s="16" t="n">
        <f aca="false">E803+E804</f>
        <v>1541.89546931838</v>
      </c>
      <c r="F805" s="16" t="n">
        <f aca="false">F803+F804</f>
        <v>1880.50671306239</v>
      </c>
      <c r="G805" s="16" t="n">
        <f aca="false">G803+G804</f>
        <v>2220.26592667796</v>
      </c>
    </row>
    <row r="806" customFormat="false" ht="15" hidden="false" customHeight="false" outlineLevel="0" collapsed="false">
      <c r="A806" s="5" t="s">
        <v>461</v>
      </c>
      <c r="B806" s="0" t="s">
        <v>77</v>
      </c>
      <c r="C806" s="17" t="n">
        <f aca="false">C805/C793</f>
        <v>0.139922480620155</v>
      </c>
      <c r="D806" s="17" t="n">
        <f aca="false">D805/D793</f>
        <v>0.172618149615152</v>
      </c>
      <c r="E806" s="17" t="n">
        <f aca="false">E805/E793</f>
        <v>0.175020389007044</v>
      </c>
      <c r="F806" s="17" t="n">
        <f aca="false">F805/F793</f>
        <v>0.189193141002996</v>
      </c>
      <c r="G806" s="17" t="n">
        <f aca="false">G805/G793</f>
        <v>0.200484717932386</v>
      </c>
    </row>
    <row r="807" customFormat="false" ht="17.15" hidden="false" customHeight="false" outlineLevel="0" collapsed="false">
      <c r="A807" s="5" t="s">
        <v>583</v>
      </c>
      <c r="B807" s="0" t="s">
        <v>584</v>
      </c>
      <c r="E807" s="17" t="n">
        <f aca="false">E804/E793</f>
        <v>-0.0192966817292423</v>
      </c>
      <c r="F807" s="17" t="n">
        <f aca="false">F804/F793</f>
        <v>-0.0163277641935539</v>
      </c>
      <c r="G807" s="17" t="n">
        <f aca="false">G804/G793</f>
        <v>-0.00583172097129817</v>
      </c>
      <c r="K807" s="5" t="s">
        <v>585</v>
      </c>
    </row>
    <row r="808" customFormat="false" ht="17.15" hidden="false" customHeight="false" outlineLevel="0" collapsed="false">
      <c r="A808" s="5" t="s">
        <v>463</v>
      </c>
      <c r="B808" s="0" t="s">
        <v>176</v>
      </c>
      <c r="C808" s="16" t="n">
        <f aca="false">a25_opx</f>
        <v>471.2</v>
      </c>
      <c r="D808" s="16" t="n">
        <f aca="false">a26_opx</f>
        <v>537.5</v>
      </c>
      <c r="E808" s="16" t="n">
        <f aca="false">(D808+opx_gain)*(1+phi*E794)</f>
        <v>599.561157517497</v>
      </c>
      <c r="F808" s="16" t="n">
        <f aca="false">E808*(1+phi*F794)</f>
        <v>638.006358629672</v>
      </c>
      <c r="G808" s="16" t="n">
        <f aca="false">F808*(1+phi*G794)</f>
        <v>674.42920960458</v>
      </c>
      <c r="K808" s="8" t="s">
        <v>586</v>
      </c>
    </row>
    <row r="809" customFormat="false" ht="15" hidden="false" customHeight="false" outlineLevel="0" collapsed="false">
      <c r="A809" s="5" t="s">
        <v>466</v>
      </c>
      <c r="B809" s="0" t="s">
        <v>176</v>
      </c>
      <c r="C809" s="16" t="n">
        <f aca="false">C805-C808</f>
        <v>467.4</v>
      </c>
      <c r="D809" s="16" t="n">
        <f aca="false">D805-D808</f>
        <v>788.2873147</v>
      </c>
      <c r="E809" s="16" t="n">
        <f aca="false">E805-E808</f>
        <v>942.334311800884</v>
      </c>
      <c r="F809" s="16" t="n">
        <f aca="false">F805-F808</f>
        <v>1242.50035443272</v>
      </c>
      <c r="G809" s="16" t="n">
        <f aca="false">G805-G808</f>
        <v>1545.83671707338</v>
      </c>
    </row>
    <row r="810" customFormat="false" ht="15" hidden="false" customHeight="false" outlineLevel="0" collapsed="false">
      <c r="A810" s="5" t="s">
        <v>540</v>
      </c>
      <c r="B810" s="0" t="s">
        <v>77</v>
      </c>
      <c r="C810" s="17" t="n">
        <f aca="false">C809/C793</f>
        <v>0.0696779964221825</v>
      </c>
      <c r="D810" s="17" t="n">
        <f aca="false">D809/D793</f>
        <v>0.102635389643475</v>
      </c>
      <c r="E810" s="17" t="n">
        <f aca="false">E809/E793</f>
        <v>0.106964266455095</v>
      </c>
      <c r="F810" s="17" t="n">
        <f aca="false">F809/F793</f>
        <v>0.125004895286786</v>
      </c>
      <c r="G810" s="17" t="n">
        <f aca="false">G809/G793</f>
        <v>0.139585368792148</v>
      </c>
    </row>
    <row r="811" customFormat="false" ht="15" hidden="false" customHeight="false" outlineLevel="0" collapsed="false">
      <c r="A811" s="5" t="s">
        <v>587</v>
      </c>
      <c r="B811" s="0" t="s">
        <v>176</v>
      </c>
      <c r="C811" s="16" t="n">
        <f aca="false">a25_nonop</f>
        <v>-22.7</v>
      </c>
      <c r="D811" s="16" t="n">
        <f aca="false">a26_nonop</f>
        <v>-0.700000000000003</v>
      </c>
      <c r="E811" s="16" t="n">
        <f aca="false">nonop27</f>
        <v>-20</v>
      </c>
      <c r="F811" s="16" t="n">
        <f aca="false">nonop28</f>
        <v>-40</v>
      </c>
      <c r="G811" s="16" t="n">
        <f aca="false">nonop29</f>
        <v>-60</v>
      </c>
    </row>
    <row r="812" customFormat="false" ht="15" hidden="false" customHeight="false" outlineLevel="0" collapsed="false">
      <c r="A812" s="5" t="s">
        <v>471</v>
      </c>
      <c r="B812" s="0" t="s">
        <v>176</v>
      </c>
      <c r="C812" s="16" t="n">
        <f aca="false">C809+C811</f>
        <v>444.7</v>
      </c>
      <c r="D812" s="16" t="n">
        <f aca="false">D809+D811</f>
        <v>787.5873147</v>
      </c>
      <c r="E812" s="16" t="n">
        <f aca="false">E809+E811</f>
        <v>922.334311800884</v>
      </c>
      <c r="F812" s="16" t="n">
        <f aca="false">F809+F811</f>
        <v>1202.50035443272</v>
      </c>
      <c r="G812" s="16" t="n">
        <f aca="false">G809+G811</f>
        <v>1485.83671707338</v>
      </c>
    </row>
    <row r="813" customFormat="false" ht="15" hidden="false" customHeight="false" outlineLevel="0" collapsed="false">
      <c r="A813" s="5" t="s">
        <v>472</v>
      </c>
      <c r="B813" s="0" t="s">
        <v>176</v>
      </c>
      <c r="C813" s="16" t="n">
        <f aca="false">a25_tax</f>
        <v>68.5</v>
      </c>
      <c r="D813" s="16" t="n">
        <f aca="false">a26_tax</f>
        <v>138.23746294</v>
      </c>
      <c r="E813" s="16" t="n">
        <f aca="false">E812*tax</f>
        <v>184.466862360177</v>
      </c>
      <c r="F813" s="16" t="n">
        <f aca="false">F812*tax</f>
        <v>240.500070886544</v>
      </c>
      <c r="G813" s="16" t="n">
        <f aca="false">G812*tax</f>
        <v>297.167343414676</v>
      </c>
    </row>
    <row r="814" customFormat="false" ht="15" hidden="false" customHeight="false" outlineLevel="0" collapsed="false">
      <c r="A814" s="5" t="s">
        <v>474</v>
      </c>
      <c r="B814" s="0" t="s">
        <v>176</v>
      </c>
      <c r="C814" s="16" t="n">
        <f aca="false">a25_nci</f>
        <v>2.30000000000007</v>
      </c>
      <c r="D814" s="16" t="n">
        <f aca="false">a26_nci</f>
        <v>3.7</v>
      </c>
      <c r="E814" s="16" t="n">
        <f aca="false">nci</f>
        <v>3</v>
      </c>
      <c r="F814" s="16" t="n">
        <f aca="false">nci</f>
        <v>3</v>
      </c>
      <c r="G814" s="16" t="n">
        <f aca="false">nci</f>
        <v>3</v>
      </c>
    </row>
    <row r="815" customFormat="false" ht="15" hidden="false" customHeight="false" outlineLevel="0" collapsed="false">
      <c r="A815" s="5" t="s">
        <v>476</v>
      </c>
      <c r="B815" s="0" t="s">
        <v>176</v>
      </c>
      <c r="C815" s="16" t="n">
        <f aca="false">C812-C813-C814</f>
        <v>373.9</v>
      </c>
      <c r="D815" s="16" t="n">
        <f aca="false">D812-D813-D814</f>
        <v>645.64985176</v>
      </c>
      <c r="E815" s="16" t="n">
        <f aca="false">E812-E813-E814</f>
        <v>734.867449440707</v>
      </c>
      <c r="F815" s="16" t="n">
        <f aca="false">F812-F813-F814</f>
        <v>959.000283546174</v>
      </c>
      <c r="G815" s="16" t="n">
        <f aca="false">G812-G813-G814</f>
        <v>1185.6693736587</v>
      </c>
      <c r="H815" s="29" t="n">
        <f aca="false">H793*H819</f>
        <v>1314.24851175142</v>
      </c>
      <c r="I815" s="29" t="n">
        <f aca="false">I793*I819</f>
        <v>1432.59320341916</v>
      </c>
      <c r="J815" s="29" t="n">
        <f aca="false">J793*J819</f>
        <v>1535.24987238976</v>
      </c>
    </row>
    <row r="816" customFormat="false" ht="15" hidden="false" customHeight="false" outlineLevel="0" collapsed="false">
      <c r="A816" s="5" t="s">
        <v>588</v>
      </c>
      <c r="B816" s="5" t="s">
        <v>310</v>
      </c>
      <c r="C816" s="21" t="n">
        <f aca="false">a25_sh</f>
        <v>248.5</v>
      </c>
      <c r="D816" s="21" t="n">
        <f aca="false">a26_sh</f>
        <v>249.915</v>
      </c>
      <c r="E816" s="21" t="n">
        <f aca="false">D816*(1+sh_g)</f>
        <v>249.915</v>
      </c>
      <c r="F816" s="21" t="n">
        <f aca="false">E816*(1+sh_g)</f>
        <v>249.915</v>
      </c>
      <c r="G816" s="21" t="n">
        <f aca="false">F816*(1+sh_g)</f>
        <v>249.915</v>
      </c>
      <c r="H816" s="30" t="n">
        <f aca="false">G816*(1+sh_g)</f>
        <v>249.915</v>
      </c>
      <c r="I816" s="30" t="n">
        <f aca="false">H816*(1+sh_g)</f>
        <v>249.915</v>
      </c>
      <c r="J816" s="30" t="n">
        <f aca="false">I816*(1+sh_g)</f>
        <v>249.915</v>
      </c>
    </row>
    <row r="817" customFormat="false" ht="17.15" hidden="false" customHeight="false" outlineLevel="0" collapsed="false">
      <c r="A817" s="0" t="s">
        <v>480</v>
      </c>
      <c r="B817" s="0" t="s">
        <v>331</v>
      </c>
      <c r="C817" s="18" t="n">
        <f aca="false">C815/C816</f>
        <v>1.5046277665996</v>
      </c>
      <c r="D817" s="18" t="n">
        <f aca="false">D815/D816</f>
        <v>2.58347778948843</v>
      </c>
      <c r="E817" s="18" t="n">
        <f aca="false">E815/E816</f>
        <v>2.94046955741235</v>
      </c>
      <c r="F817" s="18" t="n">
        <f aca="false">F815/F816</f>
        <v>3.83730581816287</v>
      </c>
      <c r="G817" s="18" t="n">
        <f aca="false">G815/G816</f>
        <v>4.74429055342298</v>
      </c>
      <c r="H817" s="27" t="n">
        <f aca="false">H815/H816</f>
        <v>5.25878203289685</v>
      </c>
      <c r="I817" s="27" t="n">
        <f aca="false">I815/I816</f>
        <v>5.7323218030897</v>
      </c>
      <c r="J817" s="27" t="n">
        <f aca="false">J815/J816</f>
        <v>6.14308813952647</v>
      </c>
    </row>
    <row r="818" customFormat="false" ht="17.15" hidden="false" customHeight="false" outlineLevel="0" collapsed="false">
      <c r="A818" s="0" t="s">
        <v>589</v>
      </c>
      <c r="B818" s="0" t="s">
        <v>77</v>
      </c>
      <c r="D818" s="20" t="n">
        <f aca="false">D817/C817-1</f>
        <v>0.717021210719106</v>
      </c>
      <c r="E818" s="20" t="n">
        <f aca="false">E817/D817-1</f>
        <v>0.138182634809728</v>
      </c>
      <c r="F818" s="20" t="n">
        <f aca="false">F817/E817-1</f>
        <v>0.304997634983085</v>
      </c>
      <c r="G818" s="20" t="n">
        <f aca="false">G817/F817-1</f>
        <v>0.23635977382025</v>
      </c>
      <c r="H818" s="25" t="n">
        <f aca="false">H817/G817-1</f>
        <v>0.108444344561206</v>
      </c>
      <c r="I818" s="25" t="n">
        <f aca="false">I817/H817-1</f>
        <v>0.0900474230022414</v>
      </c>
      <c r="J818" s="25" t="n">
        <f aca="false">J817/I817-1</f>
        <v>0.0716579338262848</v>
      </c>
    </row>
    <row r="819" customFormat="false" ht="17.15" hidden="false" customHeight="false" outlineLevel="0" collapsed="false">
      <c r="A819" s="5" t="s">
        <v>590</v>
      </c>
      <c r="B819" s="0" t="s">
        <v>77</v>
      </c>
      <c r="C819" s="17" t="n">
        <f aca="false">C815/C793</f>
        <v>0.0557394156231365</v>
      </c>
      <c r="D819" s="17" t="n">
        <f aca="false">D815/D793</f>
        <v>0.0840639229794768</v>
      </c>
      <c r="E819" s="17" t="n">
        <f aca="false">E815/E793</f>
        <v>0.0834147252061022</v>
      </c>
      <c r="F819" s="17" t="n">
        <f aca="false">F815/F793</f>
        <v>0.0964826525779305</v>
      </c>
      <c r="G819" s="17" t="n">
        <f aca="false">G815/G793</f>
        <v>0.107063116666706</v>
      </c>
      <c r="H819" s="26" t="n">
        <f aca="false">$G819+(fade_mA-$G819)*1/3</f>
        <v>0.108267084867232</v>
      </c>
      <c r="I819" s="26" t="n">
        <f aca="false">$G819+(fade_mA-$G819)*2/3</f>
        <v>0.109471053067758</v>
      </c>
      <c r="J819" s="26" t="n">
        <f aca="false">$G819+(fade_mA-$G819)*3/3</f>
        <v>0.110675021268284</v>
      </c>
    </row>
    <row r="822" customFormat="false" ht="17.15" hidden="false" customHeight="false" outlineLevel="0" collapsed="false">
      <c r="A822" s="3" t="s">
        <v>936</v>
      </c>
    </row>
    <row r="823" customFormat="false" ht="17.15" hidden="false" customHeight="false" outlineLevel="0" collapsed="false">
      <c r="A823" s="6" t="s">
        <v>22</v>
      </c>
      <c r="B823" s="6" t="s">
        <v>23</v>
      </c>
      <c r="C823" s="14" t="s">
        <v>437</v>
      </c>
      <c r="D823" s="14" t="s">
        <v>527</v>
      </c>
      <c r="E823" s="14" t="s">
        <v>528</v>
      </c>
      <c r="F823" s="14" t="s">
        <v>529</v>
      </c>
      <c r="G823" s="14" t="s">
        <v>530</v>
      </c>
      <c r="H823" s="14" t="s">
        <v>531</v>
      </c>
      <c r="I823" s="14" t="s">
        <v>532</v>
      </c>
      <c r="J823" s="14" t="s">
        <v>533</v>
      </c>
      <c r="K823" s="6" t="s">
        <v>503</v>
      </c>
    </row>
    <row r="824" customFormat="false" ht="17.15" hidden="false" customHeight="false" outlineLevel="0" collapsed="false">
      <c r="A824" s="1" t="s">
        <v>551</v>
      </c>
    </row>
    <row r="825" customFormat="false" ht="17.15" hidden="false" customHeight="false" outlineLevel="0" collapsed="false">
      <c r="A825" s="0" t="s">
        <v>552</v>
      </c>
      <c r="B825" s="5" t="s">
        <v>33</v>
      </c>
      <c r="D825" s="18" t="n">
        <f aca="false">units_26</f>
        <v>15.2</v>
      </c>
      <c r="E825" s="18" t="n">
        <f aca="false">units_27*1</f>
        <v>23.7</v>
      </c>
      <c r="F825" s="18" t="n">
        <f aca="false">units_28*um28_A*1</f>
        <v>26.5</v>
      </c>
      <c r="G825" s="18" t="n">
        <f aca="false">units_29*um29_A*1</f>
        <v>30.15</v>
      </c>
    </row>
    <row r="826" customFormat="false" ht="17.15" hidden="false" customHeight="false" outlineLevel="0" collapsed="false">
      <c r="A826" s="5" t="s">
        <v>506</v>
      </c>
      <c r="B826" s="0" t="s">
        <v>46</v>
      </c>
      <c r="D826" s="22" t="n">
        <f aca="false">ar_26</f>
        <v>1</v>
      </c>
      <c r="E826" s="22" t="n">
        <f aca="false">ar_27</f>
        <v>1.278156</v>
      </c>
      <c r="F826" s="22" t="n">
        <f aca="false">ar_28</f>
        <v>1.428615</v>
      </c>
      <c r="G826" s="22" t="n">
        <f aca="false">ar_29</f>
        <v>1.431796</v>
      </c>
    </row>
    <row r="827" customFormat="false" ht="17.15" hidden="false" customHeight="false" outlineLevel="0" collapsed="false">
      <c r="A827" s="5" t="s">
        <v>508</v>
      </c>
      <c r="B827" s="0" t="s">
        <v>77</v>
      </c>
      <c r="D827" s="20" t="n">
        <f aca="false">out_26</f>
        <v>0.5</v>
      </c>
      <c r="E827" s="20" t="n">
        <f aca="false">out_27</f>
        <v>0.55</v>
      </c>
      <c r="F827" s="20" t="n">
        <f aca="false">out_28</f>
        <v>0.6</v>
      </c>
      <c r="G827" s="20" t="n">
        <f aca="false">out_29</f>
        <v>0.6</v>
      </c>
      <c r="K827" s="8" t="s">
        <v>553</v>
      </c>
    </row>
    <row r="828" customFormat="false" ht="17.15" hidden="false" customHeight="false" outlineLevel="0" collapsed="false">
      <c r="A828" s="0" t="s">
        <v>509</v>
      </c>
      <c r="B828" s="0" t="s">
        <v>77</v>
      </c>
      <c r="D828" s="20" t="n">
        <f aca="false">sh_26</f>
        <v>0.35</v>
      </c>
      <c r="E828" s="20" t="n">
        <f aca="false">sh_27</f>
        <v>0.35</v>
      </c>
      <c r="F828" s="20" t="n">
        <f aca="false">sh_28</f>
        <v>0.37</v>
      </c>
      <c r="G828" s="20" t="n">
        <f aca="false">sh_29</f>
        <v>0.38</v>
      </c>
    </row>
    <row r="829" customFormat="false" ht="17.15" hidden="false" customHeight="false" outlineLevel="0" collapsed="false">
      <c r="A829" s="0" t="s">
        <v>554</v>
      </c>
      <c r="B829" s="0" t="s">
        <v>176</v>
      </c>
      <c r="C829" s="16" t="n">
        <f aca="false">(a26_comp-a25_comp*(1+g_pc26))/(tri-(1+g_pc26))</f>
        <v>287.089852216749</v>
      </c>
      <c r="D829" s="16" t="n">
        <f aca="false">C829*tri</f>
        <v>861.269556650246</v>
      </c>
      <c r="E829" s="16" t="n">
        <f aca="false">E825*E827*E828*E830</f>
        <v>1670.04614466713</v>
      </c>
      <c r="F829" s="16" t="n">
        <f aca="false">F825*F827*F828*F830</f>
        <v>2276.74248157798</v>
      </c>
      <c r="G829" s="16" t="n">
        <f aca="false">G825*G827*G828*G830</f>
        <v>2663.30065379686</v>
      </c>
      <c r="K829" s="8" t="s">
        <v>555</v>
      </c>
    </row>
    <row r="830" customFormat="false" ht="17.15" hidden="false" customHeight="false" outlineLevel="0" collapsed="false">
      <c r="A830" s="5" t="s">
        <v>556</v>
      </c>
      <c r="B830" s="0" t="s">
        <v>511</v>
      </c>
      <c r="D830" s="23" t="n">
        <f aca="false">D829/(D825*D827*D828)</f>
        <v>323.785547612874</v>
      </c>
      <c r="E830" s="23" t="n">
        <f aca="false">$D830*E826^el</f>
        <v>366.057569108912</v>
      </c>
      <c r="F830" s="23" t="n">
        <f aca="false">$D830*F826^el</f>
        <v>387.003651466596</v>
      </c>
      <c r="G830" s="23" t="n">
        <f aca="false">$D830*G826^el</f>
        <v>387.434269267239</v>
      </c>
      <c r="K830" s="8" t="s">
        <v>557</v>
      </c>
    </row>
    <row r="831" customFormat="false" ht="17.15" hidden="false" customHeight="false" outlineLevel="0" collapsed="false">
      <c r="A831" s="5" t="s">
        <v>515</v>
      </c>
      <c r="B831" s="0" t="s">
        <v>511</v>
      </c>
      <c r="D831" s="16" t="n">
        <f aca="false">D829/D825</f>
        <v>56.662470832253</v>
      </c>
      <c r="E831" s="16" t="n">
        <f aca="false">E829/E825</f>
        <v>70.4660820534656</v>
      </c>
      <c r="F831" s="16" t="n">
        <f aca="false">F829/F825</f>
        <v>85.9148106255842</v>
      </c>
      <c r="G831" s="16" t="n">
        <f aca="false">G829/G825</f>
        <v>88.3350133929306</v>
      </c>
      <c r="K831" s="5" t="s">
        <v>558</v>
      </c>
    </row>
    <row r="832" customFormat="false" ht="17.15" hidden="false" customHeight="false" outlineLevel="0" collapsed="false">
      <c r="A832" s="1" t="s">
        <v>559</v>
      </c>
    </row>
    <row r="833" customFormat="false" ht="17.15" hidden="false" customHeight="false" outlineLevel="0" collapsed="false">
      <c r="A833" s="5" t="s">
        <v>560</v>
      </c>
      <c r="B833" s="0" t="s">
        <v>176</v>
      </c>
      <c r="C833" s="16" t="n">
        <f aca="false">a25_comp-C829</f>
        <v>1054.51014778325</v>
      </c>
      <c r="D833" s="16" t="n">
        <f aca="false">a26_comp-D829</f>
        <v>1022.87484334975</v>
      </c>
      <c r="E833" s="16" t="n">
        <f aca="false">D833*(1+g_pc)</f>
        <v>1053.56108865025</v>
      </c>
      <c r="F833" s="16" t="n">
        <f aca="false">E833*(1+g_pc)</f>
        <v>1085.16792130975</v>
      </c>
      <c r="G833" s="16" t="n">
        <f aca="false">F833*(1+g_pc)</f>
        <v>1117.72295894905</v>
      </c>
    </row>
    <row r="834" customFormat="false" ht="15" hidden="false" customHeight="false" outlineLevel="0" collapsed="false">
      <c r="A834" s="5" t="s">
        <v>561</v>
      </c>
      <c r="B834" s="0" t="s">
        <v>176</v>
      </c>
      <c r="C834" s="16" t="n">
        <f aca="false">C829+C833</f>
        <v>1341.6</v>
      </c>
      <c r="D834" s="16" t="n">
        <f aca="false">D829+D833</f>
        <v>1884.1444</v>
      </c>
      <c r="E834" s="16" t="n">
        <f aca="false">E829+E833</f>
        <v>2723.60723331738</v>
      </c>
      <c r="F834" s="16" t="n">
        <f aca="false">F829+F833</f>
        <v>3361.91040288774</v>
      </c>
      <c r="G834" s="16" t="n">
        <f aca="false">G829+G833</f>
        <v>3781.0236127459</v>
      </c>
    </row>
    <row r="835" customFormat="false" ht="17.15" hidden="false" customHeight="false" outlineLevel="0" collapsed="false">
      <c r="A835" s="5" t="s">
        <v>562</v>
      </c>
      <c r="B835" s="0" t="s">
        <v>176</v>
      </c>
      <c r="C835" s="16" t="n">
        <f aca="false">a25_cm</f>
        <v>3085.68</v>
      </c>
      <c r="D835" s="16" t="n">
        <f aca="false">a26_cm</f>
        <v>3041.87176</v>
      </c>
      <c r="E835" s="16" t="n">
        <f aca="false">D835*(1+g_cm27_A)</f>
        <v>3133.1279128</v>
      </c>
      <c r="F835" s="16" t="n">
        <f aca="false">E835*(1+g_cmL_A)</f>
        <v>3258.453029312</v>
      </c>
      <c r="G835" s="16" t="n">
        <f aca="false">F835*(1+g_cmL_A)</f>
        <v>3388.79115048448</v>
      </c>
    </row>
    <row r="836" customFormat="false" ht="15" hidden="false" customHeight="false" outlineLevel="0" collapsed="false">
      <c r="A836" s="5" t="s">
        <v>563</v>
      </c>
      <c r="B836" s="0" t="s">
        <v>176</v>
      </c>
      <c r="C836" s="16" t="n">
        <f aca="false">a25_au</f>
        <v>1274.52</v>
      </c>
      <c r="D836" s="16" t="n">
        <f aca="false">a26_au</f>
        <v>1656.99176</v>
      </c>
      <c r="E836" s="16" t="n">
        <f aca="false">D836*(1+g_au)</f>
        <v>1822.690936</v>
      </c>
      <c r="F836" s="16" t="n">
        <f aca="false">E836*(1+g_au)</f>
        <v>2004.9600296</v>
      </c>
      <c r="G836" s="16" t="n">
        <f aca="false">F836*(1+g_au)</f>
        <v>2205.45603256</v>
      </c>
    </row>
    <row r="837" customFormat="false" ht="15" hidden="false" customHeight="false" outlineLevel="0" collapsed="false">
      <c r="A837" s="5" t="s">
        <v>564</v>
      </c>
      <c r="B837" s="0" t="s">
        <v>176</v>
      </c>
      <c r="C837" s="16" t="n">
        <f aca="false">a25_cs</f>
        <v>1006.2</v>
      </c>
      <c r="D837" s="16" t="n">
        <f aca="false">a26_cs</f>
        <v>1097.4551</v>
      </c>
      <c r="E837" s="16" t="n">
        <f aca="false">D837*(1+g_cs)</f>
        <v>1130.378753</v>
      </c>
      <c r="F837" s="16" t="n">
        <f aca="false">E837*(1+g_cs)</f>
        <v>1164.29011559</v>
      </c>
      <c r="G837" s="16" t="n">
        <f aca="false">F837*(1+g_cs)</f>
        <v>1199.2188190577</v>
      </c>
    </row>
    <row r="838" customFormat="false" ht="17.15" hidden="false" customHeight="false" outlineLevel="0" collapsed="false">
      <c r="A838" s="5" t="s">
        <v>565</v>
      </c>
      <c r="B838" s="0" t="s">
        <v>176</v>
      </c>
      <c r="C838" s="16" t="n">
        <f aca="false">0</f>
        <v>0</v>
      </c>
      <c r="D838" s="16" t="n">
        <f aca="false">0</f>
        <v>0</v>
      </c>
      <c r="E838" s="16" t="n">
        <f aca="false">0</f>
        <v>0</v>
      </c>
      <c r="F838" s="16" t="n">
        <f aca="false">az_rev28_A</f>
        <v>150</v>
      </c>
      <c r="G838" s="16" t="n">
        <f aca="false">az_rev29_A</f>
        <v>500</v>
      </c>
      <c r="K838" s="5" t="s">
        <v>566</v>
      </c>
    </row>
    <row r="839" customFormat="false" ht="17.15" hidden="false" customHeight="false" outlineLevel="0" collapsed="false">
      <c r="A839" s="5" t="s">
        <v>444</v>
      </c>
      <c r="B839" s="0" t="s">
        <v>176</v>
      </c>
      <c r="C839" s="16" t="n">
        <f aca="false">C834+C835+C836+C837+C838</f>
        <v>6708</v>
      </c>
      <c r="D839" s="16" t="n">
        <f aca="false">D834+D835+D836+D837+D838</f>
        <v>7680.46302</v>
      </c>
      <c r="E839" s="16" t="n">
        <f aca="false">E834+E835+E836+E837+E838</f>
        <v>8809.80483511738</v>
      </c>
      <c r="F839" s="16" t="n">
        <f aca="false">F834+F835+F836+F837+F838</f>
        <v>9939.61357738974</v>
      </c>
      <c r="G839" s="16" t="n">
        <f aca="false">G834+G835+G836+G837+G838</f>
        <v>11074.4896148481</v>
      </c>
      <c r="H839" s="29" t="n">
        <f aca="false">G839*(1+H840)</f>
        <v>12138.9479855589</v>
      </c>
      <c r="I839" s="29" t="n">
        <f aca="false">H839*(1+I840)</f>
        <v>13086.5024430928</v>
      </c>
      <c r="J839" s="29" t="n">
        <f aca="false">I839*(1+J840)</f>
        <v>13871.6925896784</v>
      </c>
      <c r="K839" s="8" t="s">
        <v>567</v>
      </c>
    </row>
    <row r="840" customFormat="false" ht="15" hidden="false" customHeight="false" outlineLevel="0" collapsed="false">
      <c r="A840" s="5" t="s">
        <v>568</v>
      </c>
      <c r="B840" s="0" t="s">
        <v>77</v>
      </c>
      <c r="D840" s="20" t="n">
        <f aca="false">D839/C839-1</f>
        <v>0.144970635062612</v>
      </c>
      <c r="E840" s="20" t="n">
        <f aca="false">E839/D839-1</f>
        <v>0.147040850555046</v>
      </c>
      <c r="F840" s="20" t="n">
        <f aca="false">F839/E839-1</f>
        <v>0.128244468909089</v>
      </c>
      <c r="G840" s="20" t="n">
        <f aca="false">G839/F839-1</f>
        <v>0.114177078275953</v>
      </c>
      <c r="H840" s="25" t="n">
        <f aca="false">$G840+(fade_gA-$G840)*1/3</f>
        <v>0.0961180521839684</v>
      </c>
      <c r="I840" s="25" t="n">
        <f aca="false">$G840+(fade_gA-$G840)*2/3</f>
        <v>0.0780590260919842</v>
      </c>
      <c r="J840" s="25" t="n">
        <f aca="false">$G840+(fade_gA-$G840)*3/3</f>
        <v>0.06</v>
      </c>
    </row>
    <row r="841" customFormat="false" ht="17.15" hidden="false" customHeight="false" outlineLevel="0" collapsed="false">
      <c r="A841" s="0" t="s">
        <v>569</v>
      </c>
      <c r="B841" s="0" t="s">
        <v>77</v>
      </c>
      <c r="C841" s="20" t="n">
        <f aca="false">C829/C839</f>
        <v>0.042798129430046</v>
      </c>
      <c r="D841" s="20" t="n">
        <f aca="false">D829/D839</f>
        <v>0.112137712844589</v>
      </c>
      <c r="E841" s="20" t="n">
        <f aca="false">E829/E839</f>
        <v>0.189566758392881</v>
      </c>
      <c r="F841" s="20" t="n">
        <f aca="false">F829/F839</f>
        <v>0.229057444120064</v>
      </c>
      <c r="G841" s="20" t="n">
        <f aca="false">G829/G839</f>
        <v>0.240489697170879</v>
      </c>
    </row>
    <row r="842" customFormat="false" ht="17.15" hidden="false" customHeight="false" outlineLevel="0" collapsed="false">
      <c r="A842" s="5" t="s">
        <v>570</v>
      </c>
      <c r="B842" s="0" t="s">
        <v>77</v>
      </c>
      <c r="C842" s="20" t="n">
        <f aca="false">C835/C839</f>
        <v>0.46</v>
      </c>
      <c r="D842" s="20" t="n">
        <f aca="false">D835/D839</f>
        <v>0.396053174408748</v>
      </c>
      <c r="E842" s="20" t="n">
        <f aca="false">E835/E839</f>
        <v>0.355641012648864</v>
      </c>
      <c r="F842" s="20" t="n">
        <f aca="false">F835/F839</f>
        <v>0.32782492034944</v>
      </c>
      <c r="G842" s="20" t="n">
        <f aca="false">G835/G839</f>
        <v>0.305999758755561</v>
      </c>
    </row>
    <row r="843" customFormat="false" ht="17.15" hidden="false" customHeight="false" outlineLevel="0" collapsed="false">
      <c r="A843" s="1" t="s">
        <v>571</v>
      </c>
    </row>
    <row r="844" customFormat="false" ht="15" hidden="false" customHeight="false" outlineLevel="0" collapsed="false">
      <c r="A844" s="5" t="s">
        <v>572</v>
      </c>
      <c r="B844" s="0" t="s">
        <v>176</v>
      </c>
      <c r="C844" s="16" t="n">
        <f aca="false">C839-C838</f>
        <v>6708</v>
      </c>
      <c r="D844" s="16" t="n">
        <f aca="false">D839-D838</f>
        <v>7680.46302</v>
      </c>
      <c r="E844" s="16" t="n">
        <f aca="false">E839-E838</f>
        <v>8809.80483511738</v>
      </c>
      <c r="F844" s="16" t="n">
        <f aca="false">F839-F838</f>
        <v>9789.61357738974</v>
      </c>
      <c r="G844" s="16" t="n">
        <f aca="false">G839-G838</f>
        <v>10574.4896148481</v>
      </c>
    </row>
    <row r="845" customFormat="false" ht="17.15" hidden="false" customHeight="false" outlineLevel="0" collapsed="false">
      <c r="A845" s="5" t="s">
        <v>573</v>
      </c>
      <c r="B845" s="0" t="s">
        <v>176</v>
      </c>
      <c r="D845" s="16" t="n">
        <f aca="false">cap_m26</f>
        <v>1200</v>
      </c>
      <c r="E845" s="16" t="n">
        <f aca="false">capi*E844</f>
        <v>1233.37267691643</v>
      </c>
      <c r="F845" s="16" t="n">
        <f aca="false">capi*F844</f>
        <v>1370.54590083456</v>
      </c>
      <c r="G845" s="16" t="n">
        <f aca="false">capi*G844</f>
        <v>1480.42854607873</v>
      </c>
      <c r="K845" s="8" t="s">
        <v>574</v>
      </c>
    </row>
    <row r="846" customFormat="false" ht="17.15" hidden="false" customHeight="false" outlineLevel="0" collapsed="false">
      <c r="A846" s="5" t="s">
        <v>575</v>
      </c>
      <c r="B846" s="0" t="s">
        <v>176</v>
      </c>
      <c r="C846" s="16" t="n">
        <f aca="false">a25_da</f>
        <v>642</v>
      </c>
      <c r="D846" s="16" t="n">
        <f aca="false">a26_da</f>
        <v>740.6</v>
      </c>
      <c r="E846" s="16" t="n">
        <f aca="false">D846*(1-1/life)+D845/life</f>
        <v>806.228571428572</v>
      </c>
      <c r="F846" s="16" t="n">
        <f aca="false">E846*(1-1/life)+E845/life</f>
        <v>867.249157926838</v>
      </c>
      <c r="G846" s="16" t="n">
        <f aca="false">F846*(1-1/life)+F845/life</f>
        <v>939.148692627941</v>
      </c>
      <c r="K846" s="5" t="s">
        <v>576</v>
      </c>
    </row>
    <row r="847" customFormat="false" ht="15" hidden="false" customHeight="false" outlineLevel="0" collapsed="false">
      <c r="A847" s="5" t="s">
        <v>577</v>
      </c>
      <c r="B847" s="0" t="s">
        <v>176</v>
      </c>
      <c r="E847" s="16" t="n">
        <f aca="false">0</f>
        <v>0</v>
      </c>
      <c r="F847" s="16" t="n">
        <f aca="false">az_capex1*(1-az_inc_lo)/az_life*az_svc28</f>
        <v>116.666666666667</v>
      </c>
      <c r="G847" s="16" t="n">
        <f aca="false">az_capex1*(1-az_inc_lo)/az_life</f>
        <v>233.333333333333</v>
      </c>
    </row>
    <row r="848" customFormat="false" ht="15" hidden="false" customHeight="false" outlineLevel="0" collapsed="false">
      <c r="A848" s="5" t="s">
        <v>578</v>
      </c>
      <c r="B848" s="0" t="s">
        <v>176</v>
      </c>
      <c r="C848" s="16" t="n">
        <f aca="false">C846</f>
        <v>642</v>
      </c>
      <c r="D848" s="16" t="n">
        <f aca="false">D846</f>
        <v>740.6</v>
      </c>
      <c r="E848" s="16" t="n">
        <f aca="false">E846+E847</f>
        <v>806.228571428572</v>
      </c>
      <c r="F848" s="16" t="n">
        <f aca="false">F846+F847</f>
        <v>983.915824593504</v>
      </c>
      <c r="G848" s="16" t="n">
        <f aca="false">G846+G847</f>
        <v>1172.48202596127</v>
      </c>
    </row>
    <row r="849" customFormat="false" ht="17.15" hidden="false" customHeight="false" outlineLevel="0" collapsed="false">
      <c r="A849" s="5" t="s">
        <v>579</v>
      </c>
      <c r="B849" s="0" t="s">
        <v>176</v>
      </c>
      <c r="C849" s="16" t="n">
        <f aca="false">a25_gp</f>
        <v>938.6</v>
      </c>
      <c r="D849" s="16" t="n">
        <f aca="false">a26_gp</f>
        <v>1325.7873147</v>
      </c>
      <c r="E849" s="16" t="n">
        <f aca="false">$D849+ft*(E844-$D844)-(E846-$D846)</f>
        <v>1711.89546931838</v>
      </c>
      <c r="F849" s="16" t="n">
        <f aca="false">$D849+ft*(F844-$D844)-(F846-$D846)</f>
        <v>2042.79837972906</v>
      </c>
      <c r="G849" s="16" t="n">
        <f aca="false">$D849+ft*(G844-$D844)-(G846-$D846)</f>
        <v>2284.84926001129</v>
      </c>
      <c r="K849" s="5" t="s">
        <v>580</v>
      </c>
    </row>
    <row r="850" customFormat="false" ht="17.15" hidden="false" customHeight="false" outlineLevel="0" collapsed="false">
      <c r="A850" s="5" t="s">
        <v>581</v>
      </c>
      <c r="B850" s="0" t="s">
        <v>176</v>
      </c>
      <c r="E850" s="16" t="n">
        <f aca="false">E838*az_cm-az_fix27</f>
        <v>-120</v>
      </c>
      <c r="F850" s="16" t="n">
        <f aca="false">F838*az_cm-az_fix28-F847</f>
        <v>-134.166666666667</v>
      </c>
      <c r="G850" s="16" t="n">
        <f aca="false">G838*az_cm-az_fix29-G847</f>
        <v>-58.3333333333333</v>
      </c>
      <c r="K850" s="8" t="s">
        <v>582</v>
      </c>
    </row>
    <row r="851" customFormat="false" ht="15" hidden="false" customHeight="false" outlineLevel="0" collapsed="false">
      <c r="A851" s="5" t="s">
        <v>458</v>
      </c>
      <c r="B851" s="0" t="s">
        <v>176</v>
      </c>
      <c r="C851" s="16" t="n">
        <f aca="false">a25_gp</f>
        <v>938.6</v>
      </c>
      <c r="D851" s="16" t="n">
        <f aca="false">a26_gp</f>
        <v>1325.7873147</v>
      </c>
      <c r="E851" s="16" t="n">
        <f aca="false">E849+E850</f>
        <v>1591.89546931838</v>
      </c>
      <c r="F851" s="16" t="n">
        <f aca="false">F849+F850</f>
        <v>1908.63171306239</v>
      </c>
      <c r="G851" s="16" t="n">
        <f aca="false">G849+G850</f>
        <v>2226.51592667796</v>
      </c>
    </row>
    <row r="852" customFormat="false" ht="15" hidden="false" customHeight="false" outlineLevel="0" collapsed="false">
      <c r="A852" s="5" t="s">
        <v>461</v>
      </c>
      <c r="B852" s="0" t="s">
        <v>77</v>
      </c>
      <c r="C852" s="17" t="n">
        <f aca="false">C851/C839</f>
        <v>0.139922480620155</v>
      </c>
      <c r="D852" s="17" t="n">
        <f aca="false">D851/D839</f>
        <v>0.172618149615152</v>
      </c>
      <c r="E852" s="17" t="n">
        <f aca="false">E851/E839</f>
        <v>0.180695883633292</v>
      </c>
      <c r="F852" s="17" t="n">
        <f aca="false">F851/F839</f>
        <v>0.192022727865807</v>
      </c>
      <c r="G852" s="17" t="n">
        <f aca="false">G851/G839</f>
        <v>0.201049078026383</v>
      </c>
    </row>
    <row r="853" customFormat="false" ht="17.15" hidden="false" customHeight="false" outlineLevel="0" collapsed="false">
      <c r="A853" s="5" t="s">
        <v>583</v>
      </c>
      <c r="B853" s="0" t="s">
        <v>584</v>
      </c>
      <c r="E853" s="17" t="n">
        <f aca="false">E850/E839</f>
        <v>-0.0136211871029946</v>
      </c>
      <c r="F853" s="17" t="n">
        <f aca="false">F850/F839</f>
        <v>-0.0134981773307429</v>
      </c>
      <c r="G853" s="17" t="n">
        <f aca="false">G850/G839</f>
        <v>-0.00526736087730157</v>
      </c>
      <c r="K853" s="5" t="s">
        <v>585</v>
      </c>
    </row>
    <row r="854" customFormat="false" ht="17.15" hidden="false" customHeight="false" outlineLevel="0" collapsed="false">
      <c r="A854" s="5" t="s">
        <v>463</v>
      </c>
      <c r="B854" s="0" t="s">
        <v>176</v>
      </c>
      <c r="C854" s="16" t="n">
        <f aca="false">a25_opx</f>
        <v>471.2</v>
      </c>
      <c r="D854" s="16" t="n">
        <f aca="false">a26_opx</f>
        <v>537.5</v>
      </c>
      <c r="E854" s="16" t="n">
        <f aca="false">(D854+opx_gain)*(1+phi*E840)</f>
        <v>599.561157517497</v>
      </c>
      <c r="F854" s="16" t="n">
        <f aca="false">E854*(1+phi*F840)</f>
        <v>638.006358629672</v>
      </c>
      <c r="G854" s="16" t="n">
        <f aca="false">F854*(1+phi*G840)</f>
        <v>674.42920960458</v>
      </c>
      <c r="K854" s="8" t="s">
        <v>586</v>
      </c>
    </row>
    <row r="855" customFormat="false" ht="15" hidden="false" customHeight="false" outlineLevel="0" collapsed="false">
      <c r="A855" s="5" t="s">
        <v>466</v>
      </c>
      <c r="B855" s="0" t="s">
        <v>176</v>
      </c>
      <c r="C855" s="16" t="n">
        <f aca="false">C851-C854</f>
        <v>467.4</v>
      </c>
      <c r="D855" s="16" t="n">
        <f aca="false">D851-D854</f>
        <v>788.2873147</v>
      </c>
      <c r="E855" s="16" t="n">
        <f aca="false">E851-E854</f>
        <v>992.334311800884</v>
      </c>
      <c r="F855" s="16" t="n">
        <f aca="false">F851-F854</f>
        <v>1270.62535443272</v>
      </c>
      <c r="G855" s="16" t="n">
        <f aca="false">G851-G854</f>
        <v>1552.08671707338</v>
      </c>
    </row>
    <row r="856" customFormat="false" ht="15" hidden="false" customHeight="false" outlineLevel="0" collapsed="false">
      <c r="A856" s="5" t="s">
        <v>540</v>
      </c>
      <c r="B856" s="0" t="s">
        <v>77</v>
      </c>
      <c r="C856" s="17" t="n">
        <f aca="false">C855/C839</f>
        <v>0.0696779964221825</v>
      </c>
      <c r="D856" s="17" t="n">
        <f aca="false">D855/D839</f>
        <v>0.102635389643475</v>
      </c>
      <c r="E856" s="17" t="n">
        <f aca="false">E855/E839</f>
        <v>0.112639761081343</v>
      </c>
      <c r="F856" s="17" t="n">
        <f aca="false">F855/F839</f>
        <v>0.127834482149597</v>
      </c>
      <c r="G856" s="17" t="n">
        <f aca="false">G855/G839</f>
        <v>0.140149728886144</v>
      </c>
    </row>
    <row r="857" customFormat="false" ht="15" hidden="false" customHeight="false" outlineLevel="0" collapsed="false">
      <c r="A857" s="5" t="s">
        <v>587</v>
      </c>
      <c r="B857" s="0" t="s">
        <v>176</v>
      </c>
      <c r="C857" s="16" t="n">
        <f aca="false">a25_nonop</f>
        <v>-22.7</v>
      </c>
      <c r="D857" s="16" t="n">
        <f aca="false">a26_nonop</f>
        <v>-0.700000000000003</v>
      </c>
      <c r="E857" s="16" t="n">
        <f aca="false">nonop27</f>
        <v>-20</v>
      </c>
      <c r="F857" s="16" t="n">
        <f aca="false">nonop28</f>
        <v>-40</v>
      </c>
      <c r="G857" s="16" t="n">
        <f aca="false">nonop29</f>
        <v>-60</v>
      </c>
    </row>
    <row r="858" customFormat="false" ht="15" hidden="false" customHeight="false" outlineLevel="0" collapsed="false">
      <c r="A858" s="5" t="s">
        <v>471</v>
      </c>
      <c r="B858" s="0" t="s">
        <v>176</v>
      </c>
      <c r="C858" s="16" t="n">
        <f aca="false">C855+C857</f>
        <v>444.7</v>
      </c>
      <c r="D858" s="16" t="n">
        <f aca="false">D855+D857</f>
        <v>787.5873147</v>
      </c>
      <c r="E858" s="16" t="n">
        <f aca="false">E855+E857</f>
        <v>972.334311800884</v>
      </c>
      <c r="F858" s="16" t="n">
        <f aca="false">F855+F857</f>
        <v>1230.62535443272</v>
      </c>
      <c r="G858" s="16" t="n">
        <f aca="false">G855+G857</f>
        <v>1492.08671707338</v>
      </c>
    </row>
    <row r="859" customFormat="false" ht="15" hidden="false" customHeight="false" outlineLevel="0" collapsed="false">
      <c r="A859" s="5" t="s">
        <v>472</v>
      </c>
      <c r="B859" s="0" t="s">
        <v>176</v>
      </c>
      <c r="C859" s="16" t="n">
        <f aca="false">a25_tax</f>
        <v>68.5</v>
      </c>
      <c r="D859" s="16" t="n">
        <f aca="false">a26_tax</f>
        <v>138.23746294</v>
      </c>
      <c r="E859" s="16" t="n">
        <f aca="false">E858*tax</f>
        <v>194.466862360177</v>
      </c>
      <c r="F859" s="16" t="n">
        <f aca="false">F858*tax</f>
        <v>246.125070886544</v>
      </c>
      <c r="G859" s="16" t="n">
        <f aca="false">G858*tax</f>
        <v>298.417343414676</v>
      </c>
    </row>
    <row r="860" customFormat="false" ht="15" hidden="false" customHeight="false" outlineLevel="0" collapsed="false">
      <c r="A860" s="5" t="s">
        <v>474</v>
      </c>
      <c r="B860" s="0" t="s">
        <v>176</v>
      </c>
      <c r="C860" s="16" t="n">
        <f aca="false">a25_nci</f>
        <v>2.30000000000007</v>
      </c>
      <c r="D860" s="16" t="n">
        <f aca="false">a26_nci</f>
        <v>3.7</v>
      </c>
      <c r="E860" s="16" t="n">
        <f aca="false">nci</f>
        <v>3</v>
      </c>
      <c r="F860" s="16" t="n">
        <f aca="false">nci</f>
        <v>3</v>
      </c>
      <c r="G860" s="16" t="n">
        <f aca="false">nci</f>
        <v>3</v>
      </c>
    </row>
    <row r="861" customFormat="false" ht="15" hidden="false" customHeight="false" outlineLevel="0" collapsed="false">
      <c r="A861" s="5" t="s">
        <v>476</v>
      </c>
      <c r="B861" s="0" t="s">
        <v>176</v>
      </c>
      <c r="C861" s="16" t="n">
        <f aca="false">C858-C859-C860</f>
        <v>373.9</v>
      </c>
      <c r="D861" s="16" t="n">
        <f aca="false">D858-D859-D860</f>
        <v>645.64985176</v>
      </c>
      <c r="E861" s="16" t="n">
        <f aca="false">E858-E859-E860</f>
        <v>774.867449440707</v>
      </c>
      <c r="F861" s="16" t="n">
        <f aca="false">F858-F859-F860</f>
        <v>981.500283546174</v>
      </c>
      <c r="G861" s="16" t="n">
        <f aca="false">G858-G859-G860</f>
        <v>1190.6693736587</v>
      </c>
      <c r="H861" s="29" t="n">
        <f aca="false">H839*H865</f>
        <v>1317.90223859203</v>
      </c>
      <c r="I861" s="29" t="n">
        <f aca="false">I839*I865</f>
        <v>1434.56267001886</v>
      </c>
      <c r="J861" s="29" t="n">
        <f aca="false">J839*J865</f>
        <v>1535.24987238976</v>
      </c>
    </row>
    <row r="862" customFormat="false" ht="15" hidden="false" customHeight="false" outlineLevel="0" collapsed="false">
      <c r="A862" s="5" t="s">
        <v>588</v>
      </c>
      <c r="B862" s="5" t="s">
        <v>310</v>
      </c>
      <c r="C862" s="21" t="n">
        <f aca="false">a25_sh</f>
        <v>248.5</v>
      </c>
      <c r="D862" s="21" t="n">
        <f aca="false">a26_sh</f>
        <v>249.915</v>
      </c>
      <c r="E862" s="21" t="n">
        <f aca="false">D862*(1+sh_g)</f>
        <v>249.915</v>
      </c>
      <c r="F862" s="21" t="n">
        <f aca="false">E862*(1+sh_g)</f>
        <v>249.915</v>
      </c>
      <c r="G862" s="21" t="n">
        <f aca="false">F862*(1+sh_g)</f>
        <v>249.915</v>
      </c>
      <c r="H862" s="30" t="n">
        <f aca="false">G862*(1+sh_g)</f>
        <v>249.915</v>
      </c>
      <c r="I862" s="30" t="n">
        <f aca="false">H862*(1+sh_g)</f>
        <v>249.915</v>
      </c>
      <c r="J862" s="30" t="n">
        <f aca="false">I862*(1+sh_g)</f>
        <v>249.915</v>
      </c>
    </row>
    <row r="863" customFormat="false" ht="17.15" hidden="false" customHeight="false" outlineLevel="0" collapsed="false">
      <c r="A863" s="0" t="s">
        <v>480</v>
      </c>
      <c r="B863" s="0" t="s">
        <v>331</v>
      </c>
      <c r="C863" s="18" t="n">
        <f aca="false">C861/C862</f>
        <v>1.5046277665996</v>
      </c>
      <c r="D863" s="18" t="n">
        <f aca="false">D861/D862</f>
        <v>2.58347778948843</v>
      </c>
      <c r="E863" s="18" t="n">
        <f aca="false">E861/E862</f>
        <v>3.10052397591464</v>
      </c>
      <c r="F863" s="18" t="n">
        <f aca="false">F861/F862</f>
        <v>3.92733642857041</v>
      </c>
      <c r="G863" s="18" t="n">
        <f aca="false">G861/G862</f>
        <v>4.76429735573576</v>
      </c>
      <c r="H863" s="27" t="n">
        <f aca="false">H861/H862</f>
        <v>5.27340191101787</v>
      </c>
      <c r="I863" s="27" t="n">
        <f aca="false">I861/I862</f>
        <v>5.74020234887406</v>
      </c>
      <c r="J863" s="27" t="n">
        <f aca="false">J861/J862</f>
        <v>6.14308813952647</v>
      </c>
    </row>
    <row r="864" customFormat="false" ht="17.15" hidden="false" customHeight="false" outlineLevel="0" collapsed="false">
      <c r="A864" s="0" t="s">
        <v>589</v>
      </c>
      <c r="B864" s="0" t="s">
        <v>77</v>
      </c>
      <c r="D864" s="20" t="n">
        <f aca="false">D863/C863-1</f>
        <v>0.717021210719106</v>
      </c>
      <c r="E864" s="20" t="n">
        <f aca="false">E863/D863-1</f>
        <v>0.200135719583097</v>
      </c>
      <c r="F864" s="20" t="n">
        <f aca="false">F863/E863-1</f>
        <v>0.26666862087782</v>
      </c>
      <c r="G864" s="20" t="n">
        <f aca="false">G863/F863-1</f>
        <v>0.213111594177842</v>
      </c>
      <c r="H864" s="25" t="n">
        <f aca="false">H863/G863-1</f>
        <v>0.106858266239237</v>
      </c>
      <c r="I864" s="25" t="n">
        <f aca="false">I863/H863-1</f>
        <v>0.0885197915373941</v>
      </c>
      <c r="J864" s="25" t="n">
        <f aca="false">J863/I863-1</f>
        <v>0.070186687884171</v>
      </c>
    </row>
    <row r="865" customFormat="false" ht="17.15" hidden="false" customHeight="false" outlineLevel="0" collapsed="false">
      <c r="A865" s="5" t="s">
        <v>590</v>
      </c>
      <c r="B865" s="0" t="s">
        <v>77</v>
      </c>
      <c r="C865" s="17" t="n">
        <f aca="false">C861/C839</f>
        <v>0.0557394156231365</v>
      </c>
      <c r="D865" s="17" t="n">
        <f aca="false">D861/D839</f>
        <v>0.0840639229794768</v>
      </c>
      <c r="E865" s="17" t="n">
        <f aca="false">E861/E839</f>
        <v>0.0879551209071004</v>
      </c>
      <c r="F865" s="17" t="n">
        <f aca="false">F861/F839</f>
        <v>0.0987463220681793</v>
      </c>
      <c r="G865" s="17" t="n">
        <f aca="false">G861/G839</f>
        <v>0.107514604741903</v>
      </c>
      <c r="H865" s="26" t="n">
        <f aca="false">$G865+(fade_mA-$G865)*1/3</f>
        <v>0.108568076917364</v>
      </c>
      <c r="I865" s="26" t="n">
        <f aca="false">$G865+(fade_mA-$G865)*2/3</f>
        <v>0.109621549092824</v>
      </c>
      <c r="J865" s="26" t="n">
        <f aca="false">$G865+(fade_mA-$G865)*3/3</f>
        <v>0.110675021268284</v>
      </c>
    </row>
    <row r="868" customFormat="false" ht="17.15" hidden="false" customHeight="false" outlineLevel="0" collapsed="false">
      <c r="A868" s="3" t="s">
        <v>937</v>
      </c>
    </row>
    <row r="869" customFormat="false" ht="17.15" hidden="false" customHeight="false" outlineLevel="0" collapsed="false">
      <c r="A869" s="6" t="s">
        <v>22</v>
      </c>
      <c r="B869" s="6" t="s">
        <v>23</v>
      </c>
      <c r="C869" s="14" t="s">
        <v>437</v>
      </c>
      <c r="D869" s="14" t="s">
        <v>527</v>
      </c>
      <c r="E869" s="14" t="s">
        <v>528</v>
      </c>
      <c r="F869" s="14" t="s">
        <v>529</v>
      </c>
      <c r="G869" s="14" t="s">
        <v>530</v>
      </c>
      <c r="H869" s="14" t="s">
        <v>531</v>
      </c>
      <c r="I869" s="14" t="s">
        <v>532</v>
      </c>
      <c r="J869" s="14" t="s">
        <v>533</v>
      </c>
      <c r="K869" s="6" t="s">
        <v>503</v>
      </c>
    </row>
    <row r="870" customFormat="false" ht="17.15" hidden="false" customHeight="false" outlineLevel="0" collapsed="false">
      <c r="A870" s="1" t="s">
        <v>551</v>
      </c>
    </row>
    <row r="871" customFormat="false" ht="17.15" hidden="false" customHeight="false" outlineLevel="0" collapsed="false">
      <c r="A871" s="0" t="s">
        <v>552</v>
      </c>
      <c r="B871" s="5" t="s">
        <v>33</v>
      </c>
      <c r="D871" s="18" t="n">
        <f aca="false">units_26</f>
        <v>15.2</v>
      </c>
      <c r="E871" s="18" t="n">
        <f aca="false">units_27*1</f>
        <v>23.7</v>
      </c>
      <c r="F871" s="18" t="n">
        <f aca="false">units_28*um28_A*1</f>
        <v>26.5</v>
      </c>
      <c r="G871" s="18" t="n">
        <f aca="false">units_29*um29_A*1</f>
        <v>30.15</v>
      </c>
    </row>
    <row r="872" customFormat="false" ht="17.15" hidden="false" customHeight="false" outlineLevel="0" collapsed="false">
      <c r="A872" s="5" t="s">
        <v>506</v>
      </c>
      <c r="B872" s="0" t="s">
        <v>46</v>
      </c>
      <c r="D872" s="22" t="n">
        <f aca="false">ar_26</f>
        <v>1</v>
      </c>
      <c r="E872" s="22" t="n">
        <f aca="false">ar_27</f>
        <v>1.278156</v>
      </c>
      <c r="F872" s="22" t="n">
        <f aca="false">ar_28</f>
        <v>1.428615</v>
      </c>
      <c r="G872" s="22" t="n">
        <f aca="false">ar_29</f>
        <v>1.431796</v>
      </c>
    </row>
    <row r="873" customFormat="false" ht="17.15" hidden="false" customHeight="false" outlineLevel="0" collapsed="false">
      <c r="A873" s="5" t="s">
        <v>508</v>
      </c>
      <c r="B873" s="0" t="s">
        <v>77</v>
      </c>
      <c r="D873" s="20" t="n">
        <f aca="false">out_26</f>
        <v>0.5</v>
      </c>
      <c r="E873" s="20" t="n">
        <f aca="false">out_27</f>
        <v>0.55</v>
      </c>
      <c r="F873" s="20" t="n">
        <f aca="false">out_28</f>
        <v>0.6</v>
      </c>
      <c r="G873" s="20" t="n">
        <f aca="false">out_29</f>
        <v>0.6</v>
      </c>
      <c r="K873" s="8" t="s">
        <v>553</v>
      </c>
    </row>
    <row r="874" customFormat="false" ht="17.15" hidden="false" customHeight="false" outlineLevel="0" collapsed="false">
      <c r="A874" s="0" t="s">
        <v>509</v>
      </c>
      <c r="B874" s="0" t="s">
        <v>77</v>
      </c>
      <c r="D874" s="20" t="n">
        <f aca="false">sh_26</f>
        <v>0.35</v>
      </c>
      <c r="E874" s="20" t="n">
        <f aca="false">sh_27</f>
        <v>0.35</v>
      </c>
      <c r="F874" s="20" t="n">
        <f aca="false">sh_28</f>
        <v>0.37</v>
      </c>
      <c r="G874" s="20" t="n">
        <f aca="false">sh_29</f>
        <v>0.38</v>
      </c>
    </row>
    <row r="875" customFormat="false" ht="17.15" hidden="false" customHeight="false" outlineLevel="0" collapsed="false">
      <c r="A875" s="0" t="s">
        <v>554</v>
      </c>
      <c r="B875" s="0" t="s">
        <v>176</v>
      </c>
      <c r="C875" s="16" t="n">
        <f aca="false">(a26_comp-a25_comp*(1+g_pc26))/(tri-(1+g_pc26))</f>
        <v>287.089852216749</v>
      </c>
      <c r="D875" s="16" t="n">
        <f aca="false">C875*tri</f>
        <v>861.269556650246</v>
      </c>
      <c r="E875" s="16" t="n">
        <f aca="false">E871*E873*E874*E876</f>
        <v>1670.04614466713</v>
      </c>
      <c r="F875" s="16" t="n">
        <f aca="false">F871*F873*F874*F876</f>
        <v>2276.74248157798</v>
      </c>
      <c r="G875" s="16" t="n">
        <f aca="false">G871*G873*G874*G876</f>
        <v>2663.30065379686</v>
      </c>
      <c r="K875" s="8" t="s">
        <v>555</v>
      </c>
    </row>
    <row r="876" customFormat="false" ht="17.15" hidden="false" customHeight="false" outlineLevel="0" collapsed="false">
      <c r="A876" s="5" t="s">
        <v>556</v>
      </c>
      <c r="B876" s="0" t="s">
        <v>511</v>
      </c>
      <c r="D876" s="23" t="n">
        <f aca="false">D875/(D871*D873*D874)</f>
        <v>323.785547612874</v>
      </c>
      <c r="E876" s="23" t="n">
        <f aca="false">$D876*E872^el</f>
        <v>366.057569108912</v>
      </c>
      <c r="F876" s="23" t="n">
        <f aca="false">$D876*F872^el</f>
        <v>387.003651466596</v>
      </c>
      <c r="G876" s="23" t="n">
        <f aca="false">$D876*G872^el</f>
        <v>387.434269267239</v>
      </c>
      <c r="K876" s="8" t="s">
        <v>557</v>
      </c>
    </row>
    <row r="877" customFormat="false" ht="17.15" hidden="false" customHeight="false" outlineLevel="0" collapsed="false">
      <c r="A877" s="5" t="s">
        <v>515</v>
      </c>
      <c r="B877" s="0" t="s">
        <v>511</v>
      </c>
      <c r="D877" s="16" t="n">
        <f aca="false">D875/D871</f>
        <v>56.662470832253</v>
      </c>
      <c r="E877" s="16" t="n">
        <f aca="false">E875/E871</f>
        <v>70.4660820534656</v>
      </c>
      <c r="F877" s="16" t="n">
        <f aca="false">F875/F871</f>
        <v>85.9148106255842</v>
      </c>
      <c r="G877" s="16" t="n">
        <f aca="false">G875/G871</f>
        <v>88.3350133929306</v>
      </c>
      <c r="K877" s="5" t="s">
        <v>558</v>
      </c>
    </row>
    <row r="878" customFormat="false" ht="17.15" hidden="false" customHeight="false" outlineLevel="0" collapsed="false">
      <c r="A878" s="1" t="s">
        <v>559</v>
      </c>
    </row>
    <row r="879" customFormat="false" ht="17.15" hidden="false" customHeight="false" outlineLevel="0" collapsed="false">
      <c r="A879" s="5" t="s">
        <v>560</v>
      </c>
      <c r="B879" s="0" t="s">
        <v>176</v>
      </c>
      <c r="C879" s="16" t="n">
        <f aca="false">a25_comp-C875</f>
        <v>1054.51014778325</v>
      </c>
      <c r="D879" s="16" t="n">
        <f aca="false">a26_comp-D875</f>
        <v>1022.87484334975</v>
      </c>
      <c r="E879" s="16" t="n">
        <f aca="false">D879*(1+g_pc)</f>
        <v>1053.56108865025</v>
      </c>
      <c r="F879" s="16" t="n">
        <f aca="false">E879*(1+g_pc)</f>
        <v>1085.16792130975</v>
      </c>
      <c r="G879" s="16" t="n">
        <f aca="false">F879*(1+g_pc)</f>
        <v>1117.72295894905</v>
      </c>
    </row>
    <row r="880" customFormat="false" ht="15" hidden="false" customHeight="false" outlineLevel="0" collapsed="false">
      <c r="A880" s="5" t="s">
        <v>561</v>
      </c>
      <c r="B880" s="0" t="s">
        <v>176</v>
      </c>
      <c r="C880" s="16" t="n">
        <f aca="false">C875+C879</f>
        <v>1341.6</v>
      </c>
      <c r="D880" s="16" t="n">
        <f aca="false">D875+D879</f>
        <v>1884.1444</v>
      </c>
      <c r="E880" s="16" t="n">
        <f aca="false">E875+E879</f>
        <v>2723.60723331738</v>
      </c>
      <c r="F880" s="16" t="n">
        <f aca="false">F875+F879</f>
        <v>3361.91040288774</v>
      </c>
      <c r="G880" s="16" t="n">
        <f aca="false">G875+G879</f>
        <v>3781.0236127459</v>
      </c>
    </row>
    <row r="881" customFormat="false" ht="17.15" hidden="false" customHeight="false" outlineLevel="0" collapsed="false">
      <c r="A881" s="5" t="s">
        <v>562</v>
      </c>
      <c r="B881" s="0" t="s">
        <v>176</v>
      </c>
      <c r="C881" s="16" t="n">
        <f aca="false">a25_cm</f>
        <v>3085.68</v>
      </c>
      <c r="D881" s="16" t="n">
        <f aca="false">a26_cm</f>
        <v>3041.87176</v>
      </c>
      <c r="E881" s="16" t="n">
        <f aca="false">D881*(1+g_cm27_A)</f>
        <v>3133.1279128</v>
      </c>
      <c r="F881" s="16" t="n">
        <f aca="false">E881*(1+g_cmL_A)</f>
        <v>3258.453029312</v>
      </c>
      <c r="G881" s="16" t="n">
        <f aca="false">F881*(1+g_cmL_A)</f>
        <v>3388.79115048448</v>
      </c>
    </row>
    <row r="882" customFormat="false" ht="15" hidden="false" customHeight="false" outlineLevel="0" collapsed="false">
      <c r="A882" s="5" t="s">
        <v>563</v>
      </c>
      <c r="B882" s="0" t="s">
        <v>176</v>
      </c>
      <c r="C882" s="16" t="n">
        <f aca="false">a25_au</f>
        <v>1274.52</v>
      </c>
      <c r="D882" s="16" t="n">
        <f aca="false">a26_au</f>
        <v>1656.99176</v>
      </c>
      <c r="E882" s="16" t="n">
        <f aca="false">D882*(1+g_au)</f>
        <v>1822.690936</v>
      </c>
      <c r="F882" s="16" t="n">
        <f aca="false">E882*(1+g_au)</f>
        <v>2004.9600296</v>
      </c>
      <c r="G882" s="16" t="n">
        <f aca="false">F882*(1+g_au)</f>
        <v>2205.45603256</v>
      </c>
    </row>
    <row r="883" customFormat="false" ht="15" hidden="false" customHeight="false" outlineLevel="0" collapsed="false">
      <c r="A883" s="5" t="s">
        <v>564</v>
      </c>
      <c r="B883" s="0" t="s">
        <v>176</v>
      </c>
      <c r="C883" s="16" t="n">
        <f aca="false">a25_cs</f>
        <v>1006.2</v>
      </c>
      <c r="D883" s="16" t="n">
        <f aca="false">a26_cs</f>
        <v>1097.4551</v>
      </c>
      <c r="E883" s="16" t="n">
        <f aca="false">D883*(1+g_cs)</f>
        <v>1130.378753</v>
      </c>
      <c r="F883" s="16" t="n">
        <f aca="false">E883*(1+g_cs)</f>
        <v>1164.29011559</v>
      </c>
      <c r="G883" s="16" t="n">
        <f aca="false">F883*(1+g_cs)</f>
        <v>1199.2188190577</v>
      </c>
    </row>
    <row r="884" customFormat="false" ht="17.15" hidden="false" customHeight="false" outlineLevel="0" collapsed="false">
      <c r="A884" s="5" t="s">
        <v>565</v>
      </c>
      <c r="B884" s="0" t="s">
        <v>176</v>
      </c>
      <c r="C884" s="16" t="n">
        <f aca="false">0</f>
        <v>0</v>
      </c>
      <c r="D884" s="16" t="n">
        <f aca="false">0</f>
        <v>0</v>
      </c>
      <c r="E884" s="16" t="n">
        <f aca="false">0</f>
        <v>0</v>
      </c>
      <c r="F884" s="16" t="n">
        <f aca="false">az_rev28_A</f>
        <v>150</v>
      </c>
      <c r="G884" s="16" t="n">
        <f aca="false">az_rev29_A</f>
        <v>500</v>
      </c>
      <c r="K884" s="5" t="s">
        <v>566</v>
      </c>
    </row>
    <row r="885" customFormat="false" ht="17.15" hidden="false" customHeight="false" outlineLevel="0" collapsed="false">
      <c r="A885" s="5" t="s">
        <v>444</v>
      </c>
      <c r="B885" s="0" t="s">
        <v>176</v>
      </c>
      <c r="C885" s="16" t="n">
        <f aca="false">C880+C881+C882+C883+C884</f>
        <v>6708</v>
      </c>
      <c r="D885" s="16" t="n">
        <f aca="false">D880+D881+D882+D883+D884</f>
        <v>7680.46302</v>
      </c>
      <c r="E885" s="16" t="n">
        <f aca="false">E880+E881+E882+E883+E884</f>
        <v>8809.80483511738</v>
      </c>
      <c r="F885" s="16" t="n">
        <f aca="false">F880+F881+F882+F883+F884</f>
        <v>9939.61357738974</v>
      </c>
      <c r="G885" s="16" t="n">
        <f aca="false">G880+G881+G882+G883+G884</f>
        <v>11074.4896148481</v>
      </c>
      <c r="H885" s="29" t="n">
        <f aca="false">G885*(1+H886)</f>
        <v>12138.9479855589</v>
      </c>
      <c r="I885" s="29" t="n">
        <f aca="false">H885*(1+I886)</f>
        <v>13086.5024430928</v>
      </c>
      <c r="J885" s="29" t="n">
        <f aca="false">I885*(1+J886)</f>
        <v>13871.6925896784</v>
      </c>
      <c r="K885" s="8" t="s">
        <v>567</v>
      </c>
    </row>
    <row r="886" customFormat="false" ht="15" hidden="false" customHeight="false" outlineLevel="0" collapsed="false">
      <c r="A886" s="5" t="s">
        <v>568</v>
      </c>
      <c r="B886" s="0" t="s">
        <v>77</v>
      </c>
      <c r="D886" s="20" t="n">
        <f aca="false">D885/C885-1</f>
        <v>0.144970635062612</v>
      </c>
      <c r="E886" s="20" t="n">
        <f aca="false">E885/D885-1</f>
        <v>0.147040850555046</v>
      </c>
      <c r="F886" s="20" t="n">
        <f aca="false">F885/E885-1</f>
        <v>0.128244468909089</v>
      </c>
      <c r="G886" s="20" t="n">
        <f aca="false">G885/F885-1</f>
        <v>0.114177078275953</v>
      </c>
      <c r="H886" s="25" t="n">
        <f aca="false">$G886+(fade_gA-$G886)*1/3</f>
        <v>0.0961180521839684</v>
      </c>
      <c r="I886" s="25" t="n">
        <f aca="false">$G886+(fade_gA-$G886)*2/3</f>
        <v>0.0780590260919842</v>
      </c>
      <c r="J886" s="25" t="n">
        <f aca="false">$G886+(fade_gA-$G886)*3/3</f>
        <v>0.06</v>
      </c>
    </row>
    <row r="887" customFormat="false" ht="17.15" hidden="false" customHeight="false" outlineLevel="0" collapsed="false">
      <c r="A887" s="0" t="s">
        <v>569</v>
      </c>
      <c r="B887" s="0" t="s">
        <v>77</v>
      </c>
      <c r="C887" s="20" t="n">
        <f aca="false">C875/C885</f>
        <v>0.042798129430046</v>
      </c>
      <c r="D887" s="20" t="n">
        <f aca="false">D875/D885</f>
        <v>0.112137712844589</v>
      </c>
      <c r="E887" s="20" t="n">
        <f aca="false">E875/E885</f>
        <v>0.189566758392881</v>
      </c>
      <c r="F887" s="20" t="n">
        <f aca="false">F875/F885</f>
        <v>0.229057444120064</v>
      </c>
      <c r="G887" s="20" t="n">
        <f aca="false">G875/G885</f>
        <v>0.240489697170879</v>
      </c>
    </row>
    <row r="888" customFormat="false" ht="17.15" hidden="false" customHeight="false" outlineLevel="0" collapsed="false">
      <c r="A888" s="5" t="s">
        <v>570</v>
      </c>
      <c r="B888" s="0" t="s">
        <v>77</v>
      </c>
      <c r="C888" s="20" t="n">
        <f aca="false">C881/C885</f>
        <v>0.46</v>
      </c>
      <c r="D888" s="20" t="n">
        <f aca="false">D881/D885</f>
        <v>0.396053174408748</v>
      </c>
      <c r="E888" s="20" t="n">
        <f aca="false">E881/E885</f>
        <v>0.355641012648864</v>
      </c>
      <c r="F888" s="20" t="n">
        <f aca="false">F881/F885</f>
        <v>0.32782492034944</v>
      </c>
      <c r="G888" s="20" t="n">
        <f aca="false">G881/G885</f>
        <v>0.305999758755561</v>
      </c>
    </row>
    <row r="889" customFormat="false" ht="17.15" hidden="false" customHeight="false" outlineLevel="0" collapsed="false">
      <c r="A889" s="1" t="s">
        <v>571</v>
      </c>
    </row>
    <row r="890" customFormat="false" ht="15" hidden="false" customHeight="false" outlineLevel="0" collapsed="false">
      <c r="A890" s="5" t="s">
        <v>572</v>
      </c>
      <c r="B890" s="0" t="s">
        <v>176</v>
      </c>
      <c r="C890" s="16" t="n">
        <f aca="false">C885-C884</f>
        <v>6708</v>
      </c>
      <c r="D890" s="16" t="n">
        <f aca="false">D885-D884</f>
        <v>7680.46302</v>
      </c>
      <c r="E890" s="16" t="n">
        <f aca="false">E885-E884</f>
        <v>8809.80483511738</v>
      </c>
      <c r="F890" s="16" t="n">
        <f aca="false">F885-F884</f>
        <v>9789.61357738974</v>
      </c>
      <c r="G890" s="16" t="n">
        <f aca="false">G885-G884</f>
        <v>10574.4896148481</v>
      </c>
    </row>
    <row r="891" customFormat="false" ht="17.15" hidden="false" customHeight="false" outlineLevel="0" collapsed="false">
      <c r="A891" s="5" t="s">
        <v>573</v>
      </c>
      <c r="B891" s="0" t="s">
        <v>176</v>
      </c>
      <c r="D891" s="16" t="n">
        <f aca="false">cap_m26</f>
        <v>1200</v>
      </c>
      <c r="E891" s="16" t="n">
        <f aca="false">capi*E890</f>
        <v>1233.37267691643</v>
      </c>
      <c r="F891" s="16" t="n">
        <f aca="false">capi*F890</f>
        <v>1370.54590083456</v>
      </c>
      <c r="G891" s="16" t="n">
        <f aca="false">capi*G890</f>
        <v>1480.42854607873</v>
      </c>
      <c r="K891" s="8" t="s">
        <v>574</v>
      </c>
    </row>
    <row r="892" customFormat="false" ht="17.15" hidden="false" customHeight="false" outlineLevel="0" collapsed="false">
      <c r="A892" s="5" t="s">
        <v>575</v>
      </c>
      <c r="B892" s="0" t="s">
        <v>176</v>
      </c>
      <c r="C892" s="16" t="n">
        <f aca="false">a25_da</f>
        <v>642</v>
      </c>
      <c r="D892" s="16" t="n">
        <f aca="false">a26_da</f>
        <v>740.6</v>
      </c>
      <c r="E892" s="16" t="n">
        <f aca="false">D892*(1-1/life)+D891/life</f>
        <v>806.228571428572</v>
      </c>
      <c r="F892" s="16" t="n">
        <f aca="false">E892*(1-1/life)+E891/life</f>
        <v>867.249157926838</v>
      </c>
      <c r="G892" s="16" t="n">
        <f aca="false">F892*(1-1/life)+F891/life</f>
        <v>939.148692627941</v>
      </c>
      <c r="K892" s="5" t="s">
        <v>576</v>
      </c>
    </row>
    <row r="893" customFormat="false" ht="15" hidden="false" customHeight="false" outlineLevel="0" collapsed="false">
      <c r="A893" s="5" t="s">
        <v>577</v>
      </c>
      <c r="B893" s="0" t="s">
        <v>176</v>
      </c>
      <c r="E893" s="16" t="n">
        <f aca="false">0</f>
        <v>0</v>
      </c>
      <c r="F893" s="16" t="n">
        <f aca="false">az_capex1*(1-az_inc)/az_life*az_svc28</f>
        <v>94.7916666666667</v>
      </c>
      <c r="G893" s="16" t="n">
        <f aca="false">az_capex1*(1-az_inc)/az_life</f>
        <v>189.583333333333</v>
      </c>
    </row>
    <row r="894" customFormat="false" ht="15" hidden="false" customHeight="false" outlineLevel="0" collapsed="false">
      <c r="A894" s="5" t="s">
        <v>578</v>
      </c>
      <c r="B894" s="0" t="s">
        <v>176</v>
      </c>
      <c r="C894" s="16" t="n">
        <f aca="false">C892</f>
        <v>642</v>
      </c>
      <c r="D894" s="16" t="n">
        <f aca="false">D892</f>
        <v>740.6</v>
      </c>
      <c r="E894" s="16" t="n">
        <f aca="false">E892+E893</f>
        <v>806.228571428572</v>
      </c>
      <c r="F894" s="16" t="n">
        <f aca="false">F892+F893</f>
        <v>962.040824593504</v>
      </c>
      <c r="G894" s="16" t="n">
        <f aca="false">G892+G893</f>
        <v>1128.73202596127</v>
      </c>
    </row>
    <row r="895" customFormat="false" ht="17.15" hidden="false" customHeight="false" outlineLevel="0" collapsed="false">
      <c r="A895" s="5" t="s">
        <v>579</v>
      </c>
      <c r="B895" s="0" t="s">
        <v>176</v>
      </c>
      <c r="C895" s="16" t="n">
        <f aca="false">a25_gp</f>
        <v>938.6</v>
      </c>
      <c r="D895" s="16" t="n">
        <f aca="false">a26_gp</f>
        <v>1325.7873147</v>
      </c>
      <c r="E895" s="16" t="n">
        <f aca="false">$D895+ft*(E890-$D890)-(E892-$D892)</f>
        <v>1711.89546931838</v>
      </c>
      <c r="F895" s="16" t="n">
        <f aca="false">$D895+ft*(F890-$D890)-(F892-$D892)</f>
        <v>2042.79837972906</v>
      </c>
      <c r="G895" s="16" t="n">
        <f aca="false">$D895+ft*(G890-$D890)-(G892-$D892)</f>
        <v>2284.84926001129</v>
      </c>
      <c r="K895" s="5" t="s">
        <v>580</v>
      </c>
    </row>
    <row r="896" customFormat="false" ht="17.15" hidden="false" customHeight="false" outlineLevel="0" collapsed="false">
      <c r="A896" s="5" t="s">
        <v>581</v>
      </c>
      <c r="B896" s="0" t="s">
        <v>176</v>
      </c>
      <c r="E896" s="16" t="n">
        <f aca="false">E884*az_cm-az_fix27</f>
        <v>-120</v>
      </c>
      <c r="F896" s="16" t="n">
        <f aca="false">F884*az_cm-az_fix28-F893</f>
        <v>-112.291666666667</v>
      </c>
      <c r="G896" s="16" t="n">
        <f aca="false">G884*az_cm-az_fix29-G893</f>
        <v>-14.5833333333333</v>
      </c>
      <c r="K896" s="8" t="s">
        <v>582</v>
      </c>
    </row>
    <row r="897" customFormat="false" ht="15" hidden="false" customHeight="false" outlineLevel="0" collapsed="false">
      <c r="A897" s="5" t="s">
        <v>458</v>
      </c>
      <c r="B897" s="0" t="s">
        <v>176</v>
      </c>
      <c r="C897" s="16" t="n">
        <f aca="false">a25_gp</f>
        <v>938.6</v>
      </c>
      <c r="D897" s="16" t="n">
        <f aca="false">a26_gp</f>
        <v>1325.7873147</v>
      </c>
      <c r="E897" s="16" t="n">
        <f aca="false">E895+E896</f>
        <v>1591.89546931838</v>
      </c>
      <c r="F897" s="16" t="n">
        <f aca="false">F895+F896</f>
        <v>1930.50671306239</v>
      </c>
      <c r="G897" s="16" t="n">
        <f aca="false">G895+G896</f>
        <v>2270.26592667796</v>
      </c>
    </row>
    <row r="898" customFormat="false" ht="15" hidden="false" customHeight="false" outlineLevel="0" collapsed="false">
      <c r="A898" s="5" t="s">
        <v>461</v>
      </c>
      <c r="B898" s="0" t="s">
        <v>77</v>
      </c>
      <c r="C898" s="17" t="n">
        <f aca="false">C897/C885</f>
        <v>0.139922480620155</v>
      </c>
      <c r="D898" s="17" t="n">
        <f aca="false">D897/D885</f>
        <v>0.172618149615152</v>
      </c>
      <c r="E898" s="17" t="n">
        <f aca="false">E897/E885</f>
        <v>0.180695883633292</v>
      </c>
      <c r="F898" s="17" t="n">
        <f aca="false">F897/F885</f>
        <v>0.194223517647993</v>
      </c>
      <c r="G898" s="17" t="n">
        <f aca="false">G897/G885</f>
        <v>0.204999598684359</v>
      </c>
    </row>
    <row r="899" customFormat="false" ht="17.15" hidden="false" customHeight="false" outlineLevel="0" collapsed="false">
      <c r="A899" s="5" t="s">
        <v>583</v>
      </c>
      <c r="B899" s="0" t="s">
        <v>584</v>
      </c>
      <c r="E899" s="17" t="n">
        <f aca="false">E896/E885</f>
        <v>-0.0136211871029946</v>
      </c>
      <c r="F899" s="17" t="n">
        <f aca="false">F896/F885</f>
        <v>-0.0112973875485566</v>
      </c>
      <c r="G899" s="17" t="n">
        <f aca="false">G896/G885</f>
        <v>-0.00131684021932539</v>
      </c>
      <c r="K899" s="5" t="s">
        <v>585</v>
      </c>
    </row>
    <row r="900" customFormat="false" ht="17.15" hidden="false" customHeight="false" outlineLevel="0" collapsed="false">
      <c r="A900" s="5" t="s">
        <v>463</v>
      </c>
      <c r="B900" s="0" t="s">
        <v>176</v>
      </c>
      <c r="C900" s="16" t="n">
        <f aca="false">a25_opx</f>
        <v>471.2</v>
      </c>
      <c r="D900" s="16" t="n">
        <f aca="false">a26_opx</f>
        <v>537.5</v>
      </c>
      <c r="E900" s="16" t="n">
        <f aca="false">(D900+opx_gain)*(1+phi_hi*E886)</f>
        <v>640.622315034993</v>
      </c>
      <c r="F900" s="16" t="n">
        <f aca="false">E900*(1+phi_hi*F886)</f>
        <v>722.778583597967</v>
      </c>
      <c r="G900" s="16" t="n">
        <f aca="false">F900*(1+phi_hi*G886)</f>
        <v>805.303330513615</v>
      </c>
      <c r="K900" s="8" t="s">
        <v>586</v>
      </c>
    </row>
    <row r="901" customFormat="false" ht="15" hidden="false" customHeight="false" outlineLevel="0" collapsed="false">
      <c r="A901" s="5" t="s">
        <v>466</v>
      </c>
      <c r="B901" s="0" t="s">
        <v>176</v>
      </c>
      <c r="C901" s="16" t="n">
        <f aca="false">C897-C900</f>
        <v>467.4</v>
      </c>
      <c r="D901" s="16" t="n">
        <f aca="false">D897-D900</f>
        <v>788.2873147</v>
      </c>
      <c r="E901" s="16" t="n">
        <f aca="false">E897-E900</f>
        <v>951.273154283387</v>
      </c>
      <c r="F901" s="16" t="n">
        <f aca="false">F897-F900</f>
        <v>1207.72812946442</v>
      </c>
      <c r="G901" s="16" t="n">
        <f aca="false">G897-G900</f>
        <v>1464.96259616434</v>
      </c>
    </row>
    <row r="902" customFormat="false" ht="15" hidden="false" customHeight="false" outlineLevel="0" collapsed="false">
      <c r="A902" s="5" t="s">
        <v>540</v>
      </c>
      <c r="B902" s="0" t="s">
        <v>77</v>
      </c>
      <c r="C902" s="17" t="n">
        <f aca="false">C901/C885</f>
        <v>0.0696779964221825</v>
      </c>
      <c r="D902" s="17" t="n">
        <f aca="false">D901/D885</f>
        <v>0.102635389643475</v>
      </c>
      <c r="E902" s="17" t="n">
        <f aca="false">E901/E885</f>
        <v>0.107978913504582</v>
      </c>
      <c r="F902" s="17" t="n">
        <f aca="false">F901/F885</f>
        <v>0.121506547519284</v>
      </c>
      <c r="G902" s="17" t="n">
        <f aca="false">G901/G885</f>
        <v>0.132282628555649</v>
      </c>
    </row>
    <row r="903" customFormat="false" ht="15" hidden="false" customHeight="false" outlineLevel="0" collapsed="false">
      <c r="A903" s="5" t="s">
        <v>587</v>
      </c>
      <c r="B903" s="0" t="s">
        <v>176</v>
      </c>
      <c r="C903" s="16" t="n">
        <f aca="false">a25_nonop</f>
        <v>-22.7</v>
      </c>
      <c r="D903" s="16" t="n">
        <f aca="false">a26_nonop</f>
        <v>-0.700000000000003</v>
      </c>
      <c r="E903" s="16" t="n">
        <f aca="false">nonop27</f>
        <v>-20</v>
      </c>
      <c r="F903" s="16" t="n">
        <f aca="false">nonop28</f>
        <v>-40</v>
      </c>
      <c r="G903" s="16" t="n">
        <f aca="false">nonop29</f>
        <v>-60</v>
      </c>
    </row>
    <row r="904" customFormat="false" ht="15" hidden="false" customHeight="false" outlineLevel="0" collapsed="false">
      <c r="A904" s="5" t="s">
        <v>471</v>
      </c>
      <c r="B904" s="0" t="s">
        <v>176</v>
      </c>
      <c r="C904" s="16" t="n">
        <f aca="false">C901+C903</f>
        <v>444.7</v>
      </c>
      <c r="D904" s="16" t="n">
        <f aca="false">D901+D903</f>
        <v>787.5873147</v>
      </c>
      <c r="E904" s="16" t="n">
        <f aca="false">E901+E903</f>
        <v>931.273154283387</v>
      </c>
      <c r="F904" s="16" t="n">
        <f aca="false">F901+F903</f>
        <v>1167.72812946442</v>
      </c>
      <c r="G904" s="16" t="n">
        <f aca="false">G901+G903</f>
        <v>1404.96259616434</v>
      </c>
    </row>
    <row r="905" customFormat="false" ht="15" hidden="false" customHeight="false" outlineLevel="0" collapsed="false">
      <c r="A905" s="5" t="s">
        <v>472</v>
      </c>
      <c r="B905" s="0" t="s">
        <v>176</v>
      </c>
      <c r="C905" s="16" t="n">
        <f aca="false">a25_tax</f>
        <v>68.5</v>
      </c>
      <c r="D905" s="16" t="n">
        <f aca="false">a26_tax</f>
        <v>138.23746294</v>
      </c>
      <c r="E905" s="16" t="n">
        <f aca="false">E904*tax</f>
        <v>186.254630856677</v>
      </c>
      <c r="F905" s="16" t="n">
        <f aca="false">F904*tax</f>
        <v>233.545625892884</v>
      </c>
      <c r="G905" s="16" t="n">
        <f aca="false">G904*tax</f>
        <v>280.992519232869</v>
      </c>
    </row>
    <row r="906" customFormat="false" ht="15" hidden="false" customHeight="false" outlineLevel="0" collapsed="false">
      <c r="A906" s="5" t="s">
        <v>474</v>
      </c>
      <c r="B906" s="0" t="s">
        <v>176</v>
      </c>
      <c r="C906" s="16" t="n">
        <f aca="false">a25_nci</f>
        <v>2.30000000000007</v>
      </c>
      <c r="D906" s="16" t="n">
        <f aca="false">a26_nci</f>
        <v>3.7</v>
      </c>
      <c r="E906" s="16" t="n">
        <f aca="false">nci</f>
        <v>3</v>
      </c>
      <c r="F906" s="16" t="n">
        <f aca="false">nci</f>
        <v>3</v>
      </c>
      <c r="G906" s="16" t="n">
        <f aca="false">nci</f>
        <v>3</v>
      </c>
    </row>
    <row r="907" customFormat="false" ht="15" hidden="false" customHeight="false" outlineLevel="0" collapsed="false">
      <c r="A907" s="5" t="s">
        <v>476</v>
      </c>
      <c r="B907" s="0" t="s">
        <v>176</v>
      </c>
      <c r="C907" s="16" t="n">
        <f aca="false">C904-C905-C906</f>
        <v>373.9</v>
      </c>
      <c r="D907" s="16" t="n">
        <f aca="false">D904-D905-D906</f>
        <v>645.64985176</v>
      </c>
      <c r="E907" s="16" t="n">
        <f aca="false">E904-E905-E906</f>
        <v>742.01852342671</v>
      </c>
      <c r="F907" s="16" t="n">
        <f aca="false">F904-F905-F906</f>
        <v>931.182503571538</v>
      </c>
      <c r="G907" s="16" t="n">
        <f aca="false">G904-G905-G906</f>
        <v>1120.97007693148</v>
      </c>
      <c r="H907" s="29" t="n">
        <f aca="false">H885*H911</f>
        <v>1266.9698003472</v>
      </c>
      <c r="I907" s="29" t="n">
        <f aca="false">I885*I911</f>
        <v>1407.10858263351</v>
      </c>
      <c r="J907" s="29" t="n">
        <f aca="false">J885*J911</f>
        <v>1535.24987238976</v>
      </c>
    </row>
    <row r="908" customFormat="false" ht="15" hidden="false" customHeight="false" outlineLevel="0" collapsed="false">
      <c r="A908" s="5" t="s">
        <v>588</v>
      </c>
      <c r="B908" s="5" t="s">
        <v>310</v>
      </c>
      <c r="C908" s="21" t="n">
        <f aca="false">a25_sh</f>
        <v>248.5</v>
      </c>
      <c r="D908" s="21" t="n">
        <f aca="false">a26_sh</f>
        <v>249.915</v>
      </c>
      <c r="E908" s="21" t="n">
        <f aca="false">D908*(1+sh_g)</f>
        <v>249.915</v>
      </c>
      <c r="F908" s="21" t="n">
        <f aca="false">E908*(1+sh_g)</f>
        <v>249.915</v>
      </c>
      <c r="G908" s="21" t="n">
        <f aca="false">F908*(1+sh_g)</f>
        <v>249.915</v>
      </c>
      <c r="H908" s="30" t="n">
        <f aca="false">G908*(1+sh_g)</f>
        <v>249.915</v>
      </c>
      <c r="I908" s="30" t="n">
        <f aca="false">H908*(1+sh_g)</f>
        <v>249.915</v>
      </c>
      <c r="J908" s="30" t="n">
        <f aca="false">I908*(1+sh_g)</f>
        <v>249.915</v>
      </c>
    </row>
    <row r="909" customFormat="false" ht="17.15" hidden="false" customHeight="false" outlineLevel="0" collapsed="false">
      <c r="A909" s="0" t="s">
        <v>480</v>
      </c>
      <c r="B909" s="0" t="s">
        <v>331</v>
      </c>
      <c r="C909" s="18" t="n">
        <f aca="false">C907/C908</f>
        <v>1.5046277665996</v>
      </c>
      <c r="D909" s="18" t="n">
        <f aca="false">D907/D908</f>
        <v>2.58347778948843</v>
      </c>
      <c r="E909" s="18" t="n">
        <f aca="false">E907/E908</f>
        <v>2.96908358212476</v>
      </c>
      <c r="F909" s="18" t="n">
        <f aca="false">F907/F908</f>
        <v>3.72599685321624</v>
      </c>
      <c r="G909" s="18" t="n">
        <f aca="false">G907/G908</f>
        <v>4.48540534554339</v>
      </c>
      <c r="H909" s="27" t="n">
        <f aca="false">H907/H908</f>
        <v>5.06960286636337</v>
      </c>
      <c r="I909" s="27" t="n">
        <f aca="false">I907/I908</f>
        <v>5.63034864907471</v>
      </c>
      <c r="J909" s="27" t="n">
        <f aca="false">J907/J908</f>
        <v>6.14308813952647</v>
      </c>
    </row>
    <row r="910" customFormat="false" ht="17.15" hidden="false" customHeight="false" outlineLevel="0" collapsed="false">
      <c r="A910" s="0" t="s">
        <v>589</v>
      </c>
      <c r="B910" s="0" t="s">
        <v>77</v>
      </c>
      <c r="D910" s="20" t="n">
        <f aca="false">D909/C909-1</f>
        <v>0.717021210719106</v>
      </c>
      <c r="E910" s="20" t="n">
        <f aca="false">E909/D909-1</f>
        <v>0.149258412131614</v>
      </c>
      <c r="F910" s="20" t="n">
        <f aca="false">F909/E909-1</f>
        <v>0.254931614471363</v>
      </c>
      <c r="G910" s="20" t="n">
        <f aca="false">G909/F909-1</f>
        <v>0.203813508771922</v>
      </c>
      <c r="H910" s="25" t="n">
        <f aca="false">H909/G909-1</f>
        <v>0.13024408627872</v>
      </c>
      <c r="I910" s="25" t="n">
        <f aca="false">I909/H909-1</f>
        <v>0.110609410143715</v>
      </c>
      <c r="J910" s="25" t="n">
        <f aca="false">J909/I909-1</f>
        <v>0.0910670941374161</v>
      </c>
    </row>
    <row r="911" customFormat="false" ht="17.15" hidden="false" customHeight="false" outlineLevel="0" collapsed="false">
      <c r="A911" s="5" t="s">
        <v>590</v>
      </c>
      <c r="B911" s="0" t="s">
        <v>77</v>
      </c>
      <c r="C911" s="17" t="n">
        <f aca="false">C907/C885</f>
        <v>0.0557394156231365</v>
      </c>
      <c r="D911" s="17" t="n">
        <f aca="false">D907/D885</f>
        <v>0.0840639229794768</v>
      </c>
      <c r="E911" s="17" t="n">
        <f aca="false">E907/E885</f>
        <v>0.0842264428456914</v>
      </c>
      <c r="F911" s="17" t="n">
        <f aca="false">F907/F885</f>
        <v>0.0936839743639287</v>
      </c>
      <c r="G911" s="17" t="n">
        <f aca="false">G907/G885</f>
        <v>0.101220924477507</v>
      </c>
      <c r="H911" s="26" t="n">
        <f aca="false">$G911+(fade_mA-$G911)*1/3</f>
        <v>0.104372290074433</v>
      </c>
      <c r="I911" s="26" t="n">
        <f aca="false">$G911+(fade_mA-$G911)*2/3</f>
        <v>0.107523655671358</v>
      </c>
      <c r="J911" s="26" t="n">
        <f aca="false">$G911+(fade_mA-$G911)*3/3</f>
        <v>0.110675021268284</v>
      </c>
    </row>
    <row r="914" customFormat="false" ht="17.15" hidden="false" customHeight="false" outlineLevel="0" collapsed="false">
      <c r="A914" s="3" t="s">
        <v>938</v>
      </c>
    </row>
    <row r="915" customFormat="false" ht="17.15" hidden="false" customHeight="false" outlineLevel="0" collapsed="false">
      <c r="A915" s="6" t="s">
        <v>22</v>
      </c>
      <c r="B915" s="6" t="s">
        <v>23</v>
      </c>
      <c r="C915" s="14" t="s">
        <v>437</v>
      </c>
      <c r="D915" s="14" t="s">
        <v>527</v>
      </c>
      <c r="E915" s="14" t="s">
        <v>528</v>
      </c>
      <c r="F915" s="14" t="s">
        <v>529</v>
      </c>
      <c r="G915" s="14" t="s">
        <v>530</v>
      </c>
      <c r="H915" s="14" t="s">
        <v>531</v>
      </c>
      <c r="I915" s="14" t="s">
        <v>532</v>
      </c>
      <c r="J915" s="14" t="s">
        <v>533</v>
      </c>
      <c r="K915" s="6" t="s">
        <v>503</v>
      </c>
    </row>
    <row r="916" customFormat="false" ht="17.15" hidden="false" customHeight="false" outlineLevel="0" collapsed="false">
      <c r="A916" s="1" t="s">
        <v>551</v>
      </c>
    </row>
    <row r="917" customFormat="false" ht="17.15" hidden="false" customHeight="false" outlineLevel="0" collapsed="false">
      <c r="A917" s="0" t="s">
        <v>552</v>
      </c>
      <c r="B917" s="5" t="s">
        <v>33</v>
      </c>
      <c r="D917" s="18" t="n">
        <f aca="false">units_26</f>
        <v>15.2</v>
      </c>
      <c r="E917" s="18" t="n">
        <f aca="false">units_27*1</f>
        <v>23.7</v>
      </c>
      <c r="F917" s="18" t="n">
        <f aca="false">units_28*um28_A*1</f>
        <v>26.5</v>
      </c>
      <c r="G917" s="18" t="n">
        <f aca="false">units_29*um29_A*1</f>
        <v>30.15</v>
      </c>
    </row>
    <row r="918" customFormat="false" ht="17.15" hidden="false" customHeight="false" outlineLevel="0" collapsed="false">
      <c r="A918" s="5" t="s">
        <v>506</v>
      </c>
      <c r="B918" s="0" t="s">
        <v>46</v>
      </c>
      <c r="D918" s="22" t="n">
        <f aca="false">ar_26</f>
        <v>1</v>
      </c>
      <c r="E918" s="22" t="n">
        <f aca="false">ar_27</f>
        <v>1.278156</v>
      </c>
      <c r="F918" s="22" t="n">
        <f aca="false">ar_28</f>
        <v>1.428615</v>
      </c>
      <c r="G918" s="22" t="n">
        <f aca="false">ar_29</f>
        <v>1.431796</v>
      </c>
    </row>
    <row r="919" customFormat="false" ht="17.15" hidden="false" customHeight="false" outlineLevel="0" collapsed="false">
      <c r="A919" s="5" t="s">
        <v>508</v>
      </c>
      <c r="B919" s="0" t="s">
        <v>77</v>
      </c>
      <c r="D919" s="20" t="n">
        <f aca="false">out_26</f>
        <v>0.5</v>
      </c>
      <c r="E919" s="20" t="n">
        <f aca="false">out_27</f>
        <v>0.55</v>
      </c>
      <c r="F919" s="20" t="n">
        <f aca="false">out_28</f>
        <v>0.6</v>
      </c>
      <c r="G919" s="20" t="n">
        <f aca="false">out_29</f>
        <v>0.6</v>
      </c>
      <c r="K919" s="8" t="s">
        <v>553</v>
      </c>
    </row>
    <row r="920" customFormat="false" ht="17.15" hidden="false" customHeight="false" outlineLevel="0" collapsed="false">
      <c r="A920" s="0" t="s">
        <v>509</v>
      </c>
      <c r="B920" s="0" t="s">
        <v>77</v>
      </c>
      <c r="D920" s="20" t="n">
        <f aca="false">sh_26</f>
        <v>0.35</v>
      </c>
      <c r="E920" s="20" t="n">
        <f aca="false">sh_27</f>
        <v>0.35</v>
      </c>
      <c r="F920" s="20" t="n">
        <f aca="false">sh_28</f>
        <v>0.37</v>
      </c>
      <c r="G920" s="20" t="n">
        <f aca="false">sh_29</f>
        <v>0.38</v>
      </c>
    </row>
    <row r="921" customFormat="false" ht="17.15" hidden="false" customHeight="false" outlineLevel="0" collapsed="false">
      <c r="A921" s="0" t="s">
        <v>554</v>
      </c>
      <c r="B921" s="0" t="s">
        <v>176</v>
      </c>
      <c r="C921" s="16" t="n">
        <f aca="false">(a26_comp-a25_comp*(1+g_pc26))/(tri-(1+g_pc26))</f>
        <v>287.089852216749</v>
      </c>
      <c r="D921" s="16" t="n">
        <f aca="false">C921*tri</f>
        <v>861.269556650246</v>
      </c>
      <c r="E921" s="16" t="n">
        <f aca="false">E917*E919*E920*E922</f>
        <v>1670.04614466713</v>
      </c>
      <c r="F921" s="16" t="n">
        <f aca="false">F917*F919*F920*F922</f>
        <v>2276.74248157798</v>
      </c>
      <c r="G921" s="16" t="n">
        <f aca="false">G917*G919*G920*G922</f>
        <v>2663.30065379686</v>
      </c>
      <c r="K921" s="8" t="s">
        <v>555</v>
      </c>
    </row>
    <row r="922" customFormat="false" ht="17.15" hidden="false" customHeight="false" outlineLevel="0" collapsed="false">
      <c r="A922" s="5" t="s">
        <v>556</v>
      </c>
      <c r="B922" s="0" t="s">
        <v>511</v>
      </c>
      <c r="D922" s="23" t="n">
        <f aca="false">D921/(D917*D919*D920)</f>
        <v>323.785547612874</v>
      </c>
      <c r="E922" s="23" t="n">
        <f aca="false">$D922*E918^el</f>
        <v>366.057569108912</v>
      </c>
      <c r="F922" s="23" t="n">
        <f aca="false">$D922*F918^el</f>
        <v>387.003651466596</v>
      </c>
      <c r="G922" s="23" t="n">
        <f aca="false">$D922*G918^el</f>
        <v>387.434269267239</v>
      </c>
      <c r="K922" s="8" t="s">
        <v>557</v>
      </c>
    </row>
    <row r="923" customFormat="false" ht="17.15" hidden="false" customHeight="false" outlineLevel="0" collapsed="false">
      <c r="A923" s="5" t="s">
        <v>515</v>
      </c>
      <c r="B923" s="0" t="s">
        <v>511</v>
      </c>
      <c r="D923" s="16" t="n">
        <f aca="false">D921/D917</f>
        <v>56.662470832253</v>
      </c>
      <c r="E923" s="16" t="n">
        <f aca="false">E921/E917</f>
        <v>70.4660820534656</v>
      </c>
      <c r="F923" s="16" t="n">
        <f aca="false">F921/F917</f>
        <v>85.9148106255842</v>
      </c>
      <c r="G923" s="16" t="n">
        <f aca="false">G921/G917</f>
        <v>88.3350133929306</v>
      </c>
      <c r="K923" s="5" t="s">
        <v>558</v>
      </c>
    </row>
    <row r="924" customFormat="false" ht="17.15" hidden="false" customHeight="false" outlineLevel="0" collapsed="false">
      <c r="A924" s="1" t="s">
        <v>559</v>
      </c>
    </row>
    <row r="925" customFormat="false" ht="17.15" hidden="false" customHeight="false" outlineLevel="0" collapsed="false">
      <c r="A925" s="5" t="s">
        <v>560</v>
      </c>
      <c r="B925" s="0" t="s">
        <v>176</v>
      </c>
      <c r="C925" s="16" t="n">
        <f aca="false">a25_comp-C921</f>
        <v>1054.51014778325</v>
      </c>
      <c r="D925" s="16" t="n">
        <f aca="false">a26_comp-D921</f>
        <v>1022.87484334975</v>
      </c>
      <c r="E925" s="16" t="n">
        <f aca="false">D925*(1+g_pc)</f>
        <v>1053.56108865025</v>
      </c>
      <c r="F925" s="16" t="n">
        <f aca="false">E925*(1+g_pc)</f>
        <v>1085.16792130975</v>
      </c>
      <c r="G925" s="16" t="n">
        <f aca="false">F925*(1+g_pc)</f>
        <v>1117.72295894905</v>
      </c>
    </row>
    <row r="926" customFormat="false" ht="15" hidden="false" customHeight="false" outlineLevel="0" collapsed="false">
      <c r="A926" s="5" t="s">
        <v>561</v>
      </c>
      <c r="B926" s="0" t="s">
        <v>176</v>
      </c>
      <c r="C926" s="16" t="n">
        <f aca="false">C921+C925</f>
        <v>1341.6</v>
      </c>
      <c r="D926" s="16" t="n">
        <f aca="false">D921+D925</f>
        <v>1884.1444</v>
      </c>
      <c r="E926" s="16" t="n">
        <f aca="false">E921+E925</f>
        <v>2723.60723331738</v>
      </c>
      <c r="F926" s="16" t="n">
        <f aca="false">F921+F925</f>
        <v>3361.91040288774</v>
      </c>
      <c r="G926" s="16" t="n">
        <f aca="false">G921+G925</f>
        <v>3781.0236127459</v>
      </c>
    </row>
    <row r="927" customFormat="false" ht="17.15" hidden="false" customHeight="false" outlineLevel="0" collapsed="false">
      <c r="A927" s="5" t="s">
        <v>562</v>
      </c>
      <c r="B927" s="0" t="s">
        <v>176</v>
      </c>
      <c r="C927" s="16" t="n">
        <f aca="false">a25_cm</f>
        <v>3085.68</v>
      </c>
      <c r="D927" s="16" t="n">
        <f aca="false">a26_cm</f>
        <v>3041.87176</v>
      </c>
      <c r="E927" s="16" t="n">
        <f aca="false">D927*(1+g_cm27_A)</f>
        <v>3133.1279128</v>
      </c>
      <c r="F927" s="16" t="n">
        <f aca="false">E927*(1+g_cmL_A)</f>
        <v>3258.453029312</v>
      </c>
      <c r="G927" s="16" t="n">
        <f aca="false">F927*(1+g_cmL_A)</f>
        <v>3388.79115048448</v>
      </c>
    </row>
    <row r="928" customFormat="false" ht="15" hidden="false" customHeight="false" outlineLevel="0" collapsed="false">
      <c r="A928" s="5" t="s">
        <v>563</v>
      </c>
      <c r="B928" s="0" t="s">
        <v>176</v>
      </c>
      <c r="C928" s="16" t="n">
        <f aca="false">a25_au</f>
        <v>1274.52</v>
      </c>
      <c r="D928" s="16" t="n">
        <f aca="false">a26_au</f>
        <v>1656.99176</v>
      </c>
      <c r="E928" s="16" t="n">
        <f aca="false">D928*(1+g_au)</f>
        <v>1822.690936</v>
      </c>
      <c r="F928" s="16" t="n">
        <f aca="false">E928*(1+g_au)</f>
        <v>2004.9600296</v>
      </c>
      <c r="G928" s="16" t="n">
        <f aca="false">F928*(1+g_au)</f>
        <v>2205.45603256</v>
      </c>
    </row>
    <row r="929" customFormat="false" ht="15" hidden="false" customHeight="false" outlineLevel="0" collapsed="false">
      <c r="A929" s="5" t="s">
        <v>564</v>
      </c>
      <c r="B929" s="0" t="s">
        <v>176</v>
      </c>
      <c r="C929" s="16" t="n">
        <f aca="false">a25_cs</f>
        <v>1006.2</v>
      </c>
      <c r="D929" s="16" t="n">
        <f aca="false">a26_cs</f>
        <v>1097.4551</v>
      </c>
      <c r="E929" s="16" t="n">
        <f aca="false">D929*(1+g_cs)</f>
        <v>1130.378753</v>
      </c>
      <c r="F929" s="16" t="n">
        <f aca="false">E929*(1+g_cs)</f>
        <v>1164.29011559</v>
      </c>
      <c r="G929" s="16" t="n">
        <f aca="false">F929*(1+g_cs)</f>
        <v>1199.2188190577</v>
      </c>
    </row>
    <row r="930" customFormat="false" ht="17.15" hidden="false" customHeight="false" outlineLevel="0" collapsed="false">
      <c r="A930" s="5" t="s">
        <v>565</v>
      </c>
      <c r="B930" s="0" t="s">
        <v>176</v>
      </c>
      <c r="C930" s="16" t="n">
        <f aca="false">0</f>
        <v>0</v>
      </c>
      <c r="D930" s="16" t="n">
        <f aca="false">0</f>
        <v>0</v>
      </c>
      <c r="E930" s="16" t="n">
        <f aca="false">0</f>
        <v>0</v>
      </c>
      <c r="F930" s="16" t="n">
        <f aca="false">az_rev28_A</f>
        <v>150</v>
      </c>
      <c r="G930" s="16" t="n">
        <f aca="false">az_rev29_A</f>
        <v>500</v>
      </c>
      <c r="K930" s="5" t="s">
        <v>566</v>
      </c>
    </row>
    <row r="931" customFormat="false" ht="17.15" hidden="false" customHeight="false" outlineLevel="0" collapsed="false">
      <c r="A931" s="5" t="s">
        <v>444</v>
      </c>
      <c r="B931" s="0" t="s">
        <v>176</v>
      </c>
      <c r="C931" s="16" t="n">
        <f aca="false">C926+C927+C928+C929+C930</f>
        <v>6708</v>
      </c>
      <c r="D931" s="16" t="n">
        <f aca="false">D926+D927+D928+D929+D930</f>
        <v>7680.46302</v>
      </c>
      <c r="E931" s="16" t="n">
        <f aca="false">E926+E927+E928+E929+E930</f>
        <v>8809.80483511738</v>
      </c>
      <c r="F931" s="16" t="n">
        <f aca="false">F926+F927+F928+F929+F930</f>
        <v>9939.61357738974</v>
      </c>
      <c r="G931" s="16" t="n">
        <f aca="false">G926+G927+G928+G929+G930</f>
        <v>11074.4896148481</v>
      </c>
      <c r="H931" s="29" t="n">
        <f aca="false">G931*(1+H932)</f>
        <v>12138.9479855589</v>
      </c>
      <c r="I931" s="29" t="n">
        <f aca="false">H931*(1+I932)</f>
        <v>13086.5024430928</v>
      </c>
      <c r="J931" s="29" t="n">
        <f aca="false">I931*(1+J932)</f>
        <v>13871.6925896784</v>
      </c>
      <c r="K931" s="8" t="s">
        <v>567</v>
      </c>
    </row>
    <row r="932" customFormat="false" ht="15" hidden="false" customHeight="false" outlineLevel="0" collapsed="false">
      <c r="A932" s="5" t="s">
        <v>568</v>
      </c>
      <c r="B932" s="0" t="s">
        <v>77</v>
      </c>
      <c r="D932" s="20" t="n">
        <f aca="false">D931/C931-1</f>
        <v>0.144970635062612</v>
      </c>
      <c r="E932" s="20" t="n">
        <f aca="false">E931/D931-1</f>
        <v>0.147040850555046</v>
      </c>
      <c r="F932" s="20" t="n">
        <f aca="false">F931/E931-1</f>
        <v>0.128244468909089</v>
      </c>
      <c r="G932" s="20" t="n">
        <f aca="false">G931/F931-1</f>
        <v>0.114177078275953</v>
      </c>
      <c r="H932" s="25" t="n">
        <f aca="false">$G932+(fade_gA-$G932)*1/3</f>
        <v>0.0961180521839684</v>
      </c>
      <c r="I932" s="25" t="n">
        <f aca="false">$G932+(fade_gA-$G932)*2/3</f>
        <v>0.0780590260919842</v>
      </c>
      <c r="J932" s="25" t="n">
        <f aca="false">$G932+(fade_gA-$G932)*3/3</f>
        <v>0.06</v>
      </c>
    </row>
    <row r="933" customFormat="false" ht="17.15" hidden="false" customHeight="false" outlineLevel="0" collapsed="false">
      <c r="A933" s="0" t="s">
        <v>569</v>
      </c>
      <c r="B933" s="0" t="s">
        <v>77</v>
      </c>
      <c r="C933" s="20" t="n">
        <f aca="false">C921/C931</f>
        <v>0.042798129430046</v>
      </c>
      <c r="D933" s="20" t="n">
        <f aca="false">D921/D931</f>
        <v>0.112137712844589</v>
      </c>
      <c r="E933" s="20" t="n">
        <f aca="false">E921/E931</f>
        <v>0.189566758392881</v>
      </c>
      <c r="F933" s="20" t="n">
        <f aca="false">F921/F931</f>
        <v>0.229057444120064</v>
      </c>
      <c r="G933" s="20" t="n">
        <f aca="false">G921/G931</f>
        <v>0.240489697170879</v>
      </c>
    </row>
    <row r="934" customFormat="false" ht="17.15" hidden="false" customHeight="false" outlineLevel="0" collapsed="false">
      <c r="A934" s="5" t="s">
        <v>570</v>
      </c>
      <c r="B934" s="0" t="s">
        <v>77</v>
      </c>
      <c r="C934" s="20" t="n">
        <f aca="false">C927/C931</f>
        <v>0.46</v>
      </c>
      <c r="D934" s="20" t="n">
        <f aca="false">D927/D931</f>
        <v>0.396053174408748</v>
      </c>
      <c r="E934" s="20" t="n">
        <f aca="false">E927/E931</f>
        <v>0.355641012648864</v>
      </c>
      <c r="F934" s="20" t="n">
        <f aca="false">F927/F931</f>
        <v>0.32782492034944</v>
      </c>
      <c r="G934" s="20" t="n">
        <f aca="false">G927/G931</f>
        <v>0.305999758755561</v>
      </c>
    </row>
    <row r="935" customFormat="false" ht="17.15" hidden="false" customHeight="false" outlineLevel="0" collapsed="false">
      <c r="A935" s="1" t="s">
        <v>571</v>
      </c>
    </row>
    <row r="936" customFormat="false" ht="15" hidden="false" customHeight="false" outlineLevel="0" collapsed="false">
      <c r="A936" s="5" t="s">
        <v>572</v>
      </c>
      <c r="B936" s="0" t="s">
        <v>176</v>
      </c>
      <c r="C936" s="16" t="n">
        <f aca="false">C931-C930</f>
        <v>6708</v>
      </c>
      <c r="D936" s="16" t="n">
        <f aca="false">D931-D930</f>
        <v>7680.46302</v>
      </c>
      <c r="E936" s="16" t="n">
        <f aca="false">E931-E930</f>
        <v>8809.80483511738</v>
      </c>
      <c r="F936" s="16" t="n">
        <f aca="false">F931-F930</f>
        <v>9789.61357738974</v>
      </c>
      <c r="G936" s="16" t="n">
        <f aca="false">G931-G930</f>
        <v>10574.4896148481</v>
      </c>
    </row>
    <row r="937" customFormat="false" ht="17.15" hidden="false" customHeight="false" outlineLevel="0" collapsed="false">
      <c r="A937" s="5" t="s">
        <v>573</v>
      </c>
      <c r="B937" s="0" t="s">
        <v>176</v>
      </c>
      <c r="D937" s="16" t="n">
        <f aca="false">cap_m26</f>
        <v>1200</v>
      </c>
      <c r="E937" s="16" t="n">
        <f aca="false">capi*E936</f>
        <v>1233.37267691643</v>
      </c>
      <c r="F937" s="16" t="n">
        <f aca="false">capi*F936</f>
        <v>1370.54590083456</v>
      </c>
      <c r="G937" s="16" t="n">
        <f aca="false">capi*G936</f>
        <v>1480.42854607873</v>
      </c>
      <c r="K937" s="8" t="s">
        <v>574</v>
      </c>
    </row>
    <row r="938" customFormat="false" ht="17.15" hidden="false" customHeight="false" outlineLevel="0" collapsed="false">
      <c r="A938" s="5" t="s">
        <v>575</v>
      </c>
      <c r="B938" s="0" t="s">
        <v>176</v>
      </c>
      <c r="C938" s="16" t="n">
        <f aca="false">a25_da</f>
        <v>642</v>
      </c>
      <c r="D938" s="16" t="n">
        <f aca="false">a26_da</f>
        <v>740.6</v>
      </c>
      <c r="E938" s="16" t="n">
        <f aca="false">D938*(1-1/life)+D937/life</f>
        <v>806.228571428572</v>
      </c>
      <c r="F938" s="16" t="n">
        <f aca="false">E938*(1-1/life)+E937/life</f>
        <v>867.249157926838</v>
      </c>
      <c r="G938" s="16" t="n">
        <f aca="false">F938*(1-1/life)+F937/life</f>
        <v>939.148692627941</v>
      </c>
      <c r="K938" s="5" t="s">
        <v>576</v>
      </c>
    </row>
    <row r="939" customFormat="false" ht="15" hidden="false" customHeight="false" outlineLevel="0" collapsed="false">
      <c r="A939" s="5" t="s">
        <v>577</v>
      </c>
      <c r="B939" s="0" t="s">
        <v>176</v>
      </c>
      <c r="E939" s="16" t="n">
        <f aca="false">0</f>
        <v>0</v>
      </c>
      <c r="F939" s="16" t="n">
        <f aca="false">az_capex1*(1-az_inc)/az_life*az_svc28</f>
        <v>94.7916666666667</v>
      </c>
      <c r="G939" s="16" t="n">
        <f aca="false">az_capex1*(1-az_inc)/az_life</f>
        <v>189.583333333333</v>
      </c>
    </row>
    <row r="940" customFormat="false" ht="15" hidden="false" customHeight="false" outlineLevel="0" collapsed="false">
      <c r="A940" s="5" t="s">
        <v>578</v>
      </c>
      <c r="B940" s="0" t="s">
        <v>176</v>
      </c>
      <c r="C940" s="16" t="n">
        <f aca="false">C938</f>
        <v>642</v>
      </c>
      <c r="D940" s="16" t="n">
        <f aca="false">D938</f>
        <v>740.6</v>
      </c>
      <c r="E940" s="16" t="n">
        <f aca="false">E938+E939</f>
        <v>806.228571428572</v>
      </c>
      <c r="F940" s="16" t="n">
        <f aca="false">F938+F939</f>
        <v>962.040824593504</v>
      </c>
      <c r="G940" s="16" t="n">
        <f aca="false">G938+G939</f>
        <v>1128.73202596127</v>
      </c>
    </row>
    <row r="941" customFormat="false" ht="17.15" hidden="false" customHeight="false" outlineLevel="0" collapsed="false">
      <c r="A941" s="5" t="s">
        <v>579</v>
      </c>
      <c r="B941" s="0" t="s">
        <v>176</v>
      </c>
      <c r="C941" s="16" t="n">
        <f aca="false">a25_gp</f>
        <v>938.6</v>
      </c>
      <c r="D941" s="16" t="n">
        <f aca="false">a26_gp</f>
        <v>1325.7873147</v>
      </c>
      <c r="E941" s="16" t="n">
        <f aca="false">$D941+ft*(E936-$D936)-(E938-$D938)</f>
        <v>1711.89546931838</v>
      </c>
      <c r="F941" s="16" t="n">
        <f aca="false">$D941+ft*(F936-$D936)-(F938-$D938)</f>
        <v>2042.79837972906</v>
      </c>
      <c r="G941" s="16" t="n">
        <f aca="false">$D941+ft*(G936-$D936)-(G938-$D938)</f>
        <v>2284.84926001129</v>
      </c>
      <c r="K941" s="5" t="s">
        <v>580</v>
      </c>
    </row>
    <row r="942" customFormat="false" ht="17.15" hidden="false" customHeight="false" outlineLevel="0" collapsed="false">
      <c r="A942" s="5" t="s">
        <v>581</v>
      </c>
      <c r="B942" s="0" t="s">
        <v>176</v>
      </c>
      <c r="E942" s="16" t="n">
        <f aca="false">E930*az_cm-az_fix27</f>
        <v>-120</v>
      </c>
      <c r="F942" s="16" t="n">
        <f aca="false">F930*az_cm-az_fix28-F939</f>
        <v>-112.291666666667</v>
      </c>
      <c r="G942" s="16" t="n">
        <f aca="false">G930*az_cm-az_fix29-G939</f>
        <v>-14.5833333333333</v>
      </c>
      <c r="K942" s="8" t="s">
        <v>582</v>
      </c>
    </row>
    <row r="943" customFormat="false" ht="15" hidden="false" customHeight="false" outlineLevel="0" collapsed="false">
      <c r="A943" s="5" t="s">
        <v>458</v>
      </c>
      <c r="B943" s="0" t="s">
        <v>176</v>
      </c>
      <c r="C943" s="16" t="n">
        <f aca="false">a25_gp</f>
        <v>938.6</v>
      </c>
      <c r="D943" s="16" t="n">
        <f aca="false">a26_gp</f>
        <v>1325.7873147</v>
      </c>
      <c r="E943" s="16" t="n">
        <f aca="false">E941+E942</f>
        <v>1591.89546931838</v>
      </c>
      <c r="F943" s="16" t="n">
        <f aca="false">F941+F942</f>
        <v>1930.50671306239</v>
      </c>
      <c r="G943" s="16" t="n">
        <f aca="false">G941+G942</f>
        <v>2270.26592667796</v>
      </c>
    </row>
    <row r="944" customFormat="false" ht="15" hidden="false" customHeight="false" outlineLevel="0" collapsed="false">
      <c r="A944" s="5" t="s">
        <v>461</v>
      </c>
      <c r="B944" s="0" t="s">
        <v>77</v>
      </c>
      <c r="C944" s="17" t="n">
        <f aca="false">C943/C931</f>
        <v>0.139922480620155</v>
      </c>
      <c r="D944" s="17" t="n">
        <f aca="false">D943/D931</f>
        <v>0.172618149615152</v>
      </c>
      <c r="E944" s="17" t="n">
        <f aca="false">E943/E931</f>
        <v>0.180695883633292</v>
      </c>
      <c r="F944" s="17" t="n">
        <f aca="false">F943/F931</f>
        <v>0.194223517647993</v>
      </c>
      <c r="G944" s="17" t="n">
        <f aca="false">G943/G931</f>
        <v>0.204999598684359</v>
      </c>
    </row>
    <row r="945" customFormat="false" ht="17.15" hidden="false" customHeight="false" outlineLevel="0" collapsed="false">
      <c r="A945" s="5" t="s">
        <v>583</v>
      </c>
      <c r="B945" s="0" t="s">
        <v>584</v>
      </c>
      <c r="E945" s="17" t="n">
        <f aca="false">E942/E931</f>
        <v>-0.0136211871029946</v>
      </c>
      <c r="F945" s="17" t="n">
        <f aca="false">F942/F931</f>
        <v>-0.0112973875485566</v>
      </c>
      <c r="G945" s="17" t="n">
        <f aca="false">G942/G931</f>
        <v>-0.00131684021932539</v>
      </c>
      <c r="K945" s="5" t="s">
        <v>585</v>
      </c>
    </row>
    <row r="946" customFormat="false" ht="17.15" hidden="false" customHeight="false" outlineLevel="0" collapsed="false">
      <c r="A946" s="5" t="s">
        <v>463</v>
      </c>
      <c r="B946" s="0" t="s">
        <v>176</v>
      </c>
      <c r="C946" s="16" t="n">
        <f aca="false">a25_opx</f>
        <v>471.2</v>
      </c>
      <c r="D946" s="16" t="n">
        <f aca="false">a26_opx</f>
        <v>537.5</v>
      </c>
      <c r="E946" s="16" t="n">
        <f aca="false">(D946+opx_gain)*(1+phi*E932)</f>
        <v>599.561157517497</v>
      </c>
      <c r="F946" s="16" t="n">
        <f aca="false">E946*(1+phi*F932)</f>
        <v>638.006358629672</v>
      </c>
      <c r="G946" s="16" t="n">
        <f aca="false">F946*(1+phi*G932)</f>
        <v>674.42920960458</v>
      </c>
      <c r="K946" s="8" t="s">
        <v>586</v>
      </c>
    </row>
    <row r="947" customFormat="false" ht="15" hidden="false" customHeight="false" outlineLevel="0" collapsed="false">
      <c r="A947" s="5" t="s">
        <v>466</v>
      </c>
      <c r="B947" s="0" t="s">
        <v>176</v>
      </c>
      <c r="C947" s="16" t="n">
        <f aca="false">C943-C946</f>
        <v>467.4</v>
      </c>
      <c r="D947" s="16" t="n">
        <f aca="false">D943-D946</f>
        <v>788.2873147</v>
      </c>
      <c r="E947" s="16" t="n">
        <f aca="false">E943-E946</f>
        <v>992.334311800884</v>
      </c>
      <c r="F947" s="16" t="n">
        <f aca="false">F943-F946</f>
        <v>1292.50035443272</v>
      </c>
      <c r="G947" s="16" t="n">
        <f aca="false">G943-G946</f>
        <v>1595.83671707338</v>
      </c>
    </row>
    <row r="948" customFormat="false" ht="15" hidden="false" customHeight="false" outlineLevel="0" collapsed="false">
      <c r="A948" s="5" t="s">
        <v>540</v>
      </c>
      <c r="B948" s="0" t="s">
        <v>77</v>
      </c>
      <c r="C948" s="17" t="n">
        <f aca="false">C947/C931</f>
        <v>0.0696779964221825</v>
      </c>
      <c r="D948" s="17" t="n">
        <f aca="false">D947/D931</f>
        <v>0.102635389643475</v>
      </c>
      <c r="E948" s="17" t="n">
        <f aca="false">E947/E931</f>
        <v>0.112639761081343</v>
      </c>
      <c r="F948" s="17" t="n">
        <f aca="false">F947/F931</f>
        <v>0.130035271931783</v>
      </c>
      <c r="G948" s="17" t="n">
        <f aca="false">G947/G931</f>
        <v>0.14410024954412</v>
      </c>
    </row>
    <row r="949" customFormat="false" ht="15" hidden="false" customHeight="false" outlineLevel="0" collapsed="false">
      <c r="A949" s="5" t="s">
        <v>587</v>
      </c>
      <c r="B949" s="0" t="s">
        <v>176</v>
      </c>
      <c r="C949" s="16" t="n">
        <f aca="false">a25_nonop</f>
        <v>-22.7</v>
      </c>
      <c r="D949" s="16" t="n">
        <f aca="false">a26_nonop</f>
        <v>-0.700000000000003</v>
      </c>
      <c r="E949" s="16" t="n">
        <f aca="false">nonop27</f>
        <v>-20</v>
      </c>
      <c r="F949" s="16" t="n">
        <f aca="false">nonop28</f>
        <v>-40</v>
      </c>
      <c r="G949" s="16" t="n">
        <f aca="false">nonop29</f>
        <v>-60</v>
      </c>
    </row>
    <row r="950" customFormat="false" ht="15" hidden="false" customHeight="false" outlineLevel="0" collapsed="false">
      <c r="A950" s="5" t="s">
        <v>471</v>
      </c>
      <c r="B950" s="0" t="s">
        <v>176</v>
      </c>
      <c r="C950" s="16" t="n">
        <f aca="false">C947+C949</f>
        <v>444.7</v>
      </c>
      <c r="D950" s="16" t="n">
        <f aca="false">D947+D949</f>
        <v>787.5873147</v>
      </c>
      <c r="E950" s="16" t="n">
        <f aca="false">E947+E949</f>
        <v>972.334311800884</v>
      </c>
      <c r="F950" s="16" t="n">
        <f aca="false">F947+F949</f>
        <v>1252.50035443272</v>
      </c>
      <c r="G950" s="16" t="n">
        <f aca="false">G947+G949</f>
        <v>1535.83671707338</v>
      </c>
    </row>
    <row r="951" customFormat="false" ht="15" hidden="false" customHeight="false" outlineLevel="0" collapsed="false">
      <c r="A951" s="5" t="s">
        <v>472</v>
      </c>
      <c r="B951" s="0" t="s">
        <v>176</v>
      </c>
      <c r="C951" s="16" t="n">
        <f aca="false">a25_tax</f>
        <v>68.5</v>
      </c>
      <c r="D951" s="16" t="n">
        <f aca="false">a26_tax</f>
        <v>138.23746294</v>
      </c>
      <c r="E951" s="16" t="n">
        <f aca="false">E950*tax_hi</f>
        <v>243.083577950221</v>
      </c>
      <c r="F951" s="16" t="n">
        <f aca="false">F950*tax_hi</f>
        <v>313.125088608179</v>
      </c>
      <c r="G951" s="16" t="n">
        <f aca="false">G950*tax_hi</f>
        <v>383.959179268345</v>
      </c>
    </row>
    <row r="952" customFormat="false" ht="15" hidden="false" customHeight="false" outlineLevel="0" collapsed="false">
      <c r="A952" s="5" t="s">
        <v>474</v>
      </c>
      <c r="B952" s="0" t="s">
        <v>176</v>
      </c>
      <c r="C952" s="16" t="n">
        <f aca="false">a25_nci</f>
        <v>2.30000000000007</v>
      </c>
      <c r="D952" s="16" t="n">
        <f aca="false">a26_nci</f>
        <v>3.7</v>
      </c>
      <c r="E952" s="16" t="n">
        <f aca="false">nci</f>
        <v>3</v>
      </c>
      <c r="F952" s="16" t="n">
        <f aca="false">nci</f>
        <v>3</v>
      </c>
      <c r="G952" s="16" t="n">
        <f aca="false">nci</f>
        <v>3</v>
      </c>
    </row>
    <row r="953" customFormat="false" ht="15" hidden="false" customHeight="false" outlineLevel="0" collapsed="false">
      <c r="A953" s="5" t="s">
        <v>476</v>
      </c>
      <c r="B953" s="0" t="s">
        <v>176</v>
      </c>
      <c r="C953" s="16" t="n">
        <f aca="false">C950-C951-C952</f>
        <v>373.9</v>
      </c>
      <c r="D953" s="16" t="n">
        <f aca="false">D950-D951-D952</f>
        <v>645.64985176</v>
      </c>
      <c r="E953" s="16" t="n">
        <f aca="false">E950-E951-E952</f>
        <v>726.250733850663</v>
      </c>
      <c r="F953" s="16" t="n">
        <f aca="false">F950-F951-F952</f>
        <v>936.375265824538</v>
      </c>
      <c r="G953" s="16" t="n">
        <f aca="false">G950-G951-G952</f>
        <v>1148.87753780503</v>
      </c>
      <c r="H953" s="29" t="n">
        <f aca="false">H931*H957</f>
        <v>1287.36304811662</v>
      </c>
      <c r="I953" s="29" t="n">
        <f aca="false">I931*I957</f>
        <v>1418.10114504808</v>
      </c>
      <c r="J953" s="29" t="n">
        <f aca="false">J931*J957</f>
        <v>1535.24987238976</v>
      </c>
    </row>
    <row r="954" customFormat="false" ht="15" hidden="false" customHeight="false" outlineLevel="0" collapsed="false">
      <c r="A954" s="5" t="s">
        <v>588</v>
      </c>
      <c r="B954" s="5" t="s">
        <v>310</v>
      </c>
      <c r="C954" s="21" t="n">
        <f aca="false">a25_sh</f>
        <v>248.5</v>
      </c>
      <c r="D954" s="21" t="n">
        <f aca="false">a26_sh</f>
        <v>249.915</v>
      </c>
      <c r="E954" s="21" t="n">
        <f aca="false">D954*(1+sh_g)</f>
        <v>249.915</v>
      </c>
      <c r="F954" s="21" t="n">
        <f aca="false">E954*(1+sh_g)</f>
        <v>249.915</v>
      </c>
      <c r="G954" s="21" t="n">
        <f aca="false">F954*(1+sh_g)</f>
        <v>249.915</v>
      </c>
      <c r="H954" s="30" t="n">
        <f aca="false">G954*(1+sh_g)</f>
        <v>249.915</v>
      </c>
      <c r="I954" s="30" t="n">
        <f aca="false">H954*(1+sh_g)</f>
        <v>249.915</v>
      </c>
      <c r="J954" s="30" t="n">
        <f aca="false">I954*(1+sh_g)</f>
        <v>249.915</v>
      </c>
    </row>
    <row r="955" customFormat="false" ht="17.15" hidden="false" customHeight="false" outlineLevel="0" collapsed="false">
      <c r="A955" s="0" t="s">
        <v>480</v>
      </c>
      <c r="B955" s="0" t="s">
        <v>331</v>
      </c>
      <c r="C955" s="18" t="n">
        <f aca="false">C953/C954</f>
        <v>1.5046277665996</v>
      </c>
      <c r="D955" s="18" t="n">
        <f aca="false">D953/D954</f>
        <v>2.58347778948843</v>
      </c>
      <c r="E955" s="18" t="n">
        <f aca="false">E953/E954</f>
        <v>2.90599097233324</v>
      </c>
      <c r="F955" s="18" t="n">
        <f aca="false">F953/F954</f>
        <v>3.74677496678686</v>
      </c>
      <c r="G955" s="18" t="n">
        <f aca="false">G953/G954</f>
        <v>4.59707315609321</v>
      </c>
      <c r="H955" s="27" t="n">
        <f aca="false">H953/H954</f>
        <v>5.15120360169105</v>
      </c>
      <c r="I955" s="27" t="n">
        <f aca="false">I953/I954</f>
        <v>5.67433385370259</v>
      </c>
      <c r="J955" s="27" t="n">
        <f aca="false">J953/J954</f>
        <v>6.14308813952647</v>
      </c>
    </row>
    <row r="956" customFormat="false" ht="17.15" hidden="false" customHeight="false" outlineLevel="0" collapsed="false">
      <c r="A956" s="0" t="s">
        <v>589</v>
      </c>
      <c r="B956" s="0" t="s">
        <v>77</v>
      </c>
      <c r="D956" s="20" t="n">
        <f aca="false">D955/C955-1</f>
        <v>0.717021210719106</v>
      </c>
      <c r="E956" s="20" t="n">
        <f aca="false">E955/D955-1</f>
        <v>0.124836832024278</v>
      </c>
      <c r="F956" s="20" t="n">
        <f aca="false">F955/E955-1</f>
        <v>0.289327806747639</v>
      </c>
      <c r="G956" s="20" t="n">
        <f aca="false">G955/F955-1</f>
        <v>0.226941355390645</v>
      </c>
      <c r="H956" s="25" t="n">
        <f aca="false">H955/G955-1</f>
        <v>0.120539836278952</v>
      </c>
      <c r="I956" s="25" t="n">
        <f aca="false">I955/H955-1</f>
        <v>0.101554955397182</v>
      </c>
      <c r="J956" s="25" t="n">
        <f aca="false">J955/I955-1</f>
        <v>0.0826095710808443</v>
      </c>
    </row>
    <row r="957" customFormat="false" ht="17.15" hidden="false" customHeight="false" outlineLevel="0" collapsed="false">
      <c r="A957" s="5" t="s">
        <v>590</v>
      </c>
      <c r="B957" s="0" t="s">
        <v>77</v>
      </c>
      <c r="C957" s="17" t="n">
        <f aca="false">C953/C931</f>
        <v>0.0557394156231365</v>
      </c>
      <c r="D957" s="17" t="n">
        <f aca="false">D953/D931</f>
        <v>0.0840639229794768</v>
      </c>
      <c r="E957" s="17" t="n">
        <f aca="false">E953/E931</f>
        <v>0.0824366427455582</v>
      </c>
      <c r="F957" s="17" t="n">
        <f aca="false">F953/F931</f>
        <v>0.0942064053631391</v>
      </c>
      <c r="G957" s="17" t="n">
        <f aca="false">G953/G931</f>
        <v>0.103740901636196</v>
      </c>
      <c r="H957" s="26" t="n">
        <f aca="false">$G957+(fade_mA-$G957)*1/3</f>
        <v>0.106052274846892</v>
      </c>
      <c r="I957" s="26" t="n">
        <f aca="false">$G957+(fade_mA-$G957)*2/3</f>
        <v>0.108363648057588</v>
      </c>
      <c r="J957" s="26" t="n">
        <f aca="false">$G957+(fade_mA-$G957)*3/3</f>
        <v>0.110675021268284</v>
      </c>
    </row>
    <row r="960" customFormat="false" ht="17.15" hidden="false" customHeight="false" outlineLevel="0" collapsed="false">
      <c r="A960" s="3" t="s">
        <v>939</v>
      </c>
    </row>
    <row r="961" customFormat="false" ht="17.15" hidden="false" customHeight="false" outlineLevel="0" collapsed="false">
      <c r="A961" s="6" t="s">
        <v>22</v>
      </c>
      <c r="B961" s="6" t="s">
        <v>23</v>
      </c>
      <c r="C961" s="14" t="s">
        <v>437</v>
      </c>
      <c r="D961" s="14" t="s">
        <v>527</v>
      </c>
      <c r="E961" s="14" t="s">
        <v>528</v>
      </c>
      <c r="F961" s="14" t="s">
        <v>529</v>
      </c>
      <c r="G961" s="14" t="s">
        <v>530</v>
      </c>
      <c r="H961" s="14" t="s">
        <v>531</v>
      </c>
      <c r="I961" s="14" t="s">
        <v>532</v>
      </c>
      <c r="J961" s="14" t="s">
        <v>533</v>
      </c>
      <c r="K961" s="6" t="s">
        <v>503</v>
      </c>
    </row>
    <row r="962" customFormat="false" ht="17.15" hidden="false" customHeight="false" outlineLevel="0" collapsed="false">
      <c r="A962" s="1" t="s">
        <v>551</v>
      </c>
    </row>
    <row r="963" customFormat="false" ht="17.15" hidden="false" customHeight="false" outlineLevel="0" collapsed="false">
      <c r="A963" s="0" t="s">
        <v>552</v>
      </c>
      <c r="B963" s="5" t="s">
        <v>33</v>
      </c>
      <c r="D963" s="18" t="n">
        <f aca="false">units_26</f>
        <v>15.2</v>
      </c>
      <c r="E963" s="18" t="n">
        <f aca="false">units_27*1</f>
        <v>23.7</v>
      </c>
      <c r="F963" s="18" t="n">
        <f aca="false">units_28*um28_A*1</f>
        <v>26.5</v>
      </c>
      <c r="G963" s="18" t="n">
        <f aca="false">units_29*um29_A*1</f>
        <v>30.15</v>
      </c>
    </row>
    <row r="964" customFormat="false" ht="17.15" hidden="false" customHeight="false" outlineLevel="0" collapsed="false">
      <c r="A964" s="5" t="s">
        <v>506</v>
      </c>
      <c r="B964" s="0" t="s">
        <v>46</v>
      </c>
      <c r="D964" s="22" t="n">
        <f aca="false">ar_26</f>
        <v>1</v>
      </c>
      <c r="E964" s="22" t="n">
        <f aca="false">ar_27</f>
        <v>1.278156</v>
      </c>
      <c r="F964" s="22" t="n">
        <f aca="false">ar_28</f>
        <v>1.428615</v>
      </c>
      <c r="G964" s="22" t="n">
        <f aca="false">ar_29</f>
        <v>1.431796</v>
      </c>
    </row>
    <row r="965" customFormat="false" ht="17.15" hidden="false" customHeight="false" outlineLevel="0" collapsed="false">
      <c r="A965" s="5" t="s">
        <v>508</v>
      </c>
      <c r="B965" s="0" t="s">
        <v>77</v>
      </c>
      <c r="D965" s="20" t="n">
        <f aca="false">out_26</f>
        <v>0.5</v>
      </c>
      <c r="E965" s="20" t="n">
        <f aca="false">out_27</f>
        <v>0.55</v>
      </c>
      <c r="F965" s="20" t="n">
        <f aca="false">out_28</f>
        <v>0.6</v>
      </c>
      <c r="G965" s="20" t="n">
        <f aca="false">out_29</f>
        <v>0.6</v>
      </c>
      <c r="K965" s="8" t="s">
        <v>553</v>
      </c>
    </row>
    <row r="966" customFormat="false" ht="17.15" hidden="false" customHeight="false" outlineLevel="0" collapsed="false">
      <c r="A966" s="0" t="s">
        <v>509</v>
      </c>
      <c r="B966" s="0" t="s">
        <v>77</v>
      </c>
      <c r="D966" s="20" t="n">
        <f aca="false">sh_26</f>
        <v>0.35</v>
      </c>
      <c r="E966" s="20" t="n">
        <f aca="false">sh_27</f>
        <v>0.35</v>
      </c>
      <c r="F966" s="20" t="n">
        <f aca="false">sh_28</f>
        <v>0.37</v>
      </c>
      <c r="G966" s="20" t="n">
        <f aca="false">sh_29</f>
        <v>0.38</v>
      </c>
    </row>
    <row r="967" customFormat="false" ht="17.15" hidden="false" customHeight="false" outlineLevel="0" collapsed="false">
      <c r="A967" s="0" t="s">
        <v>554</v>
      </c>
      <c r="B967" s="0" t="s">
        <v>176</v>
      </c>
      <c r="C967" s="16" t="n">
        <f aca="false">(a26_comp-a25_comp*(1+g_pc26))/(tri-(1+g_pc26))</f>
        <v>287.089852216749</v>
      </c>
      <c r="D967" s="16" t="n">
        <f aca="false">C967*tri</f>
        <v>861.269556650246</v>
      </c>
      <c r="E967" s="16" t="n">
        <f aca="false">E963*E965*E966*E968</f>
        <v>1670.04614466713</v>
      </c>
      <c r="F967" s="16" t="n">
        <f aca="false">F963*F965*F966*F968</f>
        <v>2276.74248157798</v>
      </c>
      <c r="G967" s="16" t="n">
        <f aca="false">G963*G965*G966*G968</f>
        <v>2663.30065379686</v>
      </c>
      <c r="K967" s="8" t="s">
        <v>555</v>
      </c>
    </row>
    <row r="968" customFormat="false" ht="17.15" hidden="false" customHeight="false" outlineLevel="0" collapsed="false">
      <c r="A968" s="5" t="s">
        <v>556</v>
      </c>
      <c r="B968" s="0" t="s">
        <v>511</v>
      </c>
      <c r="D968" s="23" t="n">
        <f aca="false">D967/(D963*D965*D966)</f>
        <v>323.785547612874</v>
      </c>
      <c r="E968" s="23" t="n">
        <f aca="false">$D968*E964^el</f>
        <v>366.057569108912</v>
      </c>
      <c r="F968" s="23" t="n">
        <f aca="false">$D968*F964^el</f>
        <v>387.003651466596</v>
      </c>
      <c r="G968" s="23" t="n">
        <f aca="false">$D968*G964^el</f>
        <v>387.434269267239</v>
      </c>
      <c r="K968" s="8" t="s">
        <v>557</v>
      </c>
    </row>
    <row r="969" customFormat="false" ht="17.15" hidden="false" customHeight="false" outlineLevel="0" collapsed="false">
      <c r="A969" s="5" t="s">
        <v>515</v>
      </c>
      <c r="B969" s="0" t="s">
        <v>511</v>
      </c>
      <c r="D969" s="16" t="n">
        <f aca="false">D967/D963</f>
        <v>56.662470832253</v>
      </c>
      <c r="E969" s="16" t="n">
        <f aca="false">E967/E963</f>
        <v>70.4660820534656</v>
      </c>
      <c r="F969" s="16" t="n">
        <f aca="false">F967/F963</f>
        <v>85.9148106255842</v>
      </c>
      <c r="G969" s="16" t="n">
        <f aca="false">G967/G963</f>
        <v>88.3350133929306</v>
      </c>
      <c r="K969" s="5" t="s">
        <v>558</v>
      </c>
    </row>
    <row r="970" customFormat="false" ht="17.15" hidden="false" customHeight="false" outlineLevel="0" collapsed="false">
      <c r="A970" s="1" t="s">
        <v>559</v>
      </c>
    </row>
    <row r="971" customFormat="false" ht="17.15" hidden="false" customHeight="false" outlineLevel="0" collapsed="false">
      <c r="A971" s="5" t="s">
        <v>560</v>
      </c>
      <c r="B971" s="0" t="s">
        <v>176</v>
      </c>
      <c r="C971" s="16" t="n">
        <f aca="false">a25_comp-C967</f>
        <v>1054.51014778325</v>
      </c>
      <c r="D971" s="16" t="n">
        <f aca="false">a26_comp-D967</f>
        <v>1022.87484334975</v>
      </c>
      <c r="E971" s="16" t="n">
        <f aca="false">D971*(1+g_pc)</f>
        <v>1053.56108865025</v>
      </c>
      <c r="F971" s="16" t="n">
        <f aca="false">E971*(1+g_pc)</f>
        <v>1085.16792130975</v>
      </c>
      <c r="G971" s="16" t="n">
        <f aca="false">F971*(1+g_pc)</f>
        <v>1117.72295894905</v>
      </c>
    </row>
    <row r="972" customFormat="false" ht="15" hidden="false" customHeight="false" outlineLevel="0" collapsed="false">
      <c r="A972" s="5" t="s">
        <v>561</v>
      </c>
      <c r="B972" s="0" t="s">
        <v>176</v>
      </c>
      <c r="C972" s="16" t="n">
        <f aca="false">C967+C971</f>
        <v>1341.6</v>
      </c>
      <c r="D972" s="16" t="n">
        <f aca="false">D967+D971</f>
        <v>1884.1444</v>
      </c>
      <c r="E972" s="16" t="n">
        <f aca="false">E967+E971</f>
        <v>2723.60723331738</v>
      </c>
      <c r="F972" s="16" t="n">
        <f aca="false">F967+F971</f>
        <v>3361.91040288774</v>
      </c>
      <c r="G972" s="16" t="n">
        <f aca="false">G967+G971</f>
        <v>3781.0236127459</v>
      </c>
    </row>
    <row r="973" customFormat="false" ht="17.15" hidden="false" customHeight="false" outlineLevel="0" collapsed="false">
      <c r="A973" s="5" t="s">
        <v>562</v>
      </c>
      <c r="B973" s="0" t="s">
        <v>176</v>
      </c>
      <c r="C973" s="16" t="n">
        <f aca="false">a25_cm</f>
        <v>3085.68</v>
      </c>
      <c r="D973" s="16" t="n">
        <f aca="false">a26_cm</f>
        <v>3041.87176</v>
      </c>
      <c r="E973" s="16" t="n">
        <f aca="false">D973*(1+g_cm27_A)</f>
        <v>3133.1279128</v>
      </c>
      <c r="F973" s="16" t="n">
        <f aca="false">E973*(1+g_cmL_A)</f>
        <v>3258.453029312</v>
      </c>
      <c r="G973" s="16" t="n">
        <f aca="false">F973*(1+g_cmL_A)</f>
        <v>3388.79115048448</v>
      </c>
    </row>
    <row r="974" customFormat="false" ht="15" hidden="false" customHeight="false" outlineLevel="0" collapsed="false">
      <c r="A974" s="5" t="s">
        <v>563</v>
      </c>
      <c r="B974" s="0" t="s">
        <v>176</v>
      </c>
      <c r="C974" s="16" t="n">
        <f aca="false">a25_au</f>
        <v>1274.52</v>
      </c>
      <c r="D974" s="16" t="n">
        <f aca="false">a26_au</f>
        <v>1656.99176</v>
      </c>
      <c r="E974" s="16" t="n">
        <f aca="false">D974*(1+g_au)</f>
        <v>1822.690936</v>
      </c>
      <c r="F974" s="16" t="n">
        <f aca="false">E974*(1+g_au)</f>
        <v>2004.9600296</v>
      </c>
      <c r="G974" s="16" t="n">
        <f aca="false">F974*(1+g_au)</f>
        <v>2205.45603256</v>
      </c>
    </row>
    <row r="975" customFormat="false" ht="15" hidden="false" customHeight="false" outlineLevel="0" collapsed="false">
      <c r="A975" s="5" t="s">
        <v>564</v>
      </c>
      <c r="B975" s="0" t="s">
        <v>176</v>
      </c>
      <c r="C975" s="16" t="n">
        <f aca="false">a25_cs</f>
        <v>1006.2</v>
      </c>
      <c r="D975" s="16" t="n">
        <f aca="false">a26_cs</f>
        <v>1097.4551</v>
      </c>
      <c r="E975" s="16" t="n">
        <f aca="false">D975*(1+g_cs)</f>
        <v>1130.378753</v>
      </c>
      <c r="F975" s="16" t="n">
        <f aca="false">E975*(1+g_cs)</f>
        <v>1164.29011559</v>
      </c>
      <c r="G975" s="16" t="n">
        <f aca="false">F975*(1+g_cs)</f>
        <v>1199.2188190577</v>
      </c>
    </row>
    <row r="976" customFormat="false" ht="17.15" hidden="false" customHeight="false" outlineLevel="0" collapsed="false">
      <c r="A976" s="5" t="s">
        <v>565</v>
      </c>
      <c r="B976" s="0" t="s">
        <v>176</v>
      </c>
      <c r="C976" s="16" t="n">
        <f aca="false">0</f>
        <v>0</v>
      </c>
      <c r="D976" s="16" t="n">
        <f aca="false">0</f>
        <v>0</v>
      </c>
      <c r="E976" s="16" t="n">
        <f aca="false">0</f>
        <v>0</v>
      </c>
      <c r="F976" s="16" t="n">
        <f aca="false">az_rev28_A</f>
        <v>150</v>
      </c>
      <c r="G976" s="16" t="n">
        <f aca="false">az_rev29_A</f>
        <v>500</v>
      </c>
      <c r="K976" s="5" t="s">
        <v>566</v>
      </c>
    </row>
    <row r="977" customFormat="false" ht="17.15" hidden="false" customHeight="false" outlineLevel="0" collapsed="false">
      <c r="A977" s="5" t="s">
        <v>444</v>
      </c>
      <c r="B977" s="0" t="s">
        <v>176</v>
      </c>
      <c r="C977" s="16" t="n">
        <f aca="false">C972+C973+C974+C975+C976</f>
        <v>6708</v>
      </c>
      <c r="D977" s="16" t="n">
        <f aca="false">D972+D973+D974+D975+D976</f>
        <v>7680.46302</v>
      </c>
      <c r="E977" s="16" t="n">
        <f aca="false">E972+E973+E974+E975+E976</f>
        <v>8809.80483511738</v>
      </c>
      <c r="F977" s="16" t="n">
        <f aca="false">F972+F973+F974+F975+F976</f>
        <v>9939.61357738974</v>
      </c>
      <c r="G977" s="16" t="n">
        <f aca="false">G972+G973+G974+G975+G976</f>
        <v>11074.4896148481</v>
      </c>
      <c r="H977" s="29" t="n">
        <f aca="false">G977*(1+H978)</f>
        <v>12138.9479855589</v>
      </c>
      <c r="I977" s="29" t="n">
        <f aca="false">H977*(1+I978)</f>
        <v>13086.5024430928</v>
      </c>
      <c r="J977" s="29" t="n">
        <f aca="false">I977*(1+J978)</f>
        <v>13871.6925896784</v>
      </c>
      <c r="K977" s="8" t="s">
        <v>567</v>
      </c>
    </row>
    <row r="978" customFormat="false" ht="15" hidden="false" customHeight="false" outlineLevel="0" collapsed="false">
      <c r="A978" s="5" t="s">
        <v>568</v>
      </c>
      <c r="B978" s="0" t="s">
        <v>77</v>
      </c>
      <c r="D978" s="20" t="n">
        <f aca="false">D977/C977-1</f>
        <v>0.144970635062612</v>
      </c>
      <c r="E978" s="20" t="n">
        <f aca="false">E977/D977-1</f>
        <v>0.147040850555046</v>
      </c>
      <c r="F978" s="20" t="n">
        <f aca="false">F977/E977-1</f>
        <v>0.128244468909089</v>
      </c>
      <c r="G978" s="20" t="n">
        <f aca="false">G977/F977-1</f>
        <v>0.114177078275953</v>
      </c>
      <c r="H978" s="25" t="n">
        <f aca="false">$G978+(fade_gA-$G978)*1/3</f>
        <v>0.0961180521839684</v>
      </c>
      <c r="I978" s="25" t="n">
        <f aca="false">$G978+(fade_gA-$G978)*2/3</f>
        <v>0.0780590260919842</v>
      </c>
      <c r="J978" s="25" t="n">
        <f aca="false">$G978+(fade_gA-$G978)*3/3</f>
        <v>0.06</v>
      </c>
    </row>
    <row r="979" customFormat="false" ht="17.15" hidden="false" customHeight="false" outlineLevel="0" collapsed="false">
      <c r="A979" s="0" t="s">
        <v>569</v>
      </c>
      <c r="B979" s="0" t="s">
        <v>77</v>
      </c>
      <c r="C979" s="20" t="n">
        <f aca="false">C967/C977</f>
        <v>0.042798129430046</v>
      </c>
      <c r="D979" s="20" t="n">
        <f aca="false">D967/D977</f>
        <v>0.112137712844589</v>
      </c>
      <c r="E979" s="20" t="n">
        <f aca="false">E967/E977</f>
        <v>0.189566758392881</v>
      </c>
      <c r="F979" s="20" t="n">
        <f aca="false">F967/F977</f>
        <v>0.229057444120064</v>
      </c>
      <c r="G979" s="20" t="n">
        <f aca="false">G967/G977</f>
        <v>0.240489697170879</v>
      </c>
    </row>
    <row r="980" customFormat="false" ht="17.15" hidden="false" customHeight="false" outlineLevel="0" collapsed="false">
      <c r="A980" s="5" t="s">
        <v>570</v>
      </c>
      <c r="B980" s="0" t="s">
        <v>77</v>
      </c>
      <c r="C980" s="20" t="n">
        <f aca="false">C973/C977</f>
        <v>0.46</v>
      </c>
      <c r="D980" s="20" t="n">
        <f aca="false">D973/D977</f>
        <v>0.396053174408748</v>
      </c>
      <c r="E980" s="20" t="n">
        <f aca="false">E973/E977</f>
        <v>0.355641012648864</v>
      </c>
      <c r="F980" s="20" t="n">
        <f aca="false">F973/F977</f>
        <v>0.32782492034944</v>
      </c>
      <c r="G980" s="20" t="n">
        <f aca="false">G973/G977</f>
        <v>0.305999758755561</v>
      </c>
    </row>
    <row r="981" customFormat="false" ht="17.15" hidden="false" customHeight="false" outlineLevel="0" collapsed="false">
      <c r="A981" s="1" t="s">
        <v>571</v>
      </c>
    </row>
    <row r="982" customFormat="false" ht="15" hidden="false" customHeight="false" outlineLevel="0" collapsed="false">
      <c r="A982" s="5" t="s">
        <v>572</v>
      </c>
      <c r="B982" s="0" t="s">
        <v>176</v>
      </c>
      <c r="C982" s="16" t="n">
        <f aca="false">C977-C976</f>
        <v>6708</v>
      </c>
      <c r="D982" s="16" t="n">
        <f aca="false">D977-D976</f>
        <v>7680.46302</v>
      </c>
      <c r="E982" s="16" t="n">
        <f aca="false">E977-E976</f>
        <v>8809.80483511738</v>
      </c>
      <c r="F982" s="16" t="n">
        <f aca="false">F977-F976</f>
        <v>9789.61357738974</v>
      </c>
      <c r="G982" s="16" t="n">
        <f aca="false">G977-G976</f>
        <v>10574.4896148481</v>
      </c>
    </row>
    <row r="983" customFormat="false" ht="17.15" hidden="false" customHeight="false" outlineLevel="0" collapsed="false">
      <c r="A983" s="5" t="s">
        <v>573</v>
      </c>
      <c r="B983" s="0" t="s">
        <v>176</v>
      </c>
      <c r="D983" s="16" t="n">
        <f aca="false">cap_m26</f>
        <v>1200</v>
      </c>
      <c r="E983" s="16" t="n">
        <f aca="false">capi*E982</f>
        <v>1233.37267691643</v>
      </c>
      <c r="F983" s="16" t="n">
        <f aca="false">capi*F982</f>
        <v>1370.54590083456</v>
      </c>
      <c r="G983" s="16" t="n">
        <f aca="false">capi*G982</f>
        <v>1480.42854607873</v>
      </c>
      <c r="K983" s="8" t="s">
        <v>574</v>
      </c>
    </row>
    <row r="984" customFormat="false" ht="17.15" hidden="false" customHeight="false" outlineLevel="0" collapsed="false">
      <c r="A984" s="5" t="s">
        <v>575</v>
      </c>
      <c r="B984" s="0" t="s">
        <v>176</v>
      </c>
      <c r="C984" s="16" t="n">
        <f aca="false">a25_da</f>
        <v>642</v>
      </c>
      <c r="D984" s="16" t="n">
        <f aca="false">a26_da</f>
        <v>740.6</v>
      </c>
      <c r="E984" s="16" t="n">
        <f aca="false">D984*(1-1/life)+D983/life</f>
        <v>806.228571428572</v>
      </c>
      <c r="F984" s="16" t="n">
        <f aca="false">E984*(1-1/life)+E983/life</f>
        <v>867.249157926838</v>
      </c>
      <c r="G984" s="16" t="n">
        <f aca="false">F984*(1-1/life)+F983/life</f>
        <v>939.148692627941</v>
      </c>
      <c r="K984" s="5" t="s">
        <v>576</v>
      </c>
    </row>
    <row r="985" customFormat="false" ht="15" hidden="false" customHeight="false" outlineLevel="0" collapsed="false">
      <c r="A985" s="5" t="s">
        <v>577</v>
      </c>
      <c r="B985" s="0" t="s">
        <v>176</v>
      </c>
      <c r="E985" s="16" t="n">
        <f aca="false">0</f>
        <v>0</v>
      </c>
      <c r="F985" s="16" t="n">
        <f aca="false">az_capex1*(1-az_inc)/az_life*az_svc28</f>
        <v>94.7916666666667</v>
      </c>
      <c r="G985" s="16" t="n">
        <f aca="false">az_capex1*(1-az_inc)/az_life</f>
        <v>189.583333333333</v>
      </c>
    </row>
    <row r="986" customFormat="false" ht="15" hidden="false" customHeight="false" outlineLevel="0" collapsed="false">
      <c r="A986" s="5" t="s">
        <v>578</v>
      </c>
      <c r="B986" s="0" t="s">
        <v>176</v>
      </c>
      <c r="C986" s="16" t="n">
        <f aca="false">C984</f>
        <v>642</v>
      </c>
      <c r="D986" s="16" t="n">
        <f aca="false">D984</f>
        <v>740.6</v>
      </c>
      <c r="E986" s="16" t="n">
        <f aca="false">E984+E985</f>
        <v>806.228571428572</v>
      </c>
      <c r="F986" s="16" t="n">
        <f aca="false">F984+F985</f>
        <v>962.040824593504</v>
      </c>
      <c r="G986" s="16" t="n">
        <f aca="false">G984+G985</f>
        <v>1128.73202596127</v>
      </c>
    </row>
    <row r="987" customFormat="false" ht="17.15" hidden="false" customHeight="false" outlineLevel="0" collapsed="false">
      <c r="A987" s="5" t="s">
        <v>579</v>
      </c>
      <c r="B987" s="0" t="s">
        <v>176</v>
      </c>
      <c r="C987" s="16" t="n">
        <f aca="false">a25_gp</f>
        <v>938.6</v>
      </c>
      <c r="D987" s="16" t="n">
        <f aca="false">a26_gp</f>
        <v>1325.7873147</v>
      </c>
      <c r="E987" s="16" t="n">
        <f aca="false">$D987+ft*(E982-$D982)-(E984-$D984)</f>
        <v>1711.89546931838</v>
      </c>
      <c r="F987" s="16" t="n">
        <f aca="false">$D987+ft*(F982-$D982)-(F984-$D984)</f>
        <v>2042.79837972906</v>
      </c>
      <c r="G987" s="16" t="n">
        <f aca="false">$D987+ft*(G982-$D982)-(G984-$D984)</f>
        <v>2284.84926001129</v>
      </c>
      <c r="K987" s="5" t="s">
        <v>580</v>
      </c>
    </row>
    <row r="988" customFormat="false" ht="17.15" hidden="false" customHeight="false" outlineLevel="0" collapsed="false">
      <c r="A988" s="5" t="s">
        <v>581</v>
      </c>
      <c r="B988" s="0" t="s">
        <v>176</v>
      </c>
      <c r="E988" s="16" t="n">
        <f aca="false">E976*az_cm-az_fix27</f>
        <v>-120</v>
      </c>
      <c r="F988" s="16" t="n">
        <f aca="false">F976*az_cm-az_fix28-F985</f>
        <v>-112.291666666667</v>
      </c>
      <c r="G988" s="16" t="n">
        <f aca="false">G976*az_cm-az_fix29-G985</f>
        <v>-14.5833333333333</v>
      </c>
      <c r="K988" s="8" t="s">
        <v>582</v>
      </c>
    </row>
    <row r="989" customFormat="false" ht="15" hidden="false" customHeight="false" outlineLevel="0" collapsed="false">
      <c r="A989" s="5" t="s">
        <v>458</v>
      </c>
      <c r="B989" s="0" t="s">
        <v>176</v>
      </c>
      <c r="C989" s="16" t="n">
        <f aca="false">a25_gp</f>
        <v>938.6</v>
      </c>
      <c r="D989" s="16" t="n">
        <f aca="false">a26_gp</f>
        <v>1325.7873147</v>
      </c>
      <c r="E989" s="16" t="n">
        <f aca="false">E987+E988</f>
        <v>1591.89546931838</v>
      </c>
      <c r="F989" s="16" t="n">
        <f aca="false">F987+F988</f>
        <v>1930.50671306239</v>
      </c>
      <c r="G989" s="16" t="n">
        <f aca="false">G987+G988</f>
        <v>2270.26592667796</v>
      </c>
    </row>
    <row r="990" customFormat="false" ht="15" hidden="false" customHeight="false" outlineLevel="0" collapsed="false">
      <c r="A990" s="5" t="s">
        <v>461</v>
      </c>
      <c r="B990" s="0" t="s">
        <v>77</v>
      </c>
      <c r="C990" s="17" t="n">
        <f aca="false">C989/C977</f>
        <v>0.139922480620155</v>
      </c>
      <c r="D990" s="17" t="n">
        <f aca="false">D989/D977</f>
        <v>0.172618149615152</v>
      </c>
      <c r="E990" s="17" t="n">
        <f aca="false">E989/E977</f>
        <v>0.180695883633292</v>
      </c>
      <c r="F990" s="17" t="n">
        <f aca="false">F989/F977</f>
        <v>0.194223517647993</v>
      </c>
      <c r="G990" s="17" t="n">
        <f aca="false">G989/G977</f>
        <v>0.204999598684359</v>
      </c>
    </row>
    <row r="991" customFormat="false" ht="17.15" hidden="false" customHeight="false" outlineLevel="0" collapsed="false">
      <c r="A991" s="5" t="s">
        <v>583</v>
      </c>
      <c r="B991" s="0" t="s">
        <v>584</v>
      </c>
      <c r="E991" s="17" t="n">
        <f aca="false">E988/E977</f>
        <v>-0.0136211871029946</v>
      </c>
      <c r="F991" s="17" t="n">
        <f aca="false">F988/F977</f>
        <v>-0.0112973875485566</v>
      </c>
      <c r="G991" s="17" t="n">
        <f aca="false">G988/G977</f>
        <v>-0.00131684021932539</v>
      </c>
      <c r="K991" s="5" t="s">
        <v>585</v>
      </c>
    </row>
    <row r="992" customFormat="false" ht="17.15" hidden="false" customHeight="false" outlineLevel="0" collapsed="false">
      <c r="A992" s="5" t="s">
        <v>463</v>
      </c>
      <c r="B992" s="0" t="s">
        <v>176</v>
      </c>
      <c r="C992" s="16" t="n">
        <f aca="false">a25_opx</f>
        <v>471.2</v>
      </c>
      <c r="D992" s="16" t="n">
        <f aca="false">a26_opx</f>
        <v>537.5</v>
      </c>
      <c r="E992" s="16" t="n">
        <f aca="false">(D992+opx_gain)*(1+phi*E978)</f>
        <v>599.561157517497</v>
      </c>
      <c r="F992" s="16" t="n">
        <f aca="false">E992*(1+phi*F978)</f>
        <v>638.006358629672</v>
      </c>
      <c r="G992" s="16" t="n">
        <f aca="false">F992*(1+phi*G978)</f>
        <v>674.42920960458</v>
      </c>
      <c r="K992" s="8" t="s">
        <v>586</v>
      </c>
    </row>
    <row r="993" customFormat="false" ht="15" hidden="false" customHeight="false" outlineLevel="0" collapsed="false">
      <c r="A993" s="5" t="s">
        <v>466</v>
      </c>
      <c r="B993" s="0" t="s">
        <v>176</v>
      </c>
      <c r="C993" s="16" t="n">
        <f aca="false">C989-C992</f>
        <v>467.4</v>
      </c>
      <c r="D993" s="16" t="n">
        <f aca="false">D989-D992</f>
        <v>788.2873147</v>
      </c>
      <c r="E993" s="16" t="n">
        <f aca="false">E989-E992</f>
        <v>992.334311800884</v>
      </c>
      <c r="F993" s="16" t="n">
        <f aca="false">F989-F992</f>
        <v>1292.50035443272</v>
      </c>
      <c r="G993" s="16" t="n">
        <f aca="false">G989-G992</f>
        <v>1595.83671707338</v>
      </c>
    </row>
    <row r="994" customFormat="false" ht="15" hidden="false" customHeight="false" outlineLevel="0" collapsed="false">
      <c r="A994" s="5" t="s">
        <v>540</v>
      </c>
      <c r="B994" s="0" t="s">
        <v>77</v>
      </c>
      <c r="C994" s="17" t="n">
        <f aca="false">C993/C977</f>
        <v>0.0696779964221825</v>
      </c>
      <c r="D994" s="17" t="n">
        <f aca="false">D993/D977</f>
        <v>0.102635389643475</v>
      </c>
      <c r="E994" s="17" t="n">
        <f aca="false">E993/E977</f>
        <v>0.112639761081343</v>
      </c>
      <c r="F994" s="17" t="n">
        <f aca="false">F993/F977</f>
        <v>0.130035271931783</v>
      </c>
      <c r="G994" s="17" t="n">
        <f aca="false">G993/G977</f>
        <v>0.14410024954412</v>
      </c>
    </row>
    <row r="995" customFormat="false" ht="15" hidden="false" customHeight="false" outlineLevel="0" collapsed="false">
      <c r="A995" s="5" t="s">
        <v>587</v>
      </c>
      <c r="B995" s="0" t="s">
        <v>176</v>
      </c>
      <c r="C995" s="16" t="n">
        <f aca="false">a25_nonop</f>
        <v>-22.7</v>
      </c>
      <c r="D995" s="16" t="n">
        <f aca="false">a26_nonop</f>
        <v>-0.700000000000003</v>
      </c>
      <c r="E995" s="16" t="n">
        <f aca="false">nonop27_lo</f>
        <v>-60</v>
      </c>
      <c r="F995" s="16" t="n">
        <f aca="false">nonop28_lo</f>
        <v>-80</v>
      </c>
      <c r="G995" s="16" t="n">
        <f aca="false">nonop29_lo</f>
        <v>-100</v>
      </c>
    </row>
    <row r="996" customFormat="false" ht="15" hidden="false" customHeight="false" outlineLevel="0" collapsed="false">
      <c r="A996" s="5" t="s">
        <v>471</v>
      </c>
      <c r="B996" s="0" t="s">
        <v>176</v>
      </c>
      <c r="C996" s="16" t="n">
        <f aca="false">C993+C995</f>
        <v>444.7</v>
      </c>
      <c r="D996" s="16" t="n">
        <f aca="false">D993+D995</f>
        <v>787.5873147</v>
      </c>
      <c r="E996" s="16" t="n">
        <f aca="false">E993+E995</f>
        <v>932.334311800884</v>
      </c>
      <c r="F996" s="16" t="n">
        <f aca="false">F993+F995</f>
        <v>1212.50035443272</v>
      </c>
      <c r="G996" s="16" t="n">
        <f aca="false">G993+G995</f>
        <v>1495.83671707338</v>
      </c>
    </row>
    <row r="997" customFormat="false" ht="15" hidden="false" customHeight="false" outlineLevel="0" collapsed="false">
      <c r="A997" s="5" t="s">
        <v>472</v>
      </c>
      <c r="B997" s="0" t="s">
        <v>176</v>
      </c>
      <c r="C997" s="16" t="n">
        <f aca="false">a25_tax</f>
        <v>68.5</v>
      </c>
      <c r="D997" s="16" t="n">
        <f aca="false">a26_tax</f>
        <v>138.23746294</v>
      </c>
      <c r="E997" s="16" t="n">
        <f aca="false">E996*tax</f>
        <v>186.466862360177</v>
      </c>
      <c r="F997" s="16" t="n">
        <f aca="false">F996*tax</f>
        <v>242.500070886544</v>
      </c>
      <c r="G997" s="16" t="n">
        <f aca="false">G996*tax</f>
        <v>299.167343414676</v>
      </c>
    </row>
    <row r="998" customFormat="false" ht="15" hidden="false" customHeight="false" outlineLevel="0" collapsed="false">
      <c r="A998" s="5" t="s">
        <v>474</v>
      </c>
      <c r="B998" s="0" t="s">
        <v>176</v>
      </c>
      <c r="C998" s="16" t="n">
        <f aca="false">a25_nci</f>
        <v>2.30000000000007</v>
      </c>
      <c r="D998" s="16" t="n">
        <f aca="false">a26_nci</f>
        <v>3.7</v>
      </c>
      <c r="E998" s="16" t="n">
        <f aca="false">nci</f>
        <v>3</v>
      </c>
      <c r="F998" s="16" t="n">
        <f aca="false">nci</f>
        <v>3</v>
      </c>
      <c r="G998" s="16" t="n">
        <f aca="false">nci</f>
        <v>3</v>
      </c>
    </row>
    <row r="999" customFormat="false" ht="15" hidden="false" customHeight="false" outlineLevel="0" collapsed="false">
      <c r="A999" s="5" t="s">
        <v>476</v>
      </c>
      <c r="B999" s="0" t="s">
        <v>176</v>
      </c>
      <c r="C999" s="16" t="n">
        <f aca="false">C996-C997-C998</f>
        <v>373.9</v>
      </c>
      <c r="D999" s="16" t="n">
        <f aca="false">D996-D997-D998</f>
        <v>645.64985176</v>
      </c>
      <c r="E999" s="16" t="n">
        <f aca="false">E996-E997-E998</f>
        <v>742.867449440707</v>
      </c>
      <c r="F999" s="16" t="n">
        <f aca="false">F996-F997-F998</f>
        <v>967.000283546174</v>
      </c>
      <c r="G999" s="16" t="n">
        <f aca="false">G996-G997-G998</f>
        <v>1193.6693736587</v>
      </c>
      <c r="H999" s="29" t="n">
        <f aca="false">H977*H1003</f>
        <v>1320.0944746964</v>
      </c>
      <c r="I999" s="29" t="n">
        <f aca="false">I977*I1003</f>
        <v>1435.74434997868</v>
      </c>
      <c r="J999" s="29" t="n">
        <f aca="false">J977*J1003</f>
        <v>1535.24987238976</v>
      </c>
    </row>
    <row r="1000" customFormat="false" ht="15" hidden="false" customHeight="false" outlineLevel="0" collapsed="false">
      <c r="A1000" s="5" t="s">
        <v>588</v>
      </c>
      <c r="B1000" s="5" t="s">
        <v>310</v>
      </c>
      <c r="C1000" s="21" t="n">
        <f aca="false">a25_sh</f>
        <v>248.5</v>
      </c>
      <c r="D1000" s="21" t="n">
        <f aca="false">a26_sh</f>
        <v>249.915</v>
      </c>
      <c r="E1000" s="21" t="n">
        <f aca="false">D1000*(1+sh_g)</f>
        <v>249.915</v>
      </c>
      <c r="F1000" s="21" t="n">
        <f aca="false">E1000*(1+sh_g)</f>
        <v>249.915</v>
      </c>
      <c r="G1000" s="21" t="n">
        <f aca="false">F1000*(1+sh_g)</f>
        <v>249.915</v>
      </c>
      <c r="H1000" s="30" t="n">
        <f aca="false">G1000*(1+sh_g)</f>
        <v>249.915</v>
      </c>
      <c r="I1000" s="30" t="n">
        <f aca="false">H1000*(1+sh_g)</f>
        <v>249.915</v>
      </c>
      <c r="J1000" s="30" t="n">
        <f aca="false">I1000*(1+sh_g)</f>
        <v>249.915</v>
      </c>
    </row>
    <row r="1001" customFormat="false" ht="17.15" hidden="false" customHeight="false" outlineLevel="0" collapsed="false">
      <c r="A1001" s="0" t="s">
        <v>480</v>
      </c>
      <c r="B1001" s="0" t="s">
        <v>331</v>
      </c>
      <c r="C1001" s="18" t="n">
        <f aca="false">C999/C1000</f>
        <v>1.5046277665996</v>
      </c>
      <c r="D1001" s="18" t="n">
        <f aca="false">D999/D1000</f>
        <v>2.58347778948843</v>
      </c>
      <c r="E1001" s="18" t="n">
        <f aca="false">E999/E1000</f>
        <v>2.97248044111281</v>
      </c>
      <c r="F1001" s="18" t="n">
        <f aca="false">F999/F1000</f>
        <v>3.86931670186333</v>
      </c>
      <c r="G1001" s="18" t="n">
        <f aca="false">G999/G1000</f>
        <v>4.77630143712344</v>
      </c>
      <c r="H1001" s="27" t="n">
        <f aca="false">H999/H1000</f>
        <v>5.28217383789048</v>
      </c>
      <c r="I1001" s="27" t="n">
        <f aca="false">I999/I1000</f>
        <v>5.74493067634468</v>
      </c>
      <c r="J1001" s="27" t="n">
        <f aca="false">J999/J1000</f>
        <v>6.14308813952647</v>
      </c>
    </row>
    <row r="1002" customFormat="false" ht="17.15" hidden="false" customHeight="false" outlineLevel="0" collapsed="false">
      <c r="A1002" s="0" t="s">
        <v>589</v>
      </c>
      <c r="B1002" s="0" t="s">
        <v>77</v>
      </c>
      <c r="D1002" s="20" t="n">
        <f aca="false">D1001/C1001-1</f>
        <v>0.717021210719106</v>
      </c>
      <c r="E1002" s="20" t="n">
        <f aca="false">E1001/D1001-1</f>
        <v>0.150573251764402</v>
      </c>
      <c r="F1002" s="20" t="n">
        <f aca="false">F1001/E1001-1</f>
        <v>0.301713090638462</v>
      </c>
      <c r="G1002" s="20" t="n">
        <f aca="false">G1001/F1001-1</f>
        <v>0.234404367784972</v>
      </c>
      <c r="H1002" s="25" t="n">
        <f aca="false">H1001/G1001-1</f>
        <v>0.105912997206413</v>
      </c>
      <c r="I1002" s="25" t="n">
        <f aca="false">I1001/H1001-1</f>
        <v>0.0876072716756735</v>
      </c>
      <c r="J1002" s="25" t="n">
        <f aca="false">J1001/I1001-1</f>
        <v>0.0693058777578022</v>
      </c>
    </row>
    <row r="1003" customFormat="false" ht="17.15" hidden="false" customHeight="false" outlineLevel="0" collapsed="false">
      <c r="A1003" s="5" t="s">
        <v>590</v>
      </c>
      <c r="B1003" s="0" t="s">
        <v>77</v>
      </c>
      <c r="C1003" s="17" t="n">
        <f aca="false">C999/C977</f>
        <v>0.0557394156231365</v>
      </c>
      <c r="D1003" s="17" t="n">
        <f aca="false">D999/D977</f>
        <v>0.0840639229794768</v>
      </c>
      <c r="E1003" s="17" t="n">
        <f aca="false">E999/E977</f>
        <v>0.0843228043463019</v>
      </c>
      <c r="F1003" s="17" t="n">
        <f aca="false">F999/F977</f>
        <v>0.09728751284113</v>
      </c>
      <c r="G1003" s="17" t="n">
        <f aca="false">G999/G977</f>
        <v>0.107785497587022</v>
      </c>
      <c r="H1003" s="26" t="n">
        <f aca="false">$G1003+(fade_mA-$G1003)*1/3</f>
        <v>0.108748672147442</v>
      </c>
      <c r="I1003" s="26" t="n">
        <f aca="false">$G1003+(fade_mA-$G1003)*2/3</f>
        <v>0.109711846707863</v>
      </c>
      <c r="J1003" s="26" t="n">
        <f aca="false">$G1003+(fade_mA-$G1003)*3/3</f>
        <v>0.110675021268284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940</v>
      </c>
    </row>
    <row r="2" customFormat="false" ht="17.15" hidden="false" customHeight="false" outlineLevel="0" collapsed="false">
      <c r="A2" s="5" t="s">
        <v>941</v>
      </c>
      <c r="B2" s="0" t="s">
        <v>942</v>
      </c>
    </row>
    <row r="3" customFormat="false" ht="17.15" hidden="false" customHeight="false" outlineLevel="0" collapsed="false">
      <c r="A3" s="5" t="s">
        <v>943</v>
      </c>
      <c r="B3" s="0" t="s">
        <v>944</v>
      </c>
    </row>
    <row r="4" customFormat="false" ht="17.15" hidden="false" customHeight="false" outlineLevel="0" collapsed="false">
      <c r="A4" s="5" t="s">
        <v>945</v>
      </c>
      <c r="B4" s="0" t="s">
        <v>946</v>
      </c>
    </row>
    <row r="5" customFormat="false" ht="17.15" hidden="false" customHeight="false" outlineLevel="0" collapsed="false">
      <c r="A5" s="5" t="s">
        <v>947</v>
      </c>
      <c r="B5" s="0" t="s">
        <v>948</v>
      </c>
    </row>
    <row r="6" customFormat="false" ht="17.15" hidden="false" customHeight="false" outlineLevel="0" collapsed="false">
      <c r="A6" s="5" t="s">
        <v>949</v>
      </c>
      <c r="B6" s="0" t="s">
        <v>950</v>
      </c>
    </row>
    <row r="7" customFormat="false" ht="17.15" hidden="false" customHeight="false" outlineLevel="0" collapsed="false">
      <c r="A7" s="5" t="s">
        <v>951</v>
      </c>
      <c r="B7" s="0" t="s">
        <v>952</v>
      </c>
    </row>
    <row r="8" customFormat="false" ht="17.15" hidden="false" customHeight="false" outlineLevel="0" collapsed="false">
      <c r="A8" s="5" t="s">
        <v>953</v>
      </c>
      <c r="B8" s="0" t="s">
        <v>954</v>
      </c>
    </row>
    <row r="9" customFormat="false" ht="17.15" hidden="false" customHeight="false" outlineLevel="0" collapsed="false">
      <c r="A9" s="5" t="s">
        <v>955</v>
      </c>
      <c r="B9" s="0" t="s">
        <v>956</v>
      </c>
    </row>
    <row r="10" customFormat="false" ht="17.15" hidden="false" customHeight="false" outlineLevel="0" collapsed="false">
      <c r="A10" s="5" t="s">
        <v>957</v>
      </c>
      <c r="B10" s="0" t="s">
        <v>958</v>
      </c>
    </row>
    <row r="11" customFormat="false" ht="17.15" hidden="false" customHeight="false" outlineLevel="0" collapsed="false">
      <c r="A11" s="5" t="s">
        <v>959</v>
      </c>
      <c r="B11" s="0" t="s">
        <v>960</v>
      </c>
    </row>
    <row r="12" customFormat="false" ht="17.15" hidden="false" customHeight="false" outlineLevel="0" collapsed="false">
      <c r="A12" s="5" t="s">
        <v>961</v>
      </c>
      <c r="B12" s="0" t="s">
        <v>962</v>
      </c>
    </row>
    <row r="13" customFormat="false" ht="17.15" hidden="false" customHeight="false" outlineLevel="0" collapsed="false">
      <c r="A13" s="5" t="s">
        <v>963</v>
      </c>
      <c r="B13" s="0" t="s">
        <v>964</v>
      </c>
    </row>
    <row r="14" customFormat="false" ht="17.15" hidden="false" customHeight="false" outlineLevel="0" collapsed="false">
      <c r="A14" s="5" t="s">
        <v>965</v>
      </c>
      <c r="B14" s="0" t="s">
        <v>966</v>
      </c>
    </row>
    <row r="15" customFormat="false" ht="17.15" hidden="false" customHeight="false" outlineLevel="0" collapsed="false">
      <c r="A15" s="5" t="s">
        <v>967</v>
      </c>
      <c r="B15" s="0" t="s">
        <v>968</v>
      </c>
    </row>
    <row r="16" customFormat="false" ht="17.15" hidden="false" customHeight="false" outlineLevel="0" collapsed="false">
      <c r="A16" s="5" t="s">
        <v>969</v>
      </c>
      <c r="B16" s="0" t="s">
        <v>970</v>
      </c>
    </row>
    <row r="17" customFormat="false" ht="17.15" hidden="false" customHeight="false" outlineLevel="0" collapsed="false">
      <c r="A17" s="5" t="s">
        <v>971</v>
      </c>
      <c r="B17" s="0" t="s">
        <v>972</v>
      </c>
    </row>
    <row r="18" customFormat="false" ht="17.15" hidden="false" customHeight="false" outlineLevel="0" collapsed="false">
      <c r="A18" s="5" t="s">
        <v>973</v>
      </c>
      <c r="B18" s="0" t="s">
        <v>974</v>
      </c>
    </row>
    <row r="19" customFormat="false" ht="17.15" hidden="false" customHeight="false" outlineLevel="0" collapsed="false">
      <c r="A19" s="5" t="s">
        <v>975</v>
      </c>
      <c r="B19" s="0" t="s">
        <v>976</v>
      </c>
    </row>
    <row r="20" customFormat="false" ht="17.15" hidden="false" customHeight="false" outlineLevel="0" collapsed="false">
      <c r="A20" s="5" t="s">
        <v>977</v>
      </c>
      <c r="B20" s="0" t="s">
        <v>978</v>
      </c>
    </row>
    <row r="21" customFormat="false" ht="17.15" hidden="false" customHeight="false" outlineLevel="0" collapsed="false">
      <c r="A21" s="5" t="s">
        <v>979</v>
      </c>
      <c r="B21" s="0" t="s">
        <v>980</v>
      </c>
    </row>
    <row r="22" customFormat="false" ht="17.15" hidden="false" customHeight="false" outlineLevel="0" collapsed="false">
      <c r="A22" s="5" t="s">
        <v>981</v>
      </c>
      <c r="B22" s="0" t="s">
        <v>982</v>
      </c>
    </row>
    <row r="23" customFormat="false" ht="17.15" hidden="false" customHeight="false" outlineLevel="0" collapsed="false">
      <c r="A23" s="5" t="s">
        <v>983</v>
      </c>
      <c r="B23" s="0" t="s">
        <v>984</v>
      </c>
    </row>
    <row r="24" customFormat="false" ht="17.15" hidden="false" customHeight="false" outlineLevel="0" collapsed="false">
      <c r="A24" s="5" t="s">
        <v>985</v>
      </c>
      <c r="B24" s="5" t="s">
        <v>986</v>
      </c>
    </row>
    <row r="25" customFormat="false" ht="15" hidden="false" customHeight="false" outlineLevel="0" collapsed="false">
      <c r="A25" s="0" t="s">
        <v>987</v>
      </c>
      <c r="B25" s="5" t="s">
        <v>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2026-10-29T07:24:44Z</dcterms:created>
  <dc:creator>openpyxl</dc:creator>
  <dc:description/>
  <dc:language>en-US</dc:language>
  <cp:lastModifiedBy/>
  <dcterms:modified xsi:type="dcterms:W3CDTF">2026-10-29T07:24:44Z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