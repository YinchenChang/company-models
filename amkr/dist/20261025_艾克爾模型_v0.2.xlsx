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In!$E$113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In!$E$61</definedName>
    <definedName function="false" hidden="false" name="az_capex1_hi" vbProcedure="false">In!$F$61</definedName>
    <definedName function="false" hidden="false" name="az_capex1_lo" vbProcedure="false">In!$D$61</definedName>
    <definedName function="false" hidden="false" name="az_cm" vbProcedure="false">In!$E$57</definedName>
    <definedName function="false" hidden="false" name="az_cm_hi" vbProcedure="false">In!$F$57</definedName>
    <definedName function="false" hidden="false" name="az_cm_lo" vbProcedure="false">In!$D$57</definedName>
    <definedName function="false" hidden="false" name="az_fix27" vbProcedure="false">In!$E$58</definedName>
    <definedName function="false" hidden="false" name="az_fix27_hi" vbProcedure="false">In!$F$58</definedName>
    <definedName function="false" hidden="false" name="az_fix27_lo" vbProcedure="false">In!$D$58</definedName>
    <definedName function="false" hidden="false" name="az_fix28" vbProcedure="false">In!$E$59</definedName>
    <definedName function="false" hidden="false" name="az_fix28_hi" vbProcedure="false">In!$F$59</definedName>
    <definedName function="false" hidden="false" name="az_fix28_lo" vbProcedure="false">In!$D$59</definedName>
    <definedName function="false" hidden="false" name="az_fix29" vbProcedure="false">In!$E$60</definedName>
    <definedName function="false" hidden="false" name="az_fix29_hi" vbProcedure="false">In!$F$60</definedName>
    <definedName function="false" hidden="false" name="az_fix29_lo" vbProcedure="false">In!$D$60</definedName>
    <definedName function="false" hidden="false" name="az_inc" vbProcedure="false">In!$E$62</definedName>
    <definedName function="false" hidden="false" name="az_inc_hi" vbProcedure="false">In!$F$62</definedName>
    <definedName function="false" hidden="false" name="az_inc_lo" vbProcedure="false">In!$D$62</definedName>
    <definedName function="false" hidden="false" name="az_life" vbProcedure="false">In!$E$63</definedName>
    <definedName function="false" hidden="false" name="az_life_hi" vbProcedure="false">In!$F$63</definedName>
    <definedName function="false" hidden="false" name="az_life_lo" vbProcedure="false">In!$D$63</definedName>
    <definedName function="false" hidden="false" name="az_rev28_A" vbProcedure="false">In!$E$51</definedName>
    <definedName function="false" hidden="false" name="az_rev28_B" vbProcedure="false">In!$E$53</definedName>
    <definedName function="false" hidden="false" name="az_rev28_C" vbProcedure="false">In!$E$55</definedName>
    <definedName function="false" hidden="false" name="az_rev29_A" vbProcedure="false">In!$E$52</definedName>
    <definedName function="false" hidden="false" name="az_rev29_B" vbProcedure="false">In!$E$54</definedName>
    <definedName function="false" hidden="false" name="az_rev29_C" vbProcedure="false">In!$E$56</definedName>
    <definedName function="false" hidden="false" name="az_svc28" vbProcedure="false">In!$E$64</definedName>
    <definedName function="false" hidden="false" name="az_svc28_hi" vbProcedure="false">In!$F$64</definedName>
    <definedName function="false" hidden="false" name="az_svc28_lo" vbProcedure="false">In!$D$64</definedName>
    <definedName function="false" hidden="false" name="capex26" vbProcedure="false">In!$E$102</definedName>
    <definedName function="false" hidden="false" name="capex26_hi" vbProcedure="false">In!$F$102</definedName>
    <definedName function="false" hidden="false" name="capex26_lo" vbProcedure="false">In!$D$102</definedName>
    <definedName function="false" hidden="false" name="capi" vbProcedure="false">In!$E$67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In!$F$67</definedName>
    <definedName function="false" hidden="false" name="capi_lo" vbProcedure="false">In!$D$67</definedName>
    <definedName function="false" hidden="false" name="cap_m26" vbProcedure="false">In!$E$68</definedName>
    <definedName function="false" hidden="false" name="cap_m26_hi" vbProcedure="false">In!$F$68</definedName>
    <definedName function="false" hidden="false" name="cap_m26_lo" vbProcedure="false">In!$D$68</definedName>
    <definedName function="false" hidden="false" name="cons_eps26" vbProcedure="false">In!$E$110</definedName>
    <definedName function="false" hidden="false" name="cons_eps26_hi" vbProcedure="false">In!$F$110</definedName>
    <definedName function="false" hidden="false" name="cons_eps26_lo" vbProcedure="false">In!$D$110</definedName>
    <definedName function="false" hidden="false" name="cons_eps27" vbProcedure="false">In!$E$111</definedName>
    <definedName function="false" hidden="false" name="cons_feps" vbProcedure="false">In!$E$118</definedName>
    <definedName function="false" hidden="false" name="cons_q3rev" vbProcedure="false">In!$E$112</definedName>
    <definedName function="false" hidden="false" name="cons_rev26" vbProcedure="false">In!$E$109</definedName>
    <definedName function="false" hidden="false" name="cons_rev26_hi" vbProcedure="false">In!$F$109</definedName>
    <definedName function="false" hidden="false" name="cons_rev26_lo" vbProcedure="false">In!$D$109</definedName>
    <definedName function="false" hidden="false" name="cons_tp" vbProcedure="false">In!$E$119</definedName>
    <definedName function="false" hidden="false" name="cons_tp_hi" vbProcedure="false">In!$F$119</definedName>
    <definedName function="false" hidden="false" name="cons_tp_lo" vbProcedure="false">In!$D$119</definedName>
    <definedName function="false" hidden="false" name="cow_util27" vbProcedure="false">In!$E$19</definedName>
    <definedName function="false" hidden="false" name="el" vbProcedure="false">In!$E$39</definedName>
    <definedName function="false" hidden="false" name="el_hi" vbProcedure="false">In!$F$39</definedName>
    <definedName function="false" hidden="false" name="el_lo" vbProcedure="false">In!$D$39</definedName>
    <definedName function="false" hidden="false" name="fade_gA" vbProcedure="false">In!$E$129</definedName>
    <definedName function="false" hidden="false" name="fade_gB" vbProcedure="false">In!$E$130</definedName>
    <definedName function="false" hidden="false" name="fade_gC" vbProcedure="false">In!$E$131</definedName>
    <definedName function="false" hidden="false" name="fade_mA" vbProcedure="false">In!$E$132</definedName>
    <definedName function="false" hidden="false" name="fade_mB" vbProcedure="false">In!$E$133</definedName>
    <definedName function="false" hidden="false" name="fade_mC" vbProcedure="false">In!$E$134</definedName>
    <definedName function="false" hidden="false" name="fpe" vbProcedure="false">In!$E$117</definedName>
    <definedName function="false" hidden="false" name="ft" vbProcedure="false">In!$E$66</definedName>
    <definedName function="false" hidden="false" name="ft_hi" vbProcedure="false">In!$F$66</definedName>
    <definedName function="false" hidden="false" name="ft_lo" vbProcedure="false">In!$D$66</definedName>
    <definedName function="false" hidden="false" name="g3_au" vbProcedure="false">In!$E$81</definedName>
    <definedName function="false" hidden="false" name="g3_au_hi" vbProcedure="false">In!$F$81</definedName>
    <definedName function="false" hidden="false" name="g3_au_lo" vbProcedure="false">In!$D$81</definedName>
    <definedName function="false" hidden="false" name="g3_cm" vbProcedure="false">In!$E$79</definedName>
    <definedName function="false" hidden="false" name="g3_cm_hi" vbProcedure="false">In!$F$79</definedName>
    <definedName function="false" hidden="false" name="g3_cm_lo" vbProcedure="false">In!$D$79</definedName>
    <definedName function="false" hidden="false" name="g3_cp" vbProcedure="false">In!$E$80</definedName>
    <definedName function="false" hidden="false" name="g3_cp_hi" vbProcedure="false">In!$F$80</definedName>
    <definedName function="false" hidden="false" name="g3_cp_lo" vbProcedure="false">In!$D$80</definedName>
    <definedName function="false" hidden="false" name="g3_cs" vbProcedure="false">In!$E$82</definedName>
    <definedName function="false" hidden="false" name="g3_cs_hi" vbProcedure="false">In!$F$82</definedName>
    <definedName function="false" hidden="false" name="g3_cs_lo" vbProcedure="false">In!$D$82</definedName>
    <definedName function="false" hidden="false" name="g3_eps" vbProcedure="false">In!$E$101</definedName>
    <definedName function="false" hidden="false" name="g3_eps_hi" vbProcedure="false">In!$F$101</definedName>
    <definedName function="false" hidden="false" name="g3_eps_lo" vbProcedure="false">In!$D$101</definedName>
    <definedName function="false" hidden="false" name="g3_ni" vbProcedure="false">In!$E$100</definedName>
    <definedName function="false" hidden="false" name="g3_ni_hi" vbProcedure="false">In!$F$100</definedName>
    <definedName function="false" hidden="false" name="g3_ni_lo" vbProcedure="false">In!$D$100</definedName>
    <definedName function="false" hidden="false" name="g3_rev" vbProcedure="false">In!$E$99</definedName>
    <definedName function="false" hidden="false" name="g3_rev_hi" vbProcedure="false">In!$F$99</definedName>
    <definedName function="false" hidden="false" name="g3_rev_lo" vbProcedure="false">In!$D$99</definedName>
    <definedName function="false" hidden="false" name="gain25" vbProcedure="false">In!$E$97</definedName>
    <definedName function="false" hidden="false" name="g_au" vbProcedure="false">In!$E$47</definedName>
    <definedName function="false" hidden="false" name="g_au_hi" vbProcedure="false">In!$F$47</definedName>
    <definedName function="false" hidden="false" name="g_au_lo" vbProcedure="false">In!$D$47</definedName>
    <definedName function="false" hidden="false" name="g_cm27_A" vbProcedure="false">In!$E$41</definedName>
    <definedName function="false" hidden="false" name="g_cm27_A_hi" vbProcedure="false">In!$F$41</definedName>
    <definedName function="false" hidden="false" name="g_cm27_A_lo" vbProcedure="false">In!$D$41</definedName>
    <definedName function="false" hidden="false" name="g_cm27_B" vbProcedure="false">In!$E$43</definedName>
    <definedName function="false" hidden="false" name="g_cm27_B_hi" vbProcedure="false">In!$F$43</definedName>
    <definedName function="false" hidden="false" name="g_cm27_B_lo" vbProcedure="false">In!$D$43</definedName>
    <definedName function="false" hidden="false" name="g_cm27_C" vbProcedure="false">In!$E$45</definedName>
    <definedName function="false" hidden="false" name="g_cm27_C_hi" vbProcedure="false">In!$F$45</definedName>
    <definedName function="false" hidden="false" name="g_cm27_C_lo" vbProcedure="false">In!$D$45</definedName>
    <definedName function="false" hidden="false" name="g_cmL_A" vbProcedure="false">In!$E$42</definedName>
    <definedName function="false" hidden="false" name="g_cmL_A_hi" vbProcedure="false">In!$F$42</definedName>
    <definedName function="false" hidden="false" name="g_cmL_A_lo" vbProcedure="false">In!$D$42</definedName>
    <definedName function="false" hidden="false" name="g_cmL_B" vbProcedure="false">In!$E$44</definedName>
    <definedName function="false" hidden="false" name="g_cmL_B_hi" vbProcedure="false">In!$F$44</definedName>
    <definedName function="false" hidden="false" name="g_cmL_B_lo" vbProcedure="false">In!$D$44</definedName>
    <definedName function="false" hidden="false" name="g_cmL_C" vbProcedure="false">In!$E$46</definedName>
    <definedName function="false" hidden="false" name="g_cmL_C_hi" vbProcedure="false">In!$F$46</definedName>
    <definedName function="false" hidden="false" name="g_cmL_C_lo" vbProcedure="false">In!$D$46</definedName>
    <definedName function="false" hidden="false" name="g_cs" vbProcedure="false">In!$E$48</definedName>
    <definedName function="false" hidden="false" name="g_cs_hi" vbProcedure="false">In!$F$48</definedName>
    <definedName function="false" hidden="false" name="g_cs_lo" vbProcedure="false">In!$D$48</definedName>
    <definedName function="false" hidden="false" name="g_pc" vbProcedure="false">In!$E$49</definedName>
    <definedName function="false" hidden="false" name="g_pc26" vbProcedure="false">In!$E$30</definedName>
    <definedName function="false" hidden="false" name="g_pc26_hi" vbProcedure="false">In!$F$30</definedName>
    <definedName function="false" hidden="false" name="g_pc26_lo" vbProcedure="false">In!$D$30</definedName>
    <definedName function="false" hidden="false" name="g_pc_hi" vbProcedure="false">In!$F$49</definedName>
    <definedName function="false" hidden="false" name="g_pc_lo" vbProcedure="false">In!$D$49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In!$E$69</definedName>
    <definedName function="false" hidden="false" name="life_hi" vbProcedure="false">In!$F$69</definedName>
    <definedName function="false" hidden="false" name="life_lo" vbProcedure="false">In!$D$69</definedName>
    <definedName function="false" hidden="false" name="nci" vbProcedure="false">In!$E$76</definedName>
    <definedName function="false" hidden="false" name="nim10" vbProcedure="false">In!$E$120</definedName>
    <definedName function="false" hidden="false" name="nonop27" vbProcedure="false">In!$E$72</definedName>
    <definedName function="false" hidden="false" name="nonop27_hi" vbProcedure="false">In!$F$72</definedName>
    <definedName function="false" hidden="false" name="nonop27_lo" vbProcedure="false">In!$D$72</definedName>
    <definedName function="false" hidden="false" name="nonop28" vbProcedure="false">In!$E$73</definedName>
    <definedName function="false" hidden="false" name="nonop28_hi" vbProcedure="false">In!$F$73</definedName>
    <definedName function="false" hidden="false" name="nonop28_lo" vbProcedure="false">In!$D$73</definedName>
    <definedName function="false" hidden="false" name="nonop29" vbProcedure="false">In!$E$74</definedName>
    <definedName function="false" hidden="false" name="nonop29_hi" vbProcedure="false">In!$F$74</definedName>
    <definedName function="false" hidden="false" name="nonop29_lo" vbProcedure="false">In!$D$74</definedName>
    <definedName function="false" hidden="false" name="opx_gain" vbProcedure="false">In!$E$71</definedName>
    <definedName function="false" hidden="false" name="osat_ts" vbProcedure="false">In!$E$20</definedName>
    <definedName function="false" hidden="false" name="out_26" vbProcedure="false">In!$E$31</definedName>
    <definedName function="false" hidden="false" name="out_26_hi" vbProcedure="false">In!$F$31</definedName>
    <definedName function="false" hidden="false" name="out_26_lo" vbProcedure="false">In!$D$31</definedName>
    <definedName function="false" hidden="false" name="out_27" vbProcedure="false">In!$E$32</definedName>
    <definedName function="false" hidden="false" name="out_27_hi" vbProcedure="false">In!$F$32</definedName>
    <definedName function="false" hidden="false" name="out_27_lo" vbProcedure="false">In!$D$32</definedName>
    <definedName function="false" hidden="false" name="out_28" vbProcedure="false">In!$E$33</definedName>
    <definedName function="false" hidden="false" name="out_28_hi" vbProcedure="false">In!$F$33</definedName>
    <definedName function="false" hidden="false" name="out_28_lo" vbProcedure="false">In!$D$33</definedName>
    <definedName function="false" hidden="false" name="out_29" vbProcedure="false">In!$E$34</definedName>
    <definedName function="false" hidden="false" name="out_29_hi" vbProcedure="false">In!$F$34</definedName>
    <definedName function="false" hidden="false" name="out_29_lo" vbProcedure="false">In!$D$34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In!$E$116</definedName>
    <definedName function="false" hidden="false" name="phi" vbProcedure="false">In!$E$70</definedName>
    <definedName function="false" hidden="false" name="phi_hi" vbProcedure="false">In!$F$70</definedName>
    <definedName function="false" hidden="false" name="phi_lo" vbProcedure="false">In!$D$70</definedName>
    <definedName function="false" hidden="false" name="px" vbProcedure="false">In!$E$115</definedName>
    <definedName function="false" hidden="false" name="q3_gm" vbProcedure="false">In!$E$83</definedName>
    <definedName function="false" hidden="false" name="q3_gm_hi" vbProcedure="false">In!$F$83</definedName>
    <definedName function="false" hidden="false" name="q3_gm_lo" vbProcedure="false">In!$D$83</definedName>
    <definedName function="false" hidden="false" name="q3_opx" vbProcedure="false">In!$E$84</definedName>
    <definedName function="false" hidden="false" name="q4_au" vbProcedure="false">In!$E$87</definedName>
    <definedName function="false" hidden="false" name="q4_au_hi" vbProcedure="false">In!$F$87</definedName>
    <definedName function="false" hidden="false" name="q4_au_lo" vbProcedure="false">In!$D$87</definedName>
    <definedName function="false" hidden="false" name="q4_cm" vbProcedure="false">In!$E$85</definedName>
    <definedName function="false" hidden="false" name="q4_cm_hi" vbProcedure="false">In!$F$85</definedName>
    <definedName function="false" hidden="false" name="q4_cm_lo" vbProcedure="false">In!$D$85</definedName>
    <definedName function="false" hidden="false" name="q4_cp" vbProcedure="false">In!$E$86</definedName>
    <definedName function="false" hidden="false" name="q4_cp_hi" vbProcedure="false">In!$F$86</definedName>
    <definedName function="false" hidden="false" name="q4_cp_lo" vbProcedure="false">In!$D$86</definedName>
    <definedName function="false" hidden="false" name="q4_cs" vbProcedure="false">In!$E$88</definedName>
    <definedName function="false" hidden="false" name="q4_cs_hi" vbProcedure="false">In!$F$88</definedName>
    <definedName function="false" hidden="false" name="q4_cs_lo" vbProcedure="false">In!$D$88</definedName>
    <definedName function="false" hidden="false" name="q4_gm" vbProcedure="false">In!$E$89</definedName>
    <definedName function="false" hidden="false" name="q4_gm_hi" vbProcedure="false">In!$F$89</definedName>
    <definedName function="false" hidden="false" name="q4_gm_lo" vbProcedure="false">In!$D$89</definedName>
    <definedName function="false" hidden="false" name="q4_opx" vbProcedure="false">In!$E$90</definedName>
    <definedName function="false" hidden="false" name="q4_opx_hi" vbProcedure="false">In!$F$90</definedName>
    <definedName function="false" hidden="false" name="q4_opx_lo" vbProcedure="false">In!$D$90</definedName>
    <definedName function="false" hidden="false" name="q_da3" vbProcedure="false">In!$E$95</definedName>
    <definedName function="false" hidden="false" name="q_da3_hi" vbProcedure="false">In!$F$95</definedName>
    <definedName function="false" hidden="false" name="q_da3_lo" vbProcedure="false">In!$D$95</definedName>
    <definedName function="false" hidden="false" name="q_da4" vbProcedure="false">In!$E$96</definedName>
    <definedName function="false" hidden="false" name="q_da4_hi" vbProcedure="false">In!$F$96</definedName>
    <definedName function="false" hidden="false" name="q_da4_lo" vbProcedure="false">In!$D$96</definedName>
    <definedName function="false" hidden="false" name="q_nci" vbProcedure="false">In!$E$93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In!$E$94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26" vbProcedure="false">In!$E$35</definedName>
    <definedName function="false" hidden="false" name="sh_26_hi" vbProcedure="false">In!$F$35</definedName>
    <definedName function="false" hidden="false" name="sh_26_lo" vbProcedure="false">In!$D$35</definedName>
    <definedName function="false" hidden="false" name="sh_27" vbProcedure="false">In!$E$36</definedName>
    <definedName function="false" hidden="false" name="sh_27_hi" vbProcedure="false">In!$F$36</definedName>
    <definedName function="false" hidden="false" name="sh_27_lo" vbProcedure="false">In!$D$36</definedName>
    <definedName function="false" hidden="false" name="sh_28" vbProcedure="false">In!$E$37</definedName>
    <definedName function="false" hidden="false" name="sh_28_hi" vbProcedure="false">In!$F$37</definedName>
    <definedName function="false" hidden="false" name="sh_28_lo" vbProcedure="false">In!$D$37</definedName>
    <definedName function="false" hidden="false" name="sh_29" vbProcedure="false">In!$E$38</definedName>
    <definedName function="false" hidden="false" name="sh_29_hi" vbProcedure="false">In!$F$38</definedName>
    <definedName function="false" hidden="false" name="sh_29_lo" vbProcedure="false">In!$D$38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t28_eps" vbProcedure="false">In!$E$105</definedName>
    <definedName function="false" hidden="false" name="t28_eps_hi" vbProcedure="false">In!$F$105</definedName>
    <definedName function="false" hidden="false" name="t28_eps_lo" vbProcedure="false">In!$D$105</definedName>
    <definedName function="false" hidden="false" name="t28_gm" vbProcedure="false">In!$E$104</definedName>
    <definedName function="false" hidden="false" name="t28_gm_hi" vbProcedure="false">In!$F$104</definedName>
    <definedName function="false" hidden="false" name="t28_gm_lo" vbProcedure="false">In!$D$104</definedName>
    <definedName function="false" hidden="false" name="t28_rev" vbProcedure="false">In!$E$103</definedName>
    <definedName function="false" hidden="false" name="t28_rev_hi" vbProcedure="false">In!$F$103</definedName>
    <definedName function="false" hidden="false" name="t28_rev_lo" vbProcedure="false">In!$D$103</definedName>
    <definedName function="false" hidden="false" name="t30_eps" vbProcedure="false">In!$E$108</definedName>
    <definedName function="false" hidden="false" name="t30_gm" vbProcedure="false">In!$E$107</definedName>
    <definedName function="false" hidden="false" name="t30_rev" vbProcedure="false">In!$E$106</definedName>
    <definedName function="false" hidden="false" name="tam_gw" vbProcedure="false">In!$E$27</definedName>
    <definedName function="false" hidden="false" name="tax" vbProcedure="false">In!$E$75</definedName>
    <definedName function="false" hidden="false" name="tax_hi" vbProcedure="false">In!$F$75</definedName>
    <definedName function="false" hidden="false" name="tax_lo" vbProcedure="false">In!$D$75</definedName>
    <definedName function="false" hidden="false" name="tp_g" vbProcedure="false">In!$E$126</definedName>
    <definedName function="false" hidden="false" name="tp_r" vbProcedure="false">In!$E$125</definedName>
    <definedName function="false" hidden="false" name="tp_roe" vbProcedure="false">In!$E$127</definedName>
    <definedName function="false" hidden="false" name="tp_wA" vbProcedure="false">In!$E$122</definedName>
    <definedName function="false" hidden="false" name="tp_wB" vbProcedure="false">In!$E$123</definedName>
    <definedName function="false" hidden="false" name="tp_wC" vbProcedure="false">In!$E$124</definedName>
    <definedName function="false" hidden="false" name="tp_w_dcf" vbProcedure="false">In!$E$128</definedName>
    <definedName function="false" hidden="false" name="tri" vbProcedure="false">In!$E$29</definedName>
    <definedName function="false" hidden="false" name="tri_hi" vbProcedure="false">In!$F$29</definedName>
    <definedName function="false" hidden="false" name="tri_lo" vbProcedure="false">In!$D$29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<sst xmlns="http://schemas.openxmlformats.org/spreadsheetml/2006/main" count="3915" uniqueCount="932">
  <si>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</si>
  <si>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</si>
  <si>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</si>
  <si>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</si>
  <si>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</si>
  <si>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</si>
  <si>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</si>
  <si>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</si>
  <si>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</si>
  <si>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</si>
  <si>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</si>
  <si>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</si>
  <si>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</si>
  <si>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</si>
  <si>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</si>
  <si>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</si>
  <si>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</si>
  <si>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</si>
  <si>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</si>
  <si>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</si>
  <si>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</si>
  <si>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</si>
  <si>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</si>
  <si>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</si>
  <si>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</si>
  <si>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</si>
  <si>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</si>
  <si>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</si>
  <si>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</si>
  <si>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</si>
  <si>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</si>
  <si>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</si>
  <si>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</si>
  <si>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</si>
  <si>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</si>
  <si>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</si>
  <si>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</si>
  <si>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</si>
  <si>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</si>
  <si>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</si>
  <si>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</si>
  <si>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</si>
  <si>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</si>
  <si>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</si>
  <si>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</si>
  <si>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</si>
  <si>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</si>
  <si>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</si>
  <si>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</si>
  <si>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</si>
  <si>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</si>
  <si>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</si>
  <si>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</si>
  <si>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</si>
  <si>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</si>
  <si>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</si>
  <si>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</si>
  <si>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</si>
  <si>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</si>
  <si>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</si>
  <si>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</si>
  <si>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</si>
  <si>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</si>
  <si>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</si>
  <si>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</si>
  <si>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</si>
  <si>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</si>
  <si>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</si>
  <si>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</si>
  <si>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</si>
  <si>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</si>
  <si>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</si>
  <si>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</si>
  <si>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</si>
  <si>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</si>
  <si>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</si>
  <si>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</si>
  <si>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</si>
  <si>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</si>
  <si>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</si>
  <si>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</si>
  <si>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</si>
  <si>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</si>
  <si>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</si>
  <si>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</si>
  <si>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</si>
  <si>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</si>
  <si>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</si>
  <si>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</si>
  <si>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</si>
  <si>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</si>
  <si>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</si>
  <si>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</si>
  <si>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</si>
  <si>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</si>
  <si>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</si>
  <si>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</si>
  <si>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</si>
  <si>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</si>
  <si>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t xml:space="preserve">Interested-party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</si>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</sst>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5" t="s">
        <v>28</v>
      </c>
      <c r="E5" s="7" t="n">
        <v>15.2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5" t="s">
        <v>28</v>
      </c>
      <c r="E6" s="7" t="n">
        <v>23.7</v>
      </c>
      <c r="G6" s="8" t="s">
        <v>29</v>
      </c>
      <c r="H6" s="5" t="s">
        <v>34</v>
      </c>
      <c r="I6" s="5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5" t="s">
        <v>28</v>
      </c>
      <c r="E7" s="7" t="n">
        <v>26.5</v>
      </c>
      <c r="G7" s="8" t="s">
        <v>29</v>
      </c>
      <c r="H7" s="5" t="s">
        <v>34</v>
      </c>
      <c r="I7" s="5" t="s">
        <v>34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5" t="s">
        <v>28</v>
      </c>
      <c r="E8" s="7" t="n">
        <v>30.15</v>
      </c>
      <c r="G8" s="8" t="s">
        <v>29</v>
      </c>
      <c r="H8" s="5" t="s">
        <v>34</v>
      </c>
      <c r="I8" s="5" t="s">
        <v>34</v>
      </c>
    </row>
    <row r="9" customFormat="false" ht="17.15" hidden="false" customHeight="false" outlineLevel="0" collapsed="false">
      <c r="A9" s="0" t="s">
        <v>39</v>
      </c>
      <c r="B9" s="5" t="s">
        <v>40</v>
      </c>
      <c r="C9" s="0" t="s">
        <v>41</v>
      </c>
      <c r="E9" s="7" t="n">
        <v>1</v>
      </c>
      <c r="G9" s="8" t="s">
        <v>42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5" t="s">
        <v>46</v>
      </c>
      <c r="C10" s="0" t="s">
        <v>41</v>
      </c>
      <c r="E10" s="7" t="n">
        <v>1</v>
      </c>
      <c r="G10" s="8" t="s">
        <v>42</v>
      </c>
      <c r="H10" s="8" t="s">
        <v>47</v>
      </c>
      <c r="I10" s="5" t="s">
        <v>34</v>
      </c>
    </row>
    <row r="11" customFormat="false" ht="17.15" hidden="false" customHeight="false" outlineLevel="0" collapsed="false">
      <c r="A11" s="0" t="s">
        <v>48</v>
      </c>
      <c r="B11" s="5" t="s">
        <v>49</v>
      </c>
      <c r="C11" s="0" t="s">
        <v>41</v>
      </c>
      <c r="E11" s="7" t="n">
        <v>0.8</v>
      </c>
      <c r="G11" s="8" t="s">
        <v>42</v>
      </c>
      <c r="H11" s="8" t="s">
        <v>50</v>
      </c>
      <c r="I11" s="5" t="s">
        <v>34</v>
      </c>
    </row>
    <row r="12" customFormat="false" ht="17.15" hidden="false" customHeight="false" outlineLevel="0" collapsed="false">
      <c r="A12" s="0" t="s">
        <v>51</v>
      </c>
      <c r="B12" s="5" t="s">
        <v>52</v>
      </c>
      <c r="C12" s="0" t="s">
        <v>41</v>
      </c>
      <c r="E12" s="7" t="n">
        <v>0.85</v>
      </c>
      <c r="G12" s="8" t="s">
        <v>42</v>
      </c>
      <c r="H12" s="8" t="s">
        <v>53</v>
      </c>
      <c r="I12" s="5" t="s">
        <v>34</v>
      </c>
    </row>
    <row r="13" customFormat="false" ht="17.15" hidden="false" customHeight="false" outlineLevel="0" collapsed="false">
      <c r="A13" s="0" t="s">
        <v>54</v>
      </c>
      <c r="B13" s="5" t="s">
        <v>55</v>
      </c>
      <c r="C13" s="0" t="s">
        <v>41</v>
      </c>
      <c r="E13" s="7" t="n">
        <v>0.6</v>
      </c>
      <c r="G13" s="8" t="s">
        <v>42</v>
      </c>
      <c r="H13" s="8" t="s">
        <v>56</v>
      </c>
      <c r="I13" s="5" t="s">
        <v>34</v>
      </c>
    </row>
    <row r="14" customFormat="false" ht="17.15" hidden="false" customHeight="false" outlineLevel="0" collapsed="false">
      <c r="A14" s="0" t="s">
        <v>57</v>
      </c>
      <c r="B14" s="5" t="s">
        <v>58</v>
      </c>
      <c r="C14" s="0" t="s">
        <v>41</v>
      </c>
      <c r="E14" s="7" t="n">
        <v>0.6</v>
      </c>
      <c r="G14" s="8" t="s">
        <v>42</v>
      </c>
      <c r="H14" s="8" t="s">
        <v>59</v>
      </c>
      <c r="I14" s="5" t="s">
        <v>34</v>
      </c>
    </row>
    <row r="15" customFormat="false" ht="17.15" hidden="false" customHeight="false" outlineLevel="0" collapsed="false">
      <c r="A15" s="0" t="s">
        <v>60</v>
      </c>
      <c r="B15" s="5" t="s">
        <v>61</v>
      </c>
      <c r="C15" s="0" t="s">
        <v>41</v>
      </c>
      <c r="E15" s="7" t="n">
        <v>1</v>
      </c>
      <c r="G15" s="8" t="s">
        <v>29</v>
      </c>
      <c r="H15" s="8" t="s">
        <v>62</v>
      </c>
      <c r="I15" s="5" t="s">
        <v>63</v>
      </c>
    </row>
    <row r="16" customFormat="false" ht="17.15" hidden="false" customHeight="false" outlineLevel="0" collapsed="false">
      <c r="A16" s="0" t="s">
        <v>64</v>
      </c>
      <c r="B16" s="5" t="s">
        <v>65</v>
      </c>
      <c r="C16" s="0" t="s">
        <v>41</v>
      </c>
      <c r="E16" s="7" t="n">
        <v>1.278156</v>
      </c>
      <c r="G16" s="8" t="s">
        <v>29</v>
      </c>
      <c r="H16" s="5" t="s">
        <v>34</v>
      </c>
      <c r="I16" s="5" t="s">
        <v>34</v>
      </c>
    </row>
    <row r="17" customFormat="false" ht="17.15" hidden="false" customHeight="false" outlineLevel="0" collapsed="false">
      <c r="A17" s="0" t="s">
        <v>66</v>
      </c>
      <c r="B17" s="5" t="s">
        <v>67</v>
      </c>
      <c r="C17" s="0" t="s">
        <v>41</v>
      </c>
      <c r="E17" s="7" t="n">
        <v>1.428615</v>
      </c>
      <c r="G17" s="8" t="s">
        <v>29</v>
      </c>
      <c r="H17" s="5" t="s">
        <v>34</v>
      </c>
      <c r="I17" s="5" t="s">
        <v>34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41</v>
      </c>
      <c r="E18" s="7" t="n">
        <v>1.431796</v>
      </c>
      <c r="G18" s="8" t="s">
        <v>29</v>
      </c>
      <c r="H18" s="5" t="s">
        <v>34</v>
      </c>
      <c r="I18" s="5" t="s">
        <v>34</v>
      </c>
    </row>
    <row r="19" customFormat="false" ht="17.15" hidden="false" customHeight="false" outlineLevel="0" collapsed="false">
      <c r="A19" s="0" t="s">
        <v>70</v>
      </c>
      <c r="B19" s="5" t="s">
        <v>71</v>
      </c>
      <c r="C19" s="0" t="s">
        <v>72</v>
      </c>
      <c r="E19" s="7" t="n">
        <v>0.962547553456644</v>
      </c>
      <c r="G19" s="8" t="s">
        <v>29</v>
      </c>
      <c r="H19" s="8" t="s">
        <v>73</v>
      </c>
      <c r="I19" s="5" t="s">
        <v>74</v>
      </c>
    </row>
    <row r="20" customFormat="false" ht="17.15" hidden="false" customHeight="false" outlineLevel="0" collapsed="false">
      <c r="A20" s="0" t="s">
        <v>75</v>
      </c>
      <c r="B20" s="5" t="s">
        <v>76</v>
      </c>
      <c r="C20" s="0" t="s">
        <v>72</v>
      </c>
      <c r="E20" s="7" t="n">
        <v>0.1</v>
      </c>
      <c r="G20" s="8" t="s">
        <v>42</v>
      </c>
      <c r="H20" s="8" t="s">
        <v>77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81</v>
      </c>
      <c r="E21" s="7" t="n">
        <v>781.872916666667</v>
      </c>
      <c r="G21" s="8" t="s">
        <v>29</v>
      </c>
      <c r="H21" s="8" t="s">
        <v>82</v>
      </c>
      <c r="I21" s="5" t="s">
        <v>83</v>
      </c>
    </row>
    <row r="22" customFormat="false" ht="17.15" hidden="false" customHeight="false" outlineLevel="0" collapsed="false">
      <c r="A22" s="0" t="s">
        <v>84</v>
      </c>
      <c r="B22" s="0" t="s">
        <v>85</v>
      </c>
      <c r="C22" s="0" t="s">
        <v>81</v>
      </c>
      <c r="E22" s="7" t="n">
        <v>1565.35</v>
      </c>
      <c r="G22" s="8" t="s">
        <v>29</v>
      </c>
      <c r="H22" s="5" t="s">
        <v>34</v>
      </c>
      <c r="I22" s="5" t="s">
        <v>34</v>
      </c>
    </row>
    <row r="23" customFormat="false" ht="17.15" hidden="false" customHeight="false" outlineLevel="0" collapsed="false">
      <c r="A23" s="0" t="s">
        <v>86</v>
      </c>
      <c r="B23" s="0" t="s">
        <v>87</v>
      </c>
      <c r="C23" s="0" t="s">
        <v>81</v>
      </c>
      <c r="E23" s="7" t="n">
        <v>1984.26388888889</v>
      </c>
      <c r="G23" s="8" t="s">
        <v>29</v>
      </c>
      <c r="H23" s="5" t="s">
        <v>34</v>
      </c>
      <c r="I23" s="5" t="s">
        <v>34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81</v>
      </c>
      <c r="E24" s="7" t="n">
        <v>2260.39027777778</v>
      </c>
      <c r="G24" s="8" t="s">
        <v>29</v>
      </c>
      <c r="H24" s="5" t="s">
        <v>34</v>
      </c>
      <c r="I24" s="5" t="s">
        <v>34</v>
      </c>
    </row>
    <row r="25" customFormat="false" ht="17.15" hidden="false" customHeight="false" outlineLevel="0" collapsed="false">
      <c r="A25" s="0" t="s">
        <v>90</v>
      </c>
      <c r="B25" s="5" t="s">
        <v>91</v>
      </c>
      <c r="C25" s="0" t="s">
        <v>81</v>
      </c>
      <c r="E25" s="7" t="n">
        <v>32.237224</v>
      </c>
      <c r="G25" s="8" t="s">
        <v>29</v>
      </c>
      <c r="H25" s="8" t="s">
        <v>92</v>
      </c>
      <c r="I25" s="8" t="s">
        <v>93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81</v>
      </c>
      <c r="E26" s="7" t="n">
        <v>37.586352</v>
      </c>
      <c r="G26" s="8" t="s">
        <v>29</v>
      </c>
      <c r="H26" s="8" t="s">
        <v>92</v>
      </c>
      <c r="I26" s="5" t="s">
        <v>34</v>
      </c>
    </row>
    <row r="27" customFormat="false" ht="17.15" hidden="false" customHeight="false" outlineLevel="0" collapsed="false">
      <c r="A27" s="0" t="s">
        <v>96</v>
      </c>
      <c r="B27" s="0" t="s">
        <v>97</v>
      </c>
      <c r="C27" s="0" t="s">
        <v>98</v>
      </c>
      <c r="E27" s="7" t="n">
        <v>0.5</v>
      </c>
      <c r="G27" s="8" t="s">
        <v>99</v>
      </c>
      <c r="H27" s="5" t="s">
        <v>100</v>
      </c>
      <c r="I27" s="5" t="s">
        <v>101</v>
      </c>
    </row>
    <row r="28" customFormat="false" ht="17.15" hidden="false" customHeight="false" outlineLevel="0" collapsed="false">
      <c r="A28" s="1" t="s">
        <v>102</v>
      </c>
    </row>
    <row r="29" customFormat="false" ht="17.15" hidden="false" customHeight="false" outlineLevel="0" collapsed="false">
      <c r="A29" s="0" t="s">
        <v>103</v>
      </c>
      <c r="B29" s="0" t="s">
        <v>104</v>
      </c>
      <c r="C29" s="0" t="s">
        <v>41</v>
      </c>
      <c r="D29" s="7" t="n">
        <v>2.5</v>
      </c>
      <c r="E29" s="7" t="n">
        <v>3</v>
      </c>
      <c r="F29" s="7" t="n">
        <v>3.2</v>
      </c>
      <c r="G29" s="8" t="s">
        <v>99</v>
      </c>
      <c r="H29" s="8" t="s">
        <v>105</v>
      </c>
      <c r="I29" s="8" t="s">
        <v>106</v>
      </c>
    </row>
    <row r="30" customFormat="false" ht="17.15" hidden="false" customHeight="false" outlineLevel="0" collapsed="false">
      <c r="A30" s="0" t="s">
        <v>107</v>
      </c>
      <c r="B30" s="0" t="s">
        <v>108</v>
      </c>
      <c r="C30" s="0" t="s">
        <v>72</v>
      </c>
      <c r="D30" s="7" t="n">
        <v>-0.1</v>
      </c>
      <c r="E30" s="7" t="n">
        <v>-0.03</v>
      </c>
      <c r="F30" s="7" t="n">
        <v>0.05</v>
      </c>
      <c r="G30" s="8" t="s">
        <v>42</v>
      </c>
      <c r="H30" s="5" t="s">
        <v>109</v>
      </c>
      <c r="I30" s="5" t="s">
        <v>110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0" t="s">
        <v>72</v>
      </c>
      <c r="D31" s="7" t="n">
        <v>0.4</v>
      </c>
      <c r="E31" s="7" t="n">
        <v>0.5</v>
      </c>
      <c r="F31" s="7" t="n">
        <v>0.6</v>
      </c>
      <c r="G31" s="8" t="s">
        <v>42</v>
      </c>
      <c r="H31" s="5" t="s">
        <v>113</v>
      </c>
      <c r="I31" s="8" t="s">
        <v>114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72</v>
      </c>
      <c r="D32" s="7" t="n">
        <v>0.45</v>
      </c>
      <c r="E32" s="7" t="n">
        <v>0.55</v>
      </c>
      <c r="F32" s="7" t="n">
        <v>0.65</v>
      </c>
      <c r="G32" s="8" t="s">
        <v>42</v>
      </c>
      <c r="H32" s="5" t="s">
        <v>34</v>
      </c>
      <c r="I32" s="8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72</v>
      </c>
      <c r="D33" s="7" t="n">
        <v>0.45</v>
      </c>
      <c r="E33" s="7" t="n">
        <v>0.6</v>
      </c>
      <c r="F33" s="7" t="n">
        <v>0.7</v>
      </c>
      <c r="G33" s="8" t="s">
        <v>42</v>
      </c>
      <c r="H33" s="5" t="s">
        <v>34</v>
      </c>
      <c r="I33" s="8" t="s">
        <v>117</v>
      </c>
    </row>
    <row r="34" customFormat="false" ht="17.15" hidden="false" customHeight="false" outlineLevel="0" collapsed="false">
      <c r="A34" s="0" t="s">
        <v>120</v>
      </c>
      <c r="B34" s="0" t="s">
        <v>121</v>
      </c>
      <c r="C34" s="0" t="s">
        <v>72</v>
      </c>
      <c r="D34" s="7" t="n">
        <v>0.45</v>
      </c>
      <c r="E34" s="7" t="n">
        <v>0.6</v>
      </c>
      <c r="F34" s="7" t="n">
        <v>0.75</v>
      </c>
      <c r="G34" s="8" t="s">
        <v>42</v>
      </c>
      <c r="H34" s="5" t="s">
        <v>34</v>
      </c>
      <c r="I34" s="8" t="s">
        <v>117</v>
      </c>
    </row>
    <row r="35" customFormat="false" ht="17.15" hidden="false" customHeight="false" outlineLevel="0" collapsed="false">
      <c r="A35" s="0" t="s">
        <v>122</v>
      </c>
      <c r="B35" s="0" t="s">
        <v>123</v>
      </c>
      <c r="C35" s="0" t="s">
        <v>72</v>
      </c>
      <c r="D35" s="7" t="n">
        <v>0.28</v>
      </c>
      <c r="E35" s="7" t="n">
        <v>0.35</v>
      </c>
      <c r="F35" s="7" t="n">
        <v>0.4</v>
      </c>
      <c r="G35" s="8" t="s">
        <v>42</v>
      </c>
      <c r="H35" s="8" t="s">
        <v>124</v>
      </c>
      <c r="I35" s="5" t="s">
        <v>125</v>
      </c>
    </row>
    <row r="36" customFormat="false" ht="17.15" hidden="false" customHeight="false" outlineLevel="0" collapsed="false">
      <c r="A36" s="0" t="s">
        <v>126</v>
      </c>
      <c r="B36" s="0" t="s">
        <v>127</v>
      </c>
      <c r="C36" s="0" t="s">
        <v>72</v>
      </c>
      <c r="D36" s="7" t="n">
        <v>0.28</v>
      </c>
      <c r="E36" s="7" t="n">
        <v>0.35</v>
      </c>
      <c r="F36" s="7" t="n">
        <v>0.4</v>
      </c>
      <c r="G36" s="8" t="s">
        <v>42</v>
      </c>
      <c r="H36" s="5" t="s">
        <v>34</v>
      </c>
      <c r="I36" s="8" t="s">
        <v>128</v>
      </c>
    </row>
    <row r="37" customFormat="false" ht="17.15" hidden="false" customHeight="false" outlineLevel="0" collapsed="false">
      <c r="A37" s="0" t="s">
        <v>129</v>
      </c>
      <c r="B37" s="0" t="s">
        <v>130</v>
      </c>
      <c r="C37" s="0" t="s">
        <v>72</v>
      </c>
      <c r="D37" s="7" t="n">
        <v>0.28</v>
      </c>
      <c r="E37" s="7" t="n">
        <v>0.37</v>
      </c>
      <c r="F37" s="7" t="n">
        <v>0.45</v>
      </c>
      <c r="G37" s="8" t="s">
        <v>42</v>
      </c>
      <c r="H37" s="5" t="s">
        <v>34</v>
      </c>
      <c r="I37" s="8" t="s">
        <v>128</v>
      </c>
    </row>
    <row r="38" customFormat="false" ht="17.15" hidden="false" customHeight="false" outlineLevel="0" collapsed="false">
      <c r="A38" s="0" t="s">
        <v>131</v>
      </c>
      <c r="B38" s="0" t="s">
        <v>132</v>
      </c>
      <c r="C38" s="0" t="s">
        <v>72</v>
      </c>
      <c r="D38" s="7" t="n">
        <v>0.28</v>
      </c>
      <c r="E38" s="7" t="n">
        <v>0.38</v>
      </c>
      <c r="F38" s="7" t="n">
        <v>0.45</v>
      </c>
      <c r="G38" s="8" t="s">
        <v>42</v>
      </c>
      <c r="H38" s="5" t="s">
        <v>34</v>
      </c>
      <c r="I38" s="8" t="s">
        <v>128</v>
      </c>
    </row>
    <row r="39" customFormat="false" ht="15" hidden="false" customHeight="false" outlineLevel="0" collapsed="false">
      <c r="A39" s="0" t="s">
        <v>133</v>
      </c>
      <c r="B39" s="5" t="s">
        <v>134</v>
      </c>
      <c r="C39" s="0" t="s">
        <v>41</v>
      </c>
      <c r="D39" s="7" t="n">
        <v>0.3</v>
      </c>
      <c r="E39" s="7" t="n">
        <v>0.5</v>
      </c>
      <c r="F39" s="7" t="n">
        <v>1</v>
      </c>
      <c r="G39" s="8" t="s">
        <v>42</v>
      </c>
      <c r="H39" s="5" t="s">
        <v>135</v>
      </c>
      <c r="I39" s="5" t="s">
        <v>101</v>
      </c>
    </row>
    <row r="40" customFormat="false" ht="17.15" hidden="false" customHeight="false" outlineLevel="0" collapsed="false">
      <c r="A40" s="1" t="s">
        <v>136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72</v>
      </c>
      <c r="D41" s="7" t="n">
        <v>-0.02</v>
      </c>
      <c r="E41" s="7" t="n">
        <v>0.03</v>
      </c>
      <c r="F41" s="7" t="n">
        <v>0.06</v>
      </c>
      <c r="G41" s="8" t="s">
        <v>42</v>
      </c>
      <c r="H41" s="8" t="s">
        <v>139</v>
      </c>
      <c r="I41" s="8" t="s">
        <v>140</v>
      </c>
    </row>
    <row r="42" customFormat="false" ht="17.15" hidden="false" customHeight="false" outlineLevel="0" collapsed="false">
      <c r="A42" s="0" t="s">
        <v>141</v>
      </c>
      <c r="B42" s="5" t="s">
        <v>142</v>
      </c>
      <c r="C42" s="0" t="s">
        <v>72</v>
      </c>
      <c r="D42" s="7" t="n">
        <v>-0.02</v>
      </c>
      <c r="E42" s="7" t="n">
        <v>0.04</v>
      </c>
      <c r="F42" s="7" t="n">
        <v>0.06</v>
      </c>
      <c r="G42" s="8" t="s">
        <v>42</v>
      </c>
      <c r="H42" s="5" t="s">
        <v>34</v>
      </c>
      <c r="I42" s="5" t="s">
        <v>34</v>
      </c>
    </row>
    <row r="43" customFormat="false" ht="17.15" hidden="false" customHeight="false" outlineLevel="0" collapsed="false">
      <c r="A43" s="0" t="s">
        <v>143</v>
      </c>
      <c r="B43" s="5" t="s">
        <v>144</v>
      </c>
      <c r="C43" s="0" t="s">
        <v>72</v>
      </c>
      <c r="D43" s="7" t="n">
        <v>-0.05</v>
      </c>
      <c r="E43" s="7" t="n">
        <v>0</v>
      </c>
      <c r="F43" s="7" t="n">
        <v>0.04</v>
      </c>
      <c r="G43" s="8" t="s">
        <v>42</v>
      </c>
      <c r="H43" s="5" t="s">
        <v>145</v>
      </c>
      <c r="I43" s="5" t="s">
        <v>34</v>
      </c>
    </row>
    <row r="44" customFormat="false" ht="17.15" hidden="false" customHeight="false" outlineLevel="0" collapsed="false">
      <c r="A44" s="0" t="s">
        <v>146</v>
      </c>
      <c r="B44" s="5" t="s">
        <v>147</v>
      </c>
      <c r="C44" s="0" t="s">
        <v>72</v>
      </c>
      <c r="D44" s="7" t="n">
        <v>-0.05</v>
      </c>
      <c r="E44" s="7" t="n">
        <v>0.03</v>
      </c>
      <c r="F44" s="7" t="n">
        <v>0.04</v>
      </c>
      <c r="G44" s="8" t="s">
        <v>42</v>
      </c>
      <c r="H44" s="5" t="s">
        <v>34</v>
      </c>
      <c r="I44" s="5" t="s">
        <v>34</v>
      </c>
    </row>
    <row r="45" customFormat="false" ht="17.15" hidden="false" customHeight="false" outlineLevel="0" collapsed="false">
      <c r="A45" s="0" t="s">
        <v>148</v>
      </c>
      <c r="B45" s="5" t="s">
        <v>149</v>
      </c>
      <c r="C45" s="0" t="s">
        <v>72</v>
      </c>
      <c r="D45" s="7" t="n">
        <v>-0.12</v>
      </c>
      <c r="E45" s="7" t="n">
        <v>-0.06</v>
      </c>
      <c r="F45" s="7" t="n">
        <v>0.02</v>
      </c>
      <c r="G45" s="8" t="s">
        <v>42</v>
      </c>
      <c r="H45" s="8" t="s">
        <v>150</v>
      </c>
      <c r="I45" s="5" t="s">
        <v>34</v>
      </c>
    </row>
    <row r="46" customFormat="false" ht="17.15" hidden="false" customHeight="false" outlineLevel="0" collapsed="false">
      <c r="A46" s="0" t="s">
        <v>151</v>
      </c>
      <c r="B46" s="5" t="s">
        <v>152</v>
      </c>
      <c r="C46" s="0" t="s">
        <v>72</v>
      </c>
      <c r="D46" s="7" t="n">
        <v>-0.12</v>
      </c>
      <c r="E46" s="7" t="n">
        <v>0</v>
      </c>
      <c r="F46" s="7" t="n">
        <v>0.02</v>
      </c>
      <c r="G46" s="8" t="s">
        <v>42</v>
      </c>
      <c r="H46" s="5" t="s">
        <v>34</v>
      </c>
      <c r="I46" s="5" t="s">
        <v>34</v>
      </c>
    </row>
    <row r="47" customFormat="false" ht="17.15" hidden="false" customHeight="false" outlineLevel="0" collapsed="false">
      <c r="A47" s="0" t="s">
        <v>153</v>
      </c>
      <c r="B47" s="5" t="s">
        <v>154</v>
      </c>
      <c r="C47" s="0" t="s">
        <v>72</v>
      </c>
      <c r="D47" s="7" t="n">
        <v>0.04</v>
      </c>
      <c r="E47" s="7" t="n">
        <v>0.1</v>
      </c>
      <c r="F47" s="7" t="n">
        <v>0.14</v>
      </c>
      <c r="G47" s="8" t="s">
        <v>99</v>
      </c>
      <c r="H47" s="5" t="s">
        <v>155</v>
      </c>
      <c r="I47" s="5" t="s">
        <v>156</v>
      </c>
    </row>
    <row r="48" customFormat="false" ht="17.15" hidden="false" customHeight="false" outlineLevel="0" collapsed="false">
      <c r="A48" s="0" t="s">
        <v>157</v>
      </c>
      <c r="B48" s="5" t="s">
        <v>158</v>
      </c>
      <c r="C48" s="0" t="s">
        <v>72</v>
      </c>
      <c r="D48" s="7" t="n">
        <v>-0.03</v>
      </c>
      <c r="E48" s="7" t="n">
        <v>0.03</v>
      </c>
      <c r="F48" s="7" t="n">
        <v>0.06</v>
      </c>
      <c r="G48" s="8" t="s">
        <v>99</v>
      </c>
      <c r="H48" s="5" t="s">
        <v>159</v>
      </c>
      <c r="I48" s="5" t="s">
        <v>101</v>
      </c>
    </row>
    <row r="49" customFormat="false" ht="17.15" hidden="false" customHeight="false" outlineLevel="0" collapsed="false">
      <c r="A49" s="0" t="s">
        <v>160</v>
      </c>
      <c r="B49" s="5" t="s">
        <v>161</v>
      </c>
      <c r="C49" s="0" t="s">
        <v>72</v>
      </c>
      <c r="D49" s="7" t="n">
        <v>-0.05</v>
      </c>
      <c r="E49" s="7" t="n">
        <v>0.03</v>
      </c>
      <c r="F49" s="7" t="n">
        <v>0.06</v>
      </c>
      <c r="G49" s="8" t="s">
        <v>42</v>
      </c>
      <c r="H49" s="5" t="s">
        <v>162</v>
      </c>
      <c r="I49" s="5" t="s">
        <v>163</v>
      </c>
    </row>
    <row r="50" customFormat="false" ht="17.15" hidden="false" customHeight="false" outlineLevel="0" collapsed="false">
      <c r="A50" s="1" t="s">
        <v>164</v>
      </c>
    </row>
    <row r="51" customFormat="false" ht="17.15" hidden="false" customHeight="false" outlineLevel="0" collapsed="false">
      <c r="A51" s="0" t="s">
        <v>165</v>
      </c>
      <c r="B51" s="5" t="s">
        <v>166</v>
      </c>
      <c r="C51" s="0" t="s">
        <v>167</v>
      </c>
      <c r="E51" s="7" t="n">
        <v>150</v>
      </c>
      <c r="G51" s="8" t="s">
        <v>42</v>
      </c>
      <c r="H51" s="5" t="s">
        <v>168</v>
      </c>
      <c r="I51" s="8" t="s">
        <v>169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167</v>
      </c>
      <c r="E52" s="7" t="n">
        <v>500</v>
      </c>
      <c r="G52" s="8" t="s">
        <v>42</v>
      </c>
      <c r="H52" s="5" t="s">
        <v>34</v>
      </c>
      <c r="I52" s="5" t="s">
        <v>34</v>
      </c>
    </row>
    <row r="53" customFormat="false" ht="17.15" hidden="false" customHeight="false" outlineLevel="0" collapsed="false">
      <c r="A53" s="0" t="s">
        <v>172</v>
      </c>
      <c r="B53" s="5" t="s">
        <v>173</v>
      </c>
      <c r="C53" s="0" t="s">
        <v>167</v>
      </c>
      <c r="E53" s="7" t="n">
        <v>100</v>
      </c>
      <c r="G53" s="8" t="s">
        <v>42</v>
      </c>
      <c r="H53" s="5" t="s">
        <v>34</v>
      </c>
      <c r="I53" s="5" t="s">
        <v>34</v>
      </c>
    </row>
    <row r="54" customFormat="false" ht="17.15" hidden="false" customHeight="false" outlineLevel="0" collapsed="false">
      <c r="A54" s="0" t="s">
        <v>174</v>
      </c>
      <c r="B54" s="5" t="s">
        <v>175</v>
      </c>
      <c r="C54" s="0" t="s">
        <v>167</v>
      </c>
      <c r="E54" s="7" t="n">
        <v>400</v>
      </c>
      <c r="G54" s="8" t="s">
        <v>42</v>
      </c>
      <c r="H54" s="5" t="s">
        <v>34</v>
      </c>
      <c r="I54" s="5" t="s">
        <v>34</v>
      </c>
    </row>
    <row r="55" customFormat="false" ht="17.15" hidden="false" customHeight="false" outlineLevel="0" collapsed="false">
      <c r="A55" s="0" t="s">
        <v>176</v>
      </c>
      <c r="B55" s="5" t="s">
        <v>177</v>
      </c>
      <c r="C55" s="0" t="s">
        <v>167</v>
      </c>
      <c r="E55" s="7" t="n">
        <v>50</v>
      </c>
      <c r="G55" s="8" t="s">
        <v>42</v>
      </c>
      <c r="H55" s="5" t="s">
        <v>34</v>
      </c>
      <c r="I55" s="5" t="s">
        <v>34</v>
      </c>
    </row>
    <row r="56" customFormat="false" ht="17.15" hidden="false" customHeight="false" outlineLevel="0" collapsed="false">
      <c r="A56" s="0" t="s">
        <v>178</v>
      </c>
      <c r="B56" s="5" t="s">
        <v>179</v>
      </c>
      <c r="C56" s="0" t="s">
        <v>167</v>
      </c>
      <c r="E56" s="7" t="n">
        <v>250</v>
      </c>
      <c r="G56" s="8" t="s">
        <v>42</v>
      </c>
      <c r="H56" s="5" t="s">
        <v>34</v>
      </c>
      <c r="I56" s="5" t="s">
        <v>34</v>
      </c>
    </row>
    <row r="57" customFormat="false" ht="17.15" hidden="false" customHeight="false" outlineLevel="0" collapsed="false">
      <c r="A57" s="0" t="s">
        <v>180</v>
      </c>
      <c r="B57" s="5" t="s">
        <v>181</v>
      </c>
      <c r="C57" s="0" t="s">
        <v>72</v>
      </c>
      <c r="D57" s="7" t="n">
        <v>0.45</v>
      </c>
      <c r="E57" s="7" t="n">
        <v>0.55</v>
      </c>
      <c r="F57" s="7" t="n">
        <v>0.6</v>
      </c>
      <c r="G57" s="8" t="s">
        <v>42</v>
      </c>
      <c r="H57" s="5" t="s">
        <v>182</v>
      </c>
      <c r="I57" s="5" t="s">
        <v>101</v>
      </c>
    </row>
    <row r="58" customFormat="false" ht="17.15" hidden="false" customHeight="false" outlineLevel="0" collapsed="false">
      <c r="A58" s="0" t="s">
        <v>183</v>
      </c>
      <c r="B58" s="5" t="s">
        <v>184</v>
      </c>
      <c r="C58" s="0" t="s">
        <v>167</v>
      </c>
      <c r="D58" s="7" t="n">
        <v>80</v>
      </c>
      <c r="E58" s="7" t="n">
        <v>120</v>
      </c>
      <c r="F58" s="7" t="n">
        <v>170</v>
      </c>
      <c r="G58" s="8" t="s">
        <v>42</v>
      </c>
      <c r="H58" s="8" t="s">
        <v>185</v>
      </c>
      <c r="I58" s="8" t="s">
        <v>186</v>
      </c>
    </row>
    <row r="59" customFormat="false" ht="17.15" hidden="false" customHeight="false" outlineLevel="0" collapsed="false">
      <c r="A59" s="0" t="s">
        <v>187</v>
      </c>
      <c r="B59" s="5" t="s">
        <v>188</v>
      </c>
      <c r="C59" s="0" t="s">
        <v>167</v>
      </c>
      <c r="D59" s="7" t="n">
        <v>70</v>
      </c>
      <c r="E59" s="7" t="n">
        <v>100</v>
      </c>
      <c r="F59" s="7" t="n">
        <v>150</v>
      </c>
      <c r="G59" s="8" t="s">
        <v>42</v>
      </c>
      <c r="H59" s="5" t="s">
        <v>34</v>
      </c>
      <c r="I59" s="5" t="s">
        <v>34</v>
      </c>
    </row>
    <row r="60" customFormat="false" ht="17.15" hidden="false" customHeight="false" outlineLevel="0" collapsed="false">
      <c r="A60" s="0" t="s">
        <v>189</v>
      </c>
      <c r="B60" s="5" t="s">
        <v>190</v>
      </c>
      <c r="C60" s="0" t="s">
        <v>167</v>
      </c>
      <c r="D60" s="7" t="n">
        <v>70</v>
      </c>
      <c r="E60" s="7" t="n">
        <v>100</v>
      </c>
      <c r="F60" s="7" t="n">
        <v>150</v>
      </c>
      <c r="G60" s="8" t="s">
        <v>42</v>
      </c>
      <c r="H60" s="5" t="s">
        <v>34</v>
      </c>
      <c r="I60" s="5" t="s">
        <v>34</v>
      </c>
    </row>
    <row r="61" customFormat="false" ht="17.15" hidden="false" customHeight="false" outlineLevel="0" collapsed="false">
      <c r="A61" s="0" t="s">
        <v>191</v>
      </c>
      <c r="B61" s="5" t="s">
        <v>192</v>
      </c>
      <c r="C61" s="0" t="s">
        <v>167</v>
      </c>
      <c r="D61" s="7" t="n">
        <v>3000</v>
      </c>
      <c r="E61" s="7" t="n">
        <v>3500</v>
      </c>
      <c r="F61" s="7" t="n">
        <v>4000</v>
      </c>
      <c r="G61" s="8" t="s">
        <v>99</v>
      </c>
      <c r="H61" s="8" t="s">
        <v>193</v>
      </c>
      <c r="I61" s="5" t="s">
        <v>194</v>
      </c>
    </row>
    <row r="62" customFormat="false" ht="17.15" hidden="false" customHeight="false" outlineLevel="0" collapsed="false">
      <c r="A62" s="0" t="s">
        <v>195</v>
      </c>
      <c r="B62" s="5" t="s">
        <v>196</v>
      </c>
      <c r="C62" s="0" t="s">
        <v>72</v>
      </c>
      <c r="D62" s="7" t="n">
        <v>0.2</v>
      </c>
      <c r="E62" s="7" t="n">
        <v>0.35</v>
      </c>
      <c r="F62" s="7" t="n">
        <v>0.4</v>
      </c>
      <c r="G62" s="8" t="s">
        <v>99</v>
      </c>
      <c r="H62" s="8" t="s">
        <v>197</v>
      </c>
      <c r="I62" s="5" t="s">
        <v>198</v>
      </c>
    </row>
    <row r="63" customFormat="false" ht="17.15" hidden="false" customHeight="false" outlineLevel="0" collapsed="false">
      <c r="A63" s="0" t="s">
        <v>199</v>
      </c>
      <c r="B63" s="5" t="s">
        <v>200</v>
      </c>
      <c r="C63" s="5" t="s">
        <v>201</v>
      </c>
      <c r="D63" s="7" t="n">
        <v>8</v>
      </c>
      <c r="E63" s="7" t="n">
        <v>12</v>
      </c>
      <c r="F63" s="7" t="n">
        <v>15</v>
      </c>
      <c r="G63" s="8" t="s">
        <v>42</v>
      </c>
      <c r="H63" s="8" t="s">
        <v>202</v>
      </c>
      <c r="I63" s="5" t="s">
        <v>203</v>
      </c>
    </row>
    <row r="64" customFormat="false" ht="17.15" hidden="false" customHeight="false" outlineLevel="0" collapsed="false">
      <c r="A64" s="0" t="s">
        <v>204</v>
      </c>
      <c r="B64" s="0" t="s">
        <v>205</v>
      </c>
      <c r="C64" s="0" t="s">
        <v>41</v>
      </c>
      <c r="D64" s="7" t="n">
        <v>0.25</v>
      </c>
      <c r="E64" s="7" t="n">
        <v>0.5</v>
      </c>
      <c r="F64" s="7" t="n">
        <v>0.75</v>
      </c>
      <c r="G64" s="8" t="s">
        <v>42</v>
      </c>
      <c r="H64" s="5" t="s">
        <v>206</v>
      </c>
      <c r="I64" s="8" t="s">
        <v>207</v>
      </c>
    </row>
    <row r="65" customFormat="false" ht="17.15" hidden="false" customHeight="false" outlineLevel="0" collapsed="false">
      <c r="A65" s="1" t="s">
        <v>208</v>
      </c>
    </row>
    <row r="66" customFormat="false" ht="17.15" hidden="false" customHeight="false" outlineLevel="0" collapsed="false">
      <c r="A66" s="0" t="s">
        <v>209</v>
      </c>
      <c r="B66" s="5" t="s">
        <v>210</v>
      </c>
      <c r="C66" s="0" t="s">
        <v>72</v>
      </c>
      <c r="D66" s="7" t="n">
        <v>0.3</v>
      </c>
      <c r="E66" s="7" t="n">
        <v>0.4</v>
      </c>
      <c r="F66" s="7" t="n">
        <v>0.5</v>
      </c>
      <c r="G66" s="8" t="s">
        <v>42</v>
      </c>
      <c r="H66" s="8" t="s">
        <v>211</v>
      </c>
      <c r="I66" s="8" t="s">
        <v>212</v>
      </c>
    </row>
    <row r="67" customFormat="false" ht="17.15" hidden="false" customHeight="false" outlineLevel="0" collapsed="false">
      <c r="A67" s="0" t="s">
        <v>213</v>
      </c>
      <c r="B67" s="5" t="s">
        <v>214</v>
      </c>
      <c r="C67" s="0" t="s">
        <v>72</v>
      </c>
      <c r="D67" s="7" t="n">
        <v>0.1</v>
      </c>
      <c r="E67" s="7" t="n">
        <v>0.14</v>
      </c>
      <c r="F67" s="7" t="n">
        <v>0.18</v>
      </c>
      <c r="G67" s="8" t="s">
        <v>42</v>
      </c>
      <c r="H67" s="8" t="s">
        <v>215</v>
      </c>
      <c r="I67" s="8" t="s">
        <v>216</v>
      </c>
    </row>
    <row r="68" customFormat="false" ht="17.15" hidden="false" customHeight="false" outlineLevel="0" collapsed="false">
      <c r="A68" s="0" t="s">
        <v>217</v>
      </c>
      <c r="B68" s="0" t="s">
        <v>218</v>
      </c>
      <c r="C68" s="0" t="s">
        <v>167</v>
      </c>
      <c r="D68" s="7" t="n">
        <v>900</v>
      </c>
      <c r="E68" s="7" t="n">
        <v>1200</v>
      </c>
      <c r="F68" s="7" t="n">
        <v>1500</v>
      </c>
      <c r="G68" s="8" t="s">
        <v>42</v>
      </c>
      <c r="H68" s="5" t="s">
        <v>219</v>
      </c>
      <c r="I68" s="5" t="s">
        <v>220</v>
      </c>
    </row>
    <row r="69" customFormat="false" ht="17.15" hidden="false" customHeight="false" outlineLevel="0" collapsed="false">
      <c r="A69" s="0" t="s">
        <v>221</v>
      </c>
      <c r="B69" s="5" t="s">
        <v>222</v>
      </c>
      <c r="C69" s="5" t="s">
        <v>201</v>
      </c>
      <c r="D69" s="7" t="n">
        <v>5</v>
      </c>
      <c r="E69" s="7" t="n">
        <v>7</v>
      </c>
      <c r="F69" s="7" t="n">
        <v>9</v>
      </c>
      <c r="G69" s="8" t="s">
        <v>99</v>
      </c>
      <c r="H69" s="5" t="s">
        <v>223</v>
      </c>
      <c r="I69" s="5" t="s">
        <v>224</v>
      </c>
    </row>
    <row r="70" customFormat="false" ht="17.15" hidden="false" customHeight="false" outlineLevel="0" collapsed="false">
      <c r="A70" s="0" t="s">
        <v>225</v>
      </c>
      <c r="B70" s="5" t="s">
        <v>226</v>
      </c>
      <c r="C70" s="0" t="s">
        <v>41</v>
      </c>
      <c r="D70" s="7" t="n">
        <v>0.3</v>
      </c>
      <c r="E70" s="7" t="n">
        <v>0.5</v>
      </c>
      <c r="F70" s="7" t="n">
        <v>1</v>
      </c>
      <c r="G70" s="8" t="s">
        <v>42</v>
      </c>
      <c r="H70" s="8" t="s">
        <v>227</v>
      </c>
      <c r="I70" s="5" t="s">
        <v>228</v>
      </c>
    </row>
    <row r="71" customFormat="false" ht="17.15" hidden="false" customHeight="false" outlineLevel="0" collapsed="false">
      <c r="A71" s="0" t="s">
        <v>229</v>
      </c>
      <c r="B71" s="0" t="s">
        <v>230</v>
      </c>
      <c r="C71" s="0" t="s">
        <v>167</v>
      </c>
      <c r="E71" s="7" t="n">
        <v>21</v>
      </c>
      <c r="G71" s="8" t="s">
        <v>99</v>
      </c>
      <c r="H71" s="8" t="s">
        <v>231</v>
      </c>
      <c r="I71" s="8" t="s">
        <v>232</v>
      </c>
    </row>
    <row r="72" customFormat="false" ht="17.15" hidden="false" customHeight="false" outlineLevel="0" collapsed="false">
      <c r="A72" s="0" t="s">
        <v>233</v>
      </c>
      <c r="B72" s="5" t="s">
        <v>234</v>
      </c>
      <c r="C72" s="0" t="s">
        <v>167</v>
      </c>
      <c r="D72" s="7" t="n">
        <v>-60</v>
      </c>
      <c r="E72" s="7" t="n">
        <v>-20</v>
      </c>
      <c r="F72" s="7" t="n">
        <v>20</v>
      </c>
      <c r="G72" s="8" t="s">
        <v>42</v>
      </c>
      <c r="H72" s="8" t="s">
        <v>235</v>
      </c>
      <c r="I72" s="5" t="s">
        <v>236</v>
      </c>
    </row>
    <row r="73" customFormat="false" ht="17.15" hidden="false" customHeight="false" outlineLevel="0" collapsed="false">
      <c r="A73" s="0" t="s">
        <v>237</v>
      </c>
      <c r="B73" s="5" t="s">
        <v>238</v>
      </c>
      <c r="C73" s="0" t="s">
        <v>167</v>
      </c>
      <c r="D73" s="7" t="n">
        <v>-80</v>
      </c>
      <c r="E73" s="7" t="n">
        <v>-40</v>
      </c>
      <c r="F73" s="7" t="n">
        <v>0</v>
      </c>
      <c r="G73" s="8" t="s">
        <v>42</v>
      </c>
      <c r="H73" s="5" t="s">
        <v>34</v>
      </c>
      <c r="I73" s="5" t="s">
        <v>34</v>
      </c>
    </row>
    <row r="74" customFormat="false" ht="17.15" hidden="false" customHeight="false" outlineLevel="0" collapsed="false">
      <c r="A74" s="0" t="s">
        <v>239</v>
      </c>
      <c r="B74" s="5" t="s">
        <v>240</v>
      </c>
      <c r="C74" s="0" t="s">
        <v>167</v>
      </c>
      <c r="D74" s="7" t="n">
        <v>-100</v>
      </c>
      <c r="E74" s="7" t="n">
        <v>-60</v>
      </c>
      <c r="F74" s="7" t="n">
        <v>-20</v>
      </c>
      <c r="G74" s="8" t="s">
        <v>42</v>
      </c>
      <c r="H74" s="5" t="s">
        <v>34</v>
      </c>
      <c r="I74" s="5" t="s">
        <v>34</v>
      </c>
    </row>
    <row r="75" customFormat="false" ht="17.15" hidden="false" customHeight="false" outlineLevel="0" collapsed="false">
      <c r="A75" s="0" t="s">
        <v>241</v>
      </c>
      <c r="B75" s="5" t="s">
        <v>242</v>
      </c>
      <c r="C75" s="0" t="s">
        <v>72</v>
      </c>
      <c r="D75" s="7" t="n">
        <v>0.15</v>
      </c>
      <c r="E75" s="7" t="n">
        <v>0.2</v>
      </c>
      <c r="F75" s="7" t="n">
        <v>0.25</v>
      </c>
      <c r="G75" s="8" t="s">
        <v>99</v>
      </c>
      <c r="H75" s="5" t="s">
        <v>243</v>
      </c>
      <c r="I75" s="8" t="s">
        <v>244</v>
      </c>
    </row>
    <row r="76" customFormat="false" ht="17.15" hidden="false" customHeight="false" outlineLevel="0" collapsed="false">
      <c r="A76" s="0" t="s">
        <v>245</v>
      </c>
      <c r="B76" s="5" t="s">
        <v>246</v>
      </c>
      <c r="C76" s="0" t="s">
        <v>167</v>
      </c>
      <c r="E76" s="7" t="n">
        <v>3</v>
      </c>
      <c r="G76" s="8" t="s">
        <v>29</v>
      </c>
      <c r="H76" s="8" t="s">
        <v>247</v>
      </c>
      <c r="I76" s="8" t="s">
        <v>207</v>
      </c>
    </row>
    <row r="77" customFormat="false" ht="17.15" hidden="false" customHeight="false" outlineLevel="0" collapsed="false">
      <c r="A77" s="0" t="s">
        <v>248</v>
      </c>
      <c r="B77" s="5" t="s">
        <v>249</v>
      </c>
      <c r="C77" s="0" t="s">
        <v>72</v>
      </c>
      <c r="D77" s="7" t="n">
        <v>-0.01</v>
      </c>
      <c r="E77" s="7" t="n">
        <v>0</v>
      </c>
      <c r="F77" s="7" t="n">
        <v>0.01</v>
      </c>
      <c r="G77" s="8" t="s">
        <v>42</v>
      </c>
      <c r="H77" s="8" t="s">
        <v>250</v>
      </c>
      <c r="I77" s="5" t="s">
        <v>251</v>
      </c>
    </row>
    <row r="78" customFormat="false" ht="17.15" hidden="false" customHeight="false" outlineLevel="0" collapsed="false">
      <c r="A78" s="1" t="s">
        <v>252</v>
      </c>
    </row>
    <row r="79" customFormat="false" ht="17.15" hidden="false" customHeight="false" outlineLevel="0" collapsed="false">
      <c r="A79" s="0" t="s">
        <v>253</v>
      </c>
      <c r="B79" s="0" t="s">
        <v>254</v>
      </c>
      <c r="C79" s="0" t="s">
        <v>72</v>
      </c>
      <c r="D79" s="7" t="n">
        <v>-0.1</v>
      </c>
      <c r="E79" s="7" t="n">
        <v>-0.08</v>
      </c>
      <c r="F79" s="7" t="n">
        <v>-0.06</v>
      </c>
      <c r="G79" s="8" t="s">
        <v>99</v>
      </c>
      <c r="H79" s="8" t="s">
        <v>255</v>
      </c>
      <c r="I79" s="8" t="s">
        <v>256</v>
      </c>
    </row>
    <row r="80" customFormat="false" ht="17.15" hidden="false" customHeight="false" outlineLevel="0" collapsed="false">
      <c r="A80" s="0" t="s">
        <v>257</v>
      </c>
      <c r="B80" s="0" t="s">
        <v>258</v>
      </c>
      <c r="C80" s="0" t="s">
        <v>72</v>
      </c>
      <c r="D80" s="7" t="n">
        <v>0.25</v>
      </c>
      <c r="E80" s="7" t="n">
        <v>0.3</v>
      </c>
      <c r="F80" s="7" t="n">
        <v>0.3</v>
      </c>
      <c r="G80" s="8" t="s">
        <v>99</v>
      </c>
      <c r="H80" s="8" t="s">
        <v>259</v>
      </c>
      <c r="I80" s="8" t="s">
        <v>256</v>
      </c>
    </row>
    <row r="81" customFormat="false" ht="17.15" hidden="false" customHeight="false" outlineLevel="0" collapsed="false">
      <c r="A81" s="0" t="s">
        <v>260</v>
      </c>
      <c r="B81" s="0" t="s">
        <v>261</v>
      </c>
      <c r="C81" s="0" t="s">
        <v>72</v>
      </c>
      <c r="D81" s="7" t="n">
        <v>0.03</v>
      </c>
      <c r="E81" s="7" t="n">
        <v>0.05</v>
      </c>
      <c r="F81" s="7" t="n">
        <v>0.07</v>
      </c>
      <c r="G81" s="8" t="s">
        <v>99</v>
      </c>
      <c r="H81" s="8" t="s">
        <v>262</v>
      </c>
      <c r="I81" s="5" t="s">
        <v>101</v>
      </c>
    </row>
    <row r="82" customFormat="false" ht="17.15" hidden="false" customHeight="false" outlineLevel="0" collapsed="false">
      <c r="A82" s="0" t="s">
        <v>263</v>
      </c>
      <c r="B82" s="0" t="s">
        <v>264</v>
      </c>
      <c r="C82" s="0" t="s">
        <v>72</v>
      </c>
      <c r="D82" s="7" t="n">
        <v>0.13</v>
      </c>
      <c r="E82" s="7" t="n">
        <v>0.15</v>
      </c>
      <c r="F82" s="7" t="n">
        <v>0.17</v>
      </c>
      <c r="G82" s="8" t="s">
        <v>99</v>
      </c>
      <c r="H82" s="8" t="s">
        <v>265</v>
      </c>
      <c r="I82" s="5" t="s">
        <v>101</v>
      </c>
    </row>
    <row r="83" customFormat="false" ht="17.15" hidden="false" customHeight="false" outlineLevel="0" collapsed="false">
      <c r="A83" s="0" t="s">
        <v>266</v>
      </c>
      <c r="B83" s="0" t="s">
        <v>267</v>
      </c>
      <c r="C83" s="0" t="s">
        <v>72</v>
      </c>
      <c r="D83" s="7" t="n">
        <v>0.185</v>
      </c>
      <c r="E83" s="7" t="n">
        <v>0.19</v>
      </c>
      <c r="F83" s="7" t="n">
        <v>0.195</v>
      </c>
      <c r="G83" s="8" t="s">
        <v>99</v>
      </c>
      <c r="H83" s="5" t="s">
        <v>268</v>
      </c>
      <c r="I83" s="8" t="s">
        <v>269</v>
      </c>
    </row>
    <row r="84" customFormat="false" ht="17.15" hidden="false" customHeight="false" outlineLevel="0" collapsed="false">
      <c r="A84" s="0" t="s">
        <v>270</v>
      </c>
      <c r="B84" s="0" t="s">
        <v>271</v>
      </c>
      <c r="C84" s="0" t="s">
        <v>167</v>
      </c>
      <c r="E84" s="7" t="n">
        <v>140</v>
      </c>
      <c r="G84" s="8" t="s">
        <v>99</v>
      </c>
      <c r="H84" s="8" t="s">
        <v>272</v>
      </c>
      <c r="I84" s="5" t="s">
        <v>101</v>
      </c>
    </row>
    <row r="85" customFormat="false" ht="17.15" hidden="false" customHeight="false" outlineLevel="0" collapsed="false">
      <c r="A85" s="0" t="s">
        <v>273</v>
      </c>
      <c r="B85" s="0" t="s">
        <v>274</v>
      </c>
      <c r="C85" s="0" t="s">
        <v>72</v>
      </c>
      <c r="D85" s="7" t="n">
        <v>-0.05</v>
      </c>
      <c r="E85" s="7" t="n">
        <v>0.05</v>
      </c>
      <c r="F85" s="7" t="n">
        <v>0.15</v>
      </c>
      <c r="G85" s="8" t="s">
        <v>42</v>
      </c>
      <c r="H85" s="5" t="s">
        <v>275</v>
      </c>
      <c r="I85" s="5" t="s">
        <v>276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72</v>
      </c>
      <c r="D86" s="7" t="n">
        <v>0</v>
      </c>
      <c r="E86" s="7" t="n">
        <v>0.05</v>
      </c>
      <c r="F86" s="7" t="n">
        <v>0.12</v>
      </c>
      <c r="G86" s="8" t="s">
        <v>42</v>
      </c>
      <c r="H86" s="5" t="s">
        <v>34</v>
      </c>
      <c r="I86" s="8" t="s">
        <v>207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72</v>
      </c>
      <c r="D87" s="7" t="n">
        <v>-0.03</v>
      </c>
      <c r="E87" s="7" t="n">
        <v>0.02</v>
      </c>
      <c r="F87" s="7" t="n">
        <v>0.05</v>
      </c>
      <c r="G87" s="8" t="s">
        <v>42</v>
      </c>
      <c r="H87" s="5" t="s">
        <v>34</v>
      </c>
      <c r="I87" s="8" t="s">
        <v>207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72</v>
      </c>
      <c r="D88" s="7" t="n">
        <v>-0.1</v>
      </c>
      <c r="E88" s="7" t="n">
        <v>-0.05</v>
      </c>
      <c r="F88" s="7" t="n">
        <v>0</v>
      </c>
      <c r="G88" s="8" t="s">
        <v>42</v>
      </c>
      <c r="H88" s="5" t="s">
        <v>34</v>
      </c>
      <c r="I88" s="8" t="s">
        <v>207</v>
      </c>
    </row>
    <row r="89" customFormat="false" ht="17.15" hidden="false" customHeight="false" outlineLevel="0" collapsed="false">
      <c r="A89" s="0" t="s">
        <v>283</v>
      </c>
      <c r="B89" s="0" t="s">
        <v>284</v>
      </c>
      <c r="C89" s="0" t="s">
        <v>72</v>
      </c>
      <c r="D89" s="7" t="n">
        <v>0.175</v>
      </c>
      <c r="E89" s="7" t="n">
        <v>0.185</v>
      </c>
      <c r="F89" s="7" t="n">
        <v>0.195</v>
      </c>
      <c r="G89" s="8" t="s">
        <v>42</v>
      </c>
      <c r="H89" s="8" t="s">
        <v>285</v>
      </c>
      <c r="I89" s="8" t="s">
        <v>207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167</v>
      </c>
      <c r="D90" s="7" t="n">
        <v>130</v>
      </c>
      <c r="E90" s="7" t="n">
        <v>140</v>
      </c>
      <c r="F90" s="7" t="n">
        <v>150</v>
      </c>
      <c r="G90" s="8" t="s">
        <v>42</v>
      </c>
      <c r="H90" s="5" t="s">
        <v>288</v>
      </c>
      <c r="I90" s="8" t="s">
        <v>207</v>
      </c>
    </row>
    <row r="91" customFormat="false" ht="17.15" hidden="false" customHeight="false" outlineLevel="0" collapsed="false">
      <c r="A91" s="0" t="s">
        <v>289</v>
      </c>
      <c r="B91" s="0" t="s">
        <v>290</v>
      </c>
      <c r="C91" s="0" t="s">
        <v>167</v>
      </c>
      <c r="D91" s="7" t="n">
        <v>-10</v>
      </c>
      <c r="E91" s="7" t="n">
        <v>0</v>
      </c>
      <c r="F91" s="7" t="n">
        <v>10</v>
      </c>
      <c r="G91" s="8" t="s">
        <v>42</v>
      </c>
      <c r="H91" s="8" t="s">
        <v>291</v>
      </c>
      <c r="I91" s="8" t="s">
        <v>207</v>
      </c>
    </row>
    <row r="92" customFormat="false" ht="17.15" hidden="false" customHeight="false" outlineLevel="0" collapsed="false">
      <c r="A92" s="0" t="s">
        <v>292</v>
      </c>
      <c r="B92" s="0" t="s">
        <v>293</v>
      </c>
      <c r="C92" s="0" t="s">
        <v>72</v>
      </c>
      <c r="D92" s="7" t="n">
        <v>0.15</v>
      </c>
      <c r="E92" s="7" t="n">
        <v>0.2</v>
      </c>
      <c r="F92" s="7" t="n">
        <v>0.22</v>
      </c>
      <c r="G92" s="8" t="s">
        <v>99</v>
      </c>
      <c r="H92" s="5" t="s">
        <v>294</v>
      </c>
      <c r="I92" s="8" t="s">
        <v>295</v>
      </c>
    </row>
    <row r="93" customFormat="false" ht="17.15" hidden="false" customHeight="false" outlineLevel="0" collapsed="false">
      <c r="A93" s="0" t="s">
        <v>296</v>
      </c>
      <c r="B93" s="0" t="s">
        <v>297</v>
      </c>
      <c r="C93" s="0" t="s">
        <v>167</v>
      </c>
      <c r="E93" s="7" t="n">
        <v>1</v>
      </c>
      <c r="G93" s="8" t="s">
        <v>29</v>
      </c>
      <c r="H93" s="8" t="s">
        <v>298</v>
      </c>
      <c r="I93" s="8" t="s">
        <v>207</v>
      </c>
    </row>
    <row r="94" customFormat="false" ht="17.15" hidden="false" customHeight="false" outlineLevel="0" collapsed="false">
      <c r="A94" s="0" t="s">
        <v>299</v>
      </c>
      <c r="B94" s="0" t="s">
        <v>300</v>
      </c>
      <c r="C94" s="5" t="s">
        <v>301</v>
      </c>
      <c r="E94" s="7" t="n">
        <v>250</v>
      </c>
      <c r="G94" s="8" t="s">
        <v>29</v>
      </c>
      <c r="H94" s="8" t="s">
        <v>302</v>
      </c>
      <c r="I94" s="8" t="s">
        <v>303</v>
      </c>
    </row>
    <row r="95" customFormat="false" ht="17.15" hidden="false" customHeight="false" outlineLevel="0" collapsed="false">
      <c r="A95" s="0" t="s">
        <v>304</v>
      </c>
      <c r="B95" s="0" t="s">
        <v>305</v>
      </c>
      <c r="C95" s="0" t="s">
        <v>167</v>
      </c>
      <c r="D95" s="7" t="n">
        <v>180</v>
      </c>
      <c r="E95" s="7" t="n">
        <v>190</v>
      </c>
      <c r="F95" s="7" t="n">
        <v>200</v>
      </c>
      <c r="G95" s="8" t="s">
        <v>42</v>
      </c>
      <c r="H95" s="8" t="s">
        <v>306</v>
      </c>
      <c r="I95" s="8" t="s">
        <v>207</v>
      </c>
    </row>
    <row r="96" customFormat="false" ht="17.15" hidden="false" customHeight="false" outlineLevel="0" collapsed="false">
      <c r="A96" s="0" t="s">
        <v>307</v>
      </c>
      <c r="B96" s="0" t="s">
        <v>308</v>
      </c>
      <c r="C96" s="0" t="s">
        <v>167</v>
      </c>
      <c r="D96" s="7" t="n">
        <v>185</v>
      </c>
      <c r="E96" s="7" t="n">
        <v>200</v>
      </c>
      <c r="F96" s="7" t="n">
        <v>215</v>
      </c>
      <c r="G96" s="8" t="s">
        <v>42</v>
      </c>
      <c r="H96" s="5" t="s">
        <v>34</v>
      </c>
      <c r="I96" s="8" t="s">
        <v>207</v>
      </c>
    </row>
    <row r="97" customFormat="false" ht="17.15" hidden="false" customHeight="false" outlineLevel="0" collapsed="false">
      <c r="A97" s="0" t="s">
        <v>309</v>
      </c>
      <c r="B97" s="0" t="s">
        <v>310</v>
      </c>
      <c r="C97" s="0" t="s">
        <v>167</v>
      </c>
      <c r="E97" s="7" t="n">
        <v>30</v>
      </c>
      <c r="G97" s="8" t="s">
        <v>99</v>
      </c>
      <c r="H97" s="8" t="s">
        <v>311</v>
      </c>
      <c r="I97" s="8" t="s">
        <v>312</v>
      </c>
    </row>
    <row r="98" customFormat="false" ht="17.15" hidden="false" customHeight="false" outlineLevel="0" collapsed="false">
      <c r="A98" s="1" t="s">
        <v>313</v>
      </c>
    </row>
    <row r="99" customFormat="false" ht="17.15" hidden="false" customHeight="false" outlineLevel="0" collapsed="false">
      <c r="A99" s="0" t="s">
        <v>314</v>
      </c>
      <c r="B99" s="0" t="s">
        <v>315</v>
      </c>
      <c r="C99" s="0" t="s">
        <v>167</v>
      </c>
      <c r="D99" s="7" t="n">
        <v>1950</v>
      </c>
      <c r="E99" s="7" t="n">
        <v>2000</v>
      </c>
      <c r="F99" s="7" t="n">
        <v>2050</v>
      </c>
      <c r="G99" s="8" t="s">
        <v>99</v>
      </c>
      <c r="H99" s="5" t="s">
        <v>316</v>
      </c>
      <c r="I99" s="8" t="s">
        <v>317</v>
      </c>
    </row>
    <row r="100" customFormat="false" ht="17.15" hidden="false" customHeight="false" outlineLevel="0" collapsed="false">
      <c r="A100" s="0" t="s">
        <v>318</v>
      </c>
      <c r="B100" s="0" t="s">
        <v>319</v>
      </c>
      <c r="C100" s="0" t="s">
        <v>167</v>
      </c>
      <c r="D100" s="7" t="n">
        <v>180</v>
      </c>
      <c r="E100" s="7" t="n">
        <v>192.5</v>
      </c>
      <c r="F100" s="7" t="n">
        <v>205</v>
      </c>
      <c r="G100" s="8" t="s">
        <v>99</v>
      </c>
      <c r="H100" s="5" t="s">
        <v>316</v>
      </c>
      <c r="I100" s="8" t="s">
        <v>207</v>
      </c>
    </row>
    <row r="101" customFormat="false" ht="17.15" hidden="false" customHeight="false" outlineLevel="0" collapsed="false">
      <c r="A101" s="0" t="s">
        <v>320</v>
      </c>
      <c r="B101" s="0" t="s">
        <v>321</v>
      </c>
      <c r="C101" s="0" t="s">
        <v>322</v>
      </c>
      <c r="D101" s="7" t="n">
        <v>0.72</v>
      </c>
      <c r="E101" s="7" t="n">
        <v>0.77</v>
      </c>
      <c r="F101" s="7" t="n">
        <v>0.82</v>
      </c>
      <c r="G101" s="8" t="s">
        <v>99</v>
      </c>
      <c r="H101" s="5" t="s">
        <v>316</v>
      </c>
      <c r="I101" s="8" t="s">
        <v>207</v>
      </c>
    </row>
    <row r="102" customFormat="false" ht="17.15" hidden="false" customHeight="false" outlineLevel="0" collapsed="false">
      <c r="A102" s="0" t="s">
        <v>323</v>
      </c>
      <c r="B102" s="0" t="s">
        <v>324</v>
      </c>
      <c r="C102" s="0" t="s">
        <v>167</v>
      </c>
      <c r="D102" s="7" t="n">
        <v>2500</v>
      </c>
      <c r="E102" s="7" t="n">
        <v>2750</v>
      </c>
      <c r="F102" s="7" t="n">
        <v>3000</v>
      </c>
      <c r="G102" s="8" t="s">
        <v>99</v>
      </c>
      <c r="H102" s="5" t="s">
        <v>316</v>
      </c>
      <c r="I102" s="5" t="s">
        <v>325</v>
      </c>
    </row>
    <row r="103" customFormat="false" ht="17.15" hidden="false" customHeight="false" outlineLevel="0" collapsed="false">
      <c r="A103" s="0" t="s">
        <v>326</v>
      </c>
      <c r="B103" s="5" t="s">
        <v>327</v>
      </c>
      <c r="C103" s="0" t="s">
        <v>167</v>
      </c>
      <c r="D103" s="7" t="n">
        <v>8500</v>
      </c>
      <c r="E103" s="7" t="n">
        <v>9000</v>
      </c>
      <c r="F103" s="7" t="n">
        <v>9500</v>
      </c>
      <c r="G103" s="8" t="s">
        <v>99</v>
      </c>
      <c r="H103" s="5" t="s">
        <v>328</v>
      </c>
      <c r="I103" s="5" t="s">
        <v>101</v>
      </c>
    </row>
    <row r="104" customFormat="false" ht="17.15" hidden="false" customHeight="false" outlineLevel="0" collapsed="false">
      <c r="A104" s="0" t="s">
        <v>329</v>
      </c>
      <c r="B104" s="5" t="s">
        <v>330</v>
      </c>
      <c r="C104" s="0" t="s">
        <v>72</v>
      </c>
      <c r="D104" s="7" t="n">
        <v>0.165</v>
      </c>
      <c r="E104" s="7" t="n">
        <v>0.175</v>
      </c>
      <c r="F104" s="7" t="n">
        <v>0.185</v>
      </c>
      <c r="G104" s="8" t="s">
        <v>99</v>
      </c>
      <c r="H104" s="5" t="s">
        <v>331</v>
      </c>
      <c r="I104" s="8" t="s">
        <v>207</v>
      </c>
    </row>
    <row r="105" customFormat="false" ht="17.15" hidden="false" customHeight="false" outlineLevel="0" collapsed="false">
      <c r="A105" s="0" t="s">
        <v>332</v>
      </c>
      <c r="B105" s="5" t="s">
        <v>333</v>
      </c>
      <c r="C105" s="0" t="s">
        <v>322</v>
      </c>
      <c r="D105" s="7" t="n">
        <v>2.25</v>
      </c>
      <c r="E105" s="7" t="n">
        <v>2.5</v>
      </c>
      <c r="F105" s="7" t="n">
        <v>2.75</v>
      </c>
      <c r="G105" s="8" t="s">
        <v>99</v>
      </c>
      <c r="H105" s="5" t="s">
        <v>331</v>
      </c>
      <c r="I105" s="5" t="s">
        <v>334</v>
      </c>
    </row>
    <row r="106" customFormat="false" ht="17.15" hidden="false" customHeight="false" outlineLevel="0" collapsed="false">
      <c r="A106" s="0" t="s">
        <v>335</v>
      </c>
      <c r="B106" s="5" t="s">
        <v>336</v>
      </c>
      <c r="C106" s="0" t="s">
        <v>167</v>
      </c>
      <c r="E106" s="7" t="n">
        <v>11000</v>
      </c>
      <c r="G106" s="8" t="s">
        <v>99</v>
      </c>
      <c r="H106" s="5" t="s">
        <v>331</v>
      </c>
      <c r="I106" s="8" t="s">
        <v>207</v>
      </c>
    </row>
    <row r="107" customFormat="false" ht="17.15" hidden="false" customHeight="false" outlineLevel="0" collapsed="false">
      <c r="A107" s="0" t="s">
        <v>337</v>
      </c>
      <c r="B107" s="5" t="s">
        <v>338</v>
      </c>
      <c r="C107" s="0" t="s">
        <v>72</v>
      </c>
      <c r="E107" s="7" t="n">
        <v>0.22</v>
      </c>
      <c r="G107" s="8" t="s">
        <v>99</v>
      </c>
      <c r="H107" s="5" t="s">
        <v>331</v>
      </c>
      <c r="I107" s="8" t="s">
        <v>207</v>
      </c>
    </row>
    <row r="108" customFormat="false" ht="17.15" hidden="false" customHeight="false" outlineLevel="0" collapsed="false">
      <c r="A108" s="0" t="s">
        <v>339</v>
      </c>
      <c r="B108" s="5" t="s">
        <v>340</v>
      </c>
      <c r="C108" s="0" t="s">
        <v>322</v>
      </c>
      <c r="E108" s="7" t="n">
        <v>5</v>
      </c>
      <c r="G108" s="8" t="s">
        <v>99</v>
      </c>
      <c r="H108" s="5" t="s">
        <v>331</v>
      </c>
      <c r="I108" s="8" t="s">
        <v>207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167</v>
      </c>
      <c r="D109" s="7" t="n">
        <v>7500</v>
      </c>
      <c r="E109" s="7" t="n">
        <v>7670</v>
      </c>
      <c r="F109" s="7" t="n">
        <v>8000</v>
      </c>
      <c r="G109" s="8" t="s">
        <v>99</v>
      </c>
      <c r="H109" s="8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5" t="s">
        <v>346</v>
      </c>
      <c r="C110" s="0" t="s">
        <v>322</v>
      </c>
      <c r="D110" s="7" t="n">
        <v>2.45</v>
      </c>
      <c r="E110" s="7" t="n">
        <v>2.57</v>
      </c>
      <c r="F110" s="7" t="n">
        <v>2.73</v>
      </c>
      <c r="G110" s="8" t="s">
        <v>99</v>
      </c>
      <c r="H110" s="8" t="s">
        <v>347</v>
      </c>
      <c r="I110" s="8" t="s">
        <v>348</v>
      </c>
    </row>
    <row r="111" customFormat="false" ht="17.15" hidden="false" customHeight="false" outlineLevel="0" collapsed="false">
      <c r="A111" s="0" t="s">
        <v>349</v>
      </c>
      <c r="B111" s="5" t="s">
        <v>350</v>
      </c>
      <c r="C111" s="0" t="s">
        <v>322</v>
      </c>
      <c r="E111" s="7" t="n">
        <v>2.72</v>
      </c>
      <c r="G111" s="8" t="s">
        <v>99</v>
      </c>
      <c r="H111" s="8" t="s">
        <v>351</v>
      </c>
      <c r="I111" s="8" t="s">
        <v>352</v>
      </c>
    </row>
    <row r="112" customFormat="false" ht="17.15" hidden="false" customHeight="false" outlineLevel="0" collapsed="false">
      <c r="A112" s="0" t="s">
        <v>353</v>
      </c>
      <c r="B112" s="5" t="s">
        <v>354</v>
      </c>
      <c r="C112" s="0" t="s">
        <v>167</v>
      </c>
      <c r="E112" s="7" t="n">
        <v>2040</v>
      </c>
      <c r="G112" s="8" t="s">
        <v>99</v>
      </c>
      <c r="H112" s="8" t="s">
        <v>355</v>
      </c>
      <c r="I112" s="8" t="s">
        <v>356</v>
      </c>
    </row>
    <row r="113" customFormat="false" ht="17.15" hidden="false" customHeight="false" outlineLevel="0" collapsed="false">
      <c r="A113" s="0" t="s">
        <v>357</v>
      </c>
      <c r="B113" s="0" t="s">
        <v>358</v>
      </c>
      <c r="C113" s="0" t="s">
        <v>72</v>
      </c>
      <c r="E113" s="7" t="n">
        <v>0.298</v>
      </c>
      <c r="G113" s="8" t="s">
        <v>359</v>
      </c>
      <c r="H113" s="5" t="s">
        <v>360</v>
      </c>
      <c r="I113" s="8" t="s">
        <v>361</v>
      </c>
    </row>
    <row r="114" customFormat="false" ht="17.15" hidden="false" customHeight="false" outlineLevel="0" collapsed="false">
      <c r="A114" s="1" t="s">
        <v>362</v>
      </c>
    </row>
    <row r="115" customFormat="false" ht="17.15" hidden="false" customHeight="false" outlineLevel="0" collapsed="false">
      <c r="A115" s="0" t="s">
        <v>363</v>
      </c>
      <c r="B115" s="5" t="s">
        <v>364</v>
      </c>
      <c r="C115" s="0" t="s">
        <v>322</v>
      </c>
      <c r="E115" s="7" t="n">
        <v>39.3</v>
      </c>
      <c r="G115" s="8" t="s">
        <v>99</v>
      </c>
      <c r="H115" s="8" t="s">
        <v>365</v>
      </c>
      <c r="I115" s="8" t="s">
        <v>366</v>
      </c>
    </row>
    <row r="116" customFormat="false" ht="17.15" hidden="false" customHeight="false" outlineLevel="0" collapsed="false">
      <c r="A116" s="0" t="s">
        <v>367</v>
      </c>
      <c r="B116" s="5" t="s">
        <v>368</v>
      </c>
      <c r="C116" s="0" t="s">
        <v>41</v>
      </c>
      <c r="E116" s="7" t="n">
        <v>17.64</v>
      </c>
      <c r="G116" s="8" t="s">
        <v>99</v>
      </c>
      <c r="H116" s="8" t="s">
        <v>369</v>
      </c>
      <c r="I116" s="8" t="s">
        <v>370</v>
      </c>
    </row>
    <row r="117" customFormat="false" ht="17.15" hidden="false" customHeight="false" outlineLevel="0" collapsed="false">
      <c r="A117" s="0" t="s">
        <v>371</v>
      </c>
      <c r="B117" s="5" t="s">
        <v>372</v>
      </c>
      <c r="C117" s="0" t="s">
        <v>41</v>
      </c>
      <c r="E117" s="7" t="n">
        <v>14.02</v>
      </c>
      <c r="G117" s="8" t="s">
        <v>99</v>
      </c>
      <c r="H117" s="8" t="s">
        <v>369</v>
      </c>
      <c r="I117" s="8" t="s">
        <v>207</v>
      </c>
    </row>
    <row r="118" customFormat="false" ht="17.15" hidden="false" customHeight="false" outlineLevel="0" collapsed="false">
      <c r="A118" s="0" t="s">
        <v>373</v>
      </c>
      <c r="B118" s="5" t="s">
        <v>374</v>
      </c>
      <c r="C118" s="0" t="s">
        <v>322</v>
      </c>
      <c r="E118" s="0" t="n">
        <f aca="false">px/fpe</f>
        <v>2.80313837375178</v>
      </c>
      <c r="G118" s="0" t="s">
        <v>29</v>
      </c>
      <c r="H118" s="0" t="s">
        <v>375</v>
      </c>
      <c r="I118" s="5" t="s">
        <v>376</v>
      </c>
    </row>
    <row r="119" customFormat="false" ht="17.15" hidden="false" customHeight="false" outlineLevel="0" collapsed="false">
      <c r="A119" s="0" t="s">
        <v>377</v>
      </c>
      <c r="B119" s="5" t="s">
        <v>378</v>
      </c>
      <c r="C119" s="0" t="s">
        <v>322</v>
      </c>
      <c r="D119" s="7" t="n">
        <v>65</v>
      </c>
      <c r="E119" s="7" t="n">
        <v>76.4</v>
      </c>
      <c r="F119" s="7" t="n">
        <v>92</v>
      </c>
      <c r="G119" s="8" t="s">
        <v>99</v>
      </c>
      <c r="H119" s="8" t="s">
        <v>379</v>
      </c>
      <c r="I119" s="8" t="s">
        <v>380</v>
      </c>
    </row>
    <row r="120" customFormat="false" ht="17.15" hidden="false" customHeight="false" outlineLevel="0" collapsed="false">
      <c r="A120" s="0" t="s">
        <v>381</v>
      </c>
      <c r="B120" s="5" t="s">
        <v>382</v>
      </c>
      <c r="C120" s="0" t="s">
        <v>72</v>
      </c>
      <c r="E120" s="0" t="n">
        <f aca="false">AVERAGE(164/3894,261/4186,127/4316,121/4053,338/5051,643/6138,766/7092,360/6503,354/6318,373.9/6708)</f>
        <v>0.0610559177796896</v>
      </c>
      <c r="G120" s="0" t="s">
        <v>29</v>
      </c>
      <c r="H120" s="5" t="s">
        <v>383</v>
      </c>
      <c r="I120" s="0" t="s">
        <v>384</v>
      </c>
    </row>
    <row r="121" customFormat="false" ht="17.15" hidden="false" customHeight="false" outlineLevel="0" collapsed="false">
      <c r="A121" s="1" t="s">
        <v>385</v>
      </c>
    </row>
    <row r="122" customFormat="false" ht="17.15" hidden="false" customHeight="false" outlineLevel="0" collapsed="false">
      <c r="A122" s="9" t="s">
        <v>386</v>
      </c>
      <c r="B122" s="10" t="s">
        <v>387</v>
      </c>
      <c r="C122" s="9" t="s">
        <v>72</v>
      </c>
      <c r="D122" s="9"/>
      <c r="E122" s="11" t="n">
        <v>0.3</v>
      </c>
      <c r="F122" s="9"/>
      <c r="G122" s="9" t="s">
        <v>42</v>
      </c>
      <c r="H122" s="9" t="s">
        <v>388</v>
      </c>
      <c r="I122" s="10" t="s">
        <v>389</v>
      </c>
    </row>
    <row r="123" customFormat="false" ht="17.15" hidden="false" customHeight="false" outlineLevel="0" collapsed="false">
      <c r="A123" s="9" t="s">
        <v>390</v>
      </c>
      <c r="B123" s="10" t="s">
        <v>391</v>
      </c>
      <c r="C123" s="9" t="s">
        <v>72</v>
      </c>
      <c r="D123" s="9"/>
      <c r="E123" s="11" t="n">
        <v>0.5</v>
      </c>
      <c r="F123" s="9"/>
      <c r="G123" s="9" t="s">
        <v>42</v>
      </c>
      <c r="H123" s="9" t="s">
        <v>388</v>
      </c>
      <c r="I123" s="10" t="s">
        <v>389</v>
      </c>
    </row>
    <row r="124" customFormat="false" ht="17.15" hidden="false" customHeight="false" outlineLevel="0" collapsed="false">
      <c r="A124" s="9" t="s">
        <v>392</v>
      </c>
      <c r="B124" s="10" t="s">
        <v>393</v>
      </c>
      <c r="C124" s="9" t="s">
        <v>72</v>
      </c>
      <c r="D124" s="9"/>
      <c r="E124" s="11" t="n">
        <v>0.2</v>
      </c>
      <c r="F124" s="9"/>
      <c r="G124" s="9" t="s">
        <v>42</v>
      </c>
      <c r="H124" s="9" t="s">
        <v>388</v>
      </c>
      <c r="I124" s="10" t="s">
        <v>389</v>
      </c>
    </row>
    <row r="125" customFormat="false" ht="17.15" hidden="false" customHeight="false" outlineLevel="0" collapsed="false">
      <c r="A125" s="9" t="s">
        <v>394</v>
      </c>
      <c r="B125" s="10" t="s">
        <v>395</v>
      </c>
      <c r="C125" s="9" t="s">
        <v>72</v>
      </c>
      <c r="D125" s="9"/>
      <c r="E125" s="11" t="n">
        <v>0.1</v>
      </c>
      <c r="F125" s="9"/>
      <c r="G125" s="9" t="s">
        <v>42</v>
      </c>
      <c r="H125" s="9" t="s">
        <v>396</v>
      </c>
      <c r="I125" s="9" t="s">
        <v>397</v>
      </c>
    </row>
    <row r="126" customFormat="false" ht="17.15" hidden="false" customHeight="false" outlineLevel="0" collapsed="false">
      <c r="A126" s="9" t="s">
        <v>398</v>
      </c>
      <c r="B126" s="10" t="s">
        <v>399</v>
      </c>
      <c r="C126" s="9" t="s">
        <v>72</v>
      </c>
      <c r="D126" s="9"/>
      <c r="E126" s="11" t="n">
        <v>0.04</v>
      </c>
      <c r="F126" s="9"/>
      <c r="G126" s="9" t="s">
        <v>42</v>
      </c>
      <c r="H126" s="9" t="s">
        <v>400</v>
      </c>
      <c r="I126" s="10" t="s">
        <v>401</v>
      </c>
    </row>
    <row r="127" customFormat="false" ht="17.15" hidden="false" customHeight="false" outlineLevel="0" collapsed="false">
      <c r="A127" s="9" t="s">
        <v>402</v>
      </c>
      <c r="B127" s="9" t="s">
        <v>403</v>
      </c>
      <c r="C127" s="9" t="s">
        <v>72</v>
      </c>
      <c r="D127" s="9"/>
      <c r="E127" s="9" t="n">
        <f aca="false">AVERAGE(0.0941,0.087,0.0866)</f>
        <v>0.0892333333333333</v>
      </c>
      <c r="F127" s="9"/>
      <c r="G127" s="9" t="s">
        <v>29</v>
      </c>
      <c r="H127" s="9" t="s">
        <v>404</v>
      </c>
      <c r="I127" s="10" t="s">
        <v>405</v>
      </c>
    </row>
    <row r="128" customFormat="false" ht="17.15" hidden="false" customHeight="false" outlineLevel="0" collapsed="false">
      <c r="A128" s="9" t="s">
        <v>406</v>
      </c>
      <c r="B128" s="10" t="s">
        <v>407</v>
      </c>
      <c r="C128" s="9" t="s">
        <v>72</v>
      </c>
      <c r="D128" s="9"/>
      <c r="E128" s="11" t="n">
        <v>0.5</v>
      </c>
      <c r="F128" s="9"/>
      <c r="G128" s="9" t="s">
        <v>42</v>
      </c>
      <c r="H128" s="9" t="s">
        <v>408</v>
      </c>
      <c r="I128" s="9" t="s">
        <v>207</v>
      </c>
    </row>
    <row r="129" customFormat="false" ht="17.15" hidden="false" customHeight="false" outlineLevel="0" collapsed="false">
      <c r="A129" s="9" t="s">
        <v>409</v>
      </c>
      <c r="B129" s="10" t="s">
        <v>410</v>
      </c>
      <c r="C129" s="9" t="s">
        <v>72</v>
      </c>
      <c r="D129" s="9"/>
      <c r="E129" s="9" t="n">
        <f aca="false">tp_g+0.02</f>
        <v>0.06</v>
      </c>
      <c r="F129" s="9"/>
      <c r="G129" s="9" t="s">
        <v>42</v>
      </c>
      <c r="H129" s="10" t="s">
        <v>411</v>
      </c>
      <c r="I129" s="9" t="s">
        <v>412</v>
      </c>
    </row>
    <row r="130" customFormat="false" ht="17.15" hidden="false" customHeight="false" outlineLevel="0" collapsed="false">
      <c r="A130" s="9" t="s">
        <v>413</v>
      </c>
      <c r="B130" s="10" t="s">
        <v>414</v>
      </c>
      <c r="C130" s="9" t="s">
        <v>72</v>
      </c>
      <c r="D130" s="9"/>
      <c r="E130" s="9" t="n">
        <f aca="false">tp_g</f>
        <v>0.04</v>
      </c>
      <c r="F130" s="9"/>
      <c r="G130" s="9" t="s">
        <v>42</v>
      </c>
      <c r="H130" s="10" t="s">
        <v>34</v>
      </c>
      <c r="I130" s="9" t="s">
        <v>207</v>
      </c>
    </row>
    <row r="131" customFormat="false" ht="17.15" hidden="false" customHeight="false" outlineLevel="0" collapsed="false">
      <c r="A131" s="9" t="s">
        <v>415</v>
      </c>
      <c r="B131" s="10" t="s">
        <v>416</v>
      </c>
      <c r="C131" s="9" t="s">
        <v>72</v>
      </c>
      <c r="D131" s="9"/>
      <c r="E131" s="9" t="n">
        <f aca="false">tp_g-0.02</f>
        <v>0.02</v>
      </c>
      <c r="F131" s="9"/>
      <c r="G131" s="9" t="s">
        <v>42</v>
      </c>
      <c r="H131" s="10" t="s">
        <v>34</v>
      </c>
      <c r="I131" s="9" t="s">
        <v>207</v>
      </c>
    </row>
    <row r="132" customFormat="false" ht="17.15" hidden="false" customHeight="false" outlineLevel="0" collapsed="false">
      <c r="A132" s="9" t="s">
        <v>417</v>
      </c>
      <c r="B132" s="10" t="s">
        <v>418</v>
      </c>
      <c r="C132" s="9" t="s">
        <v>72</v>
      </c>
      <c r="D132" s="9"/>
      <c r="E132" s="12" t="n">
        <f aca="false">PL!G15</f>
        <v>0.110675021268284</v>
      </c>
      <c r="F132" s="9"/>
      <c r="G132" s="9" t="s">
        <v>29</v>
      </c>
      <c r="H132" s="9" t="s">
        <v>419</v>
      </c>
      <c r="I132" s="9" t="s">
        <v>207</v>
      </c>
    </row>
    <row r="133" customFormat="false" ht="17.15" hidden="false" customHeight="false" outlineLevel="0" collapsed="false">
      <c r="A133" s="9" t="s">
        <v>420</v>
      </c>
      <c r="B133" s="10" t="s">
        <v>421</v>
      </c>
      <c r="C133" s="9" t="s">
        <v>72</v>
      </c>
      <c r="D133" s="9"/>
      <c r="E133" s="13" t="n">
        <f aca="false">(PL!G30+nim10)/2</f>
        <v>0.0799734977945966</v>
      </c>
      <c r="F133" s="9"/>
      <c r="G133" s="9" t="s">
        <v>29</v>
      </c>
      <c r="H133" s="9" t="s">
        <v>422</v>
      </c>
      <c r="I133" s="9" t="s">
        <v>207</v>
      </c>
    </row>
    <row r="134" customFormat="false" ht="17.15" hidden="false" customHeight="false" outlineLevel="0" collapsed="false">
      <c r="A134" s="9" t="s">
        <v>423</v>
      </c>
      <c r="B134" s="10" t="s">
        <v>424</v>
      </c>
      <c r="C134" s="9" t="s">
        <v>72</v>
      </c>
      <c r="D134" s="9"/>
      <c r="E134" s="9" t="n">
        <f aca="false">nim10</f>
        <v>0.0610559177796896</v>
      </c>
      <c r="F134" s="9"/>
      <c r="G134" s="9" t="s">
        <v>29</v>
      </c>
      <c r="H134" s="9" t="s">
        <v>425</v>
      </c>
      <c r="I134" s="9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426</v>
      </c>
    </row>
    <row r="2" customFormat="false" ht="17.15" hidden="false" customHeight="false" outlineLevel="0" collapsed="false">
      <c r="A2" s="0" t="s">
        <v>427</v>
      </c>
    </row>
    <row r="3" customFormat="false" ht="17.15" hidden="false" customHeight="false" outlineLevel="0" collapsed="false">
      <c r="A3" s="6" t="s">
        <v>17</v>
      </c>
      <c r="B3" s="14" t="s">
        <v>428</v>
      </c>
      <c r="C3" s="14" t="s">
        <v>429</v>
      </c>
      <c r="D3" s="14" t="s">
        <v>430</v>
      </c>
      <c r="E3" s="14" t="s">
        <v>431</v>
      </c>
      <c r="F3" s="14" t="s">
        <v>432</v>
      </c>
      <c r="G3" s="14" t="s">
        <v>433</v>
      </c>
      <c r="H3" s="6" t="s">
        <v>22</v>
      </c>
      <c r="I3" s="6" t="s">
        <v>434</v>
      </c>
      <c r="J3" s="6" t="s">
        <v>24</v>
      </c>
    </row>
    <row r="4" customFormat="false" ht="17.15" hidden="false" customHeight="false" outlineLevel="0" collapsed="false">
      <c r="A4" s="5" t="s">
        <v>435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436</v>
      </c>
      <c r="I4" s="8" t="s">
        <v>437</v>
      </c>
      <c r="J4" s="8" t="s">
        <v>438</v>
      </c>
    </row>
    <row r="5" customFormat="false" ht="17.15" hidden="false" customHeight="false" outlineLevel="0" collapsed="false">
      <c r="A5" s="5" t="s">
        <v>439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440</v>
      </c>
      <c r="I5" s="8" t="s">
        <v>437</v>
      </c>
      <c r="J5" s="5" t="s">
        <v>441</v>
      </c>
    </row>
    <row r="6" customFormat="false" ht="17.15" hidden="false" customHeight="false" outlineLevel="0" collapsed="false">
      <c r="A6" s="5" t="s">
        <v>442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443</v>
      </c>
      <c r="I6" s="8" t="s">
        <v>437</v>
      </c>
      <c r="J6" s="5" t="s">
        <v>444</v>
      </c>
    </row>
    <row r="7" customFormat="false" ht="17.15" hidden="false" customHeight="false" outlineLevel="0" collapsed="false">
      <c r="A7" s="5" t="s">
        <v>445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443</v>
      </c>
      <c r="I7" s="8" t="s">
        <v>437</v>
      </c>
      <c r="J7" s="5" t="s">
        <v>446</v>
      </c>
    </row>
    <row r="8" customFormat="false" ht="17.15" hidden="false" customHeight="false" outlineLevel="0" collapsed="false">
      <c r="A8" s="5" t="s">
        <v>447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443</v>
      </c>
      <c r="I8" s="8" t="s">
        <v>437</v>
      </c>
      <c r="J8" s="5" t="s">
        <v>448</v>
      </c>
    </row>
    <row r="9" customFormat="false" ht="17.15" hidden="false" customHeight="false" outlineLevel="0" collapsed="false">
      <c r="A9" s="5" t="s">
        <v>449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450</v>
      </c>
      <c r="I9" s="8" t="s">
        <v>437</v>
      </c>
      <c r="J9" s="8" t="s">
        <v>451</v>
      </c>
    </row>
    <row r="10" customFormat="false" ht="17.15" hidden="false" customHeight="false" outlineLevel="0" collapsed="false">
      <c r="A10" s="5" t="s">
        <v>452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29</v>
      </c>
      <c r="I10" s="8" t="s">
        <v>207</v>
      </c>
      <c r="J10" s="5" t="s">
        <v>453</v>
      </c>
    </row>
    <row r="11" customFormat="false" ht="17.15" hidden="false" customHeight="false" outlineLevel="0" collapsed="false">
      <c r="A11" s="5" t="s">
        <v>454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455</v>
      </c>
      <c r="I11" s="8" t="s">
        <v>437</v>
      </c>
      <c r="J11" s="8" t="s">
        <v>456</v>
      </c>
    </row>
    <row r="12" customFormat="false" ht="17.15" hidden="false" customHeight="false" outlineLevel="0" collapsed="false">
      <c r="A12" s="5" t="s">
        <v>457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29</v>
      </c>
      <c r="I12" s="8" t="s">
        <v>437</v>
      </c>
      <c r="J12" s="5" t="s">
        <v>458</v>
      </c>
    </row>
    <row r="13" customFormat="false" ht="17.15" hidden="false" customHeight="false" outlineLevel="0" collapsed="false">
      <c r="A13" s="5" t="s">
        <v>459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460</v>
      </c>
      <c r="I13" s="8" t="s">
        <v>437</v>
      </c>
      <c r="J13" s="5" t="s">
        <v>461</v>
      </c>
    </row>
    <row r="14" customFormat="false" ht="15" hidden="false" customHeight="false" outlineLevel="0" collapsed="false">
      <c r="A14" s="5" t="s">
        <v>462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29</v>
      </c>
      <c r="I14" s="8" t="s">
        <v>207</v>
      </c>
      <c r="J14" s="8" t="s">
        <v>207</v>
      </c>
    </row>
    <row r="15" customFormat="false" ht="17.15" hidden="false" customHeight="false" outlineLevel="0" collapsed="false">
      <c r="A15" s="5" t="s">
        <v>463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455</v>
      </c>
      <c r="I15" s="8" t="s">
        <v>437</v>
      </c>
      <c r="J15" s="8" t="s">
        <v>464</v>
      </c>
    </row>
    <row r="16" customFormat="false" ht="15" hidden="false" customHeight="false" outlineLevel="0" collapsed="false">
      <c r="A16" s="5" t="s">
        <v>465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29</v>
      </c>
      <c r="I16" s="5" t="s">
        <v>466</v>
      </c>
      <c r="J16" s="8" t="s">
        <v>207</v>
      </c>
    </row>
    <row r="17" customFormat="false" ht="17.15" hidden="false" customHeight="false" outlineLevel="0" collapsed="false">
      <c r="A17" s="5" t="s">
        <v>467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436</v>
      </c>
      <c r="I17" s="8" t="s">
        <v>437</v>
      </c>
      <c r="J17" s="8" t="s">
        <v>468</v>
      </c>
    </row>
    <row r="18" customFormat="false" ht="17.15" hidden="false" customHeight="false" outlineLevel="0" collapsed="false">
      <c r="A18" s="5" t="s">
        <v>469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436</v>
      </c>
      <c r="I18" s="8" t="s">
        <v>437</v>
      </c>
      <c r="J18" s="8" t="s">
        <v>470</v>
      </c>
    </row>
    <row r="19" customFormat="false" ht="17.15" hidden="false" customHeight="false" outlineLevel="0" collapsed="false">
      <c r="A19" s="0" t="s">
        <v>471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29</v>
      </c>
      <c r="I19" s="5" t="s">
        <v>472</v>
      </c>
      <c r="J19" s="8" t="s">
        <v>207</v>
      </c>
    </row>
    <row r="20" customFormat="false" ht="17.15" hidden="false" customHeight="false" outlineLevel="0" collapsed="false">
      <c r="A20" s="5" t="s">
        <v>473</v>
      </c>
      <c r="B20" s="19" t="n">
        <v>1.5</v>
      </c>
      <c r="C20" s="19" t="n">
        <v>0.33</v>
      </c>
      <c r="D20" s="19" t="n">
        <v>0.7</v>
      </c>
      <c r="H20" s="8" t="s">
        <v>359</v>
      </c>
      <c r="I20" s="8" t="s">
        <v>437</v>
      </c>
      <c r="J20" s="8" t="s">
        <v>207</v>
      </c>
    </row>
    <row r="21" customFormat="false" ht="17.15" hidden="false" customHeight="false" outlineLevel="0" collapsed="false">
      <c r="A21" s="5" t="s">
        <v>474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460</v>
      </c>
      <c r="I21" s="8" t="s">
        <v>437</v>
      </c>
      <c r="J21" s="5" t="s">
        <v>475</v>
      </c>
    </row>
    <row r="22" customFormat="false" ht="15" hidden="false" customHeight="false" outlineLevel="0" collapsed="false">
      <c r="A22" s="5" t="s">
        <v>476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29</v>
      </c>
      <c r="I22" s="5" t="s">
        <v>477</v>
      </c>
      <c r="J22" s="8" t="s">
        <v>207</v>
      </c>
    </row>
    <row r="24" customFormat="false" ht="17.15" hidden="false" customHeight="false" outlineLevel="0" collapsed="false">
      <c r="A24" s="1" t="s">
        <v>478</v>
      </c>
    </row>
    <row r="25" customFormat="false" ht="17.15" hidden="false" customHeight="false" outlineLevel="0" collapsed="false">
      <c r="A25" s="0" t="s">
        <v>479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480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481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482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483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484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485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486</v>
      </c>
      <c r="B32" s="21" t="n">
        <f aca="false">C12+D12-300.1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487</v>
      </c>
    </row>
    <row r="3" customFormat="false" ht="15" hidden="false" customHeight="false" outlineLevel="0" collapsed="false">
      <c r="A3" s="6" t="s">
        <v>17</v>
      </c>
      <c r="B3" s="6" t="s">
        <v>18</v>
      </c>
      <c r="C3" s="14" t="s">
        <v>488</v>
      </c>
      <c r="D3" s="14" t="s">
        <v>489</v>
      </c>
      <c r="E3" s="14" t="s">
        <v>490</v>
      </c>
      <c r="F3" s="14" t="s">
        <v>491</v>
      </c>
      <c r="G3" s="6" t="s">
        <v>492</v>
      </c>
    </row>
    <row r="4" customFormat="false" ht="17.15" hidden="false" customHeight="false" outlineLevel="0" collapsed="false">
      <c r="A4" s="0" t="s">
        <v>493</v>
      </c>
      <c r="B4" s="5" t="s">
        <v>28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494</v>
      </c>
    </row>
    <row r="5" customFormat="false" ht="17.15" hidden="false" customHeight="false" outlineLevel="0" collapsed="false">
      <c r="A5" s="5" t="s">
        <v>495</v>
      </c>
      <c r="B5" s="0" t="s">
        <v>41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496</v>
      </c>
    </row>
    <row r="6" customFormat="false" ht="15" hidden="false" customHeight="false" outlineLevel="0" collapsed="false">
      <c r="A6" s="5" t="s">
        <v>497</v>
      </c>
      <c r="B6" s="0" t="s">
        <v>72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42</v>
      </c>
    </row>
    <row r="7" customFormat="false" ht="17.15" hidden="false" customHeight="false" outlineLevel="0" collapsed="false">
      <c r="A7" s="0" t="s">
        <v>498</v>
      </c>
      <c r="B7" s="0" t="s">
        <v>72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42</v>
      </c>
    </row>
    <row r="8" customFormat="false" ht="17.15" hidden="false" customHeight="false" outlineLevel="0" collapsed="false">
      <c r="A8" s="5" t="s">
        <v>499</v>
      </c>
      <c r="B8" s="0" t="s">
        <v>500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501</v>
      </c>
    </row>
    <row r="9" customFormat="false" ht="17.15" hidden="false" customHeight="false" outlineLevel="0" collapsed="false">
      <c r="A9" s="0" t="s">
        <v>502</v>
      </c>
      <c r="B9" s="0" t="s">
        <v>167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503</v>
      </c>
    </row>
    <row r="10" customFormat="false" ht="17.15" hidden="false" customHeight="false" outlineLevel="0" collapsed="false">
      <c r="A10" s="5" t="s">
        <v>504</v>
      </c>
      <c r="B10" s="0" t="s">
        <v>500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505</v>
      </c>
      <c r="B11" s="0" t="s">
        <v>506</v>
      </c>
      <c r="C11" s="21" t="n">
        <f aca="false">itc_26/capit_gb</f>
        <v>24.2537296842516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507</v>
      </c>
    </row>
    <row r="12" customFormat="false" ht="17.15" hidden="false" customHeight="false" outlineLevel="0" collapsed="false">
      <c r="A12" s="0" t="s">
        <v>508</v>
      </c>
      <c r="B12" s="0" t="s">
        <v>167</v>
      </c>
      <c r="C12" s="23" t="n">
        <f aca="false">C11*tam_gw*1000</f>
        <v>12126.8648421258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509</v>
      </c>
    </row>
    <row r="13" customFormat="false" ht="17.15" hidden="false" customHeight="false" outlineLevel="0" collapsed="false">
      <c r="A13" s="0" t="s">
        <v>510</v>
      </c>
      <c r="B13" s="0" t="s">
        <v>72</v>
      </c>
      <c r="C13" s="20" t="n">
        <f aca="false">C9/C12</f>
        <v>0.0710216175295699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511</v>
      </c>
    </row>
    <row r="15" customFormat="false" ht="17.15" hidden="false" customHeight="false" outlineLevel="0" collapsed="false">
      <c r="A15" s="3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5" t="s">
        <v>514</v>
      </c>
    </row>
    <row r="3" customFormat="false" ht="17.15" hidden="false" customHeight="false" outlineLevel="0" collapsed="false">
      <c r="A3" s="6" t="s">
        <v>515</v>
      </c>
      <c r="B3" s="6" t="s">
        <v>18</v>
      </c>
      <c r="C3" s="14" t="s">
        <v>428</v>
      </c>
      <c r="D3" s="14" t="s">
        <v>516</v>
      </c>
      <c r="E3" s="14" t="s">
        <v>517</v>
      </c>
      <c r="F3" s="14" t="s">
        <v>518</v>
      </c>
      <c r="G3" s="14" t="s">
        <v>519</v>
      </c>
      <c r="H3" s="14" t="s">
        <v>520</v>
      </c>
      <c r="I3" s="14" t="s">
        <v>521</v>
      </c>
      <c r="J3" s="14" t="s">
        <v>522</v>
      </c>
      <c r="K3" s="6" t="s">
        <v>492</v>
      </c>
    </row>
    <row r="4" customFormat="false" ht="17.15" hidden="false" customHeight="false" outlineLevel="0" collapsed="false">
      <c r="A4" s="3" t="s">
        <v>523</v>
      </c>
    </row>
    <row r="5" customFormat="false" ht="15" hidden="false" customHeight="false" outlineLevel="0" collapsed="false">
      <c r="A5" s="5" t="s">
        <v>435</v>
      </c>
      <c r="B5" s="0" t="s">
        <v>167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524</v>
      </c>
      <c r="B6" s="0" t="s">
        <v>72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525</v>
      </c>
      <c r="B7" s="0" t="s">
        <v>167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526</v>
      </c>
      <c r="B8" s="0" t="s">
        <v>167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527</v>
      </c>
      <c r="B9" s="0" t="s">
        <v>167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445</v>
      </c>
      <c r="B10" s="0" t="s">
        <v>167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528</v>
      </c>
      <c r="B11" s="0" t="s">
        <v>167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452</v>
      </c>
      <c r="B12" s="0" t="s">
        <v>72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529</v>
      </c>
      <c r="B13" s="0" t="s">
        <v>72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467</v>
      </c>
      <c r="B14" s="0" t="s">
        <v>167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530</v>
      </c>
      <c r="B15" s="0" t="s">
        <v>72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531</v>
      </c>
      <c r="B16" s="0" t="s">
        <v>322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532</v>
      </c>
      <c r="B17" s="0" t="s">
        <v>72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533</v>
      </c>
    </row>
    <row r="20" customFormat="false" ht="15" hidden="false" customHeight="false" outlineLevel="0" collapsed="false">
      <c r="A20" s="5" t="s">
        <v>435</v>
      </c>
      <c r="B20" s="0" t="s">
        <v>167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524</v>
      </c>
      <c r="B21" s="0" t="s">
        <v>72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525</v>
      </c>
      <c r="B22" s="0" t="s">
        <v>167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526</v>
      </c>
      <c r="B23" s="0" t="s">
        <v>167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527</v>
      </c>
      <c r="B24" s="0" t="s">
        <v>167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445</v>
      </c>
      <c r="B25" s="0" t="s">
        <v>167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528</v>
      </c>
      <c r="B26" s="0" t="s">
        <v>167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452</v>
      </c>
      <c r="B27" s="0" t="s">
        <v>72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529</v>
      </c>
      <c r="B28" s="0" t="s">
        <v>72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467</v>
      </c>
      <c r="B29" s="0" t="s">
        <v>167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530</v>
      </c>
      <c r="B30" s="0" t="s">
        <v>72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531</v>
      </c>
      <c r="B31" s="0" t="s">
        <v>322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532</v>
      </c>
      <c r="B32" s="0" t="s">
        <v>72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534</v>
      </c>
    </row>
    <row r="35" customFormat="false" ht="15" hidden="false" customHeight="false" outlineLevel="0" collapsed="false">
      <c r="A35" s="5" t="s">
        <v>435</v>
      </c>
      <c r="B35" s="0" t="s">
        <v>167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524</v>
      </c>
      <c r="B36" s="0" t="s">
        <v>72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525</v>
      </c>
      <c r="B37" s="0" t="s">
        <v>167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526</v>
      </c>
      <c r="B38" s="0" t="s">
        <v>167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527</v>
      </c>
      <c r="B39" s="0" t="s">
        <v>167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445</v>
      </c>
      <c r="B40" s="0" t="s">
        <v>167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528</v>
      </c>
      <c r="B41" s="0" t="s">
        <v>167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452</v>
      </c>
      <c r="B42" s="0" t="s">
        <v>72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529</v>
      </c>
      <c r="B43" s="0" t="s">
        <v>72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467</v>
      </c>
      <c r="B44" s="0" t="s">
        <v>167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530</v>
      </c>
      <c r="B45" s="0" t="s">
        <v>72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531</v>
      </c>
      <c r="B46" s="0" t="s">
        <v>322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532</v>
      </c>
      <c r="B47" s="0" t="s">
        <v>72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535</v>
      </c>
    </row>
    <row r="50" customFormat="false" ht="17.15" hidden="false" customHeight="false" outlineLevel="0" collapsed="false">
      <c r="A50" s="5" t="s">
        <v>536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537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538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539</v>
      </c>
    </row>
    <row r="61" customFormat="false" ht="17.15" hidden="false" customHeight="false" outlineLevel="0" collapsed="false">
      <c r="A61" s="6" t="s">
        <v>17</v>
      </c>
      <c r="B61" s="6" t="s">
        <v>18</v>
      </c>
      <c r="C61" s="14" t="s">
        <v>428</v>
      </c>
      <c r="D61" s="14" t="s">
        <v>516</v>
      </c>
      <c r="E61" s="14" t="s">
        <v>517</v>
      </c>
      <c r="F61" s="14" t="s">
        <v>518</v>
      </c>
      <c r="G61" s="14" t="s">
        <v>519</v>
      </c>
      <c r="H61" s="14" t="s">
        <v>520</v>
      </c>
      <c r="I61" s="14" t="s">
        <v>521</v>
      </c>
      <c r="J61" s="14" t="s">
        <v>522</v>
      </c>
      <c r="K61" s="6" t="s">
        <v>492</v>
      </c>
    </row>
    <row r="62" customFormat="false" ht="17.15" hidden="false" customHeight="false" outlineLevel="0" collapsed="false">
      <c r="A62" s="1" t="s">
        <v>540</v>
      </c>
    </row>
    <row r="63" customFormat="false" ht="17.15" hidden="false" customHeight="false" outlineLevel="0" collapsed="false">
      <c r="A63" s="0" t="s">
        <v>541</v>
      </c>
      <c r="B63" s="5" t="s">
        <v>28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495</v>
      </c>
      <c r="B64" s="0" t="s">
        <v>41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497</v>
      </c>
      <c r="B65" s="0" t="s">
        <v>72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542</v>
      </c>
    </row>
    <row r="66" customFormat="false" ht="17.15" hidden="false" customHeight="false" outlineLevel="0" collapsed="false">
      <c r="A66" s="0" t="s">
        <v>498</v>
      </c>
      <c r="B66" s="0" t="s">
        <v>72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543</v>
      </c>
      <c r="B67" s="0" t="s">
        <v>167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544</v>
      </c>
    </row>
    <row r="68" customFormat="false" ht="17.15" hidden="false" customHeight="false" outlineLevel="0" collapsed="false">
      <c r="A68" s="5" t="s">
        <v>545</v>
      </c>
      <c r="B68" s="0" t="s">
        <v>500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546</v>
      </c>
    </row>
    <row r="69" customFormat="false" ht="17.15" hidden="false" customHeight="false" outlineLevel="0" collapsed="false">
      <c r="A69" s="5" t="s">
        <v>504</v>
      </c>
      <c r="B69" s="0" t="s">
        <v>500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547</v>
      </c>
    </row>
    <row r="70" customFormat="false" ht="17.15" hidden="false" customHeight="false" outlineLevel="0" collapsed="false">
      <c r="A70" s="1" t="s">
        <v>548</v>
      </c>
    </row>
    <row r="71" customFormat="false" ht="17.15" hidden="false" customHeight="false" outlineLevel="0" collapsed="false">
      <c r="A71" s="5" t="s">
        <v>549</v>
      </c>
      <c r="B71" s="0" t="s">
        <v>167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550</v>
      </c>
      <c r="B72" s="0" t="s">
        <v>167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551</v>
      </c>
      <c r="B73" s="0" t="s">
        <v>167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552</v>
      </c>
      <c r="B74" s="0" t="s">
        <v>167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553</v>
      </c>
      <c r="B75" s="0" t="s">
        <v>167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554</v>
      </c>
      <c r="B76" s="0" t="s">
        <v>167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555</v>
      </c>
    </row>
    <row r="77" customFormat="false" ht="17.15" hidden="false" customHeight="false" outlineLevel="0" collapsed="false">
      <c r="A77" s="5" t="s">
        <v>435</v>
      </c>
      <c r="B77" s="0" t="s">
        <v>167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556</v>
      </c>
    </row>
    <row r="78" customFormat="false" ht="15" hidden="false" customHeight="false" outlineLevel="0" collapsed="false">
      <c r="A78" s="5" t="s">
        <v>557</v>
      </c>
      <c r="B78" s="0" t="s">
        <v>72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558</v>
      </c>
      <c r="B79" s="0" t="s">
        <v>72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559</v>
      </c>
      <c r="B80" s="0" t="s">
        <v>72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560</v>
      </c>
    </row>
    <row r="82" customFormat="false" ht="15" hidden="false" customHeight="false" outlineLevel="0" collapsed="false">
      <c r="A82" s="5" t="s">
        <v>561</v>
      </c>
      <c r="B82" s="0" t="s">
        <v>167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562</v>
      </c>
      <c r="B83" s="0" t="s">
        <v>167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563</v>
      </c>
    </row>
    <row r="84" customFormat="false" ht="17.15" hidden="false" customHeight="false" outlineLevel="0" collapsed="false">
      <c r="A84" s="5" t="s">
        <v>564</v>
      </c>
      <c r="B84" s="0" t="s">
        <v>167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565</v>
      </c>
    </row>
    <row r="85" customFormat="false" ht="15" hidden="false" customHeight="false" outlineLevel="0" collapsed="false">
      <c r="A85" s="5" t="s">
        <v>566</v>
      </c>
      <c r="B85" s="0" t="s">
        <v>167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567</v>
      </c>
      <c r="B86" s="0" t="s">
        <v>167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568</v>
      </c>
      <c r="B87" s="0" t="s">
        <v>167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569</v>
      </c>
    </row>
    <row r="88" customFormat="false" ht="17.15" hidden="false" customHeight="false" outlineLevel="0" collapsed="false">
      <c r="A88" s="5" t="s">
        <v>570</v>
      </c>
      <c r="B88" s="0" t="s">
        <v>167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571</v>
      </c>
    </row>
    <row r="89" customFormat="false" ht="15" hidden="false" customHeight="false" outlineLevel="0" collapsed="false">
      <c r="A89" s="5" t="s">
        <v>449</v>
      </c>
      <c r="B89" s="0" t="s">
        <v>167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452</v>
      </c>
      <c r="B90" s="0" t="s">
        <v>72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572</v>
      </c>
      <c r="B91" s="0" t="s">
        <v>573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574</v>
      </c>
    </row>
    <row r="92" customFormat="false" ht="17.15" hidden="false" customHeight="false" outlineLevel="0" collapsed="false">
      <c r="A92" s="5" t="s">
        <v>454</v>
      </c>
      <c r="B92" s="0" t="s">
        <v>167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575</v>
      </c>
    </row>
    <row r="93" customFormat="false" ht="15" hidden="false" customHeight="false" outlineLevel="0" collapsed="false">
      <c r="A93" s="5" t="s">
        <v>457</v>
      </c>
      <c r="B93" s="0" t="s">
        <v>167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529</v>
      </c>
      <c r="B94" s="0" t="s">
        <v>72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576</v>
      </c>
      <c r="B95" s="0" t="s">
        <v>167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462</v>
      </c>
      <c r="B96" s="0" t="s">
        <v>167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463</v>
      </c>
      <c r="B97" s="0" t="s">
        <v>167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465</v>
      </c>
      <c r="B98" s="0" t="s">
        <v>167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467</v>
      </c>
      <c r="B99" s="0" t="s">
        <v>167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577</v>
      </c>
      <c r="B100" s="5" t="s">
        <v>301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471</v>
      </c>
      <c r="B101" s="0" t="s">
        <v>322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578</v>
      </c>
      <c r="B102" s="0" t="s">
        <v>72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579</v>
      </c>
      <c r="B103" s="0" t="s">
        <v>72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580</v>
      </c>
    </row>
    <row r="107" customFormat="false" ht="17.15" hidden="false" customHeight="false" outlineLevel="0" collapsed="false">
      <c r="A107" s="6" t="s">
        <v>17</v>
      </c>
      <c r="B107" s="6" t="s">
        <v>18</v>
      </c>
      <c r="C107" s="14" t="s">
        <v>428</v>
      </c>
      <c r="D107" s="14" t="s">
        <v>516</v>
      </c>
      <c r="E107" s="14" t="s">
        <v>517</v>
      </c>
      <c r="F107" s="14" t="s">
        <v>518</v>
      </c>
      <c r="G107" s="14" t="s">
        <v>519</v>
      </c>
      <c r="H107" s="14" t="s">
        <v>520</v>
      </c>
      <c r="I107" s="14" t="s">
        <v>521</v>
      </c>
      <c r="J107" s="14" t="s">
        <v>522</v>
      </c>
      <c r="K107" s="6" t="s">
        <v>492</v>
      </c>
    </row>
    <row r="108" customFormat="false" ht="17.15" hidden="false" customHeight="false" outlineLevel="0" collapsed="false">
      <c r="A108" s="1" t="s">
        <v>540</v>
      </c>
    </row>
    <row r="109" customFormat="false" ht="17.15" hidden="false" customHeight="false" outlineLevel="0" collapsed="false">
      <c r="A109" s="0" t="s">
        <v>541</v>
      </c>
      <c r="B109" s="5" t="s">
        <v>28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495</v>
      </c>
      <c r="B110" s="0" t="s">
        <v>41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497</v>
      </c>
      <c r="B111" s="0" t="s">
        <v>72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542</v>
      </c>
    </row>
    <row r="112" customFormat="false" ht="17.15" hidden="false" customHeight="false" outlineLevel="0" collapsed="false">
      <c r="A112" s="0" t="s">
        <v>498</v>
      </c>
      <c r="B112" s="0" t="s">
        <v>72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543</v>
      </c>
      <c r="B113" s="0" t="s">
        <v>167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544</v>
      </c>
    </row>
    <row r="114" customFormat="false" ht="17.15" hidden="false" customHeight="false" outlineLevel="0" collapsed="false">
      <c r="A114" s="5" t="s">
        <v>545</v>
      </c>
      <c r="B114" s="0" t="s">
        <v>500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546</v>
      </c>
    </row>
    <row r="115" customFormat="false" ht="17.15" hidden="false" customHeight="false" outlineLevel="0" collapsed="false">
      <c r="A115" s="5" t="s">
        <v>504</v>
      </c>
      <c r="B115" s="0" t="s">
        <v>500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547</v>
      </c>
    </row>
    <row r="116" customFormat="false" ht="17.15" hidden="false" customHeight="false" outlineLevel="0" collapsed="false">
      <c r="A116" s="1" t="s">
        <v>548</v>
      </c>
    </row>
    <row r="117" customFormat="false" ht="17.15" hidden="false" customHeight="false" outlineLevel="0" collapsed="false">
      <c r="A117" s="5" t="s">
        <v>549</v>
      </c>
      <c r="B117" s="0" t="s">
        <v>167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550</v>
      </c>
      <c r="B118" s="0" t="s">
        <v>167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551</v>
      </c>
      <c r="B119" s="0" t="s">
        <v>167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552</v>
      </c>
      <c r="B120" s="0" t="s">
        <v>167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553</v>
      </c>
      <c r="B121" s="0" t="s">
        <v>167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554</v>
      </c>
      <c r="B122" s="0" t="s">
        <v>167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555</v>
      </c>
    </row>
    <row r="123" customFormat="false" ht="17.15" hidden="false" customHeight="false" outlineLevel="0" collapsed="false">
      <c r="A123" s="5" t="s">
        <v>435</v>
      </c>
      <c r="B123" s="0" t="s">
        <v>167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556</v>
      </c>
    </row>
    <row r="124" customFormat="false" ht="15" hidden="false" customHeight="false" outlineLevel="0" collapsed="false">
      <c r="A124" s="5" t="s">
        <v>557</v>
      </c>
      <c r="B124" s="0" t="s">
        <v>72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558</v>
      </c>
      <c r="B125" s="0" t="s">
        <v>72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559</v>
      </c>
      <c r="B126" s="0" t="s">
        <v>72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560</v>
      </c>
    </row>
    <row r="128" customFormat="false" ht="15" hidden="false" customHeight="false" outlineLevel="0" collapsed="false">
      <c r="A128" s="5" t="s">
        <v>561</v>
      </c>
      <c r="B128" s="0" t="s">
        <v>167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562</v>
      </c>
      <c r="B129" s="0" t="s">
        <v>167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563</v>
      </c>
    </row>
    <row r="130" customFormat="false" ht="17.15" hidden="false" customHeight="false" outlineLevel="0" collapsed="false">
      <c r="A130" s="5" t="s">
        <v>564</v>
      </c>
      <c r="B130" s="0" t="s">
        <v>167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565</v>
      </c>
    </row>
    <row r="131" customFormat="false" ht="15" hidden="false" customHeight="false" outlineLevel="0" collapsed="false">
      <c r="A131" s="5" t="s">
        <v>566</v>
      </c>
      <c r="B131" s="0" t="s">
        <v>167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567</v>
      </c>
      <c r="B132" s="0" t="s">
        <v>167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568</v>
      </c>
      <c r="B133" s="0" t="s">
        <v>167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569</v>
      </c>
    </row>
    <row r="134" customFormat="false" ht="17.15" hidden="false" customHeight="false" outlineLevel="0" collapsed="false">
      <c r="A134" s="5" t="s">
        <v>570</v>
      </c>
      <c r="B134" s="0" t="s">
        <v>167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571</v>
      </c>
    </row>
    <row r="135" customFormat="false" ht="15" hidden="false" customHeight="false" outlineLevel="0" collapsed="false">
      <c r="A135" s="5" t="s">
        <v>449</v>
      </c>
      <c r="B135" s="0" t="s">
        <v>167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452</v>
      </c>
      <c r="B136" s="0" t="s">
        <v>72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572</v>
      </c>
      <c r="B137" s="0" t="s">
        <v>573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574</v>
      </c>
    </row>
    <row r="138" customFormat="false" ht="17.15" hidden="false" customHeight="false" outlineLevel="0" collapsed="false">
      <c r="A138" s="5" t="s">
        <v>454</v>
      </c>
      <c r="B138" s="0" t="s">
        <v>167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575</v>
      </c>
    </row>
    <row r="139" customFormat="false" ht="15" hidden="false" customHeight="false" outlineLevel="0" collapsed="false">
      <c r="A139" s="5" t="s">
        <v>457</v>
      </c>
      <c r="B139" s="0" t="s">
        <v>167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529</v>
      </c>
      <c r="B140" s="0" t="s">
        <v>72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576</v>
      </c>
      <c r="B141" s="0" t="s">
        <v>167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462</v>
      </c>
      <c r="B142" s="0" t="s">
        <v>167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463</v>
      </c>
      <c r="B143" s="0" t="s">
        <v>167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465</v>
      </c>
      <c r="B144" s="0" t="s">
        <v>167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467</v>
      </c>
      <c r="B145" s="0" t="s">
        <v>167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577</v>
      </c>
      <c r="B146" s="5" t="s">
        <v>301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471</v>
      </c>
      <c r="B147" s="0" t="s">
        <v>322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578</v>
      </c>
      <c r="B148" s="0" t="s">
        <v>72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579</v>
      </c>
      <c r="B149" s="0" t="s">
        <v>72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581</v>
      </c>
    </row>
    <row r="153" customFormat="false" ht="17.15" hidden="false" customHeight="false" outlineLevel="0" collapsed="false">
      <c r="A153" s="6" t="s">
        <v>17</v>
      </c>
      <c r="B153" s="6" t="s">
        <v>18</v>
      </c>
      <c r="C153" s="14" t="s">
        <v>428</v>
      </c>
      <c r="D153" s="14" t="s">
        <v>516</v>
      </c>
      <c r="E153" s="14" t="s">
        <v>517</v>
      </c>
      <c r="F153" s="14" t="s">
        <v>518</v>
      </c>
      <c r="G153" s="14" t="s">
        <v>519</v>
      </c>
      <c r="H153" s="14" t="s">
        <v>520</v>
      </c>
      <c r="I153" s="14" t="s">
        <v>521</v>
      </c>
      <c r="J153" s="14" t="s">
        <v>522</v>
      </c>
      <c r="K153" s="6" t="s">
        <v>492</v>
      </c>
    </row>
    <row r="154" customFormat="false" ht="17.15" hidden="false" customHeight="false" outlineLevel="0" collapsed="false">
      <c r="A154" s="1" t="s">
        <v>540</v>
      </c>
    </row>
    <row r="155" customFormat="false" ht="17.15" hidden="false" customHeight="false" outlineLevel="0" collapsed="false">
      <c r="A155" s="0" t="s">
        <v>541</v>
      </c>
      <c r="B155" s="5" t="s">
        <v>28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495</v>
      </c>
      <c r="B156" s="0" t="s">
        <v>41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497</v>
      </c>
      <c r="B157" s="0" t="s">
        <v>72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542</v>
      </c>
    </row>
    <row r="158" customFormat="false" ht="17.15" hidden="false" customHeight="false" outlineLevel="0" collapsed="false">
      <c r="A158" s="0" t="s">
        <v>498</v>
      </c>
      <c r="B158" s="0" t="s">
        <v>72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543</v>
      </c>
      <c r="B159" s="0" t="s">
        <v>167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544</v>
      </c>
    </row>
    <row r="160" customFormat="false" ht="17.15" hidden="false" customHeight="false" outlineLevel="0" collapsed="false">
      <c r="A160" s="5" t="s">
        <v>545</v>
      </c>
      <c r="B160" s="0" t="s">
        <v>500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546</v>
      </c>
    </row>
    <row r="161" customFormat="false" ht="17.15" hidden="false" customHeight="false" outlineLevel="0" collapsed="false">
      <c r="A161" s="5" t="s">
        <v>504</v>
      </c>
      <c r="B161" s="0" t="s">
        <v>500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547</v>
      </c>
    </row>
    <row r="162" customFormat="false" ht="17.15" hidden="false" customHeight="false" outlineLevel="0" collapsed="false">
      <c r="A162" s="1" t="s">
        <v>548</v>
      </c>
    </row>
    <row r="163" customFormat="false" ht="17.15" hidden="false" customHeight="false" outlineLevel="0" collapsed="false">
      <c r="A163" s="5" t="s">
        <v>549</v>
      </c>
      <c r="B163" s="0" t="s">
        <v>167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550</v>
      </c>
      <c r="B164" s="0" t="s">
        <v>167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551</v>
      </c>
      <c r="B165" s="0" t="s">
        <v>167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552</v>
      </c>
      <c r="B166" s="0" t="s">
        <v>167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553</v>
      </c>
      <c r="B167" s="0" t="s">
        <v>167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554</v>
      </c>
      <c r="B168" s="0" t="s">
        <v>167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555</v>
      </c>
    </row>
    <row r="169" customFormat="false" ht="17.15" hidden="false" customHeight="false" outlineLevel="0" collapsed="false">
      <c r="A169" s="5" t="s">
        <v>435</v>
      </c>
      <c r="B169" s="0" t="s">
        <v>167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556</v>
      </c>
    </row>
    <row r="170" customFormat="false" ht="15" hidden="false" customHeight="false" outlineLevel="0" collapsed="false">
      <c r="A170" s="5" t="s">
        <v>557</v>
      </c>
      <c r="B170" s="0" t="s">
        <v>72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558</v>
      </c>
      <c r="B171" s="0" t="s">
        <v>72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559</v>
      </c>
      <c r="B172" s="0" t="s">
        <v>72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560</v>
      </c>
    </row>
    <row r="174" customFormat="false" ht="15" hidden="false" customHeight="false" outlineLevel="0" collapsed="false">
      <c r="A174" s="5" t="s">
        <v>561</v>
      </c>
      <c r="B174" s="0" t="s">
        <v>167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562</v>
      </c>
      <c r="B175" s="0" t="s">
        <v>167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563</v>
      </c>
    </row>
    <row r="176" customFormat="false" ht="17.15" hidden="false" customHeight="false" outlineLevel="0" collapsed="false">
      <c r="A176" s="5" t="s">
        <v>564</v>
      </c>
      <c r="B176" s="0" t="s">
        <v>167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565</v>
      </c>
    </row>
    <row r="177" customFormat="false" ht="15" hidden="false" customHeight="false" outlineLevel="0" collapsed="false">
      <c r="A177" s="5" t="s">
        <v>566</v>
      </c>
      <c r="B177" s="0" t="s">
        <v>167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567</v>
      </c>
      <c r="B178" s="0" t="s">
        <v>167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568</v>
      </c>
      <c r="B179" s="0" t="s">
        <v>167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569</v>
      </c>
    </row>
    <row r="180" customFormat="false" ht="17.15" hidden="false" customHeight="false" outlineLevel="0" collapsed="false">
      <c r="A180" s="5" t="s">
        <v>570</v>
      </c>
      <c r="B180" s="0" t="s">
        <v>167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571</v>
      </c>
    </row>
    <row r="181" customFormat="false" ht="15" hidden="false" customHeight="false" outlineLevel="0" collapsed="false">
      <c r="A181" s="5" t="s">
        <v>449</v>
      </c>
      <c r="B181" s="0" t="s">
        <v>167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452</v>
      </c>
      <c r="B182" s="0" t="s">
        <v>72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572</v>
      </c>
      <c r="B183" s="0" t="s">
        <v>573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574</v>
      </c>
    </row>
    <row r="184" customFormat="false" ht="17.15" hidden="false" customHeight="false" outlineLevel="0" collapsed="false">
      <c r="A184" s="5" t="s">
        <v>454</v>
      </c>
      <c r="B184" s="0" t="s">
        <v>167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575</v>
      </c>
    </row>
    <row r="185" customFormat="false" ht="15" hidden="false" customHeight="false" outlineLevel="0" collapsed="false">
      <c r="A185" s="5" t="s">
        <v>457</v>
      </c>
      <c r="B185" s="0" t="s">
        <v>167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529</v>
      </c>
      <c r="B186" s="0" t="s">
        <v>72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576</v>
      </c>
      <c r="B187" s="0" t="s">
        <v>167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462</v>
      </c>
      <c r="B188" s="0" t="s">
        <v>167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463</v>
      </c>
      <c r="B189" s="0" t="s">
        <v>167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465</v>
      </c>
      <c r="B190" s="0" t="s">
        <v>167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467</v>
      </c>
      <c r="B191" s="0" t="s">
        <v>167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577</v>
      </c>
      <c r="B192" s="5" t="s">
        <v>301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471</v>
      </c>
      <c r="B193" s="0" t="s">
        <v>322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578</v>
      </c>
      <c r="B194" s="0" t="s">
        <v>72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579</v>
      </c>
      <c r="B195" s="0" t="s">
        <v>72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5" t="s">
        <v>583</v>
      </c>
    </row>
    <row r="4" customFormat="false" ht="17.15" hidden="false" customHeight="false" outlineLevel="0" collapsed="false">
      <c r="A4" s="1" t="s">
        <v>584</v>
      </c>
    </row>
    <row r="5" customFormat="false" ht="17.15" hidden="false" customHeight="false" outlineLevel="0" collapsed="false">
      <c r="A5" s="1" t="s">
        <v>585</v>
      </c>
    </row>
    <row r="6" customFormat="false" ht="17.15" hidden="false" customHeight="false" outlineLevel="0" collapsed="false">
      <c r="A6" s="6" t="s">
        <v>17</v>
      </c>
      <c r="B6" s="14" t="s">
        <v>586</v>
      </c>
      <c r="C6" s="14" t="s">
        <v>587</v>
      </c>
      <c r="D6" s="14" t="s">
        <v>588</v>
      </c>
      <c r="E6" s="6" t="s">
        <v>492</v>
      </c>
    </row>
    <row r="7" customFormat="false" ht="17.15" hidden="false" customHeight="false" outlineLevel="0" collapsed="false">
      <c r="A7" s="5" t="s">
        <v>589</v>
      </c>
      <c r="E7" s="0" t="s">
        <v>590</v>
      </c>
    </row>
    <row r="8" customFormat="false" ht="15" hidden="false" customHeight="false" outlineLevel="0" collapsed="false">
      <c r="A8" s="0" t="s">
        <v>591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592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593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594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595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596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597</v>
      </c>
    </row>
    <row r="15" customFormat="false" ht="17.15" hidden="false" customHeight="false" outlineLevel="0" collapsed="false">
      <c r="A15" s="5" t="s">
        <v>598</v>
      </c>
      <c r="B15" s="20" t="n">
        <f aca="false">MIN(tp_g/tp_roe,0.8)</f>
        <v>0.448262980948823</v>
      </c>
      <c r="E15" s="8" t="s">
        <v>599</v>
      </c>
    </row>
    <row r="16" customFormat="false" ht="15" hidden="false" customHeight="false" outlineLevel="0" collapsed="false">
      <c r="A16" s="0" t="s">
        <v>591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592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593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594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595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596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600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601</v>
      </c>
    </row>
    <row r="23" customFormat="false" ht="17.15" hidden="false" customHeight="false" outlineLevel="0" collapsed="false">
      <c r="A23" s="0" t="s">
        <v>602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603</v>
      </c>
      <c r="B24" s="31" t="n">
        <f aca="false">tp_wA*B23+tp_wB*C23+tp_wC*D23</f>
        <v>36.005445355105</v>
      </c>
      <c r="E24" s="8" t="s">
        <v>604</v>
      </c>
    </row>
    <row r="26" customFormat="false" ht="17.15" hidden="false" customHeight="false" outlineLevel="0" collapsed="false">
      <c r="A26" s="1" t="s">
        <v>605</v>
      </c>
    </row>
    <row r="27" customFormat="false" ht="17.15" hidden="false" customHeight="false" outlineLevel="0" collapsed="false">
      <c r="A27" s="6" t="s">
        <v>606</v>
      </c>
      <c r="B27" s="6" t="s">
        <v>607</v>
      </c>
      <c r="C27" s="6" t="s">
        <v>608</v>
      </c>
      <c r="D27" s="6" t="s">
        <v>609</v>
      </c>
      <c r="E27" s="6" t="s">
        <v>610</v>
      </c>
      <c r="F27" s="6" t="s">
        <v>22</v>
      </c>
    </row>
    <row r="28" customFormat="false" ht="17.15" hidden="false" customHeight="false" outlineLevel="0" collapsed="false">
      <c r="A28" s="5" t="s">
        <v>611</v>
      </c>
      <c r="B28" s="0" t="s">
        <v>612</v>
      </c>
      <c r="C28" s="32" t="n">
        <v>27.37</v>
      </c>
      <c r="D28" s="8" t="s">
        <v>613</v>
      </c>
      <c r="E28" s="8" t="s">
        <v>614</v>
      </c>
      <c r="F28" s="8" t="s">
        <v>99</v>
      </c>
    </row>
    <row r="29" customFormat="false" ht="17.15" hidden="false" customHeight="false" outlineLevel="0" collapsed="false">
      <c r="A29" s="5" t="s">
        <v>615</v>
      </c>
      <c r="B29" s="0" t="s">
        <v>616</v>
      </c>
      <c r="C29" s="32" t="n">
        <v>20.6</v>
      </c>
      <c r="D29" s="8" t="s">
        <v>617</v>
      </c>
      <c r="E29" s="8" t="s">
        <v>614</v>
      </c>
      <c r="F29" s="8" t="s">
        <v>99</v>
      </c>
    </row>
    <row r="30" customFormat="false" ht="17.15" hidden="false" customHeight="false" outlineLevel="0" collapsed="false">
      <c r="A30" s="5" t="s">
        <v>618</v>
      </c>
      <c r="B30" s="0" t="s">
        <v>619</v>
      </c>
      <c r="C30" s="32" t="n">
        <v>26.13</v>
      </c>
      <c r="D30" s="8" t="s">
        <v>620</v>
      </c>
      <c r="E30" s="8" t="s">
        <v>614</v>
      </c>
      <c r="F30" s="8" t="s">
        <v>99</v>
      </c>
    </row>
    <row r="31" customFormat="false" ht="17.15" hidden="false" customHeight="false" outlineLevel="0" collapsed="false">
      <c r="A31" s="5" t="s">
        <v>621</v>
      </c>
      <c r="B31" s="0" t="s">
        <v>622</v>
      </c>
      <c r="C31" s="32" t="n">
        <v>23.3</v>
      </c>
      <c r="D31" s="8" t="s">
        <v>617</v>
      </c>
      <c r="E31" s="8" t="s">
        <v>614</v>
      </c>
      <c r="F31" s="8" t="s">
        <v>99</v>
      </c>
    </row>
    <row r="32" customFormat="false" ht="17.15" hidden="false" customHeight="false" outlineLevel="0" collapsed="false">
      <c r="A32" s="5" t="s">
        <v>623</v>
      </c>
      <c r="B32" s="0" t="s">
        <v>624</v>
      </c>
      <c r="C32" s="32" t="n">
        <v>22.08</v>
      </c>
      <c r="D32" s="8" t="s">
        <v>625</v>
      </c>
      <c r="E32" s="8" t="s">
        <v>614</v>
      </c>
      <c r="F32" s="8" t="s">
        <v>99</v>
      </c>
    </row>
    <row r="33" customFormat="false" ht="17.15" hidden="false" customHeight="false" outlineLevel="0" collapsed="false">
      <c r="A33" s="5" t="s">
        <v>626</v>
      </c>
      <c r="B33" s="21" t="n">
        <f aca="false">MEDIAN(C28:C32)</f>
        <v>23.3</v>
      </c>
      <c r="E33" s="5" t="s">
        <v>627</v>
      </c>
    </row>
    <row r="34" customFormat="false" ht="17.15" hidden="false" customHeight="false" outlineLevel="0" collapsed="false">
      <c r="A34" s="0" t="s">
        <v>628</v>
      </c>
      <c r="B34" s="18" t="n">
        <f aca="false">tp_wA*(2/12*B8+10/12*B9)+tp_wB*(2/12*C8+10/12*C9)+tp_wC*(2/12*D8+10/12*D9)</f>
        <v>3.23314372484602</v>
      </c>
      <c r="E34" s="5" t="s">
        <v>629</v>
      </c>
    </row>
    <row r="35" customFormat="false" ht="17.15" hidden="false" customHeight="false" outlineLevel="0" collapsed="false">
      <c r="A35" s="0" t="s">
        <v>630</v>
      </c>
      <c r="B35" s="31" t="n">
        <f aca="false">B33*B34</f>
        <v>75.3322487889122</v>
      </c>
      <c r="E35" s="5" t="s">
        <v>631</v>
      </c>
    </row>
    <row r="37" customFormat="false" ht="17.15" hidden="false" customHeight="false" outlineLevel="0" collapsed="false">
      <c r="A37" s="1" t="s">
        <v>632</v>
      </c>
    </row>
    <row r="38" customFormat="false" ht="15" hidden="false" customHeight="false" outlineLevel="0" collapsed="false">
      <c r="A38" s="6" t="s">
        <v>17</v>
      </c>
      <c r="B38" s="6" t="s">
        <v>633</v>
      </c>
      <c r="C38" s="14"/>
      <c r="D38" s="14"/>
      <c r="E38" s="6" t="s">
        <v>492</v>
      </c>
    </row>
    <row r="39" customFormat="false" ht="17.15" hidden="false" customHeight="false" outlineLevel="0" collapsed="false">
      <c r="A39" s="5" t="s">
        <v>634</v>
      </c>
      <c r="B39" s="31" t="n">
        <f aca="false">tp_w_dcf*B24+(1-tp_w_dcf)*B35</f>
        <v>55.6688470720086</v>
      </c>
      <c r="E39" s="8" t="s">
        <v>635</v>
      </c>
    </row>
    <row r="40" customFormat="false" ht="17.15" hidden="false" customHeight="false" outlineLevel="0" collapsed="false">
      <c r="A40" s="0" t="s">
        <v>636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637</v>
      </c>
      <c r="B41" s="18" t="n">
        <f aca="false">cons_tp</f>
        <v>76.4</v>
      </c>
      <c r="E41" s="8" t="s">
        <v>638</v>
      </c>
    </row>
    <row r="42" customFormat="false" ht="17.15" hidden="false" customHeight="false" outlineLevel="0" collapsed="false">
      <c r="A42" s="5" t="s">
        <v>639</v>
      </c>
      <c r="B42" s="20" t="n">
        <f aca="false">B39/px-1</f>
        <v>0.41651010361345</v>
      </c>
      <c r="E42" s="5" t="s">
        <v>640</v>
      </c>
    </row>
    <row r="43" customFormat="false" ht="17.15" hidden="false" customHeight="false" outlineLevel="0" collapsed="false">
      <c r="A43" s="5" t="s">
        <v>641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642</v>
      </c>
      <c r="B44" s="20" t="n">
        <f aca="false">B34/cons_feps-1</f>
        <v>0.153401400059571</v>
      </c>
      <c r="E44" s="5" t="s">
        <v>643</v>
      </c>
    </row>
    <row r="45" customFormat="false" ht="17.15" hidden="false" customHeight="false" outlineLevel="0" collapsed="false">
      <c r="A45" s="5" t="s">
        <v>644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645</v>
      </c>
      <c r="B46" s="33" t="str">
        <f aca="false">TEXT(D23,"0.00")&amp;"～"&amp;TEXT(B23,"0.00")</f>
        <v>22.02～48.95</v>
      </c>
      <c r="E46" s="8" t="s">
        <v>646</v>
      </c>
    </row>
    <row r="47" customFormat="false" ht="17.15" hidden="false" customHeight="false" outlineLevel="0" collapsed="false">
      <c r="A47" s="5" t="s">
        <v>647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648</v>
      </c>
    </row>
    <row r="48" customFormat="false" ht="17.15" hidden="false" customHeight="false" outlineLevel="0" collapsed="false">
      <c r="A48" s="5" t="s">
        <v>649</v>
      </c>
      <c r="B48" s="0" t="s">
        <v>650</v>
      </c>
    </row>
    <row r="51" customFormat="false" ht="17.15" hidden="false" customHeight="false" outlineLevel="0" collapsed="false">
      <c r="A51" s="1" t="s">
        <v>651</v>
      </c>
    </row>
    <row r="52" customFormat="false" ht="15" hidden="false" customHeight="false" outlineLevel="0" collapsed="false">
      <c r="A52" s="6" t="s">
        <v>17</v>
      </c>
      <c r="B52" s="14" t="s">
        <v>652</v>
      </c>
      <c r="C52" s="14" t="s">
        <v>653</v>
      </c>
      <c r="D52" s="14" t="s">
        <v>654</v>
      </c>
      <c r="E52" s="6" t="s">
        <v>492</v>
      </c>
    </row>
    <row r="53" customFormat="false" ht="17.15" hidden="false" customHeight="false" outlineLevel="0" collapsed="false">
      <c r="A53" s="5" t="s">
        <v>655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656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657</v>
      </c>
    </row>
    <row r="55" customFormat="false" ht="17.15" hidden="false" customHeight="false" outlineLevel="0" collapsed="false">
      <c r="A55" s="5" t="s">
        <v>658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659</v>
      </c>
    </row>
    <row r="56" customFormat="false" ht="17.15" hidden="false" customHeight="false" outlineLevel="0" collapsed="false">
      <c r="A56" s="5" t="s">
        <v>660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661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662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663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368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372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664</v>
      </c>
    </row>
    <row r="64" customFormat="false" ht="17.15" hidden="false" customHeight="false" outlineLevel="0" collapsed="false">
      <c r="A64" s="6" t="s">
        <v>665</v>
      </c>
      <c r="B64" s="6" t="s">
        <v>666</v>
      </c>
      <c r="C64" s="14" t="s">
        <v>667</v>
      </c>
      <c r="D64" s="6" t="s">
        <v>668</v>
      </c>
      <c r="E64" s="6" t="s">
        <v>669</v>
      </c>
      <c r="F64" s="6" t="s">
        <v>492</v>
      </c>
    </row>
    <row r="65" customFormat="false" ht="17.15" hidden="false" customHeight="false" outlineLevel="0" collapsed="false">
      <c r="A65" s="0" t="s">
        <v>652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670</v>
      </c>
    </row>
    <row r="66" customFormat="false" ht="15" hidden="false" customHeight="false" outlineLevel="0" collapsed="false">
      <c r="A66" s="0" t="s">
        <v>653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34</v>
      </c>
    </row>
    <row r="67" customFormat="false" ht="15" hidden="false" customHeight="false" outlineLevel="0" collapsed="false">
      <c r="A67" s="0" t="s">
        <v>654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34</v>
      </c>
    </row>
    <row r="69" customFormat="false" ht="17.15" hidden="false" customHeight="false" outlineLevel="0" collapsed="false">
      <c r="A69" s="1" t="s">
        <v>671</v>
      </c>
    </row>
    <row r="70" customFormat="false" ht="17.15" hidden="false" customHeight="false" outlineLevel="0" collapsed="false">
      <c r="A70" s="6" t="s">
        <v>665</v>
      </c>
      <c r="B70" s="14" t="s">
        <v>672</v>
      </c>
      <c r="C70" s="6" t="s">
        <v>673</v>
      </c>
      <c r="D70" s="6" t="s">
        <v>674</v>
      </c>
      <c r="E70" s="6" t="s">
        <v>675</v>
      </c>
      <c r="F70" s="6" t="s">
        <v>676</v>
      </c>
      <c r="G70" s="6" t="s">
        <v>677</v>
      </c>
    </row>
    <row r="71" customFormat="false" ht="15" hidden="false" customHeight="false" outlineLevel="0" collapsed="false">
      <c r="A71" s="9" t="s">
        <v>652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653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654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678</v>
      </c>
    </row>
    <row r="76" customFormat="false" ht="17.15" hidden="false" customHeight="false" outlineLevel="0" collapsed="false">
      <c r="A76" s="14" t="s">
        <v>679</v>
      </c>
      <c r="B76" s="6" t="s">
        <v>680</v>
      </c>
      <c r="C76" s="6" t="s">
        <v>681</v>
      </c>
      <c r="D76" s="6" t="s">
        <v>682</v>
      </c>
      <c r="E76" s="6" t="s">
        <v>683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684</v>
      </c>
    </row>
    <row r="84" customFormat="false" ht="17.15" hidden="false" customHeight="false" outlineLevel="0" collapsed="false">
      <c r="A84" s="1" t="s">
        <v>685</v>
      </c>
    </row>
    <row r="85" customFormat="false" ht="17.15" hidden="false" customHeight="false" outlineLevel="0" collapsed="false">
      <c r="A85" s="6" t="s">
        <v>686</v>
      </c>
      <c r="B85" s="6" t="s">
        <v>687</v>
      </c>
      <c r="C85" s="14" t="s">
        <v>688</v>
      </c>
      <c r="D85" s="6" t="s">
        <v>689</v>
      </c>
    </row>
    <row r="86" customFormat="false" ht="15" hidden="false" customHeight="false" outlineLevel="0" collapsed="false">
      <c r="A86" s="0" t="s">
        <v>690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691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692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693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694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695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696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697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698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699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700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701</v>
      </c>
    </row>
    <row r="101" customFormat="false" ht="17.15" hidden="false" customHeight="false" outlineLevel="0" collapsed="false">
      <c r="A101" s="5" t="s">
        <v>702</v>
      </c>
    </row>
    <row r="103" customFormat="false" ht="17.15" hidden="false" customHeight="false" outlineLevel="0" collapsed="false">
      <c r="A103" s="1" t="s">
        <v>703</v>
      </c>
    </row>
    <row r="104" customFormat="false" ht="17.15" hidden="false" customHeight="false" outlineLevel="0" collapsed="false">
      <c r="A104" s="6" t="s">
        <v>686</v>
      </c>
      <c r="B104" s="14" t="s">
        <v>704</v>
      </c>
      <c r="C104" s="6" t="s">
        <v>705</v>
      </c>
      <c r="D104" s="6" t="s">
        <v>706</v>
      </c>
    </row>
    <row r="105" customFormat="false" ht="17.15" hidden="false" customHeight="false" outlineLevel="0" collapsed="false">
      <c r="A105" s="0" t="s">
        <v>690</v>
      </c>
      <c r="B105" s="19" t="n">
        <v>14.4</v>
      </c>
      <c r="C105" s="18" t="n">
        <f aca="false">10.55/0.69</f>
        <v>15.2898550724638</v>
      </c>
      <c r="D105" s="8" t="s">
        <v>707</v>
      </c>
    </row>
    <row r="106" customFormat="false" ht="15" hidden="false" customHeight="false" outlineLevel="0" collapsed="false">
      <c r="A106" s="0" t="s">
        <v>691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692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693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694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695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696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697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698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699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708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709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710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711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712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713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714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715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716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717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718</v>
      </c>
    </row>
    <row r="127" customFormat="false" ht="17.15" hidden="false" customHeight="false" outlineLevel="0" collapsed="false">
      <c r="A127" s="6" t="s">
        <v>719</v>
      </c>
      <c r="B127" s="6" t="s">
        <v>720</v>
      </c>
      <c r="C127" s="6" t="s">
        <v>721</v>
      </c>
      <c r="D127" s="6" t="s">
        <v>20</v>
      </c>
      <c r="E127" s="6" t="s">
        <v>722</v>
      </c>
      <c r="F127" s="6" t="s">
        <v>675</v>
      </c>
      <c r="G127" s="6" t="s">
        <v>723</v>
      </c>
      <c r="H127" s="6" t="s">
        <v>724</v>
      </c>
    </row>
    <row r="128" customFormat="false" ht="17.15" hidden="false" customHeight="false" outlineLevel="0" collapsed="false">
      <c r="A128" s="5" t="s">
        <v>725</v>
      </c>
      <c r="B128" s="0" t="s">
        <v>726</v>
      </c>
      <c r="C128" s="18" t="n">
        <f aca="false">B120</f>
        <v>9.48</v>
      </c>
      <c r="D128" s="8" t="s">
        <v>727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728</v>
      </c>
      <c r="B129" s="5" t="s">
        <v>729</v>
      </c>
      <c r="C129" s="18" t="n">
        <f aca="false">B121</f>
        <v>13.34</v>
      </c>
      <c r="D129" s="8" t="s">
        <v>727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730</v>
      </c>
      <c r="B130" s="0" t="s">
        <v>731</v>
      </c>
      <c r="C130" s="18" t="n">
        <f aca="false">B122</f>
        <v>21.2</v>
      </c>
      <c r="D130" s="8" t="s">
        <v>727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732</v>
      </c>
    </row>
    <row r="3" customFormat="false" ht="17.15" hidden="false" customHeight="false" outlineLevel="0" collapsed="false">
      <c r="A3" s="6" t="s">
        <v>17</v>
      </c>
      <c r="B3" s="6" t="s">
        <v>733</v>
      </c>
      <c r="C3" s="6" t="s">
        <v>734</v>
      </c>
      <c r="D3" s="6" t="s">
        <v>735</v>
      </c>
      <c r="E3" s="6" t="s">
        <v>736</v>
      </c>
      <c r="F3" s="6" t="s">
        <v>737</v>
      </c>
      <c r="G3" s="6" t="s">
        <v>738</v>
      </c>
      <c r="H3" s="6" t="s">
        <v>739</v>
      </c>
      <c r="I3" s="6" t="s">
        <v>740</v>
      </c>
      <c r="J3" s="6" t="s">
        <v>492</v>
      </c>
    </row>
    <row r="4" customFormat="false" ht="17.15" hidden="false" customHeight="false" outlineLevel="0" collapsed="false">
      <c r="A4" s="1" t="s">
        <v>741</v>
      </c>
    </row>
    <row r="5" customFormat="false" ht="17.15" hidden="false" customHeight="false" outlineLevel="0" collapsed="false">
      <c r="A5" s="0" t="s">
        <v>742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743</v>
      </c>
      <c r="J5" s="5" t="s">
        <v>744</v>
      </c>
    </row>
    <row r="6" customFormat="false" ht="17.15" hidden="false" customHeight="false" outlineLevel="0" collapsed="false">
      <c r="A6" s="0" t="s">
        <v>745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746</v>
      </c>
    </row>
    <row r="7" customFormat="false" ht="17.15" hidden="false" customHeight="false" outlineLevel="0" collapsed="false">
      <c r="A7" s="0" t="s">
        <v>747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748</v>
      </c>
      <c r="J7" s="8" t="s">
        <v>749</v>
      </c>
    </row>
    <row r="8" customFormat="false" ht="17.15" hidden="false" customHeight="false" outlineLevel="0" collapsed="false">
      <c r="A8" s="0" t="s">
        <v>750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748</v>
      </c>
      <c r="J8" s="5" t="s">
        <v>751</v>
      </c>
    </row>
    <row r="9" customFormat="false" ht="17.15" hidden="false" customHeight="false" outlineLevel="0" collapsed="false">
      <c r="A9" s="0" t="s">
        <v>752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753</v>
      </c>
    </row>
    <row r="10" customFormat="false" ht="17.15" hidden="false" customHeight="false" outlineLevel="0" collapsed="false">
      <c r="A10" s="0" t="s">
        <v>754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755</v>
      </c>
      <c r="J10" s="8" t="s">
        <v>756</v>
      </c>
    </row>
    <row r="11" customFormat="false" ht="17.15" hidden="false" customHeight="false" outlineLevel="0" collapsed="false">
      <c r="A11" s="1" t="s">
        <v>757</v>
      </c>
    </row>
    <row r="12" customFormat="false" ht="17.15" hidden="false" customHeight="false" outlineLevel="0" collapsed="false">
      <c r="A12" s="0" t="s">
        <v>758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759</v>
      </c>
    </row>
    <row r="13" customFormat="false" ht="17.15" hidden="false" customHeight="false" outlineLevel="0" collapsed="false">
      <c r="A13" s="0" t="s">
        <v>760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759</v>
      </c>
    </row>
    <row r="14" customFormat="false" ht="17.15" hidden="false" customHeight="false" outlineLevel="0" collapsed="false">
      <c r="A14" s="0" t="s">
        <v>761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759</v>
      </c>
      <c r="J14" s="8" t="s">
        <v>762</v>
      </c>
    </row>
    <row r="15" customFormat="false" ht="17.15" hidden="false" customHeight="false" outlineLevel="0" collapsed="false">
      <c r="A15" s="0" t="s">
        <v>763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759</v>
      </c>
    </row>
    <row r="16" customFormat="false" ht="17.15" hidden="false" customHeight="false" outlineLevel="0" collapsed="false">
      <c r="A16" s="0" t="s">
        <v>764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759</v>
      </c>
    </row>
    <row r="17" customFormat="false" ht="17.15" hidden="false" customHeight="false" outlineLevel="0" collapsed="false">
      <c r="A17" s="0" t="s">
        <v>765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759</v>
      </c>
    </row>
    <row r="18" customFormat="false" ht="17.15" hidden="false" customHeight="false" outlineLevel="0" collapsed="false">
      <c r="A18" s="5" t="s">
        <v>766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759</v>
      </c>
    </row>
    <row r="19" customFormat="false" ht="17.15" hidden="false" customHeight="false" outlineLevel="0" collapsed="false">
      <c r="A19" s="1" t="s">
        <v>767</v>
      </c>
    </row>
    <row r="20" customFormat="false" ht="17.15" hidden="false" customHeight="false" outlineLevel="0" collapsed="false">
      <c r="A20" s="0" t="s">
        <v>768</v>
      </c>
      <c r="C20" s="20" t="n">
        <f aca="false">Units!C13</f>
        <v>0.0710216175295699</v>
      </c>
      <c r="E20" s="20" t="n">
        <f aca="false">Units!C13</f>
        <v>0.0710216175295699</v>
      </c>
      <c r="G20" s="20" t="n">
        <f aca="false">Units!C13</f>
        <v>0.0710216175295699</v>
      </c>
      <c r="I20" s="5" t="s">
        <v>769</v>
      </c>
      <c r="J20" s="5" t="s">
        <v>770</v>
      </c>
    </row>
    <row r="21" customFormat="false" ht="17.15" hidden="false" customHeight="false" outlineLevel="0" collapsed="false">
      <c r="A21" s="0" t="s">
        <v>771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34</v>
      </c>
      <c r="J21" s="5" t="s">
        <v>772</v>
      </c>
    </row>
    <row r="22" customFormat="false" ht="17.15" hidden="false" customHeight="false" outlineLevel="0" collapsed="false">
      <c r="A22" s="5" t="s">
        <v>773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774</v>
      </c>
      <c r="J22" s="5" t="s">
        <v>775</v>
      </c>
    </row>
    <row r="23" customFormat="false" ht="17.15" hidden="false" customHeight="false" outlineLevel="0" collapsed="false">
      <c r="A23" s="0" t="s">
        <v>776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207</v>
      </c>
      <c r="J23" s="5" t="s">
        <v>777</v>
      </c>
    </row>
    <row r="24" customFormat="false" ht="17.15" hidden="false" customHeight="false" outlineLevel="0" collapsed="false">
      <c r="A24" s="1" t="s">
        <v>778</v>
      </c>
    </row>
    <row r="25" customFormat="false" ht="17.15" hidden="false" customHeight="false" outlineLevel="0" collapsed="false">
      <c r="A25" s="0" t="s">
        <v>779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780</v>
      </c>
    </row>
    <row r="26" customFormat="false" ht="17.15" hidden="false" customHeight="false" outlineLevel="0" collapsed="false">
      <c r="A26" s="0" t="s">
        <v>781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780</v>
      </c>
    </row>
    <row r="27" customFormat="false" ht="17.15" hidden="false" customHeight="false" outlineLevel="0" collapsed="false">
      <c r="A27" s="0" t="s">
        <v>782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780</v>
      </c>
    </row>
    <row r="28" customFormat="false" ht="17.15" hidden="false" customHeight="false" outlineLevel="0" collapsed="false">
      <c r="A28" s="1" t="s">
        <v>783</v>
      </c>
    </row>
    <row r="29" customFormat="false" ht="17.15" hidden="false" customHeight="false" outlineLevel="0" collapsed="false">
      <c r="A29" s="0" t="s">
        <v>784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785</v>
      </c>
      <c r="J29" s="5" t="s">
        <v>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787</v>
      </c>
    </row>
    <row r="3" customFormat="false" ht="17.15" hidden="false" customHeight="false" outlineLevel="0" collapsed="false">
      <c r="A3" s="6" t="s">
        <v>788</v>
      </c>
      <c r="B3" s="6" t="s">
        <v>789</v>
      </c>
      <c r="C3" s="14" t="s">
        <v>790</v>
      </c>
      <c r="D3" s="14" t="s">
        <v>791</v>
      </c>
      <c r="E3" s="14" t="s">
        <v>672</v>
      </c>
      <c r="F3" s="14" t="s">
        <v>792</v>
      </c>
      <c r="G3" s="14" t="s">
        <v>793</v>
      </c>
      <c r="H3" s="14" t="s">
        <v>794</v>
      </c>
      <c r="I3" s="14" t="s">
        <v>795</v>
      </c>
      <c r="J3" s="14" t="s">
        <v>796</v>
      </c>
    </row>
    <row r="4" customFormat="false" ht="17.15" hidden="false" customHeight="false" outlineLevel="0" collapsed="false">
      <c r="A4" s="5" t="s">
        <v>797</v>
      </c>
      <c r="B4" s="0" t="s">
        <v>798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803</v>
      </c>
      <c r="B7" s="0" t="s">
        <v>804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805</v>
      </c>
      <c r="B8" s="0" t="s">
        <v>806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807</v>
      </c>
      <c r="B9" s="0" t="s">
        <v>808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809</v>
      </c>
      <c r="B10" s="0" t="s">
        <v>810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811</v>
      </c>
      <c r="B11" s="5" t="s">
        <v>812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813</v>
      </c>
      <c r="B12" s="5" t="s">
        <v>814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815</v>
      </c>
      <c r="B13" s="0" t="s">
        <v>816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817</v>
      </c>
      <c r="B14" s="0" t="s">
        <v>818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819</v>
      </c>
      <c r="B15" s="5" t="s">
        <v>820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821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822</v>
      </c>
      <c r="B17" s="5" t="s">
        <v>823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824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825</v>
      </c>
      <c r="B19" s="5" t="s">
        <v>826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827</v>
      </c>
      <c r="B20" s="5" t="s">
        <v>828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829</v>
      </c>
      <c r="B21" s="0" t="s">
        <v>830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831</v>
      </c>
      <c r="B22" s="5" t="s">
        <v>832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833</v>
      </c>
      <c r="B23" s="5" t="s">
        <v>834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835</v>
      </c>
      <c r="B24" s="5" t="s">
        <v>836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837</v>
      </c>
      <c r="B25" s="5" t="s">
        <v>838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839</v>
      </c>
      <c r="B26" s="0" t="s">
        <v>840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841</v>
      </c>
      <c r="B27" s="0" t="s">
        <v>842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843</v>
      </c>
    </row>
    <row r="31" customFormat="false" ht="17.15" hidden="false" customHeight="false" outlineLevel="0" collapsed="false">
      <c r="A31" s="3" t="s">
        <v>844</v>
      </c>
    </row>
    <row r="32" customFormat="false" ht="17.15" hidden="false" customHeight="false" outlineLevel="0" collapsed="false">
      <c r="A32" s="6" t="s">
        <v>788</v>
      </c>
      <c r="B32" s="6" t="s">
        <v>789</v>
      </c>
      <c r="C32" s="14" t="s">
        <v>845</v>
      </c>
      <c r="D32" s="14" t="s">
        <v>846</v>
      </c>
      <c r="E32" s="6" t="s">
        <v>847</v>
      </c>
      <c r="F32" s="6" t="s">
        <v>848</v>
      </c>
    </row>
    <row r="33" customFormat="false" ht="17.15" hidden="false" customHeight="false" outlineLevel="0" collapsed="false">
      <c r="A33" s="5" t="s">
        <v>20</v>
      </c>
      <c r="B33" s="0" t="s">
        <v>849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850</v>
      </c>
      <c r="B34" s="0" t="s">
        <v>851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852</v>
      </c>
      <c r="B35" s="0" t="s">
        <v>853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854</v>
      </c>
      <c r="B36" s="0" t="s">
        <v>855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856</v>
      </c>
      <c r="B37" s="0" t="s">
        <v>857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858</v>
      </c>
      <c r="B38" s="0" t="s">
        <v>859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860</v>
      </c>
      <c r="B39" s="0" t="s">
        <v>861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862</v>
      </c>
    </row>
    <row r="41" customFormat="false" ht="17.15" hidden="false" customHeight="false" outlineLevel="0" collapsed="false">
      <c r="A41" s="6" t="s">
        <v>17</v>
      </c>
      <c r="B41" s="6" t="s">
        <v>18</v>
      </c>
      <c r="C41" s="14" t="s">
        <v>428</v>
      </c>
      <c r="D41" s="14" t="s">
        <v>516</v>
      </c>
      <c r="E41" s="14" t="s">
        <v>517</v>
      </c>
      <c r="F41" s="14" t="s">
        <v>518</v>
      </c>
      <c r="G41" s="14" t="s">
        <v>519</v>
      </c>
      <c r="H41" s="14" t="s">
        <v>520</v>
      </c>
      <c r="I41" s="14" t="s">
        <v>521</v>
      </c>
      <c r="J41" s="14" t="s">
        <v>522</v>
      </c>
      <c r="K41" s="6" t="s">
        <v>492</v>
      </c>
    </row>
    <row r="42" customFormat="false" ht="17.15" hidden="false" customHeight="false" outlineLevel="0" collapsed="false">
      <c r="A42" s="1" t="s">
        <v>540</v>
      </c>
    </row>
    <row r="43" customFormat="false" ht="17.15" hidden="false" customHeight="false" outlineLevel="0" collapsed="false">
      <c r="A43" s="0" t="s">
        <v>541</v>
      </c>
      <c r="B43" s="5" t="s">
        <v>28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495</v>
      </c>
      <c r="B44" s="0" t="s">
        <v>41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497</v>
      </c>
      <c r="B45" s="0" t="s">
        <v>72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542</v>
      </c>
    </row>
    <row r="46" customFormat="false" ht="17.15" hidden="false" customHeight="false" outlineLevel="0" collapsed="false">
      <c r="A46" s="0" t="s">
        <v>498</v>
      </c>
      <c r="B46" s="0" t="s">
        <v>72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543</v>
      </c>
      <c r="B47" s="0" t="s">
        <v>167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544</v>
      </c>
    </row>
    <row r="48" customFormat="false" ht="17.15" hidden="false" customHeight="false" outlineLevel="0" collapsed="false">
      <c r="A48" s="5" t="s">
        <v>545</v>
      </c>
      <c r="B48" s="0" t="s">
        <v>500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546</v>
      </c>
    </row>
    <row r="49" customFormat="false" ht="17.15" hidden="false" customHeight="false" outlineLevel="0" collapsed="false">
      <c r="A49" s="5" t="s">
        <v>504</v>
      </c>
      <c r="B49" s="0" t="s">
        <v>500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547</v>
      </c>
    </row>
    <row r="50" customFormat="false" ht="17.15" hidden="false" customHeight="false" outlineLevel="0" collapsed="false">
      <c r="A50" s="1" t="s">
        <v>548</v>
      </c>
    </row>
    <row r="51" customFormat="false" ht="17.15" hidden="false" customHeight="false" outlineLevel="0" collapsed="false">
      <c r="A51" s="5" t="s">
        <v>549</v>
      </c>
      <c r="B51" s="0" t="s">
        <v>167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550</v>
      </c>
      <c r="B52" s="0" t="s">
        <v>167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551</v>
      </c>
      <c r="B53" s="0" t="s">
        <v>167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552</v>
      </c>
      <c r="B54" s="0" t="s">
        <v>167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553</v>
      </c>
      <c r="B55" s="0" t="s">
        <v>167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554</v>
      </c>
      <c r="B56" s="0" t="s">
        <v>167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555</v>
      </c>
    </row>
    <row r="57" customFormat="false" ht="17.15" hidden="false" customHeight="false" outlineLevel="0" collapsed="false">
      <c r="A57" s="5" t="s">
        <v>435</v>
      </c>
      <c r="B57" s="0" t="s">
        <v>167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556</v>
      </c>
    </row>
    <row r="58" customFormat="false" ht="15" hidden="false" customHeight="false" outlineLevel="0" collapsed="false">
      <c r="A58" s="5" t="s">
        <v>557</v>
      </c>
      <c r="B58" s="0" t="s">
        <v>72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558</v>
      </c>
      <c r="B59" s="0" t="s">
        <v>72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559</v>
      </c>
      <c r="B60" s="0" t="s">
        <v>72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560</v>
      </c>
    </row>
    <row r="62" customFormat="false" ht="15" hidden="false" customHeight="false" outlineLevel="0" collapsed="false">
      <c r="A62" s="5" t="s">
        <v>561</v>
      </c>
      <c r="B62" s="0" t="s">
        <v>167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562</v>
      </c>
      <c r="B63" s="0" t="s">
        <v>167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563</v>
      </c>
    </row>
    <row r="64" customFormat="false" ht="17.15" hidden="false" customHeight="false" outlineLevel="0" collapsed="false">
      <c r="A64" s="5" t="s">
        <v>564</v>
      </c>
      <c r="B64" s="0" t="s">
        <v>167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565</v>
      </c>
    </row>
    <row r="65" customFormat="false" ht="15" hidden="false" customHeight="false" outlineLevel="0" collapsed="false">
      <c r="A65" s="5" t="s">
        <v>566</v>
      </c>
      <c r="B65" s="0" t="s">
        <v>167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567</v>
      </c>
      <c r="B66" s="0" t="s">
        <v>167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568</v>
      </c>
      <c r="B67" s="0" t="s">
        <v>167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569</v>
      </c>
    </row>
    <row r="68" customFormat="false" ht="17.15" hidden="false" customHeight="false" outlineLevel="0" collapsed="false">
      <c r="A68" s="5" t="s">
        <v>570</v>
      </c>
      <c r="B68" s="0" t="s">
        <v>167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571</v>
      </c>
    </row>
    <row r="69" customFormat="false" ht="15" hidden="false" customHeight="false" outlineLevel="0" collapsed="false">
      <c r="A69" s="5" t="s">
        <v>449</v>
      </c>
      <c r="B69" s="0" t="s">
        <v>167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452</v>
      </c>
      <c r="B70" s="0" t="s">
        <v>72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572</v>
      </c>
      <c r="B71" s="0" t="s">
        <v>573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574</v>
      </c>
    </row>
    <row r="72" customFormat="false" ht="17.15" hidden="false" customHeight="false" outlineLevel="0" collapsed="false">
      <c r="A72" s="5" t="s">
        <v>454</v>
      </c>
      <c r="B72" s="0" t="s">
        <v>167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575</v>
      </c>
    </row>
    <row r="73" customFormat="false" ht="15" hidden="false" customHeight="false" outlineLevel="0" collapsed="false">
      <c r="A73" s="5" t="s">
        <v>457</v>
      </c>
      <c r="B73" s="0" t="s">
        <v>167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529</v>
      </c>
      <c r="B74" s="0" t="s">
        <v>72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576</v>
      </c>
      <c r="B75" s="0" t="s">
        <v>167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462</v>
      </c>
      <c r="B76" s="0" t="s">
        <v>167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463</v>
      </c>
      <c r="B77" s="0" t="s">
        <v>167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465</v>
      </c>
      <c r="B78" s="0" t="s">
        <v>167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467</v>
      </c>
      <c r="B79" s="0" t="s">
        <v>167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577</v>
      </c>
      <c r="B80" s="5" t="s">
        <v>301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471</v>
      </c>
      <c r="B81" s="0" t="s">
        <v>322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578</v>
      </c>
      <c r="B82" s="0" t="s">
        <v>72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579</v>
      </c>
      <c r="B83" s="0" t="s">
        <v>72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863</v>
      </c>
    </row>
    <row r="87" customFormat="false" ht="17.15" hidden="false" customHeight="false" outlineLevel="0" collapsed="false">
      <c r="A87" s="6" t="s">
        <v>17</v>
      </c>
      <c r="B87" s="6" t="s">
        <v>18</v>
      </c>
      <c r="C87" s="14" t="s">
        <v>428</v>
      </c>
      <c r="D87" s="14" t="s">
        <v>516</v>
      </c>
      <c r="E87" s="14" t="s">
        <v>517</v>
      </c>
      <c r="F87" s="14" t="s">
        <v>518</v>
      </c>
      <c r="G87" s="14" t="s">
        <v>519</v>
      </c>
      <c r="H87" s="14" t="s">
        <v>520</v>
      </c>
      <c r="I87" s="14" t="s">
        <v>521</v>
      </c>
      <c r="J87" s="14" t="s">
        <v>522</v>
      </c>
      <c r="K87" s="6" t="s">
        <v>492</v>
      </c>
    </row>
    <row r="88" customFormat="false" ht="17.15" hidden="false" customHeight="false" outlineLevel="0" collapsed="false">
      <c r="A88" s="1" t="s">
        <v>540</v>
      </c>
    </row>
    <row r="89" customFormat="false" ht="17.15" hidden="false" customHeight="false" outlineLevel="0" collapsed="false">
      <c r="A89" s="0" t="s">
        <v>541</v>
      </c>
      <c r="B89" s="5" t="s">
        <v>28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495</v>
      </c>
      <c r="B90" s="0" t="s">
        <v>41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497</v>
      </c>
      <c r="B91" s="0" t="s">
        <v>72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542</v>
      </c>
    </row>
    <row r="92" customFormat="false" ht="17.15" hidden="false" customHeight="false" outlineLevel="0" collapsed="false">
      <c r="A92" s="0" t="s">
        <v>498</v>
      </c>
      <c r="B92" s="0" t="s">
        <v>72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543</v>
      </c>
      <c r="B93" s="0" t="s">
        <v>167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544</v>
      </c>
    </row>
    <row r="94" customFormat="false" ht="17.15" hidden="false" customHeight="false" outlineLevel="0" collapsed="false">
      <c r="A94" s="5" t="s">
        <v>545</v>
      </c>
      <c r="B94" s="0" t="s">
        <v>500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546</v>
      </c>
    </row>
    <row r="95" customFormat="false" ht="17.15" hidden="false" customHeight="false" outlineLevel="0" collapsed="false">
      <c r="A95" s="5" t="s">
        <v>504</v>
      </c>
      <c r="B95" s="0" t="s">
        <v>500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547</v>
      </c>
    </row>
    <row r="96" customFormat="false" ht="17.15" hidden="false" customHeight="false" outlineLevel="0" collapsed="false">
      <c r="A96" s="1" t="s">
        <v>548</v>
      </c>
    </row>
    <row r="97" customFormat="false" ht="17.15" hidden="false" customHeight="false" outlineLevel="0" collapsed="false">
      <c r="A97" s="5" t="s">
        <v>549</v>
      </c>
      <c r="B97" s="0" t="s">
        <v>167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550</v>
      </c>
      <c r="B98" s="0" t="s">
        <v>167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551</v>
      </c>
      <c r="B99" s="0" t="s">
        <v>167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552</v>
      </c>
      <c r="B100" s="0" t="s">
        <v>167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553</v>
      </c>
      <c r="B101" s="0" t="s">
        <v>167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554</v>
      </c>
      <c r="B102" s="0" t="s">
        <v>167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555</v>
      </c>
    </row>
    <row r="103" customFormat="false" ht="17.15" hidden="false" customHeight="false" outlineLevel="0" collapsed="false">
      <c r="A103" s="5" t="s">
        <v>435</v>
      </c>
      <c r="B103" s="0" t="s">
        <v>167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556</v>
      </c>
    </row>
    <row r="104" customFormat="false" ht="15" hidden="false" customHeight="false" outlineLevel="0" collapsed="false">
      <c r="A104" s="5" t="s">
        <v>557</v>
      </c>
      <c r="B104" s="0" t="s">
        <v>72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558</v>
      </c>
      <c r="B105" s="0" t="s">
        <v>72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559</v>
      </c>
      <c r="B106" s="0" t="s">
        <v>72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560</v>
      </c>
    </row>
    <row r="108" customFormat="false" ht="15" hidden="false" customHeight="false" outlineLevel="0" collapsed="false">
      <c r="A108" s="5" t="s">
        <v>561</v>
      </c>
      <c r="B108" s="0" t="s">
        <v>167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562</v>
      </c>
      <c r="B109" s="0" t="s">
        <v>167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563</v>
      </c>
    </row>
    <row r="110" customFormat="false" ht="17.15" hidden="false" customHeight="false" outlineLevel="0" collapsed="false">
      <c r="A110" s="5" t="s">
        <v>564</v>
      </c>
      <c r="B110" s="0" t="s">
        <v>167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565</v>
      </c>
    </row>
    <row r="111" customFormat="false" ht="15" hidden="false" customHeight="false" outlineLevel="0" collapsed="false">
      <c r="A111" s="5" t="s">
        <v>566</v>
      </c>
      <c r="B111" s="0" t="s">
        <v>167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567</v>
      </c>
      <c r="B112" s="0" t="s">
        <v>167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568</v>
      </c>
      <c r="B113" s="0" t="s">
        <v>167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569</v>
      </c>
    </row>
    <row r="114" customFormat="false" ht="17.15" hidden="false" customHeight="false" outlineLevel="0" collapsed="false">
      <c r="A114" s="5" t="s">
        <v>570</v>
      </c>
      <c r="B114" s="0" t="s">
        <v>167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571</v>
      </c>
    </row>
    <row r="115" customFormat="false" ht="15" hidden="false" customHeight="false" outlineLevel="0" collapsed="false">
      <c r="A115" s="5" t="s">
        <v>449</v>
      </c>
      <c r="B115" s="0" t="s">
        <v>167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452</v>
      </c>
      <c r="B116" s="0" t="s">
        <v>72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572</v>
      </c>
      <c r="B117" s="0" t="s">
        <v>573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574</v>
      </c>
    </row>
    <row r="118" customFormat="false" ht="17.15" hidden="false" customHeight="false" outlineLevel="0" collapsed="false">
      <c r="A118" s="5" t="s">
        <v>454</v>
      </c>
      <c r="B118" s="0" t="s">
        <v>167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575</v>
      </c>
    </row>
    <row r="119" customFormat="false" ht="15" hidden="false" customHeight="false" outlineLevel="0" collapsed="false">
      <c r="A119" s="5" t="s">
        <v>457</v>
      </c>
      <c r="B119" s="0" t="s">
        <v>167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529</v>
      </c>
      <c r="B120" s="0" t="s">
        <v>72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576</v>
      </c>
      <c r="B121" s="0" t="s">
        <v>167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462</v>
      </c>
      <c r="B122" s="0" t="s">
        <v>167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463</v>
      </c>
      <c r="B123" s="0" t="s">
        <v>167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465</v>
      </c>
      <c r="B124" s="0" t="s">
        <v>167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467</v>
      </c>
      <c r="B125" s="0" t="s">
        <v>167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577</v>
      </c>
      <c r="B126" s="5" t="s">
        <v>301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471</v>
      </c>
      <c r="B127" s="0" t="s">
        <v>322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578</v>
      </c>
      <c r="B128" s="0" t="s">
        <v>72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579</v>
      </c>
      <c r="B129" s="0" t="s">
        <v>72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864</v>
      </c>
    </row>
    <row r="133" customFormat="false" ht="17.15" hidden="false" customHeight="false" outlineLevel="0" collapsed="false">
      <c r="A133" s="6" t="s">
        <v>17</v>
      </c>
      <c r="B133" s="6" t="s">
        <v>18</v>
      </c>
      <c r="C133" s="14" t="s">
        <v>428</v>
      </c>
      <c r="D133" s="14" t="s">
        <v>516</v>
      </c>
      <c r="E133" s="14" t="s">
        <v>517</v>
      </c>
      <c r="F133" s="14" t="s">
        <v>518</v>
      </c>
      <c r="G133" s="14" t="s">
        <v>519</v>
      </c>
      <c r="H133" s="14" t="s">
        <v>520</v>
      </c>
      <c r="I133" s="14" t="s">
        <v>521</v>
      </c>
      <c r="J133" s="14" t="s">
        <v>522</v>
      </c>
      <c r="K133" s="6" t="s">
        <v>492</v>
      </c>
    </row>
    <row r="134" customFormat="false" ht="17.15" hidden="false" customHeight="false" outlineLevel="0" collapsed="false">
      <c r="A134" s="1" t="s">
        <v>540</v>
      </c>
    </row>
    <row r="135" customFormat="false" ht="17.15" hidden="false" customHeight="false" outlineLevel="0" collapsed="false">
      <c r="A135" s="0" t="s">
        <v>541</v>
      </c>
      <c r="B135" s="5" t="s">
        <v>28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495</v>
      </c>
      <c r="B136" s="0" t="s">
        <v>41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497</v>
      </c>
      <c r="B137" s="0" t="s">
        <v>72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542</v>
      </c>
    </row>
    <row r="138" customFormat="false" ht="17.15" hidden="false" customHeight="false" outlineLevel="0" collapsed="false">
      <c r="A138" s="0" t="s">
        <v>498</v>
      </c>
      <c r="B138" s="0" t="s">
        <v>72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543</v>
      </c>
      <c r="B139" s="0" t="s">
        <v>167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544</v>
      </c>
    </row>
    <row r="140" customFormat="false" ht="17.15" hidden="false" customHeight="false" outlineLevel="0" collapsed="false">
      <c r="A140" s="5" t="s">
        <v>545</v>
      </c>
      <c r="B140" s="0" t="s">
        <v>500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546</v>
      </c>
    </row>
    <row r="141" customFormat="false" ht="17.15" hidden="false" customHeight="false" outlineLevel="0" collapsed="false">
      <c r="A141" s="5" t="s">
        <v>504</v>
      </c>
      <c r="B141" s="0" t="s">
        <v>500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547</v>
      </c>
    </row>
    <row r="142" customFormat="false" ht="17.15" hidden="false" customHeight="false" outlineLevel="0" collapsed="false">
      <c r="A142" s="1" t="s">
        <v>548</v>
      </c>
    </row>
    <row r="143" customFormat="false" ht="17.15" hidden="false" customHeight="false" outlineLevel="0" collapsed="false">
      <c r="A143" s="5" t="s">
        <v>549</v>
      </c>
      <c r="B143" s="0" t="s">
        <v>167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550</v>
      </c>
      <c r="B144" s="0" t="s">
        <v>167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551</v>
      </c>
      <c r="B145" s="0" t="s">
        <v>167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552</v>
      </c>
      <c r="B146" s="0" t="s">
        <v>167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553</v>
      </c>
      <c r="B147" s="0" t="s">
        <v>167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554</v>
      </c>
      <c r="B148" s="0" t="s">
        <v>167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555</v>
      </c>
    </row>
    <row r="149" customFormat="false" ht="17.15" hidden="false" customHeight="false" outlineLevel="0" collapsed="false">
      <c r="A149" s="5" t="s">
        <v>435</v>
      </c>
      <c r="B149" s="0" t="s">
        <v>167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556</v>
      </c>
    </row>
    <row r="150" customFormat="false" ht="15" hidden="false" customHeight="false" outlineLevel="0" collapsed="false">
      <c r="A150" s="5" t="s">
        <v>557</v>
      </c>
      <c r="B150" s="0" t="s">
        <v>72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558</v>
      </c>
      <c r="B151" s="0" t="s">
        <v>72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559</v>
      </c>
      <c r="B152" s="0" t="s">
        <v>72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560</v>
      </c>
    </row>
    <row r="154" customFormat="false" ht="15" hidden="false" customHeight="false" outlineLevel="0" collapsed="false">
      <c r="A154" s="5" t="s">
        <v>561</v>
      </c>
      <c r="B154" s="0" t="s">
        <v>167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562</v>
      </c>
      <c r="B155" s="0" t="s">
        <v>167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563</v>
      </c>
    </row>
    <row r="156" customFormat="false" ht="17.15" hidden="false" customHeight="false" outlineLevel="0" collapsed="false">
      <c r="A156" s="5" t="s">
        <v>564</v>
      </c>
      <c r="B156" s="0" t="s">
        <v>167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565</v>
      </c>
    </row>
    <row r="157" customFormat="false" ht="15" hidden="false" customHeight="false" outlineLevel="0" collapsed="false">
      <c r="A157" s="5" t="s">
        <v>566</v>
      </c>
      <c r="B157" s="0" t="s">
        <v>167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567</v>
      </c>
      <c r="B158" s="0" t="s">
        <v>167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568</v>
      </c>
      <c r="B159" s="0" t="s">
        <v>167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569</v>
      </c>
    </row>
    <row r="160" customFormat="false" ht="17.15" hidden="false" customHeight="false" outlineLevel="0" collapsed="false">
      <c r="A160" s="5" t="s">
        <v>570</v>
      </c>
      <c r="B160" s="0" t="s">
        <v>167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571</v>
      </c>
    </row>
    <row r="161" customFormat="false" ht="15" hidden="false" customHeight="false" outlineLevel="0" collapsed="false">
      <c r="A161" s="5" t="s">
        <v>449</v>
      </c>
      <c r="B161" s="0" t="s">
        <v>167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452</v>
      </c>
      <c r="B162" s="0" t="s">
        <v>72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572</v>
      </c>
      <c r="B163" s="0" t="s">
        <v>573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574</v>
      </c>
    </row>
    <row r="164" customFormat="false" ht="17.15" hidden="false" customHeight="false" outlineLevel="0" collapsed="false">
      <c r="A164" s="5" t="s">
        <v>454</v>
      </c>
      <c r="B164" s="0" t="s">
        <v>167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575</v>
      </c>
    </row>
    <row r="165" customFormat="false" ht="15" hidden="false" customHeight="false" outlineLevel="0" collapsed="false">
      <c r="A165" s="5" t="s">
        <v>457</v>
      </c>
      <c r="B165" s="0" t="s">
        <v>167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529</v>
      </c>
      <c r="B166" s="0" t="s">
        <v>72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576</v>
      </c>
      <c r="B167" s="0" t="s">
        <v>167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462</v>
      </c>
      <c r="B168" s="0" t="s">
        <v>167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463</v>
      </c>
      <c r="B169" s="0" t="s">
        <v>167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465</v>
      </c>
      <c r="B170" s="0" t="s">
        <v>167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467</v>
      </c>
      <c r="B171" s="0" t="s">
        <v>167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577</v>
      </c>
      <c r="B172" s="5" t="s">
        <v>301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471</v>
      </c>
      <c r="B173" s="0" t="s">
        <v>322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578</v>
      </c>
      <c r="B174" s="0" t="s">
        <v>72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579</v>
      </c>
      <c r="B175" s="0" t="s">
        <v>72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865</v>
      </c>
    </row>
    <row r="179" customFormat="false" ht="17.15" hidden="false" customHeight="false" outlineLevel="0" collapsed="false">
      <c r="A179" s="6" t="s">
        <v>17</v>
      </c>
      <c r="B179" s="6" t="s">
        <v>18</v>
      </c>
      <c r="C179" s="14" t="s">
        <v>428</v>
      </c>
      <c r="D179" s="14" t="s">
        <v>516</v>
      </c>
      <c r="E179" s="14" t="s">
        <v>517</v>
      </c>
      <c r="F179" s="14" t="s">
        <v>518</v>
      </c>
      <c r="G179" s="14" t="s">
        <v>519</v>
      </c>
      <c r="H179" s="14" t="s">
        <v>520</v>
      </c>
      <c r="I179" s="14" t="s">
        <v>521</v>
      </c>
      <c r="J179" s="14" t="s">
        <v>522</v>
      </c>
      <c r="K179" s="6" t="s">
        <v>492</v>
      </c>
    </row>
    <row r="180" customFormat="false" ht="17.15" hidden="false" customHeight="false" outlineLevel="0" collapsed="false">
      <c r="A180" s="1" t="s">
        <v>540</v>
      </c>
    </row>
    <row r="181" customFormat="false" ht="17.15" hidden="false" customHeight="false" outlineLevel="0" collapsed="false">
      <c r="A181" s="0" t="s">
        <v>541</v>
      </c>
      <c r="B181" s="5" t="s">
        <v>28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495</v>
      </c>
      <c r="B182" s="0" t="s">
        <v>41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497</v>
      </c>
      <c r="B183" s="0" t="s">
        <v>72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542</v>
      </c>
    </row>
    <row r="184" customFormat="false" ht="17.15" hidden="false" customHeight="false" outlineLevel="0" collapsed="false">
      <c r="A184" s="0" t="s">
        <v>498</v>
      </c>
      <c r="B184" s="0" t="s">
        <v>72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543</v>
      </c>
      <c r="B185" s="0" t="s">
        <v>167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544</v>
      </c>
    </row>
    <row r="186" customFormat="false" ht="17.15" hidden="false" customHeight="false" outlineLevel="0" collapsed="false">
      <c r="A186" s="5" t="s">
        <v>545</v>
      </c>
      <c r="B186" s="0" t="s">
        <v>500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546</v>
      </c>
    </row>
    <row r="187" customFormat="false" ht="17.15" hidden="false" customHeight="false" outlineLevel="0" collapsed="false">
      <c r="A187" s="5" t="s">
        <v>504</v>
      </c>
      <c r="B187" s="0" t="s">
        <v>500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547</v>
      </c>
    </row>
    <row r="188" customFormat="false" ht="17.15" hidden="false" customHeight="false" outlineLevel="0" collapsed="false">
      <c r="A188" s="1" t="s">
        <v>548</v>
      </c>
    </row>
    <row r="189" customFormat="false" ht="17.15" hidden="false" customHeight="false" outlineLevel="0" collapsed="false">
      <c r="A189" s="5" t="s">
        <v>549</v>
      </c>
      <c r="B189" s="0" t="s">
        <v>167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550</v>
      </c>
      <c r="B190" s="0" t="s">
        <v>167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551</v>
      </c>
      <c r="B191" s="0" t="s">
        <v>167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552</v>
      </c>
      <c r="B192" s="0" t="s">
        <v>167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553</v>
      </c>
      <c r="B193" s="0" t="s">
        <v>167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554</v>
      </c>
      <c r="B194" s="0" t="s">
        <v>167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555</v>
      </c>
    </row>
    <row r="195" customFormat="false" ht="17.15" hidden="false" customHeight="false" outlineLevel="0" collapsed="false">
      <c r="A195" s="5" t="s">
        <v>435</v>
      </c>
      <c r="B195" s="0" t="s">
        <v>167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556</v>
      </c>
    </row>
    <row r="196" customFormat="false" ht="15" hidden="false" customHeight="false" outlineLevel="0" collapsed="false">
      <c r="A196" s="5" t="s">
        <v>557</v>
      </c>
      <c r="B196" s="0" t="s">
        <v>72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558</v>
      </c>
      <c r="B197" s="0" t="s">
        <v>72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559</v>
      </c>
      <c r="B198" s="0" t="s">
        <v>72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560</v>
      </c>
    </row>
    <row r="200" customFormat="false" ht="15" hidden="false" customHeight="false" outlineLevel="0" collapsed="false">
      <c r="A200" s="5" t="s">
        <v>561</v>
      </c>
      <c r="B200" s="0" t="s">
        <v>167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562</v>
      </c>
      <c r="B201" s="0" t="s">
        <v>167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563</v>
      </c>
    </row>
    <row r="202" customFormat="false" ht="17.15" hidden="false" customHeight="false" outlineLevel="0" collapsed="false">
      <c r="A202" s="5" t="s">
        <v>564</v>
      </c>
      <c r="B202" s="0" t="s">
        <v>167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565</v>
      </c>
    </row>
    <row r="203" customFormat="false" ht="15" hidden="false" customHeight="false" outlineLevel="0" collapsed="false">
      <c r="A203" s="5" t="s">
        <v>566</v>
      </c>
      <c r="B203" s="0" t="s">
        <v>167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567</v>
      </c>
      <c r="B204" s="0" t="s">
        <v>167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568</v>
      </c>
      <c r="B205" s="0" t="s">
        <v>167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569</v>
      </c>
    </row>
    <row r="206" customFormat="false" ht="17.15" hidden="false" customHeight="false" outlineLevel="0" collapsed="false">
      <c r="A206" s="5" t="s">
        <v>570</v>
      </c>
      <c r="B206" s="0" t="s">
        <v>167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571</v>
      </c>
    </row>
    <row r="207" customFormat="false" ht="15" hidden="false" customHeight="false" outlineLevel="0" collapsed="false">
      <c r="A207" s="5" t="s">
        <v>449</v>
      </c>
      <c r="B207" s="0" t="s">
        <v>167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452</v>
      </c>
      <c r="B208" s="0" t="s">
        <v>72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572</v>
      </c>
      <c r="B209" s="0" t="s">
        <v>573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574</v>
      </c>
    </row>
    <row r="210" customFormat="false" ht="17.15" hidden="false" customHeight="false" outlineLevel="0" collapsed="false">
      <c r="A210" s="5" t="s">
        <v>454</v>
      </c>
      <c r="B210" s="0" t="s">
        <v>167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575</v>
      </c>
    </row>
    <row r="211" customFormat="false" ht="15" hidden="false" customHeight="false" outlineLevel="0" collapsed="false">
      <c r="A211" s="5" t="s">
        <v>457</v>
      </c>
      <c r="B211" s="0" t="s">
        <v>167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529</v>
      </c>
      <c r="B212" s="0" t="s">
        <v>72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576</v>
      </c>
      <c r="B213" s="0" t="s">
        <v>167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462</v>
      </c>
      <c r="B214" s="0" t="s">
        <v>167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463</v>
      </c>
      <c r="B215" s="0" t="s">
        <v>167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465</v>
      </c>
      <c r="B216" s="0" t="s">
        <v>167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467</v>
      </c>
      <c r="B217" s="0" t="s">
        <v>167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577</v>
      </c>
      <c r="B218" s="5" t="s">
        <v>301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471</v>
      </c>
      <c r="B219" s="0" t="s">
        <v>322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578</v>
      </c>
      <c r="B220" s="0" t="s">
        <v>72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579</v>
      </c>
      <c r="B221" s="0" t="s">
        <v>72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866</v>
      </c>
    </row>
    <row r="225" customFormat="false" ht="17.15" hidden="false" customHeight="false" outlineLevel="0" collapsed="false">
      <c r="A225" s="6" t="s">
        <v>17</v>
      </c>
      <c r="B225" s="6" t="s">
        <v>18</v>
      </c>
      <c r="C225" s="14" t="s">
        <v>428</v>
      </c>
      <c r="D225" s="14" t="s">
        <v>516</v>
      </c>
      <c r="E225" s="14" t="s">
        <v>517</v>
      </c>
      <c r="F225" s="14" t="s">
        <v>518</v>
      </c>
      <c r="G225" s="14" t="s">
        <v>519</v>
      </c>
      <c r="H225" s="14" t="s">
        <v>520</v>
      </c>
      <c r="I225" s="14" t="s">
        <v>521</v>
      </c>
      <c r="J225" s="14" t="s">
        <v>522</v>
      </c>
      <c r="K225" s="6" t="s">
        <v>492</v>
      </c>
    </row>
    <row r="226" customFormat="false" ht="17.15" hidden="false" customHeight="false" outlineLevel="0" collapsed="false">
      <c r="A226" s="1" t="s">
        <v>540</v>
      </c>
    </row>
    <row r="227" customFormat="false" ht="17.15" hidden="false" customHeight="false" outlineLevel="0" collapsed="false">
      <c r="A227" s="0" t="s">
        <v>541</v>
      </c>
      <c r="B227" s="5" t="s">
        <v>28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495</v>
      </c>
      <c r="B228" s="0" t="s">
        <v>41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497</v>
      </c>
      <c r="B229" s="0" t="s">
        <v>72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542</v>
      </c>
    </row>
    <row r="230" customFormat="false" ht="17.15" hidden="false" customHeight="false" outlineLevel="0" collapsed="false">
      <c r="A230" s="0" t="s">
        <v>498</v>
      </c>
      <c r="B230" s="0" t="s">
        <v>72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543</v>
      </c>
      <c r="B231" s="0" t="s">
        <v>167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544</v>
      </c>
    </row>
    <row r="232" customFormat="false" ht="17.15" hidden="false" customHeight="false" outlineLevel="0" collapsed="false">
      <c r="A232" s="5" t="s">
        <v>545</v>
      </c>
      <c r="B232" s="0" t="s">
        <v>500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546</v>
      </c>
    </row>
    <row r="233" customFormat="false" ht="17.15" hidden="false" customHeight="false" outlineLevel="0" collapsed="false">
      <c r="A233" s="5" t="s">
        <v>504</v>
      </c>
      <c r="B233" s="0" t="s">
        <v>500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547</v>
      </c>
    </row>
    <row r="234" customFormat="false" ht="17.15" hidden="false" customHeight="false" outlineLevel="0" collapsed="false">
      <c r="A234" s="1" t="s">
        <v>548</v>
      </c>
    </row>
    <row r="235" customFormat="false" ht="17.15" hidden="false" customHeight="false" outlineLevel="0" collapsed="false">
      <c r="A235" s="5" t="s">
        <v>549</v>
      </c>
      <c r="B235" s="0" t="s">
        <v>167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550</v>
      </c>
      <c r="B236" s="0" t="s">
        <v>167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551</v>
      </c>
      <c r="B237" s="0" t="s">
        <v>167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552</v>
      </c>
      <c r="B238" s="0" t="s">
        <v>167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553</v>
      </c>
      <c r="B239" s="0" t="s">
        <v>167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554</v>
      </c>
      <c r="B240" s="0" t="s">
        <v>167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555</v>
      </c>
    </row>
    <row r="241" customFormat="false" ht="17.15" hidden="false" customHeight="false" outlineLevel="0" collapsed="false">
      <c r="A241" s="5" t="s">
        <v>435</v>
      </c>
      <c r="B241" s="0" t="s">
        <v>167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556</v>
      </c>
    </row>
    <row r="242" customFormat="false" ht="15" hidden="false" customHeight="false" outlineLevel="0" collapsed="false">
      <c r="A242" s="5" t="s">
        <v>557</v>
      </c>
      <c r="B242" s="0" t="s">
        <v>72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558</v>
      </c>
      <c r="B243" s="0" t="s">
        <v>72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559</v>
      </c>
      <c r="B244" s="0" t="s">
        <v>72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560</v>
      </c>
    </row>
    <row r="246" customFormat="false" ht="15" hidden="false" customHeight="false" outlineLevel="0" collapsed="false">
      <c r="A246" s="5" t="s">
        <v>561</v>
      </c>
      <c r="B246" s="0" t="s">
        <v>167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562</v>
      </c>
      <c r="B247" s="0" t="s">
        <v>167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563</v>
      </c>
    </row>
    <row r="248" customFormat="false" ht="17.15" hidden="false" customHeight="false" outlineLevel="0" collapsed="false">
      <c r="A248" s="5" t="s">
        <v>564</v>
      </c>
      <c r="B248" s="0" t="s">
        <v>167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565</v>
      </c>
    </row>
    <row r="249" customFormat="false" ht="15" hidden="false" customHeight="false" outlineLevel="0" collapsed="false">
      <c r="A249" s="5" t="s">
        <v>566</v>
      </c>
      <c r="B249" s="0" t="s">
        <v>167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567</v>
      </c>
      <c r="B250" s="0" t="s">
        <v>167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568</v>
      </c>
      <c r="B251" s="0" t="s">
        <v>167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569</v>
      </c>
    </row>
    <row r="252" customFormat="false" ht="17.15" hidden="false" customHeight="false" outlineLevel="0" collapsed="false">
      <c r="A252" s="5" t="s">
        <v>570</v>
      </c>
      <c r="B252" s="0" t="s">
        <v>167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571</v>
      </c>
    </row>
    <row r="253" customFormat="false" ht="15" hidden="false" customHeight="false" outlineLevel="0" collapsed="false">
      <c r="A253" s="5" t="s">
        <v>449</v>
      </c>
      <c r="B253" s="0" t="s">
        <v>167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452</v>
      </c>
      <c r="B254" s="0" t="s">
        <v>72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572</v>
      </c>
      <c r="B255" s="0" t="s">
        <v>573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574</v>
      </c>
    </row>
    <row r="256" customFormat="false" ht="17.15" hidden="false" customHeight="false" outlineLevel="0" collapsed="false">
      <c r="A256" s="5" t="s">
        <v>454</v>
      </c>
      <c r="B256" s="0" t="s">
        <v>167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575</v>
      </c>
    </row>
    <row r="257" customFormat="false" ht="15" hidden="false" customHeight="false" outlineLevel="0" collapsed="false">
      <c r="A257" s="5" t="s">
        <v>457</v>
      </c>
      <c r="B257" s="0" t="s">
        <v>167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529</v>
      </c>
      <c r="B258" s="0" t="s">
        <v>72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576</v>
      </c>
      <c r="B259" s="0" t="s">
        <v>167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462</v>
      </c>
      <c r="B260" s="0" t="s">
        <v>167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463</v>
      </c>
      <c r="B261" s="0" t="s">
        <v>167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465</v>
      </c>
      <c r="B262" s="0" t="s">
        <v>167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467</v>
      </c>
      <c r="B263" s="0" t="s">
        <v>167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577</v>
      </c>
      <c r="B264" s="5" t="s">
        <v>301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471</v>
      </c>
      <c r="B265" s="0" t="s">
        <v>322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578</v>
      </c>
      <c r="B266" s="0" t="s">
        <v>72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579</v>
      </c>
      <c r="B267" s="0" t="s">
        <v>72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867</v>
      </c>
    </row>
    <row r="271" customFormat="false" ht="17.15" hidden="false" customHeight="false" outlineLevel="0" collapsed="false">
      <c r="A271" s="6" t="s">
        <v>17</v>
      </c>
      <c r="B271" s="6" t="s">
        <v>18</v>
      </c>
      <c r="C271" s="14" t="s">
        <v>428</v>
      </c>
      <c r="D271" s="14" t="s">
        <v>516</v>
      </c>
      <c r="E271" s="14" t="s">
        <v>517</v>
      </c>
      <c r="F271" s="14" t="s">
        <v>518</v>
      </c>
      <c r="G271" s="14" t="s">
        <v>519</v>
      </c>
      <c r="H271" s="14" t="s">
        <v>520</v>
      </c>
      <c r="I271" s="14" t="s">
        <v>521</v>
      </c>
      <c r="J271" s="14" t="s">
        <v>522</v>
      </c>
      <c r="K271" s="6" t="s">
        <v>492</v>
      </c>
    </row>
    <row r="272" customFormat="false" ht="17.15" hidden="false" customHeight="false" outlineLevel="0" collapsed="false">
      <c r="A272" s="1" t="s">
        <v>540</v>
      </c>
    </row>
    <row r="273" customFormat="false" ht="17.15" hidden="false" customHeight="false" outlineLevel="0" collapsed="false">
      <c r="A273" s="0" t="s">
        <v>541</v>
      </c>
      <c r="B273" s="5" t="s">
        <v>28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495</v>
      </c>
      <c r="B274" s="0" t="s">
        <v>41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497</v>
      </c>
      <c r="B275" s="0" t="s">
        <v>72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542</v>
      </c>
    </row>
    <row r="276" customFormat="false" ht="17.15" hidden="false" customHeight="false" outlineLevel="0" collapsed="false">
      <c r="A276" s="0" t="s">
        <v>498</v>
      </c>
      <c r="B276" s="0" t="s">
        <v>72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543</v>
      </c>
      <c r="B277" s="0" t="s">
        <v>167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544</v>
      </c>
    </row>
    <row r="278" customFormat="false" ht="17.15" hidden="false" customHeight="false" outlineLevel="0" collapsed="false">
      <c r="A278" s="5" t="s">
        <v>545</v>
      </c>
      <c r="B278" s="0" t="s">
        <v>500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546</v>
      </c>
    </row>
    <row r="279" customFormat="false" ht="17.15" hidden="false" customHeight="false" outlineLevel="0" collapsed="false">
      <c r="A279" s="5" t="s">
        <v>504</v>
      </c>
      <c r="B279" s="0" t="s">
        <v>500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547</v>
      </c>
    </row>
    <row r="280" customFormat="false" ht="17.15" hidden="false" customHeight="false" outlineLevel="0" collapsed="false">
      <c r="A280" s="1" t="s">
        <v>548</v>
      </c>
    </row>
    <row r="281" customFormat="false" ht="17.15" hidden="false" customHeight="false" outlineLevel="0" collapsed="false">
      <c r="A281" s="5" t="s">
        <v>549</v>
      </c>
      <c r="B281" s="0" t="s">
        <v>167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550</v>
      </c>
      <c r="B282" s="0" t="s">
        <v>167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551</v>
      </c>
      <c r="B283" s="0" t="s">
        <v>167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552</v>
      </c>
      <c r="B284" s="0" t="s">
        <v>167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553</v>
      </c>
      <c r="B285" s="0" t="s">
        <v>167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554</v>
      </c>
      <c r="B286" s="0" t="s">
        <v>167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555</v>
      </c>
    </row>
    <row r="287" customFormat="false" ht="17.15" hidden="false" customHeight="false" outlineLevel="0" collapsed="false">
      <c r="A287" s="5" t="s">
        <v>435</v>
      </c>
      <c r="B287" s="0" t="s">
        <v>167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556</v>
      </c>
    </row>
    <row r="288" customFormat="false" ht="15" hidden="false" customHeight="false" outlineLevel="0" collapsed="false">
      <c r="A288" s="5" t="s">
        <v>557</v>
      </c>
      <c r="B288" s="0" t="s">
        <v>72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558</v>
      </c>
      <c r="B289" s="0" t="s">
        <v>72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559</v>
      </c>
      <c r="B290" s="0" t="s">
        <v>72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560</v>
      </c>
    </row>
    <row r="292" customFormat="false" ht="15" hidden="false" customHeight="false" outlineLevel="0" collapsed="false">
      <c r="A292" s="5" t="s">
        <v>561</v>
      </c>
      <c r="B292" s="0" t="s">
        <v>167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562</v>
      </c>
      <c r="B293" s="0" t="s">
        <v>167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563</v>
      </c>
    </row>
    <row r="294" customFormat="false" ht="17.15" hidden="false" customHeight="false" outlineLevel="0" collapsed="false">
      <c r="A294" s="5" t="s">
        <v>564</v>
      </c>
      <c r="B294" s="0" t="s">
        <v>167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565</v>
      </c>
    </row>
    <row r="295" customFormat="false" ht="15" hidden="false" customHeight="false" outlineLevel="0" collapsed="false">
      <c r="A295" s="5" t="s">
        <v>566</v>
      </c>
      <c r="B295" s="0" t="s">
        <v>167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567</v>
      </c>
      <c r="B296" s="0" t="s">
        <v>167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568</v>
      </c>
      <c r="B297" s="0" t="s">
        <v>167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569</v>
      </c>
    </row>
    <row r="298" customFormat="false" ht="17.15" hidden="false" customHeight="false" outlineLevel="0" collapsed="false">
      <c r="A298" s="5" t="s">
        <v>570</v>
      </c>
      <c r="B298" s="0" t="s">
        <v>167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571</v>
      </c>
    </row>
    <row r="299" customFormat="false" ht="15" hidden="false" customHeight="false" outlineLevel="0" collapsed="false">
      <c r="A299" s="5" t="s">
        <v>449</v>
      </c>
      <c r="B299" s="0" t="s">
        <v>167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452</v>
      </c>
      <c r="B300" s="0" t="s">
        <v>72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572</v>
      </c>
      <c r="B301" s="0" t="s">
        <v>573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574</v>
      </c>
    </row>
    <row r="302" customFormat="false" ht="17.15" hidden="false" customHeight="false" outlineLevel="0" collapsed="false">
      <c r="A302" s="5" t="s">
        <v>454</v>
      </c>
      <c r="B302" s="0" t="s">
        <v>167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575</v>
      </c>
    </row>
    <row r="303" customFormat="false" ht="15" hidden="false" customHeight="false" outlineLevel="0" collapsed="false">
      <c r="A303" s="5" t="s">
        <v>457</v>
      </c>
      <c r="B303" s="0" t="s">
        <v>167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529</v>
      </c>
      <c r="B304" s="0" t="s">
        <v>72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576</v>
      </c>
      <c r="B305" s="0" t="s">
        <v>167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462</v>
      </c>
      <c r="B306" s="0" t="s">
        <v>167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463</v>
      </c>
      <c r="B307" s="0" t="s">
        <v>167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465</v>
      </c>
      <c r="B308" s="0" t="s">
        <v>167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467</v>
      </c>
      <c r="B309" s="0" t="s">
        <v>167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577</v>
      </c>
      <c r="B310" s="5" t="s">
        <v>301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471</v>
      </c>
      <c r="B311" s="0" t="s">
        <v>322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578</v>
      </c>
      <c r="B312" s="0" t="s">
        <v>72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579</v>
      </c>
      <c r="B313" s="0" t="s">
        <v>72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868</v>
      </c>
    </row>
    <row r="317" customFormat="false" ht="17.15" hidden="false" customHeight="false" outlineLevel="0" collapsed="false">
      <c r="A317" s="6" t="s">
        <v>17</v>
      </c>
      <c r="B317" s="6" t="s">
        <v>18</v>
      </c>
      <c r="C317" s="14" t="s">
        <v>428</v>
      </c>
      <c r="D317" s="14" t="s">
        <v>516</v>
      </c>
      <c r="E317" s="14" t="s">
        <v>517</v>
      </c>
      <c r="F317" s="14" t="s">
        <v>518</v>
      </c>
      <c r="G317" s="14" t="s">
        <v>519</v>
      </c>
      <c r="H317" s="14" t="s">
        <v>520</v>
      </c>
      <c r="I317" s="14" t="s">
        <v>521</v>
      </c>
      <c r="J317" s="14" t="s">
        <v>522</v>
      </c>
      <c r="K317" s="6" t="s">
        <v>492</v>
      </c>
    </row>
    <row r="318" customFormat="false" ht="17.15" hidden="false" customHeight="false" outlineLevel="0" collapsed="false">
      <c r="A318" s="1" t="s">
        <v>540</v>
      </c>
    </row>
    <row r="319" customFormat="false" ht="17.15" hidden="false" customHeight="false" outlineLevel="0" collapsed="false">
      <c r="A319" s="0" t="s">
        <v>541</v>
      </c>
      <c r="B319" s="5" t="s">
        <v>28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495</v>
      </c>
      <c r="B320" s="0" t="s">
        <v>41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497</v>
      </c>
      <c r="B321" s="0" t="s">
        <v>72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542</v>
      </c>
    </row>
    <row r="322" customFormat="false" ht="17.15" hidden="false" customHeight="false" outlineLevel="0" collapsed="false">
      <c r="A322" s="0" t="s">
        <v>498</v>
      </c>
      <c r="B322" s="0" t="s">
        <v>72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543</v>
      </c>
      <c r="B323" s="0" t="s">
        <v>167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544</v>
      </c>
    </row>
    <row r="324" customFormat="false" ht="17.15" hidden="false" customHeight="false" outlineLevel="0" collapsed="false">
      <c r="A324" s="5" t="s">
        <v>545</v>
      </c>
      <c r="B324" s="0" t="s">
        <v>500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546</v>
      </c>
    </row>
    <row r="325" customFormat="false" ht="17.15" hidden="false" customHeight="false" outlineLevel="0" collapsed="false">
      <c r="A325" s="5" t="s">
        <v>504</v>
      </c>
      <c r="B325" s="0" t="s">
        <v>500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547</v>
      </c>
    </row>
    <row r="326" customFormat="false" ht="17.15" hidden="false" customHeight="false" outlineLevel="0" collapsed="false">
      <c r="A326" s="1" t="s">
        <v>548</v>
      </c>
    </row>
    <row r="327" customFormat="false" ht="17.15" hidden="false" customHeight="false" outlineLevel="0" collapsed="false">
      <c r="A327" s="5" t="s">
        <v>549</v>
      </c>
      <c r="B327" s="0" t="s">
        <v>167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550</v>
      </c>
      <c r="B328" s="0" t="s">
        <v>167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551</v>
      </c>
      <c r="B329" s="0" t="s">
        <v>167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552</v>
      </c>
      <c r="B330" s="0" t="s">
        <v>167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553</v>
      </c>
      <c r="B331" s="0" t="s">
        <v>167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554</v>
      </c>
      <c r="B332" s="0" t="s">
        <v>167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555</v>
      </c>
    </row>
    <row r="333" customFormat="false" ht="17.15" hidden="false" customHeight="false" outlineLevel="0" collapsed="false">
      <c r="A333" s="5" t="s">
        <v>435</v>
      </c>
      <c r="B333" s="0" t="s">
        <v>167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556</v>
      </c>
    </row>
    <row r="334" customFormat="false" ht="15" hidden="false" customHeight="false" outlineLevel="0" collapsed="false">
      <c r="A334" s="5" t="s">
        <v>557</v>
      </c>
      <c r="B334" s="0" t="s">
        <v>72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558</v>
      </c>
      <c r="B335" s="0" t="s">
        <v>72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559</v>
      </c>
      <c r="B336" s="0" t="s">
        <v>72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560</v>
      </c>
    </row>
    <row r="338" customFormat="false" ht="15" hidden="false" customHeight="false" outlineLevel="0" collapsed="false">
      <c r="A338" s="5" t="s">
        <v>561</v>
      </c>
      <c r="B338" s="0" t="s">
        <v>167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562</v>
      </c>
      <c r="B339" s="0" t="s">
        <v>167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563</v>
      </c>
    </row>
    <row r="340" customFormat="false" ht="17.15" hidden="false" customHeight="false" outlineLevel="0" collapsed="false">
      <c r="A340" s="5" t="s">
        <v>564</v>
      </c>
      <c r="B340" s="0" t="s">
        <v>167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565</v>
      </c>
    </row>
    <row r="341" customFormat="false" ht="15" hidden="false" customHeight="false" outlineLevel="0" collapsed="false">
      <c r="A341" s="5" t="s">
        <v>566</v>
      </c>
      <c r="B341" s="0" t="s">
        <v>167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567</v>
      </c>
      <c r="B342" s="0" t="s">
        <v>167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568</v>
      </c>
      <c r="B343" s="0" t="s">
        <v>167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569</v>
      </c>
    </row>
    <row r="344" customFormat="false" ht="17.15" hidden="false" customHeight="false" outlineLevel="0" collapsed="false">
      <c r="A344" s="5" t="s">
        <v>570</v>
      </c>
      <c r="B344" s="0" t="s">
        <v>167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571</v>
      </c>
    </row>
    <row r="345" customFormat="false" ht="15" hidden="false" customHeight="false" outlineLevel="0" collapsed="false">
      <c r="A345" s="5" t="s">
        <v>449</v>
      </c>
      <c r="B345" s="0" t="s">
        <v>167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452</v>
      </c>
      <c r="B346" s="0" t="s">
        <v>72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572</v>
      </c>
      <c r="B347" s="0" t="s">
        <v>573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574</v>
      </c>
    </row>
    <row r="348" customFormat="false" ht="17.15" hidden="false" customHeight="false" outlineLevel="0" collapsed="false">
      <c r="A348" s="5" t="s">
        <v>454</v>
      </c>
      <c r="B348" s="0" t="s">
        <v>167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575</v>
      </c>
    </row>
    <row r="349" customFormat="false" ht="15" hidden="false" customHeight="false" outlineLevel="0" collapsed="false">
      <c r="A349" s="5" t="s">
        <v>457</v>
      </c>
      <c r="B349" s="0" t="s">
        <v>167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529</v>
      </c>
      <c r="B350" s="0" t="s">
        <v>72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576</v>
      </c>
      <c r="B351" s="0" t="s">
        <v>167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462</v>
      </c>
      <c r="B352" s="0" t="s">
        <v>167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463</v>
      </c>
      <c r="B353" s="0" t="s">
        <v>167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465</v>
      </c>
      <c r="B354" s="0" t="s">
        <v>167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467</v>
      </c>
      <c r="B355" s="0" t="s">
        <v>167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577</v>
      </c>
      <c r="B356" s="5" t="s">
        <v>301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471</v>
      </c>
      <c r="B357" s="0" t="s">
        <v>322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578</v>
      </c>
      <c r="B358" s="0" t="s">
        <v>72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579</v>
      </c>
      <c r="B359" s="0" t="s">
        <v>72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869</v>
      </c>
    </row>
    <row r="363" customFormat="false" ht="17.15" hidden="false" customHeight="false" outlineLevel="0" collapsed="false">
      <c r="A363" s="6" t="s">
        <v>17</v>
      </c>
      <c r="B363" s="6" t="s">
        <v>18</v>
      </c>
      <c r="C363" s="14" t="s">
        <v>428</v>
      </c>
      <c r="D363" s="14" t="s">
        <v>516</v>
      </c>
      <c r="E363" s="14" t="s">
        <v>517</v>
      </c>
      <c r="F363" s="14" t="s">
        <v>518</v>
      </c>
      <c r="G363" s="14" t="s">
        <v>519</v>
      </c>
      <c r="H363" s="14" t="s">
        <v>520</v>
      </c>
      <c r="I363" s="14" t="s">
        <v>521</v>
      </c>
      <c r="J363" s="14" t="s">
        <v>522</v>
      </c>
      <c r="K363" s="6" t="s">
        <v>492</v>
      </c>
    </row>
    <row r="364" customFormat="false" ht="17.15" hidden="false" customHeight="false" outlineLevel="0" collapsed="false">
      <c r="A364" s="1" t="s">
        <v>540</v>
      </c>
    </row>
    <row r="365" customFormat="false" ht="17.15" hidden="false" customHeight="false" outlineLevel="0" collapsed="false">
      <c r="A365" s="0" t="s">
        <v>541</v>
      </c>
      <c r="B365" s="5" t="s">
        <v>28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495</v>
      </c>
      <c r="B366" s="0" t="s">
        <v>41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497</v>
      </c>
      <c r="B367" s="0" t="s">
        <v>72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542</v>
      </c>
    </row>
    <row r="368" customFormat="false" ht="17.15" hidden="false" customHeight="false" outlineLevel="0" collapsed="false">
      <c r="A368" s="0" t="s">
        <v>498</v>
      </c>
      <c r="B368" s="0" t="s">
        <v>72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543</v>
      </c>
      <c r="B369" s="0" t="s">
        <v>167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544</v>
      </c>
    </row>
    <row r="370" customFormat="false" ht="17.15" hidden="false" customHeight="false" outlineLevel="0" collapsed="false">
      <c r="A370" s="5" t="s">
        <v>545</v>
      </c>
      <c r="B370" s="0" t="s">
        <v>500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546</v>
      </c>
    </row>
    <row r="371" customFormat="false" ht="17.15" hidden="false" customHeight="false" outlineLevel="0" collapsed="false">
      <c r="A371" s="5" t="s">
        <v>504</v>
      </c>
      <c r="B371" s="0" t="s">
        <v>500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547</v>
      </c>
    </row>
    <row r="372" customFormat="false" ht="17.15" hidden="false" customHeight="false" outlineLevel="0" collapsed="false">
      <c r="A372" s="1" t="s">
        <v>548</v>
      </c>
    </row>
    <row r="373" customFormat="false" ht="17.15" hidden="false" customHeight="false" outlineLevel="0" collapsed="false">
      <c r="A373" s="5" t="s">
        <v>549</v>
      </c>
      <c r="B373" s="0" t="s">
        <v>167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550</v>
      </c>
      <c r="B374" s="0" t="s">
        <v>167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551</v>
      </c>
      <c r="B375" s="0" t="s">
        <v>167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552</v>
      </c>
      <c r="B376" s="0" t="s">
        <v>167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553</v>
      </c>
      <c r="B377" s="0" t="s">
        <v>167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554</v>
      </c>
      <c r="B378" s="0" t="s">
        <v>167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555</v>
      </c>
    </row>
    <row r="379" customFormat="false" ht="17.15" hidden="false" customHeight="false" outlineLevel="0" collapsed="false">
      <c r="A379" s="5" t="s">
        <v>435</v>
      </c>
      <c r="B379" s="0" t="s">
        <v>167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556</v>
      </c>
    </row>
    <row r="380" customFormat="false" ht="15" hidden="false" customHeight="false" outlineLevel="0" collapsed="false">
      <c r="A380" s="5" t="s">
        <v>557</v>
      </c>
      <c r="B380" s="0" t="s">
        <v>72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558</v>
      </c>
      <c r="B381" s="0" t="s">
        <v>72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559</v>
      </c>
      <c r="B382" s="0" t="s">
        <v>72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560</v>
      </c>
    </row>
    <row r="384" customFormat="false" ht="15" hidden="false" customHeight="false" outlineLevel="0" collapsed="false">
      <c r="A384" s="5" t="s">
        <v>561</v>
      </c>
      <c r="B384" s="0" t="s">
        <v>167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562</v>
      </c>
      <c r="B385" s="0" t="s">
        <v>167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563</v>
      </c>
    </row>
    <row r="386" customFormat="false" ht="17.15" hidden="false" customHeight="false" outlineLevel="0" collapsed="false">
      <c r="A386" s="5" t="s">
        <v>564</v>
      </c>
      <c r="B386" s="0" t="s">
        <v>167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565</v>
      </c>
    </row>
    <row r="387" customFormat="false" ht="15" hidden="false" customHeight="false" outlineLevel="0" collapsed="false">
      <c r="A387" s="5" t="s">
        <v>566</v>
      </c>
      <c r="B387" s="0" t="s">
        <v>167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567</v>
      </c>
      <c r="B388" s="0" t="s">
        <v>167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568</v>
      </c>
      <c r="B389" s="0" t="s">
        <v>167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569</v>
      </c>
    </row>
    <row r="390" customFormat="false" ht="17.15" hidden="false" customHeight="false" outlineLevel="0" collapsed="false">
      <c r="A390" s="5" t="s">
        <v>570</v>
      </c>
      <c r="B390" s="0" t="s">
        <v>167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571</v>
      </c>
    </row>
    <row r="391" customFormat="false" ht="15" hidden="false" customHeight="false" outlineLevel="0" collapsed="false">
      <c r="A391" s="5" t="s">
        <v>449</v>
      </c>
      <c r="B391" s="0" t="s">
        <v>167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452</v>
      </c>
      <c r="B392" s="0" t="s">
        <v>72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572</v>
      </c>
      <c r="B393" s="0" t="s">
        <v>573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574</v>
      </c>
    </row>
    <row r="394" customFormat="false" ht="17.15" hidden="false" customHeight="false" outlineLevel="0" collapsed="false">
      <c r="A394" s="5" t="s">
        <v>454</v>
      </c>
      <c r="B394" s="0" t="s">
        <v>167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575</v>
      </c>
    </row>
    <row r="395" customFormat="false" ht="15" hidden="false" customHeight="false" outlineLevel="0" collapsed="false">
      <c r="A395" s="5" t="s">
        <v>457</v>
      </c>
      <c r="B395" s="0" t="s">
        <v>167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529</v>
      </c>
      <c r="B396" s="0" t="s">
        <v>72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576</v>
      </c>
      <c r="B397" s="0" t="s">
        <v>167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462</v>
      </c>
      <c r="B398" s="0" t="s">
        <v>167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463</v>
      </c>
      <c r="B399" s="0" t="s">
        <v>167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465</v>
      </c>
      <c r="B400" s="0" t="s">
        <v>167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467</v>
      </c>
      <c r="B401" s="0" t="s">
        <v>167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577</v>
      </c>
      <c r="B402" s="5" t="s">
        <v>301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471</v>
      </c>
      <c r="B403" s="0" t="s">
        <v>322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578</v>
      </c>
      <c r="B404" s="0" t="s">
        <v>72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579</v>
      </c>
      <c r="B405" s="0" t="s">
        <v>72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870</v>
      </c>
    </row>
    <row r="409" customFormat="false" ht="17.15" hidden="false" customHeight="false" outlineLevel="0" collapsed="false">
      <c r="A409" s="6" t="s">
        <v>17</v>
      </c>
      <c r="B409" s="6" t="s">
        <v>18</v>
      </c>
      <c r="C409" s="14" t="s">
        <v>428</v>
      </c>
      <c r="D409" s="14" t="s">
        <v>516</v>
      </c>
      <c r="E409" s="14" t="s">
        <v>517</v>
      </c>
      <c r="F409" s="14" t="s">
        <v>518</v>
      </c>
      <c r="G409" s="14" t="s">
        <v>519</v>
      </c>
      <c r="H409" s="14" t="s">
        <v>520</v>
      </c>
      <c r="I409" s="14" t="s">
        <v>521</v>
      </c>
      <c r="J409" s="14" t="s">
        <v>522</v>
      </c>
      <c r="K409" s="6" t="s">
        <v>492</v>
      </c>
    </row>
    <row r="410" customFormat="false" ht="17.15" hidden="false" customHeight="false" outlineLevel="0" collapsed="false">
      <c r="A410" s="1" t="s">
        <v>540</v>
      </c>
    </row>
    <row r="411" customFormat="false" ht="17.15" hidden="false" customHeight="false" outlineLevel="0" collapsed="false">
      <c r="A411" s="0" t="s">
        <v>541</v>
      </c>
      <c r="B411" s="5" t="s">
        <v>28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495</v>
      </c>
      <c r="B412" s="0" t="s">
        <v>41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497</v>
      </c>
      <c r="B413" s="0" t="s">
        <v>72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542</v>
      </c>
    </row>
    <row r="414" customFormat="false" ht="17.15" hidden="false" customHeight="false" outlineLevel="0" collapsed="false">
      <c r="A414" s="0" t="s">
        <v>498</v>
      </c>
      <c r="B414" s="0" t="s">
        <v>72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543</v>
      </c>
      <c r="B415" s="0" t="s">
        <v>167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544</v>
      </c>
    </row>
    <row r="416" customFormat="false" ht="17.15" hidden="false" customHeight="false" outlineLevel="0" collapsed="false">
      <c r="A416" s="5" t="s">
        <v>545</v>
      </c>
      <c r="B416" s="0" t="s">
        <v>500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546</v>
      </c>
    </row>
    <row r="417" customFormat="false" ht="17.15" hidden="false" customHeight="false" outlineLevel="0" collapsed="false">
      <c r="A417" s="5" t="s">
        <v>504</v>
      </c>
      <c r="B417" s="0" t="s">
        <v>500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547</v>
      </c>
    </row>
    <row r="418" customFormat="false" ht="17.15" hidden="false" customHeight="false" outlineLevel="0" collapsed="false">
      <c r="A418" s="1" t="s">
        <v>548</v>
      </c>
    </row>
    <row r="419" customFormat="false" ht="17.15" hidden="false" customHeight="false" outlineLevel="0" collapsed="false">
      <c r="A419" s="5" t="s">
        <v>549</v>
      </c>
      <c r="B419" s="0" t="s">
        <v>167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550</v>
      </c>
      <c r="B420" s="0" t="s">
        <v>167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551</v>
      </c>
      <c r="B421" s="0" t="s">
        <v>167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552</v>
      </c>
      <c r="B422" s="0" t="s">
        <v>167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553</v>
      </c>
      <c r="B423" s="0" t="s">
        <v>167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554</v>
      </c>
      <c r="B424" s="0" t="s">
        <v>167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555</v>
      </c>
    </row>
    <row r="425" customFormat="false" ht="17.15" hidden="false" customHeight="false" outlineLevel="0" collapsed="false">
      <c r="A425" s="5" t="s">
        <v>435</v>
      </c>
      <c r="B425" s="0" t="s">
        <v>167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556</v>
      </c>
    </row>
    <row r="426" customFormat="false" ht="15" hidden="false" customHeight="false" outlineLevel="0" collapsed="false">
      <c r="A426" s="5" t="s">
        <v>557</v>
      </c>
      <c r="B426" s="0" t="s">
        <v>72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558</v>
      </c>
      <c r="B427" s="0" t="s">
        <v>72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559</v>
      </c>
      <c r="B428" s="0" t="s">
        <v>72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560</v>
      </c>
    </row>
    <row r="430" customFormat="false" ht="15" hidden="false" customHeight="false" outlineLevel="0" collapsed="false">
      <c r="A430" s="5" t="s">
        <v>561</v>
      </c>
      <c r="B430" s="0" t="s">
        <v>167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562</v>
      </c>
      <c r="B431" s="0" t="s">
        <v>167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563</v>
      </c>
    </row>
    <row r="432" customFormat="false" ht="17.15" hidden="false" customHeight="false" outlineLevel="0" collapsed="false">
      <c r="A432" s="5" t="s">
        <v>564</v>
      </c>
      <c r="B432" s="0" t="s">
        <v>167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565</v>
      </c>
    </row>
    <row r="433" customFormat="false" ht="15" hidden="false" customHeight="false" outlineLevel="0" collapsed="false">
      <c r="A433" s="5" t="s">
        <v>566</v>
      </c>
      <c r="B433" s="0" t="s">
        <v>167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567</v>
      </c>
      <c r="B434" s="0" t="s">
        <v>167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568</v>
      </c>
      <c r="B435" s="0" t="s">
        <v>167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569</v>
      </c>
    </row>
    <row r="436" customFormat="false" ht="17.15" hidden="false" customHeight="false" outlineLevel="0" collapsed="false">
      <c r="A436" s="5" t="s">
        <v>570</v>
      </c>
      <c r="B436" s="0" t="s">
        <v>167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571</v>
      </c>
    </row>
    <row r="437" customFormat="false" ht="15" hidden="false" customHeight="false" outlineLevel="0" collapsed="false">
      <c r="A437" s="5" t="s">
        <v>449</v>
      </c>
      <c r="B437" s="0" t="s">
        <v>167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452</v>
      </c>
      <c r="B438" s="0" t="s">
        <v>72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572</v>
      </c>
      <c r="B439" s="0" t="s">
        <v>573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574</v>
      </c>
    </row>
    <row r="440" customFormat="false" ht="17.15" hidden="false" customHeight="false" outlineLevel="0" collapsed="false">
      <c r="A440" s="5" t="s">
        <v>454</v>
      </c>
      <c r="B440" s="0" t="s">
        <v>167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575</v>
      </c>
    </row>
    <row r="441" customFormat="false" ht="15" hidden="false" customHeight="false" outlineLevel="0" collapsed="false">
      <c r="A441" s="5" t="s">
        <v>457</v>
      </c>
      <c r="B441" s="0" t="s">
        <v>167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529</v>
      </c>
      <c r="B442" s="0" t="s">
        <v>72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576</v>
      </c>
      <c r="B443" s="0" t="s">
        <v>167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462</v>
      </c>
      <c r="B444" s="0" t="s">
        <v>167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463</v>
      </c>
      <c r="B445" s="0" t="s">
        <v>167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465</v>
      </c>
      <c r="B446" s="0" t="s">
        <v>167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467</v>
      </c>
      <c r="B447" s="0" t="s">
        <v>167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577</v>
      </c>
      <c r="B448" s="5" t="s">
        <v>301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471</v>
      </c>
      <c r="B449" s="0" t="s">
        <v>322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578</v>
      </c>
      <c r="B450" s="0" t="s">
        <v>72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579</v>
      </c>
      <c r="B451" s="0" t="s">
        <v>72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871</v>
      </c>
    </row>
    <row r="455" customFormat="false" ht="17.15" hidden="false" customHeight="false" outlineLevel="0" collapsed="false">
      <c r="A455" s="6" t="s">
        <v>17</v>
      </c>
      <c r="B455" s="6" t="s">
        <v>18</v>
      </c>
      <c r="C455" s="14" t="s">
        <v>428</v>
      </c>
      <c r="D455" s="14" t="s">
        <v>516</v>
      </c>
      <c r="E455" s="14" t="s">
        <v>517</v>
      </c>
      <c r="F455" s="14" t="s">
        <v>518</v>
      </c>
      <c r="G455" s="14" t="s">
        <v>519</v>
      </c>
      <c r="H455" s="14" t="s">
        <v>520</v>
      </c>
      <c r="I455" s="14" t="s">
        <v>521</v>
      </c>
      <c r="J455" s="14" t="s">
        <v>522</v>
      </c>
      <c r="K455" s="6" t="s">
        <v>492</v>
      </c>
    </row>
    <row r="456" customFormat="false" ht="17.15" hidden="false" customHeight="false" outlineLevel="0" collapsed="false">
      <c r="A456" s="1" t="s">
        <v>540</v>
      </c>
    </row>
    <row r="457" customFormat="false" ht="17.15" hidden="false" customHeight="false" outlineLevel="0" collapsed="false">
      <c r="A457" s="0" t="s">
        <v>541</v>
      </c>
      <c r="B457" s="5" t="s">
        <v>28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495</v>
      </c>
      <c r="B458" s="0" t="s">
        <v>41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497</v>
      </c>
      <c r="B459" s="0" t="s">
        <v>72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542</v>
      </c>
    </row>
    <row r="460" customFormat="false" ht="17.15" hidden="false" customHeight="false" outlineLevel="0" collapsed="false">
      <c r="A460" s="0" t="s">
        <v>498</v>
      </c>
      <c r="B460" s="0" t="s">
        <v>72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543</v>
      </c>
      <c r="B461" s="0" t="s">
        <v>167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544</v>
      </c>
    </row>
    <row r="462" customFormat="false" ht="17.15" hidden="false" customHeight="false" outlineLevel="0" collapsed="false">
      <c r="A462" s="5" t="s">
        <v>545</v>
      </c>
      <c r="B462" s="0" t="s">
        <v>500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546</v>
      </c>
    </row>
    <row r="463" customFormat="false" ht="17.15" hidden="false" customHeight="false" outlineLevel="0" collapsed="false">
      <c r="A463" s="5" t="s">
        <v>504</v>
      </c>
      <c r="B463" s="0" t="s">
        <v>500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547</v>
      </c>
    </row>
    <row r="464" customFormat="false" ht="17.15" hidden="false" customHeight="false" outlineLevel="0" collapsed="false">
      <c r="A464" s="1" t="s">
        <v>548</v>
      </c>
    </row>
    <row r="465" customFormat="false" ht="17.15" hidden="false" customHeight="false" outlineLevel="0" collapsed="false">
      <c r="A465" s="5" t="s">
        <v>549</v>
      </c>
      <c r="B465" s="0" t="s">
        <v>167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550</v>
      </c>
      <c r="B466" s="0" t="s">
        <v>167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551</v>
      </c>
      <c r="B467" s="0" t="s">
        <v>167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552</v>
      </c>
      <c r="B468" s="0" t="s">
        <v>167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553</v>
      </c>
      <c r="B469" s="0" t="s">
        <v>167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554</v>
      </c>
      <c r="B470" s="0" t="s">
        <v>167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555</v>
      </c>
    </row>
    <row r="471" customFormat="false" ht="17.15" hidden="false" customHeight="false" outlineLevel="0" collapsed="false">
      <c r="A471" s="5" t="s">
        <v>435</v>
      </c>
      <c r="B471" s="0" t="s">
        <v>167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556</v>
      </c>
    </row>
    <row r="472" customFormat="false" ht="15" hidden="false" customHeight="false" outlineLevel="0" collapsed="false">
      <c r="A472" s="5" t="s">
        <v>557</v>
      </c>
      <c r="B472" s="0" t="s">
        <v>72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558</v>
      </c>
      <c r="B473" s="0" t="s">
        <v>72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559</v>
      </c>
      <c r="B474" s="0" t="s">
        <v>72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560</v>
      </c>
    </row>
    <row r="476" customFormat="false" ht="15" hidden="false" customHeight="false" outlineLevel="0" collapsed="false">
      <c r="A476" s="5" t="s">
        <v>561</v>
      </c>
      <c r="B476" s="0" t="s">
        <v>167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562</v>
      </c>
      <c r="B477" s="0" t="s">
        <v>167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563</v>
      </c>
    </row>
    <row r="478" customFormat="false" ht="17.15" hidden="false" customHeight="false" outlineLevel="0" collapsed="false">
      <c r="A478" s="5" t="s">
        <v>564</v>
      </c>
      <c r="B478" s="0" t="s">
        <v>167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565</v>
      </c>
    </row>
    <row r="479" customFormat="false" ht="15" hidden="false" customHeight="false" outlineLevel="0" collapsed="false">
      <c r="A479" s="5" t="s">
        <v>566</v>
      </c>
      <c r="B479" s="0" t="s">
        <v>167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567</v>
      </c>
      <c r="B480" s="0" t="s">
        <v>167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568</v>
      </c>
      <c r="B481" s="0" t="s">
        <v>167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569</v>
      </c>
    </row>
    <row r="482" customFormat="false" ht="17.15" hidden="false" customHeight="false" outlineLevel="0" collapsed="false">
      <c r="A482" s="5" t="s">
        <v>570</v>
      </c>
      <c r="B482" s="0" t="s">
        <v>167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571</v>
      </c>
    </row>
    <row r="483" customFormat="false" ht="15" hidden="false" customHeight="false" outlineLevel="0" collapsed="false">
      <c r="A483" s="5" t="s">
        <v>449</v>
      </c>
      <c r="B483" s="0" t="s">
        <v>167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452</v>
      </c>
      <c r="B484" s="0" t="s">
        <v>72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572</v>
      </c>
      <c r="B485" s="0" t="s">
        <v>573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574</v>
      </c>
    </row>
    <row r="486" customFormat="false" ht="17.15" hidden="false" customHeight="false" outlineLevel="0" collapsed="false">
      <c r="A486" s="5" t="s">
        <v>454</v>
      </c>
      <c r="B486" s="0" t="s">
        <v>167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575</v>
      </c>
    </row>
    <row r="487" customFormat="false" ht="15" hidden="false" customHeight="false" outlineLevel="0" collapsed="false">
      <c r="A487" s="5" t="s">
        <v>457</v>
      </c>
      <c r="B487" s="0" t="s">
        <v>167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529</v>
      </c>
      <c r="B488" s="0" t="s">
        <v>72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576</v>
      </c>
      <c r="B489" s="0" t="s">
        <v>167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462</v>
      </c>
      <c r="B490" s="0" t="s">
        <v>167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463</v>
      </c>
      <c r="B491" s="0" t="s">
        <v>167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465</v>
      </c>
      <c r="B492" s="0" t="s">
        <v>167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467</v>
      </c>
      <c r="B493" s="0" t="s">
        <v>167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577</v>
      </c>
      <c r="B494" s="5" t="s">
        <v>301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471</v>
      </c>
      <c r="B495" s="0" t="s">
        <v>322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578</v>
      </c>
      <c r="B496" s="0" t="s">
        <v>72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579</v>
      </c>
      <c r="B497" s="0" t="s">
        <v>72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872</v>
      </c>
    </row>
    <row r="501" customFormat="false" ht="17.15" hidden="false" customHeight="false" outlineLevel="0" collapsed="false">
      <c r="A501" s="6" t="s">
        <v>17</v>
      </c>
      <c r="B501" s="6" t="s">
        <v>18</v>
      </c>
      <c r="C501" s="14" t="s">
        <v>428</v>
      </c>
      <c r="D501" s="14" t="s">
        <v>516</v>
      </c>
      <c r="E501" s="14" t="s">
        <v>517</v>
      </c>
      <c r="F501" s="14" t="s">
        <v>518</v>
      </c>
      <c r="G501" s="14" t="s">
        <v>519</v>
      </c>
      <c r="H501" s="14" t="s">
        <v>520</v>
      </c>
      <c r="I501" s="14" t="s">
        <v>521</v>
      </c>
      <c r="J501" s="14" t="s">
        <v>522</v>
      </c>
      <c r="K501" s="6" t="s">
        <v>492</v>
      </c>
    </row>
    <row r="502" customFormat="false" ht="17.15" hidden="false" customHeight="false" outlineLevel="0" collapsed="false">
      <c r="A502" s="1" t="s">
        <v>540</v>
      </c>
    </row>
    <row r="503" customFormat="false" ht="17.15" hidden="false" customHeight="false" outlineLevel="0" collapsed="false">
      <c r="A503" s="0" t="s">
        <v>541</v>
      </c>
      <c r="B503" s="5" t="s">
        <v>28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495</v>
      </c>
      <c r="B504" s="0" t="s">
        <v>41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497</v>
      </c>
      <c r="B505" s="0" t="s">
        <v>72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542</v>
      </c>
    </row>
    <row r="506" customFormat="false" ht="17.15" hidden="false" customHeight="false" outlineLevel="0" collapsed="false">
      <c r="A506" s="0" t="s">
        <v>498</v>
      </c>
      <c r="B506" s="0" t="s">
        <v>72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543</v>
      </c>
      <c r="B507" s="0" t="s">
        <v>167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544</v>
      </c>
    </row>
    <row r="508" customFormat="false" ht="17.15" hidden="false" customHeight="false" outlineLevel="0" collapsed="false">
      <c r="A508" s="5" t="s">
        <v>545</v>
      </c>
      <c r="B508" s="0" t="s">
        <v>500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546</v>
      </c>
    </row>
    <row r="509" customFormat="false" ht="17.15" hidden="false" customHeight="false" outlineLevel="0" collapsed="false">
      <c r="A509" s="5" t="s">
        <v>504</v>
      </c>
      <c r="B509" s="0" t="s">
        <v>500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547</v>
      </c>
    </row>
    <row r="510" customFormat="false" ht="17.15" hidden="false" customHeight="false" outlineLevel="0" collapsed="false">
      <c r="A510" s="1" t="s">
        <v>548</v>
      </c>
    </row>
    <row r="511" customFormat="false" ht="17.15" hidden="false" customHeight="false" outlineLevel="0" collapsed="false">
      <c r="A511" s="5" t="s">
        <v>549</v>
      </c>
      <c r="B511" s="0" t="s">
        <v>167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550</v>
      </c>
      <c r="B512" s="0" t="s">
        <v>167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551</v>
      </c>
      <c r="B513" s="0" t="s">
        <v>167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552</v>
      </c>
      <c r="B514" s="0" t="s">
        <v>167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553</v>
      </c>
      <c r="B515" s="0" t="s">
        <v>167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554</v>
      </c>
      <c r="B516" s="0" t="s">
        <v>167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555</v>
      </c>
    </row>
    <row r="517" customFormat="false" ht="17.15" hidden="false" customHeight="false" outlineLevel="0" collapsed="false">
      <c r="A517" s="5" t="s">
        <v>435</v>
      </c>
      <c r="B517" s="0" t="s">
        <v>167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556</v>
      </c>
    </row>
    <row r="518" customFormat="false" ht="15" hidden="false" customHeight="false" outlineLevel="0" collapsed="false">
      <c r="A518" s="5" t="s">
        <v>557</v>
      </c>
      <c r="B518" s="0" t="s">
        <v>72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558</v>
      </c>
      <c r="B519" s="0" t="s">
        <v>72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559</v>
      </c>
      <c r="B520" s="0" t="s">
        <v>72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560</v>
      </c>
    </row>
    <row r="522" customFormat="false" ht="15" hidden="false" customHeight="false" outlineLevel="0" collapsed="false">
      <c r="A522" s="5" t="s">
        <v>561</v>
      </c>
      <c r="B522" s="0" t="s">
        <v>167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562</v>
      </c>
      <c r="B523" s="0" t="s">
        <v>167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563</v>
      </c>
    </row>
    <row r="524" customFormat="false" ht="17.15" hidden="false" customHeight="false" outlineLevel="0" collapsed="false">
      <c r="A524" s="5" t="s">
        <v>564</v>
      </c>
      <c r="B524" s="0" t="s">
        <v>167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565</v>
      </c>
    </row>
    <row r="525" customFormat="false" ht="15" hidden="false" customHeight="false" outlineLevel="0" collapsed="false">
      <c r="A525" s="5" t="s">
        <v>566</v>
      </c>
      <c r="B525" s="0" t="s">
        <v>167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567</v>
      </c>
      <c r="B526" s="0" t="s">
        <v>167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568</v>
      </c>
      <c r="B527" s="0" t="s">
        <v>167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569</v>
      </c>
    </row>
    <row r="528" customFormat="false" ht="17.15" hidden="false" customHeight="false" outlineLevel="0" collapsed="false">
      <c r="A528" s="5" t="s">
        <v>570</v>
      </c>
      <c r="B528" s="0" t="s">
        <v>167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571</v>
      </c>
    </row>
    <row r="529" customFormat="false" ht="15" hidden="false" customHeight="false" outlineLevel="0" collapsed="false">
      <c r="A529" s="5" t="s">
        <v>449</v>
      </c>
      <c r="B529" s="0" t="s">
        <v>167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452</v>
      </c>
      <c r="B530" s="0" t="s">
        <v>72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572</v>
      </c>
      <c r="B531" s="0" t="s">
        <v>573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574</v>
      </c>
    </row>
    <row r="532" customFormat="false" ht="17.15" hidden="false" customHeight="false" outlineLevel="0" collapsed="false">
      <c r="A532" s="5" t="s">
        <v>454</v>
      </c>
      <c r="B532" s="0" t="s">
        <v>167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575</v>
      </c>
    </row>
    <row r="533" customFormat="false" ht="15" hidden="false" customHeight="false" outlineLevel="0" collapsed="false">
      <c r="A533" s="5" t="s">
        <v>457</v>
      </c>
      <c r="B533" s="0" t="s">
        <v>167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529</v>
      </c>
      <c r="B534" s="0" t="s">
        <v>72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576</v>
      </c>
      <c r="B535" s="0" t="s">
        <v>167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462</v>
      </c>
      <c r="B536" s="0" t="s">
        <v>167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463</v>
      </c>
      <c r="B537" s="0" t="s">
        <v>167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465</v>
      </c>
      <c r="B538" s="0" t="s">
        <v>167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467</v>
      </c>
      <c r="B539" s="0" t="s">
        <v>167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577</v>
      </c>
      <c r="B540" s="5" t="s">
        <v>301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471</v>
      </c>
      <c r="B541" s="0" t="s">
        <v>322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578</v>
      </c>
      <c r="B542" s="0" t="s">
        <v>72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579</v>
      </c>
      <c r="B543" s="0" t="s">
        <v>72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873</v>
      </c>
    </row>
    <row r="547" customFormat="false" ht="17.15" hidden="false" customHeight="false" outlineLevel="0" collapsed="false">
      <c r="A547" s="6" t="s">
        <v>17</v>
      </c>
      <c r="B547" s="6" t="s">
        <v>18</v>
      </c>
      <c r="C547" s="14" t="s">
        <v>428</v>
      </c>
      <c r="D547" s="14" t="s">
        <v>516</v>
      </c>
      <c r="E547" s="14" t="s">
        <v>517</v>
      </c>
      <c r="F547" s="14" t="s">
        <v>518</v>
      </c>
      <c r="G547" s="14" t="s">
        <v>519</v>
      </c>
      <c r="H547" s="14" t="s">
        <v>520</v>
      </c>
      <c r="I547" s="14" t="s">
        <v>521</v>
      </c>
      <c r="J547" s="14" t="s">
        <v>522</v>
      </c>
      <c r="K547" s="6" t="s">
        <v>492</v>
      </c>
    </row>
    <row r="548" customFormat="false" ht="17.15" hidden="false" customHeight="false" outlineLevel="0" collapsed="false">
      <c r="A548" s="1" t="s">
        <v>540</v>
      </c>
    </row>
    <row r="549" customFormat="false" ht="17.15" hidden="false" customHeight="false" outlineLevel="0" collapsed="false">
      <c r="A549" s="0" t="s">
        <v>541</v>
      </c>
      <c r="B549" s="5" t="s">
        <v>28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495</v>
      </c>
      <c r="B550" s="0" t="s">
        <v>41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497</v>
      </c>
      <c r="B551" s="0" t="s">
        <v>72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542</v>
      </c>
    </row>
    <row r="552" customFormat="false" ht="17.15" hidden="false" customHeight="false" outlineLevel="0" collapsed="false">
      <c r="A552" s="0" t="s">
        <v>498</v>
      </c>
      <c r="B552" s="0" t="s">
        <v>72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543</v>
      </c>
      <c r="B553" s="0" t="s">
        <v>167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544</v>
      </c>
    </row>
    <row r="554" customFormat="false" ht="17.15" hidden="false" customHeight="false" outlineLevel="0" collapsed="false">
      <c r="A554" s="5" t="s">
        <v>545</v>
      </c>
      <c r="B554" s="0" t="s">
        <v>500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546</v>
      </c>
    </row>
    <row r="555" customFormat="false" ht="17.15" hidden="false" customHeight="false" outlineLevel="0" collapsed="false">
      <c r="A555" s="5" t="s">
        <v>504</v>
      </c>
      <c r="B555" s="0" t="s">
        <v>500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547</v>
      </c>
    </row>
    <row r="556" customFormat="false" ht="17.15" hidden="false" customHeight="false" outlineLevel="0" collapsed="false">
      <c r="A556" s="1" t="s">
        <v>548</v>
      </c>
    </row>
    <row r="557" customFormat="false" ht="17.15" hidden="false" customHeight="false" outlineLevel="0" collapsed="false">
      <c r="A557" s="5" t="s">
        <v>549</v>
      </c>
      <c r="B557" s="0" t="s">
        <v>167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550</v>
      </c>
      <c r="B558" s="0" t="s">
        <v>167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551</v>
      </c>
      <c r="B559" s="0" t="s">
        <v>167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552</v>
      </c>
      <c r="B560" s="0" t="s">
        <v>167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553</v>
      </c>
      <c r="B561" s="0" t="s">
        <v>167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554</v>
      </c>
      <c r="B562" s="0" t="s">
        <v>167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555</v>
      </c>
    </row>
    <row r="563" customFormat="false" ht="17.15" hidden="false" customHeight="false" outlineLevel="0" collapsed="false">
      <c r="A563" s="5" t="s">
        <v>435</v>
      </c>
      <c r="B563" s="0" t="s">
        <v>167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556</v>
      </c>
    </row>
    <row r="564" customFormat="false" ht="15" hidden="false" customHeight="false" outlineLevel="0" collapsed="false">
      <c r="A564" s="5" t="s">
        <v>557</v>
      </c>
      <c r="B564" s="0" t="s">
        <v>72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558</v>
      </c>
      <c r="B565" s="0" t="s">
        <v>72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559</v>
      </c>
      <c r="B566" s="0" t="s">
        <v>72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560</v>
      </c>
    </row>
    <row r="568" customFormat="false" ht="15" hidden="false" customHeight="false" outlineLevel="0" collapsed="false">
      <c r="A568" s="5" t="s">
        <v>561</v>
      </c>
      <c r="B568" s="0" t="s">
        <v>167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562</v>
      </c>
      <c r="B569" s="0" t="s">
        <v>167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563</v>
      </c>
    </row>
    <row r="570" customFormat="false" ht="17.15" hidden="false" customHeight="false" outlineLevel="0" collapsed="false">
      <c r="A570" s="5" t="s">
        <v>564</v>
      </c>
      <c r="B570" s="0" t="s">
        <v>167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565</v>
      </c>
    </row>
    <row r="571" customFormat="false" ht="15" hidden="false" customHeight="false" outlineLevel="0" collapsed="false">
      <c r="A571" s="5" t="s">
        <v>566</v>
      </c>
      <c r="B571" s="0" t="s">
        <v>167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567</v>
      </c>
      <c r="B572" s="0" t="s">
        <v>167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568</v>
      </c>
      <c r="B573" s="0" t="s">
        <v>167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569</v>
      </c>
    </row>
    <row r="574" customFormat="false" ht="17.15" hidden="false" customHeight="false" outlineLevel="0" collapsed="false">
      <c r="A574" s="5" t="s">
        <v>570</v>
      </c>
      <c r="B574" s="0" t="s">
        <v>167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571</v>
      </c>
    </row>
    <row r="575" customFormat="false" ht="15" hidden="false" customHeight="false" outlineLevel="0" collapsed="false">
      <c r="A575" s="5" t="s">
        <v>449</v>
      </c>
      <c r="B575" s="0" t="s">
        <v>167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452</v>
      </c>
      <c r="B576" s="0" t="s">
        <v>72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572</v>
      </c>
      <c r="B577" s="0" t="s">
        <v>573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574</v>
      </c>
    </row>
    <row r="578" customFormat="false" ht="17.15" hidden="false" customHeight="false" outlineLevel="0" collapsed="false">
      <c r="A578" s="5" t="s">
        <v>454</v>
      </c>
      <c r="B578" s="0" t="s">
        <v>167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575</v>
      </c>
    </row>
    <row r="579" customFormat="false" ht="15" hidden="false" customHeight="false" outlineLevel="0" collapsed="false">
      <c r="A579" s="5" t="s">
        <v>457</v>
      </c>
      <c r="B579" s="0" t="s">
        <v>167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529</v>
      </c>
      <c r="B580" s="0" t="s">
        <v>72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576</v>
      </c>
      <c r="B581" s="0" t="s">
        <v>167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462</v>
      </c>
      <c r="B582" s="0" t="s">
        <v>167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463</v>
      </c>
      <c r="B583" s="0" t="s">
        <v>167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465</v>
      </c>
      <c r="B584" s="0" t="s">
        <v>167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467</v>
      </c>
      <c r="B585" s="0" t="s">
        <v>167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577</v>
      </c>
      <c r="B586" s="5" t="s">
        <v>301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471</v>
      </c>
      <c r="B587" s="0" t="s">
        <v>322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578</v>
      </c>
      <c r="B588" s="0" t="s">
        <v>72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579</v>
      </c>
      <c r="B589" s="0" t="s">
        <v>72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874</v>
      </c>
    </row>
    <row r="593" customFormat="false" ht="17.15" hidden="false" customHeight="false" outlineLevel="0" collapsed="false">
      <c r="A593" s="6" t="s">
        <v>17</v>
      </c>
      <c r="B593" s="6" t="s">
        <v>18</v>
      </c>
      <c r="C593" s="14" t="s">
        <v>428</v>
      </c>
      <c r="D593" s="14" t="s">
        <v>516</v>
      </c>
      <c r="E593" s="14" t="s">
        <v>517</v>
      </c>
      <c r="F593" s="14" t="s">
        <v>518</v>
      </c>
      <c r="G593" s="14" t="s">
        <v>519</v>
      </c>
      <c r="H593" s="14" t="s">
        <v>520</v>
      </c>
      <c r="I593" s="14" t="s">
        <v>521</v>
      </c>
      <c r="J593" s="14" t="s">
        <v>522</v>
      </c>
      <c r="K593" s="6" t="s">
        <v>492</v>
      </c>
    </row>
    <row r="594" customFormat="false" ht="17.15" hidden="false" customHeight="false" outlineLevel="0" collapsed="false">
      <c r="A594" s="1" t="s">
        <v>540</v>
      </c>
    </row>
    <row r="595" customFormat="false" ht="17.15" hidden="false" customHeight="false" outlineLevel="0" collapsed="false">
      <c r="A595" s="0" t="s">
        <v>541</v>
      </c>
      <c r="B595" s="5" t="s">
        <v>28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495</v>
      </c>
      <c r="B596" s="0" t="s">
        <v>41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497</v>
      </c>
      <c r="B597" s="0" t="s">
        <v>72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542</v>
      </c>
    </row>
    <row r="598" customFormat="false" ht="17.15" hidden="false" customHeight="false" outlineLevel="0" collapsed="false">
      <c r="A598" s="0" t="s">
        <v>498</v>
      </c>
      <c r="B598" s="0" t="s">
        <v>72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543</v>
      </c>
      <c r="B599" s="0" t="s">
        <v>167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544</v>
      </c>
    </row>
    <row r="600" customFormat="false" ht="17.15" hidden="false" customHeight="false" outlineLevel="0" collapsed="false">
      <c r="A600" s="5" t="s">
        <v>545</v>
      </c>
      <c r="B600" s="0" t="s">
        <v>500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546</v>
      </c>
    </row>
    <row r="601" customFormat="false" ht="17.15" hidden="false" customHeight="false" outlineLevel="0" collapsed="false">
      <c r="A601" s="5" t="s">
        <v>504</v>
      </c>
      <c r="B601" s="0" t="s">
        <v>500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547</v>
      </c>
    </row>
    <row r="602" customFormat="false" ht="17.15" hidden="false" customHeight="false" outlineLevel="0" collapsed="false">
      <c r="A602" s="1" t="s">
        <v>548</v>
      </c>
    </row>
    <row r="603" customFormat="false" ht="17.15" hidden="false" customHeight="false" outlineLevel="0" collapsed="false">
      <c r="A603" s="5" t="s">
        <v>549</v>
      </c>
      <c r="B603" s="0" t="s">
        <v>167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550</v>
      </c>
      <c r="B604" s="0" t="s">
        <v>167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551</v>
      </c>
      <c r="B605" s="0" t="s">
        <v>167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552</v>
      </c>
      <c r="B606" s="0" t="s">
        <v>167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553</v>
      </c>
      <c r="B607" s="0" t="s">
        <v>167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554</v>
      </c>
      <c r="B608" s="0" t="s">
        <v>167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555</v>
      </c>
    </row>
    <row r="609" customFormat="false" ht="17.15" hidden="false" customHeight="false" outlineLevel="0" collapsed="false">
      <c r="A609" s="5" t="s">
        <v>435</v>
      </c>
      <c r="B609" s="0" t="s">
        <v>167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556</v>
      </c>
    </row>
    <row r="610" customFormat="false" ht="15" hidden="false" customHeight="false" outlineLevel="0" collapsed="false">
      <c r="A610" s="5" t="s">
        <v>557</v>
      </c>
      <c r="B610" s="0" t="s">
        <v>72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558</v>
      </c>
      <c r="B611" s="0" t="s">
        <v>72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559</v>
      </c>
      <c r="B612" s="0" t="s">
        <v>72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560</v>
      </c>
    </row>
    <row r="614" customFormat="false" ht="15" hidden="false" customHeight="false" outlineLevel="0" collapsed="false">
      <c r="A614" s="5" t="s">
        <v>561</v>
      </c>
      <c r="B614" s="0" t="s">
        <v>167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562</v>
      </c>
      <c r="B615" s="0" t="s">
        <v>167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563</v>
      </c>
    </row>
    <row r="616" customFormat="false" ht="17.15" hidden="false" customHeight="false" outlineLevel="0" collapsed="false">
      <c r="A616" s="5" t="s">
        <v>564</v>
      </c>
      <c r="B616" s="0" t="s">
        <v>167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565</v>
      </c>
    </row>
    <row r="617" customFormat="false" ht="15" hidden="false" customHeight="false" outlineLevel="0" collapsed="false">
      <c r="A617" s="5" t="s">
        <v>566</v>
      </c>
      <c r="B617" s="0" t="s">
        <v>167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567</v>
      </c>
      <c r="B618" s="0" t="s">
        <v>167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568</v>
      </c>
      <c r="B619" s="0" t="s">
        <v>167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569</v>
      </c>
    </row>
    <row r="620" customFormat="false" ht="17.15" hidden="false" customHeight="false" outlineLevel="0" collapsed="false">
      <c r="A620" s="5" t="s">
        <v>570</v>
      </c>
      <c r="B620" s="0" t="s">
        <v>167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571</v>
      </c>
    </row>
    <row r="621" customFormat="false" ht="15" hidden="false" customHeight="false" outlineLevel="0" collapsed="false">
      <c r="A621" s="5" t="s">
        <v>449</v>
      </c>
      <c r="B621" s="0" t="s">
        <v>167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452</v>
      </c>
      <c r="B622" s="0" t="s">
        <v>72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572</v>
      </c>
      <c r="B623" s="0" t="s">
        <v>573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574</v>
      </c>
    </row>
    <row r="624" customFormat="false" ht="17.15" hidden="false" customHeight="false" outlineLevel="0" collapsed="false">
      <c r="A624" s="5" t="s">
        <v>454</v>
      </c>
      <c r="B624" s="0" t="s">
        <v>167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575</v>
      </c>
    </row>
    <row r="625" customFormat="false" ht="15" hidden="false" customHeight="false" outlineLevel="0" collapsed="false">
      <c r="A625" s="5" t="s">
        <v>457</v>
      </c>
      <c r="B625" s="0" t="s">
        <v>167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529</v>
      </c>
      <c r="B626" s="0" t="s">
        <v>72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576</v>
      </c>
      <c r="B627" s="0" t="s">
        <v>167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462</v>
      </c>
      <c r="B628" s="0" t="s">
        <v>167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463</v>
      </c>
      <c r="B629" s="0" t="s">
        <v>167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465</v>
      </c>
      <c r="B630" s="0" t="s">
        <v>167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467</v>
      </c>
      <c r="B631" s="0" t="s">
        <v>167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577</v>
      </c>
      <c r="B632" s="5" t="s">
        <v>301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471</v>
      </c>
      <c r="B633" s="0" t="s">
        <v>322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578</v>
      </c>
      <c r="B634" s="0" t="s">
        <v>72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579</v>
      </c>
      <c r="B635" s="0" t="s">
        <v>72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875</v>
      </c>
    </row>
    <row r="639" customFormat="false" ht="17.15" hidden="false" customHeight="false" outlineLevel="0" collapsed="false">
      <c r="A639" s="6" t="s">
        <v>17</v>
      </c>
      <c r="B639" s="6" t="s">
        <v>18</v>
      </c>
      <c r="C639" s="14" t="s">
        <v>428</v>
      </c>
      <c r="D639" s="14" t="s">
        <v>516</v>
      </c>
      <c r="E639" s="14" t="s">
        <v>517</v>
      </c>
      <c r="F639" s="14" t="s">
        <v>518</v>
      </c>
      <c r="G639" s="14" t="s">
        <v>519</v>
      </c>
      <c r="H639" s="14" t="s">
        <v>520</v>
      </c>
      <c r="I639" s="14" t="s">
        <v>521</v>
      </c>
      <c r="J639" s="14" t="s">
        <v>522</v>
      </c>
      <c r="K639" s="6" t="s">
        <v>492</v>
      </c>
    </row>
    <row r="640" customFormat="false" ht="17.15" hidden="false" customHeight="false" outlineLevel="0" collapsed="false">
      <c r="A640" s="1" t="s">
        <v>540</v>
      </c>
    </row>
    <row r="641" customFormat="false" ht="17.15" hidden="false" customHeight="false" outlineLevel="0" collapsed="false">
      <c r="A641" s="0" t="s">
        <v>541</v>
      </c>
      <c r="B641" s="5" t="s">
        <v>28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495</v>
      </c>
      <c r="B642" s="0" t="s">
        <v>41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497</v>
      </c>
      <c r="B643" s="0" t="s">
        <v>72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542</v>
      </c>
    </row>
    <row r="644" customFormat="false" ht="17.15" hidden="false" customHeight="false" outlineLevel="0" collapsed="false">
      <c r="A644" s="0" t="s">
        <v>498</v>
      </c>
      <c r="B644" s="0" t="s">
        <v>72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543</v>
      </c>
      <c r="B645" s="0" t="s">
        <v>167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544</v>
      </c>
    </row>
    <row r="646" customFormat="false" ht="17.15" hidden="false" customHeight="false" outlineLevel="0" collapsed="false">
      <c r="A646" s="5" t="s">
        <v>545</v>
      </c>
      <c r="B646" s="0" t="s">
        <v>500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546</v>
      </c>
    </row>
    <row r="647" customFormat="false" ht="17.15" hidden="false" customHeight="false" outlineLevel="0" collapsed="false">
      <c r="A647" s="5" t="s">
        <v>504</v>
      </c>
      <c r="B647" s="0" t="s">
        <v>500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547</v>
      </c>
    </row>
    <row r="648" customFormat="false" ht="17.15" hidden="false" customHeight="false" outlineLevel="0" collapsed="false">
      <c r="A648" s="1" t="s">
        <v>548</v>
      </c>
    </row>
    <row r="649" customFormat="false" ht="17.15" hidden="false" customHeight="false" outlineLevel="0" collapsed="false">
      <c r="A649" s="5" t="s">
        <v>549</v>
      </c>
      <c r="B649" s="0" t="s">
        <v>167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550</v>
      </c>
      <c r="B650" s="0" t="s">
        <v>167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551</v>
      </c>
      <c r="B651" s="0" t="s">
        <v>167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552</v>
      </c>
      <c r="B652" s="0" t="s">
        <v>167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553</v>
      </c>
      <c r="B653" s="0" t="s">
        <v>167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554</v>
      </c>
      <c r="B654" s="0" t="s">
        <v>167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555</v>
      </c>
    </row>
    <row r="655" customFormat="false" ht="17.15" hidden="false" customHeight="false" outlineLevel="0" collapsed="false">
      <c r="A655" s="5" t="s">
        <v>435</v>
      </c>
      <c r="B655" s="0" t="s">
        <v>167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556</v>
      </c>
    </row>
    <row r="656" customFormat="false" ht="15" hidden="false" customHeight="false" outlineLevel="0" collapsed="false">
      <c r="A656" s="5" t="s">
        <v>557</v>
      </c>
      <c r="B656" s="0" t="s">
        <v>72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558</v>
      </c>
      <c r="B657" s="0" t="s">
        <v>72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559</v>
      </c>
      <c r="B658" s="0" t="s">
        <v>72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560</v>
      </c>
    </row>
    <row r="660" customFormat="false" ht="15" hidden="false" customHeight="false" outlineLevel="0" collapsed="false">
      <c r="A660" s="5" t="s">
        <v>561</v>
      </c>
      <c r="B660" s="0" t="s">
        <v>167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562</v>
      </c>
      <c r="B661" s="0" t="s">
        <v>167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563</v>
      </c>
    </row>
    <row r="662" customFormat="false" ht="17.15" hidden="false" customHeight="false" outlineLevel="0" collapsed="false">
      <c r="A662" s="5" t="s">
        <v>564</v>
      </c>
      <c r="B662" s="0" t="s">
        <v>167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565</v>
      </c>
    </row>
    <row r="663" customFormat="false" ht="15" hidden="false" customHeight="false" outlineLevel="0" collapsed="false">
      <c r="A663" s="5" t="s">
        <v>566</v>
      </c>
      <c r="B663" s="0" t="s">
        <v>167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567</v>
      </c>
      <c r="B664" s="0" t="s">
        <v>167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568</v>
      </c>
      <c r="B665" s="0" t="s">
        <v>167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569</v>
      </c>
    </row>
    <row r="666" customFormat="false" ht="17.15" hidden="false" customHeight="false" outlineLevel="0" collapsed="false">
      <c r="A666" s="5" t="s">
        <v>570</v>
      </c>
      <c r="B666" s="0" t="s">
        <v>167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571</v>
      </c>
    </row>
    <row r="667" customFormat="false" ht="15" hidden="false" customHeight="false" outlineLevel="0" collapsed="false">
      <c r="A667" s="5" t="s">
        <v>449</v>
      </c>
      <c r="B667" s="0" t="s">
        <v>167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452</v>
      </c>
      <c r="B668" s="0" t="s">
        <v>72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572</v>
      </c>
      <c r="B669" s="0" t="s">
        <v>573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574</v>
      </c>
    </row>
    <row r="670" customFormat="false" ht="17.15" hidden="false" customHeight="false" outlineLevel="0" collapsed="false">
      <c r="A670" s="5" t="s">
        <v>454</v>
      </c>
      <c r="B670" s="0" t="s">
        <v>167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575</v>
      </c>
    </row>
    <row r="671" customFormat="false" ht="15" hidden="false" customHeight="false" outlineLevel="0" collapsed="false">
      <c r="A671" s="5" t="s">
        <v>457</v>
      </c>
      <c r="B671" s="0" t="s">
        <v>167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529</v>
      </c>
      <c r="B672" s="0" t="s">
        <v>72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576</v>
      </c>
      <c r="B673" s="0" t="s">
        <v>167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462</v>
      </c>
      <c r="B674" s="0" t="s">
        <v>167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463</v>
      </c>
      <c r="B675" s="0" t="s">
        <v>167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465</v>
      </c>
      <c r="B676" s="0" t="s">
        <v>167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467</v>
      </c>
      <c r="B677" s="0" t="s">
        <v>167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577</v>
      </c>
      <c r="B678" s="5" t="s">
        <v>301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471</v>
      </c>
      <c r="B679" s="0" t="s">
        <v>322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578</v>
      </c>
      <c r="B680" s="0" t="s">
        <v>72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579</v>
      </c>
      <c r="B681" s="0" t="s">
        <v>72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876</v>
      </c>
    </row>
    <row r="685" customFormat="false" ht="17.15" hidden="false" customHeight="false" outlineLevel="0" collapsed="false">
      <c r="A685" s="6" t="s">
        <v>17</v>
      </c>
      <c r="B685" s="6" t="s">
        <v>18</v>
      </c>
      <c r="C685" s="14" t="s">
        <v>428</v>
      </c>
      <c r="D685" s="14" t="s">
        <v>516</v>
      </c>
      <c r="E685" s="14" t="s">
        <v>517</v>
      </c>
      <c r="F685" s="14" t="s">
        <v>518</v>
      </c>
      <c r="G685" s="14" t="s">
        <v>519</v>
      </c>
      <c r="H685" s="14" t="s">
        <v>520</v>
      </c>
      <c r="I685" s="14" t="s">
        <v>521</v>
      </c>
      <c r="J685" s="14" t="s">
        <v>522</v>
      </c>
      <c r="K685" s="6" t="s">
        <v>492</v>
      </c>
    </row>
    <row r="686" customFormat="false" ht="17.15" hidden="false" customHeight="false" outlineLevel="0" collapsed="false">
      <c r="A686" s="1" t="s">
        <v>540</v>
      </c>
    </row>
    <row r="687" customFormat="false" ht="17.15" hidden="false" customHeight="false" outlineLevel="0" collapsed="false">
      <c r="A687" s="0" t="s">
        <v>541</v>
      </c>
      <c r="B687" s="5" t="s">
        <v>28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495</v>
      </c>
      <c r="B688" s="0" t="s">
        <v>41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497</v>
      </c>
      <c r="B689" s="0" t="s">
        <v>72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542</v>
      </c>
    </row>
    <row r="690" customFormat="false" ht="17.15" hidden="false" customHeight="false" outlineLevel="0" collapsed="false">
      <c r="A690" s="0" t="s">
        <v>498</v>
      </c>
      <c r="B690" s="0" t="s">
        <v>72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543</v>
      </c>
      <c r="B691" s="0" t="s">
        <v>167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544</v>
      </c>
    </row>
    <row r="692" customFormat="false" ht="17.15" hidden="false" customHeight="false" outlineLevel="0" collapsed="false">
      <c r="A692" s="5" t="s">
        <v>545</v>
      </c>
      <c r="B692" s="0" t="s">
        <v>500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546</v>
      </c>
    </row>
    <row r="693" customFormat="false" ht="17.15" hidden="false" customHeight="false" outlineLevel="0" collapsed="false">
      <c r="A693" s="5" t="s">
        <v>504</v>
      </c>
      <c r="B693" s="0" t="s">
        <v>500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547</v>
      </c>
    </row>
    <row r="694" customFormat="false" ht="17.15" hidden="false" customHeight="false" outlineLevel="0" collapsed="false">
      <c r="A694" s="1" t="s">
        <v>548</v>
      </c>
    </row>
    <row r="695" customFormat="false" ht="17.15" hidden="false" customHeight="false" outlineLevel="0" collapsed="false">
      <c r="A695" s="5" t="s">
        <v>549</v>
      </c>
      <c r="B695" s="0" t="s">
        <v>167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550</v>
      </c>
      <c r="B696" s="0" t="s">
        <v>167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551</v>
      </c>
      <c r="B697" s="0" t="s">
        <v>167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552</v>
      </c>
      <c r="B698" s="0" t="s">
        <v>167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553</v>
      </c>
      <c r="B699" s="0" t="s">
        <v>167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554</v>
      </c>
      <c r="B700" s="0" t="s">
        <v>167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555</v>
      </c>
    </row>
    <row r="701" customFormat="false" ht="17.15" hidden="false" customHeight="false" outlineLevel="0" collapsed="false">
      <c r="A701" s="5" t="s">
        <v>435</v>
      </c>
      <c r="B701" s="0" t="s">
        <v>167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556</v>
      </c>
    </row>
    <row r="702" customFormat="false" ht="15" hidden="false" customHeight="false" outlineLevel="0" collapsed="false">
      <c r="A702" s="5" t="s">
        <v>557</v>
      </c>
      <c r="B702" s="0" t="s">
        <v>72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558</v>
      </c>
      <c r="B703" s="0" t="s">
        <v>72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559</v>
      </c>
      <c r="B704" s="0" t="s">
        <v>72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560</v>
      </c>
    </row>
    <row r="706" customFormat="false" ht="15" hidden="false" customHeight="false" outlineLevel="0" collapsed="false">
      <c r="A706" s="5" t="s">
        <v>561</v>
      </c>
      <c r="B706" s="0" t="s">
        <v>167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562</v>
      </c>
      <c r="B707" s="0" t="s">
        <v>167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563</v>
      </c>
    </row>
    <row r="708" customFormat="false" ht="17.15" hidden="false" customHeight="false" outlineLevel="0" collapsed="false">
      <c r="A708" s="5" t="s">
        <v>564</v>
      </c>
      <c r="B708" s="0" t="s">
        <v>167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565</v>
      </c>
    </row>
    <row r="709" customFormat="false" ht="15" hidden="false" customHeight="false" outlineLevel="0" collapsed="false">
      <c r="A709" s="5" t="s">
        <v>566</v>
      </c>
      <c r="B709" s="0" t="s">
        <v>167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567</v>
      </c>
      <c r="B710" s="0" t="s">
        <v>167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568</v>
      </c>
      <c r="B711" s="0" t="s">
        <v>167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569</v>
      </c>
    </row>
    <row r="712" customFormat="false" ht="17.15" hidden="false" customHeight="false" outlineLevel="0" collapsed="false">
      <c r="A712" s="5" t="s">
        <v>570</v>
      </c>
      <c r="B712" s="0" t="s">
        <v>167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571</v>
      </c>
    </row>
    <row r="713" customFormat="false" ht="15" hidden="false" customHeight="false" outlineLevel="0" collapsed="false">
      <c r="A713" s="5" t="s">
        <v>449</v>
      </c>
      <c r="B713" s="0" t="s">
        <v>167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452</v>
      </c>
      <c r="B714" s="0" t="s">
        <v>72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572</v>
      </c>
      <c r="B715" s="0" t="s">
        <v>573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574</v>
      </c>
    </row>
    <row r="716" customFormat="false" ht="17.15" hidden="false" customHeight="false" outlineLevel="0" collapsed="false">
      <c r="A716" s="5" t="s">
        <v>454</v>
      </c>
      <c r="B716" s="0" t="s">
        <v>167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575</v>
      </c>
    </row>
    <row r="717" customFormat="false" ht="15" hidden="false" customHeight="false" outlineLevel="0" collapsed="false">
      <c r="A717" s="5" t="s">
        <v>457</v>
      </c>
      <c r="B717" s="0" t="s">
        <v>167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529</v>
      </c>
      <c r="B718" s="0" t="s">
        <v>72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576</v>
      </c>
      <c r="B719" s="0" t="s">
        <v>167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462</v>
      </c>
      <c r="B720" s="0" t="s">
        <v>167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463</v>
      </c>
      <c r="B721" s="0" t="s">
        <v>167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465</v>
      </c>
      <c r="B722" s="0" t="s">
        <v>167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467</v>
      </c>
      <c r="B723" s="0" t="s">
        <v>167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577</v>
      </c>
      <c r="B724" s="5" t="s">
        <v>301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471</v>
      </c>
      <c r="B725" s="0" t="s">
        <v>322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578</v>
      </c>
      <c r="B726" s="0" t="s">
        <v>72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579</v>
      </c>
      <c r="B727" s="0" t="s">
        <v>72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877</v>
      </c>
    </row>
    <row r="731" customFormat="false" ht="17.15" hidden="false" customHeight="false" outlineLevel="0" collapsed="false">
      <c r="A731" s="6" t="s">
        <v>17</v>
      </c>
      <c r="B731" s="6" t="s">
        <v>18</v>
      </c>
      <c r="C731" s="14" t="s">
        <v>428</v>
      </c>
      <c r="D731" s="14" t="s">
        <v>516</v>
      </c>
      <c r="E731" s="14" t="s">
        <v>517</v>
      </c>
      <c r="F731" s="14" t="s">
        <v>518</v>
      </c>
      <c r="G731" s="14" t="s">
        <v>519</v>
      </c>
      <c r="H731" s="14" t="s">
        <v>520</v>
      </c>
      <c r="I731" s="14" t="s">
        <v>521</v>
      </c>
      <c r="J731" s="14" t="s">
        <v>522</v>
      </c>
      <c r="K731" s="6" t="s">
        <v>492</v>
      </c>
    </row>
    <row r="732" customFormat="false" ht="17.15" hidden="false" customHeight="false" outlineLevel="0" collapsed="false">
      <c r="A732" s="1" t="s">
        <v>540</v>
      </c>
    </row>
    <row r="733" customFormat="false" ht="17.15" hidden="false" customHeight="false" outlineLevel="0" collapsed="false">
      <c r="A733" s="0" t="s">
        <v>541</v>
      </c>
      <c r="B733" s="5" t="s">
        <v>28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495</v>
      </c>
      <c r="B734" s="0" t="s">
        <v>41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497</v>
      </c>
      <c r="B735" s="0" t="s">
        <v>72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542</v>
      </c>
    </row>
    <row r="736" customFormat="false" ht="17.15" hidden="false" customHeight="false" outlineLevel="0" collapsed="false">
      <c r="A736" s="0" t="s">
        <v>498</v>
      </c>
      <c r="B736" s="0" t="s">
        <v>72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543</v>
      </c>
      <c r="B737" s="0" t="s">
        <v>167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544</v>
      </c>
    </row>
    <row r="738" customFormat="false" ht="17.15" hidden="false" customHeight="false" outlineLevel="0" collapsed="false">
      <c r="A738" s="5" t="s">
        <v>545</v>
      </c>
      <c r="B738" s="0" t="s">
        <v>500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546</v>
      </c>
    </row>
    <row r="739" customFormat="false" ht="17.15" hidden="false" customHeight="false" outlineLevel="0" collapsed="false">
      <c r="A739" s="5" t="s">
        <v>504</v>
      </c>
      <c r="B739" s="0" t="s">
        <v>500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547</v>
      </c>
    </row>
    <row r="740" customFormat="false" ht="17.15" hidden="false" customHeight="false" outlineLevel="0" collapsed="false">
      <c r="A740" s="1" t="s">
        <v>548</v>
      </c>
    </row>
    <row r="741" customFormat="false" ht="17.15" hidden="false" customHeight="false" outlineLevel="0" collapsed="false">
      <c r="A741" s="5" t="s">
        <v>549</v>
      </c>
      <c r="B741" s="0" t="s">
        <v>167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550</v>
      </c>
      <c r="B742" s="0" t="s">
        <v>167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551</v>
      </c>
      <c r="B743" s="0" t="s">
        <v>167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552</v>
      </c>
      <c r="B744" s="0" t="s">
        <v>167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553</v>
      </c>
      <c r="B745" s="0" t="s">
        <v>167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554</v>
      </c>
      <c r="B746" s="0" t="s">
        <v>167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555</v>
      </c>
    </row>
    <row r="747" customFormat="false" ht="17.15" hidden="false" customHeight="false" outlineLevel="0" collapsed="false">
      <c r="A747" s="5" t="s">
        <v>435</v>
      </c>
      <c r="B747" s="0" t="s">
        <v>167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556</v>
      </c>
    </row>
    <row r="748" customFormat="false" ht="15" hidden="false" customHeight="false" outlineLevel="0" collapsed="false">
      <c r="A748" s="5" t="s">
        <v>557</v>
      </c>
      <c r="B748" s="0" t="s">
        <v>72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558</v>
      </c>
      <c r="B749" s="0" t="s">
        <v>72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559</v>
      </c>
      <c r="B750" s="0" t="s">
        <v>72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560</v>
      </c>
    </row>
    <row r="752" customFormat="false" ht="15" hidden="false" customHeight="false" outlineLevel="0" collapsed="false">
      <c r="A752" s="5" t="s">
        <v>561</v>
      </c>
      <c r="B752" s="0" t="s">
        <v>167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562</v>
      </c>
      <c r="B753" s="0" t="s">
        <v>167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563</v>
      </c>
    </row>
    <row r="754" customFormat="false" ht="17.15" hidden="false" customHeight="false" outlineLevel="0" collapsed="false">
      <c r="A754" s="5" t="s">
        <v>564</v>
      </c>
      <c r="B754" s="0" t="s">
        <v>167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565</v>
      </c>
    </row>
    <row r="755" customFormat="false" ht="15" hidden="false" customHeight="false" outlineLevel="0" collapsed="false">
      <c r="A755" s="5" t="s">
        <v>566</v>
      </c>
      <c r="B755" s="0" t="s">
        <v>167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567</v>
      </c>
      <c r="B756" s="0" t="s">
        <v>167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568</v>
      </c>
      <c r="B757" s="0" t="s">
        <v>167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569</v>
      </c>
    </row>
    <row r="758" customFormat="false" ht="17.15" hidden="false" customHeight="false" outlineLevel="0" collapsed="false">
      <c r="A758" s="5" t="s">
        <v>570</v>
      </c>
      <c r="B758" s="0" t="s">
        <v>167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571</v>
      </c>
    </row>
    <row r="759" customFormat="false" ht="15" hidden="false" customHeight="false" outlineLevel="0" collapsed="false">
      <c r="A759" s="5" t="s">
        <v>449</v>
      </c>
      <c r="B759" s="0" t="s">
        <v>167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452</v>
      </c>
      <c r="B760" s="0" t="s">
        <v>72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572</v>
      </c>
      <c r="B761" s="0" t="s">
        <v>573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574</v>
      </c>
    </row>
    <row r="762" customFormat="false" ht="17.15" hidden="false" customHeight="false" outlineLevel="0" collapsed="false">
      <c r="A762" s="5" t="s">
        <v>454</v>
      </c>
      <c r="B762" s="0" t="s">
        <v>167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575</v>
      </c>
    </row>
    <row r="763" customFormat="false" ht="15" hidden="false" customHeight="false" outlineLevel="0" collapsed="false">
      <c r="A763" s="5" t="s">
        <v>457</v>
      </c>
      <c r="B763" s="0" t="s">
        <v>167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529</v>
      </c>
      <c r="B764" s="0" t="s">
        <v>72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576</v>
      </c>
      <c r="B765" s="0" t="s">
        <v>167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462</v>
      </c>
      <c r="B766" s="0" t="s">
        <v>167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463</v>
      </c>
      <c r="B767" s="0" t="s">
        <v>167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465</v>
      </c>
      <c r="B768" s="0" t="s">
        <v>167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467</v>
      </c>
      <c r="B769" s="0" t="s">
        <v>167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577</v>
      </c>
      <c r="B770" s="5" t="s">
        <v>301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471</v>
      </c>
      <c r="B771" s="0" t="s">
        <v>322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578</v>
      </c>
      <c r="B772" s="0" t="s">
        <v>72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579</v>
      </c>
      <c r="B773" s="0" t="s">
        <v>72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878</v>
      </c>
    </row>
    <row r="777" customFormat="false" ht="17.15" hidden="false" customHeight="false" outlineLevel="0" collapsed="false">
      <c r="A777" s="6" t="s">
        <v>17</v>
      </c>
      <c r="B777" s="6" t="s">
        <v>18</v>
      </c>
      <c r="C777" s="14" t="s">
        <v>428</v>
      </c>
      <c r="D777" s="14" t="s">
        <v>516</v>
      </c>
      <c r="E777" s="14" t="s">
        <v>517</v>
      </c>
      <c r="F777" s="14" t="s">
        <v>518</v>
      </c>
      <c r="G777" s="14" t="s">
        <v>519</v>
      </c>
      <c r="H777" s="14" t="s">
        <v>520</v>
      </c>
      <c r="I777" s="14" t="s">
        <v>521</v>
      </c>
      <c r="J777" s="14" t="s">
        <v>522</v>
      </c>
      <c r="K777" s="6" t="s">
        <v>492</v>
      </c>
    </row>
    <row r="778" customFormat="false" ht="17.15" hidden="false" customHeight="false" outlineLevel="0" collapsed="false">
      <c r="A778" s="1" t="s">
        <v>540</v>
      </c>
    </row>
    <row r="779" customFormat="false" ht="17.15" hidden="false" customHeight="false" outlineLevel="0" collapsed="false">
      <c r="A779" s="0" t="s">
        <v>541</v>
      </c>
      <c r="B779" s="5" t="s">
        <v>28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495</v>
      </c>
      <c r="B780" s="0" t="s">
        <v>41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497</v>
      </c>
      <c r="B781" s="0" t="s">
        <v>72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542</v>
      </c>
    </row>
    <row r="782" customFormat="false" ht="17.15" hidden="false" customHeight="false" outlineLevel="0" collapsed="false">
      <c r="A782" s="0" t="s">
        <v>498</v>
      </c>
      <c r="B782" s="0" t="s">
        <v>72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543</v>
      </c>
      <c r="B783" s="0" t="s">
        <v>167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544</v>
      </c>
    </row>
    <row r="784" customFormat="false" ht="17.15" hidden="false" customHeight="false" outlineLevel="0" collapsed="false">
      <c r="A784" s="5" t="s">
        <v>545</v>
      </c>
      <c r="B784" s="0" t="s">
        <v>500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546</v>
      </c>
    </row>
    <row r="785" customFormat="false" ht="17.15" hidden="false" customHeight="false" outlineLevel="0" collapsed="false">
      <c r="A785" s="5" t="s">
        <v>504</v>
      </c>
      <c r="B785" s="0" t="s">
        <v>500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547</v>
      </c>
    </row>
    <row r="786" customFormat="false" ht="17.15" hidden="false" customHeight="false" outlineLevel="0" collapsed="false">
      <c r="A786" s="1" t="s">
        <v>548</v>
      </c>
    </row>
    <row r="787" customFormat="false" ht="17.15" hidden="false" customHeight="false" outlineLevel="0" collapsed="false">
      <c r="A787" s="5" t="s">
        <v>549</v>
      </c>
      <c r="B787" s="0" t="s">
        <v>167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550</v>
      </c>
      <c r="B788" s="0" t="s">
        <v>167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551</v>
      </c>
      <c r="B789" s="0" t="s">
        <v>167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552</v>
      </c>
      <c r="B790" s="0" t="s">
        <v>167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553</v>
      </c>
      <c r="B791" s="0" t="s">
        <v>167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554</v>
      </c>
      <c r="B792" s="0" t="s">
        <v>167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555</v>
      </c>
    </row>
    <row r="793" customFormat="false" ht="17.15" hidden="false" customHeight="false" outlineLevel="0" collapsed="false">
      <c r="A793" s="5" t="s">
        <v>435</v>
      </c>
      <c r="B793" s="0" t="s">
        <v>167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556</v>
      </c>
    </row>
    <row r="794" customFormat="false" ht="15" hidden="false" customHeight="false" outlineLevel="0" collapsed="false">
      <c r="A794" s="5" t="s">
        <v>557</v>
      </c>
      <c r="B794" s="0" t="s">
        <v>72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558</v>
      </c>
      <c r="B795" s="0" t="s">
        <v>72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559</v>
      </c>
      <c r="B796" s="0" t="s">
        <v>72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560</v>
      </c>
    </row>
    <row r="798" customFormat="false" ht="15" hidden="false" customHeight="false" outlineLevel="0" collapsed="false">
      <c r="A798" s="5" t="s">
        <v>561</v>
      </c>
      <c r="B798" s="0" t="s">
        <v>167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562</v>
      </c>
      <c r="B799" s="0" t="s">
        <v>167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563</v>
      </c>
    </row>
    <row r="800" customFormat="false" ht="17.15" hidden="false" customHeight="false" outlineLevel="0" collapsed="false">
      <c r="A800" s="5" t="s">
        <v>564</v>
      </c>
      <c r="B800" s="0" t="s">
        <v>167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565</v>
      </c>
    </row>
    <row r="801" customFormat="false" ht="15" hidden="false" customHeight="false" outlineLevel="0" collapsed="false">
      <c r="A801" s="5" t="s">
        <v>566</v>
      </c>
      <c r="B801" s="0" t="s">
        <v>167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567</v>
      </c>
      <c r="B802" s="0" t="s">
        <v>167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568</v>
      </c>
      <c r="B803" s="0" t="s">
        <v>167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569</v>
      </c>
    </row>
    <row r="804" customFormat="false" ht="17.15" hidden="false" customHeight="false" outlineLevel="0" collapsed="false">
      <c r="A804" s="5" t="s">
        <v>570</v>
      </c>
      <c r="B804" s="0" t="s">
        <v>167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571</v>
      </c>
    </row>
    <row r="805" customFormat="false" ht="15" hidden="false" customHeight="false" outlineLevel="0" collapsed="false">
      <c r="A805" s="5" t="s">
        <v>449</v>
      </c>
      <c r="B805" s="0" t="s">
        <v>167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452</v>
      </c>
      <c r="B806" s="0" t="s">
        <v>72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572</v>
      </c>
      <c r="B807" s="0" t="s">
        <v>573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574</v>
      </c>
    </row>
    <row r="808" customFormat="false" ht="17.15" hidden="false" customHeight="false" outlineLevel="0" collapsed="false">
      <c r="A808" s="5" t="s">
        <v>454</v>
      </c>
      <c r="B808" s="0" t="s">
        <v>167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575</v>
      </c>
    </row>
    <row r="809" customFormat="false" ht="15" hidden="false" customHeight="false" outlineLevel="0" collapsed="false">
      <c r="A809" s="5" t="s">
        <v>457</v>
      </c>
      <c r="B809" s="0" t="s">
        <v>167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529</v>
      </c>
      <c r="B810" s="0" t="s">
        <v>72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576</v>
      </c>
      <c r="B811" s="0" t="s">
        <v>167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462</v>
      </c>
      <c r="B812" s="0" t="s">
        <v>167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463</v>
      </c>
      <c r="B813" s="0" t="s">
        <v>167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465</v>
      </c>
      <c r="B814" s="0" t="s">
        <v>167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467</v>
      </c>
      <c r="B815" s="0" t="s">
        <v>167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577</v>
      </c>
      <c r="B816" s="5" t="s">
        <v>301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471</v>
      </c>
      <c r="B817" s="0" t="s">
        <v>322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578</v>
      </c>
      <c r="B818" s="0" t="s">
        <v>72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579</v>
      </c>
      <c r="B819" s="0" t="s">
        <v>72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879</v>
      </c>
    </row>
    <row r="823" customFormat="false" ht="17.15" hidden="false" customHeight="false" outlineLevel="0" collapsed="false">
      <c r="A823" s="6" t="s">
        <v>17</v>
      </c>
      <c r="B823" s="6" t="s">
        <v>18</v>
      </c>
      <c r="C823" s="14" t="s">
        <v>428</v>
      </c>
      <c r="D823" s="14" t="s">
        <v>516</v>
      </c>
      <c r="E823" s="14" t="s">
        <v>517</v>
      </c>
      <c r="F823" s="14" t="s">
        <v>518</v>
      </c>
      <c r="G823" s="14" t="s">
        <v>519</v>
      </c>
      <c r="H823" s="14" t="s">
        <v>520</v>
      </c>
      <c r="I823" s="14" t="s">
        <v>521</v>
      </c>
      <c r="J823" s="14" t="s">
        <v>522</v>
      </c>
      <c r="K823" s="6" t="s">
        <v>492</v>
      </c>
    </row>
    <row r="824" customFormat="false" ht="17.15" hidden="false" customHeight="false" outlineLevel="0" collapsed="false">
      <c r="A824" s="1" t="s">
        <v>540</v>
      </c>
    </row>
    <row r="825" customFormat="false" ht="17.15" hidden="false" customHeight="false" outlineLevel="0" collapsed="false">
      <c r="A825" s="0" t="s">
        <v>541</v>
      </c>
      <c r="B825" s="5" t="s">
        <v>28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495</v>
      </c>
      <c r="B826" s="0" t="s">
        <v>41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497</v>
      </c>
      <c r="B827" s="0" t="s">
        <v>72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542</v>
      </c>
    </row>
    <row r="828" customFormat="false" ht="17.15" hidden="false" customHeight="false" outlineLevel="0" collapsed="false">
      <c r="A828" s="0" t="s">
        <v>498</v>
      </c>
      <c r="B828" s="0" t="s">
        <v>72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543</v>
      </c>
      <c r="B829" s="0" t="s">
        <v>167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544</v>
      </c>
    </row>
    <row r="830" customFormat="false" ht="17.15" hidden="false" customHeight="false" outlineLevel="0" collapsed="false">
      <c r="A830" s="5" t="s">
        <v>545</v>
      </c>
      <c r="B830" s="0" t="s">
        <v>500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546</v>
      </c>
    </row>
    <row r="831" customFormat="false" ht="17.15" hidden="false" customHeight="false" outlineLevel="0" collapsed="false">
      <c r="A831" s="5" t="s">
        <v>504</v>
      </c>
      <c r="B831" s="0" t="s">
        <v>500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547</v>
      </c>
    </row>
    <row r="832" customFormat="false" ht="17.15" hidden="false" customHeight="false" outlineLevel="0" collapsed="false">
      <c r="A832" s="1" t="s">
        <v>548</v>
      </c>
    </row>
    <row r="833" customFormat="false" ht="17.15" hidden="false" customHeight="false" outlineLevel="0" collapsed="false">
      <c r="A833" s="5" t="s">
        <v>549</v>
      </c>
      <c r="B833" s="0" t="s">
        <v>167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550</v>
      </c>
      <c r="B834" s="0" t="s">
        <v>167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551</v>
      </c>
      <c r="B835" s="0" t="s">
        <v>167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552</v>
      </c>
      <c r="B836" s="0" t="s">
        <v>167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553</v>
      </c>
      <c r="B837" s="0" t="s">
        <v>167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554</v>
      </c>
      <c r="B838" s="0" t="s">
        <v>167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555</v>
      </c>
    </row>
    <row r="839" customFormat="false" ht="17.15" hidden="false" customHeight="false" outlineLevel="0" collapsed="false">
      <c r="A839" s="5" t="s">
        <v>435</v>
      </c>
      <c r="B839" s="0" t="s">
        <v>167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556</v>
      </c>
    </row>
    <row r="840" customFormat="false" ht="15" hidden="false" customHeight="false" outlineLevel="0" collapsed="false">
      <c r="A840" s="5" t="s">
        <v>557</v>
      </c>
      <c r="B840" s="0" t="s">
        <v>72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558</v>
      </c>
      <c r="B841" s="0" t="s">
        <v>72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559</v>
      </c>
      <c r="B842" s="0" t="s">
        <v>72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560</v>
      </c>
    </row>
    <row r="844" customFormat="false" ht="15" hidden="false" customHeight="false" outlineLevel="0" collapsed="false">
      <c r="A844" s="5" t="s">
        <v>561</v>
      </c>
      <c r="B844" s="0" t="s">
        <v>167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562</v>
      </c>
      <c r="B845" s="0" t="s">
        <v>167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563</v>
      </c>
    </row>
    <row r="846" customFormat="false" ht="17.15" hidden="false" customHeight="false" outlineLevel="0" collapsed="false">
      <c r="A846" s="5" t="s">
        <v>564</v>
      </c>
      <c r="B846" s="0" t="s">
        <v>167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565</v>
      </c>
    </row>
    <row r="847" customFormat="false" ht="15" hidden="false" customHeight="false" outlineLevel="0" collapsed="false">
      <c r="A847" s="5" t="s">
        <v>566</v>
      </c>
      <c r="B847" s="0" t="s">
        <v>167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567</v>
      </c>
      <c r="B848" s="0" t="s">
        <v>167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568</v>
      </c>
      <c r="B849" s="0" t="s">
        <v>167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569</v>
      </c>
    </row>
    <row r="850" customFormat="false" ht="17.15" hidden="false" customHeight="false" outlineLevel="0" collapsed="false">
      <c r="A850" s="5" t="s">
        <v>570</v>
      </c>
      <c r="B850" s="0" t="s">
        <v>167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571</v>
      </c>
    </row>
    <row r="851" customFormat="false" ht="15" hidden="false" customHeight="false" outlineLevel="0" collapsed="false">
      <c r="A851" s="5" t="s">
        <v>449</v>
      </c>
      <c r="B851" s="0" t="s">
        <v>167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452</v>
      </c>
      <c r="B852" s="0" t="s">
        <v>72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572</v>
      </c>
      <c r="B853" s="0" t="s">
        <v>573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574</v>
      </c>
    </row>
    <row r="854" customFormat="false" ht="17.15" hidden="false" customHeight="false" outlineLevel="0" collapsed="false">
      <c r="A854" s="5" t="s">
        <v>454</v>
      </c>
      <c r="B854" s="0" t="s">
        <v>167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575</v>
      </c>
    </row>
    <row r="855" customFormat="false" ht="15" hidden="false" customHeight="false" outlineLevel="0" collapsed="false">
      <c r="A855" s="5" t="s">
        <v>457</v>
      </c>
      <c r="B855" s="0" t="s">
        <v>167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529</v>
      </c>
      <c r="B856" s="0" t="s">
        <v>72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576</v>
      </c>
      <c r="B857" s="0" t="s">
        <v>167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462</v>
      </c>
      <c r="B858" s="0" t="s">
        <v>167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463</v>
      </c>
      <c r="B859" s="0" t="s">
        <v>167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465</v>
      </c>
      <c r="B860" s="0" t="s">
        <v>167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467</v>
      </c>
      <c r="B861" s="0" t="s">
        <v>167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577</v>
      </c>
      <c r="B862" s="5" t="s">
        <v>301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471</v>
      </c>
      <c r="B863" s="0" t="s">
        <v>322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578</v>
      </c>
      <c r="B864" s="0" t="s">
        <v>72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579</v>
      </c>
      <c r="B865" s="0" t="s">
        <v>72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880</v>
      </c>
    </row>
    <row r="869" customFormat="false" ht="17.15" hidden="false" customHeight="false" outlineLevel="0" collapsed="false">
      <c r="A869" s="6" t="s">
        <v>17</v>
      </c>
      <c r="B869" s="6" t="s">
        <v>18</v>
      </c>
      <c r="C869" s="14" t="s">
        <v>428</v>
      </c>
      <c r="D869" s="14" t="s">
        <v>516</v>
      </c>
      <c r="E869" s="14" t="s">
        <v>517</v>
      </c>
      <c r="F869" s="14" t="s">
        <v>518</v>
      </c>
      <c r="G869" s="14" t="s">
        <v>519</v>
      </c>
      <c r="H869" s="14" t="s">
        <v>520</v>
      </c>
      <c r="I869" s="14" t="s">
        <v>521</v>
      </c>
      <c r="J869" s="14" t="s">
        <v>522</v>
      </c>
      <c r="K869" s="6" t="s">
        <v>492</v>
      </c>
    </row>
    <row r="870" customFormat="false" ht="17.15" hidden="false" customHeight="false" outlineLevel="0" collapsed="false">
      <c r="A870" s="1" t="s">
        <v>540</v>
      </c>
    </row>
    <row r="871" customFormat="false" ht="17.15" hidden="false" customHeight="false" outlineLevel="0" collapsed="false">
      <c r="A871" s="0" t="s">
        <v>541</v>
      </c>
      <c r="B871" s="5" t="s">
        <v>28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495</v>
      </c>
      <c r="B872" s="0" t="s">
        <v>41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497</v>
      </c>
      <c r="B873" s="0" t="s">
        <v>72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542</v>
      </c>
    </row>
    <row r="874" customFormat="false" ht="17.15" hidden="false" customHeight="false" outlineLevel="0" collapsed="false">
      <c r="A874" s="0" t="s">
        <v>498</v>
      </c>
      <c r="B874" s="0" t="s">
        <v>72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543</v>
      </c>
      <c r="B875" s="0" t="s">
        <v>167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544</v>
      </c>
    </row>
    <row r="876" customFormat="false" ht="17.15" hidden="false" customHeight="false" outlineLevel="0" collapsed="false">
      <c r="A876" s="5" t="s">
        <v>545</v>
      </c>
      <c r="B876" s="0" t="s">
        <v>500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546</v>
      </c>
    </row>
    <row r="877" customFormat="false" ht="17.15" hidden="false" customHeight="false" outlineLevel="0" collapsed="false">
      <c r="A877" s="5" t="s">
        <v>504</v>
      </c>
      <c r="B877" s="0" t="s">
        <v>500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547</v>
      </c>
    </row>
    <row r="878" customFormat="false" ht="17.15" hidden="false" customHeight="false" outlineLevel="0" collapsed="false">
      <c r="A878" s="1" t="s">
        <v>548</v>
      </c>
    </row>
    <row r="879" customFormat="false" ht="17.15" hidden="false" customHeight="false" outlineLevel="0" collapsed="false">
      <c r="A879" s="5" t="s">
        <v>549</v>
      </c>
      <c r="B879" s="0" t="s">
        <v>167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550</v>
      </c>
      <c r="B880" s="0" t="s">
        <v>167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551</v>
      </c>
      <c r="B881" s="0" t="s">
        <v>167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552</v>
      </c>
      <c r="B882" s="0" t="s">
        <v>167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553</v>
      </c>
      <c r="B883" s="0" t="s">
        <v>167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554</v>
      </c>
      <c r="B884" s="0" t="s">
        <v>167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555</v>
      </c>
    </row>
    <row r="885" customFormat="false" ht="17.15" hidden="false" customHeight="false" outlineLevel="0" collapsed="false">
      <c r="A885" s="5" t="s">
        <v>435</v>
      </c>
      <c r="B885" s="0" t="s">
        <v>167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556</v>
      </c>
    </row>
    <row r="886" customFormat="false" ht="15" hidden="false" customHeight="false" outlineLevel="0" collapsed="false">
      <c r="A886" s="5" t="s">
        <v>557</v>
      </c>
      <c r="B886" s="0" t="s">
        <v>72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558</v>
      </c>
      <c r="B887" s="0" t="s">
        <v>72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559</v>
      </c>
      <c r="B888" s="0" t="s">
        <v>72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560</v>
      </c>
    </row>
    <row r="890" customFormat="false" ht="15" hidden="false" customHeight="false" outlineLevel="0" collapsed="false">
      <c r="A890" s="5" t="s">
        <v>561</v>
      </c>
      <c r="B890" s="0" t="s">
        <v>167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562</v>
      </c>
      <c r="B891" s="0" t="s">
        <v>167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563</v>
      </c>
    </row>
    <row r="892" customFormat="false" ht="17.15" hidden="false" customHeight="false" outlineLevel="0" collapsed="false">
      <c r="A892" s="5" t="s">
        <v>564</v>
      </c>
      <c r="B892" s="0" t="s">
        <v>167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565</v>
      </c>
    </row>
    <row r="893" customFormat="false" ht="15" hidden="false" customHeight="false" outlineLevel="0" collapsed="false">
      <c r="A893" s="5" t="s">
        <v>566</v>
      </c>
      <c r="B893" s="0" t="s">
        <v>167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567</v>
      </c>
      <c r="B894" s="0" t="s">
        <v>167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568</v>
      </c>
      <c r="B895" s="0" t="s">
        <v>167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569</v>
      </c>
    </row>
    <row r="896" customFormat="false" ht="17.15" hidden="false" customHeight="false" outlineLevel="0" collapsed="false">
      <c r="A896" s="5" t="s">
        <v>570</v>
      </c>
      <c r="B896" s="0" t="s">
        <v>167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571</v>
      </c>
    </row>
    <row r="897" customFormat="false" ht="15" hidden="false" customHeight="false" outlineLevel="0" collapsed="false">
      <c r="A897" s="5" t="s">
        <v>449</v>
      </c>
      <c r="B897" s="0" t="s">
        <v>167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452</v>
      </c>
      <c r="B898" s="0" t="s">
        <v>72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572</v>
      </c>
      <c r="B899" s="0" t="s">
        <v>573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574</v>
      </c>
    </row>
    <row r="900" customFormat="false" ht="17.15" hidden="false" customHeight="false" outlineLevel="0" collapsed="false">
      <c r="A900" s="5" t="s">
        <v>454</v>
      </c>
      <c r="B900" s="0" t="s">
        <v>167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575</v>
      </c>
    </row>
    <row r="901" customFormat="false" ht="15" hidden="false" customHeight="false" outlineLevel="0" collapsed="false">
      <c r="A901" s="5" t="s">
        <v>457</v>
      </c>
      <c r="B901" s="0" t="s">
        <v>167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529</v>
      </c>
      <c r="B902" s="0" t="s">
        <v>72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576</v>
      </c>
      <c r="B903" s="0" t="s">
        <v>167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462</v>
      </c>
      <c r="B904" s="0" t="s">
        <v>167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463</v>
      </c>
      <c r="B905" s="0" t="s">
        <v>167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465</v>
      </c>
      <c r="B906" s="0" t="s">
        <v>167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467</v>
      </c>
      <c r="B907" s="0" t="s">
        <v>167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577</v>
      </c>
      <c r="B908" s="5" t="s">
        <v>301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471</v>
      </c>
      <c r="B909" s="0" t="s">
        <v>322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578</v>
      </c>
      <c r="B910" s="0" t="s">
        <v>72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579</v>
      </c>
      <c r="B911" s="0" t="s">
        <v>72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881</v>
      </c>
    </row>
    <row r="915" customFormat="false" ht="17.15" hidden="false" customHeight="false" outlineLevel="0" collapsed="false">
      <c r="A915" s="6" t="s">
        <v>17</v>
      </c>
      <c r="B915" s="6" t="s">
        <v>18</v>
      </c>
      <c r="C915" s="14" t="s">
        <v>428</v>
      </c>
      <c r="D915" s="14" t="s">
        <v>516</v>
      </c>
      <c r="E915" s="14" t="s">
        <v>517</v>
      </c>
      <c r="F915" s="14" t="s">
        <v>518</v>
      </c>
      <c r="G915" s="14" t="s">
        <v>519</v>
      </c>
      <c r="H915" s="14" t="s">
        <v>520</v>
      </c>
      <c r="I915" s="14" t="s">
        <v>521</v>
      </c>
      <c r="J915" s="14" t="s">
        <v>522</v>
      </c>
      <c r="K915" s="6" t="s">
        <v>492</v>
      </c>
    </row>
    <row r="916" customFormat="false" ht="17.15" hidden="false" customHeight="false" outlineLevel="0" collapsed="false">
      <c r="A916" s="1" t="s">
        <v>540</v>
      </c>
    </row>
    <row r="917" customFormat="false" ht="17.15" hidden="false" customHeight="false" outlineLevel="0" collapsed="false">
      <c r="A917" s="0" t="s">
        <v>541</v>
      </c>
      <c r="B917" s="5" t="s">
        <v>28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495</v>
      </c>
      <c r="B918" s="0" t="s">
        <v>41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497</v>
      </c>
      <c r="B919" s="0" t="s">
        <v>72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542</v>
      </c>
    </row>
    <row r="920" customFormat="false" ht="17.15" hidden="false" customHeight="false" outlineLevel="0" collapsed="false">
      <c r="A920" s="0" t="s">
        <v>498</v>
      </c>
      <c r="B920" s="0" t="s">
        <v>72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543</v>
      </c>
      <c r="B921" s="0" t="s">
        <v>167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544</v>
      </c>
    </row>
    <row r="922" customFormat="false" ht="17.15" hidden="false" customHeight="false" outlineLevel="0" collapsed="false">
      <c r="A922" s="5" t="s">
        <v>545</v>
      </c>
      <c r="B922" s="0" t="s">
        <v>500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546</v>
      </c>
    </row>
    <row r="923" customFormat="false" ht="17.15" hidden="false" customHeight="false" outlineLevel="0" collapsed="false">
      <c r="A923" s="5" t="s">
        <v>504</v>
      </c>
      <c r="B923" s="0" t="s">
        <v>500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547</v>
      </c>
    </row>
    <row r="924" customFormat="false" ht="17.15" hidden="false" customHeight="false" outlineLevel="0" collapsed="false">
      <c r="A924" s="1" t="s">
        <v>548</v>
      </c>
    </row>
    <row r="925" customFormat="false" ht="17.15" hidden="false" customHeight="false" outlineLevel="0" collapsed="false">
      <c r="A925" s="5" t="s">
        <v>549</v>
      </c>
      <c r="B925" s="0" t="s">
        <v>167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550</v>
      </c>
      <c r="B926" s="0" t="s">
        <v>167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551</v>
      </c>
      <c r="B927" s="0" t="s">
        <v>167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552</v>
      </c>
      <c r="B928" s="0" t="s">
        <v>167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553</v>
      </c>
      <c r="B929" s="0" t="s">
        <v>167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554</v>
      </c>
      <c r="B930" s="0" t="s">
        <v>167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555</v>
      </c>
    </row>
    <row r="931" customFormat="false" ht="17.15" hidden="false" customHeight="false" outlineLevel="0" collapsed="false">
      <c r="A931" s="5" t="s">
        <v>435</v>
      </c>
      <c r="B931" s="0" t="s">
        <v>167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556</v>
      </c>
    </row>
    <row r="932" customFormat="false" ht="15" hidden="false" customHeight="false" outlineLevel="0" collapsed="false">
      <c r="A932" s="5" t="s">
        <v>557</v>
      </c>
      <c r="B932" s="0" t="s">
        <v>72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558</v>
      </c>
      <c r="B933" s="0" t="s">
        <v>72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559</v>
      </c>
      <c r="B934" s="0" t="s">
        <v>72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560</v>
      </c>
    </row>
    <row r="936" customFormat="false" ht="15" hidden="false" customHeight="false" outlineLevel="0" collapsed="false">
      <c r="A936" s="5" t="s">
        <v>561</v>
      </c>
      <c r="B936" s="0" t="s">
        <v>167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562</v>
      </c>
      <c r="B937" s="0" t="s">
        <v>167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563</v>
      </c>
    </row>
    <row r="938" customFormat="false" ht="17.15" hidden="false" customHeight="false" outlineLevel="0" collapsed="false">
      <c r="A938" s="5" t="s">
        <v>564</v>
      </c>
      <c r="B938" s="0" t="s">
        <v>167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565</v>
      </c>
    </row>
    <row r="939" customFormat="false" ht="15" hidden="false" customHeight="false" outlineLevel="0" collapsed="false">
      <c r="A939" s="5" t="s">
        <v>566</v>
      </c>
      <c r="B939" s="0" t="s">
        <v>167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567</v>
      </c>
      <c r="B940" s="0" t="s">
        <v>167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568</v>
      </c>
      <c r="B941" s="0" t="s">
        <v>167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569</v>
      </c>
    </row>
    <row r="942" customFormat="false" ht="17.15" hidden="false" customHeight="false" outlineLevel="0" collapsed="false">
      <c r="A942" s="5" t="s">
        <v>570</v>
      </c>
      <c r="B942" s="0" t="s">
        <v>167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571</v>
      </c>
    </row>
    <row r="943" customFormat="false" ht="15" hidden="false" customHeight="false" outlineLevel="0" collapsed="false">
      <c r="A943" s="5" t="s">
        <v>449</v>
      </c>
      <c r="B943" s="0" t="s">
        <v>167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452</v>
      </c>
      <c r="B944" s="0" t="s">
        <v>72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572</v>
      </c>
      <c r="B945" s="0" t="s">
        <v>573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574</v>
      </c>
    </row>
    <row r="946" customFormat="false" ht="17.15" hidden="false" customHeight="false" outlineLevel="0" collapsed="false">
      <c r="A946" s="5" t="s">
        <v>454</v>
      </c>
      <c r="B946" s="0" t="s">
        <v>167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575</v>
      </c>
    </row>
    <row r="947" customFormat="false" ht="15" hidden="false" customHeight="false" outlineLevel="0" collapsed="false">
      <c r="A947" s="5" t="s">
        <v>457</v>
      </c>
      <c r="B947" s="0" t="s">
        <v>167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529</v>
      </c>
      <c r="B948" s="0" t="s">
        <v>72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576</v>
      </c>
      <c r="B949" s="0" t="s">
        <v>167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462</v>
      </c>
      <c r="B950" s="0" t="s">
        <v>167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463</v>
      </c>
      <c r="B951" s="0" t="s">
        <v>167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465</v>
      </c>
      <c r="B952" s="0" t="s">
        <v>167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467</v>
      </c>
      <c r="B953" s="0" t="s">
        <v>167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577</v>
      </c>
      <c r="B954" s="5" t="s">
        <v>301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471</v>
      </c>
      <c r="B955" s="0" t="s">
        <v>322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578</v>
      </c>
      <c r="B956" s="0" t="s">
        <v>72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579</v>
      </c>
      <c r="B957" s="0" t="s">
        <v>72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882</v>
      </c>
    </row>
    <row r="961" customFormat="false" ht="17.15" hidden="false" customHeight="false" outlineLevel="0" collapsed="false">
      <c r="A961" s="6" t="s">
        <v>17</v>
      </c>
      <c r="B961" s="6" t="s">
        <v>18</v>
      </c>
      <c r="C961" s="14" t="s">
        <v>428</v>
      </c>
      <c r="D961" s="14" t="s">
        <v>516</v>
      </c>
      <c r="E961" s="14" t="s">
        <v>517</v>
      </c>
      <c r="F961" s="14" t="s">
        <v>518</v>
      </c>
      <c r="G961" s="14" t="s">
        <v>519</v>
      </c>
      <c r="H961" s="14" t="s">
        <v>520</v>
      </c>
      <c r="I961" s="14" t="s">
        <v>521</v>
      </c>
      <c r="J961" s="14" t="s">
        <v>522</v>
      </c>
      <c r="K961" s="6" t="s">
        <v>492</v>
      </c>
    </row>
    <row r="962" customFormat="false" ht="17.15" hidden="false" customHeight="false" outlineLevel="0" collapsed="false">
      <c r="A962" s="1" t="s">
        <v>540</v>
      </c>
    </row>
    <row r="963" customFormat="false" ht="17.15" hidden="false" customHeight="false" outlineLevel="0" collapsed="false">
      <c r="A963" s="0" t="s">
        <v>541</v>
      </c>
      <c r="B963" s="5" t="s">
        <v>28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495</v>
      </c>
      <c r="B964" s="0" t="s">
        <v>41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497</v>
      </c>
      <c r="B965" s="0" t="s">
        <v>72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542</v>
      </c>
    </row>
    <row r="966" customFormat="false" ht="17.15" hidden="false" customHeight="false" outlineLevel="0" collapsed="false">
      <c r="A966" s="0" t="s">
        <v>498</v>
      </c>
      <c r="B966" s="0" t="s">
        <v>72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543</v>
      </c>
      <c r="B967" s="0" t="s">
        <v>167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544</v>
      </c>
    </row>
    <row r="968" customFormat="false" ht="17.15" hidden="false" customHeight="false" outlineLevel="0" collapsed="false">
      <c r="A968" s="5" t="s">
        <v>545</v>
      </c>
      <c r="B968" s="0" t="s">
        <v>500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546</v>
      </c>
    </row>
    <row r="969" customFormat="false" ht="17.15" hidden="false" customHeight="false" outlineLevel="0" collapsed="false">
      <c r="A969" s="5" t="s">
        <v>504</v>
      </c>
      <c r="B969" s="0" t="s">
        <v>500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547</v>
      </c>
    </row>
    <row r="970" customFormat="false" ht="17.15" hidden="false" customHeight="false" outlineLevel="0" collapsed="false">
      <c r="A970" s="1" t="s">
        <v>548</v>
      </c>
    </row>
    <row r="971" customFormat="false" ht="17.15" hidden="false" customHeight="false" outlineLevel="0" collapsed="false">
      <c r="A971" s="5" t="s">
        <v>549</v>
      </c>
      <c r="B971" s="0" t="s">
        <v>167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550</v>
      </c>
      <c r="B972" s="0" t="s">
        <v>167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551</v>
      </c>
      <c r="B973" s="0" t="s">
        <v>167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552</v>
      </c>
      <c r="B974" s="0" t="s">
        <v>167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553</v>
      </c>
      <c r="B975" s="0" t="s">
        <v>167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554</v>
      </c>
      <c r="B976" s="0" t="s">
        <v>167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555</v>
      </c>
    </row>
    <row r="977" customFormat="false" ht="17.15" hidden="false" customHeight="false" outlineLevel="0" collapsed="false">
      <c r="A977" s="5" t="s">
        <v>435</v>
      </c>
      <c r="B977" s="0" t="s">
        <v>167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556</v>
      </c>
    </row>
    <row r="978" customFormat="false" ht="15" hidden="false" customHeight="false" outlineLevel="0" collapsed="false">
      <c r="A978" s="5" t="s">
        <v>557</v>
      </c>
      <c r="B978" s="0" t="s">
        <v>72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558</v>
      </c>
      <c r="B979" s="0" t="s">
        <v>72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559</v>
      </c>
      <c r="B980" s="0" t="s">
        <v>72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560</v>
      </c>
    </row>
    <row r="982" customFormat="false" ht="15" hidden="false" customHeight="false" outlineLevel="0" collapsed="false">
      <c r="A982" s="5" t="s">
        <v>561</v>
      </c>
      <c r="B982" s="0" t="s">
        <v>167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562</v>
      </c>
      <c r="B983" s="0" t="s">
        <v>167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563</v>
      </c>
    </row>
    <row r="984" customFormat="false" ht="17.15" hidden="false" customHeight="false" outlineLevel="0" collapsed="false">
      <c r="A984" s="5" t="s">
        <v>564</v>
      </c>
      <c r="B984" s="0" t="s">
        <v>167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565</v>
      </c>
    </row>
    <row r="985" customFormat="false" ht="15" hidden="false" customHeight="false" outlineLevel="0" collapsed="false">
      <c r="A985" s="5" t="s">
        <v>566</v>
      </c>
      <c r="B985" s="0" t="s">
        <v>167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567</v>
      </c>
      <c r="B986" s="0" t="s">
        <v>167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568</v>
      </c>
      <c r="B987" s="0" t="s">
        <v>167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569</v>
      </c>
    </row>
    <row r="988" customFormat="false" ht="17.15" hidden="false" customHeight="false" outlineLevel="0" collapsed="false">
      <c r="A988" s="5" t="s">
        <v>570</v>
      </c>
      <c r="B988" s="0" t="s">
        <v>167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571</v>
      </c>
    </row>
    <row r="989" customFormat="false" ht="15" hidden="false" customHeight="false" outlineLevel="0" collapsed="false">
      <c r="A989" s="5" t="s">
        <v>449</v>
      </c>
      <c r="B989" s="0" t="s">
        <v>167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452</v>
      </c>
      <c r="B990" s="0" t="s">
        <v>72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572</v>
      </c>
      <c r="B991" s="0" t="s">
        <v>573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574</v>
      </c>
    </row>
    <row r="992" customFormat="false" ht="17.15" hidden="false" customHeight="false" outlineLevel="0" collapsed="false">
      <c r="A992" s="5" t="s">
        <v>454</v>
      </c>
      <c r="B992" s="0" t="s">
        <v>167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575</v>
      </c>
    </row>
    <row r="993" customFormat="false" ht="15" hidden="false" customHeight="false" outlineLevel="0" collapsed="false">
      <c r="A993" s="5" t="s">
        <v>457</v>
      </c>
      <c r="B993" s="0" t="s">
        <v>167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529</v>
      </c>
      <c r="B994" s="0" t="s">
        <v>72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576</v>
      </c>
      <c r="B995" s="0" t="s">
        <v>167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462</v>
      </c>
      <c r="B996" s="0" t="s">
        <v>167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463</v>
      </c>
      <c r="B997" s="0" t="s">
        <v>167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465</v>
      </c>
      <c r="B998" s="0" t="s">
        <v>167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467</v>
      </c>
      <c r="B999" s="0" t="s">
        <v>167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577</v>
      </c>
      <c r="B1000" s="5" t="s">
        <v>301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471</v>
      </c>
      <c r="B1001" s="0" t="s">
        <v>322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578</v>
      </c>
      <c r="B1002" s="0" t="s">
        <v>72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579</v>
      </c>
      <c r="B1003" s="0" t="s">
        <v>72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883</v>
      </c>
    </row>
    <row r="2" customFormat="false" ht="17.15" hidden="false" customHeight="false" outlineLevel="0" collapsed="false">
      <c r="A2" s="5" t="s">
        <v>884</v>
      </c>
      <c r="B2" s="0" t="s">
        <v>885</v>
      </c>
    </row>
    <row r="3" customFormat="false" ht="17.15" hidden="false" customHeight="false" outlineLevel="0" collapsed="false">
      <c r="A3" s="5" t="s">
        <v>886</v>
      </c>
      <c r="B3" s="0" t="s">
        <v>887</v>
      </c>
    </row>
    <row r="4" customFormat="false" ht="17.15" hidden="false" customHeight="false" outlineLevel="0" collapsed="false">
      <c r="A4" s="5" t="s">
        <v>888</v>
      </c>
      <c r="B4" s="0" t="s">
        <v>889</v>
      </c>
    </row>
    <row r="5" customFormat="false" ht="17.15" hidden="false" customHeight="false" outlineLevel="0" collapsed="false">
      <c r="A5" s="5" t="s">
        <v>890</v>
      </c>
      <c r="B5" s="0" t="s">
        <v>891</v>
      </c>
    </row>
    <row r="6" customFormat="false" ht="17.15" hidden="false" customHeight="false" outlineLevel="0" collapsed="false">
      <c r="A6" s="5" t="s">
        <v>892</v>
      </c>
      <c r="B6" s="0" t="s">
        <v>893</v>
      </c>
    </row>
    <row r="7" customFormat="false" ht="17.15" hidden="false" customHeight="false" outlineLevel="0" collapsed="false">
      <c r="A7" s="5" t="s">
        <v>894</v>
      </c>
      <c r="B7" s="0" t="s">
        <v>895</v>
      </c>
    </row>
    <row r="8" customFormat="false" ht="17.15" hidden="false" customHeight="false" outlineLevel="0" collapsed="false">
      <c r="A8" s="5" t="s">
        <v>896</v>
      </c>
      <c r="B8" s="0" t="s">
        <v>897</v>
      </c>
    </row>
    <row r="9" customFormat="false" ht="17.15" hidden="false" customHeight="false" outlineLevel="0" collapsed="false">
      <c r="A9" s="5" t="s">
        <v>898</v>
      </c>
      <c r="B9" s="0" t="s">
        <v>899</v>
      </c>
    </row>
    <row r="10" customFormat="false" ht="17.15" hidden="false" customHeight="false" outlineLevel="0" collapsed="false">
      <c r="A10" s="5" t="s">
        <v>900</v>
      </c>
      <c r="B10" s="0" t="s">
        <v>901</v>
      </c>
    </row>
    <row r="11" customFormat="false" ht="17.15" hidden="false" customHeight="false" outlineLevel="0" collapsed="false">
      <c r="A11" s="5" t="s">
        <v>902</v>
      </c>
      <c r="B11" s="0" t="s">
        <v>903</v>
      </c>
    </row>
    <row r="12" customFormat="false" ht="17.15" hidden="false" customHeight="false" outlineLevel="0" collapsed="false">
      <c r="A12" s="5" t="s">
        <v>904</v>
      </c>
      <c r="B12" s="0" t="s">
        <v>905</v>
      </c>
    </row>
    <row r="13" customFormat="false" ht="17.15" hidden="false" customHeight="false" outlineLevel="0" collapsed="false">
      <c r="A13" s="5" t="s">
        <v>906</v>
      </c>
      <c r="B13" s="0" t="s">
        <v>907</v>
      </c>
    </row>
    <row r="14" customFormat="false" ht="17.15" hidden="false" customHeight="false" outlineLevel="0" collapsed="false">
      <c r="A14" s="5" t="s">
        <v>908</v>
      </c>
      <c r="B14" s="0" t="s">
        <v>909</v>
      </c>
    </row>
    <row r="15" customFormat="false" ht="17.15" hidden="false" customHeight="false" outlineLevel="0" collapsed="false">
      <c r="A15" s="5" t="s">
        <v>910</v>
      </c>
      <c r="B15" s="0" t="s">
        <v>911</v>
      </c>
    </row>
    <row r="16" customFormat="false" ht="17.15" hidden="false" customHeight="false" outlineLevel="0" collapsed="false">
      <c r="A16" s="5" t="s">
        <v>912</v>
      </c>
      <c r="B16" s="0" t="s">
        <v>913</v>
      </c>
    </row>
    <row r="17" customFormat="false" ht="17.15" hidden="false" customHeight="false" outlineLevel="0" collapsed="false">
      <c r="A17" s="5" t="s">
        <v>914</v>
      </c>
      <c r="B17" s="0" t="s">
        <v>915</v>
      </c>
    </row>
    <row r="18" customFormat="false" ht="17.15" hidden="false" customHeight="false" outlineLevel="0" collapsed="false">
      <c r="A18" s="5" t="s">
        <v>916</v>
      </c>
      <c r="B18" s="0" t="s">
        <v>917</v>
      </c>
    </row>
    <row r="19" customFormat="false" ht="17.15" hidden="false" customHeight="false" outlineLevel="0" collapsed="false">
      <c r="A19" s="5" t="s">
        <v>918</v>
      </c>
      <c r="B19" s="0" t="s">
        <v>919</v>
      </c>
    </row>
    <row r="20" customFormat="false" ht="17.15" hidden="false" customHeight="false" outlineLevel="0" collapsed="false">
      <c r="A20" s="5" t="s">
        <v>920</v>
      </c>
      <c r="B20" s="0" t="s">
        <v>921</v>
      </c>
    </row>
    <row r="21" customFormat="false" ht="17.15" hidden="false" customHeight="false" outlineLevel="0" collapsed="false">
      <c r="A21" s="5" t="s">
        <v>922</v>
      </c>
      <c r="B21" s="0" t="s">
        <v>923</v>
      </c>
    </row>
    <row r="22" customFormat="false" ht="17.15" hidden="false" customHeight="false" outlineLevel="0" collapsed="false">
      <c r="A22" s="5" t="s">
        <v>924</v>
      </c>
      <c r="B22" s="0" t="s">
        <v>925</v>
      </c>
    </row>
    <row r="23" customFormat="false" ht="17.15" hidden="false" customHeight="false" outlineLevel="0" collapsed="false">
      <c r="A23" s="5" t="s">
        <v>926</v>
      </c>
      <c r="B23" s="0" t="s">
        <v>927</v>
      </c>
    </row>
    <row r="24" customFormat="false" ht="17.15" hidden="false" customHeight="false" outlineLevel="0" collapsed="false">
      <c r="A24" s="5" t="s">
        <v>928</v>
      </c>
      <c r="B24" s="5" t="s">
        <v>929</v>
      </c>
    </row>
    <row r="25" customFormat="false" ht="15" hidden="false" customHeight="false" outlineLevel="0" collapsed="false">
      <c r="A25" s="0" t="s">
        <v>930</v>
      </c>
      <c r="B25" s="5" t="s">
        <v>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2026-10-25T04:42:25Z</dcterms:created>
  <dc:creator>openpyxl</dc:creator>
  <dc:description/>
  <dc:language>en-US</dc:language>
  <cp:lastModifiedBy/>
  <dcterms:modified xsi:type="dcterms:W3CDTF">2026-10-25T04:42:25Z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