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" sheetId="1" state="visible" r:id="rId3"/>
    <sheet name="Calc" sheetId="2" state="visible" r:id="rId4"/>
    <sheet name="Bridge" sheetId="3" state="visible" r:id="rId5"/>
  </sheets>
  <definedNames>
    <definedName function="false" hidden="false" name="ai2_amzn_2024" vbProcedure="false">In!$E$158</definedName>
    <definedName function="false" hidden="false" name="ai2_amzn_2025" vbProcedure="false">In!$E$163</definedName>
    <definedName function="false" hidden="false" name="ai2_amzn_2026" vbProcedure="false">In!$E$168</definedName>
    <definedName function="false" hidden="false" name="ai2_amzn_2027" vbProcedure="false">In!$E$173</definedName>
    <definedName function="false" hidden="false" name="ai2_amzn_2028" vbProcedure="false">In!$E$178</definedName>
    <definedName function="false" hidden="false" name="ai2_amzn_2029" vbProcedure="false">In!$E$183</definedName>
    <definedName function="false" hidden="false" name="ai2_crwv_2024" vbProcedure="false">In!$E$273</definedName>
    <definedName function="false" hidden="false" name="ai2_crwv_2025" vbProcedure="false">In!$E$278</definedName>
    <definedName function="false" hidden="false" name="ai2_crwv_2026" vbProcedure="false">In!$E$283</definedName>
    <definedName function="false" hidden="false" name="ai2_crwv_2027" vbProcedure="false">In!$E$288</definedName>
    <definedName function="false" hidden="false" name="ai2_crwv_2028" vbProcedure="false">In!$E$293</definedName>
    <definedName function="false" hidden="false" name="ai2_crwv_2029" vbProcedure="false">In!$E$298</definedName>
    <definedName function="false" hidden="false" name="ai2_googl_2024" vbProcedure="false">In!$E$120</definedName>
    <definedName function="false" hidden="false" name="ai2_googl_2025" vbProcedure="false">In!$E$125</definedName>
    <definedName function="false" hidden="false" name="ai2_googl_2026" vbProcedure="false">In!$E$130</definedName>
    <definedName function="false" hidden="false" name="ai2_googl_2027" vbProcedure="false">In!$E$135</definedName>
    <definedName function="false" hidden="false" name="ai2_googl_2028" vbProcedure="false">In!$E$140</definedName>
    <definedName function="false" hidden="false" name="ai2_googl_2029" vbProcedure="false">In!$E$145</definedName>
    <definedName function="false" hidden="false" name="ai2_meta_2024" vbProcedure="false">In!$E$196</definedName>
    <definedName function="false" hidden="false" name="ai2_meta_2025" vbProcedure="false">In!$E$201</definedName>
    <definedName function="false" hidden="false" name="ai2_meta_2026" vbProcedure="false">In!$E$206</definedName>
    <definedName function="false" hidden="false" name="ai2_meta_2027" vbProcedure="false">In!$E$211</definedName>
    <definedName function="false" hidden="false" name="ai2_meta_2028" vbProcedure="false">In!$E$216</definedName>
    <definedName function="false" hidden="false" name="ai2_meta_2029" vbProcedure="false">In!$E$221</definedName>
    <definedName function="false" hidden="false" name="ai2_msft_2024" vbProcedure="false">In!$E$81</definedName>
    <definedName function="false" hidden="false" name="ai2_msft_2025" vbProcedure="false">In!$E$86</definedName>
    <definedName function="false" hidden="false" name="ai2_msft_2026" vbProcedure="false">In!$E$91</definedName>
    <definedName function="false" hidden="false" name="ai2_msft_2027" vbProcedure="false">In!$E$96</definedName>
    <definedName function="false" hidden="false" name="ai2_msft_2028" vbProcedure="false">In!$E$101</definedName>
    <definedName function="false" hidden="false" name="ai2_msft_2029" vbProcedure="false">In!$E$106</definedName>
    <definedName function="false" hidden="false" name="ai2_nbis_2024" vbProcedure="false">In!$E$311</definedName>
    <definedName function="false" hidden="false" name="ai2_nbis_2025" vbProcedure="false">In!$E$316</definedName>
    <definedName function="false" hidden="false" name="ai2_nbis_2026" vbProcedure="false">In!$E$321</definedName>
    <definedName function="false" hidden="false" name="ai2_nbis_2027" vbProcedure="false">In!$E$326</definedName>
    <definedName function="false" hidden="false" name="ai2_nbis_2028" vbProcedure="false">In!$E$331</definedName>
    <definedName function="false" hidden="false" name="ai2_nbis_2029" vbProcedure="false">In!$E$336</definedName>
    <definedName function="false" hidden="false" name="ai2_orcl_2024" vbProcedure="false">In!$E$234</definedName>
    <definedName function="false" hidden="false" name="ai2_orcl_2025" vbProcedure="false">In!$E$239</definedName>
    <definedName function="false" hidden="false" name="ai2_orcl_2026" vbProcedure="false">In!$E$244</definedName>
    <definedName function="false" hidden="false" name="ai2_orcl_2027" vbProcedure="false">In!$E$249</definedName>
    <definedName function="false" hidden="false" name="ai2_orcl_2028" vbProcedure="false">In!$E$254</definedName>
    <definedName function="false" hidden="false" name="ai2_orcl_2029" vbProcedure="false">In!$E$259</definedName>
    <definedName function="false" hidden="false" name="ai_amzn" vbProcedure="false">In!$E$76</definedName>
    <definedName function="false" hidden="false" name="ai_amzn_hi" vbProcedure="false">In!$F$76</definedName>
    <definedName function="false" hidden="false" name="ai_amzn_lo" vbProcedure="false">In!$D$76</definedName>
    <definedName function="false" hidden="false" name="ai_sh" vbProcedure="false">In!$E$75</definedName>
    <definedName function="false" hidden="false" name="ai_sh_hi" vbProcedure="false">In!$F$75</definedName>
    <definedName function="false" hidden="false" name="ai_sh_lo" vbProcedure="false">In!$D$75</definedName>
    <definedName function="false" hidden="false" name="cap2_msft_2025" vbProcedure="false">In!$E$116</definedName>
    <definedName function="false" hidden="false" name="cap2_orcl_2025" vbProcedure="false">In!$E$269</definedName>
    <definedName function="false" hidden="false" name="cn_add_2026" vbProcedure="false">In!$E$67</definedName>
    <definedName function="false" hidden="false" name="cn_add_2027" vbProcedure="false">In!$E$68</definedName>
    <definedName function="false" hidden="false" name="cn_add_2028" vbProcedure="false">In!$E$69</definedName>
    <definedName function="false" hidden="false" name="cn_add_2029" vbProcedure="false">In!$E$70</definedName>
    <definedName function="false" hidden="false" name="fye_amzn" vbProcedure="false">In!$E$155</definedName>
    <definedName function="false" hidden="false" name="fye_crwv" vbProcedure="false">In!$E$270</definedName>
    <definedName function="false" hidden="false" name="fye_googl" vbProcedure="false">In!$E$117</definedName>
    <definedName function="false" hidden="false" name="fye_meta" vbProcedure="false">In!$E$193</definedName>
    <definedName function="false" hidden="false" name="fye_msft" vbProcedure="false">In!$E$78</definedName>
    <definedName function="false" hidden="false" name="fye_nbis" vbProcedure="false">In!$E$308</definedName>
    <definedName function="false" hidden="false" name="fye_orcl" vbProcedure="false">In!$E$231</definedName>
    <definedName function="false" hidden="false" name="gai_ant_2024" vbProcedure="false">In!$E$389</definedName>
    <definedName function="false" hidden="false" name="gai_ant_2025" vbProcedure="false">In!$E$390</definedName>
    <definedName function="false" hidden="false" name="gai_ant_2026" vbProcedure="false">In!$E$391</definedName>
    <definedName function="false" hidden="false" name="gai_ant_2027" vbProcedure="false">In!$E$392</definedName>
    <definedName function="false" hidden="false" name="gai_ant_2028" vbProcedure="false">In!$E$393</definedName>
    <definedName function="false" hidden="false" name="gai_ant_2029" vbProcedure="false">In!$E$394</definedName>
    <definedName function="false" hidden="false" name="gai_oai_2024" vbProcedure="false">In!$E$377</definedName>
    <definedName function="false" hidden="false" name="gai_oai_2025" vbProcedure="false">In!$E$378</definedName>
    <definedName function="false" hidden="false" name="gai_oai_2026" vbProcedure="false">In!$E$379</definedName>
    <definedName function="false" hidden="false" name="gai_oai_2027" vbProcedure="false">In!$E$380</definedName>
    <definedName function="false" hidden="false" name="gai_oai_2028" vbProcedure="false">In!$E$381</definedName>
    <definedName function="false" hidden="false" name="gai_oai_2029" vbProcedure="false">In!$E$382</definedName>
    <definedName function="false" hidden="false" name="gai_xai_2024" vbProcedure="false">In!$E$365</definedName>
    <definedName function="false" hidden="false" name="gai_xai_2025" vbProcedure="false">In!$E$366</definedName>
    <definedName function="false" hidden="false" name="gai_xai_2026" vbProcedure="false">In!$E$367</definedName>
    <definedName function="false" hidden="false" name="gai_xai_2027" vbProcedure="false">In!$E$368</definedName>
    <definedName function="false" hidden="false" name="gai_xai_2028" vbProcedure="false">In!$E$369</definedName>
    <definedName function="false" hidden="false" name="gai_xai_2029" vbProcedure="false">In!$E$370</definedName>
    <definedName function="false" hidden="false" name="gcap_amzn_2024" vbProcedure="false">In!$E$186</definedName>
    <definedName function="false" hidden="false" name="gcap_amzn_2025" vbProcedure="false">In!$E$187</definedName>
    <definedName function="false" hidden="false" name="gcap_amzn_2026" vbProcedure="false">In!$E$188</definedName>
    <definedName function="false" hidden="false" name="gcap_amzn_2027" vbProcedure="false">In!$E$189</definedName>
    <definedName function="false" hidden="false" name="gcap_amzn_2028" vbProcedure="false">In!$E$190</definedName>
    <definedName function="false" hidden="false" name="gcap_amzn_2029" vbProcedure="false">In!$E$191</definedName>
    <definedName function="false" hidden="false" name="gcap_amzn_2030" vbProcedure="false">In!$E$192</definedName>
    <definedName function="false" hidden="false" name="gcap_crwv_2024" vbProcedure="false">In!$E$301</definedName>
    <definedName function="false" hidden="false" name="gcap_crwv_2025" vbProcedure="false">In!$E$302</definedName>
    <definedName function="false" hidden="false" name="gcap_crwv_2026" vbProcedure="false">In!$E$303</definedName>
    <definedName function="false" hidden="false" name="gcap_crwv_2027" vbProcedure="false">In!$E$304</definedName>
    <definedName function="false" hidden="false" name="gcap_crwv_2028" vbProcedure="false">In!$E$305</definedName>
    <definedName function="false" hidden="false" name="gcap_crwv_2029" vbProcedure="false">In!$E$306</definedName>
    <definedName function="false" hidden="false" name="gcap_crwv_2030" vbProcedure="false">In!$E$307</definedName>
    <definedName function="false" hidden="false" name="gcap_googl_2024" vbProcedure="false">In!$E$148</definedName>
    <definedName function="false" hidden="false" name="gcap_googl_2025" vbProcedure="false">In!$E$149</definedName>
    <definedName function="false" hidden="false" name="gcap_googl_2026" vbProcedure="false">In!$E$150</definedName>
    <definedName function="false" hidden="false" name="gcap_googl_2027" vbProcedure="false">In!$E$151</definedName>
    <definedName function="false" hidden="false" name="gcap_googl_2028" vbProcedure="false">In!$E$152</definedName>
    <definedName function="false" hidden="false" name="gcap_googl_2029" vbProcedure="false">In!$E$153</definedName>
    <definedName function="false" hidden="false" name="gcap_googl_2030" vbProcedure="false">In!$E$154</definedName>
    <definedName function="false" hidden="false" name="gcap_meta_2024" vbProcedure="false">In!$E$224</definedName>
    <definedName function="false" hidden="false" name="gcap_meta_2025" vbProcedure="false">In!$E$225</definedName>
    <definedName function="false" hidden="false" name="gcap_meta_2026" vbProcedure="false">In!$E$226</definedName>
    <definedName function="false" hidden="false" name="gcap_meta_2027" vbProcedure="false">In!$E$227</definedName>
    <definedName function="false" hidden="false" name="gcap_meta_2028" vbProcedure="false">In!$E$228</definedName>
    <definedName function="false" hidden="false" name="gcap_meta_2029" vbProcedure="false">In!$E$229</definedName>
    <definedName function="false" hidden="false" name="gcap_meta_2030" vbProcedure="false">In!$E$230</definedName>
    <definedName function="false" hidden="false" name="gcap_msft_2024" vbProcedure="false">In!$E$109</definedName>
    <definedName function="false" hidden="false" name="gcap_msft_2025" vbProcedure="false">In!$E$110</definedName>
    <definedName function="false" hidden="false" name="gcap_msft_2026" vbProcedure="false">In!$E$111</definedName>
    <definedName function="false" hidden="false" name="gcap_msft_2027" vbProcedure="false">In!$E$112</definedName>
    <definedName function="false" hidden="false" name="gcap_msft_2028" vbProcedure="false">In!$E$113</definedName>
    <definedName function="false" hidden="false" name="gcap_msft_2029" vbProcedure="false">In!$E$114</definedName>
    <definedName function="false" hidden="false" name="gcap_msft_2030" vbProcedure="false">In!$E$115</definedName>
    <definedName function="false" hidden="false" name="gcap_nbis_2024" vbProcedure="false">In!$E$339</definedName>
    <definedName function="false" hidden="false" name="gcap_nbis_2025" vbProcedure="false">In!$E$340</definedName>
    <definedName function="false" hidden="false" name="gcap_nbis_2026" vbProcedure="false">In!$E$341</definedName>
    <definedName function="false" hidden="false" name="gcap_nbis_2027" vbProcedure="false">In!$E$342</definedName>
    <definedName function="false" hidden="false" name="gcap_nbis_2028" vbProcedure="false">In!$E$343</definedName>
    <definedName function="false" hidden="false" name="gcap_nbis_2029" vbProcedure="false">In!$E$344</definedName>
    <definedName function="false" hidden="false" name="gcap_nbis_2030" vbProcedure="false">In!$E$345</definedName>
    <definedName function="false" hidden="false" name="gcap_orcl_2024" vbProcedure="false">In!$E$262</definedName>
    <definedName function="false" hidden="false" name="gcap_orcl_2025" vbProcedure="false">In!$E$263</definedName>
    <definedName function="false" hidden="false" name="gcap_orcl_2026" vbProcedure="false">In!$E$264</definedName>
    <definedName function="false" hidden="false" name="gcap_orcl_2027" vbProcedure="false">In!$E$265</definedName>
    <definedName function="false" hidden="false" name="gcap_orcl_2028" vbProcedure="false">In!$E$266</definedName>
    <definedName function="false" hidden="false" name="gcap_orcl_2029" vbProcedure="false">In!$E$267</definedName>
    <definedName function="false" hidden="false" name="gcap_orcl_2030" vbProcedure="false">In!$E$268</definedName>
    <definedName function="false" hidden="false" name="hold_oth" vbProcedure="false">In!$E$47</definedName>
    <definedName function="false" hidden="false" name="hold_oth_hi" vbProcedure="false">In!$F$47</definedName>
    <definedName function="false" hidden="false" name="hold_oth_lo" vbProcedure="false">In!$D$47</definedName>
    <definedName function="false" hidden="false" name="inv_k" vbProcedure="false">In!$E$43</definedName>
    <definedName function="false" hidden="false" name="inv_k_hi" vbProcedure="false">In!$F$43</definedName>
    <definedName function="false" hidden="false" name="inv_k_lo" vbProcedure="false">In!$D$43</definedName>
    <definedName function="false" hidden="false" name="lag" vbProcedure="false">In!$E$42</definedName>
    <definedName function="false" hidden="false" name="lag_hi" vbProcedure="false">In!$F$42</definedName>
    <definedName function="false" hidden="false" name="lag_lo" vbProcedure="false">In!$D$42</definedName>
    <definedName function="false" hidden="false" name="main_amzn_2024" vbProcedure="false">In!$E$160</definedName>
    <definedName function="false" hidden="false" name="main_amzn_2025" vbProcedure="false">In!$E$165</definedName>
    <definedName function="false" hidden="false" name="main_amzn_2026" vbProcedure="false">In!$E$170</definedName>
    <definedName function="false" hidden="false" name="main_amzn_2027" vbProcedure="false">In!$E$175</definedName>
    <definedName function="false" hidden="false" name="main_amzn_2028" vbProcedure="false">In!$E$180</definedName>
    <definedName function="false" hidden="false" name="main_amzn_2029" vbProcedure="false">In!$E$185</definedName>
    <definedName function="false" hidden="false" name="main_crwv_2024" vbProcedure="false">In!$E$275</definedName>
    <definedName function="false" hidden="false" name="main_crwv_2025" vbProcedure="false">In!$E$280</definedName>
    <definedName function="false" hidden="false" name="main_crwv_2026" vbProcedure="false">In!$E$285</definedName>
    <definedName function="false" hidden="false" name="main_crwv_2027" vbProcedure="false">In!$E$290</definedName>
    <definedName function="false" hidden="false" name="main_crwv_2028" vbProcedure="false">In!$E$295</definedName>
    <definedName function="false" hidden="false" name="main_crwv_2029" vbProcedure="false">In!$E$300</definedName>
    <definedName function="false" hidden="false" name="main_googl_2024" vbProcedure="false">In!$E$122</definedName>
    <definedName function="false" hidden="false" name="main_googl_2025" vbProcedure="false">In!$E$127</definedName>
    <definedName function="false" hidden="false" name="main_googl_2026" vbProcedure="false">In!$E$132</definedName>
    <definedName function="false" hidden="false" name="main_googl_2027" vbProcedure="false">In!$E$137</definedName>
    <definedName function="false" hidden="false" name="main_googl_2028" vbProcedure="false">In!$E$142</definedName>
    <definedName function="false" hidden="false" name="main_googl_2029" vbProcedure="false">In!$E$147</definedName>
    <definedName function="false" hidden="false" name="main_meta_2024" vbProcedure="false">In!$E$198</definedName>
    <definedName function="false" hidden="false" name="main_meta_2025" vbProcedure="false">In!$E$203</definedName>
    <definedName function="false" hidden="false" name="main_meta_2026" vbProcedure="false">In!$E$208</definedName>
    <definedName function="false" hidden="false" name="main_meta_2027" vbProcedure="false">In!$E$213</definedName>
    <definedName function="false" hidden="false" name="main_meta_2028" vbProcedure="false">In!$E$218</definedName>
    <definedName function="false" hidden="false" name="main_meta_2029" vbProcedure="false">In!$E$223</definedName>
    <definedName function="false" hidden="false" name="main_msft_2024" vbProcedure="false">In!$E$83</definedName>
    <definedName function="false" hidden="false" name="main_msft_2025" vbProcedure="false">In!$E$88</definedName>
    <definedName function="false" hidden="false" name="main_msft_2026" vbProcedure="false">In!$E$93</definedName>
    <definedName function="false" hidden="false" name="main_msft_2027" vbProcedure="false">In!$E$98</definedName>
    <definedName function="false" hidden="false" name="main_msft_2028" vbProcedure="false">In!$E$103</definedName>
    <definedName function="false" hidden="false" name="main_msft_2029" vbProcedure="false">In!$E$108</definedName>
    <definedName function="false" hidden="false" name="main_nbis_2024" vbProcedure="false">In!$E$313</definedName>
    <definedName function="false" hidden="false" name="main_nbis_2025" vbProcedure="false">In!$E$318</definedName>
    <definedName function="false" hidden="false" name="main_nbis_2026" vbProcedure="false">In!$E$323</definedName>
    <definedName function="false" hidden="false" name="main_nbis_2027" vbProcedure="false">In!$E$328</definedName>
    <definedName function="false" hidden="false" name="main_nbis_2028" vbProcedure="false">In!$E$333</definedName>
    <definedName function="false" hidden="false" name="main_nbis_2029" vbProcedure="false">In!$E$338</definedName>
    <definedName function="false" hidden="false" name="main_orcl_2024" vbProcedure="false">In!$E$236</definedName>
    <definedName function="false" hidden="false" name="main_orcl_2025" vbProcedure="false">In!$E$241</definedName>
    <definedName function="false" hidden="false" name="main_orcl_2026" vbProcedure="false">In!$E$246</definedName>
    <definedName function="false" hidden="false" name="main_orcl_2027" vbProcedure="false">In!$E$251</definedName>
    <definedName function="false" hidden="false" name="main_orcl_2028" vbProcedure="false">In!$E$256</definedName>
    <definedName function="false" hidden="false" name="main_orcl_2029" vbProcedure="false">In!$E$261</definedName>
    <definedName function="false" hidden="false" name="nnv_mkt_2026" vbProcedure="false">In!$E$63</definedName>
    <definedName function="false" hidden="false" name="nnv_mkt_2027" vbProcedure="false">In!$E$64</definedName>
    <definedName function="false" hidden="false" name="nnv_mkt_2028" vbProcedure="false">In!$E$65</definedName>
    <definedName function="false" hidden="false" name="nnv_mkt_2029" vbProcedure="false">In!$E$66</definedName>
    <definedName function="false" hidden="false" name="nvc_gb_jh" vbProcedure="false">In!$E$51</definedName>
    <definedName function="false" hidden="false" name="nvc_gb_tk" vbProcedure="false">In!$E$50</definedName>
    <definedName function="false" hidden="false" name="nv_dc_25" vbProcedure="false">In!$E$48</definedName>
    <definedName function="false" hidden="false" name="nv_dc_26" vbProcedure="false">In!$E$49</definedName>
    <definedName function="false" hidden="false" name="oth_ye_2025" vbProcedure="false">In!$E$71</definedName>
    <definedName function="false" hidden="false" name="pfacN_2024" vbProcedure="false">In!$E$348</definedName>
    <definedName function="false" hidden="false" name="pfacN_2025" vbProcedure="false">In!$E$350</definedName>
    <definedName function="false" hidden="false" name="pfacN_2026" vbProcedure="false">In!$E$352</definedName>
    <definedName function="false" hidden="false" name="pfacN_2027" vbProcedure="false">In!$E$354</definedName>
    <definedName function="false" hidden="false" name="pfacN_2028" vbProcedure="false">In!$E$356</definedName>
    <definedName function="false" hidden="false" name="pfacN_2029" vbProcedure="false">In!$E$358</definedName>
    <definedName function="false" hidden="false" name="pfac_amzn_2024" vbProcedure="false">In!$E$157</definedName>
    <definedName function="false" hidden="false" name="pfac_amzn_2025" vbProcedure="false">In!$E$162</definedName>
    <definedName function="false" hidden="false" name="pfac_amzn_2026" vbProcedure="false">In!$E$167</definedName>
    <definedName function="false" hidden="false" name="pfac_amzn_2027" vbProcedure="false">In!$E$172</definedName>
    <definedName function="false" hidden="false" name="pfac_amzn_2028" vbProcedure="false">In!$E$177</definedName>
    <definedName function="false" hidden="false" name="pfac_amzn_2029" vbProcedure="false">In!$E$182</definedName>
    <definedName function="false" hidden="false" name="pfac_crwv_2024" vbProcedure="false">In!$E$272</definedName>
    <definedName function="false" hidden="false" name="pfac_crwv_2025" vbProcedure="false">In!$E$277</definedName>
    <definedName function="false" hidden="false" name="pfac_crwv_2026" vbProcedure="false">In!$E$282</definedName>
    <definedName function="false" hidden="false" name="pfac_crwv_2027" vbProcedure="false">In!$E$287</definedName>
    <definedName function="false" hidden="false" name="pfac_crwv_2028" vbProcedure="false">In!$E$292</definedName>
    <definedName function="false" hidden="false" name="pfac_crwv_2029" vbProcedure="false">In!$E$297</definedName>
    <definedName function="false" hidden="false" name="pfac_googl_2024" vbProcedure="false">In!$E$119</definedName>
    <definedName function="false" hidden="false" name="pfac_googl_2025" vbProcedure="false">In!$E$124</definedName>
    <definedName function="false" hidden="false" name="pfac_googl_2026" vbProcedure="false">In!$E$129</definedName>
    <definedName function="false" hidden="false" name="pfac_googl_2027" vbProcedure="false">In!$E$134</definedName>
    <definedName function="false" hidden="false" name="pfac_googl_2028" vbProcedure="false">In!$E$139</definedName>
    <definedName function="false" hidden="false" name="pfac_googl_2029" vbProcedure="false">In!$E$144</definedName>
    <definedName function="false" hidden="false" name="pfac_meta_2024" vbProcedure="false">In!$E$195</definedName>
    <definedName function="false" hidden="false" name="pfac_meta_2025" vbProcedure="false">In!$E$200</definedName>
    <definedName function="false" hidden="false" name="pfac_meta_2026" vbProcedure="false">In!$E$205</definedName>
    <definedName function="false" hidden="false" name="pfac_meta_2027" vbProcedure="false">In!$E$210</definedName>
    <definedName function="false" hidden="false" name="pfac_meta_2028" vbProcedure="false">In!$E$215</definedName>
    <definedName function="false" hidden="false" name="pfac_meta_2029" vbProcedure="false">In!$E$220</definedName>
    <definedName function="false" hidden="false" name="pfac_msft_2024" vbProcedure="false">In!$E$80</definedName>
    <definedName function="false" hidden="false" name="pfac_msft_2025" vbProcedure="false">In!$E$85</definedName>
    <definedName function="false" hidden="false" name="pfac_msft_2026" vbProcedure="false">In!$E$90</definedName>
    <definedName function="false" hidden="false" name="pfac_msft_2027" vbProcedure="false">In!$E$95</definedName>
    <definedName function="false" hidden="false" name="pfac_msft_2028" vbProcedure="false">In!$E$100</definedName>
    <definedName function="false" hidden="false" name="pfac_msft_2029" vbProcedure="false">In!$E$105</definedName>
    <definedName function="false" hidden="false" name="pfac_nbis_2024" vbProcedure="false">In!$E$310</definedName>
    <definedName function="false" hidden="false" name="pfac_nbis_2025" vbProcedure="false">In!$E$315</definedName>
    <definedName function="false" hidden="false" name="pfac_nbis_2026" vbProcedure="false">In!$E$320</definedName>
    <definedName function="false" hidden="false" name="pfac_nbis_2027" vbProcedure="false">In!$E$325</definedName>
    <definedName function="false" hidden="false" name="pfac_nbis_2028" vbProcedure="false">In!$E$330</definedName>
    <definedName function="false" hidden="false" name="pfac_nbis_2029" vbProcedure="false">In!$E$335</definedName>
    <definedName function="false" hidden="false" name="pfac_orcl_2024" vbProcedure="false">In!$E$233</definedName>
    <definedName function="false" hidden="false" name="pfac_orcl_2025" vbProcedure="false">In!$E$238</definedName>
    <definedName function="false" hidden="false" name="pfac_orcl_2026" vbProcedure="false">In!$E$243</definedName>
    <definedName function="false" hidden="false" name="pfac_orcl_2027" vbProcedure="false">In!$E$248</definedName>
    <definedName function="false" hidden="false" name="pfac_orcl_2028" vbProcedure="false">In!$E$253</definedName>
    <definedName function="false" hidden="false" name="pfac_orcl_2029" vbProcedure="false">In!$E$258</definedName>
    <definedName function="false" hidden="false" name="pgw_vr" vbProcedure="false">In!$E$46</definedName>
    <definedName function="false" hidden="false" name="pgw_vr_hi" vbProcedure="false">In!$F$46</definedName>
    <definedName function="false" hidden="false" name="pgw_vr_lo" vbProcedure="false">In!$D$46</definedName>
    <definedName function="false" hidden="false" name="pitN_2024" vbProcedure="false">In!$E$347</definedName>
    <definedName function="false" hidden="false" name="pitN_2025" vbProcedure="false">In!$E$349</definedName>
    <definedName function="false" hidden="false" name="pitN_2026" vbProcedure="false">In!$E$351</definedName>
    <definedName function="false" hidden="false" name="pitN_2027" vbProcedure="false">In!$E$353</definedName>
    <definedName function="false" hidden="false" name="pitN_2028" vbProcedure="false">In!$E$355</definedName>
    <definedName function="false" hidden="false" name="pitN_2029" vbProcedure="false">In!$E$357</definedName>
    <definedName function="false" hidden="false" name="pit_amzn_2024" vbProcedure="false">In!$E$156</definedName>
    <definedName function="false" hidden="false" name="pit_amzn_2025" vbProcedure="false">In!$E$161</definedName>
    <definedName function="false" hidden="false" name="pit_amzn_2026" vbProcedure="false">In!$E$166</definedName>
    <definedName function="false" hidden="false" name="pit_amzn_2027" vbProcedure="false">In!$E$171</definedName>
    <definedName function="false" hidden="false" name="pit_amzn_2028" vbProcedure="false">In!$E$176</definedName>
    <definedName function="false" hidden="false" name="pit_amzn_2029" vbProcedure="false">In!$E$181</definedName>
    <definedName function="false" hidden="false" name="pit_crwv_2024" vbProcedure="false">In!$E$271</definedName>
    <definedName function="false" hidden="false" name="pit_crwv_2025" vbProcedure="false">In!$E$276</definedName>
    <definedName function="false" hidden="false" name="pit_crwv_2026" vbProcedure="false">In!$E$281</definedName>
    <definedName function="false" hidden="false" name="pit_crwv_2027" vbProcedure="false">In!$E$286</definedName>
    <definedName function="false" hidden="false" name="pit_crwv_2028" vbProcedure="false">In!$E$291</definedName>
    <definedName function="false" hidden="false" name="pit_crwv_2029" vbProcedure="false">In!$E$296</definedName>
    <definedName function="false" hidden="false" name="pit_googl_2024" vbProcedure="false">In!$E$118</definedName>
    <definedName function="false" hidden="false" name="pit_googl_2025" vbProcedure="false">In!$E$123</definedName>
    <definedName function="false" hidden="false" name="pit_googl_2026" vbProcedure="false">In!$E$128</definedName>
    <definedName function="false" hidden="false" name="pit_googl_2027" vbProcedure="false">In!$E$133</definedName>
    <definedName function="false" hidden="false" name="pit_googl_2028" vbProcedure="false">In!$E$138</definedName>
    <definedName function="false" hidden="false" name="pit_googl_2029" vbProcedure="false">In!$E$143</definedName>
    <definedName function="false" hidden="false" name="pit_meta_2024" vbProcedure="false">In!$E$194</definedName>
    <definedName function="false" hidden="false" name="pit_meta_2025" vbProcedure="false">In!$E$199</definedName>
    <definedName function="false" hidden="false" name="pit_meta_2026" vbProcedure="false">In!$E$204</definedName>
    <definedName function="false" hidden="false" name="pit_meta_2027" vbProcedure="false">In!$E$209</definedName>
    <definedName function="false" hidden="false" name="pit_meta_2028" vbProcedure="false">In!$E$214</definedName>
    <definedName function="false" hidden="false" name="pit_meta_2029" vbProcedure="false">In!$E$219</definedName>
    <definedName function="false" hidden="false" name="pit_msft_2024" vbProcedure="false">In!$E$79</definedName>
    <definedName function="false" hidden="false" name="pit_msft_2025" vbProcedure="false">In!$E$84</definedName>
    <definedName function="false" hidden="false" name="pit_msft_2026" vbProcedure="false">In!$E$89</definedName>
    <definedName function="false" hidden="false" name="pit_msft_2027" vbProcedure="false">In!$E$94</definedName>
    <definedName function="false" hidden="false" name="pit_msft_2028" vbProcedure="false">In!$E$99</definedName>
    <definedName function="false" hidden="false" name="pit_msft_2029" vbProcedure="false">In!$E$104</definedName>
    <definedName function="false" hidden="false" name="pit_nbis_2024" vbProcedure="false">In!$E$309</definedName>
    <definedName function="false" hidden="false" name="pit_nbis_2025" vbProcedure="false">In!$E$314</definedName>
    <definedName function="false" hidden="false" name="pit_nbis_2026" vbProcedure="false">In!$E$319</definedName>
    <definedName function="false" hidden="false" name="pit_nbis_2027" vbProcedure="false">In!$E$324</definedName>
    <definedName function="false" hidden="false" name="pit_nbis_2028" vbProcedure="false">In!$E$329</definedName>
    <definedName function="false" hidden="false" name="pit_nbis_2029" vbProcedure="false">In!$E$334</definedName>
    <definedName function="false" hidden="false" name="pit_orcl_2024" vbProcedure="false">In!$E$232</definedName>
    <definedName function="false" hidden="false" name="pit_orcl_2025" vbProcedure="false">In!$E$237</definedName>
    <definedName function="false" hidden="false" name="pit_orcl_2026" vbProcedure="false">In!$E$242</definedName>
    <definedName function="false" hidden="false" name="pit_orcl_2027" vbProcedure="false">In!$E$247</definedName>
    <definedName function="false" hidden="false" name="pit_orcl_2028" vbProcedure="false">In!$E$252</definedName>
    <definedName function="false" hidden="false" name="pit_orcl_2029" vbProcedure="false">In!$E$257</definedName>
    <definedName function="false" hidden="false" name="retire" vbProcedure="false">In!$E$44</definedName>
    <definedName function="false" hidden="false" name="retire_hi" vbProcedure="false">In!$F$44</definedName>
    <definedName function="false" hidden="false" name="retire_lo" vbProcedure="false">In!$D$44</definedName>
    <definedName function="false" hidden="false" name="site_amzn_2024" vbProcedure="false">In!$E$159</definedName>
    <definedName function="false" hidden="false" name="site_amzn_2025" vbProcedure="false">In!$E$164</definedName>
    <definedName function="false" hidden="false" name="site_amzn_2026" vbProcedure="false">In!$E$169</definedName>
    <definedName function="false" hidden="false" name="site_amzn_2027" vbProcedure="false">In!$E$174</definedName>
    <definedName function="false" hidden="false" name="site_amzn_2028" vbProcedure="false">In!$E$179</definedName>
    <definedName function="false" hidden="false" name="site_amzn_2029" vbProcedure="false">In!$E$184</definedName>
    <definedName function="false" hidden="false" name="site_ant_2024" vbProcedure="false">In!$E$383</definedName>
    <definedName function="false" hidden="false" name="site_ant_2025" vbProcedure="false">In!$E$384</definedName>
    <definedName function="false" hidden="false" name="site_ant_2026" vbProcedure="false">In!$E$385</definedName>
    <definedName function="false" hidden="false" name="site_ant_2027" vbProcedure="false">In!$E$386</definedName>
    <definedName function="false" hidden="false" name="site_ant_2028" vbProcedure="false">In!$E$387</definedName>
    <definedName function="false" hidden="false" name="site_ant_2029" vbProcedure="false">In!$E$388</definedName>
    <definedName function="false" hidden="false" name="site_crwv_2024" vbProcedure="false">In!$E$274</definedName>
    <definedName function="false" hidden="false" name="site_crwv_2025" vbProcedure="false">In!$E$279</definedName>
    <definedName function="false" hidden="false" name="site_crwv_2026" vbProcedure="false">In!$E$284</definedName>
    <definedName function="false" hidden="false" name="site_crwv_2027" vbProcedure="false">In!$E$289</definedName>
    <definedName function="false" hidden="false" name="site_crwv_2028" vbProcedure="false">In!$E$294</definedName>
    <definedName function="false" hidden="false" name="site_crwv_2029" vbProcedure="false">In!$E$299</definedName>
    <definedName function="false" hidden="false" name="site_googl_2024" vbProcedure="false">In!$E$121</definedName>
    <definedName function="false" hidden="false" name="site_googl_2025" vbProcedure="false">In!$E$126</definedName>
    <definedName function="false" hidden="false" name="site_googl_2026" vbProcedure="false">In!$E$131</definedName>
    <definedName function="false" hidden="false" name="site_googl_2027" vbProcedure="false">In!$E$136</definedName>
    <definedName function="false" hidden="false" name="site_googl_2028" vbProcedure="false">In!$E$141</definedName>
    <definedName function="false" hidden="false" name="site_googl_2029" vbProcedure="false">In!$E$146</definedName>
    <definedName function="false" hidden="false" name="site_meta_2024" vbProcedure="false">In!$E$197</definedName>
    <definedName function="false" hidden="false" name="site_meta_2025" vbProcedure="false">In!$E$202</definedName>
    <definedName function="false" hidden="false" name="site_meta_2026" vbProcedure="false">In!$E$207</definedName>
    <definedName function="false" hidden="false" name="site_meta_2027" vbProcedure="false">In!$E$212</definedName>
    <definedName function="false" hidden="false" name="site_meta_2028" vbProcedure="false">In!$E$217</definedName>
    <definedName function="false" hidden="false" name="site_meta_2029" vbProcedure="false">In!$E$222</definedName>
    <definedName function="false" hidden="false" name="site_msft_2024" vbProcedure="false">In!$E$82</definedName>
    <definedName function="false" hidden="false" name="site_msft_2025" vbProcedure="false">In!$E$87</definedName>
    <definedName function="false" hidden="false" name="site_msft_2026" vbProcedure="false">In!$E$92</definedName>
    <definedName function="false" hidden="false" name="site_msft_2027" vbProcedure="false">In!$E$97</definedName>
    <definedName function="false" hidden="false" name="site_msft_2028" vbProcedure="false">In!$E$102</definedName>
    <definedName function="false" hidden="false" name="site_msft_2029" vbProcedure="false">In!$E$107</definedName>
    <definedName function="false" hidden="false" name="site_nbis_2024" vbProcedure="false">In!$E$312</definedName>
    <definedName function="false" hidden="false" name="site_nbis_2025" vbProcedure="false">In!$E$317</definedName>
    <definedName function="false" hidden="false" name="site_nbis_2026" vbProcedure="false">In!$E$322</definedName>
    <definedName function="false" hidden="false" name="site_nbis_2027" vbProcedure="false">In!$E$327</definedName>
    <definedName function="false" hidden="false" name="site_nbis_2028" vbProcedure="false">In!$E$332</definedName>
    <definedName function="false" hidden="false" name="site_nbis_2029" vbProcedure="false">In!$E$337</definedName>
    <definedName function="false" hidden="false" name="site_oai_2024" vbProcedure="false">In!$E$371</definedName>
    <definedName function="false" hidden="false" name="site_oai_2025" vbProcedure="false">In!$E$372</definedName>
    <definedName function="false" hidden="false" name="site_oai_2026" vbProcedure="false">In!$E$373</definedName>
    <definedName function="false" hidden="false" name="site_oai_2027" vbProcedure="false">In!$E$374</definedName>
    <definedName function="false" hidden="false" name="site_oai_2028" vbProcedure="false">In!$E$375</definedName>
    <definedName function="false" hidden="false" name="site_oai_2029" vbProcedure="false">In!$E$376</definedName>
    <definedName function="false" hidden="false" name="site_orcl_2024" vbProcedure="false">In!$E$235</definedName>
    <definedName function="false" hidden="false" name="site_orcl_2025" vbProcedure="false">In!$E$240</definedName>
    <definedName function="false" hidden="false" name="site_orcl_2026" vbProcedure="false">In!$E$245</definedName>
    <definedName function="false" hidden="false" name="site_orcl_2027" vbProcedure="false">In!$E$250</definedName>
    <definedName function="false" hidden="false" name="site_orcl_2028" vbProcedure="false">In!$E$255</definedName>
    <definedName function="false" hidden="false" name="site_orcl_2029" vbProcedure="false">In!$E$260</definedName>
    <definedName function="false" hidden="false" name="site_xai_2024" vbProcedure="false">In!$E$359</definedName>
    <definedName function="false" hidden="false" name="site_xai_2025" vbProcedure="false">In!$E$360</definedName>
    <definedName function="false" hidden="false" name="site_xai_2026" vbProcedure="false">In!$E$361</definedName>
    <definedName function="false" hidden="false" name="site_xai_2027" vbProcedure="false">In!$E$362</definedName>
    <definedName function="false" hidden="false" name="site_xai_2028" vbProcedure="false">In!$E$363</definedName>
    <definedName function="false" hidden="false" name="site_xai_2029" vbProcedure="false">In!$E$364</definedName>
    <definedName function="false" hidden="false" name="s_b10_2026" vbProcedure="false">In!$E$38</definedName>
    <definedName function="false" hidden="false" name="s_b10_2027" vbProcedure="false">In!$E$39</definedName>
    <definedName function="false" hidden="false" name="s_b10_2028" vbProcedure="false">In!$E$40</definedName>
    <definedName function="false" hidden="false" name="s_b10_2029" vbProcedure="false">In!$E$41</definedName>
    <definedName function="false" hidden="false" name="s_b1_2026" vbProcedure="false">In!$E$5</definedName>
    <definedName function="false" hidden="false" name="s_b1_2027" vbProcedure="false">In!$E$6</definedName>
    <definedName function="false" hidden="false" name="s_b1_2028" vbProcedure="false">In!$E$7</definedName>
    <definedName function="false" hidden="false" name="s_b1_2029" vbProcedure="false">In!$E$8</definedName>
    <definedName function="false" hidden="false" name="s_b2_2026" vbProcedure="false">In!$E$9</definedName>
    <definedName function="false" hidden="false" name="s_b2_2027" vbProcedure="false">In!$E$10</definedName>
    <definedName function="false" hidden="false" name="s_b2_2028" vbProcedure="false">In!$E$11</definedName>
    <definedName function="false" hidden="false" name="s_b2_2029" vbProcedure="false">In!$E$12</definedName>
    <definedName function="false" hidden="false" name="s_b3_2025" vbProcedure="false">In!$E$13</definedName>
    <definedName function="false" hidden="false" name="s_b3_2026" vbProcedure="false">In!$E$14</definedName>
    <definedName function="false" hidden="false" name="s_b3_2027" vbProcedure="false">In!$E$15</definedName>
    <definedName function="false" hidden="false" name="s_b3_2028" vbProcedure="false">In!$E$16</definedName>
    <definedName function="false" hidden="false" name="s_b3_2029" vbProcedure="false">In!$E$17</definedName>
    <definedName function="false" hidden="false" name="s_b4_2026" vbProcedure="false">In!$E$18</definedName>
    <definedName function="false" hidden="false" name="s_b4_2027" vbProcedure="false">In!$E$19</definedName>
    <definedName function="false" hidden="false" name="s_b4_2028" vbProcedure="false">In!$E$20</definedName>
    <definedName function="false" hidden="false" name="s_b4_2029" vbProcedure="false">In!$E$21</definedName>
    <definedName function="false" hidden="false" name="s_b5_2026" vbProcedure="false">In!$E$22</definedName>
    <definedName function="false" hidden="false" name="s_b5_2027" vbProcedure="false">In!$E$23</definedName>
    <definedName function="false" hidden="false" name="s_b5_2028" vbProcedure="false">In!$E$24</definedName>
    <definedName function="false" hidden="false" name="s_b5_2029" vbProcedure="false">In!$E$25</definedName>
    <definedName function="false" hidden="false" name="s_b6_2026" vbProcedure="false">In!$E$26</definedName>
    <definedName function="false" hidden="false" name="s_b6_2027" vbProcedure="false">In!$E$27</definedName>
    <definedName function="false" hidden="false" name="s_b6_2028" vbProcedure="false">In!$E$28</definedName>
    <definedName function="false" hidden="false" name="s_b6_2029" vbProcedure="false">In!$E$29</definedName>
    <definedName function="false" hidden="false" name="s_b7m_2026" vbProcedure="false">In!$E$30</definedName>
    <definedName function="false" hidden="false" name="s_b7m_2027" vbProcedure="false">In!$E$31</definedName>
    <definedName function="false" hidden="false" name="s_b7m_2028" vbProcedure="false">In!$E$32</definedName>
    <definedName function="false" hidden="false" name="s_b7m_2029" vbProcedure="false">In!$E$33</definedName>
    <definedName function="false" hidden="false" name="s_b8_2026" vbProcedure="false">In!$E$34</definedName>
    <definedName function="false" hidden="false" name="s_b8_2027" vbProcedure="false">In!$E$35</definedName>
    <definedName function="false" hidden="false" name="s_b8_2028" vbProcedure="false">In!$E$36</definedName>
    <definedName function="false" hidden="false" name="s_b8_2029" vbProcedure="false">In!$E$37</definedName>
    <definedName function="false" hidden="false" name="s_cap_oth_2026" vbProcedure="false">In!$E$45</definedName>
    <definedName function="false" hidden="false" name="tolband" vbProcedure="false">In!$E$72</definedName>
    <definedName function="false" hidden="false" name="tolband_hi" vbProcedure="false">In!$F$72</definedName>
    <definedName function="false" hidden="false" name="tolband_lo" vbProcedure="false">In!$D$72</definedName>
    <definedName function="false" hidden="false" name="wb1" vbProcedure="false">In!$E$73</definedName>
    <definedName function="false" hidden="false" name="wb1_hi" vbProcedure="false">In!$F$73</definedName>
    <definedName function="false" hidden="false" name="wb1_lo" vbProcedure="false">In!$D$73</definedName>
    <definedName function="false" hidden="false" name="wb2" vbProcedure="false">In!$E$74</definedName>
    <definedName function="false" hidden="false" name="wb2_hi" vbProcedure="false">In!$F$74</definedName>
    <definedName function="false" hidden="false" name="wb2_lo" vbProcedure="false">In!$D$74</definedName>
    <definedName function="false" hidden="false" name="wt_new_2025" vbProcedure="false">In!$E$53</definedName>
    <definedName function="false" hidden="false" name="wt_new_2026" vbProcedure="false">In!$E$54</definedName>
    <definedName function="false" hidden="false" name="wt_new_2027" vbProcedure="false">In!$E$55</definedName>
    <definedName function="false" hidden="false" name="wt_new_2028" vbProcedure="false">In!$E$56</definedName>
    <definedName function="false" hidden="false" name="wt_new_2029" vbProcedure="false">In!$E$57</definedName>
    <definedName function="false" hidden="false" name="wt_ye_2025" vbProcedure="false">In!$E$58</definedName>
    <definedName function="false" hidden="false" name="wt_ye_2026" vbProcedure="false">In!$E$59</definedName>
    <definedName function="false" hidden="false" name="wt_ye_2027" vbProcedure="false">In!$E$60</definedName>
    <definedName function="false" hidden="false" name="wt_ye_2028" vbProcedure="false">In!$E$61</definedName>
    <definedName function="false" hidden="false" name="wt_ye_2029" vbProcedure="false">In!$E$62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<sst xmlns="http://schemas.openxmlformats.org/spreadsheetml/2006/main" count="3425" uniqueCount="1998">
  <si>
    <r>
      <rPr>
        <b val="true"/>
        <sz val="11"/>
        <rFont val="Cambria"/>
        <family val="0"/>
        <charset val="1"/>
      </rPr>
      <t xml:space="preserve">In — R4 Wattonomics </t>
    </r>
    <r>
      <rPr>
        <b val="true"/>
        <sz val="11"/>
        <rFont val="Noto Sans CJK SC"/>
        <family val="2"/>
      </rPr>
      <t xml:space="preserve">側歸因的輸入。藍字＝輸入：取自 </t>
    </r>
    <r>
      <rPr>
        <b val="true"/>
        <sz val="11"/>
        <rFont val="Cambria"/>
        <family val="0"/>
        <charset val="1"/>
      </rPr>
      <t xml:space="preserve">20261031_Wattonomics_v0.1.7.xlsx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Wattonomics v0.1.7</t>
    </r>
    <r>
      <rPr>
        <b val="true"/>
        <sz val="11"/>
        <rFont val="Noto Sans CJK SC"/>
        <family val="2"/>
      </rPr>
      <t xml:space="preserve">）與 </t>
    </r>
    <r>
      <rPr>
        <b val="true"/>
        <sz val="11"/>
        <rFont val="Cambria"/>
        <family val="0"/>
        <charset val="1"/>
      </rPr>
      <t xml:space="preserve">20261031_R4</t>
    </r>
    <r>
      <rPr>
        <b val="true"/>
        <sz val="11"/>
        <rFont val="Noto Sans CJK SC"/>
        <family val="2"/>
      </rPr>
      <t xml:space="preserve">對帳橋接</t>
    </r>
    <r>
      <rPr>
        <b val="true"/>
        <sz val="11"/>
        <rFont val="Cambria"/>
        <family val="0"/>
        <charset val="1"/>
      </rPr>
      <t xml:space="preserve">_Siliconomics</t>
    </r>
    <r>
      <rPr>
        <b val="true"/>
        <sz val="11"/>
        <rFont val="Noto Sans CJK SC"/>
        <family val="2"/>
      </rPr>
      <t xml:space="preserve">側</t>
    </r>
    <r>
      <rPr>
        <b val="true"/>
        <sz val="11"/>
        <rFont val="Cambria"/>
        <family val="0"/>
        <charset val="1"/>
      </rPr>
      <t xml:space="preserve">_r1.xlsx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側 </t>
    </r>
    <r>
      <rPr>
        <b val="true"/>
        <sz val="11"/>
        <rFont val="Cambria"/>
        <family val="0"/>
        <charset val="1"/>
      </rPr>
      <t xml:space="preserve">r1</t>
    </r>
    <r>
      <rPr>
        <b val="true"/>
        <sz val="11"/>
        <rFont val="Noto Sans CJK SC"/>
        <family val="2"/>
      </rPr>
      <t xml:space="preserve">）；低／高為敏感度。標記沿用專案規則。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</si>
  <si>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</si>
  <si>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</si>
  <si>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</si>
  <si>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</si>
  <si>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</si>
  <si>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</si>
  <si>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</si>
  <si>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</t>
  </si>
  <si>
    <r>
      <rPr>
        <b val="true"/>
        <sz val="11"/>
        <rFont val="Cambria"/>
        <family val="0"/>
        <charset val="1"/>
      </rPr>
      <t xml:space="preserve">A. Siliconomics </t>
    </r>
    <r>
      <rPr>
        <b val="true"/>
        <sz val="11"/>
        <rFont val="Noto Sans CJK SC"/>
        <family val="2"/>
      </rPr>
      <t xml:space="preserve">側 </t>
    </r>
    <r>
      <rPr>
        <b val="true"/>
        <sz val="11"/>
        <rFont val="Cambria"/>
        <family val="0"/>
        <charset val="1"/>
      </rPr>
      <t xml:space="preserve">R4 </t>
    </r>
    <r>
      <rPr>
        <b val="true"/>
        <sz val="11"/>
        <rFont val="Noto Sans CJK SC"/>
        <family val="2"/>
      </rPr>
      <t xml:space="preserve">橋接 </t>
    </r>
    <r>
      <rPr>
        <b val="true"/>
        <sz val="11"/>
        <rFont val="Cambria"/>
        <family val="0"/>
        <charset val="1"/>
      </rPr>
      <t xml:space="preserve">r1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Bridge </t>
    </r>
    <r>
      <rPr>
        <b val="true"/>
        <sz val="11"/>
        <rFont val="Noto Sans CJK SC"/>
        <family val="2"/>
      </rPr>
      <t xml:space="preserve">頁值）</t>
    </r>
  </si>
  <si>
    <t xml:space="preserve">s_b1_2026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</si>
  <si>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（成本等值；出貨年） </t>
    </r>
    <r>
      <rPr>
        <sz val="11"/>
        <color theme="1"/>
        <rFont val="Calibri"/>
        <family val="2"/>
        <charset val="1"/>
      </rPr>
      <t xml:space="preserve">2026</t>
    </r>
  </si>
  <si>
    <t xml:space="preserve">GW</t>
  </si>
  <si>
    <t xml:space="preserve">Derived</t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</si>
  <si>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Bridge!E4</t>
    </r>
  </si>
  <si>
    <t xml:space="preserve">s_b1_2027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</si>
  <si>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（成本等值；出貨年）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</si>
  <si>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Bridge!F4</t>
    </r>
  </si>
  <si>
    <t xml:space="preserve">s_b1_2028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</si>
  <si>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（成本等值；出貨年）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</si>
  <si>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Bridge!G4</t>
    </r>
  </si>
  <si>
    <t xml:space="preserve">s_b1_2029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</si>
  <si>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（成本等值；出貨年）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</si>
  <si>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Bridge!H4</t>
    </r>
  </si>
  <si>
    <t xml:space="preserve">s_b2_2026</t>
  </si>
  <si>
    <r>
      <rPr>
        <sz val="11"/>
        <color theme="1"/>
        <rFont val="Noto Sans CJK SC"/>
        <family val="2"/>
      </rPr>
      <t xml:space="preserve">① 成本等值 → 實體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</si>
  <si>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Bridge!E7</t>
    </r>
  </si>
  <si>
    <t xml:space="preserve">s_b2_2027</t>
  </si>
  <si>
    <r>
      <rPr>
        <sz val="11"/>
        <color theme="1"/>
        <rFont val="Noto Sans CJK SC"/>
        <family val="2"/>
      </rPr>
      <t xml:space="preserve">① 成本等值 → 實體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</si>
  <si>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Bridge!F7</t>
    </r>
  </si>
  <si>
    <t xml:space="preserve">s_b2_2028</t>
  </si>
  <si>
    <r>
      <rPr>
        <sz val="11"/>
        <color theme="1"/>
        <rFont val="Noto Sans CJK SC"/>
        <family val="2"/>
      </rPr>
      <t xml:space="preserve">① 成本等值 → 實體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</si>
  <si>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Bridge!G7</t>
    </r>
  </si>
  <si>
    <t xml:space="preserve">s_b2_2029</t>
  </si>
  <si>
    <r>
      <rPr>
        <sz val="11"/>
        <color theme="1"/>
        <rFont val="Noto Sans CJK SC"/>
        <family val="2"/>
      </rPr>
      <t xml:space="preserve">① 成本等值 → 實體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</si>
  <si>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Bridge!H7</t>
    </r>
  </si>
  <si>
    <t xml:space="preserve">s_b3_2025</t>
  </si>
  <si>
    <r>
      <rPr>
        <sz val="11"/>
        <color theme="1"/>
        <rFont val="Noto Sans CJK SC"/>
        <family val="2"/>
      </rPr>
      <t xml:space="preserve">實體出貨 </t>
    </r>
    <r>
      <rPr>
        <sz val="11"/>
        <color theme="1"/>
        <rFont val="Calibri"/>
        <family val="2"/>
        <charset val="1"/>
      </rPr>
      <t xml:space="preserve">GW 2025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</si>
  <si>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Bridge!D8</t>
    </r>
  </si>
  <si>
    <t xml:space="preserve">s_b3_2026</t>
  </si>
  <si>
    <r>
      <rPr>
        <sz val="11"/>
        <color theme="1"/>
        <rFont val="Noto Sans CJK SC"/>
        <family val="2"/>
      </rPr>
      <t xml:space="preserve">實體出貨 </t>
    </r>
    <r>
      <rPr>
        <sz val="11"/>
        <color theme="1"/>
        <rFont val="Calibri"/>
        <family val="2"/>
        <charset val="1"/>
      </rPr>
      <t xml:space="preserve">GW 2026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</si>
  <si>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Bridge!E8</t>
    </r>
  </si>
  <si>
    <t xml:space="preserve">s_b3_2027</t>
  </si>
  <si>
    <r>
      <rPr>
        <sz val="11"/>
        <color theme="1"/>
        <rFont val="Noto Sans CJK SC"/>
        <family val="2"/>
      </rPr>
      <t xml:space="preserve">實體出貨 </t>
    </r>
    <r>
      <rPr>
        <sz val="11"/>
        <color theme="1"/>
        <rFont val="Calibri"/>
        <family val="2"/>
        <charset val="1"/>
      </rPr>
      <t xml:space="preserve">GW 2027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</si>
  <si>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Bridge!F8</t>
    </r>
  </si>
  <si>
    <t xml:space="preserve">s_b3_2028</t>
  </si>
  <si>
    <r>
      <rPr>
        <sz val="11"/>
        <color theme="1"/>
        <rFont val="Noto Sans CJK SC"/>
        <family val="2"/>
      </rPr>
      <t xml:space="preserve">實體出貨 </t>
    </r>
    <r>
      <rPr>
        <sz val="11"/>
        <color theme="1"/>
        <rFont val="Calibri"/>
        <family val="2"/>
        <charset val="1"/>
      </rPr>
      <t xml:space="preserve">GW 2028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</si>
  <si>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Bridge!G8</t>
    </r>
  </si>
  <si>
    <t xml:space="preserve">s_b3_2029</t>
  </si>
  <si>
    <r>
      <rPr>
        <sz val="11"/>
        <color theme="1"/>
        <rFont val="Noto Sans CJK SC"/>
        <family val="2"/>
      </rPr>
      <t xml:space="preserve">實體出貨 </t>
    </r>
    <r>
      <rPr>
        <sz val="11"/>
        <color theme="1"/>
        <rFont val="Calibri"/>
        <family val="2"/>
        <charset val="1"/>
      </rPr>
      <t xml:space="preserve">GW 2029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</si>
  <si>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Bridge!H8</t>
    </r>
  </si>
  <si>
    <t xml:space="preserve">s_b4_2026</t>
  </si>
  <si>
    <r>
      <rPr>
        <sz val="11"/>
        <color theme="1"/>
        <rFont val="Noto Sans CJK SC"/>
        <family val="2"/>
      </rPr>
      <t xml:space="preserve">② 出貨年 → 上線年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</si>
  <si>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Bridge!E9</t>
    </r>
  </si>
  <si>
    <t xml:space="preserve">s_b4_2027</t>
  </si>
  <si>
    <r>
      <rPr>
        <sz val="11"/>
        <color theme="1"/>
        <rFont val="Noto Sans CJK SC"/>
        <family val="2"/>
      </rPr>
      <t xml:space="preserve">② 出貨年 → 上線年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</si>
  <si>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Bridge!F9</t>
    </r>
  </si>
  <si>
    <t xml:space="preserve">s_b4_2028</t>
  </si>
  <si>
    <r>
      <rPr>
        <sz val="11"/>
        <color theme="1"/>
        <rFont val="Noto Sans CJK SC"/>
        <family val="2"/>
      </rPr>
      <t xml:space="preserve">② 出貨年 → 上線年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</si>
  <si>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Bridge!G9</t>
    </r>
  </si>
  <si>
    <t xml:space="preserve">s_b4_2029</t>
  </si>
  <si>
    <r>
      <rPr>
        <sz val="11"/>
        <color theme="1"/>
        <rFont val="Noto Sans CJK SC"/>
        <family val="2"/>
      </rPr>
      <t xml:space="preserve">② 出貨年 → 上線年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</si>
  <si>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Bridge!H9</t>
    </r>
  </si>
  <si>
    <t xml:space="preserve">s_b5_2026</t>
  </si>
  <si>
    <r>
      <rPr>
        <sz val="11"/>
        <color theme="1"/>
        <rFont val="Noto Sans CJK SC"/>
        <family val="2"/>
      </rPr>
      <t xml:space="preserve">③ 未上線庫存增加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</si>
  <si>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Bridge!E10</t>
    </r>
  </si>
  <si>
    <t xml:space="preserve">s_b5_2027</t>
  </si>
  <si>
    <r>
      <rPr>
        <sz val="11"/>
        <color theme="1"/>
        <rFont val="Noto Sans CJK SC"/>
        <family val="2"/>
      </rPr>
      <t xml:space="preserve">③ 未上線庫存增加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</si>
  <si>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Bridge!F10</t>
    </r>
  </si>
  <si>
    <t xml:space="preserve">s_b5_2028</t>
  </si>
  <si>
    <r>
      <rPr>
        <sz val="11"/>
        <color theme="1"/>
        <rFont val="Noto Sans CJK SC"/>
        <family val="2"/>
      </rPr>
      <t xml:space="preserve">③ 未上線庫存增加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</si>
  <si>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Bridge!G10</t>
    </r>
  </si>
  <si>
    <t xml:space="preserve">s_b5_2029</t>
  </si>
  <si>
    <r>
      <rPr>
        <sz val="11"/>
        <color theme="1"/>
        <rFont val="Noto Sans CJK SC"/>
        <family val="2"/>
      </rPr>
      <t xml:space="preserve">③ 未上線庫存增加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</si>
  <si>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Bridge!H10</t>
    </r>
  </si>
  <si>
    <t xml:space="preserve">s_b6_2026</t>
  </si>
  <si>
    <r>
      <rPr>
        <sz val="11"/>
        <color theme="1"/>
        <rFont val="Noto Sans CJK SC"/>
        <family val="2"/>
      </rPr>
      <t xml:space="preserve">④ 汰換（毛 → 淨）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</si>
  <si>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Bridge!E11</t>
    </r>
  </si>
  <si>
    <t xml:space="preserve">s_b6_2027</t>
  </si>
  <si>
    <r>
      <rPr>
        <sz val="11"/>
        <color theme="1"/>
        <rFont val="Noto Sans CJK SC"/>
        <family val="2"/>
      </rPr>
      <t xml:space="preserve">④ 汰換（毛 → 淨）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</si>
  <si>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Bridge!F11</t>
    </r>
  </si>
  <si>
    <t xml:space="preserve">s_b6_2028</t>
  </si>
  <si>
    <r>
      <rPr>
        <sz val="11"/>
        <color theme="1"/>
        <rFont val="Noto Sans CJK SC"/>
        <family val="2"/>
      </rPr>
      <t xml:space="preserve">④ 汰換（毛 → 淨）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</si>
  <si>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Bridge!G11</t>
    </r>
  </si>
  <si>
    <t xml:space="preserve">s_b6_2029</t>
  </si>
  <si>
    <r>
      <rPr>
        <sz val="11"/>
        <color theme="1"/>
        <rFont val="Noto Sans CJK SC"/>
        <family val="2"/>
      </rPr>
      <t xml:space="preserve">④ 汰換（毛 → 淨）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</si>
  <si>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Bridge!H11</t>
    </r>
  </si>
  <si>
    <t xml:space="preserve">s_b7m_2026</t>
  </si>
  <si>
    <r>
      <rPr>
        <sz val="11"/>
        <color theme="1"/>
        <rFont val="Noto Sans CJK SC"/>
        <family val="2"/>
      </rPr>
      <t xml:space="preserve">（揭露）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成本等值 </t>
    </r>
    <r>
      <rPr>
        <sz val="11"/>
        <color theme="1"/>
        <rFont val="Calibri"/>
        <family val="2"/>
        <charset val="1"/>
      </rPr>
      <t xml:space="preserve">GW 2026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</si>
  <si>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Bridge!E13</t>
    </r>
  </si>
  <si>
    <t xml:space="preserve">s_b7m_2027</t>
  </si>
  <si>
    <r>
      <rPr>
        <sz val="11"/>
        <color theme="1"/>
        <rFont val="Noto Sans CJK SC"/>
        <family val="2"/>
      </rPr>
      <t xml:space="preserve">（揭露）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成本等值 </t>
    </r>
    <r>
      <rPr>
        <sz val="11"/>
        <color theme="1"/>
        <rFont val="Calibri"/>
        <family val="2"/>
        <charset val="1"/>
      </rPr>
      <t xml:space="preserve">GW 2027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</si>
  <si>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Bridge!F13</t>
    </r>
  </si>
  <si>
    <t xml:space="preserve">s_b7m_2028</t>
  </si>
  <si>
    <r>
      <rPr>
        <sz val="11"/>
        <color theme="1"/>
        <rFont val="Noto Sans CJK SC"/>
        <family val="2"/>
      </rPr>
      <t xml:space="preserve">（揭露）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成本等值 </t>
    </r>
    <r>
      <rPr>
        <sz val="11"/>
        <color theme="1"/>
        <rFont val="Calibri"/>
        <family val="2"/>
        <charset val="1"/>
      </rPr>
      <t xml:space="preserve">GW 2028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</si>
  <si>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Bridge!G13</t>
    </r>
  </si>
  <si>
    <t xml:space="preserve">s_b7m_2029</t>
  </si>
  <si>
    <r>
      <rPr>
        <sz val="11"/>
        <color theme="1"/>
        <rFont val="Noto Sans CJK SC"/>
        <family val="2"/>
      </rPr>
      <t xml:space="preserve">（揭露）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成本等值 </t>
    </r>
    <r>
      <rPr>
        <sz val="11"/>
        <color theme="1"/>
        <rFont val="Calibri"/>
        <family val="2"/>
        <charset val="1"/>
      </rPr>
      <t xml:space="preserve">GW 2029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</si>
  <si>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Bridge!H13</t>
    </r>
  </si>
  <si>
    <t xml:space="preserve">s_b8_2026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</si>
  <si>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推得淨新增上線 </t>
    </r>
    <r>
      <rPr>
        <sz val="11"/>
        <color theme="1"/>
        <rFont val="Calibri"/>
        <family val="2"/>
        <charset val="1"/>
      </rPr>
      <t xml:space="preserve">IT GW 2026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</si>
  <si>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Bridge!E14</t>
    </r>
  </si>
  <si>
    <t xml:space="preserve">s_b8_2027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</si>
  <si>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推得淨新增上線 </t>
    </r>
    <r>
      <rPr>
        <sz val="11"/>
        <color theme="1"/>
        <rFont val="Calibri"/>
        <family val="2"/>
        <charset val="1"/>
      </rPr>
      <t xml:space="preserve">IT GW 2027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</si>
  <si>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Bridge!F14</t>
    </r>
  </si>
  <si>
    <t xml:space="preserve">s_b8_2028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</si>
  <si>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推得淨新增上線 </t>
    </r>
    <r>
      <rPr>
        <sz val="11"/>
        <color theme="1"/>
        <rFont val="Calibri"/>
        <family val="2"/>
        <charset val="1"/>
      </rPr>
      <t xml:space="preserve">IT GW 2028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</si>
  <si>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Bridge!G14</t>
    </r>
  </si>
  <si>
    <t xml:space="preserve">s_b8_2029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</si>
  <si>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推得淨新增上線 </t>
    </r>
    <r>
      <rPr>
        <sz val="11"/>
        <color theme="1"/>
        <rFont val="Calibri"/>
        <family val="2"/>
        <charset val="1"/>
      </rPr>
      <t xml:space="preserve">IT GW 2029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</si>
  <si>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Bridge!H14</t>
    </r>
  </si>
  <si>
    <t xml:space="preserve">s_b10_2026</t>
  </si>
  <si>
    <r>
      <rPr>
        <sz val="11"/>
        <color theme="1"/>
        <rFont val="Noto Sans CJK SC"/>
        <family val="2"/>
      </rPr>
      <t xml:space="preserve">⑥ 殘差（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</si>
  <si>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Bridge!E17</t>
    </r>
  </si>
  <si>
    <t xml:space="preserve">s_b10_2027</t>
  </si>
  <si>
    <r>
      <rPr>
        <sz val="11"/>
        <color theme="1"/>
        <rFont val="Noto Sans CJK SC"/>
        <family val="2"/>
      </rPr>
      <t xml:space="preserve">⑥ 殘差（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</si>
  <si>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Bridge!F17</t>
    </r>
  </si>
  <si>
    <t xml:space="preserve">s_b10_2028</t>
  </si>
  <si>
    <r>
      <rPr>
        <sz val="11"/>
        <color theme="1"/>
        <rFont val="Noto Sans CJK SC"/>
        <family val="2"/>
      </rPr>
      <t xml:space="preserve">⑥ 殘差（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</si>
  <si>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Bridge!G17</t>
    </r>
  </si>
  <si>
    <t xml:space="preserve">s_b10_2029</t>
  </si>
  <si>
    <r>
      <rPr>
        <sz val="11"/>
        <color theme="1"/>
        <rFont val="Noto Sans CJK SC"/>
        <family val="2"/>
      </rPr>
      <t xml:space="preserve">⑥ 殘差（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</si>
  <si>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Bridge!H17</t>
    </r>
  </si>
  <si>
    <t xml:space="preserve">lag</t>
  </si>
  <si>
    <t xml:space="preserve">出貨到上線的平均延遲（年）</t>
  </si>
  <si>
    <t xml:space="preserve">年</t>
  </si>
  <si>
    <t xml:space="preserve">Assumed</t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</si>
  <si>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In!D52:F52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側同參數，對稱套用）</t>
    </r>
  </si>
  <si>
    <t xml:space="preserve">inv_k</t>
  </si>
  <si>
    <r>
      <rPr>
        <sz val="11"/>
        <color theme="1"/>
        <rFont val="Noto Sans CJK SC"/>
        <family val="2"/>
      </rPr>
      <t xml:space="preserve">已出貨未上線庫存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年出貨（庫存增加＝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出貨年增量）</t>
    </r>
  </si>
  <si>
    <t xml:space="preserve">x</t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</si>
  <si>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In!D58:F58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側同參數，對稱套用）</t>
    </r>
  </si>
  <si>
    <t xml:space="preserve">retire</t>
  </si>
  <si>
    <r>
      <rPr>
        <sz val="11"/>
        <color theme="1"/>
        <rFont val="Noto Sans CJK SC"/>
        <family val="2"/>
      </rPr>
      <t xml:space="preserve">汰換率（舊加速器下線釋出的電力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前一年年底在役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</si>
  <si>
    <t xml:space="preserve">%</t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</si>
  <si>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In!D59:F59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側同參數，對稱套用）</t>
    </r>
  </si>
  <si>
    <t xml:space="preserve">s_cap_oth_2026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</si>
  <si>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、昇騰等）</t>
    </r>
    <r>
      <rPr>
        <sz val="11"/>
        <color theme="1"/>
        <rFont val="Calibri"/>
        <family val="2"/>
        <charset val="1"/>
      </rPr>
      <t xml:space="preserve">AI IT capex 2026</t>
    </r>
  </si>
  <si>
    <t xml:space="preserve">$B</t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</si>
  <si>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In!E33</t>
    </r>
  </si>
  <si>
    <t xml:space="preserve">pgw_vr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</si>
  <si>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</si>
  <si>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$B/GW</t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</si>
  <si>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In!E46</t>
    </r>
    <r>
      <rPr>
        <sz val="11"/>
        <color theme="1"/>
        <rFont val="Noto Sans CJK SC"/>
        <family val="2"/>
      </rPr>
      <t xml:space="preserve">；原出處：</t>
    </r>
    <r>
      <rPr>
        <sz val="11"/>
        <color theme="1"/>
        <rFont val="Calibri"/>
        <family val="2"/>
        <charset val="1"/>
      </rPr>
      <t xml:space="preserve">Tokenomics v21.7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鏡像）</t>
    </r>
  </si>
  <si>
    <t xml:space="preserve">hold_oth</t>
  </si>
  <si>
    <r>
      <rPr>
        <sz val="11"/>
        <color theme="1"/>
        <rFont val="Noto Sans CJK SC"/>
        <family val="2"/>
      </rPr>
      <t xml:space="preserve">持有成本比 其他 </t>
    </r>
    <r>
      <rPr>
        <sz val="11"/>
        <color theme="1"/>
        <rFont val="Calibri"/>
        <family val="2"/>
        <charset val="1"/>
      </rPr>
      <t xml:space="preserve">ASIC ÷ VR200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、昇騰、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客製三者簡單平均）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</si>
  <si>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In!E50</t>
    </r>
    <r>
      <rPr>
        <sz val="11"/>
        <color theme="1"/>
        <rFont val="Noto Sans CJK SC"/>
        <family val="2"/>
      </rPr>
      <t xml:space="preserve">；原出處：</t>
    </r>
    <r>
      <rPr>
        <sz val="11"/>
        <color theme="1"/>
        <rFont val="Calibri"/>
        <family val="2"/>
        <charset val="1"/>
      </rPr>
      <t xml:space="preserve">Tokenomics v21.7 IF_NonNV_Hold_Maia 0.5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_Ascend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_OAI 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值，組合權重未知故取簡單平均</t>
    </r>
  </si>
  <si>
    <t xml:space="preserve">nv_dc_25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</si>
  <si>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</si>
  <si>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</si>
  <si>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In!E53</t>
    </r>
    <r>
      <rPr>
        <sz val="11"/>
        <color theme="1"/>
        <rFont val="Noto Sans CJK SC"/>
        <family val="2"/>
      </rPr>
      <t xml:space="preserve">；原出處：</t>
    </r>
    <r>
      <rPr>
        <sz val="11"/>
        <color theme="1"/>
        <rFont val="Calibri"/>
        <family val="2"/>
        <charset val="1"/>
      </rPr>
      <t xml:space="preserve">NVIDIA 8-K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FY26 Q1–Q4 39.1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41.1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62.3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nvidia/build_nvidia.py Q </t>
    </r>
    <r>
      <rPr>
        <sz val="11"/>
        <color theme="1"/>
        <rFont val="Noto Sans CJK SC"/>
        <family val="2"/>
      </rPr>
      <t xml:space="preserve">頁）</t>
    </r>
  </si>
  <si>
    <t xml:space="preserve">nv_dc_26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</si>
  <si>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錨點（約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</si>
  <si>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</si>
  <si>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In!E54</t>
    </r>
    <r>
      <rPr>
        <sz val="11"/>
        <color theme="1"/>
        <rFont val="Noto Sans CJK SC"/>
        <family val="2"/>
      </rPr>
      <t xml:space="preserve">；原出處：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75.2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指引中點＋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個股模型 </t>
    </r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）</t>
    </r>
  </si>
  <si>
    <t xml:space="preserve">nvc_gb_tk</t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</si>
  <si>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 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</si>
  <si>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In!E61</t>
    </r>
    <r>
      <rPr>
        <sz val="11"/>
        <color theme="1"/>
        <rFont val="Noto Sans CJK SC"/>
        <family val="2"/>
      </rPr>
      <t xml:space="preserve">；原出處：</t>
    </r>
    <r>
      <rPr>
        <sz val="11"/>
        <color theme="1"/>
        <rFont val="Calibri"/>
        <family val="2"/>
        <charset val="1"/>
      </rPr>
      <t xml:space="preserve">TK IF_GPUsPerGW GB300 487,008 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 </t>
    </r>
    <r>
      <rPr>
        <sz val="11"/>
        <color theme="1"/>
        <rFont val="Calibri"/>
        <family val="2"/>
        <charset val="1"/>
      </rPr>
      <t xml:space="preserve">42.8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Siliconomics nv_content</t>
    </r>
    <r>
      <rPr>
        <sz val="11"/>
        <color theme="1"/>
        <rFont val="Noto Sans CJK SC"/>
        <family val="2"/>
      </rPr>
      <t xml:space="preserve">）</t>
    </r>
  </si>
  <si>
    <t xml:space="preserve">nvc_gb_jh</t>
  </si>
  <si>
    <r>
      <rPr>
        <sz val="11"/>
        <color theme="1"/>
        <rFont val="Noto Sans CJK SC"/>
        <family val="2"/>
      </rPr>
      <t xml:space="preserve">黃仁勳說法：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Grace Blackwell</t>
    </r>
    <r>
      <rPr>
        <sz val="11"/>
        <color theme="1"/>
        <rFont val="Noto Sans CJK SC"/>
        <family val="2"/>
      </rPr>
      <t xml:space="preserve">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</si>
  <si>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</si>
  <si>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20261031_R4</t>
    </r>
    <r>
      <rPr>
        <sz val="11"/>
        <color theme="1"/>
        <rFont val="Noto Sans CJK SC"/>
        <family val="2"/>
      </rPr>
      <t xml:space="preserve">對帳橋接</t>
    </r>
    <r>
      <rPr>
        <sz val="11"/>
        <color theme="1"/>
        <rFont val="Calibri"/>
        <family val="2"/>
        <charset val="1"/>
      </rPr>
      <t xml:space="preserve">_Siliconomics</t>
    </r>
    <r>
      <rPr>
        <sz val="11"/>
        <color theme="1"/>
        <rFont val="Noto Sans CJK SC"/>
        <family val="2"/>
      </rPr>
      <t xml:space="preserve">側</t>
    </r>
    <r>
      <rPr>
        <sz val="11"/>
        <color theme="1"/>
        <rFont val="Calibri"/>
        <family val="2"/>
        <charset val="1"/>
      </rPr>
      <t xml:space="preserve">_r1.xlsx In!E62</t>
    </r>
    <r>
      <rPr>
        <sz val="11"/>
        <color theme="1"/>
        <rFont val="Noto Sans CJK SC"/>
        <family val="2"/>
      </rPr>
      <t xml:space="preserve">；原出處：</t>
    </r>
    <r>
      <rPr>
        <sz val="11"/>
        <color theme="1"/>
        <rFont val="Calibri"/>
        <family val="2"/>
        <charset val="1"/>
      </rPr>
      <t xml:space="preserve">247wallst 2026-09-24 </t>
    </r>
    <r>
      <rPr>
        <sz val="11"/>
        <color theme="1"/>
        <rFont val="Noto Sans CJK SC"/>
        <family val="2"/>
      </rPr>
      <t xml:space="preserve">轉述：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Grace Blackwell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（十億美元／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Bg2 Pod 2026-10-15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18 → 20 some → 40 plus</t>
    </r>
    <r>
      <rPr>
        <sz val="11"/>
        <color theme="1"/>
        <rFont val="Noto Sans CJK SC"/>
        <family val="2"/>
      </rPr>
      <t xml:space="preserve">」。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或廠區）未說明</t>
    </r>
  </si>
  <si>
    <r>
      <rPr>
        <b val="true"/>
        <sz val="11"/>
        <rFont val="Cambria"/>
        <family val="0"/>
        <charset val="1"/>
      </rPr>
      <t xml:space="preserve">B. Wattonomics </t>
    </r>
    <r>
      <rPr>
        <b val="true"/>
        <sz val="11"/>
        <rFont val="Noto Sans CJK SC"/>
        <family val="2"/>
      </rPr>
      <t xml:space="preserve">市場層（</t>
    </r>
    <r>
      <rPr>
        <b val="true"/>
        <sz val="11"/>
        <rFont val="Cambria"/>
        <family val="0"/>
        <charset val="1"/>
      </rPr>
      <t xml:space="preserve">20261031_Wattonomics_v0.1.7.xlsx</t>
    </r>
    <r>
      <rPr>
        <b val="true"/>
        <sz val="11"/>
        <rFont val="Noto Sans CJK SC"/>
        <family val="2"/>
      </rPr>
      <t xml:space="preserve">；需求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）</t>
    </r>
  </si>
  <si>
    <t xml:space="preserve">wt_new_2025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</si>
  <si>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（主路徑）</t>
    </r>
    <r>
      <rPr>
        <sz val="11"/>
        <color theme="1"/>
        <rFont val="Calibri"/>
        <family val="2"/>
        <charset val="1"/>
      </rPr>
      <t xml:space="preserve">2025</t>
    </r>
  </si>
  <si>
    <t xml:space="preserve">20261031_Wattonomics_v0.1.7.xlsx Deploy!F19</t>
  </si>
  <si>
    <t xml:space="preserve">wt_new_2026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</si>
  <si>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（主路徑）</t>
    </r>
    <r>
      <rPr>
        <sz val="11"/>
        <color theme="1"/>
        <rFont val="Calibri"/>
        <family val="2"/>
        <charset val="1"/>
      </rPr>
      <t xml:space="preserve">2026</t>
    </r>
  </si>
  <si>
    <t xml:space="preserve">20261031_Wattonomics_v0.1.7.xlsx Deploy!G19</t>
  </si>
  <si>
    <t xml:space="preserve">wt_new_2027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</si>
  <si>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（主路徑）</t>
    </r>
    <r>
      <rPr>
        <sz val="11"/>
        <color theme="1"/>
        <rFont val="Calibri"/>
        <family val="2"/>
        <charset val="1"/>
      </rPr>
      <t xml:space="preserve">2027</t>
    </r>
  </si>
  <si>
    <t xml:space="preserve">20261031_Wattonomics_v0.1.7.xlsx Deploy!H19</t>
  </si>
  <si>
    <t xml:space="preserve">wt_new_2028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</si>
  <si>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（主路徑）</t>
    </r>
    <r>
      <rPr>
        <sz val="11"/>
        <color theme="1"/>
        <rFont val="Calibri"/>
        <family val="2"/>
        <charset val="1"/>
      </rPr>
      <t xml:space="preserve">2028</t>
    </r>
  </si>
  <si>
    <t xml:space="preserve">20261031_Wattonomics_v0.1.7.xlsx Deploy!I19</t>
  </si>
  <si>
    <t xml:space="preserve">wt_new_2029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</si>
  <si>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（主路徑）</t>
    </r>
    <r>
      <rPr>
        <sz val="11"/>
        <color theme="1"/>
        <rFont val="Calibri"/>
        <family val="2"/>
        <charset val="1"/>
      </rPr>
      <t xml:space="preserve">2029</t>
    </r>
  </si>
  <si>
    <t xml:space="preserve">20261031_Wattonomics_v0.1.7.xlsx Deploy!J19</t>
  </si>
  <si>
    <t xml:space="preserve">wt_ye_2025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</si>
  <si>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（主路徑）</t>
    </r>
    <r>
      <rPr>
        <sz val="11"/>
        <color theme="1"/>
        <rFont val="Calibri"/>
        <family val="2"/>
        <charset val="1"/>
      </rPr>
      <t xml:space="preserve">2025</t>
    </r>
  </si>
  <si>
    <t xml:space="preserve">20261031_Wattonomics_v0.1.7.xlsx Deploy!F13</t>
  </si>
  <si>
    <t xml:space="preserve">wt_ye_2026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</si>
  <si>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（主路徑）</t>
    </r>
    <r>
      <rPr>
        <sz val="11"/>
        <color theme="1"/>
        <rFont val="Calibri"/>
        <family val="2"/>
        <charset val="1"/>
      </rPr>
      <t xml:space="preserve">2026</t>
    </r>
  </si>
  <si>
    <t xml:space="preserve">20261031_Wattonomics_v0.1.7.xlsx Deploy!G13</t>
  </si>
  <si>
    <t xml:space="preserve">wt_ye_2027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</si>
  <si>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（主路徑）</t>
    </r>
    <r>
      <rPr>
        <sz val="11"/>
        <color theme="1"/>
        <rFont val="Calibri"/>
        <family val="2"/>
        <charset val="1"/>
      </rPr>
      <t xml:space="preserve">2027</t>
    </r>
  </si>
  <si>
    <t xml:space="preserve">20261031_Wattonomics_v0.1.7.xlsx Deploy!H13</t>
  </si>
  <si>
    <t xml:space="preserve">wt_ye_2028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</si>
  <si>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（主路徑）</t>
    </r>
    <r>
      <rPr>
        <sz val="11"/>
        <color theme="1"/>
        <rFont val="Calibri"/>
        <family val="2"/>
        <charset val="1"/>
      </rPr>
      <t xml:space="preserve">2028</t>
    </r>
  </si>
  <si>
    <t xml:space="preserve">20261031_Wattonomics_v0.1.7.xlsx Deploy!I13</t>
  </si>
  <si>
    <t xml:space="preserve">wt_ye_2029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</si>
  <si>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（主路徑）</t>
    </r>
    <r>
      <rPr>
        <sz val="11"/>
        <color theme="1"/>
        <rFont val="Calibri"/>
        <family val="2"/>
        <charset val="1"/>
      </rPr>
      <t xml:space="preserve">2029</t>
    </r>
  </si>
  <si>
    <t xml:space="preserve">20261031_Wattonomics_v0.1.7.xlsx Deploy!J13</t>
  </si>
  <si>
    <t xml:space="preserve">nnv_mkt_2026</t>
  </si>
  <si>
    <r>
      <rPr>
        <sz val="11"/>
        <color theme="1"/>
        <rFont val="Noto Sans CJK SC"/>
        <family val="2"/>
      </rPr>
      <t xml:space="preserve">市場新增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2026</t>
    </r>
  </si>
  <si>
    <t xml:space="preserve">20261031_Wattonomics_v0.1.7.xlsx Players!G12</t>
  </si>
  <si>
    <t xml:space="preserve">nnv_mkt_2027</t>
  </si>
  <si>
    <r>
      <rPr>
        <sz val="11"/>
        <color theme="1"/>
        <rFont val="Noto Sans CJK SC"/>
        <family val="2"/>
      </rPr>
      <t xml:space="preserve">市場新增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2027</t>
    </r>
  </si>
  <si>
    <t xml:space="preserve">20261031_Wattonomics_v0.1.7.xlsx Players!H12</t>
  </si>
  <si>
    <t xml:space="preserve">nnv_mkt_2028</t>
  </si>
  <si>
    <r>
      <rPr>
        <sz val="11"/>
        <color theme="1"/>
        <rFont val="Noto Sans CJK SC"/>
        <family val="2"/>
      </rPr>
      <t xml:space="preserve">市場新增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2028</t>
    </r>
  </si>
  <si>
    <t xml:space="preserve">20261031_Wattonomics_v0.1.7.xlsx Players!I12</t>
  </si>
  <si>
    <t xml:space="preserve">nnv_mkt_2029</t>
  </si>
  <si>
    <r>
      <rPr>
        <sz val="11"/>
        <color theme="1"/>
        <rFont val="Noto Sans CJK SC"/>
        <family val="2"/>
      </rPr>
      <t xml:space="preserve">市場新增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2029</t>
    </r>
  </si>
  <si>
    <t xml:space="preserve">20261031_Wattonomics_v0.1.7.xlsx Players!J12</t>
  </si>
  <si>
    <t xml:space="preserve">cn_add_2026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</si>
  <si>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中國年新增 </t>
    </r>
    <r>
      <rPr>
        <sz val="11"/>
        <color theme="1"/>
        <rFont val="Calibri"/>
        <family val="2"/>
        <charset val="1"/>
      </rPr>
      <t xml:space="preserve">IT GW 2026</t>
    </r>
  </si>
  <si>
    <t xml:space="preserve">20261031_Wattonomics_v0.1.7.xlsx Players!G283</t>
  </si>
  <si>
    <t xml:space="preserve">cn_add_2027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</si>
  <si>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中國年新增 </t>
    </r>
    <r>
      <rPr>
        <sz val="11"/>
        <color theme="1"/>
        <rFont val="Calibri"/>
        <family val="2"/>
        <charset val="1"/>
      </rPr>
      <t xml:space="preserve">IT GW 2027</t>
    </r>
  </si>
  <si>
    <t xml:space="preserve">20261031_Wattonomics_v0.1.7.xlsx Players!H283</t>
  </si>
  <si>
    <t xml:space="preserve">cn_add_2028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</si>
  <si>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中國年新增 </t>
    </r>
    <r>
      <rPr>
        <sz val="11"/>
        <color theme="1"/>
        <rFont val="Calibri"/>
        <family val="2"/>
        <charset val="1"/>
      </rPr>
      <t xml:space="preserve">IT GW 2028</t>
    </r>
  </si>
  <si>
    <t xml:space="preserve">20261031_Wattonomics_v0.1.7.xlsx Players!I283</t>
  </si>
  <si>
    <t xml:space="preserve">cn_add_2029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</si>
  <si>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中國年新增 </t>
    </r>
    <r>
      <rPr>
        <sz val="11"/>
        <color theme="1"/>
        <rFont val="Calibri"/>
        <family val="2"/>
        <charset val="1"/>
      </rPr>
      <t xml:space="preserve">IT GW 2029</t>
    </r>
  </si>
  <si>
    <t xml:space="preserve">20261031_Wattonomics_v0.1.7.xlsx Players!J283</t>
  </si>
  <si>
    <t xml:space="preserve">oth_ye_2025</t>
  </si>
  <si>
    <r>
      <rPr>
        <sz val="11"/>
        <color theme="1"/>
        <rFont val="Calibri"/>
        <family val="2"/>
        <charset val="1"/>
      </rPr>
      <t xml:space="preserve">Wattonomics</t>
    </r>
    <r>
      <rPr>
        <sz val="11"/>
        <color theme="1"/>
        <rFont val="Noto Sans CJK SC"/>
        <family val="2"/>
      </rPr>
      <t xml:space="preserve">「其他（主權、企業、學研）」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（之後持平）</t>
    </r>
  </si>
  <si>
    <r>
      <rPr>
        <sz val="11"/>
        <color theme="1"/>
        <rFont val="Calibri"/>
        <family val="2"/>
        <charset val="1"/>
      </rPr>
      <t xml:space="preserve">20261031_Wattonomics_v0.1.7.xlsx Players!F296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起無園區列，年新增＝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</si>
  <si>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tolband</t>
  </si>
  <si>
    <r>
      <rPr>
        <sz val="11"/>
        <color theme="1"/>
        <rFont val="Noto Sans CJK SC"/>
        <family val="2"/>
      </rPr>
      <t xml:space="preserve">對帳容許帶（</t>
    </r>
    <r>
      <rPr>
        <sz val="11"/>
        <color theme="1"/>
        <rFont val="Calibri"/>
        <family val="2"/>
        <charset val="1"/>
      </rPr>
      <t xml:space="preserve">±</t>
    </r>
    <r>
      <rPr>
        <sz val="11"/>
        <color theme="1"/>
        <rFont val="Noto Sans CJK SC"/>
        <family val="2"/>
      </rPr>
      <t xml:space="preserve">）</t>
    </r>
  </si>
  <si>
    <t xml:space="preserve">20261031_Wattonomics_v0.1.7.xlsx In!H9:J9</t>
  </si>
  <si>
    <t xml:space="preserve">wb1</t>
  </si>
  <si>
    <r>
      <rPr>
        <sz val="11"/>
        <color theme="1"/>
        <rFont val="Noto Sans CJK SC"/>
        <family val="2"/>
      </rPr>
      <t xml:space="preserve">廠房提前入帳：前一年權重 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 18 </t>
    </r>
    <r>
      <rPr>
        <sz val="11"/>
        <color theme="1"/>
        <rFont val="Noto Sans CJK SC"/>
        <family val="2"/>
      </rPr>
      <t xml:space="preserve">個月→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12→1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24→0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</si>
  <si>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20261031_Wattonomics_v0.1.7.xlsx CapexGW!E4:E6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低／基準／高；</t>
    </r>
    <r>
      <rPr>
        <sz val="11"/>
        <color theme="1"/>
        <rFont val="Calibri"/>
        <family val="2"/>
        <charset val="1"/>
      </rPr>
      <t xml:space="preserve">In!H10:J10</t>
    </r>
    <r>
      <rPr>
        <sz val="11"/>
        <color theme="1"/>
        <rFont val="Noto Sans CJK SC"/>
        <family val="2"/>
      </rPr>
      <t xml:space="preserve">）</t>
    </r>
  </si>
  <si>
    <t xml:space="preserve">wb2</t>
  </si>
  <si>
    <r>
      <rPr>
        <sz val="11"/>
        <color theme="1"/>
        <rFont val="Noto Sans CJK SC"/>
        <family val="2"/>
      </rPr>
      <t xml:space="preserve">廠房提前入帳：前兩年權重 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 18 </t>
    </r>
    <r>
      <rPr>
        <sz val="11"/>
        <color theme="1"/>
        <rFont val="Noto Sans CJK SC"/>
        <family val="2"/>
      </rPr>
      <t xml:space="preserve">個月→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12→0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24→1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</si>
  <si>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20261031_Wattonomics_v0.1.7.xlsx CapexGW!F4:F6</t>
    </r>
    <r>
      <rPr>
        <sz val="11"/>
        <color theme="1"/>
        <rFont val="Noto Sans CJK SC"/>
        <family val="2"/>
      </rPr>
      <t xml:space="preserve">（當年權重 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</si>
  <si>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ai_sh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</si>
  <si>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占比（未覆寫者）</t>
    </r>
  </si>
  <si>
    <t xml:space="preserve">20261031_Wattonomics_v0.1.7.xlsx In!H13:J13</t>
  </si>
  <si>
    <t xml:space="preserve">ai_amzn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</si>
  <si>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占比覆寫</t>
    </r>
  </si>
  <si>
    <t xml:space="preserve">20261031_Wattonomics_v0.1.7.xlsx In!H14:J14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</si>
  <si>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七家：每 </t>
    </r>
    <r>
      <rPr>
        <b val="true"/>
        <sz val="11"/>
        <rFont val="Cambria"/>
        <family val="0"/>
        <charset val="1"/>
      </rPr>
      <t xml:space="preserve">IT GW </t>
    </r>
    <r>
      <rPr>
        <b val="true"/>
        <sz val="11"/>
        <rFont val="Noto Sans CJK SC"/>
        <family val="2"/>
      </rPr>
      <t xml:space="preserve">成本、站點年新增、</t>
    </r>
    <r>
      <rPr>
        <b val="true"/>
        <sz val="11"/>
        <rFont val="Cambria"/>
        <family val="0"/>
        <charset val="1"/>
      </rPr>
      <t xml:space="preserve">In Y2 </t>
    </r>
    <r>
      <rPr>
        <b val="true"/>
        <sz val="11"/>
        <rFont val="Noto Sans CJK SC"/>
        <family val="2"/>
      </rPr>
      <t xml:space="preserve">曆年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資本支出（</t>
    </r>
    <r>
      <rPr>
        <b val="true"/>
        <sz val="11"/>
        <rFont val="Cambria"/>
        <family val="0"/>
        <charset val="1"/>
      </rPr>
      <t xml:space="preserve">CapexGW </t>
    </r>
    <r>
      <rPr>
        <b val="true"/>
        <sz val="11"/>
        <rFont val="Noto Sans CJK SC"/>
        <family val="2"/>
      </rPr>
      <t xml:space="preserve">頁）、</t>
    </r>
    <r>
      <rPr>
        <b val="true"/>
        <sz val="11"/>
        <rFont val="Cambria"/>
        <family val="0"/>
        <charset val="1"/>
      </rPr>
      <t xml:space="preserve">In Y9 </t>
    </r>
    <r>
      <rPr>
        <b val="true"/>
        <sz val="11"/>
        <rFont val="Noto Sans CJK SC"/>
        <family val="2"/>
      </rPr>
      <t xml:space="preserve">個股模型 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資本支出（財年）</t>
    </r>
  </si>
  <si>
    <t xml:space="preserve">fye_msft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</si>
  <si>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財年結束月</t>
    </r>
  </si>
  <si>
    <t xml:space="preserve">月</t>
  </si>
  <si>
    <t xml:space="preserve">20261031_Wattonomics_v0.1.7.xlsx In fye_msft</t>
  </si>
  <si>
    <t xml:space="preserve">pit_msft_2024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</si>
  <si>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2024</t>
    </r>
  </si>
  <si>
    <t xml:space="preserve">20261031_Wattonomics_v0.1.7.xlsx CapexGW!E17</t>
  </si>
  <si>
    <t xml:space="preserve">pfac_msft_2024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</si>
  <si>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2024</t>
    </r>
  </si>
  <si>
    <t xml:space="preserve">20261031_Wattonomics_v0.1.7.xlsx CapexGW!E18</t>
  </si>
  <si>
    <t xml:space="preserve">ai2_msft_2024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</si>
  <si>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2024</t>
    </r>
  </si>
  <si>
    <r>
      <rPr>
        <sz val="11"/>
        <color theme="1"/>
        <rFont val="Calibri"/>
        <family val="2"/>
        <charset val="1"/>
      </rPr>
      <t xml:space="preserve">20261031_Wattonomics_v0.1.7.xlsx CapexGW!E16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</si>
  <si>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site_msft_2024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</si>
  <si>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2024</t>
    </r>
  </si>
  <si>
    <t xml:space="preserve">20261031_Wattonomics_v0.1.7.xlsx CapexGW!E21</t>
  </si>
  <si>
    <t xml:space="preserve">main_msft_2024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</si>
  <si>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2024</t>
    </r>
  </si>
  <si>
    <t xml:space="preserve">20261031_Wattonomics_v0.1.7.xlsx CapexGW!E22</t>
  </si>
  <si>
    <t xml:space="preserve">pit_msft_2025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</si>
  <si>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2025</t>
    </r>
  </si>
  <si>
    <t xml:space="preserve">20261031_Wattonomics_v0.1.7.xlsx CapexGW!F17</t>
  </si>
  <si>
    <t xml:space="preserve">pfac_msft_2025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</si>
  <si>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2025</t>
    </r>
  </si>
  <si>
    <t xml:space="preserve">20261031_Wattonomics_v0.1.7.xlsx CapexGW!F18</t>
  </si>
  <si>
    <t xml:space="preserve">ai2_msft_2025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</si>
  <si>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</si>
  <si>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20261031_Wattonomics_v0.1.7.xlsx CapexGW!F16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</si>
  <si>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site_msft_2025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</si>
  <si>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2025</t>
    </r>
  </si>
  <si>
    <t xml:space="preserve">20261031_Wattonomics_v0.1.7.xlsx CapexGW!F21</t>
  </si>
  <si>
    <t xml:space="preserve">main_msft_2025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</si>
  <si>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2025</t>
    </r>
  </si>
  <si>
    <t xml:space="preserve">20261031_Wattonomics_v0.1.7.xlsx CapexGW!F22</t>
  </si>
  <si>
    <t xml:space="preserve">pit_msft_2026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</si>
  <si>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2026</t>
    </r>
  </si>
  <si>
    <t xml:space="preserve">20261031_Wattonomics_v0.1.7.xlsx CapexGW!G17</t>
  </si>
  <si>
    <t xml:space="preserve">pfac_msft_2026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</si>
  <si>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2026</t>
    </r>
  </si>
  <si>
    <t xml:space="preserve">20261031_Wattonomics_v0.1.7.xlsx CapexGW!G18</t>
  </si>
  <si>
    <t xml:space="preserve">ai2_msft_2026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</si>
  <si>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</si>
  <si>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20261031_Wattonomics_v0.1.7.xlsx CapexGW!G16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</si>
  <si>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site_msft_2026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</si>
  <si>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2026</t>
    </r>
  </si>
  <si>
    <t xml:space="preserve">20261031_Wattonomics_v0.1.7.xlsx CapexGW!G21</t>
  </si>
  <si>
    <t xml:space="preserve">main_msft_2026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</si>
  <si>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2026</t>
    </r>
  </si>
  <si>
    <t xml:space="preserve">20261031_Wattonomics_v0.1.7.xlsx CapexGW!G22</t>
  </si>
  <si>
    <t xml:space="preserve">pit_msft_2027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</si>
  <si>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2027</t>
    </r>
  </si>
  <si>
    <t xml:space="preserve">20261031_Wattonomics_v0.1.7.xlsx CapexGW!H17</t>
  </si>
  <si>
    <t xml:space="preserve">pfac_msft_2027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</si>
  <si>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2027</t>
    </r>
  </si>
  <si>
    <t xml:space="preserve">20261031_Wattonomics_v0.1.7.xlsx CapexGW!H18</t>
  </si>
  <si>
    <t xml:space="preserve">ai2_msft_2027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</si>
  <si>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</si>
  <si>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20261031_Wattonomics_v0.1.7.xlsx CapexGW!H16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</si>
  <si>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site_msft_2027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</si>
  <si>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2027</t>
    </r>
  </si>
  <si>
    <t xml:space="preserve">20261031_Wattonomics_v0.1.7.xlsx CapexGW!H21</t>
  </si>
  <si>
    <t xml:space="preserve">main_msft_2027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</si>
  <si>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2027</t>
    </r>
  </si>
  <si>
    <t xml:space="preserve">20261031_Wattonomics_v0.1.7.xlsx CapexGW!H22</t>
  </si>
  <si>
    <t xml:space="preserve">pit_msft_2028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</si>
  <si>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2028</t>
    </r>
  </si>
  <si>
    <t xml:space="preserve">20261031_Wattonomics_v0.1.7.xlsx CapexGW!I17</t>
  </si>
  <si>
    <t xml:space="preserve">pfac_msft_2028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</si>
  <si>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2028</t>
    </r>
  </si>
  <si>
    <t xml:space="preserve">20261031_Wattonomics_v0.1.7.xlsx CapexGW!I18</t>
  </si>
  <si>
    <t xml:space="preserve">ai2_msft_2028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</si>
  <si>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</si>
  <si>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20261031_Wattonomics_v0.1.7.xlsx CapexGW!I16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</si>
  <si>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site_msft_2028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</si>
  <si>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2028</t>
    </r>
  </si>
  <si>
    <t xml:space="preserve">20261031_Wattonomics_v0.1.7.xlsx CapexGW!I21</t>
  </si>
  <si>
    <t xml:space="preserve">main_msft_2028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</si>
  <si>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2028</t>
    </r>
  </si>
  <si>
    <t xml:space="preserve">20261031_Wattonomics_v0.1.7.xlsx CapexGW!I22</t>
  </si>
  <si>
    <t xml:space="preserve">pit_msft_2029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</si>
  <si>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2029</t>
    </r>
  </si>
  <si>
    <t xml:space="preserve">20261031_Wattonomics_v0.1.7.xlsx CapexGW!J17</t>
  </si>
  <si>
    <t xml:space="preserve">pfac_msft_2029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</si>
  <si>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2029</t>
    </r>
  </si>
  <si>
    <t xml:space="preserve">20261031_Wattonomics_v0.1.7.xlsx CapexGW!J18</t>
  </si>
  <si>
    <t xml:space="preserve">ai2_msft_2029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</si>
  <si>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</si>
  <si>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20261031_Wattonomics_v0.1.7.xlsx CapexGW!J16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</si>
  <si>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site_msft_2029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</si>
  <si>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2029</t>
    </r>
  </si>
  <si>
    <t xml:space="preserve">20261031_Wattonomics_v0.1.7.xlsx CapexGW!J21</t>
  </si>
  <si>
    <t xml:space="preserve">main_msft_2029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</si>
  <si>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2029</t>
    </r>
  </si>
  <si>
    <t xml:space="preserve">20261031_Wattonomics_v0.1.7.xlsx CapexGW!J22</t>
  </si>
  <si>
    <t xml:space="preserve">gcap_msft_2024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</si>
  <si>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FY2024</t>
    </r>
  </si>
  <si>
    <r>
      <rPr>
        <sz val="11"/>
        <color theme="1"/>
        <rFont val="Calibri"/>
        <family val="2"/>
        <charset val="1"/>
      </rPr>
      <t xml:space="preserve">20261031_Wattonomics_v0.1.7.xlsx In!I172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microsoft/dist/20261030_Microsoft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052…</t>
    </r>
    <r>
      <rPr>
        <sz val="11"/>
        <color theme="1"/>
        <rFont val="Noto Sans CJK SC"/>
        <family val="2"/>
      </rPr>
      <t xml:space="preserve">）</t>
    </r>
  </si>
  <si>
    <t xml:space="preserve">gcap_msft_2025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</si>
  <si>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</si>
  <si>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Calibri"/>
        <family val="2"/>
        <charset val="1"/>
      </rPr>
      <t xml:space="preserve">20261031_Wattonomics_v0.1.7.xlsx In!J172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microsoft/dist/20261030_Microsoft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052…</t>
    </r>
    <r>
      <rPr>
        <sz val="11"/>
        <color theme="1"/>
        <rFont val="Noto Sans CJK SC"/>
        <family val="2"/>
      </rPr>
      <t xml:space="preserve">）</t>
    </r>
  </si>
  <si>
    <t xml:space="preserve">gcap_msft_2026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</si>
  <si>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</si>
  <si>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20261031_Wattonomics_v0.1.7.xlsx In!K172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microsoft/dist/20261030_Microsoft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052…</t>
    </r>
    <r>
      <rPr>
        <sz val="11"/>
        <color theme="1"/>
        <rFont val="Noto Sans CJK SC"/>
        <family val="2"/>
      </rPr>
      <t xml:space="preserve">）</t>
    </r>
  </si>
  <si>
    <t xml:space="preserve">gcap_msft_2027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</si>
  <si>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</si>
  <si>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20261031_Wattonomics_v0.1.7.xlsx In!L172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microsoft/dist/20261030_Microsoft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052…</t>
    </r>
    <r>
      <rPr>
        <sz val="11"/>
        <color theme="1"/>
        <rFont val="Noto Sans CJK SC"/>
        <family val="2"/>
      </rPr>
      <t xml:space="preserve">）</t>
    </r>
  </si>
  <si>
    <t xml:space="preserve">gcap_msft_2028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</si>
  <si>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</si>
  <si>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20261031_Wattonomics_v0.1.7.xlsx In!M172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microsoft/dist/20261030_Microsoft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052…</t>
    </r>
    <r>
      <rPr>
        <sz val="11"/>
        <color theme="1"/>
        <rFont val="Noto Sans CJK SC"/>
        <family val="2"/>
      </rPr>
      <t xml:space="preserve">）</t>
    </r>
  </si>
  <si>
    <t xml:space="preserve">gcap_msft_2029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</si>
  <si>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</si>
  <si>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20261031_Wattonomics_v0.1.7.xlsx In!N172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microsoft/dist/20261030_Microsoft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052…</t>
    </r>
    <r>
      <rPr>
        <sz val="11"/>
        <color theme="1"/>
        <rFont val="Noto Sans CJK SC"/>
        <family val="2"/>
      </rPr>
      <t xml:space="preserve">）</t>
    </r>
  </si>
  <si>
    <t xml:space="preserve">gcap_msft_2030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</si>
  <si>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FY2030</t>
    </r>
  </si>
  <si>
    <r>
      <rPr>
        <sz val="11"/>
        <color theme="1"/>
        <rFont val="Calibri"/>
        <family val="2"/>
        <charset val="1"/>
      </rPr>
      <t xml:space="preserve">20261031_Wattonomics_v0.1.7.xlsx In!O172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microsoft/dist/20261030_Microsoft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052…</t>
    </r>
    <r>
      <rPr>
        <sz val="11"/>
        <color theme="1"/>
        <rFont val="Noto Sans CJK SC"/>
        <family val="2"/>
      </rPr>
      <t xml:space="preserve">）</t>
    </r>
  </si>
  <si>
    <t xml:space="preserve">cap2_msft_2025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</si>
  <si>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Y9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，曆年換算補用）</t>
    </r>
  </si>
  <si>
    <r>
      <rPr>
        <sz val="11"/>
        <color theme="1"/>
        <rFont val="Calibri"/>
        <family val="2"/>
        <charset val="1"/>
      </rPr>
      <t xml:space="preserve">20261031_Wattonomics_v0.1.7.xlsx In!J124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現金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增添，不含融資租賃；與 </t>
    </r>
    <r>
      <rPr>
        <sz val="11"/>
        <color theme="1"/>
        <rFont val="Calibri"/>
        <family val="2"/>
        <charset val="1"/>
      </rPr>
      <t xml:space="preserve">Y9 </t>
    </r>
    <r>
      <rPr>
        <sz val="11"/>
        <color theme="1"/>
        <rFont val="Noto Sans CJK SC"/>
        <family val="2"/>
      </rPr>
      <t xml:space="preserve">口徑不同，標 </t>
    </r>
    <r>
      <rPr>
        <sz val="11"/>
        <color theme="1"/>
        <rFont val="Calibri"/>
        <family val="2"/>
        <charset val="1"/>
      </rPr>
      <t xml:space="preserve">Derived </t>
    </r>
    <r>
      <rPr>
        <sz val="11"/>
        <color theme="1"/>
        <rFont val="Noto Sans CJK SC"/>
        <family val="2"/>
      </rPr>
      <t xml:space="preserve">混合）</t>
    </r>
  </si>
  <si>
    <t xml:space="preserve">fye_googl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</si>
  <si>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財年結束月</t>
    </r>
  </si>
  <si>
    <t xml:space="preserve">20261031_Wattonomics_v0.1.7.xlsx In fye_googl</t>
  </si>
  <si>
    <t xml:space="preserve">pit_googl_2024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</si>
  <si>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2024</t>
    </r>
  </si>
  <si>
    <t xml:space="preserve">20261031_Wattonomics_v0.1.7.xlsx CapexGW!E36</t>
  </si>
  <si>
    <t xml:space="preserve">pfac_googl_2024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</si>
  <si>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2024</t>
    </r>
  </si>
  <si>
    <t xml:space="preserve">20261031_Wattonomics_v0.1.7.xlsx CapexGW!E37</t>
  </si>
  <si>
    <t xml:space="preserve">ai2_googl_2024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</si>
  <si>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2024</t>
    </r>
  </si>
  <si>
    <r>
      <rPr>
        <sz val="11"/>
        <color theme="1"/>
        <rFont val="Calibri"/>
        <family val="2"/>
        <charset val="1"/>
      </rPr>
      <t xml:space="preserve">20261031_Wattonomics_v0.1.7.xlsx CapexGW!E35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</si>
  <si>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site_googl_2024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</si>
  <si>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2024</t>
    </r>
  </si>
  <si>
    <t xml:space="preserve">20261031_Wattonomics_v0.1.7.xlsx CapexGW!E40</t>
  </si>
  <si>
    <t xml:space="preserve">main_googl_2024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</si>
  <si>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2024</t>
    </r>
  </si>
  <si>
    <t xml:space="preserve">20261031_Wattonomics_v0.1.7.xlsx CapexGW!E41</t>
  </si>
  <si>
    <t xml:space="preserve">pit_googl_2025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</si>
  <si>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2025</t>
    </r>
  </si>
  <si>
    <t xml:space="preserve">20261031_Wattonomics_v0.1.7.xlsx CapexGW!F36</t>
  </si>
  <si>
    <t xml:space="preserve">pfac_googl_2025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</si>
  <si>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2025</t>
    </r>
  </si>
  <si>
    <t xml:space="preserve">20261031_Wattonomics_v0.1.7.xlsx CapexGW!F37</t>
  </si>
  <si>
    <t xml:space="preserve">ai2_googl_2025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</si>
  <si>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</si>
  <si>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20261031_Wattonomics_v0.1.7.xlsx CapexGW!F35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</si>
  <si>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site_googl_2025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</si>
  <si>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2025</t>
    </r>
  </si>
  <si>
    <t xml:space="preserve">20261031_Wattonomics_v0.1.7.xlsx CapexGW!F40</t>
  </si>
  <si>
    <t xml:space="preserve">main_googl_2025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</si>
  <si>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2025</t>
    </r>
  </si>
  <si>
    <t xml:space="preserve">20261031_Wattonomics_v0.1.7.xlsx CapexGW!F41</t>
  </si>
  <si>
    <t xml:space="preserve">pit_googl_2026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</si>
  <si>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2026</t>
    </r>
  </si>
  <si>
    <t xml:space="preserve">20261031_Wattonomics_v0.1.7.xlsx CapexGW!G36</t>
  </si>
  <si>
    <t xml:space="preserve">pfac_googl_2026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</si>
  <si>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2026</t>
    </r>
  </si>
  <si>
    <t xml:space="preserve">20261031_Wattonomics_v0.1.7.xlsx CapexGW!G37</t>
  </si>
  <si>
    <t xml:space="preserve">ai2_googl_2026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</si>
  <si>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</si>
  <si>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20261031_Wattonomics_v0.1.7.xlsx CapexGW!G35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</si>
  <si>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site_googl_2026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</si>
  <si>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2026</t>
    </r>
  </si>
  <si>
    <t xml:space="preserve">20261031_Wattonomics_v0.1.7.xlsx CapexGW!G40</t>
  </si>
  <si>
    <t xml:space="preserve">main_googl_2026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</si>
  <si>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2026</t>
    </r>
  </si>
  <si>
    <t xml:space="preserve">20261031_Wattonomics_v0.1.7.xlsx CapexGW!G41</t>
  </si>
  <si>
    <t xml:space="preserve">pit_googl_2027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</si>
  <si>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2027</t>
    </r>
  </si>
  <si>
    <t xml:space="preserve">20261031_Wattonomics_v0.1.7.xlsx CapexGW!H36</t>
  </si>
  <si>
    <t xml:space="preserve">pfac_googl_2027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</si>
  <si>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2027</t>
    </r>
  </si>
  <si>
    <t xml:space="preserve">20261031_Wattonomics_v0.1.7.xlsx CapexGW!H37</t>
  </si>
  <si>
    <t xml:space="preserve">ai2_googl_2027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</si>
  <si>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</si>
  <si>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20261031_Wattonomics_v0.1.7.xlsx CapexGW!H35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</si>
  <si>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site_googl_2027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</si>
  <si>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2027</t>
    </r>
  </si>
  <si>
    <t xml:space="preserve">20261031_Wattonomics_v0.1.7.xlsx CapexGW!H40</t>
  </si>
  <si>
    <t xml:space="preserve">main_googl_2027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</si>
  <si>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2027</t>
    </r>
  </si>
  <si>
    <t xml:space="preserve">20261031_Wattonomics_v0.1.7.xlsx CapexGW!H41</t>
  </si>
  <si>
    <t xml:space="preserve">pit_googl_2028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</si>
  <si>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2028</t>
    </r>
  </si>
  <si>
    <t xml:space="preserve">20261031_Wattonomics_v0.1.7.xlsx CapexGW!I36</t>
  </si>
  <si>
    <t xml:space="preserve">pfac_googl_2028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</si>
  <si>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2028</t>
    </r>
  </si>
  <si>
    <t xml:space="preserve">20261031_Wattonomics_v0.1.7.xlsx CapexGW!I37</t>
  </si>
  <si>
    <t xml:space="preserve">ai2_googl_2028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</si>
  <si>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</si>
  <si>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20261031_Wattonomics_v0.1.7.xlsx CapexGW!I35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</si>
  <si>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site_googl_2028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</si>
  <si>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2028</t>
    </r>
  </si>
  <si>
    <t xml:space="preserve">20261031_Wattonomics_v0.1.7.xlsx CapexGW!I40</t>
  </si>
  <si>
    <t xml:space="preserve">main_googl_2028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</si>
  <si>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2028</t>
    </r>
  </si>
  <si>
    <t xml:space="preserve">20261031_Wattonomics_v0.1.7.xlsx CapexGW!I41</t>
  </si>
  <si>
    <t xml:space="preserve">pit_googl_2029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</si>
  <si>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2029</t>
    </r>
  </si>
  <si>
    <t xml:space="preserve">20261031_Wattonomics_v0.1.7.xlsx CapexGW!J36</t>
  </si>
  <si>
    <t xml:space="preserve">pfac_googl_2029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</si>
  <si>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2029</t>
    </r>
  </si>
  <si>
    <t xml:space="preserve">20261031_Wattonomics_v0.1.7.xlsx CapexGW!J37</t>
  </si>
  <si>
    <t xml:space="preserve">ai2_googl_2029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</si>
  <si>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</si>
  <si>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20261031_Wattonomics_v0.1.7.xlsx CapexGW!J35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</si>
  <si>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site_googl_2029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</si>
  <si>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2029</t>
    </r>
  </si>
  <si>
    <t xml:space="preserve">20261031_Wattonomics_v0.1.7.xlsx CapexGW!J40</t>
  </si>
  <si>
    <t xml:space="preserve">main_googl_2029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</si>
  <si>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2029</t>
    </r>
  </si>
  <si>
    <t xml:space="preserve">20261031_Wattonomics_v0.1.7.xlsx CapexGW!J41</t>
  </si>
  <si>
    <t xml:space="preserve">gcap_googl_2024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</si>
  <si>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FY2024</t>
    </r>
  </si>
  <si>
    <r>
      <rPr>
        <sz val="11"/>
        <color theme="1"/>
        <rFont val="Calibri"/>
        <family val="2"/>
        <charset val="1"/>
      </rPr>
      <t xml:space="preserve">20261031_Wattonomics_v0.1.7.xlsx In!I178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alphabet/dist/20261030_Alphabet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64f5c…</t>
    </r>
    <r>
      <rPr>
        <sz val="11"/>
        <color theme="1"/>
        <rFont val="Noto Sans CJK SC"/>
        <family val="2"/>
      </rPr>
      <t xml:space="preserve">）</t>
    </r>
  </si>
  <si>
    <t xml:space="preserve">gcap_googl_2025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</si>
  <si>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</si>
  <si>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Calibri"/>
        <family val="2"/>
        <charset val="1"/>
      </rPr>
      <t xml:space="preserve">20261031_Wattonomics_v0.1.7.xlsx In!J178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alphabet/dist/20261030_Alphabet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64f5c…</t>
    </r>
    <r>
      <rPr>
        <sz val="11"/>
        <color theme="1"/>
        <rFont val="Noto Sans CJK SC"/>
        <family val="2"/>
      </rPr>
      <t xml:space="preserve">）</t>
    </r>
  </si>
  <si>
    <t xml:space="preserve">gcap_googl_2026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</si>
  <si>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</si>
  <si>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20261031_Wattonomics_v0.1.7.xlsx In!K178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alphabet/dist/20261030_Alphabet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64f5c…</t>
    </r>
    <r>
      <rPr>
        <sz val="11"/>
        <color theme="1"/>
        <rFont val="Noto Sans CJK SC"/>
        <family val="2"/>
      </rPr>
      <t xml:space="preserve">）</t>
    </r>
  </si>
  <si>
    <t xml:space="preserve">gcap_googl_2027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</si>
  <si>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</si>
  <si>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20261031_Wattonomics_v0.1.7.xlsx In!L178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alphabet/dist/20261030_Alphabet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64f5c…</t>
    </r>
    <r>
      <rPr>
        <sz val="11"/>
        <color theme="1"/>
        <rFont val="Noto Sans CJK SC"/>
        <family val="2"/>
      </rPr>
      <t xml:space="preserve">）</t>
    </r>
  </si>
  <si>
    <t xml:space="preserve">gcap_googl_2028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</si>
  <si>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</si>
  <si>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20261031_Wattonomics_v0.1.7.xlsx In!M178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alphabet/dist/20261030_Alphabet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64f5c…</t>
    </r>
    <r>
      <rPr>
        <sz val="11"/>
        <color theme="1"/>
        <rFont val="Noto Sans CJK SC"/>
        <family val="2"/>
      </rPr>
      <t xml:space="preserve">）</t>
    </r>
  </si>
  <si>
    <t xml:space="preserve">gcap_googl_2029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</si>
  <si>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</si>
  <si>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20261031_Wattonomics_v0.1.7.xlsx In!N178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alphabet/dist/20261030_Alphabet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64f5c…</t>
    </r>
    <r>
      <rPr>
        <sz val="11"/>
        <color theme="1"/>
        <rFont val="Noto Sans CJK SC"/>
        <family val="2"/>
      </rPr>
      <t xml:space="preserve">）</t>
    </r>
  </si>
  <si>
    <t xml:space="preserve">gcap_googl_2030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</si>
  <si>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FY2030</t>
    </r>
  </si>
  <si>
    <r>
      <rPr>
        <sz val="11"/>
        <color theme="1"/>
        <rFont val="Calibri"/>
        <family val="2"/>
        <charset val="1"/>
      </rPr>
      <t xml:space="preserve">20261031_Wattonomics_v0.1.7.xlsx In!O178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alphabet/dist/20261030_Alphabet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64f5c…</t>
    </r>
    <r>
      <rPr>
        <sz val="11"/>
        <color theme="1"/>
        <rFont val="Noto Sans CJK SC"/>
        <family val="2"/>
      </rPr>
      <t xml:space="preserve">）</t>
    </r>
  </si>
  <si>
    <t xml:space="preserve">fye_amzn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</si>
  <si>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財年結束月</t>
    </r>
  </si>
  <si>
    <t xml:space="preserve">20261031_Wattonomics_v0.1.7.xlsx In fye_amzn</t>
  </si>
  <si>
    <t xml:space="preserve">pit_amzn_2024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</si>
  <si>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2024</t>
    </r>
  </si>
  <si>
    <t xml:space="preserve">20261031_Wattonomics_v0.1.7.xlsx CapexGW!E55</t>
  </si>
  <si>
    <t xml:space="preserve">pfac_amzn_2024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</si>
  <si>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2024</t>
    </r>
  </si>
  <si>
    <t xml:space="preserve">20261031_Wattonomics_v0.1.7.xlsx CapexGW!E56</t>
  </si>
  <si>
    <t xml:space="preserve">ai2_amzn_2024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</si>
  <si>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2024</t>
    </r>
  </si>
  <si>
    <r>
      <rPr>
        <sz val="11"/>
        <color theme="1"/>
        <rFont val="Calibri"/>
        <family val="2"/>
        <charset val="1"/>
      </rPr>
      <t xml:space="preserve">20261031_Wattonomics_v0.1.7.xlsx CapexGW!E54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</si>
  <si>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site_amzn_2024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</si>
  <si>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2024</t>
    </r>
  </si>
  <si>
    <t xml:space="preserve">20261031_Wattonomics_v0.1.7.xlsx CapexGW!E59</t>
  </si>
  <si>
    <t xml:space="preserve">main_amzn_2024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</si>
  <si>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2024</t>
    </r>
  </si>
  <si>
    <t xml:space="preserve">20261031_Wattonomics_v0.1.7.xlsx CapexGW!E60</t>
  </si>
  <si>
    <t xml:space="preserve">pit_amzn_2025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</si>
  <si>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2025</t>
    </r>
  </si>
  <si>
    <t xml:space="preserve">20261031_Wattonomics_v0.1.7.xlsx CapexGW!F55</t>
  </si>
  <si>
    <t xml:space="preserve">pfac_amzn_2025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</si>
  <si>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2025</t>
    </r>
  </si>
  <si>
    <t xml:space="preserve">20261031_Wattonomics_v0.1.7.xlsx CapexGW!F56</t>
  </si>
  <si>
    <t xml:space="preserve">ai2_amzn_2025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</si>
  <si>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</si>
  <si>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20261031_Wattonomics_v0.1.7.xlsx CapexGW!F54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</si>
  <si>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site_amzn_2025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</si>
  <si>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2025</t>
    </r>
  </si>
  <si>
    <t xml:space="preserve">20261031_Wattonomics_v0.1.7.xlsx CapexGW!F59</t>
  </si>
  <si>
    <t xml:space="preserve">main_amzn_2025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</si>
  <si>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2025</t>
    </r>
  </si>
  <si>
    <t xml:space="preserve">20261031_Wattonomics_v0.1.7.xlsx CapexGW!F60</t>
  </si>
  <si>
    <t xml:space="preserve">pit_amzn_2026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</si>
  <si>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2026</t>
    </r>
  </si>
  <si>
    <t xml:space="preserve">20261031_Wattonomics_v0.1.7.xlsx CapexGW!G55</t>
  </si>
  <si>
    <t xml:space="preserve">pfac_amzn_2026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</si>
  <si>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2026</t>
    </r>
  </si>
  <si>
    <t xml:space="preserve">20261031_Wattonomics_v0.1.7.xlsx CapexGW!G56</t>
  </si>
  <si>
    <t xml:space="preserve">ai2_amzn_2026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</si>
  <si>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</si>
  <si>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20261031_Wattonomics_v0.1.7.xlsx CapexGW!G54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</si>
  <si>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site_amzn_2026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</si>
  <si>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2026</t>
    </r>
  </si>
  <si>
    <t xml:space="preserve">20261031_Wattonomics_v0.1.7.xlsx CapexGW!G59</t>
  </si>
  <si>
    <t xml:space="preserve">main_amzn_2026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</si>
  <si>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2026</t>
    </r>
  </si>
  <si>
    <t xml:space="preserve">20261031_Wattonomics_v0.1.7.xlsx CapexGW!G60</t>
  </si>
  <si>
    <t xml:space="preserve">pit_amzn_2027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</si>
  <si>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2027</t>
    </r>
  </si>
  <si>
    <t xml:space="preserve">20261031_Wattonomics_v0.1.7.xlsx CapexGW!H55</t>
  </si>
  <si>
    <t xml:space="preserve">pfac_amzn_2027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</si>
  <si>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2027</t>
    </r>
  </si>
  <si>
    <t xml:space="preserve">20261031_Wattonomics_v0.1.7.xlsx CapexGW!H56</t>
  </si>
  <si>
    <t xml:space="preserve">ai2_amzn_2027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</si>
  <si>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</si>
  <si>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20261031_Wattonomics_v0.1.7.xlsx CapexGW!H54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</si>
  <si>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site_amzn_2027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</si>
  <si>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2027</t>
    </r>
  </si>
  <si>
    <t xml:space="preserve">20261031_Wattonomics_v0.1.7.xlsx CapexGW!H59</t>
  </si>
  <si>
    <t xml:space="preserve">main_amzn_2027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</si>
  <si>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2027</t>
    </r>
  </si>
  <si>
    <t xml:space="preserve">20261031_Wattonomics_v0.1.7.xlsx CapexGW!H60</t>
  </si>
  <si>
    <t xml:space="preserve">pit_amzn_2028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</si>
  <si>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2028</t>
    </r>
  </si>
  <si>
    <t xml:space="preserve">20261031_Wattonomics_v0.1.7.xlsx CapexGW!I55</t>
  </si>
  <si>
    <t xml:space="preserve">pfac_amzn_2028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</si>
  <si>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2028</t>
    </r>
  </si>
  <si>
    <t xml:space="preserve">20261031_Wattonomics_v0.1.7.xlsx CapexGW!I56</t>
  </si>
  <si>
    <t xml:space="preserve">ai2_amzn_2028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</si>
  <si>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</si>
  <si>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20261031_Wattonomics_v0.1.7.xlsx CapexGW!I54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</si>
  <si>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site_amzn_2028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</si>
  <si>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2028</t>
    </r>
  </si>
  <si>
    <t xml:space="preserve">20261031_Wattonomics_v0.1.7.xlsx CapexGW!I59</t>
  </si>
  <si>
    <t xml:space="preserve">main_amzn_2028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</si>
  <si>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2028</t>
    </r>
  </si>
  <si>
    <t xml:space="preserve">20261031_Wattonomics_v0.1.7.xlsx CapexGW!I60</t>
  </si>
  <si>
    <t xml:space="preserve">pit_amzn_2029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</si>
  <si>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2029</t>
    </r>
  </si>
  <si>
    <t xml:space="preserve">20261031_Wattonomics_v0.1.7.xlsx CapexGW!J55</t>
  </si>
  <si>
    <t xml:space="preserve">pfac_amzn_2029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</si>
  <si>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2029</t>
    </r>
  </si>
  <si>
    <t xml:space="preserve">20261031_Wattonomics_v0.1.7.xlsx CapexGW!J56</t>
  </si>
  <si>
    <t xml:space="preserve">ai2_amzn_2029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</si>
  <si>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</si>
  <si>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20261031_Wattonomics_v0.1.7.xlsx CapexGW!J54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</si>
  <si>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site_amzn_2029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</si>
  <si>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2029</t>
    </r>
  </si>
  <si>
    <t xml:space="preserve">20261031_Wattonomics_v0.1.7.xlsx CapexGW!J59</t>
  </si>
  <si>
    <t xml:space="preserve">main_amzn_2029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</si>
  <si>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2029</t>
    </r>
  </si>
  <si>
    <t xml:space="preserve">20261031_Wattonomics_v0.1.7.xlsx CapexGW!J60</t>
  </si>
  <si>
    <t xml:space="preserve">gcap_amzn_2024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</si>
  <si>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FY2024</t>
    </r>
  </si>
  <si>
    <r>
      <rPr>
        <sz val="11"/>
        <color theme="1"/>
        <rFont val="Calibri"/>
        <family val="2"/>
        <charset val="1"/>
      </rPr>
      <t xml:space="preserve">20261031_Wattonomics_v0.1.7.xlsx In!I184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amazon/dist/20261031_Amazon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03507b7</t>
    </r>
    <r>
      <rPr>
        <sz val="11"/>
        <color theme="1"/>
        <rFont val="Noto Sans CJK SC"/>
        <family val="2"/>
      </rPr>
      <t xml:space="preserve">）；…）</t>
    </r>
  </si>
  <si>
    <t xml:space="preserve">gcap_amzn_2025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</si>
  <si>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</si>
  <si>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Calibri"/>
        <family val="2"/>
        <charset val="1"/>
      </rPr>
      <t xml:space="preserve">20261031_Wattonomics_v0.1.7.xlsx In!J184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amazon/dist/20261031_Amazon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03507b7</t>
    </r>
    <r>
      <rPr>
        <sz val="11"/>
        <color theme="1"/>
        <rFont val="Noto Sans CJK SC"/>
        <family val="2"/>
      </rPr>
      <t xml:space="preserve">）；…）</t>
    </r>
  </si>
  <si>
    <t xml:space="preserve">gcap_amzn_2026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</si>
  <si>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</si>
  <si>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20261031_Wattonomics_v0.1.7.xlsx In!K184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amazon/dist/20261031_Amazon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03507b7</t>
    </r>
    <r>
      <rPr>
        <sz val="11"/>
        <color theme="1"/>
        <rFont val="Noto Sans CJK SC"/>
        <family val="2"/>
      </rPr>
      <t xml:space="preserve">）；…）</t>
    </r>
  </si>
  <si>
    <t xml:space="preserve">gcap_amzn_2027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</si>
  <si>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</si>
  <si>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20261031_Wattonomics_v0.1.7.xlsx In!L184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amazon/dist/20261031_Amazon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03507b7</t>
    </r>
    <r>
      <rPr>
        <sz val="11"/>
        <color theme="1"/>
        <rFont val="Noto Sans CJK SC"/>
        <family val="2"/>
      </rPr>
      <t xml:space="preserve">）；…）</t>
    </r>
  </si>
  <si>
    <t xml:space="preserve">gcap_amzn_2028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</si>
  <si>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</si>
  <si>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20261031_Wattonomics_v0.1.7.xlsx In!M184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amazon/dist/20261031_Amazon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03507b7</t>
    </r>
    <r>
      <rPr>
        <sz val="11"/>
        <color theme="1"/>
        <rFont val="Noto Sans CJK SC"/>
        <family val="2"/>
      </rPr>
      <t xml:space="preserve">）；…）</t>
    </r>
  </si>
  <si>
    <t xml:space="preserve">gcap_amzn_2029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</si>
  <si>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</si>
  <si>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20261031_Wattonomics_v0.1.7.xlsx In!N184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amazon/dist/20261031_Amazon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03507b7</t>
    </r>
    <r>
      <rPr>
        <sz val="11"/>
        <color theme="1"/>
        <rFont val="Noto Sans CJK SC"/>
        <family val="2"/>
      </rPr>
      <t xml:space="preserve">）；…）</t>
    </r>
  </si>
  <si>
    <t xml:space="preserve">gcap_amzn_2030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</si>
  <si>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FY2030</t>
    </r>
  </si>
  <si>
    <r>
      <rPr>
        <sz val="11"/>
        <color theme="1"/>
        <rFont val="Calibri"/>
        <family val="2"/>
        <charset val="1"/>
      </rPr>
      <t xml:space="preserve">20261031_Wattonomics_v0.1.7.xlsx In!O184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amazon/dist/20261031_Amazon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03507b7</t>
    </r>
    <r>
      <rPr>
        <sz val="11"/>
        <color theme="1"/>
        <rFont val="Noto Sans CJK SC"/>
        <family val="2"/>
      </rPr>
      <t xml:space="preserve">）；…）</t>
    </r>
  </si>
  <si>
    <t xml:space="preserve">fye_meta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</si>
  <si>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財年結束月</t>
    </r>
  </si>
  <si>
    <t xml:space="preserve">20261031_Wattonomics_v0.1.7.xlsx In fye_meta</t>
  </si>
  <si>
    <t xml:space="preserve">pit_meta_2024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</si>
  <si>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2024</t>
    </r>
  </si>
  <si>
    <t xml:space="preserve">20261031_Wattonomics_v0.1.7.xlsx CapexGW!E74</t>
  </si>
  <si>
    <t xml:space="preserve">pfac_meta_2024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</si>
  <si>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2024</t>
    </r>
  </si>
  <si>
    <t xml:space="preserve">20261031_Wattonomics_v0.1.7.xlsx CapexGW!E75</t>
  </si>
  <si>
    <t xml:space="preserve">ai2_meta_2024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</si>
  <si>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2024</t>
    </r>
  </si>
  <si>
    <r>
      <rPr>
        <sz val="11"/>
        <color theme="1"/>
        <rFont val="Calibri"/>
        <family val="2"/>
        <charset val="1"/>
      </rPr>
      <t xml:space="preserve">20261031_Wattonomics_v0.1.7.xlsx CapexGW!E73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</si>
  <si>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site_meta_2024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</si>
  <si>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2024</t>
    </r>
  </si>
  <si>
    <t xml:space="preserve">20261031_Wattonomics_v0.1.7.xlsx CapexGW!E78</t>
  </si>
  <si>
    <t xml:space="preserve">main_meta_2024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</si>
  <si>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2024</t>
    </r>
  </si>
  <si>
    <t xml:space="preserve">20261031_Wattonomics_v0.1.7.xlsx CapexGW!E79</t>
  </si>
  <si>
    <t xml:space="preserve">pit_meta_2025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</si>
  <si>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2025</t>
    </r>
  </si>
  <si>
    <t xml:space="preserve">20261031_Wattonomics_v0.1.7.xlsx CapexGW!F74</t>
  </si>
  <si>
    <t xml:space="preserve">pfac_meta_2025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</si>
  <si>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2025</t>
    </r>
  </si>
  <si>
    <t xml:space="preserve">20261031_Wattonomics_v0.1.7.xlsx CapexGW!F75</t>
  </si>
  <si>
    <t xml:space="preserve">ai2_meta_2025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</si>
  <si>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</si>
  <si>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20261031_Wattonomics_v0.1.7.xlsx CapexGW!F73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</si>
  <si>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site_meta_2025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</si>
  <si>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2025</t>
    </r>
  </si>
  <si>
    <t xml:space="preserve">20261031_Wattonomics_v0.1.7.xlsx CapexGW!F78</t>
  </si>
  <si>
    <t xml:space="preserve">main_meta_2025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</si>
  <si>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2025</t>
    </r>
  </si>
  <si>
    <t xml:space="preserve">20261031_Wattonomics_v0.1.7.xlsx CapexGW!F79</t>
  </si>
  <si>
    <t xml:space="preserve">pit_meta_2026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</si>
  <si>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2026</t>
    </r>
  </si>
  <si>
    <t xml:space="preserve">20261031_Wattonomics_v0.1.7.xlsx CapexGW!G74</t>
  </si>
  <si>
    <t xml:space="preserve">pfac_meta_2026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</si>
  <si>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2026</t>
    </r>
  </si>
  <si>
    <t xml:space="preserve">20261031_Wattonomics_v0.1.7.xlsx CapexGW!G75</t>
  </si>
  <si>
    <t xml:space="preserve">ai2_meta_2026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</si>
  <si>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</si>
  <si>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20261031_Wattonomics_v0.1.7.xlsx CapexGW!G73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</si>
  <si>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site_meta_2026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</si>
  <si>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2026</t>
    </r>
  </si>
  <si>
    <t xml:space="preserve">20261031_Wattonomics_v0.1.7.xlsx CapexGW!G78</t>
  </si>
  <si>
    <t xml:space="preserve">main_meta_2026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</si>
  <si>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2026</t>
    </r>
  </si>
  <si>
    <t xml:space="preserve">20261031_Wattonomics_v0.1.7.xlsx CapexGW!G79</t>
  </si>
  <si>
    <t xml:space="preserve">pit_meta_2027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</si>
  <si>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2027</t>
    </r>
  </si>
  <si>
    <t xml:space="preserve">20261031_Wattonomics_v0.1.7.xlsx CapexGW!H74</t>
  </si>
  <si>
    <t xml:space="preserve">pfac_meta_2027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</si>
  <si>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2027</t>
    </r>
  </si>
  <si>
    <t xml:space="preserve">20261031_Wattonomics_v0.1.7.xlsx CapexGW!H75</t>
  </si>
  <si>
    <t xml:space="preserve">ai2_meta_2027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</si>
  <si>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</si>
  <si>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20261031_Wattonomics_v0.1.7.xlsx CapexGW!H73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</si>
  <si>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site_meta_2027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</si>
  <si>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2027</t>
    </r>
  </si>
  <si>
    <t xml:space="preserve">20261031_Wattonomics_v0.1.7.xlsx CapexGW!H78</t>
  </si>
  <si>
    <t xml:space="preserve">main_meta_2027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</si>
  <si>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2027</t>
    </r>
  </si>
  <si>
    <t xml:space="preserve">20261031_Wattonomics_v0.1.7.xlsx CapexGW!H79</t>
  </si>
  <si>
    <t xml:space="preserve">pit_meta_2028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</si>
  <si>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2028</t>
    </r>
  </si>
  <si>
    <t xml:space="preserve">20261031_Wattonomics_v0.1.7.xlsx CapexGW!I74</t>
  </si>
  <si>
    <t xml:space="preserve">pfac_meta_2028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</si>
  <si>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2028</t>
    </r>
  </si>
  <si>
    <t xml:space="preserve">20261031_Wattonomics_v0.1.7.xlsx CapexGW!I75</t>
  </si>
  <si>
    <t xml:space="preserve">ai2_meta_2028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</si>
  <si>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</si>
  <si>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20261031_Wattonomics_v0.1.7.xlsx CapexGW!I73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</si>
  <si>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site_meta_2028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</si>
  <si>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2028</t>
    </r>
  </si>
  <si>
    <t xml:space="preserve">20261031_Wattonomics_v0.1.7.xlsx CapexGW!I78</t>
  </si>
  <si>
    <t xml:space="preserve">main_meta_2028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</si>
  <si>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2028</t>
    </r>
  </si>
  <si>
    <t xml:space="preserve">20261031_Wattonomics_v0.1.7.xlsx CapexGW!I79</t>
  </si>
  <si>
    <t xml:space="preserve">pit_meta_2029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</si>
  <si>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2029</t>
    </r>
  </si>
  <si>
    <t xml:space="preserve">20261031_Wattonomics_v0.1.7.xlsx CapexGW!J74</t>
  </si>
  <si>
    <t xml:space="preserve">pfac_meta_2029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</si>
  <si>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2029</t>
    </r>
  </si>
  <si>
    <t xml:space="preserve">20261031_Wattonomics_v0.1.7.xlsx CapexGW!J75</t>
  </si>
  <si>
    <t xml:space="preserve">ai2_meta_2029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</si>
  <si>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</si>
  <si>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20261031_Wattonomics_v0.1.7.xlsx CapexGW!J73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</si>
  <si>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site_meta_2029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</si>
  <si>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2029</t>
    </r>
  </si>
  <si>
    <t xml:space="preserve">20261031_Wattonomics_v0.1.7.xlsx CapexGW!J78</t>
  </si>
  <si>
    <t xml:space="preserve">main_meta_2029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</si>
  <si>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2029</t>
    </r>
  </si>
  <si>
    <t xml:space="preserve">20261031_Wattonomics_v0.1.7.xlsx CapexGW!J79</t>
  </si>
  <si>
    <t xml:space="preserve">gcap_meta_2024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</si>
  <si>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FY2024</t>
    </r>
  </si>
  <si>
    <r>
      <rPr>
        <sz val="11"/>
        <color theme="1"/>
        <rFont val="Calibri"/>
        <family val="2"/>
        <charset val="1"/>
      </rPr>
      <t xml:space="preserve">20261031_Wattonomics_v0.1.7.xlsx In!I190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meta/dist/20261030_Meta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4bb7b2f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FY20…</t>
    </r>
    <r>
      <rPr>
        <sz val="11"/>
        <color theme="1"/>
        <rFont val="Noto Sans CJK SC"/>
        <family val="2"/>
      </rPr>
      <t xml:space="preserve">）</t>
    </r>
  </si>
  <si>
    <t xml:space="preserve">gcap_meta_2025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</si>
  <si>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</si>
  <si>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Calibri"/>
        <family val="2"/>
        <charset val="1"/>
      </rPr>
      <t xml:space="preserve">20261031_Wattonomics_v0.1.7.xlsx In!J190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meta/dist/20261030_Meta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4bb7b2f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FY20…</t>
    </r>
    <r>
      <rPr>
        <sz val="11"/>
        <color theme="1"/>
        <rFont val="Noto Sans CJK SC"/>
        <family val="2"/>
      </rPr>
      <t xml:space="preserve">）</t>
    </r>
  </si>
  <si>
    <t xml:space="preserve">gcap_meta_2026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</si>
  <si>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</si>
  <si>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20261031_Wattonomics_v0.1.7.xlsx In!K190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meta/dist/20261030_Meta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4bb7b2f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FY20…</t>
    </r>
    <r>
      <rPr>
        <sz val="11"/>
        <color theme="1"/>
        <rFont val="Noto Sans CJK SC"/>
        <family val="2"/>
      </rPr>
      <t xml:space="preserve">）</t>
    </r>
  </si>
  <si>
    <t xml:space="preserve">gcap_meta_2027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</si>
  <si>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</si>
  <si>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20261031_Wattonomics_v0.1.7.xlsx In!L190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meta/dist/20261030_Meta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4bb7b2f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FY20…</t>
    </r>
    <r>
      <rPr>
        <sz val="11"/>
        <color theme="1"/>
        <rFont val="Noto Sans CJK SC"/>
        <family val="2"/>
      </rPr>
      <t xml:space="preserve">）</t>
    </r>
  </si>
  <si>
    <t xml:space="preserve">gcap_meta_2028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</si>
  <si>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</si>
  <si>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20261031_Wattonomics_v0.1.7.xlsx In!M190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meta/dist/20261030_Meta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4bb7b2f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FY20…</t>
    </r>
    <r>
      <rPr>
        <sz val="11"/>
        <color theme="1"/>
        <rFont val="Noto Sans CJK SC"/>
        <family val="2"/>
      </rPr>
      <t xml:space="preserve">）</t>
    </r>
  </si>
  <si>
    <t xml:space="preserve">gcap_meta_2029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</si>
  <si>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</si>
  <si>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20261031_Wattonomics_v0.1.7.xlsx In!N190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meta/dist/20261030_Meta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4bb7b2f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FY20…</t>
    </r>
    <r>
      <rPr>
        <sz val="11"/>
        <color theme="1"/>
        <rFont val="Noto Sans CJK SC"/>
        <family val="2"/>
      </rPr>
      <t xml:space="preserve">）</t>
    </r>
  </si>
  <si>
    <t xml:space="preserve">gcap_meta_2030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</si>
  <si>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FY2030</t>
    </r>
  </si>
  <si>
    <r>
      <rPr>
        <sz val="11"/>
        <color theme="1"/>
        <rFont val="Calibri"/>
        <family val="2"/>
        <charset val="1"/>
      </rPr>
      <t xml:space="preserve">20261031_Wattonomics_v0.1.7.xlsx In!O190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meta/dist/20261030_Meta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4bb7b2f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FY20…</t>
    </r>
    <r>
      <rPr>
        <sz val="11"/>
        <color theme="1"/>
        <rFont val="Noto Sans CJK SC"/>
        <family val="2"/>
      </rPr>
      <t xml:space="preserve">）</t>
    </r>
  </si>
  <si>
    <t xml:space="preserve">fye_orcl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</si>
  <si>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財年結束月</t>
    </r>
  </si>
  <si>
    <t xml:space="preserve">20261031_Wattonomics_v0.1.7.xlsx In fye_orcl</t>
  </si>
  <si>
    <t xml:space="preserve">pit_orcl_2024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</si>
  <si>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2024</t>
    </r>
  </si>
  <si>
    <t xml:space="preserve">20261031_Wattonomics_v0.1.7.xlsx CapexGW!E93</t>
  </si>
  <si>
    <t xml:space="preserve">pfac_orcl_2024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</si>
  <si>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2024</t>
    </r>
  </si>
  <si>
    <t xml:space="preserve">20261031_Wattonomics_v0.1.7.xlsx CapexGW!E94</t>
  </si>
  <si>
    <t xml:space="preserve">ai2_orcl_2024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</si>
  <si>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2024</t>
    </r>
  </si>
  <si>
    <r>
      <rPr>
        <sz val="11"/>
        <color theme="1"/>
        <rFont val="Calibri"/>
        <family val="2"/>
        <charset val="1"/>
      </rPr>
      <t xml:space="preserve">20261031_Wattonomics_v0.1.7.xlsx CapexGW!E92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</si>
  <si>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site_orcl_2024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</si>
  <si>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2024</t>
    </r>
  </si>
  <si>
    <t xml:space="preserve">20261031_Wattonomics_v0.1.7.xlsx CapexGW!E97</t>
  </si>
  <si>
    <t xml:space="preserve">main_orcl_2024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</si>
  <si>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2024</t>
    </r>
  </si>
  <si>
    <t xml:space="preserve">20261031_Wattonomics_v0.1.7.xlsx CapexGW!E98</t>
  </si>
  <si>
    <t xml:space="preserve">pit_orcl_2025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</si>
  <si>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2025</t>
    </r>
  </si>
  <si>
    <t xml:space="preserve">20261031_Wattonomics_v0.1.7.xlsx CapexGW!F93</t>
  </si>
  <si>
    <t xml:space="preserve">pfac_orcl_2025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</si>
  <si>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2025</t>
    </r>
  </si>
  <si>
    <t xml:space="preserve">20261031_Wattonomics_v0.1.7.xlsx CapexGW!F94</t>
  </si>
  <si>
    <t xml:space="preserve">ai2_orcl_2025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</si>
  <si>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</si>
  <si>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20261031_Wattonomics_v0.1.7.xlsx CapexGW!F92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</si>
  <si>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site_orcl_2025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</si>
  <si>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2025</t>
    </r>
  </si>
  <si>
    <t xml:space="preserve">20261031_Wattonomics_v0.1.7.xlsx CapexGW!F97</t>
  </si>
  <si>
    <t xml:space="preserve">main_orcl_2025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</si>
  <si>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2025</t>
    </r>
  </si>
  <si>
    <t xml:space="preserve">20261031_Wattonomics_v0.1.7.xlsx CapexGW!F98</t>
  </si>
  <si>
    <t xml:space="preserve">pit_orcl_2026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</si>
  <si>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2026</t>
    </r>
  </si>
  <si>
    <t xml:space="preserve">20261031_Wattonomics_v0.1.7.xlsx CapexGW!G93</t>
  </si>
  <si>
    <t xml:space="preserve">pfac_orcl_2026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</si>
  <si>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2026</t>
    </r>
  </si>
  <si>
    <t xml:space="preserve">20261031_Wattonomics_v0.1.7.xlsx CapexGW!G94</t>
  </si>
  <si>
    <t xml:space="preserve">ai2_orcl_2026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</si>
  <si>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</si>
  <si>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20261031_Wattonomics_v0.1.7.xlsx CapexGW!G92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</si>
  <si>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site_orcl_2026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</si>
  <si>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2026</t>
    </r>
  </si>
  <si>
    <t xml:space="preserve">20261031_Wattonomics_v0.1.7.xlsx CapexGW!G97</t>
  </si>
  <si>
    <t xml:space="preserve">main_orcl_2026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</si>
  <si>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2026</t>
    </r>
  </si>
  <si>
    <t xml:space="preserve">20261031_Wattonomics_v0.1.7.xlsx CapexGW!G98</t>
  </si>
  <si>
    <t xml:space="preserve">pit_orcl_2027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</si>
  <si>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2027</t>
    </r>
  </si>
  <si>
    <t xml:space="preserve">20261031_Wattonomics_v0.1.7.xlsx CapexGW!H93</t>
  </si>
  <si>
    <t xml:space="preserve">pfac_orcl_2027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</si>
  <si>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2027</t>
    </r>
  </si>
  <si>
    <t xml:space="preserve">20261031_Wattonomics_v0.1.7.xlsx CapexGW!H94</t>
  </si>
  <si>
    <t xml:space="preserve">ai2_orcl_2027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</si>
  <si>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</si>
  <si>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20261031_Wattonomics_v0.1.7.xlsx CapexGW!H92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</si>
  <si>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site_orcl_2027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</si>
  <si>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2027</t>
    </r>
  </si>
  <si>
    <t xml:space="preserve">20261031_Wattonomics_v0.1.7.xlsx CapexGW!H97</t>
  </si>
  <si>
    <t xml:space="preserve">main_orcl_2027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</si>
  <si>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2027</t>
    </r>
  </si>
  <si>
    <t xml:space="preserve">20261031_Wattonomics_v0.1.7.xlsx CapexGW!H98</t>
  </si>
  <si>
    <t xml:space="preserve">pit_orcl_2028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</si>
  <si>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2028</t>
    </r>
  </si>
  <si>
    <t xml:space="preserve">20261031_Wattonomics_v0.1.7.xlsx CapexGW!I93</t>
  </si>
  <si>
    <t xml:space="preserve">pfac_orcl_2028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</si>
  <si>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2028</t>
    </r>
  </si>
  <si>
    <t xml:space="preserve">20261031_Wattonomics_v0.1.7.xlsx CapexGW!I94</t>
  </si>
  <si>
    <t xml:space="preserve">ai2_orcl_2028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</si>
  <si>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</si>
  <si>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20261031_Wattonomics_v0.1.7.xlsx CapexGW!I92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</si>
  <si>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site_orcl_2028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</si>
  <si>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2028</t>
    </r>
  </si>
  <si>
    <t xml:space="preserve">20261031_Wattonomics_v0.1.7.xlsx CapexGW!I97</t>
  </si>
  <si>
    <t xml:space="preserve">main_orcl_2028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</si>
  <si>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2028</t>
    </r>
  </si>
  <si>
    <t xml:space="preserve">20261031_Wattonomics_v0.1.7.xlsx CapexGW!I98</t>
  </si>
  <si>
    <t xml:space="preserve">pit_orcl_2029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</si>
  <si>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2029</t>
    </r>
  </si>
  <si>
    <t xml:space="preserve">20261031_Wattonomics_v0.1.7.xlsx CapexGW!J93</t>
  </si>
  <si>
    <t xml:space="preserve">pfac_orcl_2029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</si>
  <si>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2029</t>
    </r>
  </si>
  <si>
    <t xml:space="preserve">20261031_Wattonomics_v0.1.7.xlsx CapexGW!J94</t>
  </si>
  <si>
    <t xml:space="preserve">ai2_orcl_2029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</si>
  <si>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</si>
  <si>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20261031_Wattonomics_v0.1.7.xlsx CapexGW!J92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</si>
  <si>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site_orcl_2029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</si>
  <si>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2029</t>
    </r>
  </si>
  <si>
    <t xml:space="preserve">20261031_Wattonomics_v0.1.7.xlsx CapexGW!J97</t>
  </si>
  <si>
    <t xml:space="preserve">main_orcl_2029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</si>
  <si>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2029</t>
    </r>
  </si>
  <si>
    <t xml:space="preserve">20261031_Wattonomics_v0.1.7.xlsx CapexGW!J98</t>
  </si>
  <si>
    <t xml:space="preserve">gcap_orcl_2024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</si>
  <si>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FY2024</t>
    </r>
  </si>
  <si>
    <r>
      <rPr>
        <sz val="11"/>
        <color theme="1"/>
        <rFont val="Calibri"/>
        <family val="2"/>
        <charset val="1"/>
      </rPr>
      <t xml:space="preserve">20261031_Wattonomics_v0.1.7.xlsx In!I196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oracle/dist/20261030_Oracle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bc5bc7e</t>
    </r>
    <r>
      <rPr>
        <sz val="11"/>
        <color theme="1"/>
        <rFont val="Noto Sans CJK SC"/>
        <family val="2"/>
      </rPr>
      <t xml:space="preserve">）；…）</t>
    </r>
  </si>
  <si>
    <t xml:space="preserve">gcap_orcl_2025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</si>
  <si>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</si>
  <si>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Calibri"/>
        <family val="2"/>
        <charset val="1"/>
      </rPr>
      <t xml:space="preserve">20261031_Wattonomics_v0.1.7.xlsx In!J196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oracle/dist/20261030_Oracle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bc5bc7e</t>
    </r>
    <r>
      <rPr>
        <sz val="11"/>
        <color theme="1"/>
        <rFont val="Noto Sans CJK SC"/>
        <family val="2"/>
      </rPr>
      <t xml:space="preserve">）；…）</t>
    </r>
  </si>
  <si>
    <t xml:space="preserve">gcap_orcl_2026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</si>
  <si>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</si>
  <si>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20261031_Wattonomics_v0.1.7.xlsx In!K196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oracle/dist/20261030_Oracle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bc5bc7e</t>
    </r>
    <r>
      <rPr>
        <sz val="11"/>
        <color theme="1"/>
        <rFont val="Noto Sans CJK SC"/>
        <family val="2"/>
      </rPr>
      <t xml:space="preserve">）；…）</t>
    </r>
  </si>
  <si>
    <t xml:space="preserve">gcap_orcl_2027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</si>
  <si>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</si>
  <si>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20261031_Wattonomics_v0.1.7.xlsx In!L196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oracle/dist/20261030_Oracle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bc5bc7e</t>
    </r>
    <r>
      <rPr>
        <sz val="11"/>
        <color theme="1"/>
        <rFont val="Noto Sans CJK SC"/>
        <family val="2"/>
      </rPr>
      <t xml:space="preserve">）；…）</t>
    </r>
  </si>
  <si>
    <t xml:space="preserve">gcap_orcl_2028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</si>
  <si>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</si>
  <si>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20261031_Wattonomics_v0.1.7.xlsx In!M196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oracle/dist/20261030_Oracle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bc5bc7e</t>
    </r>
    <r>
      <rPr>
        <sz val="11"/>
        <color theme="1"/>
        <rFont val="Noto Sans CJK SC"/>
        <family val="2"/>
      </rPr>
      <t xml:space="preserve">）；…）</t>
    </r>
  </si>
  <si>
    <t xml:space="preserve">gcap_orcl_2029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</si>
  <si>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</si>
  <si>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20261031_Wattonomics_v0.1.7.xlsx In!N196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oracle/dist/20261030_Oracle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bc5bc7e</t>
    </r>
    <r>
      <rPr>
        <sz val="11"/>
        <color theme="1"/>
        <rFont val="Noto Sans CJK SC"/>
        <family val="2"/>
      </rPr>
      <t xml:space="preserve">）；…）</t>
    </r>
  </si>
  <si>
    <t xml:space="preserve">gcap_orcl_2030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</si>
  <si>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FY2030</t>
    </r>
  </si>
  <si>
    <r>
      <rPr>
        <sz val="11"/>
        <color theme="1"/>
        <rFont val="Calibri"/>
        <family val="2"/>
        <charset val="1"/>
      </rPr>
      <t xml:space="preserve">20261031_Wattonomics_v0.1.7.xlsx In!O196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oracle/dist/20261030_Oracle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bc5bc7e</t>
    </r>
    <r>
      <rPr>
        <sz val="11"/>
        <color theme="1"/>
        <rFont val="Noto Sans CJK SC"/>
        <family val="2"/>
      </rPr>
      <t xml:space="preserve">）；…）</t>
    </r>
  </si>
  <si>
    <t xml:space="preserve">cap2_orcl_2025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</si>
  <si>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Y9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，曆年換算補用）</t>
    </r>
  </si>
  <si>
    <t xml:space="preserve">20261031_Wattonomics_v0.1.7.xlsx In!J128</t>
  </si>
  <si>
    <t xml:space="preserve">fye_crwv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</si>
  <si>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財年結束月</t>
    </r>
  </si>
  <si>
    <t xml:space="preserve">20261031_Wattonomics_v0.1.7.xlsx In fye_crwv</t>
  </si>
  <si>
    <t xml:space="preserve">pit_crwv_2024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</si>
  <si>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2024</t>
    </r>
  </si>
  <si>
    <t xml:space="preserve">20261031_Wattonomics_v0.1.7.xlsx CapexGW!E112</t>
  </si>
  <si>
    <t xml:space="preserve">pfac_crwv_2024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</si>
  <si>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2024</t>
    </r>
  </si>
  <si>
    <t xml:space="preserve">20261031_Wattonomics_v0.1.7.xlsx CapexGW!E113</t>
  </si>
  <si>
    <t xml:space="preserve">ai2_crwv_2024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</si>
  <si>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2024</t>
    </r>
  </si>
  <si>
    <r>
      <rPr>
        <sz val="11"/>
        <color theme="1"/>
        <rFont val="Calibri"/>
        <family val="2"/>
        <charset val="1"/>
      </rPr>
      <t xml:space="preserve">20261031_Wattonomics_v0.1.7.xlsx CapexGW!E111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</si>
  <si>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site_crwv_2024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</si>
  <si>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2024</t>
    </r>
  </si>
  <si>
    <t xml:space="preserve">20261031_Wattonomics_v0.1.7.xlsx CapexGW!E116</t>
  </si>
  <si>
    <t xml:space="preserve">main_crwv_2024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</si>
  <si>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2024</t>
    </r>
  </si>
  <si>
    <t xml:space="preserve">20261031_Wattonomics_v0.1.7.xlsx CapexGW!E117</t>
  </si>
  <si>
    <t xml:space="preserve">pit_crwv_2025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</si>
  <si>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2025</t>
    </r>
  </si>
  <si>
    <t xml:space="preserve">20261031_Wattonomics_v0.1.7.xlsx CapexGW!F112</t>
  </si>
  <si>
    <t xml:space="preserve">pfac_crwv_2025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</si>
  <si>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2025</t>
    </r>
  </si>
  <si>
    <t xml:space="preserve">20261031_Wattonomics_v0.1.7.xlsx CapexGW!F113</t>
  </si>
  <si>
    <t xml:space="preserve">ai2_crwv_2025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</si>
  <si>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</si>
  <si>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20261031_Wattonomics_v0.1.7.xlsx CapexGW!F111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</si>
  <si>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site_crwv_2025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</si>
  <si>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2025</t>
    </r>
  </si>
  <si>
    <t xml:space="preserve">20261031_Wattonomics_v0.1.7.xlsx CapexGW!F116</t>
  </si>
  <si>
    <t xml:space="preserve">main_crwv_2025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</si>
  <si>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2025</t>
    </r>
  </si>
  <si>
    <t xml:space="preserve">20261031_Wattonomics_v0.1.7.xlsx CapexGW!F117</t>
  </si>
  <si>
    <t xml:space="preserve">pit_crwv_2026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</si>
  <si>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2026</t>
    </r>
  </si>
  <si>
    <t xml:space="preserve">20261031_Wattonomics_v0.1.7.xlsx CapexGW!G112</t>
  </si>
  <si>
    <t xml:space="preserve">pfac_crwv_2026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</si>
  <si>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2026</t>
    </r>
  </si>
  <si>
    <t xml:space="preserve">20261031_Wattonomics_v0.1.7.xlsx CapexGW!G113</t>
  </si>
  <si>
    <t xml:space="preserve">ai2_crwv_2026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</si>
  <si>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</si>
  <si>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20261031_Wattonomics_v0.1.7.xlsx CapexGW!G111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</si>
  <si>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site_crwv_2026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</si>
  <si>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2026</t>
    </r>
  </si>
  <si>
    <t xml:space="preserve">20261031_Wattonomics_v0.1.7.xlsx CapexGW!G116</t>
  </si>
  <si>
    <t xml:space="preserve">main_crwv_2026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</si>
  <si>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2026</t>
    </r>
  </si>
  <si>
    <t xml:space="preserve">20261031_Wattonomics_v0.1.7.xlsx CapexGW!G117</t>
  </si>
  <si>
    <t xml:space="preserve">pit_crwv_2027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</si>
  <si>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2027</t>
    </r>
  </si>
  <si>
    <t xml:space="preserve">20261031_Wattonomics_v0.1.7.xlsx CapexGW!H112</t>
  </si>
  <si>
    <t xml:space="preserve">pfac_crwv_2027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</si>
  <si>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2027</t>
    </r>
  </si>
  <si>
    <t xml:space="preserve">20261031_Wattonomics_v0.1.7.xlsx CapexGW!H113</t>
  </si>
  <si>
    <t xml:space="preserve">ai2_crwv_2027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</si>
  <si>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</si>
  <si>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20261031_Wattonomics_v0.1.7.xlsx CapexGW!H111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</si>
  <si>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site_crwv_2027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</si>
  <si>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2027</t>
    </r>
  </si>
  <si>
    <t xml:space="preserve">20261031_Wattonomics_v0.1.7.xlsx CapexGW!H116</t>
  </si>
  <si>
    <t xml:space="preserve">main_crwv_2027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</si>
  <si>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2027</t>
    </r>
  </si>
  <si>
    <t xml:space="preserve">20261031_Wattonomics_v0.1.7.xlsx CapexGW!H117</t>
  </si>
  <si>
    <t xml:space="preserve">pit_crwv_2028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</si>
  <si>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2028</t>
    </r>
  </si>
  <si>
    <t xml:space="preserve">20261031_Wattonomics_v0.1.7.xlsx CapexGW!I112</t>
  </si>
  <si>
    <t xml:space="preserve">pfac_crwv_2028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</si>
  <si>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2028</t>
    </r>
  </si>
  <si>
    <t xml:space="preserve">20261031_Wattonomics_v0.1.7.xlsx CapexGW!I113</t>
  </si>
  <si>
    <t xml:space="preserve">ai2_crwv_2028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</si>
  <si>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</si>
  <si>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20261031_Wattonomics_v0.1.7.xlsx CapexGW!I111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</si>
  <si>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site_crwv_2028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</si>
  <si>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2028</t>
    </r>
  </si>
  <si>
    <t xml:space="preserve">20261031_Wattonomics_v0.1.7.xlsx CapexGW!I116</t>
  </si>
  <si>
    <t xml:space="preserve">main_crwv_2028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</si>
  <si>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2028</t>
    </r>
  </si>
  <si>
    <t xml:space="preserve">20261031_Wattonomics_v0.1.7.xlsx CapexGW!I117</t>
  </si>
  <si>
    <t xml:space="preserve">pit_crwv_2029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</si>
  <si>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2029</t>
    </r>
  </si>
  <si>
    <t xml:space="preserve">20261031_Wattonomics_v0.1.7.xlsx CapexGW!J112</t>
  </si>
  <si>
    <t xml:space="preserve">pfac_crwv_2029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</si>
  <si>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2029</t>
    </r>
  </si>
  <si>
    <t xml:space="preserve">20261031_Wattonomics_v0.1.7.xlsx CapexGW!J113</t>
  </si>
  <si>
    <t xml:space="preserve">ai2_crwv_2029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</si>
  <si>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</si>
  <si>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20261031_Wattonomics_v0.1.7.xlsx CapexGW!J111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</si>
  <si>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site_crwv_2029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</si>
  <si>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2029</t>
    </r>
  </si>
  <si>
    <t xml:space="preserve">20261031_Wattonomics_v0.1.7.xlsx CapexGW!J116</t>
  </si>
  <si>
    <t xml:space="preserve">main_crwv_2029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</si>
  <si>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2029</t>
    </r>
  </si>
  <si>
    <t xml:space="preserve">20261031_Wattonomics_v0.1.7.xlsx CapexGW!J117</t>
  </si>
  <si>
    <t xml:space="preserve">gcap_crwv_2024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</si>
  <si>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FY2024</t>
    </r>
  </si>
  <si>
    <r>
      <rPr>
        <sz val="11"/>
        <color theme="1"/>
        <rFont val="Calibri"/>
        <family val="2"/>
        <charset val="1"/>
      </rPr>
      <t xml:space="preserve">20261031_Wattonomics_v0.1.7.xlsx In!I202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coreweave/dist/20261021_CoreWeave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_v4_12.xlsx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ad7b…</t>
    </r>
    <r>
      <rPr>
        <sz val="11"/>
        <color theme="1"/>
        <rFont val="Noto Sans CJK SC"/>
        <family val="2"/>
      </rPr>
      <t xml:space="preserve">）</t>
    </r>
  </si>
  <si>
    <t xml:space="preserve">gcap_crwv_2025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</si>
  <si>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</si>
  <si>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Calibri"/>
        <family val="2"/>
        <charset val="1"/>
      </rPr>
      <t xml:space="preserve">20261031_Wattonomics_v0.1.7.xlsx In!J202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coreweave/dist/20261021_CoreWeave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_v4_12.xlsx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ad7b…</t>
    </r>
    <r>
      <rPr>
        <sz val="11"/>
        <color theme="1"/>
        <rFont val="Noto Sans CJK SC"/>
        <family val="2"/>
      </rPr>
      <t xml:space="preserve">）</t>
    </r>
  </si>
  <si>
    <t xml:space="preserve">gcap_crwv_2026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</si>
  <si>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</si>
  <si>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20261031_Wattonomics_v0.1.7.xlsx In!K202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coreweave/dist/20261021_CoreWeave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_v4_12.xlsx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ad7b…</t>
    </r>
    <r>
      <rPr>
        <sz val="11"/>
        <color theme="1"/>
        <rFont val="Noto Sans CJK SC"/>
        <family val="2"/>
      </rPr>
      <t xml:space="preserve">）</t>
    </r>
  </si>
  <si>
    <t xml:space="preserve">gcap_crwv_2027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</si>
  <si>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</si>
  <si>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20261031_Wattonomics_v0.1.7.xlsx In!L202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coreweave/dist/20261021_CoreWeave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_v4_12.xlsx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ad7b…</t>
    </r>
    <r>
      <rPr>
        <sz val="11"/>
        <color theme="1"/>
        <rFont val="Noto Sans CJK SC"/>
        <family val="2"/>
      </rPr>
      <t xml:space="preserve">）</t>
    </r>
  </si>
  <si>
    <t xml:space="preserve">gcap_crwv_2028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</si>
  <si>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</si>
  <si>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20261031_Wattonomics_v0.1.7.xlsx In!M202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coreweave/dist/20261021_CoreWeave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_v4_12.xlsx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ad7b…</t>
    </r>
    <r>
      <rPr>
        <sz val="11"/>
        <color theme="1"/>
        <rFont val="Noto Sans CJK SC"/>
        <family val="2"/>
      </rPr>
      <t xml:space="preserve">）</t>
    </r>
  </si>
  <si>
    <t xml:space="preserve">gcap_crwv_2029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</si>
  <si>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</si>
  <si>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20261031_Wattonomics_v0.1.7.xlsx In!N202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coreweave/dist/20261021_CoreWeave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_v4_12.xlsx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ad7b…</t>
    </r>
    <r>
      <rPr>
        <sz val="11"/>
        <color theme="1"/>
        <rFont val="Noto Sans CJK SC"/>
        <family val="2"/>
      </rPr>
      <t xml:space="preserve">）</t>
    </r>
  </si>
  <si>
    <t xml:space="preserve">gcap_crwv_2030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</si>
  <si>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FY2030</t>
    </r>
  </si>
  <si>
    <r>
      <rPr>
        <sz val="11"/>
        <color theme="1"/>
        <rFont val="Calibri"/>
        <family val="2"/>
        <charset val="1"/>
      </rPr>
      <t xml:space="preserve">20261031_Wattonomics_v0.1.7.xlsx In!O202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coreweave/dist/20261021_CoreWeave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_v4_12.xlsx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ad7b…</t>
    </r>
    <r>
      <rPr>
        <sz val="11"/>
        <color theme="1"/>
        <rFont val="Noto Sans CJK SC"/>
        <family val="2"/>
      </rPr>
      <t xml:space="preserve">）</t>
    </r>
  </si>
  <si>
    <t xml:space="preserve">fye_nbis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</si>
  <si>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財年結束月</t>
    </r>
  </si>
  <si>
    <t xml:space="preserve">20261031_Wattonomics_v0.1.7.xlsx In fye_nbis</t>
  </si>
  <si>
    <t xml:space="preserve">pit_nbis_2024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</si>
  <si>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2024</t>
    </r>
  </si>
  <si>
    <t xml:space="preserve">20261031_Wattonomics_v0.1.7.xlsx CapexGW!E131</t>
  </si>
  <si>
    <t xml:space="preserve">pfac_nbis_2024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</si>
  <si>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2024</t>
    </r>
  </si>
  <si>
    <t xml:space="preserve">20261031_Wattonomics_v0.1.7.xlsx CapexGW!E132</t>
  </si>
  <si>
    <t xml:space="preserve">ai2_nbis_2024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</si>
  <si>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2024</t>
    </r>
  </si>
  <si>
    <r>
      <rPr>
        <sz val="11"/>
        <color theme="1"/>
        <rFont val="Calibri"/>
        <family val="2"/>
        <charset val="1"/>
      </rPr>
      <t xml:space="preserve">20261031_Wattonomics_v0.1.7.xlsx CapexGW!E130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</si>
  <si>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site_nbis_2024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</si>
  <si>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2024</t>
    </r>
  </si>
  <si>
    <t xml:space="preserve">20261031_Wattonomics_v0.1.7.xlsx CapexGW!E135</t>
  </si>
  <si>
    <t xml:space="preserve">main_nbis_2024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</si>
  <si>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2024</t>
    </r>
  </si>
  <si>
    <t xml:space="preserve">20261031_Wattonomics_v0.1.7.xlsx CapexGW!E136</t>
  </si>
  <si>
    <t xml:space="preserve">pit_nbis_2025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</si>
  <si>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2025</t>
    </r>
  </si>
  <si>
    <t xml:space="preserve">20261031_Wattonomics_v0.1.7.xlsx CapexGW!F131</t>
  </si>
  <si>
    <t xml:space="preserve">pfac_nbis_2025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</si>
  <si>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2025</t>
    </r>
  </si>
  <si>
    <t xml:space="preserve">20261031_Wattonomics_v0.1.7.xlsx CapexGW!F132</t>
  </si>
  <si>
    <t xml:space="preserve">ai2_nbis_2025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</si>
  <si>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</si>
  <si>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20261031_Wattonomics_v0.1.7.xlsx CapexGW!F130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</si>
  <si>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site_nbis_2025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</si>
  <si>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2025</t>
    </r>
  </si>
  <si>
    <t xml:space="preserve">20261031_Wattonomics_v0.1.7.xlsx CapexGW!F135</t>
  </si>
  <si>
    <t xml:space="preserve">main_nbis_2025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</si>
  <si>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2025</t>
    </r>
  </si>
  <si>
    <t xml:space="preserve">20261031_Wattonomics_v0.1.7.xlsx CapexGW!F136</t>
  </si>
  <si>
    <t xml:space="preserve">pit_nbis_2026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</si>
  <si>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2026</t>
    </r>
  </si>
  <si>
    <t xml:space="preserve">20261031_Wattonomics_v0.1.7.xlsx CapexGW!G131</t>
  </si>
  <si>
    <t xml:space="preserve">pfac_nbis_2026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</si>
  <si>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2026</t>
    </r>
  </si>
  <si>
    <t xml:space="preserve">20261031_Wattonomics_v0.1.7.xlsx CapexGW!G132</t>
  </si>
  <si>
    <t xml:space="preserve">ai2_nbis_2026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</si>
  <si>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</si>
  <si>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20261031_Wattonomics_v0.1.7.xlsx CapexGW!G130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</si>
  <si>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site_nbis_2026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</si>
  <si>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2026</t>
    </r>
  </si>
  <si>
    <t xml:space="preserve">20261031_Wattonomics_v0.1.7.xlsx CapexGW!G135</t>
  </si>
  <si>
    <t xml:space="preserve">main_nbis_2026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</si>
  <si>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2026</t>
    </r>
  </si>
  <si>
    <t xml:space="preserve">20261031_Wattonomics_v0.1.7.xlsx CapexGW!G136</t>
  </si>
  <si>
    <t xml:space="preserve">pit_nbis_2027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</si>
  <si>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2027</t>
    </r>
  </si>
  <si>
    <t xml:space="preserve">20261031_Wattonomics_v0.1.7.xlsx CapexGW!H131</t>
  </si>
  <si>
    <t xml:space="preserve">pfac_nbis_2027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</si>
  <si>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2027</t>
    </r>
  </si>
  <si>
    <t xml:space="preserve">20261031_Wattonomics_v0.1.7.xlsx CapexGW!H132</t>
  </si>
  <si>
    <t xml:space="preserve">ai2_nbis_2027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</si>
  <si>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</si>
  <si>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20261031_Wattonomics_v0.1.7.xlsx CapexGW!H130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</si>
  <si>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site_nbis_2027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</si>
  <si>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2027</t>
    </r>
  </si>
  <si>
    <t xml:space="preserve">20261031_Wattonomics_v0.1.7.xlsx CapexGW!H135</t>
  </si>
  <si>
    <t xml:space="preserve">main_nbis_2027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</si>
  <si>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2027</t>
    </r>
  </si>
  <si>
    <t xml:space="preserve">20261031_Wattonomics_v0.1.7.xlsx CapexGW!H136</t>
  </si>
  <si>
    <t xml:space="preserve">pit_nbis_2028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</si>
  <si>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2028</t>
    </r>
  </si>
  <si>
    <t xml:space="preserve">20261031_Wattonomics_v0.1.7.xlsx CapexGW!I131</t>
  </si>
  <si>
    <t xml:space="preserve">pfac_nbis_2028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</si>
  <si>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2028</t>
    </r>
  </si>
  <si>
    <t xml:space="preserve">20261031_Wattonomics_v0.1.7.xlsx CapexGW!I132</t>
  </si>
  <si>
    <t xml:space="preserve">ai2_nbis_2028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</si>
  <si>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</si>
  <si>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20261031_Wattonomics_v0.1.7.xlsx CapexGW!I130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</si>
  <si>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site_nbis_2028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</si>
  <si>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2028</t>
    </r>
  </si>
  <si>
    <t xml:space="preserve">20261031_Wattonomics_v0.1.7.xlsx CapexGW!I135</t>
  </si>
  <si>
    <t xml:space="preserve">main_nbis_2028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</si>
  <si>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2028</t>
    </r>
  </si>
  <si>
    <t xml:space="preserve">20261031_Wattonomics_v0.1.7.xlsx CapexGW!I136</t>
  </si>
  <si>
    <t xml:space="preserve">pit_nbis_2029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</si>
  <si>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 2029</t>
    </r>
  </si>
  <si>
    <t xml:space="preserve">20261031_Wattonomics_v0.1.7.xlsx CapexGW!J131</t>
  </si>
  <si>
    <t xml:space="preserve">pfac_nbis_2029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</si>
  <si>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2029</t>
    </r>
  </si>
  <si>
    <t xml:space="preserve">20261031_Wattonomics_v0.1.7.xlsx CapexGW!J132</t>
  </si>
  <si>
    <t xml:space="preserve">ai2_nbis_2029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</si>
  <si>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</si>
  <si>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20261031_Wattonomics_v0.1.7.xlsx CapexGW!J130</t>
    </r>
    <r>
      <rPr>
        <sz val="11"/>
        <color theme="1"/>
        <rFont val="Noto Sans CJK SC"/>
        <family val="2"/>
      </rPr>
      <t xml:space="preserve">（空白＝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無值）</t>
    </r>
  </si>
  <si>
    <t xml:space="preserve">site_nbis_2029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</si>
  <si>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2029</t>
    </r>
  </si>
  <si>
    <t xml:space="preserve">20261031_Wattonomics_v0.1.7.xlsx CapexGW!J135</t>
  </si>
  <si>
    <t xml:space="preserve">main_nbis_2029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</si>
  <si>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 2029</t>
    </r>
  </si>
  <si>
    <t xml:space="preserve">20261031_Wattonomics_v0.1.7.xlsx CapexGW!J136</t>
  </si>
  <si>
    <t xml:space="preserve">gcap_nbis_2024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</si>
  <si>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FY2024</t>
    </r>
  </si>
  <si>
    <r>
      <rPr>
        <sz val="11"/>
        <color theme="1"/>
        <rFont val="Calibri"/>
        <family val="2"/>
        <charset val="1"/>
      </rPr>
      <t xml:space="preserve">20261031_Wattonomics_v0.1.7.xlsx In!I208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nebius/dist/20261030_Nebius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_v0_5_2.xlsx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2ddfeb7</t>
    </r>
    <r>
      <rPr>
        <sz val="11"/>
        <color theme="1"/>
        <rFont val="Noto Sans CJK SC"/>
        <family val="2"/>
      </rPr>
      <t xml:space="preserve">）；…）</t>
    </r>
  </si>
  <si>
    <t xml:space="preserve">gcap_nbis_2025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</si>
  <si>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</si>
  <si>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Calibri"/>
        <family val="2"/>
        <charset val="1"/>
      </rPr>
      <t xml:space="preserve">20261031_Wattonomics_v0.1.7.xlsx In!J208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nebius/dist/20261030_Nebius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_v0_5_2.xlsx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2ddfeb7</t>
    </r>
    <r>
      <rPr>
        <sz val="11"/>
        <color theme="1"/>
        <rFont val="Noto Sans CJK SC"/>
        <family val="2"/>
      </rPr>
      <t xml:space="preserve">）；…）</t>
    </r>
  </si>
  <si>
    <t xml:space="preserve">gcap_nbis_2026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</si>
  <si>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</si>
  <si>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20261031_Wattonomics_v0.1.7.xlsx In!K208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nebius/dist/20261030_Nebius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_v0_5_2.xlsx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2ddfeb7</t>
    </r>
    <r>
      <rPr>
        <sz val="11"/>
        <color theme="1"/>
        <rFont val="Noto Sans CJK SC"/>
        <family val="2"/>
      </rPr>
      <t xml:space="preserve">）；…）</t>
    </r>
  </si>
  <si>
    <t xml:space="preserve">gcap_nbis_2027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</si>
  <si>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</si>
  <si>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20261031_Wattonomics_v0.1.7.xlsx In!L208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nebius/dist/20261030_Nebius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_v0_5_2.xlsx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2ddfeb7</t>
    </r>
    <r>
      <rPr>
        <sz val="11"/>
        <color theme="1"/>
        <rFont val="Noto Sans CJK SC"/>
        <family val="2"/>
      </rPr>
      <t xml:space="preserve">）；…）</t>
    </r>
  </si>
  <si>
    <t xml:space="preserve">gcap_nbis_2028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</si>
  <si>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</si>
  <si>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20261031_Wattonomics_v0.1.7.xlsx In!M208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nebius/dist/20261030_Nebius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_v0_5_2.xlsx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2ddfeb7</t>
    </r>
    <r>
      <rPr>
        <sz val="11"/>
        <color theme="1"/>
        <rFont val="Noto Sans CJK SC"/>
        <family val="2"/>
      </rPr>
      <t xml:space="preserve">）；…）</t>
    </r>
  </si>
  <si>
    <t xml:space="preserve">gcap_nbis_2029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</si>
  <si>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</si>
  <si>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20261031_Wattonomics_v0.1.7.xlsx In!N208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nebius/dist/20261030_Nebius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_v0_5_2.xlsx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2ddfeb7</t>
    </r>
    <r>
      <rPr>
        <sz val="11"/>
        <color theme="1"/>
        <rFont val="Noto Sans CJK SC"/>
        <family val="2"/>
      </rPr>
      <t xml:space="preserve">）；…）</t>
    </r>
  </si>
  <si>
    <t xml:space="preserve">gcap_nbis_2030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</si>
  <si>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資本支出合計（個股模型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基準）</t>
    </r>
    <r>
      <rPr>
        <sz val="11"/>
        <color theme="1"/>
        <rFont val="Calibri"/>
        <family val="2"/>
        <charset val="1"/>
      </rPr>
      <t xml:space="preserve">FY2030</t>
    </r>
  </si>
  <si>
    <r>
      <rPr>
        <sz val="11"/>
        <color theme="1"/>
        <rFont val="Calibri"/>
        <family val="2"/>
        <charset val="1"/>
      </rPr>
      <t xml:space="preserve">20261031_Wattonomics_v0.1.7.xlsx In!O208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nebius/dist/20261030_Nebius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_v0_5_2.xlsx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2ddfeb7</t>
    </r>
    <r>
      <rPr>
        <sz val="11"/>
        <color theme="1"/>
        <rFont val="Noto Sans CJK SC"/>
        <family val="2"/>
      </rPr>
      <t xml:space="preserve">）；…）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</si>
  <si>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非七家：</t>
    </r>
    <r>
      <rPr>
        <b val="true"/>
        <sz val="11"/>
        <rFont val="Cambria"/>
        <family val="0"/>
        <charset val="1"/>
      </rPr>
      <t xml:space="preserve">xAI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自建、</t>
    </r>
    <r>
      <rPr>
        <b val="true"/>
        <sz val="11"/>
        <rFont val="Cambria"/>
        <family val="0"/>
        <charset val="1"/>
      </rPr>
      <t xml:space="preserve">Anthropic </t>
    </r>
    <r>
      <rPr>
        <b val="true"/>
        <sz val="11"/>
        <rFont val="Noto Sans CJK SC"/>
        <family val="2"/>
      </rPr>
      <t xml:space="preserve">自建（</t>
    </r>
    <r>
      <rPr>
        <b val="true"/>
        <sz val="11"/>
        <rFont val="Cambria"/>
        <family val="0"/>
        <charset val="1"/>
      </rPr>
      <t xml:space="preserve">In Y9 AI </t>
    </r>
    <r>
      <rPr>
        <b val="true"/>
        <sz val="11"/>
        <rFont val="Noto Sans CJK SC"/>
        <family val="2"/>
      </rPr>
      <t xml:space="preserve">資本支出；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站點年新增）；每 </t>
    </r>
    <r>
      <rPr>
        <b val="true"/>
        <sz val="11"/>
        <rFont val="Cambria"/>
        <family val="0"/>
        <charset val="1"/>
      </rPr>
      <t xml:space="preserve">IT GW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世代加權</t>
    </r>
  </si>
  <si>
    <t xml:space="preserve">pitN_2024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</si>
  <si>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（世代加權）</t>
    </r>
    <r>
      <rPr>
        <sz val="11"/>
        <color theme="1"/>
        <rFont val="Calibri"/>
        <family val="2"/>
        <charset val="1"/>
      </rPr>
      <t xml:space="preserve">2024</t>
    </r>
  </si>
  <si>
    <t xml:space="preserve">20261031_Wattonomics_v0.1.7.xlsx CapexGW!E7</t>
  </si>
  <si>
    <t xml:space="preserve">pfacN_2024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</si>
  <si>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2024</t>
    </r>
  </si>
  <si>
    <t xml:space="preserve">20261031_Wattonomics_v0.1.7.xlsx CapexGW!E8</t>
  </si>
  <si>
    <t xml:space="preserve">pitN_2025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</si>
  <si>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（世代加權）</t>
    </r>
    <r>
      <rPr>
        <sz val="11"/>
        <color theme="1"/>
        <rFont val="Calibri"/>
        <family val="2"/>
        <charset val="1"/>
      </rPr>
      <t xml:space="preserve">2025</t>
    </r>
  </si>
  <si>
    <t xml:space="preserve">20261031_Wattonomics_v0.1.7.xlsx CapexGW!F7</t>
  </si>
  <si>
    <t xml:space="preserve">pfacN_2025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</si>
  <si>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2025</t>
    </r>
  </si>
  <si>
    <t xml:space="preserve">20261031_Wattonomics_v0.1.7.xlsx CapexGW!F8</t>
  </si>
  <si>
    <t xml:space="preserve">pitN_2026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</si>
  <si>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（世代加權）</t>
    </r>
    <r>
      <rPr>
        <sz val="11"/>
        <color theme="1"/>
        <rFont val="Calibri"/>
        <family val="2"/>
        <charset val="1"/>
      </rPr>
      <t xml:space="preserve">2026</t>
    </r>
  </si>
  <si>
    <t xml:space="preserve">20261031_Wattonomics_v0.1.7.xlsx CapexGW!G7</t>
  </si>
  <si>
    <t xml:space="preserve">pfacN_2026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</si>
  <si>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2026</t>
    </r>
  </si>
  <si>
    <t xml:space="preserve">20261031_Wattonomics_v0.1.7.xlsx CapexGW!G8</t>
  </si>
  <si>
    <t xml:space="preserve">pitN_2027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</si>
  <si>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（世代加權）</t>
    </r>
    <r>
      <rPr>
        <sz val="11"/>
        <color theme="1"/>
        <rFont val="Calibri"/>
        <family val="2"/>
        <charset val="1"/>
      </rPr>
      <t xml:space="preserve">2027</t>
    </r>
  </si>
  <si>
    <t xml:space="preserve">20261031_Wattonomics_v0.1.7.xlsx CapexGW!H7</t>
  </si>
  <si>
    <t xml:space="preserve">pfacN_2027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</si>
  <si>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2027</t>
    </r>
  </si>
  <si>
    <t xml:space="preserve">20261031_Wattonomics_v0.1.7.xlsx CapexGW!H8</t>
  </si>
  <si>
    <t xml:space="preserve">pitN_2028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</si>
  <si>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（世代加權）</t>
    </r>
    <r>
      <rPr>
        <sz val="11"/>
        <color theme="1"/>
        <rFont val="Calibri"/>
        <family val="2"/>
        <charset val="1"/>
      </rPr>
      <t xml:space="preserve">2028</t>
    </r>
  </si>
  <si>
    <t xml:space="preserve">20261031_Wattonomics_v0.1.7.xlsx CapexGW!I7</t>
  </si>
  <si>
    <t xml:space="preserve">pfacN_2028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</si>
  <si>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2028</t>
    </r>
  </si>
  <si>
    <t xml:space="preserve">20261031_Wattonomics_v0.1.7.xlsx CapexGW!I8</t>
  </si>
  <si>
    <t xml:space="preserve">pitN_2029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</si>
  <si>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（世代加權）</t>
    </r>
    <r>
      <rPr>
        <sz val="11"/>
        <color theme="1"/>
        <rFont val="Calibri"/>
        <family val="2"/>
        <charset val="1"/>
      </rPr>
      <t xml:space="preserve">2029</t>
    </r>
  </si>
  <si>
    <t xml:space="preserve">20261031_Wattonomics_v0.1.7.xlsx CapexGW!J7</t>
  </si>
  <si>
    <t xml:space="preserve">pfacN_2029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</si>
  <si>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2029</t>
    </r>
  </si>
  <si>
    <t xml:space="preserve">20261031_Wattonomics_v0.1.7.xlsx CapexGW!J8</t>
  </si>
  <si>
    <t xml:space="preserve">site_xai_2024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</si>
  <si>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2024</t>
    </r>
  </si>
  <si>
    <t xml:space="preserve">20261031_Wattonomics_v0.1.7.xlsx Players!E188</t>
  </si>
  <si>
    <t xml:space="preserve">site_xai_2025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</si>
  <si>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2025</t>
    </r>
  </si>
  <si>
    <t xml:space="preserve">20261031_Wattonomics_v0.1.7.xlsx Players!F188</t>
  </si>
  <si>
    <t xml:space="preserve">site_xai_2026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</si>
  <si>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2026</t>
    </r>
  </si>
  <si>
    <t xml:space="preserve">20261031_Wattonomics_v0.1.7.xlsx Players!G188</t>
  </si>
  <si>
    <t xml:space="preserve">site_xai_2027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</si>
  <si>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2027</t>
    </r>
  </si>
  <si>
    <t xml:space="preserve">20261031_Wattonomics_v0.1.7.xlsx Players!H188</t>
  </si>
  <si>
    <t xml:space="preserve">site_xai_2028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</si>
  <si>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2028</t>
    </r>
  </si>
  <si>
    <t xml:space="preserve">20261031_Wattonomics_v0.1.7.xlsx Players!I188</t>
  </si>
  <si>
    <t xml:space="preserve">site_xai_2029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</si>
  <si>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甲（站點）年新增 </t>
    </r>
    <r>
      <rPr>
        <sz val="11"/>
        <color theme="1"/>
        <rFont val="Calibri"/>
        <family val="2"/>
        <charset val="1"/>
      </rPr>
      <t xml:space="preserve">IT GW 2029</t>
    </r>
  </si>
  <si>
    <t xml:space="preserve">20261031_Wattonomics_v0.1.7.xlsx Players!J188</t>
  </si>
  <si>
    <t xml:space="preserve">gai_xai_2024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</si>
  <si>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AI </t>
    </r>
    <r>
      <rPr>
        <sz val="11"/>
        <color theme="1"/>
        <rFont val="Noto Sans CJK SC"/>
        <family val="2"/>
      </rPr>
      <t xml:space="preserve">資本支出（個股模型）</t>
    </r>
    <r>
      <rPr>
        <sz val="11"/>
        <color theme="1"/>
        <rFont val="Calibri"/>
        <family val="2"/>
        <charset val="1"/>
      </rPr>
      <t xml:space="preserve">FY2024</t>
    </r>
  </si>
  <si>
    <r>
      <rPr>
        <sz val="11"/>
        <color theme="1"/>
        <rFont val="Calibri"/>
        <family val="2"/>
        <charset val="1"/>
      </rPr>
      <t xml:space="preserve">20261031_Wattonomics_v0.1.7.xlsx In!I218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</si>
  <si>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t xml:space="preserve">gai_xai_2025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</si>
  <si>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AI </t>
    </r>
    <r>
      <rPr>
        <sz val="11"/>
        <color theme="1"/>
        <rFont val="Noto Sans CJK SC"/>
        <family val="2"/>
      </rPr>
      <t xml:space="preserve">資本支出（個股模型）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</si>
  <si>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Calibri"/>
        <family val="2"/>
        <charset val="1"/>
      </rPr>
      <t xml:space="preserve">20261031_Wattonomics_v0.1.7.xlsx In!J218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</si>
  <si>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t xml:space="preserve">gai_xai_2026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</si>
  <si>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AI </t>
    </r>
    <r>
      <rPr>
        <sz val="11"/>
        <color theme="1"/>
        <rFont val="Noto Sans CJK SC"/>
        <family val="2"/>
      </rPr>
      <t xml:space="preserve">資本支出（個股模型）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</si>
  <si>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20261031_Wattonomics_v0.1.7.xlsx In!K218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</si>
  <si>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t xml:space="preserve">gai_xai_2027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</si>
  <si>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AI </t>
    </r>
    <r>
      <rPr>
        <sz val="11"/>
        <color theme="1"/>
        <rFont val="Noto Sans CJK SC"/>
        <family val="2"/>
      </rPr>
      <t xml:space="preserve">資本支出（個股模型）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</si>
  <si>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20261031_Wattonomics_v0.1.7.xlsx In!L218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</si>
  <si>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t xml:space="preserve">gai_xai_2028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</si>
  <si>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AI </t>
    </r>
    <r>
      <rPr>
        <sz val="11"/>
        <color theme="1"/>
        <rFont val="Noto Sans CJK SC"/>
        <family val="2"/>
      </rPr>
      <t xml:space="preserve">資本支出（個股模型）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</si>
  <si>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20261031_Wattonomics_v0.1.7.xlsx In!M218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</si>
  <si>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t xml:space="preserve">gai_xai_2029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</si>
  <si>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AI </t>
    </r>
    <r>
      <rPr>
        <sz val="11"/>
        <color theme="1"/>
        <rFont val="Noto Sans CJK SC"/>
        <family val="2"/>
      </rPr>
      <t xml:space="preserve">資本支出（個股模型）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</si>
  <si>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20261031_Wattonomics_v0.1.7.xlsx In!N218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</si>
  <si>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t xml:space="preserve">site_oai_2024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</si>
  <si>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 甲（站點）年新增 </t>
    </r>
    <r>
      <rPr>
        <sz val="11"/>
        <color theme="1"/>
        <rFont val="Calibri"/>
        <family val="2"/>
        <charset val="1"/>
      </rPr>
      <t xml:space="preserve">IT GW 2024</t>
    </r>
  </si>
  <si>
    <t xml:space="preserve">20261031_Wattonomics_v0.1.7.xlsx Players!E207</t>
  </si>
  <si>
    <t xml:space="preserve">site_oai_2025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</si>
  <si>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 甲（站點）年新增 </t>
    </r>
    <r>
      <rPr>
        <sz val="11"/>
        <color theme="1"/>
        <rFont val="Calibri"/>
        <family val="2"/>
        <charset val="1"/>
      </rPr>
      <t xml:space="preserve">IT GW 2025</t>
    </r>
  </si>
  <si>
    <t xml:space="preserve">20261031_Wattonomics_v0.1.7.xlsx Players!F207</t>
  </si>
  <si>
    <t xml:space="preserve">site_oai_2026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</si>
  <si>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 甲（站點）年新增 </t>
    </r>
    <r>
      <rPr>
        <sz val="11"/>
        <color theme="1"/>
        <rFont val="Calibri"/>
        <family val="2"/>
        <charset val="1"/>
      </rPr>
      <t xml:space="preserve">IT GW 2026</t>
    </r>
  </si>
  <si>
    <t xml:space="preserve">20261031_Wattonomics_v0.1.7.xlsx Players!G207</t>
  </si>
  <si>
    <t xml:space="preserve">site_oai_2027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</si>
  <si>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 甲（站點）年新增 </t>
    </r>
    <r>
      <rPr>
        <sz val="11"/>
        <color theme="1"/>
        <rFont val="Calibri"/>
        <family val="2"/>
        <charset val="1"/>
      </rPr>
      <t xml:space="preserve">IT GW 2027</t>
    </r>
  </si>
  <si>
    <t xml:space="preserve">20261031_Wattonomics_v0.1.7.xlsx Players!H207</t>
  </si>
  <si>
    <t xml:space="preserve">site_oai_2028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</si>
  <si>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 甲（站點）年新增 </t>
    </r>
    <r>
      <rPr>
        <sz val="11"/>
        <color theme="1"/>
        <rFont val="Calibri"/>
        <family val="2"/>
        <charset val="1"/>
      </rPr>
      <t xml:space="preserve">IT GW 2028</t>
    </r>
  </si>
  <si>
    <t xml:space="preserve">20261031_Wattonomics_v0.1.7.xlsx Players!I207</t>
  </si>
  <si>
    <t xml:space="preserve">site_oai_2029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</si>
  <si>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 甲（站點）年新增 </t>
    </r>
    <r>
      <rPr>
        <sz val="11"/>
        <color theme="1"/>
        <rFont val="Calibri"/>
        <family val="2"/>
        <charset val="1"/>
      </rPr>
      <t xml:space="preserve">IT GW 2029</t>
    </r>
  </si>
  <si>
    <t xml:space="preserve">20261031_Wattonomics_v0.1.7.xlsx Players!J207</t>
  </si>
  <si>
    <t xml:space="preserve">gai_oai_2024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</si>
  <si>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資本支出（個股模型）</t>
    </r>
    <r>
      <rPr>
        <sz val="11"/>
        <color theme="1"/>
        <rFont val="Calibri"/>
        <family val="2"/>
        <charset val="1"/>
      </rPr>
      <t xml:space="preserve">FY2024</t>
    </r>
  </si>
  <si>
    <r>
      <rPr>
        <sz val="11"/>
        <color theme="1"/>
        <rFont val="Calibri"/>
        <family val="2"/>
        <charset val="1"/>
      </rPr>
      <t xml:space="preserve">20261031_Wattonomics_v0.1.7.xlsx In!I224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</si>
  <si>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t xml:space="preserve">gai_oai_2025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</si>
  <si>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資本支出（個股模型）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</si>
  <si>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Calibri"/>
        <family val="2"/>
        <charset val="1"/>
      </rPr>
      <t xml:space="preserve">20261031_Wattonomics_v0.1.7.xlsx In!J224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</si>
  <si>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t xml:space="preserve">gai_oai_2026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</si>
  <si>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資本支出（個股模型）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</si>
  <si>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20261031_Wattonomics_v0.1.7.xlsx In!K224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</si>
  <si>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t xml:space="preserve">gai_oai_2027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</si>
  <si>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資本支出（個股模型）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</si>
  <si>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20261031_Wattonomics_v0.1.7.xlsx In!L224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</si>
  <si>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t xml:space="preserve">gai_oai_2028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</si>
  <si>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資本支出（個股模型）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</si>
  <si>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20261031_Wattonomics_v0.1.7.xlsx In!M224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</si>
  <si>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t xml:space="preserve">gai_oai_2029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</si>
  <si>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資本支出（個股模型）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</si>
  <si>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20261031_Wattonomics_v0.1.7.xlsx In!N224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</si>
  <si>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t xml:space="preserve">site_ant_2024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</si>
  <si>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甲（站點）年新增 </t>
    </r>
    <r>
      <rPr>
        <sz val="11"/>
        <color theme="1"/>
        <rFont val="Calibri"/>
        <family val="2"/>
        <charset val="1"/>
      </rPr>
      <t xml:space="preserve">IT GW 2024</t>
    </r>
  </si>
  <si>
    <t xml:space="preserve">20261031_Wattonomics_v0.1.7.xlsx Players!E226</t>
  </si>
  <si>
    <t xml:space="preserve">site_ant_2025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</si>
  <si>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甲（站點）年新增 </t>
    </r>
    <r>
      <rPr>
        <sz val="11"/>
        <color theme="1"/>
        <rFont val="Calibri"/>
        <family val="2"/>
        <charset val="1"/>
      </rPr>
      <t xml:space="preserve">IT GW 2025</t>
    </r>
  </si>
  <si>
    <t xml:space="preserve">20261031_Wattonomics_v0.1.7.xlsx Players!F226</t>
  </si>
  <si>
    <t xml:space="preserve">site_ant_2026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</si>
  <si>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甲（站點）年新增 </t>
    </r>
    <r>
      <rPr>
        <sz val="11"/>
        <color theme="1"/>
        <rFont val="Calibri"/>
        <family val="2"/>
        <charset val="1"/>
      </rPr>
      <t xml:space="preserve">IT GW 2026</t>
    </r>
  </si>
  <si>
    <t xml:space="preserve">20261031_Wattonomics_v0.1.7.xlsx Players!G226</t>
  </si>
  <si>
    <t xml:space="preserve">site_ant_2027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</si>
  <si>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甲（站點）年新增 </t>
    </r>
    <r>
      <rPr>
        <sz val="11"/>
        <color theme="1"/>
        <rFont val="Calibri"/>
        <family val="2"/>
        <charset val="1"/>
      </rPr>
      <t xml:space="preserve">IT GW 2027</t>
    </r>
  </si>
  <si>
    <t xml:space="preserve">20261031_Wattonomics_v0.1.7.xlsx Players!H226</t>
  </si>
  <si>
    <t xml:space="preserve">site_ant_2028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</si>
  <si>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甲（站點）年新增 </t>
    </r>
    <r>
      <rPr>
        <sz val="11"/>
        <color theme="1"/>
        <rFont val="Calibri"/>
        <family val="2"/>
        <charset val="1"/>
      </rPr>
      <t xml:space="preserve">IT GW 2028</t>
    </r>
  </si>
  <si>
    <t xml:space="preserve">20261031_Wattonomics_v0.1.7.xlsx Players!I226</t>
  </si>
  <si>
    <t xml:space="preserve">site_ant_2029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</si>
  <si>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甲（站點）年新增 </t>
    </r>
    <r>
      <rPr>
        <sz val="11"/>
        <color theme="1"/>
        <rFont val="Calibri"/>
        <family val="2"/>
        <charset val="1"/>
      </rPr>
      <t xml:space="preserve">IT GW 2029</t>
    </r>
  </si>
  <si>
    <t xml:space="preserve">20261031_Wattonomics_v0.1.7.xlsx Players!J226</t>
  </si>
  <si>
    <t xml:space="preserve">gai_ant_2024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</si>
  <si>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資本支出（個股模型）</t>
    </r>
    <r>
      <rPr>
        <sz val="11"/>
        <color theme="1"/>
        <rFont val="Calibri"/>
        <family val="2"/>
        <charset val="1"/>
      </rPr>
      <t xml:space="preserve">FY2024</t>
    </r>
  </si>
  <si>
    <r>
      <rPr>
        <sz val="11"/>
        <color theme="1"/>
        <rFont val="Calibri"/>
        <family val="2"/>
        <charset val="1"/>
      </rPr>
      <t xml:space="preserve">20261031_Wattonomics_v0.1.7.xlsx In!I230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</si>
  <si>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t xml:space="preserve">gai_ant_2025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</si>
  <si>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資本支出（個股模型）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</si>
  <si>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Calibri"/>
        <family val="2"/>
        <charset val="1"/>
      </rPr>
      <t xml:space="preserve">20261031_Wattonomics_v0.1.7.xlsx In!J230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</si>
  <si>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t xml:space="preserve">gai_ant_2026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</si>
  <si>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資本支出（個股模型）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</si>
  <si>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20261031_Wattonomics_v0.1.7.xlsx In!K230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</si>
  <si>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t xml:space="preserve">gai_ant_2027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</si>
  <si>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資本支出（個股模型）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</si>
  <si>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20261031_Wattonomics_v0.1.7.xlsx In!L230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</si>
  <si>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t xml:space="preserve">gai_ant_2028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</si>
  <si>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資本支出（個股模型）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</si>
  <si>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20261031_Wattonomics_v0.1.7.xlsx In!M230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</si>
  <si>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t xml:space="preserve">gai_ant_2029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</si>
  <si>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資本支出（個股模型）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</si>
  <si>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20261031_Wattonomics_v0.1.7.xlsx In!N230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</si>
  <si>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Calc — </t>
    </r>
    <r>
      <rPr>
        <b val="true"/>
        <sz val="11"/>
        <rFont val="Noto Sans CJK SC"/>
        <family val="2"/>
      </rPr>
      <t xml:space="preserve">甲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重算（與 </t>
    </r>
    <r>
      <rPr>
        <b val="true"/>
        <sz val="11"/>
        <rFont val="Cambria"/>
        <family val="0"/>
        <charset val="1"/>
      </rPr>
      <t xml:space="preserve">Wattonomics CapexGW </t>
    </r>
    <r>
      <rPr>
        <b val="true"/>
        <sz val="11"/>
        <rFont val="Noto Sans CJK SC"/>
        <family val="2"/>
      </rPr>
      <t xml:space="preserve">同式）：當年資金＝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× AI_t </t>
    </r>
    <r>
      <rPr>
        <b val="true"/>
        <sz val="11"/>
        <rFont val="Noto Sans CJK SC"/>
        <family val="2"/>
      </rPr>
      <t xml:space="preserve">＋ 廠房占比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w1·AI_t−1 </t>
    </r>
    <r>
      <rPr>
        <b val="true"/>
        <sz val="11"/>
        <rFont val="Noto Sans CJK SC"/>
        <family val="2"/>
      </rPr>
      <t xml:space="preserve">＋ </t>
    </r>
    <r>
      <rPr>
        <b val="true"/>
        <sz val="11"/>
        <rFont val="Cambria"/>
        <family val="0"/>
        <charset val="1"/>
      </rPr>
      <t xml:space="preserve">w2·AI_t−2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CapexGW </t>
    </r>
    <r>
      <rPr>
        <b val="true"/>
        <sz val="11"/>
        <rFont val="Noto Sans CJK SC"/>
        <family val="2"/>
      </rPr>
      <t xml:space="preserve">在 </t>
    </r>
    <r>
      <rPr>
        <b val="true"/>
        <sz val="11"/>
        <rFont val="Cambria"/>
        <family val="0"/>
        <charset val="1"/>
      </rPr>
      <t xml:space="preserve">t−1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t−2 </t>
    </r>
    <r>
      <rPr>
        <b val="true"/>
        <sz val="11"/>
        <rFont val="Noto Sans CJK SC"/>
        <family val="2"/>
      </rPr>
      <t xml:space="preserve">缺值時留空，本頁改為：缺 </t>
    </r>
    <r>
      <rPr>
        <b val="true"/>
        <sz val="11"/>
        <rFont val="Cambria"/>
        <family val="0"/>
        <charset val="1"/>
      </rPr>
      <t xml:space="preserve">t−2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t−1</t>
    </r>
    <r>
      <rPr>
        <b val="true"/>
        <sz val="11"/>
        <rFont val="Noto Sans CJK SC"/>
        <family val="2"/>
      </rPr>
      <t xml:space="preserve">、兩者皆缺用當年（只影響 </t>
    </r>
    <r>
      <rPr>
        <b val="true"/>
        <sz val="11"/>
        <rFont val="Cambria"/>
        <family val="0"/>
        <charset val="1"/>
      </rPr>
      <t xml:space="preserve">2024–2026 </t>
    </r>
    <r>
      <rPr>
        <b val="true"/>
        <sz val="11"/>
        <rFont val="Noto Sans CJK SC"/>
        <family val="2"/>
      </rPr>
      <t xml:space="preserve">與無前期值的玩家，屬近似）；</t>
    </r>
    <r>
      <rPr>
        <b val="true"/>
        <sz val="11"/>
        <rFont val="Cambria"/>
        <family val="0"/>
        <charset val="1"/>
      </rPr>
      <t xml:space="preserve">GW_</t>
    </r>
    <r>
      <rPr>
        <b val="true"/>
        <sz val="11"/>
        <rFont val="Noto Sans CJK SC"/>
        <family val="2"/>
      </rPr>
      <t xml:space="preserve">付款年＝資金 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＋廠房）；資金缺值時以站點年新增代入（同 </t>
    </r>
    <r>
      <rPr>
        <b val="true"/>
        <sz val="11"/>
        <rFont val="Cambria"/>
        <family val="0"/>
        <charset val="1"/>
      </rPr>
      <t xml:space="preserve">CapexGW</t>
    </r>
    <r>
      <rPr>
        <b val="true"/>
        <sz val="11"/>
        <rFont val="Noto Sans CJK SC"/>
        <family val="2"/>
      </rPr>
      <t xml:space="preserve">「缺值以甲代入」）。上線年＝</t>
    </r>
    <r>
      <rPr>
        <b val="true"/>
        <sz val="11"/>
        <rFont val="Cambria"/>
        <family val="0"/>
        <charset val="1"/>
      </rPr>
      <t xml:space="preserve">(1−lag)·GW_t </t>
    </r>
    <r>
      <rPr>
        <b val="true"/>
        <sz val="11"/>
        <rFont val="Noto Sans CJK SC"/>
        <family val="2"/>
      </rPr>
      <t xml:space="preserve">＋ </t>
    </r>
    <r>
      <rPr>
        <b val="true"/>
        <sz val="11"/>
        <rFont val="Cambria"/>
        <family val="0"/>
        <charset val="1"/>
      </rPr>
      <t xml:space="preserve">lag·GW_t−1 − inv_k·(GW_t − GW_t−1)</t>
    </r>
    <r>
      <rPr>
        <b val="true"/>
        <sz val="11"/>
        <rFont val="Noto Sans CJK SC"/>
        <family val="2"/>
      </rPr>
      <t xml:space="preserve">（與 </t>
    </r>
    <r>
      <rPr>
        <b val="true"/>
        <sz val="11"/>
        <rFont val="Cambria"/>
        <family val="0"/>
        <charset val="1"/>
      </rPr>
      <t xml:space="preserve">Siliconomics ②③ </t>
    </r>
    <r>
      <rPr>
        <b val="true"/>
        <sz val="11"/>
        <rFont val="Noto Sans CJK SC"/>
        <family val="2"/>
      </rPr>
      <t xml:space="preserve">同參數）。</t>
    </r>
  </si>
  <si>
    <t xml:space="preserve">■ 情況：基準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</si>
  <si>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</si>
  <si>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</si>
  <si>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</si>
  <si>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</si>
  <si>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</si>
  <si>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</si>
  <si>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base_ai2_msft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</si>
  <si>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</si>
  <si>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t xml:space="preserve">base_x2_msft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</si>
  <si>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（付款年；缺值以站點代入）</t>
    </r>
  </si>
  <si>
    <t xml:space="preserve">base_on2_msft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</si>
  <si>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（上線年）</t>
    </r>
  </si>
  <si>
    <t xml:space="preserve">base_ai9_msft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</si>
  <si>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Y9 </t>
    </r>
    <r>
      <rPr>
        <sz val="11"/>
        <color theme="1"/>
        <rFont val="Noto Sans CJK SC"/>
        <family val="2"/>
      </rPr>
      <t xml:space="preserve">個股模型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</si>
  <si>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t xml:space="preserve">base_x9_msft</t>
  </si>
  <si>
    <t xml:space="preserve">base_on9_msft</t>
  </si>
  <si>
    <t xml:space="preserve">base_site_msft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</si>
  <si>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甲（站點）年新增</t>
    </r>
  </si>
  <si>
    <t xml:space="preserve">base_ai2_googl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</si>
  <si>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</si>
  <si>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t xml:space="preserve">base_x2_googl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</si>
  <si>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（付款年；缺值以站點代入）</t>
    </r>
  </si>
  <si>
    <t xml:space="preserve">base_on2_googl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</si>
  <si>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（上線年）</t>
    </r>
  </si>
  <si>
    <t xml:space="preserve">base_ai9_googl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</si>
  <si>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Y9 </t>
    </r>
    <r>
      <rPr>
        <sz val="11"/>
        <color theme="1"/>
        <rFont val="Noto Sans CJK SC"/>
        <family val="2"/>
      </rPr>
      <t xml:space="preserve">個股模型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</si>
  <si>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t xml:space="preserve">base_x9_googl</t>
  </si>
  <si>
    <t xml:space="preserve">base_on9_googl</t>
  </si>
  <si>
    <t xml:space="preserve">base_site_googl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</si>
  <si>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甲（站點）年新增</t>
    </r>
  </si>
  <si>
    <t xml:space="preserve">base_ai2_amzn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</si>
  <si>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</si>
  <si>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t xml:space="preserve">base_x2_amzn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</si>
  <si>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（付款年；缺值以站點代入）</t>
    </r>
  </si>
  <si>
    <t xml:space="preserve">base_on2_amzn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</si>
  <si>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（上線年）</t>
    </r>
  </si>
  <si>
    <t xml:space="preserve">base_ai9_amzn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</si>
  <si>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Y9 </t>
    </r>
    <r>
      <rPr>
        <sz val="11"/>
        <color theme="1"/>
        <rFont val="Noto Sans CJK SC"/>
        <family val="2"/>
      </rPr>
      <t xml:space="preserve">個股模型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</si>
  <si>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t xml:space="preserve">base_x9_amzn</t>
  </si>
  <si>
    <t xml:space="preserve">base_on9_amzn</t>
  </si>
  <si>
    <t xml:space="preserve">base_site_amzn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</si>
  <si>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甲（站點）年新增</t>
    </r>
  </si>
  <si>
    <t xml:space="preserve">base_ai2_meta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</si>
  <si>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</si>
  <si>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t xml:space="preserve">base_x2_meta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</si>
  <si>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（付款年；缺值以站點代入）</t>
    </r>
  </si>
  <si>
    <t xml:space="preserve">base_on2_meta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</si>
  <si>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（上線年）</t>
    </r>
  </si>
  <si>
    <t xml:space="preserve">base_ai9_meta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</si>
  <si>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Y9 </t>
    </r>
    <r>
      <rPr>
        <sz val="11"/>
        <color theme="1"/>
        <rFont val="Noto Sans CJK SC"/>
        <family val="2"/>
      </rPr>
      <t xml:space="preserve">個股模型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</si>
  <si>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t xml:space="preserve">base_x9_meta</t>
  </si>
  <si>
    <t xml:space="preserve">base_on9_meta</t>
  </si>
  <si>
    <t xml:space="preserve">base_site_meta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</si>
  <si>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甲（站點）年新增</t>
    </r>
  </si>
  <si>
    <t xml:space="preserve">base_ai2_orcl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</si>
  <si>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</si>
  <si>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t xml:space="preserve">base_x2_orcl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</si>
  <si>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（付款年；缺值以站點代入）</t>
    </r>
  </si>
  <si>
    <t xml:space="preserve">base_on2_orcl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</si>
  <si>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（上線年）</t>
    </r>
  </si>
  <si>
    <t xml:space="preserve">base_ai9_orcl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</si>
  <si>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Y9 </t>
    </r>
    <r>
      <rPr>
        <sz val="11"/>
        <color theme="1"/>
        <rFont val="Noto Sans CJK SC"/>
        <family val="2"/>
      </rPr>
      <t xml:space="preserve">個股模型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</si>
  <si>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t xml:space="preserve">base_x9_orcl</t>
  </si>
  <si>
    <t xml:space="preserve">base_on9_orcl</t>
  </si>
  <si>
    <t xml:space="preserve">base_site_orcl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</si>
  <si>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甲（站點）年新增</t>
    </r>
  </si>
  <si>
    <t xml:space="preserve">base_ai2_crwv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</si>
  <si>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</si>
  <si>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t xml:space="preserve">base_x2_crwv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</si>
  <si>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（付款年；缺值以站點代入）</t>
    </r>
  </si>
  <si>
    <t xml:space="preserve">base_on2_crwv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</si>
  <si>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（上線年）</t>
    </r>
  </si>
  <si>
    <t xml:space="preserve">base_ai9_crwv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</si>
  <si>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Y9 </t>
    </r>
    <r>
      <rPr>
        <sz val="11"/>
        <color theme="1"/>
        <rFont val="Noto Sans CJK SC"/>
        <family val="2"/>
      </rPr>
      <t xml:space="preserve">個股模型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</si>
  <si>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t xml:space="preserve">base_x9_crwv</t>
  </si>
  <si>
    <t xml:space="preserve">base_on9_crwv</t>
  </si>
  <si>
    <t xml:space="preserve">base_site_crwv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</si>
  <si>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甲（站點）年新增</t>
    </r>
  </si>
  <si>
    <t xml:space="preserve">base_ai2_nbis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</si>
  <si>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</si>
  <si>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t xml:space="preserve">base_x2_nbis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</si>
  <si>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（付款年；缺值以站點代入）</t>
    </r>
  </si>
  <si>
    <t xml:space="preserve">base_on2_nbis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</si>
  <si>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（上線年）</t>
    </r>
  </si>
  <si>
    <t xml:space="preserve">base_ai9_nbis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</si>
  <si>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Y9 </t>
    </r>
    <r>
      <rPr>
        <sz val="11"/>
        <color theme="1"/>
        <rFont val="Noto Sans CJK SC"/>
        <family val="2"/>
      </rPr>
      <t xml:space="preserve">個股模型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</si>
  <si>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t xml:space="preserve">base_x9_nbis</t>
  </si>
  <si>
    <t xml:space="preserve">base_on9_nbis</t>
  </si>
  <si>
    <t xml:space="preserve">base_site_nbis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</si>
  <si>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甲（站點）年新增</t>
    </r>
  </si>
  <si>
    <t xml:space="preserve">base_ain_xai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</si>
  <si>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AI </t>
    </r>
    <r>
      <rPr>
        <sz val="11"/>
        <color theme="1"/>
        <rFont val="Noto Sans CJK SC"/>
        <family val="2"/>
      </rPr>
      <t xml:space="preserve">資本支出（個股模型，曆年＝財年）</t>
    </r>
  </si>
  <si>
    <t xml:space="preserve">base_xn_xai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</si>
  <si>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模型資本支出推得年新增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（付款年；缺值以站點代入）</t>
    </r>
  </si>
  <si>
    <t xml:space="preserve">base_onn_xai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</si>
  <si>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模型資本支出推得年新增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（上線年；前一年無模型值則不平移）</t>
    </r>
  </si>
  <si>
    <t xml:space="preserve">base_siten_xai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</si>
  <si>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甲（站點）年新增</t>
    </r>
  </si>
  <si>
    <t xml:space="preserve">base_ain_oai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</si>
  <si>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資本支出（個股模型，曆年＝財年）</t>
    </r>
  </si>
  <si>
    <t xml:space="preserve">base_xn_oai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</si>
  <si>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 模型資本支出推得年新增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（付款年；缺值以站點代入）</t>
    </r>
  </si>
  <si>
    <t xml:space="preserve">base_onn_oai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</si>
  <si>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 模型資本支出推得年新增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（上線年；前一年無模型值則不平移）</t>
    </r>
  </si>
  <si>
    <t xml:space="preserve">base_siten_oai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</si>
  <si>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 甲（站點）年新增</t>
    </r>
  </si>
  <si>
    <t xml:space="preserve">base_ain_ant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</si>
  <si>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資本支出（個股模型，曆年＝財年）</t>
    </r>
  </si>
  <si>
    <t xml:space="preserve">base_xn_ant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</si>
  <si>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模型資本支出推得年新增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（付款年；缺值以站點代入）</t>
    </r>
  </si>
  <si>
    <t xml:space="preserve">base_onn_ant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</si>
  <si>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模型資本支出推得年新增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（上線年；前一年無模型值則不平移）</t>
    </r>
  </si>
  <si>
    <t xml:space="preserve">base_siten_ant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</si>
  <si>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甲（站點）年新增</t>
    </r>
  </si>
  <si>
    <t xml:space="preserve">base_S_x2</t>
  </si>
  <si>
    <r>
      <rPr>
        <sz val="11"/>
        <color theme="1"/>
        <rFont val="Noto Sans CJK SC"/>
        <family val="2"/>
      </rPr>
      <t xml:space="preserve">合計：七家 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付款年（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</si>
  <si>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t xml:space="preserve">base_S_on2</t>
  </si>
  <si>
    <r>
      <rPr>
        <sz val="11"/>
        <color theme="1"/>
        <rFont val="Noto Sans CJK SC"/>
        <family val="2"/>
      </rPr>
      <t xml:space="preserve">合計：七家 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上線年（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</si>
  <si>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t xml:space="preserve">base_S_x9</t>
  </si>
  <si>
    <r>
      <rPr>
        <sz val="11"/>
        <color theme="1"/>
        <rFont val="Noto Sans CJK SC"/>
        <family val="2"/>
      </rPr>
      <t xml:space="preserve">合計：七家 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付款年（</t>
    </r>
    <r>
      <rPr>
        <sz val="11"/>
        <color theme="1"/>
        <rFont val="Calibri"/>
        <family val="2"/>
        <charset val="1"/>
      </rPr>
      <t xml:space="preserve">Y9</t>
    </r>
    <r>
      <rPr>
        <sz val="11"/>
        <color theme="1"/>
        <rFont val="Noto Sans CJK SC"/>
        <family val="2"/>
      </rPr>
      <t xml:space="preserve">）</t>
    </r>
  </si>
  <si>
    <t xml:space="preserve">base_S_on9</t>
  </si>
  <si>
    <r>
      <rPr>
        <sz val="11"/>
        <color theme="1"/>
        <rFont val="Noto Sans CJK SC"/>
        <family val="2"/>
      </rPr>
      <t xml:space="preserve">合計：七家 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上線年（</t>
    </r>
    <r>
      <rPr>
        <sz val="11"/>
        <color theme="1"/>
        <rFont val="Calibri"/>
        <family val="2"/>
        <charset val="1"/>
      </rPr>
      <t xml:space="preserve">Y9</t>
    </r>
    <r>
      <rPr>
        <sz val="11"/>
        <color theme="1"/>
        <rFont val="Noto Sans CJK SC"/>
        <family val="2"/>
      </rPr>
      <t xml:space="preserve">）</t>
    </r>
  </si>
  <si>
    <t xml:space="preserve">base_S_site</t>
  </si>
  <si>
    <t xml:space="preserve">合計：七家 甲（站點）</t>
  </si>
  <si>
    <t xml:space="preserve">base_S_xn</t>
  </si>
  <si>
    <t xml:space="preserve">合計：非七家 模型推得 付款年</t>
  </si>
  <si>
    <t xml:space="preserve">base_S_onn</t>
  </si>
  <si>
    <t xml:space="preserve">合計：非七家 模型推得 上線年</t>
  </si>
  <si>
    <t xml:space="preserve">base_S_siten</t>
  </si>
  <si>
    <t xml:space="preserve">合計：非七家 甲（站點）</t>
  </si>
  <si>
    <r>
      <rPr>
        <b val="true"/>
        <sz val="11"/>
        <rFont val="Noto Sans CJK SC"/>
        <family val="2"/>
      </rPr>
      <t xml:space="preserve">■ 情況：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 低</t>
    </r>
  </si>
  <si>
    <t xml:space="preserve">ailo_ai2_msft</t>
  </si>
  <si>
    <t xml:space="preserve">ailo_x2_msft</t>
  </si>
  <si>
    <t xml:space="preserve">ailo_on2_msft</t>
  </si>
  <si>
    <t xml:space="preserve">ailo_ai9_msft</t>
  </si>
  <si>
    <t xml:space="preserve">ailo_x9_msft</t>
  </si>
  <si>
    <t xml:space="preserve">ailo_on9_msft</t>
  </si>
  <si>
    <t xml:space="preserve">ailo_site_msft</t>
  </si>
  <si>
    <t xml:space="preserve">ailo_ai2_googl</t>
  </si>
  <si>
    <t xml:space="preserve">ailo_x2_googl</t>
  </si>
  <si>
    <t xml:space="preserve">ailo_on2_googl</t>
  </si>
  <si>
    <t xml:space="preserve">ailo_ai9_googl</t>
  </si>
  <si>
    <t xml:space="preserve">ailo_x9_googl</t>
  </si>
  <si>
    <t xml:space="preserve">ailo_on9_googl</t>
  </si>
  <si>
    <t xml:space="preserve">ailo_site_googl</t>
  </si>
  <si>
    <t xml:space="preserve">ailo_ai2_amzn</t>
  </si>
  <si>
    <t xml:space="preserve">ailo_x2_amzn</t>
  </si>
  <si>
    <t xml:space="preserve">ailo_on2_amzn</t>
  </si>
  <si>
    <t xml:space="preserve">ailo_ai9_amzn</t>
  </si>
  <si>
    <t xml:space="preserve">ailo_x9_amzn</t>
  </si>
  <si>
    <t xml:space="preserve">ailo_on9_amzn</t>
  </si>
  <si>
    <t xml:space="preserve">ailo_site_amzn</t>
  </si>
  <si>
    <t xml:space="preserve">ailo_ai2_meta</t>
  </si>
  <si>
    <t xml:space="preserve">ailo_x2_meta</t>
  </si>
  <si>
    <t xml:space="preserve">ailo_on2_meta</t>
  </si>
  <si>
    <t xml:space="preserve">ailo_ai9_meta</t>
  </si>
  <si>
    <t xml:space="preserve">ailo_x9_meta</t>
  </si>
  <si>
    <t xml:space="preserve">ailo_on9_meta</t>
  </si>
  <si>
    <t xml:space="preserve">ailo_site_meta</t>
  </si>
  <si>
    <t xml:space="preserve">ailo_ai2_orcl</t>
  </si>
  <si>
    <t xml:space="preserve">ailo_x2_orcl</t>
  </si>
  <si>
    <t xml:space="preserve">ailo_on2_orcl</t>
  </si>
  <si>
    <t xml:space="preserve">ailo_ai9_orcl</t>
  </si>
  <si>
    <t xml:space="preserve">ailo_x9_orcl</t>
  </si>
  <si>
    <t xml:space="preserve">ailo_on9_orcl</t>
  </si>
  <si>
    <t xml:space="preserve">ailo_site_orcl</t>
  </si>
  <si>
    <t xml:space="preserve">ailo_ai2_crwv</t>
  </si>
  <si>
    <t xml:space="preserve">ailo_x2_crwv</t>
  </si>
  <si>
    <t xml:space="preserve">ailo_on2_crwv</t>
  </si>
  <si>
    <t xml:space="preserve">ailo_ai9_crwv</t>
  </si>
  <si>
    <t xml:space="preserve">ailo_x9_crwv</t>
  </si>
  <si>
    <t xml:space="preserve">ailo_on9_crwv</t>
  </si>
  <si>
    <t xml:space="preserve">ailo_site_crwv</t>
  </si>
  <si>
    <t xml:space="preserve">ailo_ai2_nbis</t>
  </si>
  <si>
    <t xml:space="preserve">ailo_x2_nbis</t>
  </si>
  <si>
    <t xml:space="preserve">ailo_on2_nbis</t>
  </si>
  <si>
    <t xml:space="preserve">ailo_ai9_nbis</t>
  </si>
  <si>
    <t xml:space="preserve">ailo_x9_nbis</t>
  </si>
  <si>
    <t xml:space="preserve">ailo_on9_nbis</t>
  </si>
  <si>
    <t xml:space="preserve">ailo_site_nbis</t>
  </si>
  <si>
    <t xml:space="preserve">ailo_ain_xai</t>
  </si>
  <si>
    <t xml:space="preserve">ailo_xn_xai</t>
  </si>
  <si>
    <t xml:space="preserve">ailo_onn_xai</t>
  </si>
  <si>
    <t xml:space="preserve">ailo_siten_xai</t>
  </si>
  <si>
    <t xml:space="preserve">ailo_ain_oai</t>
  </si>
  <si>
    <t xml:space="preserve">ailo_xn_oai</t>
  </si>
  <si>
    <t xml:space="preserve">ailo_onn_oai</t>
  </si>
  <si>
    <t xml:space="preserve">ailo_siten_oai</t>
  </si>
  <si>
    <t xml:space="preserve">ailo_ain_ant</t>
  </si>
  <si>
    <t xml:space="preserve">ailo_xn_ant</t>
  </si>
  <si>
    <t xml:space="preserve">ailo_onn_ant</t>
  </si>
  <si>
    <t xml:space="preserve">ailo_siten_ant</t>
  </si>
  <si>
    <t xml:space="preserve">ailo_S_x2</t>
  </si>
  <si>
    <t xml:space="preserve">ailo_S_on2</t>
  </si>
  <si>
    <t xml:space="preserve">ailo_S_x9</t>
  </si>
  <si>
    <t xml:space="preserve">ailo_S_on9</t>
  </si>
  <si>
    <t xml:space="preserve">ailo_S_site</t>
  </si>
  <si>
    <t xml:space="preserve">ailo_S_xn</t>
  </si>
  <si>
    <t xml:space="preserve">ailo_S_onn</t>
  </si>
  <si>
    <t xml:space="preserve">ailo_S_siten</t>
  </si>
  <si>
    <r>
      <rPr>
        <b val="true"/>
        <sz val="11"/>
        <rFont val="Noto Sans CJK SC"/>
        <family val="2"/>
      </rPr>
      <t xml:space="preserve">■ 情況：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 高</t>
    </r>
  </si>
  <si>
    <t xml:space="preserve">aihi_ai2_msft</t>
  </si>
  <si>
    <t xml:space="preserve">aihi_x2_msft</t>
  </si>
  <si>
    <t xml:space="preserve">aihi_on2_msft</t>
  </si>
  <si>
    <t xml:space="preserve">aihi_ai9_msft</t>
  </si>
  <si>
    <t xml:space="preserve">aihi_x9_msft</t>
  </si>
  <si>
    <t xml:space="preserve">aihi_on9_msft</t>
  </si>
  <si>
    <t xml:space="preserve">aihi_site_msft</t>
  </si>
  <si>
    <t xml:space="preserve">aihi_ai2_googl</t>
  </si>
  <si>
    <t xml:space="preserve">aihi_x2_googl</t>
  </si>
  <si>
    <t xml:space="preserve">aihi_on2_googl</t>
  </si>
  <si>
    <t xml:space="preserve">aihi_ai9_googl</t>
  </si>
  <si>
    <t xml:space="preserve">aihi_x9_googl</t>
  </si>
  <si>
    <t xml:space="preserve">aihi_on9_googl</t>
  </si>
  <si>
    <t xml:space="preserve">aihi_site_googl</t>
  </si>
  <si>
    <t xml:space="preserve">aihi_ai2_amzn</t>
  </si>
  <si>
    <t xml:space="preserve">aihi_x2_amzn</t>
  </si>
  <si>
    <t xml:space="preserve">aihi_on2_amzn</t>
  </si>
  <si>
    <t xml:space="preserve">aihi_ai9_amzn</t>
  </si>
  <si>
    <t xml:space="preserve">aihi_x9_amzn</t>
  </si>
  <si>
    <t xml:space="preserve">aihi_on9_amzn</t>
  </si>
  <si>
    <t xml:space="preserve">aihi_site_amzn</t>
  </si>
  <si>
    <t xml:space="preserve">aihi_ai2_meta</t>
  </si>
  <si>
    <t xml:space="preserve">aihi_x2_meta</t>
  </si>
  <si>
    <t xml:space="preserve">aihi_on2_meta</t>
  </si>
  <si>
    <t xml:space="preserve">aihi_ai9_meta</t>
  </si>
  <si>
    <t xml:space="preserve">aihi_x9_meta</t>
  </si>
  <si>
    <t xml:space="preserve">aihi_on9_meta</t>
  </si>
  <si>
    <t xml:space="preserve">aihi_site_meta</t>
  </si>
  <si>
    <t xml:space="preserve">aihi_ai2_orcl</t>
  </si>
  <si>
    <t xml:space="preserve">aihi_x2_orcl</t>
  </si>
  <si>
    <t xml:space="preserve">aihi_on2_orcl</t>
  </si>
  <si>
    <t xml:space="preserve">aihi_ai9_orcl</t>
  </si>
  <si>
    <t xml:space="preserve">aihi_x9_orcl</t>
  </si>
  <si>
    <t xml:space="preserve">aihi_on9_orcl</t>
  </si>
  <si>
    <t xml:space="preserve">aihi_site_orcl</t>
  </si>
  <si>
    <t xml:space="preserve">aihi_ai2_crwv</t>
  </si>
  <si>
    <t xml:space="preserve">aihi_x2_crwv</t>
  </si>
  <si>
    <t xml:space="preserve">aihi_on2_crwv</t>
  </si>
  <si>
    <t xml:space="preserve">aihi_ai9_crwv</t>
  </si>
  <si>
    <t xml:space="preserve">aihi_x9_crwv</t>
  </si>
  <si>
    <t xml:space="preserve">aihi_on9_crwv</t>
  </si>
  <si>
    <t xml:space="preserve">aihi_site_crwv</t>
  </si>
  <si>
    <t xml:space="preserve">aihi_ai2_nbis</t>
  </si>
  <si>
    <t xml:space="preserve">aihi_x2_nbis</t>
  </si>
  <si>
    <t xml:space="preserve">aihi_on2_nbis</t>
  </si>
  <si>
    <t xml:space="preserve">aihi_ai9_nbis</t>
  </si>
  <si>
    <t xml:space="preserve">aihi_x9_nbis</t>
  </si>
  <si>
    <t xml:space="preserve">aihi_on9_nbis</t>
  </si>
  <si>
    <t xml:space="preserve">aihi_site_nbis</t>
  </si>
  <si>
    <t xml:space="preserve">aihi_ain_xai</t>
  </si>
  <si>
    <t xml:space="preserve">aihi_xn_xai</t>
  </si>
  <si>
    <t xml:space="preserve">aihi_onn_xai</t>
  </si>
  <si>
    <t xml:space="preserve">aihi_siten_xai</t>
  </si>
  <si>
    <t xml:space="preserve">aihi_ain_oai</t>
  </si>
  <si>
    <t xml:space="preserve">aihi_xn_oai</t>
  </si>
  <si>
    <t xml:space="preserve">aihi_onn_oai</t>
  </si>
  <si>
    <t xml:space="preserve">aihi_siten_oai</t>
  </si>
  <si>
    <t xml:space="preserve">aihi_ain_ant</t>
  </si>
  <si>
    <t xml:space="preserve">aihi_xn_ant</t>
  </si>
  <si>
    <t xml:space="preserve">aihi_onn_ant</t>
  </si>
  <si>
    <t xml:space="preserve">aihi_siten_ant</t>
  </si>
  <si>
    <t xml:space="preserve">aihi_S_x2</t>
  </si>
  <si>
    <t xml:space="preserve">aihi_S_on2</t>
  </si>
  <si>
    <t xml:space="preserve">aihi_S_x9</t>
  </si>
  <si>
    <t xml:space="preserve">aihi_S_on9</t>
  </si>
  <si>
    <t xml:space="preserve">aihi_S_site</t>
  </si>
  <si>
    <t xml:space="preserve">aihi_S_xn</t>
  </si>
  <si>
    <t xml:space="preserve">aihi_S_onn</t>
  </si>
  <si>
    <t xml:space="preserve">aihi_S_siten</t>
  </si>
  <si>
    <r>
      <rPr>
        <b val="true"/>
        <sz val="11"/>
        <rFont val="Noto Sans CJK SC"/>
        <family val="2"/>
      </rPr>
      <t xml:space="preserve">■ 情況：</t>
    </r>
    <r>
      <rPr>
        <b val="true"/>
        <sz val="11"/>
        <rFont val="Cambria"/>
        <family val="0"/>
        <charset val="1"/>
      </rPr>
      <t xml:space="preserve">lag_bldg </t>
    </r>
    <r>
      <rPr>
        <b val="true"/>
        <sz val="11"/>
        <rFont val="Noto Sans CJK SC"/>
        <family val="2"/>
      </rPr>
      <t xml:space="preserve">低（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月）</t>
    </r>
  </si>
  <si>
    <t xml:space="preserve">lblo_ai2_msft</t>
  </si>
  <si>
    <t xml:space="preserve">lblo_x2_msft</t>
  </si>
  <si>
    <t xml:space="preserve">lblo_on2_msft</t>
  </si>
  <si>
    <t xml:space="preserve">lblo_ai9_msft</t>
  </si>
  <si>
    <t xml:space="preserve">lblo_x9_msft</t>
  </si>
  <si>
    <t xml:space="preserve">lblo_on9_msft</t>
  </si>
  <si>
    <t xml:space="preserve">lblo_site_msft</t>
  </si>
  <si>
    <t xml:space="preserve">lblo_ai2_googl</t>
  </si>
  <si>
    <t xml:space="preserve">lblo_x2_googl</t>
  </si>
  <si>
    <t xml:space="preserve">lblo_on2_googl</t>
  </si>
  <si>
    <t xml:space="preserve">lblo_ai9_googl</t>
  </si>
  <si>
    <t xml:space="preserve">lblo_x9_googl</t>
  </si>
  <si>
    <t xml:space="preserve">lblo_on9_googl</t>
  </si>
  <si>
    <t xml:space="preserve">lblo_site_googl</t>
  </si>
  <si>
    <t xml:space="preserve">lblo_ai2_amzn</t>
  </si>
  <si>
    <t xml:space="preserve">lblo_x2_amzn</t>
  </si>
  <si>
    <t xml:space="preserve">lblo_on2_amzn</t>
  </si>
  <si>
    <t xml:space="preserve">lblo_ai9_amzn</t>
  </si>
  <si>
    <t xml:space="preserve">lblo_x9_amzn</t>
  </si>
  <si>
    <t xml:space="preserve">lblo_on9_amzn</t>
  </si>
  <si>
    <t xml:space="preserve">lblo_site_amzn</t>
  </si>
  <si>
    <t xml:space="preserve">lblo_ai2_meta</t>
  </si>
  <si>
    <t xml:space="preserve">lblo_x2_meta</t>
  </si>
  <si>
    <t xml:space="preserve">lblo_on2_meta</t>
  </si>
  <si>
    <t xml:space="preserve">lblo_ai9_meta</t>
  </si>
  <si>
    <t xml:space="preserve">lblo_x9_meta</t>
  </si>
  <si>
    <t xml:space="preserve">lblo_on9_meta</t>
  </si>
  <si>
    <t xml:space="preserve">lblo_site_meta</t>
  </si>
  <si>
    <t xml:space="preserve">lblo_ai2_orcl</t>
  </si>
  <si>
    <t xml:space="preserve">lblo_x2_orcl</t>
  </si>
  <si>
    <t xml:space="preserve">lblo_on2_orcl</t>
  </si>
  <si>
    <t xml:space="preserve">lblo_ai9_orcl</t>
  </si>
  <si>
    <t xml:space="preserve">lblo_x9_orcl</t>
  </si>
  <si>
    <t xml:space="preserve">lblo_on9_orcl</t>
  </si>
  <si>
    <t xml:space="preserve">lblo_site_orcl</t>
  </si>
  <si>
    <t xml:space="preserve">lblo_ai2_crwv</t>
  </si>
  <si>
    <t xml:space="preserve">lblo_x2_crwv</t>
  </si>
  <si>
    <t xml:space="preserve">lblo_on2_crwv</t>
  </si>
  <si>
    <t xml:space="preserve">lblo_ai9_crwv</t>
  </si>
  <si>
    <t xml:space="preserve">lblo_x9_crwv</t>
  </si>
  <si>
    <t xml:space="preserve">lblo_on9_crwv</t>
  </si>
  <si>
    <t xml:space="preserve">lblo_site_crwv</t>
  </si>
  <si>
    <t xml:space="preserve">lblo_ai2_nbis</t>
  </si>
  <si>
    <t xml:space="preserve">lblo_x2_nbis</t>
  </si>
  <si>
    <t xml:space="preserve">lblo_on2_nbis</t>
  </si>
  <si>
    <t xml:space="preserve">lblo_ai9_nbis</t>
  </si>
  <si>
    <t xml:space="preserve">lblo_x9_nbis</t>
  </si>
  <si>
    <t xml:space="preserve">lblo_on9_nbis</t>
  </si>
  <si>
    <t xml:space="preserve">lblo_site_nbis</t>
  </si>
  <si>
    <t xml:space="preserve">lblo_ain_xai</t>
  </si>
  <si>
    <t xml:space="preserve">lblo_xn_xai</t>
  </si>
  <si>
    <t xml:space="preserve">lblo_onn_xai</t>
  </si>
  <si>
    <t xml:space="preserve">lblo_siten_xai</t>
  </si>
  <si>
    <t xml:space="preserve">lblo_ain_oai</t>
  </si>
  <si>
    <t xml:space="preserve">lblo_xn_oai</t>
  </si>
  <si>
    <t xml:space="preserve">lblo_onn_oai</t>
  </si>
  <si>
    <t xml:space="preserve">lblo_siten_oai</t>
  </si>
  <si>
    <t xml:space="preserve">lblo_ain_ant</t>
  </si>
  <si>
    <t xml:space="preserve">lblo_xn_ant</t>
  </si>
  <si>
    <t xml:space="preserve">lblo_onn_ant</t>
  </si>
  <si>
    <t xml:space="preserve">lblo_siten_ant</t>
  </si>
  <si>
    <t xml:space="preserve">lblo_S_x2</t>
  </si>
  <si>
    <t xml:space="preserve">lblo_S_on2</t>
  </si>
  <si>
    <t xml:space="preserve">lblo_S_x9</t>
  </si>
  <si>
    <t xml:space="preserve">lblo_S_on9</t>
  </si>
  <si>
    <t xml:space="preserve">lblo_S_site</t>
  </si>
  <si>
    <t xml:space="preserve">lblo_S_xn</t>
  </si>
  <si>
    <t xml:space="preserve">lblo_S_onn</t>
  </si>
  <si>
    <t xml:space="preserve">lblo_S_siten</t>
  </si>
  <si>
    <r>
      <rPr>
        <b val="true"/>
        <sz val="11"/>
        <rFont val="Noto Sans CJK SC"/>
        <family val="2"/>
      </rPr>
      <t xml:space="preserve">■ 情況：</t>
    </r>
    <r>
      <rPr>
        <b val="true"/>
        <sz val="11"/>
        <rFont val="Cambria"/>
        <family val="0"/>
        <charset val="1"/>
      </rPr>
      <t xml:space="preserve">lag_bldg </t>
    </r>
    <r>
      <rPr>
        <b val="true"/>
        <sz val="11"/>
        <rFont val="Noto Sans CJK SC"/>
        <family val="2"/>
      </rPr>
      <t xml:space="preserve">高（</t>
    </r>
    <r>
      <rPr>
        <b val="true"/>
        <sz val="11"/>
        <rFont val="Cambria"/>
        <family val="0"/>
        <charset val="1"/>
      </rPr>
      <t xml:space="preserve">24 </t>
    </r>
    <r>
      <rPr>
        <b val="true"/>
        <sz val="11"/>
        <rFont val="Noto Sans CJK SC"/>
        <family val="2"/>
      </rPr>
      <t xml:space="preserve">月）</t>
    </r>
  </si>
  <si>
    <t xml:space="preserve">lbhi_ai2_msft</t>
  </si>
  <si>
    <t xml:space="preserve">lbhi_x2_msft</t>
  </si>
  <si>
    <t xml:space="preserve">lbhi_on2_msft</t>
  </si>
  <si>
    <t xml:space="preserve">lbhi_ai9_msft</t>
  </si>
  <si>
    <t xml:space="preserve">lbhi_x9_msft</t>
  </si>
  <si>
    <t xml:space="preserve">lbhi_on9_msft</t>
  </si>
  <si>
    <t xml:space="preserve">lbhi_site_msft</t>
  </si>
  <si>
    <t xml:space="preserve">lbhi_ai2_googl</t>
  </si>
  <si>
    <t xml:space="preserve">lbhi_x2_googl</t>
  </si>
  <si>
    <t xml:space="preserve">lbhi_on2_googl</t>
  </si>
  <si>
    <t xml:space="preserve">lbhi_ai9_googl</t>
  </si>
  <si>
    <t xml:space="preserve">lbhi_x9_googl</t>
  </si>
  <si>
    <t xml:space="preserve">lbhi_on9_googl</t>
  </si>
  <si>
    <t xml:space="preserve">lbhi_site_googl</t>
  </si>
  <si>
    <t xml:space="preserve">lbhi_ai2_amzn</t>
  </si>
  <si>
    <t xml:space="preserve">lbhi_x2_amzn</t>
  </si>
  <si>
    <t xml:space="preserve">lbhi_on2_amzn</t>
  </si>
  <si>
    <t xml:space="preserve">lbhi_ai9_amzn</t>
  </si>
  <si>
    <t xml:space="preserve">lbhi_x9_amzn</t>
  </si>
  <si>
    <t xml:space="preserve">lbhi_on9_amzn</t>
  </si>
  <si>
    <t xml:space="preserve">lbhi_site_amzn</t>
  </si>
  <si>
    <t xml:space="preserve">lbhi_ai2_meta</t>
  </si>
  <si>
    <t xml:space="preserve">lbhi_x2_meta</t>
  </si>
  <si>
    <t xml:space="preserve">lbhi_on2_meta</t>
  </si>
  <si>
    <t xml:space="preserve">lbhi_ai9_meta</t>
  </si>
  <si>
    <t xml:space="preserve">lbhi_x9_meta</t>
  </si>
  <si>
    <t xml:space="preserve">lbhi_on9_meta</t>
  </si>
  <si>
    <t xml:space="preserve">lbhi_site_meta</t>
  </si>
  <si>
    <t xml:space="preserve">lbhi_ai2_orcl</t>
  </si>
  <si>
    <t xml:space="preserve">lbhi_x2_orcl</t>
  </si>
  <si>
    <t xml:space="preserve">lbhi_on2_orcl</t>
  </si>
  <si>
    <t xml:space="preserve">lbhi_ai9_orcl</t>
  </si>
  <si>
    <t xml:space="preserve">lbhi_x9_orcl</t>
  </si>
  <si>
    <t xml:space="preserve">lbhi_on9_orcl</t>
  </si>
  <si>
    <t xml:space="preserve">lbhi_site_orcl</t>
  </si>
  <si>
    <t xml:space="preserve">lbhi_ai2_crwv</t>
  </si>
  <si>
    <t xml:space="preserve">lbhi_x2_crwv</t>
  </si>
  <si>
    <t xml:space="preserve">lbhi_on2_crwv</t>
  </si>
  <si>
    <t xml:space="preserve">lbhi_ai9_crwv</t>
  </si>
  <si>
    <t xml:space="preserve">lbhi_x9_crwv</t>
  </si>
  <si>
    <t xml:space="preserve">lbhi_on9_crwv</t>
  </si>
  <si>
    <t xml:space="preserve">lbhi_site_crwv</t>
  </si>
  <si>
    <t xml:space="preserve">lbhi_ai2_nbis</t>
  </si>
  <si>
    <t xml:space="preserve">lbhi_x2_nbis</t>
  </si>
  <si>
    <t xml:space="preserve">lbhi_on2_nbis</t>
  </si>
  <si>
    <t xml:space="preserve">lbhi_ai9_nbis</t>
  </si>
  <si>
    <t xml:space="preserve">lbhi_x9_nbis</t>
  </si>
  <si>
    <t xml:space="preserve">lbhi_on9_nbis</t>
  </si>
  <si>
    <t xml:space="preserve">lbhi_site_nbis</t>
  </si>
  <si>
    <t xml:space="preserve">lbhi_ain_xai</t>
  </si>
  <si>
    <t xml:space="preserve">lbhi_xn_xai</t>
  </si>
  <si>
    <t xml:space="preserve">lbhi_onn_xai</t>
  </si>
  <si>
    <t xml:space="preserve">lbhi_siten_xai</t>
  </si>
  <si>
    <t xml:space="preserve">lbhi_ain_oai</t>
  </si>
  <si>
    <t xml:space="preserve">lbhi_xn_oai</t>
  </si>
  <si>
    <t xml:space="preserve">lbhi_onn_oai</t>
  </si>
  <si>
    <t xml:space="preserve">lbhi_siten_oai</t>
  </si>
  <si>
    <t xml:space="preserve">lbhi_ain_ant</t>
  </si>
  <si>
    <t xml:space="preserve">lbhi_xn_ant</t>
  </si>
  <si>
    <t xml:space="preserve">lbhi_onn_ant</t>
  </si>
  <si>
    <t xml:space="preserve">lbhi_siten_ant</t>
  </si>
  <si>
    <t xml:space="preserve">lbhi_S_x2</t>
  </si>
  <si>
    <t xml:space="preserve">lbhi_S_on2</t>
  </si>
  <si>
    <t xml:space="preserve">lbhi_S_x9</t>
  </si>
  <si>
    <t xml:space="preserve">lbhi_S_on9</t>
  </si>
  <si>
    <t xml:space="preserve">lbhi_S_site</t>
  </si>
  <si>
    <t xml:space="preserve">lbhi_S_xn</t>
  </si>
  <si>
    <t xml:space="preserve">lbhi_S_onn</t>
  </si>
  <si>
    <t xml:space="preserve">lbhi_S_siten</t>
  </si>
  <si>
    <r>
      <rPr>
        <b val="true"/>
        <sz val="11"/>
        <rFont val="Noto Sans CJK SC"/>
        <family val="2"/>
      </rPr>
      <t xml:space="preserve">■ 情況：上線延遲 低（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個月）</t>
    </r>
  </si>
  <si>
    <t xml:space="preserve">lglo_ai2_msft</t>
  </si>
  <si>
    <t xml:space="preserve">lglo_x2_msft</t>
  </si>
  <si>
    <t xml:space="preserve">lglo_on2_msft</t>
  </si>
  <si>
    <t xml:space="preserve">lglo_ai9_msft</t>
  </si>
  <si>
    <t xml:space="preserve">lglo_x9_msft</t>
  </si>
  <si>
    <t xml:space="preserve">lglo_on9_msft</t>
  </si>
  <si>
    <t xml:space="preserve">lglo_site_msft</t>
  </si>
  <si>
    <t xml:space="preserve">lglo_ai2_googl</t>
  </si>
  <si>
    <t xml:space="preserve">lglo_x2_googl</t>
  </si>
  <si>
    <t xml:space="preserve">lglo_on2_googl</t>
  </si>
  <si>
    <t xml:space="preserve">lglo_ai9_googl</t>
  </si>
  <si>
    <t xml:space="preserve">lglo_x9_googl</t>
  </si>
  <si>
    <t xml:space="preserve">lglo_on9_googl</t>
  </si>
  <si>
    <t xml:space="preserve">lglo_site_googl</t>
  </si>
  <si>
    <t xml:space="preserve">lglo_ai2_amzn</t>
  </si>
  <si>
    <t xml:space="preserve">lglo_x2_amzn</t>
  </si>
  <si>
    <t xml:space="preserve">lglo_on2_amzn</t>
  </si>
  <si>
    <t xml:space="preserve">lglo_ai9_amzn</t>
  </si>
  <si>
    <t xml:space="preserve">lglo_x9_amzn</t>
  </si>
  <si>
    <t xml:space="preserve">lglo_on9_amzn</t>
  </si>
  <si>
    <t xml:space="preserve">lglo_site_amzn</t>
  </si>
  <si>
    <t xml:space="preserve">lglo_ai2_meta</t>
  </si>
  <si>
    <t xml:space="preserve">lglo_x2_meta</t>
  </si>
  <si>
    <t xml:space="preserve">lglo_on2_meta</t>
  </si>
  <si>
    <t xml:space="preserve">lglo_ai9_meta</t>
  </si>
  <si>
    <t xml:space="preserve">lglo_x9_meta</t>
  </si>
  <si>
    <t xml:space="preserve">lglo_on9_meta</t>
  </si>
  <si>
    <t xml:space="preserve">lglo_site_meta</t>
  </si>
  <si>
    <t xml:space="preserve">lglo_ai2_orcl</t>
  </si>
  <si>
    <t xml:space="preserve">lglo_x2_orcl</t>
  </si>
  <si>
    <t xml:space="preserve">lglo_on2_orcl</t>
  </si>
  <si>
    <t xml:space="preserve">lglo_ai9_orcl</t>
  </si>
  <si>
    <t xml:space="preserve">lglo_x9_orcl</t>
  </si>
  <si>
    <t xml:space="preserve">lglo_on9_orcl</t>
  </si>
  <si>
    <t xml:space="preserve">lglo_site_orcl</t>
  </si>
  <si>
    <t xml:space="preserve">lglo_ai2_crwv</t>
  </si>
  <si>
    <t xml:space="preserve">lglo_x2_crwv</t>
  </si>
  <si>
    <t xml:space="preserve">lglo_on2_crwv</t>
  </si>
  <si>
    <t xml:space="preserve">lglo_ai9_crwv</t>
  </si>
  <si>
    <t xml:space="preserve">lglo_x9_crwv</t>
  </si>
  <si>
    <t xml:space="preserve">lglo_on9_crwv</t>
  </si>
  <si>
    <t xml:space="preserve">lglo_site_crwv</t>
  </si>
  <si>
    <t xml:space="preserve">lglo_ai2_nbis</t>
  </si>
  <si>
    <t xml:space="preserve">lglo_x2_nbis</t>
  </si>
  <si>
    <t xml:space="preserve">lglo_on2_nbis</t>
  </si>
  <si>
    <t xml:space="preserve">lglo_ai9_nbis</t>
  </si>
  <si>
    <t xml:space="preserve">lglo_x9_nbis</t>
  </si>
  <si>
    <t xml:space="preserve">lglo_on9_nbis</t>
  </si>
  <si>
    <t xml:space="preserve">lglo_site_nbis</t>
  </si>
  <si>
    <t xml:space="preserve">lglo_ain_xai</t>
  </si>
  <si>
    <t xml:space="preserve">lglo_xn_xai</t>
  </si>
  <si>
    <t xml:space="preserve">lglo_onn_xai</t>
  </si>
  <si>
    <t xml:space="preserve">lglo_siten_xai</t>
  </si>
  <si>
    <t xml:space="preserve">lglo_ain_oai</t>
  </si>
  <si>
    <t xml:space="preserve">lglo_xn_oai</t>
  </si>
  <si>
    <t xml:space="preserve">lglo_onn_oai</t>
  </si>
  <si>
    <t xml:space="preserve">lglo_siten_oai</t>
  </si>
  <si>
    <t xml:space="preserve">lglo_ain_ant</t>
  </si>
  <si>
    <t xml:space="preserve">lglo_xn_ant</t>
  </si>
  <si>
    <t xml:space="preserve">lglo_onn_ant</t>
  </si>
  <si>
    <t xml:space="preserve">lglo_siten_ant</t>
  </si>
  <si>
    <t xml:space="preserve">lglo_S_x2</t>
  </si>
  <si>
    <t xml:space="preserve">lglo_S_on2</t>
  </si>
  <si>
    <t xml:space="preserve">lglo_S_x9</t>
  </si>
  <si>
    <t xml:space="preserve">lglo_S_on9</t>
  </si>
  <si>
    <t xml:space="preserve">lglo_S_site</t>
  </si>
  <si>
    <t xml:space="preserve">lglo_S_xn</t>
  </si>
  <si>
    <t xml:space="preserve">lglo_S_onn</t>
  </si>
  <si>
    <t xml:space="preserve">lglo_S_siten</t>
  </si>
  <si>
    <r>
      <rPr>
        <b val="true"/>
        <sz val="11"/>
        <rFont val="Noto Sans CJK SC"/>
        <family val="2"/>
      </rPr>
      <t xml:space="preserve">■ 情況：上線延遲 高（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個月）</t>
    </r>
  </si>
  <si>
    <t xml:space="preserve">lghi_ai2_msft</t>
  </si>
  <si>
    <t xml:space="preserve">lghi_x2_msft</t>
  </si>
  <si>
    <t xml:space="preserve">lghi_on2_msft</t>
  </si>
  <si>
    <t xml:space="preserve">lghi_ai9_msft</t>
  </si>
  <si>
    <t xml:space="preserve">lghi_x9_msft</t>
  </si>
  <si>
    <t xml:space="preserve">lghi_on9_msft</t>
  </si>
  <si>
    <t xml:space="preserve">lghi_site_msft</t>
  </si>
  <si>
    <t xml:space="preserve">lghi_ai2_googl</t>
  </si>
  <si>
    <t xml:space="preserve">lghi_x2_googl</t>
  </si>
  <si>
    <t xml:space="preserve">lghi_on2_googl</t>
  </si>
  <si>
    <t xml:space="preserve">lghi_ai9_googl</t>
  </si>
  <si>
    <t xml:space="preserve">lghi_x9_googl</t>
  </si>
  <si>
    <t xml:space="preserve">lghi_on9_googl</t>
  </si>
  <si>
    <t xml:space="preserve">lghi_site_googl</t>
  </si>
  <si>
    <t xml:space="preserve">lghi_ai2_amzn</t>
  </si>
  <si>
    <t xml:space="preserve">lghi_x2_amzn</t>
  </si>
  <si>
    <t xml:space="preserve">lghi_on2_amzn</t>
  </si>
  <si>
    <t xml:space="preserve">lghi_ai9_amzn</t>
  </si>
  <si>
    <t xml:space="preserve">lghi_x9_amzn</t>
  </si>
  <si>
    <t xml:space="preserve">lghi_on9_amzn</t>
  </si>
  <si>
    <t xml:space="preserve">lghi_site_amzn</t>
  </si>
  <si>
    <t xml:space="preserve">lghi_ai2_meta</t>
  </si>
  <si>
    <t xml:space="preserve">lghi_x2_meta</t>
  </si>
  <si>
    <t xml:space="preserve">lghi_on2_meta</t>
  </si>
  <si>
    <t xml:space="preserve">lghi_ai9_meta</t>
  </si>
  <si>
    <t xml:space="preserve">lghi_x9_meta</t>
  </si>
  <si>
    <t xml:space="preserve">lghi_on9_meta</t>
  </si>
  <si>
    <t xml:space="preserve">lghi_site_meta</t>
  </si>
  <si>
    <t xml:space="preserve">lghi_ai2_orcl</t>
  </si>
  <si>
    <t xml:space="preserve">lghi_x2_orcl</t>
  </si>
  <si>
    <t xml:space="preserve">lghi_on2_orcl</t>
  </si>
  <si>
    <t xml:space="preserve">lghi_ai9_orcl</t>
  </si>
  <si>
    <t xml:space="preserve">lghi_x9_orcl</t>
  </si>
  <si>
    <t xml:space="preserve">lghi_on9_orcl</t>
  </si>
  <si>
    <t xml:space="preserve">lghi_site_orcl</t>
  </si>
  <si>
    <t xml:space="preserve">lghi_ai2_crwv</t>
  </si>
  <si>
    <t xml:space="preserve">lghi_x2_crwv</t>
  </si>
  <si>
    <t xml:space="preserve">lghi_on2_crwv</t>
  </si>
  <si>
    <t xml:space="preserve">lghi_ai9_crwv</t>
  </si>
  <si>
    <t xml:space="preserve">lghi_x9_crwv</t>
  </si>
  <si>
    <t xml:space="preserve">lghi_on9_crwv</t>
  </si>
  <si>
    <t xml:space="preserve">lghi_site_crwv</t>
  </si>
  <si>
    <t xml:space="preserve">lghi_ai2_nbis</t>
  </si>
  <si>
    <t xml:space="preserve">lghi_x2_nbis</t>
  </si>
  <si>
    <t xml:space="preserve">lghi_on2_nbis</t>
  </si>
  <si>
    <t xml:space="preserve">lghi_ai9_nbis</t>
  </si>
  <si>
    <t xml:space="preserve">lghi_x9_nbis</t>
  </si>
  <si>
    <t xml:space="preserve">lghi_on9_nbis</t>
  </si>
  <si>
    <t xml:space="preserve">lghi_site_nbis</t>
  </si>
  <si>
    <t xml:space="preserve">lghi_ain_xai</t>
  </si>
  <si>
    <t xml:space="preserve">lghi_xn_xai</t>
  </si>
  <si>
    <t xml:space="preserve">lghi_onn_xai</t>
  </si>
  <si>
    <t xml:space="preserve">lghi_siten_xai</t>
  </si>
  <si>
    <t xml:space="preserve">lghi_ain_oai</t>
  </si>
  <si>
    <t xml:space="preserve">lghi_xn_oai</t>
  </si>
  <si>
    <t xml:space="preserve">lghi_onn_oai</t>
  </si>
  <si>
    <t xml:space="preserve">lghi_siten_oai</t>
  </si>
  <si>
    <t xml:space="preserve">lghi_ain_ant</t>
  </si>
  <si>
    <t xml:space="preserve">lghi_xn_ant</t>
  </si>
  <si>
    <t xml:space="preserve">lghi_onn_ant</t>
  </si>
  <si>
    <t xml:space="preserve">lghi_siten_ant</t>
  </si>
  <si>
    <t xml:space="preserve">lghi_S_x2</t>
  </si>
  <si>
    <t xml:space="preserve">lghi_S_on2</t>
  </si>
  <si>
    <t xml:space="preserve">lghi_S_x9</t>
  </si>
  <si>
    <t xml:space="preserve">lghi_S_on9</t>
  </si>
  <si>
    <t xml:space="preserve">lghi_S_site</t>
  </si>
  <si>
    <t xml:space="preserve">lghi_S_xn</t>
  </si>
  <si>
    <t xml:space="preserve">lghi_S_onn</t>
  </si>
  <si>
    <t xml:space="preserve">lghi_S_siten</t>
  </si>
  <si>
    <t xml:space="preserve">■ 情況：庫存 低</t>
  </si>
  <si>
    <t xml:space="preserve">ivlo_ai2_msft</t>
  </si>
  <si>
    <t xml:space="preserve">ivlo_x2_msft</t>
  </si>
  <si>
    <t xml:space="preserve">ivlo_on2_msft</t>
  </si>
  <si>
    <t xml:space="preserve">ivlo_ai9_msft</t>
  </si>
  <si>
    <t xml:space="preserve">ivlo_x9_msft</t>
  </si>
  <si>
    <t xml:space="preserve">ivlo_on9_msft</t>
  </si>
  <si>
    <t xml:space="preserve">ivlo_site_msft</t>
  </si>
  <si>
    <t xml:space="preserve">ivlo_ai2_googl</t>
  </si>
  <si>
    <t xml:space="preserve">ivlo_x2_googl</t>
  </si>
  <si>
    <t xml:space="preserve">ivlo_on2_googl</t>
  </si>
  <si>
    <t xml:space="preserve">ivlo_ai9_googl</t>
  </si>
  <si>
    <t xml:space="preserve">ivlo_x9_googl</t>
  </si>
  <si>
    <t xml:space="preserve">ivlo_on9_googl</t>
  </si>
  <si>
    <t xml:space="preserve">ivlo_site_googl</t>
  </si>
  <si>
    <t xml:space="preserve">ivlo_ai2_amzn</t>
  </si>
  <si>
    <t xml:space="preserve">ivlo_x2_amzn</t>
  </si>
  <si>
    <t xml:space="preserve">ivlo_on2_amzn</t>
  </si>
  <si>
    <t xml:space="preserve">ivlo_ai9_amzn</t>
  </si>
  <si>
    <t xml:space="preserve">ivlo_x9_amzn</t>
  </si>
  <si>
    <t xml:space="preserve">ivlo_on9_amzn</t>
  </si>
  <si>
    <t xml:space="preserve">ivlo_site_amzn</t>
  </si>
  <si>
    <t xml:space="preserve">ivlo_ai2_meta</t>
  </si>
  <si>
    <t xml:space="preserve">ivlo_x2_meta</t>
  </si>
  <si>
    <t xml:space="preserve">ivlo_on2_meta</t>
  </si>
  <si>
    <t xml:space="preserve">ivlo_ai9_meta</t>
  </si>
  <si>
    <t xml:space="preserve">ivlo_x9_meta</t>
  </si>
  <si>
    <t xml:space="preserve">ivlo_on9_meta</t>
  </si>
  <si>
    <t xml:space="preserve">ivlo_site_meta</t>
  </si>
  <si>
    <t xml:space="preserve">ivlo_ai2_orcl</t>
  </si>
  <si>
    <t xml:space="preserve">ivlo_x2_orcl</t>
  </si>
  <si>
    <t xml:space="preserve">ivlo_on2_orcl</t>
  </si>
  <si>
    <t xml:space="preserve">ivlo_ai9_orcl</t>
  </si>
  <si>
    <t xml:space="preserve">ivlo_x9_orcl</t>
  </si>
  <si>
    <t xml:space="preserve">ivlo_on9_orcl</t>
  </si>
  <si>
    <t xml:space="preserve">ivlo_site_orcl</t>
  </si>
  <si>
    <t xml:space="preserve">ivlo_ai2_crwv</t>
  </si>
  <si>
    <t xml:space="preserve">ivlo_x2_crwv</t>
  </si>
  <si>
    <t xml:space="preserve">ivlo_on2_crwv</t>
  </si>
  <si>
    <t xml:space="preserve">ivlo_ai9_crwv</t>
  </si>
  <si>
    <t xml:space="preserve">ivlo_x9_crwv</t>
  </si>
  <si>
    <t xml:space="preserve">ivlo_on9_crwv</t>
  </si>
  <si>
    <t xml:space="preserve">ivlo_site_crwv</t>
  </si>
  <si>
    <t xml:space="preserve">ivlo_ai2_nbis</t>
  </si>
  <si>
    <t xml:space="preserve">ivlo_x2_nbis</t>
  </si>
  <si>
    <t xml:space="preserve">ivlo_on2_nbis</t>
  </si>
  <si>
    <t xml:space="preserve">ivlo_ai9_nbis</t>
  </si>
  <si>
    <t xml:space="preserve">ivlo_x9_nbis</t>
  </si>
  <si>
    <t xml:space="preserve">ivlo_on9_nbis</t>
  </si>
  <si>
    <t xml:space="preserve">ivlo_site_nbis</t>
  </si>
  <si>
    <t xml:space="preserve">ivlo_ain_xai</t>
  </si>
  <si>
    <t xml:space="preserve">ivlo_xn_xai</t>
  </si>
  <si>
    <t xml:space="preserve">ivlo_onn_xai</t>
  </si>
  <si>
    <t xml:space="preserve">ivlo_siten_xai</t>
  </si>
  <si>
    <t xml:space="preserve">ivlo_ain_oai</t>
  </si>
  <si>
    <t xml:space="preserve">ivlo_xn_oai</t>
  </si>
  <si>
    <t xml:space="preserve">ivlo_onn_oai</t>
  </si>
  <si>
    <t xml:space="preserve">ivlo_siten_oai</t>
  </si>
  <si>
    <t xml:space="preserve">ivlo_ain_ant</t>
  </si>
  <si>
    <t xml:space="preserve">ivlo_xn_ant</t>
  </si>
  <si>
    <t xml:space="preserve">ivlo_onn_ant</t>
  </si>
  <si>
    <t xml:space="preserve">ivlo_siten_ant</t>
  </si>
  <si>
    <t xml:space="preserve">ivlo_S_x2</t>
  </si>
  <si>
    <t xml:space="preserve">ivlo_S_on2</t>
  </si>
  <si>
    <t xml:space="preserve">ivlo_S_x9</t>
  </si>
  <si>
    <t xml:space="preserve">ivlo_S_on9</t>
  </si>
  <si>
    <t xml:space="preserve">ivlo_S_site</t>
  </si>
  <si>
    <t xml:space="preserve">ivlo_S_xn</t>
  </si>
  <si>
    <t xml:space="preserve">ivlo_S_onn</t>
  </si>
  <si>
    <t xml:space="preserve">ivlo_S_siten</t>
  </si>
  <si>
    <t xml:space="preserve">■ 情況：庫存 高</t>
  </si>
  <si>
    <t xml:space="preserve">ivhi_ai2_msft</t>
  </si>
  <si>
    <t xml:space="preserve">ivhi_x2_msft</t>
  </si>
  <si>
    <t xml:space="preserve">ivhi_on2_msft</t>
  </si>
  <si>
    <t xml:space="preserve">ivhi_ai9_msft</t>
  </si>
  <si>
    <t xml:space="preserve">ivhi_x9_msft</t>
  </si>
  <si>
    <t xml:space="preserve">ivhi_on9_msft</t>
  </si>
  <si>
    <t xml:space="preserve">ivhi_site_msft</t>
  </si>
  <si>
    <t xml:space="preserve">ivhi_ai2_googl</t>
  </si>
  <si>
    <t xml:space="preserve">ivhi_x2_googl</t>
  </si>
  <si>
    <t xml:space="preserve">ivhi_on2_googl</t>
  </si>
  <si>
    <t xml:space="preserve">ivhi_ai9_googl</t>
  </si>
  <si>
    <t xml:space="preserve">ivhi_x9_googl</t>
  </si>
  <si>
    <t xml:space="preserve">ivhi_on9_googl</t>
  </si>
  <si>
    <t xml:space="preserve">ivhi_site_googl</t>
  </si>
  <si>
    <t xml:space="preserve">ivhi_ai2_amzn</t>
  </si>
  <si>
    <t xml:space="preserve">ivhi_x2_amzn</t>
  </si>
  <si>
    <t xml:space="preserve">ivhi_on2_amzn</t>
  </si>
  <si>
    <t xml:space="preserve">ivhi_ai9_amzn</t>
  </si>
  <si>
    <t xml:space="preserve">ivhi_x9_amzn</t>
  </si>
  <si>
    <t xml:space="preserve">ivhi_on9_amzn</t>
  </si>
  <si>
    <t xml:space="preserve">ivhi_site_amzn</t>
  </si>
  <si>
    <t xml:space="preserve">ivhi_ai2_meta</t>
  </si>
  <si>
    <t xml:space="preserve">ivhi_x2_meta</t>
  </si>
  <si>
    <t xml:space="preserve">ivhi_on2_meta</t>
  </si>
  <si>
    <t xml:space="preserve">ivhi_ai9_meta</t>
  </si>
  <si>
    <t xml:space="preserve">ivhi_x9_meta</t>
  </si>
  <si>
    <t xml:space="preserve">ivhi_on9_meta</t>
  </si>
  <si>
    <t xml:space="preserve">ivhi_site_meta</t>
  </si>
  <si>
    <t xml:space="preserve">ivhi_ai2_orcl</t>
  </si>
  <si>
    <t xml:space="preserve">ivhi_x2_orcl</t>
  </si>
  <si>
    <t xml:space="preserve">ivhi_on2_orcl</t>
  </si>
  <si>
    <t xml:space="preserve">ivhi_ai9_orcl</t>
  </si>
  <si>
    <t xml:space="preserve">ivhi_x9_orcl</t>
  </si>
  <si>
    <t xml:space="preserve">ivhi_on9_orcl</t>
  </si>
  <si>
    <t xml:space="preserve">ivhi_site_orcl</t>
  </si>
  <si>
    <t xml:space="preserve">ivhi_ai2_crwv</t>
  </si>
  <si>
    <t xml:space="preserve">ivhi_x2_crwv</t>
  </si>
  <si>
    <t xml:space="preserve">ivhi_on2_crwv</t>
  </si>
  <si>
    <t xml:space="preserve">ivhi_ai9_crwv</t>
  </si>
  <si>
    <t xml:space="preserve">ivhi_x9_crwv</t>
  </si>
  <si>
    <t xml:space="preserve">ivhi_on9_crwv</t>
  </si>
  <si>
    <t xml:space="preserve">ivhi_site_crwv</t>
  </si>
  <si>
    <t xml:space="preserve">ivhi_ai2_nbis</t>
  </si>
  <si>
    <t xml:space="preserve">ivhi_x2_nbis</t>
  </si>
  <si>
    <t xml:space="preserve">ivhi_on2_nbis</t>
  </si>
  <si>
    <t xml:space="preserve">ivhi_ai9_nbis</t>
  </si>
  <si>
    <t xml:space="preserve">ivhi_x9_nbis</t>
  </si>
  <si>
    <t xml:space="preserve">ivhi_on9_nbis</t>
  </si>
  <si>
    <t xml:space="preserve">ivhi_site_nbis</t>
  </si>
  <si>
    <t xml:space="preserve">ivhi_ain_xai</t>
  </si>
  <si>
    <t xml:space="preserve">ivhi_xn_xai</t>
  </si>
  <si>
    <t xml:space="preserve">ivhi_onn_xai</t>
  </si>
  <si>
    <t xml:space="preserve">ivhi_siten_xai</t>
  </si>
  <si>
    <t xml:space="preserve">ivhi_ain_oai</t>
  </si>
  <si>
    <t xml:space="preserve">ivhi_xn_oai</t>
  </si>
  <si>
    <t xml:space="preserve">ivhi_onn_oai</t>
  </si>
  <si>
    <t xml:space="preserve">ivhi_siten_oai</t>
  </si>
  <si>
    <t xml:space="preserve">ivhi_ain_ant</t>
  </si>
  <si>
    <t xml:space="preserve">ivhi_xn_ant</t>
  </si>
  <si>
    <t xml:space="preserve">ivhi_onn_ant</t>
  </si>
  <si>
    <t xml:space="preserve">ivhi_siten_ant</t>
  </si>
  <si>
    <t xml:space="preserve">ivhi_S_x2</t>
  </si>
  <si>
    <t xml:space="preserve">ivhi_S_on2</t>
  </si>
  <si>
    <t xml:space="preserve">ivhi_S_x9</t>
  </si>
  <si>
    <t xml:space="preserve">ivhi_S_on9</t>
  </si>
  <si>
    <t xml:space="preserve">ivhi_S_site</t>
  </si>
  <si>
    <t xml:space="preserve">ivhi_S_xn</t>
  </si>
  <si>
    <t xml:space="preserve">ivhi_S_onn</t>
  </si>
  <si>
    <t xml:space="preserve">ivhi_S_siten</t>
  </si>
  <si>
    <r>
      <rPr>
        <b val="true"/>
        <sz val="11"/>
        <rFont val="Cambria"/>
        <family val="0"/>
        <charset val="1"/>
      </rPr>
      <t xml:space="preserve">Bridge — Wattonomics </t>
    </r>
    <r>
      <rPr>
        <b val="true"/>
        <sz val="11"/>
        <rFont val="Noto Sans CJK SC"/>
        <family val="2"/>
      </rPr>
      <t xml:space="preserve">側歸因：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推得上線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r1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vs Wattonomics </t>
    </r>
    <r>
      <rPr>
        <b val="true"/>
        <sz val="11"/>
        <rFont val="Noto Sans CJK SC"/>
        <family val="2"/>
      </rPr>
      <t xml:space="preserve">主路徑（</t>
    </r>
    <r>
      <rPr>
        <b val="true"/>
        <sz val="11"/>
        <rFont val="Cambria"/>
        <family val="0"/>
        <charset val="1"/>
      </rPr>
      <t xml:space="preserve">v0.1.7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），逐項列 </t>
    </r>
    <r>
      <rPr>
        <b val="true"/>
        <sz val="11"/>
        <rFont val="Cambria"/>
        <family val="0"/>
        <charset val="1"/>
      </rPr>
      <t xml:space="preserve">Wattonomics </t>
    </r>
    <r>
      <rPr>
        <b val="true"/>
        <sz val="11"/>
        <rFont val="Noto Sans CJK SC"/>
        <family val="2"/>
      </rPr>
      <t xml:space="preserve">側可量化的差距。正值＝</t>
    </r>
    <r>
      <rPr>
        <b val="true"/>
        <sz val="11"/>
        <rFont val="Cambria"/>
        <family val="0"/>
        <charset val="1"/>
      </rPr>
      <t xml:space="preserve">Wattonomics </t>
    </r>
    <r>
      <rPr>
        <b val="true"/>
        <sz val="11"/>
        <rFont val="Noto Sans CJK SC"/>
        <family val="2"/>
      </rPr>
      <t xml:space="preserve">應加的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。</t>
    </r>
  </si>
  <si>
    <t xml:space="preserve">列</t>
  </si>
  <si>
    <t xml:space="preserve">說明</t>
  </si>
  <si>
    <t xml:space="preserve">一、起點</t>
  </si>
  <si>
    <t xml:space="preserve">s8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</si>
  <si>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推得淨新增上線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</si>
  <si>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Bridge b8</t>
    </r>
    <r>
      <rPr>
        <sz val="11"/>
        <color theme="1"/>
        <rFont val="Noto Sans CJK SC"/>
        <family val="2"/>
      </rPr>
      <t xml:space="preserve">（已扣 ②③④）</t>
    </r>
  </si>
  <si>
    <t xml:space="preserve">w0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</si>
  <si>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主路徑年新增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</si>
  <si>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列</t>
    </r>
  </si>
  <si>
    <t xml:space="preserve">r0</t>
  </si>
  <si>
    <r>
      <rPr>
        <sz val="11"/>
        <color theme="1"/>
        <rFont val="Noto Sans CJK SC"/>
        <family val="2"/>
      </rPr>
      <t xml:space="preserve">殘差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側交來）</t>
    </r>
  </si>
  <si>
    <t xml:space="preserve">s8 − w0</t>
  </si>
  <si>
    <r>
      <rPr>
        <b val="true"/>
        <sz val="11"/>
        <rFont val="Noto Sans CJK SC"/>
        <family val="2"/>
      </rPr>
      <t xml:space="preserve">二、</t>
    </r>
    <r>
      <rPr>
        <b val="true"/>
        <sz val="11"/>
        <rFont val="Cambria"/>
        <family val="0"/>
        <charset val="1"/>
      </rPr>
      <t xml:space="preserve">Wattonomics </t>
    </r>
    <r>
      <rPr>
        <b val="true"/>
        <sz val="11"/>
        <rFont val="Noto Sans CJK SC"/>
        <family val="2"/>
      </rPr>
      <t xml:space="preserve">側逐項（</t>
    </r>
    <r>
      <rPr>
        <b val="true"/>
        <sz val="11"/>
        <rFont val="Cambria"/>
        <family val="0"/>
        <charset val="1"/>
      </rPr>
      <t xml:space="preserve">Compare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1–4 </t>
    </r>
    <r>
      <rPr>
        <b val="true"/>
        <sz val="11"/>
        <rFont val="Noto Sans CJK SC"/>
        <family val="2"/>
      </rPr>
      <t xml:space="preserve">點＋覆蓋）</t>
    </r>
  </si>
  <si>
    <t xml:space="preserve">d1</t>
  </si>
  <si>
    <r>
      <rPr>
        <sz val="11"/>
        <color theme="1"/>
        <rFont val="Noto Sans CJK SC"/>
        <family val="2"/>
      </rPr>
      <t xml:space="preserve">【覆蓋】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七家改甲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（付款年，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讀法）＝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觀察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的量</t>
    </r>
  </si>
  <si>
    <r>
      <rPr>
        <sz val="11"/>
        <color theme="1"/>
        <rFont val="Calibri"/>
        <family val="2"/>
        <charset val="1"/>
      </rPr>
      <t xml:space="preserve">Σ</t>
    </r>
    <r>
      <rPr>
        <sz val="11"/>
        <color theme="1"/>
        <rFont val="Noto Sans CJK SC"/>
        <family val="2"/>
      </rPr>
      <t xml:space="preserve">七家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（付款年）− </t>
    </r>
    <r>
      <rPr>
        <sz val="11"/>
        <color theme="1"/>
        <rFont val="Calibri"/>
        <family val="2"/>
        <charset val="1"/>
      </rPr>
      <t xml:space="preserve">Σ</t>
    </r>
    <r>
      <rPr>
        <sz val="11"/>
        <color theme="1"/>
        <rFont val="Noto Sans CJK SC"/>
        <family val="2"/>
      </rPr>
      <t xml:space="preserve">七家 站點；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起主路徑已是甲</t>
    </r>
    <r>
      <rPr>
        <sz val="11"/>
        <color theme="1"/>
        <rFont val="Calibri"/>
        <family val="2"/>
        <charset val="1"/>
      </rPr>
      <t xml:space="preserve">2 → 0</t>
    </r>
  </si>
  <si>
    <t xml:space="preserve">d2</t>
  </si>
  <si>
    <r>
      <rPr>
        <sz val="11"/>
        <color theme="1"/>
        <rFont val="Noto Sans CJK SC"/>
        <family val="2"/>
      </rPr>
      <t xml:space="preserve">【第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 出貨年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上線年】七家甲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付款年 → 上線年（</t>
    </r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自己的口徑修正）</t>
    </r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</si>
  <si>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資本支出以付款年當上線年；以 </t>
    </r>
    <r>
      <rPr>
        <sz val="11"/>
        <color theme="1"/>
        <rFont val="Calibri"/>
        <family val="2"/>
        <charset val="1"/>
      </rPr>
      <t xml:space="preserve">Siliconomics ②③ </t>
    </r>
    <r>
      <rPr>
        <sz val="11"/>
        <color theme="1"/>
        <rFont val="Noto Sans CJK SC"/>
        <family val="2"/>
      </rPr>
      <t xml:space="preserve">同參數平移：</t>
    </r>
    <r>
      <rPr>
        <sz val="11"/>
        <color theme="1"/>
        <rFont val="Calibri"/>
        <family val="2"/>
        <charset val="1"/>
      </rPr>
      <t xml:space="preserve">Σ</t>
    </r>
    <r>
      <rPr>
        <sz val="11"/>
        <color theme="1"/>
        <rFont val="Noto Sans CJK SC"/>
        <family val="2"/>
      </rPr>
      <t xml:space="preserve">上線年 − </t>
    </r>
    <r>
      <rPr>
        <sz val="11"/>
        <color theme="1"/>
        <rFont val="Calibri"/>
        <family val="2"/>
        <charset val="1"/>
      </rPr>
      <t xml:space="preserve">Σ</t>
    </r>
    <r>
      <rPr>
        <sz val="11"/>
        <color theme="1"/>
        <rFont val="Noto Sans CJK SC"/>
        <family val="2"/>
      </rPr>
      <t xml:space="preserve">付款年（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</si>
  <si>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</si>
  <si>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d3</t>
  </si>
  <si>
    <r>
      <rPr>
        <sz val="11"/>
        <color theme="1"/>
        <rFont val="Noto Sans CJK SC"/>
        <family val="2"/>
      </rPr>
      <t xml:space="preserve">【覆蓋】七家資本支出改讀個股模型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v0.1.8 </t>
    </r>
    <r>
      <rPr>
        <sz val="11"/>
        <color theme="1"/>
        <rFont val="Noto Sans CJK SC"/>
        <family val="2"/>
      </rPr>
      <t xml:space="preserve">規劃）</t>
    </r>
  </si>
  <si>
    <r>
      <rPr>
        <sz val="11"/>
        <color theme="1"/>
        <rFont val="Calibri"/>
        <family val="2"/>
        <charset val="1"/>
      </rPr>
      <t xml:space="preserve">Σ</t>
    </r>
    <r>
      <rPr>
        <sz val="11"/>
        <color theme="1"/>
        <rFont val="Noto Sans CJK SC"/>
        <family val="2"/>
      </rPr>
      <t xml:space="preserve">上線年（</t>
    </r>
    <r>
      <rPr>
        <sz val="11"/>
        <color theme="1"/>
        <rFont val="Calibri"/>
        <family val="2"/>
        <charset val="1"/>
      </rPr>
      <t xml:space="preserve">Y9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Σ</t>
    </r>
    <r>
      <rPr>
        <sz val="11"/>
        <color theme="1"/>
        <rFont val="Noto Sans CJK SC"/>
        <family val="2"/>
      </rPr>
      <t xml:space="preserve">上線年（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</si>
  <si>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t xml:space="preserve">d4</t>
  </si>
  <si>
    <r>
      <rPr>
        <sz val="11"/>
        <color theme="1"/>
        <rFont val="Noto Sans CJK SC"/>
        <family val="2"/>
      </rPr>
      <t xml:space="preserve">【覆蓋】非七家：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自建、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自建改讀個股模型資本支出</t>
    </r>
  </si>
  <si>
    <r>
      <rPr>
        <sz val="11"/>
        <color theme="1"/>
        <rFont val="Calibri"/>
        <family val="2"/>
        <charset val="1"/>
      </rPr>
      <t xml:space="preserve">Σ</t>
    </r>
    <r>
      <rPr>
        <sz val="11"/>
        <color theme="1"/>
        <rFont val="Noto Sans CJK SC"/>
        <family val="2"/>
      </rPr>
      <t xml:space="preserve">模型推得（上線年）− </t>
    </r>
    <r>
      <rPr>
        <sz val="11"/>
        <color theme="1"/>
        <rFont val="Calibri"/>
        <family val="2"/>
        <charset val="1"/>
      </rPr>
      <t xml:space="preserve">Σ</t>
    </r>
    <r>
      <rPr>
        <sz val="11"/>
        <color theme="1"/>
        <rFont val="Noto Sans CJK SC"/>
        <family val="2"/>
      </rPr>
      <t xml:space="preserve">站點；每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世代加權成本（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含客製晶片 → 偏低估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</si>
  <si>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d5</t>
  </si>
  <si>
    <r>
      <rPr>
        <sz val="11"/>
        <color theme="1"/>
        <rFont val="Noto Sans CJK SC"/>
        <family val="2"/>
      </rPr>
      <t xml:space="preserve">【覆蓋】「其他（企業、學研）」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起持平 → 改隨市場成長</t>
    </r>
  </si>
  <si>
    <r>
      <rPr>
        <sz val="11"/>
        <color theme="1"/>
        <rFont val="Noto Sans CJK SC"/>
        <family val="2"/>
      </rPr>
      <t xml:space="preserve">其他</t>
    </r>
    <r>
      <rPr>
        <sz val="11"/>
        <color theme="1"/>
        <rFont val="Calibri"/>
        <family val="2"/>
        <charset val="1"/>
      </rPr>
      <t xml:space="preserve">_t−1 ×</t>
    </r>
    <r>
      <rPr>
        <sz val="11"/>
        <color theme="1"/>
        <rFont val="Noto Sans CJK SC"/>
        <family val="2"/>
      </rPr>
      <t xml:space="preserve">（主路徑年底 </t>
    </r>
    <r>
      <rPr>
        <sz val="11"/>
        <color theme="1"/>
        <rFont val="Calibri"/>
        <family val="2"/>
        <charset val="1"/>
      </rPr>
      <t xml:space="preserve">t ÷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t−1 − 1</t>
    </r>
    <r>
      <rPr>
        <sz val="11"/>
        <color theme="1"/>
        <rFont val="Noto Sans CJK SC"/>
        <family val="2"/>
      </rPr>
      <t xml:space="preserve">），逐年累積</t>
    </r>
  </si>
  <si>
    <t xml:space="preserve">Analogy</t>
  </si>
  <si>
    <t xml:space="preserve">d6</t>
  </si>
  <si>
    <r>
      <rPr>
        <sz val="11"/>
        <color theme="1"/>
        <rFont val="Noto Sans CJK SC"/>
        <family val="2"/>
      </rPr>
      <t xml:space="preserve">【第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點 成本等值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實體】</t>
    </r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側</t>
    </r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</si>
  <si>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已用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持有比換算實體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Siliconomics ① </t>
    </r>
    <r>
      <rPr>
        <sz val="11"/>
        <color theme="1"/>
        <rFont val="Noto Sans CJK SC"/>
        <family val="2"/>
      </rPr>
      <t xml:space="preserve">同法），無需調整</t>
    </r>
  </si>
  <si>
    <t xml:space="preserve">—</t>
  </si>
  <si>
    <t xml:space="preserve">d7</t>
  </si>
  <si>
    <r>
      <rPr>
        <sz val="11"/>
        <color theme="1"/>
        <rFont val="Noto Sans CJK SC"/>
        <family val="2"/>
      </rPr>
      <t xml:space="preserve">【第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點 中國】</t>
    </r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中國年新增（揭露，不調整）</t>
    </r>
  </si>
  <si>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占比；見下方「中國」節</t>
    </r>
  </si>
  <si>
    <t xml:space="preserve">wadj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</si>
  <si>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調整後年新增 </t>
    </r>
    <r>
      <rPr>
        <sz val="11"/>
        <color theme="1"/>
        <rFont val="Calibri"/>
        <family val="2"/>
        <charset val="1"/>
      </rPr>
      <t xml:space="preserve">IT GW</t>
    </r>
  </si>
  <si>
    <r>
      <rPr>
        <sz val="11"/>
        <color theme="1"/>
        <rFont val="Calibri"/>
        <family val="2"/>
        <charset val="1"/>
      </rPr>
      <t xml:space="preserve">w0 + d1 + d2 + d3 + d4 + d5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d7 </t>
    </r>
    <r>
      <rPr>
        <sz val="11"/>
        <color theme="1"/>
        <rFont val="Noto Sans CJK SC"/>
        <family val="2"/>
      </rPr>
      <t xml:space="preserve">不加）</t>
    </r>
  </si>
  <si>
    <t xml:space="preserve">三、比較口徑對齊（兩邊都不改模型）</t>
  </si>
  <si>
    <t xml:space="preserve">e1</t>
  </si>
  <si>
    <r>
      <rPr>
        <sz val="11"/>
        <color theme="1"/>
        <rFont val="Noto Sans CJK SC"/>
        <family val="2"/>
      </rPr>
      <t xml:space="preserve">【第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點附帶】汰換：</t>
    </r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不建模汰換（主路徑實為毛額）→ 加回 </t>
    </r>
    <r>
      <rPr>
        <sz val="11"/>
        <color theme="1"/>
        <rFont val="Calibri"/>
        <family val="2"/>
        <charset val="1"/>
      </rPr>
      <t xml:space="preserve">Siliconomics ④</t>
    </r>
  </si>
  <si>
    <t xml:space="preserve">−④；兩邊改以毛額比較</t>
  </si>
  <si>
    <t xml:space="preserve">sg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</si>
  <si>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推得上線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（毛額，與 </t>
    </r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同口徑）</t>
    </r>
  </si>
  <si>
    <t xml:space="preserve">s8 + e1</t>
  </si>
  <si>
    <t xml:space="preserve">四、殘差與判讀</t>
  </si>
  <si>
    <t xml:space="preserve">rf</t>
  </si>
  <si>
    <t xml:space="preserve">殘差（調整後）</t>
  </si>
  <si>
    <t xml:space="preserve">sg − wadj</t>
  </si>
  <si>
    <t xml:space="preserve">ra</t>
  </si>
  <si>
    <r>
      <rPr>
        <sz val="11"/>
        <color theme="1"/>
        <rFont val="Noto Sans CJK SC"/>
        <family val="2"/>
      </rPr>
      <t xml:space="preserve">比值：</t>
    </r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÷ Siliconomics</t>
    </r>
    <r>
      <rPr>
        <sz val="11"/>
        <color theme="1"/>
        <rFont val="Noto Sans CJK SC"/>
        <family val="2"/>
      </rPr>
      <t xml:space="preserve">（毛額）</t>
    </r>
  </si>
  <si>
    <t xml:space="preserve">rb</t>
  </si>
  <si>
    <r>
      <rPr>
        <sz val="11"/>
        <color theme="1"/>
        <rFont val="Noto Sans CJK SC"/>
        <family val="2"/>
      </rPr>
      <t xml:space="preserve">比值：</t>
    </r>
    <r>
      <rPr>
        <sz val="11"/>
        <color theme="1"/>
        <rFont val="Calibri"/>
        <family val="2"/>
        <charset val="1"/>
      </rPr>
      <t xml:space="preserve">Wattonomics v0.1.7 ÷ Siliconomics</t>
    </r>
    <r>
      <rPr>
        <sz val="11"/>
        <color theme="1"/>
        <rFont val="Noto Sans CJK SC"/>
        <family val="2"/>
      </rPr>
      <t xml:space="preserve">（毛額）</t>
    </r>
  </si>
  <si>
    <t xml:space="preserve">lb</t>
  </si>
  <si>
    <t xml:space="preserve">容許帶判定（調整後）</t>
  </si>
  <si>
    <r>
      <rPr>
        <sz val="11"/>
        <color theme="1"/>
        <rFont val="Calibri"/>
        <family val="2"/>
        <charset val="1"/>
      </rPr>
      <t xml:space="preserve">|1 − </t>
    </r>
    <r>
      <rPr>
        <sz val="11"/>
        <color theme="1"/>
        <rFont val="Noto Sans CJK SC"/>
        <family val="2"/>
      </rPr>
      <t xml:space="preserve">比值</t>
    </r>
    <r>
      <rPr>
        <sz val="11"/>
        <color theme="1"/>
        <rFont val="Calibri"/>
        <family val="2"/>
        <charset val="1"/>
      </rPr>
      <t xml:space="preserve">| ≤ tolband → </t>
    </r>
    <r>
      <rPr>
        <sz val="11"/>
        <color theme="1"/>
        <rFont val="Noto Sans CJK SC"/>
        <family val="2"/>
      </rPr>
      <t xml:space="preserve">帶內</t>
    </r>
  </si>
  <si>
    <t xml:space="preserve">km</t>
  </si>
  <si>
    <r>
      <rPr>
        <sz val="11"/>
        <color theme="1"/>
        <rFont val="Noto Sans CJK SC"/>
        <family val="2"/>
      </rPr>
      <t xml:space="preserve">七家上線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需放大倍數（其餘不變，使殘差歸零）</t>
    </r>
  </si>
  <si>
    <r>
      <rPr>
        <sz val="11"/>
        <color theme="1"/>
        <rFont val="Calibri"/>
        <family val="2"/>
        <charset val="1"/>
      </rPr>
      <t xml:space="preserve">(sg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wadj − </t>
    </r>
    <r>
      <rPr>
        <sz val="11"/>
        <color theme="1"/>
        <rFont val="Noto Sans CJK SC"/>
        <family val="2"/>
      </rPr>
      <t xml:space="preserve">七家上線年 </t>
    </r>
    <r>
      <rPr>
        <sz val="11"/>
        <color theme="1"/>
        <rFont val="Calibri"/>
        <family val="2"/>
        <charset val="1"/>
      </rPr>
      <t xml:space="preserve">Y9</t>
    </r>
    <r>
      <rPr>
        <sz val="11"/>
        <color theme="1"/>
        <rFont val="Noto Sans CJK SC"/>
        <family val="2"/>
      </rPr>
      <t xml:space="preserve">））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七家上線年 </t>
    </r>
    <r>
      <rPr>
        <sz val="11"/>
        <color theme="1"/>
        <rFont val="Calibri"/>
        <family val="2"/>
        <charset val="1"/>
      </rPr>
      <t xml:space="preserve">Y9</t>
    </r>
  </si>
  <si>
    <r>
      <rPr>
        <b val="true"/>
        <sz val="11"/>
        <rFont val="Noto Sans CJK SC"/>
        <family val="2"/>
      </rPr>
      <t xml:space="preserve">五、敏感度（一次動一個輸入；殘差＝</t>
    </r>
    <r>
      <rPr>
        <b val="true"/>
        <sz val="11"/>
        <rFont val="Cambria"/>
        <family val="0"/>
        <charset val="1"/>
      </rPr>
      <t xml:space="preserve">sg − wadj</t>
    </r>
    <r>
      <rPr>
        <b val="true"/>
        <sz val="11"/>
        <rFont val="Noto Sans CJK SC"/>
        <family val="2"/>
      </rPr>
      <t xml:space="preserve">）</t>
    </r>
  </si>
  <si>
    <t xml:space="preserve">情況</t>
  </si>
  <si>
    <t xml:space="preserve">base</t>
  </si>
  <si>
    <t xml:space="preserve">ailo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</si>
  <si>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</t>
    </r>
  </si>
  <si>
    <t xml:space="preserve">aihi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</si>
  <si>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</t>
    </r>
  </si>
  <si>
    <t xml:space="preserve">lblo</t>
  </si>
  <si>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</si>
  <si>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lbhi</t>
  </si>
  <si>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月）</t>
    </r>
  </si>
  <si>
    <t xml:space="preserve">lglo</t>
  </si>
  <si>
    <r>
      <rPr>
        <sz val="11"/>
        <color theme="1"/>
        <rFont val="Noto Sans CJK SC"/>
        <family val="2"/>
      </rPr>
      <t xml:space="preserve">上線延遲 低（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個月）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</si>
  <si>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側同參數時，</t>
    </r>
    <r>
      <rPr>
        <sz val="11"/>
        <color theme="1"/>
        <rFont val="Calibri"/>
        <family val="2"/>
        <charset val="1"/>
      </rPr>
      <t xml:space="preserve">s8 </t>
    </r>
    <r>
      <rPr>
        <sz val="11"/>
        <color theme="1"/>
        <rFont val="Noto Sans CJK SC"/>
        <family val="2"/>
      </rPr>
      <t xml:space="preserve">亦隨之變（以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的 ②③ 比例近似重算）</t>
    </r>
  </si>
  <si>
    <t xml:space="preserve">lghi</t>
  </si>
  <si>
    <r>
      <rPr>
        <sz val="11"/>
        <color theme="1"/>
        <rFont val="Noto Sans CJK SC"/>
        <family val="2"/>
      </rPr>
      <t xml:space="preserve">上線延遲 高（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個月）</t>
    </r>
  </si>
  <si>
    <t xml:space="preserve">ivlo</t>
  </si>
  <si>
    <t xml:space="preserve">庫存 低</t>
  </si>
  <si>
    <t xml:space="preserve">ivhi</t>
  </si>
  <si>
    <t xml:space="preserve">庫存 高</t>
  </si>
  <si>
    <r>
      <rPr>
        <sz val="11"/>
        <color theme="1"/>
        <rFont val="Noto Sans CJK SC"/>
        <family val="2"/>
      </rPr>
      <t xml:space="preserve">只做 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（不平移、不改讀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、不補非七家）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</si>
  <si>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（改甲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並平移；仍讀 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</si>
  <si>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Calibri"/>
        <family val="2"/>
        <charset val="1"/>
      </rPr>
      <t xml:space="preserve">d4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d5</t>
    </r>
    <r>
      <rPr>
        <sz val="11"/>
        <color theme="1"/>
        <rFont val="Noto Sans CJK SC"/>
        <family val="2"/>
      </rPr>
      <t xml:space="preserve">（只動七家）</t>
    </r>
  </si>
  <si>
    <r>
      <rPr>
        <b val="true"/>
        <sz val="11"/>
        <rFont val="Noto Sans CJK SC"/>
        <family val="2"/>
      </rPr>
      <t xml:space="preserve">六、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營收對照（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；只作佐證）</t>
    </r>
  </si>
  <si>
    <t xml:space="preserve">n1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</si>
  <si>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GW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內容 </t>
    </r>
    <r>
      <rPr>
        <sz val="11"/>
        <color theme="1"/>
        <rFont val="Calibri"/>
        <family val="2"/>
        <charset val="1"/>
      </rPr>
      <t xml:space="preserve">20.8</t>
    </r>
    <r>
      <rPr>
        <sz val="11"/>
        <color theme="1"/>
        <rFont val="Noto Sans CJK SC"/>
        <family val="2"/>
      </rPr>
      <t xml:space="preserve">）</t>
    </r>
  </si>
  <si>
    <t xml:space="preserve">nv_dc_26 ÷ nvc_gb_tk</t>
  </si>
  <si>
    <t xml:space="preserve">n1j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</si>
  <si>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GW 2026</t>
    </r>
    <r>
      <rPr>
        <sz val="11"/>
        <color theme="1"/>
        <rFont val="Noto Sans CJK SC"/>
        <family val="2"/>
      </rPr>
      <t xml:space="preserve">（黃仁勳 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說法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）</t>
    </r>
  </si>
  <si>
    <t xml:space="preserve">nv_dc_26 ÷ nvc_gb_jh</t>
  </si>
  <si>
    <t xml:space="preserve">n0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</si>
  <si>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GW 2025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內容換算；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多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內容較低 → 偏低估）</t>
    </r>
  </si>
  <si>
    <t xml:space="preserve">nv_dc_25 ÷ nvc_gb_tk</t>
  </si>
  <si>
    <t xml:space="preserve">n2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</si>
  <si>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推得上線 </t>
    </r>
    <r>
      <rPr>
        <sz val="11"/>
        <color theme="1"/>
        <rFont val="Calibri"/>
        <family val="2"/>
        <charset val="1"/>
      </rPr>
      <t xml:space="preserve">GW 2026</t>
    </r>
    <r>
      <rPr>
        <sz val="11"/>
        <color theme="1"/>
        <rFont val="Noto Sans CJK SC"/>
        <family val="2"/>
      </rPr>
      <t xml:space="preserve">（同 ②③ 參數）</t>
    </r>
  </si>
  <si>
    <t xml:space="preserve">(1−lag)·n1 + lag·n0 − inv_k·(n1 − n0)</t>
  </si>
  <si>
    <t xml:space="preserve">n3</t>
  </si>
  <si>
    <r>
      <rPr>
        <sz val="11"/>
        <color theme="1"/>
        <rFont val="Calibri"/>
        <family val="2"/>
        <charset val="1"/>
      </rPr>
      <t xml:space="preserve">Wattonomics v0.1.7 2026 NVIDIA </t>
    </r>
    <r>
      <rPr>
        <sz val="11"/>
        <color theme="1"/>
        <rFont val="Noto Sans CJK SC"/>
        <family val="2"/>
      </rPr>
      <t xml:space="preserve">上線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</si>
  <si>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w0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nnv_mkt</t>
    </r>
    <r>
      <rPr>
        <sz val="11"/>
        <color theme="1"/>
        <rFont val="Noto Sans CJK SC"/>
        <family val="2"/>
      </rPr>
      <t xml:space="preserve">）</t>
    </r>
  </si>
  <si>
    <t xml:space="preserve">n4</t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</si>
  <si>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2026 NVIDIA </t>
    </r>
    <r>
      <rPr>
        <sz val="11"/>
        <color theme="1"/>
        <rFont val="Noto Sans CJK SC"/>
        <family val="2"/>
      </rPr>
      <t xml:space="preserve">上線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（以市場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占比近似）</t>
    </r>
  </si>
  <si>
    <r>
      <rPr>
        <sz val="11"/>
        <color theme="1"/>
        <rFont val="Calibri"/>
        <family val="2"/>
        <charset val="1"/>
      </rPr>
      <t xml:space="preserve">wadj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nnv_mkt</t>
    </r>
    <r>
      <rPr>
        <sz val="11"/>
        <color theme="1"/>
        <rFont val="Noto Sans CJK SC"/>
        <family val="2"/>
      </rPr>
      <t xml:space="preserve">）</t>
    </r>
  </si>
  <si>
    <t xml:space="preserve">n5</t>
  </si>
  <si>
    <r>
      <rPr>
        <sz val="11"/>
        <color theme="1"/>
        <rFont val="Noto Sans CJK SC"/>
        <family val="2"/>
      </rPr>
      <t xml:space="preserve">比值 </t>
    </r>
    <r>
      <rPr>
        <sz val="11"/>
        <color theme="1"/>
        <rFont val="Calibri"/>
        <family val="2"/>
        <charset val="1"/>
      </rPr>
      <t xml:space="preserve">v0.1.7 ÷ NVIDIA </t>
    </r>
    <r>
      <rPr>
        <sz val="11"/>
        <color theme="1"/>
        <rFont val="Noto Sans CJK SC"/>
        <family val="2"/>
      </rPr>
      <t xml:space="preserve">推得</t>
    </r>
  </si>
  <si>
    <t xml:space="preserve">n3 ÷ n2</t>
  </si>
  <si>
    <t xml:space="preserve">n6</t>
  </si>
  <si>
    <r>
      <rPr>
        <sz val="11"/>
        <color theme="1"/>
        <rFont val="Noto Sans CJK SC"/>
        <family val="2"/>
      </rPr>
      <t xml:space="preserve">比值 調整後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推得</t>
    </r>
  </si>
  <si>
    <t xml:space="preserve">n4 ÷ n2</t>
  </si>
  <si>
    <r>
      <rPr>
        <b val="true"/>
        <sz val="11"/>
        <rFont val="Noto Sans CJK SC"/>
        <family val="2"/>
      </rPr>
      <t xml:space="preserve">七、中國（第 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點；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）</t>
    </r>
  </si>
  <si>
    <t xml:space="preserve">c1</t>
  </si>
  <si>
    <t xml:space="preserve">Players cn_add</t>
  </si>
  <si>
    <t xml:space="preserve">c2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</si>
  <si>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可辨識中國上限：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成本等值 ＋ 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全部視為昇騰的實體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</si>
  <si>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s_b7m_2026 + s_cap_oth_2026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pgw_vr × hold_oth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</si>
  <si>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（上限）</t>
    </r>
  </si>
  <si>
    <t xml:space="preserve">c3</t>
  </si>
  <si>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中國 −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可辨識上限）</t>
    </r>
  </si>
  <si>
    <t xml:space="preserve">正值＝不含中國比較時殘差反而更大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</si>
</sst>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6"/>
    <col collapsed="false" customWidth="true" hidden="false" outlineLevel="0" max="8" min="8" style="0" width="90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7.15" hidden="false" customHeight="false" outlineLevel="0" collapsed="false">
      <c r="A4" s="1" t="s">
        <v>9</v>
      </c>
    </row>
    <row r="5" customFormat="false" ht="17.15" hidden="false" customHeight="false" outlineLevel="0" collapsed="false">
      <c r="A5" s="0" t="s">
        <v>10</v>
      </c>
      <c r="B5" s="0" t="s">
        <v>11</v>
      </c>
      <c r="C5" s="0" t="s">
        <v>12</v>
      </c>
      <c r="E5" s="3" t="n">
        <v>23.3995380420639</v>
      </c>
      <c r="G5" s="4" t="s">
        <v>13</v>
      </c>
      <c r="H5" s="4" t="s">
        <v>14</v>
      </c>
    </row>
    <row r="6" customFormat="false" ht="17.15" hidden="false" customHeight="false" outlineLevel="0" collapsed="false">
      <c r="A6" s="0" t="s">
        <v>15</v>
      </c>
      <c r="B6" s="0" t="s">
        <v>16</v>
      </c>
      <c r="C6" s="0" t="s">
        <v>12</v>
      </c>
      <c r="E6" s="3" t="n">
        <v>41.6467658260637</v>
      </c>
      <c r="G6" s="4" t="s">
        <v>13</v>
      </c>
      <c r="H6" s="4" t="s">
        <v>17</v>
      </c>
    </row>
    <row r="7" customFormat="false" ht="17.15" hidden="false" customHeight="false" outlineLevel="0" collapsed="false">
      <c r="A7" s="0" t="s">
        <v>18</v>
      </c>
      <c r="B7" s="0" t="s">
        <v>19</v>
      </c>
      <c r="C7" s="0" t="s">
        <v>12</v>
      </c>
      <c r="E7" s="3" t="n">
        <v>52.792138191248</v>
      </c>
      <c r="G7" s="4" t="s">
        <v>13</v>
      </c>
      <c r="H7" s="4" t="s">
        <v>20</v>
      </c>
    </row>
    <row r="8" customFormat="false" ht="17.15" hidden="false" customHeight="false" outlineLevel="0" collapsed="false">
      <c r="A8" s="0" t="s">
        <v>21</v>
      </c>
      <c r="B8" s="0" t="s">
        <v>22</v>
      </c>
      <c r="C8" s="0" t="s">
        <v>12</v>
      </c>
      <c r="E8" s="3" t="n">
        <v>60.1385917361115</v>
      </c>
      <c r="G8" s="4" t="s">
        <v>13</v>
      </c>
      <c r="H8" s="4" t="s">
        <v>23</v>
      </c>
    </row>
    <row r="9" customFormat="false" ht="17.15" hidden="false" customHeight="false" outlineLevel="0" collapsed="false">
      <c r="A9" s="0" t="s">
        <v>24</v>
      </c>
      <c r="B9" s="5" t="s">
        <v>25</v>
      </c>
      <c r="C9" s="0" t="s">
        <v>12</v>
      </c>
      <c r="E9" s="3" t="n">
        <v>1.63027965953421</v>
      </c>
      <c r="G9" s="4" t="s">
        <v>13</v>
      </c>
      <c r="H9" s="4" t="s">
        <v>26</v>
      </c>
    </row>
    <row r="10" customFormat="false" ht="17.15" hidden="false" customHeight="false" outlineLevel="0" collapsed="false">
      <c r="A10" s="0" t="s">
        <v>27</v>
      </c>
      <c r="B10" s="5" t="s">
        <v>28</v>
      </c>
      <c r="C10" s="0" t="s">
        <v>12</v>
      </c>
      <c r="E10" s="3" t="n">
        <v>4.6089461314069</v>
      </c>
      <c r="G10" s="4" t="s">
        <v>13</v>
      </c>
      <c r="H10" s="4" t="s">
        <v>29</v>
      </c>
    </row>
    <row r="11" customFormat="false" ht="17.15" hidden="false" customHeight="false" outlineLevel="0" collapsed="false">
      <c r="A11" s="0" t="s">
        <v>30</v>
      </c>
      <c r="B11" s="5" t="s">
        <v>31</v>
      </c>
      <c r="C11" s="0" t="s">
        <v>12</v>
      </c>
      <c r="E11" s="3" t="n">
        <v>5.60653844990702</v>
      </c>
      <c r="G11" s="4" t="s">
        <v>13</v>
      </c>
      <c r="H11" s="4" t="s">
        <v>32</v>
      </c>
    </row>
    <row r="12" customFormat="false" ht="17.15" hidden="false" customHeight="false" outlineLevel="0" collapsed="false">
      <c r="A12" s="0" t="s">
        <v>33</v>
      </c>
      <c r="B12" s="5" t="s">
        <v>34</v>
      </c>
      <c r="C12" s="0" t="s">
        <v>12</v>
      </c>
      <c r="E12" s="3" t="n">
        <v>6.44751921739307</v>
      </c>
      <c r="G12" s="4" t="s">
        <v>13</v>
      </c>
      <c r="H12" s="4" t="s">
        <v>35</v>
      </c>
    </row>
    <row r="13" customFormat="false" ht="17.15" hidden="false" customHeight="false" outlineLevel="0" collapsed="false">
      <c r="A13" s="0" t="s">
        <v>36</v>
      </c>
      <c r="B13" s="5" t="s">
        <v>37</v>
      </c>
      <c r="C13" s="0" t="s">
        <v>12</v>
      </c>
      <c r="E13" s="3" t="n">
        <v>16.1365717964169</v>
      </c>
      <c r="G13" s="4" t="s">
        <v>13</v>
      </c>
      <c r="H13" s="4" t="s">
        <v>38</v>
      </c>
    </row>
    <row r="14" customFormat="false" ht="17.15" hidden="false" customHeight="false" outlineLevel="0" collapsed="false">
      <c r="A14" s="0" t="s">
        <v>39</v>
      </c>
      <c r="B14" s="5" t="s">
        <v>40</v>
      </c>
      <c r="C14" s="0" t="s">
        <v>12</v>
      </c>
      <c r="E14" s="3" t="n">
        <v>25.0298177015981</v>
      </c>
      <c r="G14" s="4" t="s">
        <v>13</v>
      </c>
      <c r="H14" s="4" t="s">
        <v>41</v>
      </c>
    </row>
    <row r="15" customFormat="false" ht="17.15" hidden="false" customHeight="false" outlineLevel="0" collapsed="false">
      <c r="A15" s="0" t="s">
        <v>42</v>
      </c>
      <c r="B15" s="5" t="s">
        <v>43</v>
      </c>
      <c r="C15" s="0" t="s">
        <v>12</v>
      </c>
      <c r="E15" s="3" t="n">
        <v>46.2557119574706</v>
      </c>
      <c r="G15" s="4" t="s">
        <v>13</v>
      </c>
      <c r="H15" s="4" t="s">
        <v>44</v>
      </c>
    </row>
    <row r="16" customFormat="false" ht="17.15" hidden="false" customHeight="false" outlineLevel="0" collapsed="false">
      <c r="A16" s="0" t="s">
        <v>45</v>
      </c>
      <c r="B16" s="5" t="s">
        <v>46</v>
      </c>
      <c r="C16" s="0" t="s">
        <v>12</v>
      </c>
      <c r="E16" s="3" t="n">
        <v>58.398676641155</v>
      </c>
      <c r="G16" s="4" t="s">
        <v>13</v>
      </c>
      <c r="H16" s="4" t="s">
        <v>47</v>
      </c>
    </row>
    <row r="17" customFormat="false" ht="17.15" hidden="false" customHeight="false" outlineLevel="0" collapsed="false">
      <c r="A17" s="0" t="s">
        <v>48</v>
      </c>
      <c r="B17" s="5" t="s">
        <v>49</v>
      </c>
      <c r="C17" s="0" t="s">
        <v>12</v>
      </c>
      <c r="E17" s="3" t="n">
        <v>66.5861109535046</v>
      </c>
      <c r="G17" s="4" t="s">
        <v>13</v>
      </c>
      <c r="H17" s="4" t="s">
        <v>50</v>
      </c>
    </row>
    <row r="18" customFormat="false" ht="17.15" hidden="false" customHeight="false" outlineLevel="0" collapsed="false">
      <c r="A18" s="0" t="s">
        <v>51</v>
      </c>
      <c r="B18" s="5" t="s">
        <v>52</v>
      </c>
      <c r="C18" s="0" t="s">
        <v>12</v>
      </c>
      <c r="E18" s="3" t="n">
        <v>-3.33496721444297</v>
      </c>
      <c r="G18" s="4" t="s">
        <v>13</v>
      </c>
      <c r="H18" s="4" t="s">
        <v>53</v>
      </c>
    </row>
    <row r="19" customFormat="false" ht="17.15" hidden="false" customHeight="false" outlineLevel="0" collapsed="false">
      <c r="A19" s="0" t="s">
        <v>54</v>
      </c>
      <c r="B19" s="5" t="s">
        <v>55</v>
      </c>
      <c r="C19" s="0" t="s">
        <v>12</v>
      </c>
      <c r="E19" s="3" t="n">
        <v>-7.95971034595218</v>
      </c>
      <c r="G19" s="4" t="s">
        <v>13</v>
      </c>
      <c r="H19" s="4" t="s">
        <v>56</v>
      </c>
    </row>
    <row r="20" customFormat="false" ht="17.15" hidden="false" customHeight="false" outlineLevel="0" collapsed="false">
      <c r="A20" s="0" t="s">
        <v>57</v>
      </c>
      <c r="B20" s="5" t="s">
        <v>58</v>
      </c>
      <c r="C20" s="0" t="s">
        <v>12</v>
      </c>
      <c r="E20" s="3" t="n">
        <v>-4.55361175638166</v>
      </c>
      <c r="G20" s="4" t="s">
        <v>13</v>
      </c>
      <c r="H20" s="4" t="s">
        <v>59</v>
      </c>
    </row>
    <row r="21" customFormat="false" ht="17.15" hidden="false" customHeight="false" outlineLevel="0" collapsed="false">
      <c r="A21" s="0" t="s">
        <v>60</v>
      </c>
      <c r="B21" s="5" t="s">
        <v>61</v>
      </c>
      <c r="C21" s="0" t="s">
        <v>12</v>
      </c>
      <c r="E21" s="3" t="n">
        <v>-3.07028786713108</v>
      </c>
      <c r="G21" s="4" t="s">
        <v>13</v>
      </c>
      <c r="H21" s="4" t="s">
        <v>62</v>
      </c>
    </row>
    <row r="22" customFormat="false" ht="17.15" hidden="false" customHeight="false" outlineLevel="0" collapsed="false">
      <c r="A22" s="0" t="s">
        <v>63</v>
      </c>
      <c r="B22" s="5" t="s">
        <v>64</v>
      </c>
      <c r="C22" s="0" t="s">
        <v>12</v>
      </c>
      <c r="E22" s="3" t="n">
        <v>-0.889324590518125</v>
      </c>
      <c r="G22" s="4" t="s">
        <v>13</v>
      </c>
      <c r="H22" s="4" t="s">
        <v>65</v>
      </c>
    </row>
    <row r="23" customFormat="false" ht="17.15" hidden="false" customHeight="false" outlineLevel="0" collapsed="false">
      <c r="A23" s="0" t="s">
        <v>66</v>
      </c>
      <c r="B23" s="5" t="s">
        <v>67</v>
      </c>
      <c r="C23" s="0" t="s">
        <v>12</v>
      </c>
      <c r="E23" s="3" t="n">
        <v>-2.12258942558725</v>
      </c>
      <c r="G23" s="4" t="s">
        <v>13</v>
      </c>
      <c r="H23" s="4" t="s">
        <v>68</v>
      </c>
    </row>
    <row r="24" customFormat="false" ht="17.15" hidden="false" customHeight="false" outlineLevel="0" collapsed="false">
      <c r="A24" s="0" t="s">
        <v>69</v>
      </c>
      <c r="B24" s="5" t="s">
        <v>70</v>
      </c>
      <c r="C24" s="0" t="s">
        <v>12</v>
      </c>
      <c r="E24" s="3" t="n">
        <v>-1.21429646836844</v>
      </c>
      <c r="G24" s="4" t="s">
        <v>13</v>
      </c>
      <c r="H24" s="4" t="s">
        <v>71</v>
      </c>
    </row>
    <row r="25" customFormat="false" ht="17.15" hidden="false" customHeight="false" outlineLevel="0" collapsed="false">
      <c r="A25" s="0" t="s">
        <v>72</v>
      </c>
      <c r="B25" s="5" t="s">
        <v>73</v>
      </c>
      <c r="C25" s="0" t="s">
        <v>12</v>
      </c>
      <c r="E25" s="3" t="n">
        <v>-0.818743431234956</v>
      </c>
      <c r="G25" s="4" t="s">
        <v>13</v>
      </c>
      <c r="H25" s="4" t="s">
        <v>74</v>
      </c>
    </row>
    <row r="26" customFormat="false" ht="17.15" hidden="false" customHeight="false" outlineLevel="0" collapsed="false">
      <c r="A26" s="0" t="s">
        <v>75</v>
      </c>
      <c r="B26" s="5" t="s">
        <v>76</v>
      </c>
      <c r="C26" s="0" t="s">
        <v>12</v>
      </c>
      <c r="E26" s="3" t="n">
        <v>-0.506742866666666</v>
      </c>
      <c r="G26" s="4" t="s">
        <v>13</v>
      </c>
      <c r="H26" s="4" t="s">
        <v>77</v>
      </c>
    </row>
    <row r="27" customFormat="false" ht="17.15" hidden="false" customHeight="false" outlineLevel="0" collapsed="false">
      <c r="A27" s="0" t="s">
        <v>78</v>
      </c>
      <c r="B27" s="5" t="s">
        <v>79</v>
      </c>
      <c r="C27" s="0" t="s">
        <v>12</v>
      </c>
      <c r="E27" s="3" t="n">
        <v>-0.75705029588785</v>
      </c>
      <c r="G27" s="4" t="s">
        <v>13</v>
      </c>
      <c r="H27" s="4" t="s">
        <v>80</v>
      </c>
    </row>
    <row r="28" customFormat="false" ht="17.15" hidden="false" customHeight="false" outlineLevel="0" collapsed="false">
      <c r="A28" s="0" t="s">
        <v>81</v>
      </c>
      <c r="B28" s="5" t="s">
        <v>82</v>
      </c>
      <c r="C28" s="0" t="s">
        <v>12</v>
      </c>
      <c r="E28" s="3" t="n">
        <v>-1.23629537440859</v>
      </c>
      <c r="G28" s="4" t="s">
        <v>13</v>
      </c>
      <c r="H28" s="4" t="s">
        <v>83</v>
      </c>
    </row>
    <row r="29" customFormat="false" ht="17.15" hidden="false" customHeight="false" outlineLevel="0" collapsed="false">
      <c r="A29" s="0" t="s">
        <v>84</v>
      </c>
      <c r="B29" s="5" t="s">
        <v>85</v>
      </c>
      <c r="C29" s="0" t="s">
        <v>12</v>
      </c>
      <c r="E29" s="3" t="n">
        <v>-1.77476123039559</v>
      </c>
      <c r="G29" s="4" t="s">
        <v>13</v>
      </c>
      <c r="H29" s="4" t="s">
        <v>86</v>
      </c>
    </row>
    <row r="30" customFormat="false" ht="17.15" hidden="false" customHeight="false" outlineLevel="0" collapsed="false">
      <c r="A30" s="0" t="s">
        <v>87</v>
      </c>
      <c r="B30" s="5" t="s">
        <v>88</v>
      </c>
      <c r="C30" s="0" t="s">
        <v>12</v>
      </c>
      <c r="E30" s="3" t="n">
        <v>0.573299561940686</v>
      </c>
      <c r="G30" s="4" t="s">
        <v>13</v>
      </c>
      <c r="H30" s="4" t="s">
        <v>89</v>
      </c>
    </row>
    <row r="31" customFormat="false" ht="17.15" hidden="false" customHeight="false" outlineLevel="0" collapsed="false">
      <c r="A31" s="0" t="s">
        <v>90</v>
      </c>
      <c r="B31" s="5" t="s">
        <v>91</v>
      </c>
      <c r="C31" s="0" t="s">
        <v>12</v>
      </c>
      <c r="E31" s="3" t="n">
        <v>0</v>
      </c>
      <c r="G31" s="4" t="s">
        <v>13</v>
      </c>
      <c r="H31" s="4" t="s">
        <v>92</v>
      </c>
    </row>
    <row r="32" customFormat="false" ht="17.15" hidden="false" customHeight="false" outlineLevel="0" collapsed="false">
      <c r="A32" s="0" t="s">
        <v>93</v>
      </c>
      <c r="B32" s="5" t="s">
        <v>94</v>
      </c>
      <c r="C32" s="0" t="s">
        <v>12</v>
      </c>
      <c r="E32" s="3" t="n">
        <v>0</v>
      </c>
      <c r="G32" s="4" t="s">
        <v>13</v>
      </c>
      <c r="H32" s="4" t="s">
        <v>95</v>
      </c>
    </row>
    <row r="33" customFormat="false" ht="17.15" hidden="false" customHeight="false" outlineLevel="0" collapsed="false">
      <c r="A33" s="0" t="s">
        <v>96</v>
      </c>
      <c r="B33" s="5" t="s">
        <v>97</v>
      </c>
      <c r="C33" s="0" t="s">
        <v>12</v>
      </c>
      <c r="E33" s="3" t="n">
        <v>0</v>
      </c>
      <c r="G33" s="4" t="s">
        <v>13</v>
      </c>
      <c r="H33" s="4" t="s">
        <v>98</v>
      </c>
    </row>
    <row r="34" customFormat="false" ht="17.15" hidden="false" customHeight="false" outlineLevel="0" collapsed="false">
      <c r="A34" s="0" t="s">
        <v>99</v>
      </c>
      <c r="B34" s="0" t="s">
        <v>100</v>
      </c>
      <c r="C34" s="0" t="s">
        <v>12</v>
      </c>
      <c r="E34" s="3" t="n">
        <v>20.2987830299704</v>
      </c>
      <c r="G34" s="4" t="s">
        <v>13</v>
      </c>
      <c r="H34" s="4" t="s">
        <v>101</v>
      </c>
    </row>
    <row r="35" customFormat="false" ht="17.15" hidden="false" customHeight="false" outlineLevel="0" collapsed="false">
      <c r="A35" s="0" t="s">
        <v>102</v>
      </c>
      <c r="B35" s="0" t="s">
        <v>103</v>
      </c>
      <c r="C35" s="0" t="s">
        <v>12</v>
      </c>
      <c r="E35" s="3" t="n">
        <v>35.4163618900433</v>
      </c>
      <c r="G35" s="4" t="s">
        <v>13</v>
      </c>
      <c r="H35" s="4" t="s">
        <v>104</v>
      </c>
    </row>
    <row r="36" customFormat="false" ht="17.15" hidden="false" customHeight="false" outlineLevel="0" collapsed="false">
      <c r="A36" s="0" t="s">
        <v>105</v>
      </c>
      <c r="B36" s="0" t="s">
        <v>106</v>
      </c>
      <c r="C36" s="0" t="s">
        <v>12</v>
      </c>
      <c r="E36" s="3" t="n">
        <v>51.3944730419963</v>
      </c>
      <c r="G36" s="4" t="s">
        <v>13</v>
      </c>
      <c r="H36" s="4" t="s">
        <v>107</v>
      </c>
    </row>
    <row r="37" customFormat="false" ht="17.15" hidden="false" customHeight="false" outlineLevel="0" collapsed="false">
      <c r="A37" s="0" t="s">
        <v>108</v>
      </c>
      <c r="B37" s="0" t="s">
        <v>109</v>
      </c>
      <c r="C37" s="0" t="s">
        <v>12</v>
      </c>
      <c r="E37" s="3" t="n">
        <v>60.922318424743</v>
      </c>
      <c r="G37" s="4" t="s">
        <v>13</v>
      </c>
      <c r="H37" s="4" t="s">
        <v>110</v>
      </c>
    </row>
    <row r="38" customFormat="false" ht="17.15" hidden="false" customHeight="false" outlineLevel="0" collapsed="false">
      <c r="A38" s="0" t="s">
        <v>111</v>
      </c>
      <c r="B38" s="5" t="s">
        <v>112</v>
      </c>
      <c r="C38" s="0" t="s">
        <v>12</v>
      </c>
      <c r="E38" s="3" t="n">
        <v>7.78341156891115</v>
      </c>
      <c r="G38" s="4" t="s">
        <v>13</v>
      </c>
      <c r="H38" s="4" t="s">
        <v>113</v>
      </c>
    </row>
    <row r="39" customFormat="false" ht="17.15" hidden="false" customHeight="false" outlineLevel="0" collapsed="false">
      <c r="A39" s="0" t="s">
        <v>114</v>
      </c>
      <c r="B39" s="5" t="s">
        <v>115</v>
      </c>
      <c r="C39" s="0" t="s">
        <v>12</v>
      </c>
      <c r="E39" s="3" t="n">
        <v>11.4541079640062</v>
      </c>
      <c r="G39" s="4" t="s">
        <v>13</v>
      </c>
      <c r="H39" s="4" t="s">
        <v>116</v>
      </c>
    </row>
    <row r="40" customFormat="false" ht="17.15" hidden="false" customHeight="false" outlineLevel="0" collapsed="false">
      <c r="A40" s="0" t="s">
        <v>117</v>
      </c>
      <c r="B40" s="5" t="s">
        <v>118</v>
      </c>
      <c r="C40" s="0" t="s">
        <v>12</v>
      </c>
      <c r="E40" s="3" t="n">
        <v>24.4711802426465</v>
      </c>
      <c r="G40" s="4" t="s">
        <v>13</v>
      </c>
      <c r="H40" s="4" t="s">
        <v>119</v>
      </c>
    </row>
    <row r="41" customFormat="false" ht="17.15" hidden="false" customHeight="false" outlineLevel="0" collapsed="false">
      <c r="A41" s="0" t="s">
        <v>120</v>
      </c>
      <c r="B41" s="5" t="s">
        <v>121</v>
      </c>
      <c r="C41" s="0" t="s">
        <v>12</v>
      </c>
      <c r="E41" s="3" t="n">
        <v>33.2588503198405</v>
      </c>
      <c r="G41" s="4" t="s">
        <v>13</v>
      </c>
      <c r="H41" s="4" t="s">
        <v>122</v>
      </c>
    </row>
    <row r="42" customFormat="false" ht="17.15" hidden="false" customHeight="false" outlineLevel="0" collapsed="false">
      <c r="A42" s="0" t="s">
        <v>123</v>
      </c>
      <c r="B42" s="5" t="s">
        <v>124</v>
      </c>
      <c r="C42" s="5" t="s">
        <v>125</v>
      </c>
      <c r="D42" s="3" t="n">
        <v>0.25</v>
      </c>
      <c r="E42" s="3" t="n">
        <v>0.375</v>
      </c>
      <c r="F42" s="3" t="n">
        <v>0.5</v>
      </c>
      <c r="G42" s="4" t="s">
        <v>126</v>
      </c>
      <c r="H42" s="4" t="s">
        <v>127</v>
      </c>
    </row>
    <row r="43" customFormat="false" ht="17.15" hidden="false" customHeight="false" outlineLevel="0" collapsed="false">
      <c r="A43" s="0" t="s">
        <v>128</v>
      </c>
      <c r="B43" s="5" t="s">
        <v>129</v>
      </c>
      <c r="C43" s="0" t="s">
        <v>130</v>
      </c>
      <c r="D43" s="3" t="n">
        <v>0.05</v>
      </c>
      <c r="E43" s="3" t="n">
        <v>0.1</v>
      </c>
      <c r="F43" s="3" t="n">
        <v>0.2</v>
      </c>
      <c r="G43" s="4" t="s">
        <v>126</v>
      </c>
      <c r="H43" s="4" t="s">
        <v>131</v>
      </c>
    </row>
    <row r="44" customFormat="false" ht="17.15" hidden="false" customHeight="false" outlineLevel="0" collapsed="false">
      <c r="A44" s="0" t="s">
        <v>132</v>
      </c>
      <c r="B44" s="5" t="s">
        <v>133</v>
      </c>
      <c r="C44" s="0" t="s">
        <v>134</v>
      </c>
      <c r="D44" s="3" t="n">
        <v>0</v>
      </c>
      <c r="E44" s="3" t="n">
        <v>0.02</v>
      </c>
      <c r="F44" s="3" t="n">
        <v>0.05</v>
      </c>
      <c r="G44" s="4" t="s">
        <v>126</v>
      </c>
      <c r="H44" s="4" t="s">
        <v>135</v>
      </c>
    </row>
    <row r="45" customFormat="false" ht="17.15" hidden="false" customHeight="false" outlineLevel="0" collapsed="false">
      <c r="A45" s="0" t="s">
        <v>136</v>
      </c>
      <c r="B45" s="0" t="s">
        <v>137</v>
      </c>
      <c r="C45" s="0" t="s">
        <v>138</v>
      </c>
      <c r="E45" s="3" t="n">
        <v>20</v>
      </c>
      <c r="G45" s="4" t="s">
        <v>13</v>
      </c>
      <c r="H45" s="4" t="s">
        <v>139</v>
      </c>
    </row>
    <row r="46" customFormat="false" ht="17.15" hidden="false" customHeight="false" outlineLevel="0" collapsed="false">
      <c r="A46" s="0" t="s">
        <v>140</v>
      </c>
      <c r="B46" s="0" t="s">
        <v>141</v>
      </c>
      <c r="C46" s="0" t="s">
        <v>142</v>
      </c>
      <c r="D46" s="3" t="n">
        <v>31.9970232</v>
      </c>
      <c r="E46" s="3" t="n">
        <v>37.586352</v>
      </c>
      <c r="F46" s="3" t="n">
        <v>42.6375752</v>
      </c>
      <c r="G46" s="4" t="s">
        <v>13</v>
      </c>
      <c r="H46" s="4" t="s">
        <v>143</v>
      </c>
    </row>
    <row r="47" customFormat="false" ht="17.15" hidden="false" customHeight="false" outlineLevel="0" collapsed="false">
      <c r="A47" s="0" t="s">
        <v>144</v>
      </c>
      <c r="B47" s="5" t="s">
        <v>145</v>
      </c>
      <c r="C47" s="0" t="s">
        <v>130</v>
      </c>
      <c r="D47" s="3" t="n">
        <v>0.517</v>
      </c>
      <c r="E47" s="3" t="n">
        <v>0.617</v>
      </c>
      <c r="F47" s="3" t="n">
        <v>0.767</v>
      </c>
      <c r="G47" s="4" t="s">
        <v>126</v>
      </c>
      <c r="H47" s="4" t="s">
        <v>146</v>
      </c>
    </row>
    <row r="48" customFormat="false" ht="17.15" hidden="false" customHeight="false" outlineLevel="0" collapsed="false">
      <c r="A48" s="0" t="s">
        <v>147</v>
      </c>
      <c r="B48" s="0" t="s">
        <v>148</v>
      </c>
      <c r="C48" s="0" t="s">
        <v>138</v>
      </c>
      <c r="E48" s="3" t="n">
        <v>193.7</v>
      </c>
      <c r="G48" s="4" t="s">
        <v>149</v>
      </c>
      <c r="H48" s="4" t="s">
        <v>150</v>
      </c>
    </row>
    <row r="49" customFormat="false" ht="17.15" hidden="false" customHeight="false" outlineLevel="0" collapsed="false">
      <c r="A49" s="0" t="s">
        <v>151</v>
      </c>
      <c r="B49" s="0" t="s">
        <v>152</v>
      </c>
      <c r="C49" s="0" t="s">
        <v>138</v>
      </c>
      <c r="E49" s="3" t="n">
        <v>375.46</v>
      </c>
      <c r="G49" s="4" t="s">
        <v>153</v>
      </c>
      <c r="H49" s="4" t="s">
        <v>154</v>
      </c>
    </row>
    <row r="50" customFormat="false" ht="17.15" hidden="false" customHeight="false" outlineLevel="0" collapsed="false">
      <c r="A50" s="0" t="s">
        <v>155</v>
      </c>
      <c r="B50" s="0" t="s">
        <v>156</v>
      </c>
      <c r="C50" s="0" t="s">
        <v>142</v>
      </c>
      <c r="E50" s="3" t="n">
        <v>20.84</v>
      </c>
      <c r="G50" s="4" t="s">
        <v>13</v>
      </c>
      <c r="H50" s="4" t="s">
        <v>157</v>
      </c>
    </row>
    <row r="51" customFormat="false" ht="17.15" hidden="false" customHeight="false" outlineLevel="0" collapsed="false">
      <c r="A51" s="0" t="s">
        <v>158</v>
      </c>
      <c r="B51" s="5" t="s">
        <v>159</v>
      </c>
      <c r="C51" s="0" t="s">
        <v>142</v>
      </c>
      <c r="E51" s="3" t="n">
        <v>25</v>
      </c>
      <c r="G51" s="4" t="s">
        <v>160</v>
      </c>
      <c r="H51" s="4" t="s">
        <v>161</v>
      </c>
    </row>
    <row r="52" customFormat="false" ht="17.15" hidden="false" customHeight="false" outlineLevel="0" collapsed="false">
      <c r="A52" s="1" t="s">
        <v>162</v>
      </c>
    </row>
    <row r="53" customFormat="false" ht="17.15" hidden="false" customHeight="false" outlineLevel="0" collapsed="false">
      <c r="A53" s="0" t="s">
        <v>163</v>
      </c>
      <c r="B53" s="0" t="s">
        <v>164</v>
      </c>
      <c r="C53" s="0" t="s">
        <v>12</v>
      </c>
      <c r="E53" s="3" t="n">
        <v>9.04912429484716</v>
      </c>
      <c r="G53" s="4" t="s">
        <v>13</v>
      </c>
      <c r="H53" s="4" t="s">
        <v>165</v>
      </c>
    </row>
    <row r="54" customFormat="false" ht="17.15" hidden="false" customHeight="false" outlineLevel="0" collapsed="false">
      <c r="A54" s="0" t="s">
        <v>166</v>
      </c>
      <c r="B54" s="0" t="s">
        <v>167</v>
      </c>
      <c r="C54" s="0" t="s">
        <v>12</v>
      </c>
      <c r="E54" s="3" t="n">
        <v>12.5153714610592</v>
      </c>
      <c r="G54" s="4" t="s">
        <v>13</v>
      </c>
      <c r="H54" s="4" t="s">
        <v>168</v>
      </c>
    </row>
    <row r="55" customFormat="false" ht="17.15" hidden="false" customHeight="false" outlineLevel="0" collapsed="false">
      <c r="A55" s="0" t="s">
        <v>169</v>
      </c>
      <c r="B55" s="0" t="s">
        <v>170</v>
      </c>
      <c r="C55" s="0" t="s">
        <v>12</v>
      </c>
      <c r="E55" s="3" t="n">
        <v>23.9622539260371</v>
      </c>
      <c r="G55" s="4" t="s">
        <v>13</v>
      </c>
      <c r="H55" s="4" t="s">
        <v>171</v>
      </c>
    </row>
    <row r="56" customFormat="false" ht="17.15" hidden="false" customHeight="false" outlineLevel="0" collapsed="false">
      <c r="A56" s="0" t="s">
        <v>172</v>
      </c>
      <c r="B56" s="0" t="s">
        <v>173</v>
      </c>
      <c r="C56" s="0" t="s">
        <v>12</v>
      </c>
      <c r="E56" s="3" t="n">
        <v>26.9232927993498</v>
      </c>
      <c r="G56" s="4" t="s">
        <v>13</v>
      </c>
      <c r="H56" s="4" t="s">
        <v>174</v>
      </c>
    </row>
    <row r="57" customFormat="false" ht="17.15" hidden="false" customHeight="false" outlineLevel="0" collapsed="false">
      <c r="A57" s="0" t="s">
        <v>175</v>
      </c>
      <c r="B57" s="0" t="s">
        <v>176</v>
      </c>
      <c r="C57" s="0" t="s">
        <v>12</v>
      </c>
      <c r="E57" s="3" t="n">
        <v>27.6634681049025</v>
      </c>
      <c r="G57" s="4" t="s">
        <v>13</v>
      </c>
      <c r="H57" s="4" t="s">
        <v>177</v>
      </c>
    </row>
    <row r="58" customFormat="false" ht="17.15" hidden="false" customHeight="false" outlineLevel="0" collapsed="false">
      <c r="A58" s="0" t="s">
        <v>178</v>
      </c>
      <c r="B58" s="0" t="s">
        <v>179</v>
      </c>
      <c r="C58" s="0" t="s">
        <v>12</v>
      </c>
      <c r="E58" s="3" t="n">
        <v>25.3371433333333</v>
      </c>
      <c r="G58" s="4" t="s">
        <v>13</v>
      </c>
      <c r="H58" s="4" t="s">
        <v>180</v>
      </c>
    </row>
    <row r="59" customFormat="false" ht="17.15" hidden="false" customHeight="false" outlineLevel="0" collapsed="false">
      <c r="A59" s="0" t="s">
        <v>181</v>
      </c>
      <c r="B59" s="0" t="s">
        <v>182</v>
      </c>
      <c r="C59" s="0" t="s">
        <v>12</v>
      </c>
      <c r="E59" s="3" t="n">
        <v>37.8525147943925</v>
      </c>
      <c r="G59" s="4" t="s">
        <v>13</v>
      </c>
      <c r="H59" s="4" t="s">
        <v>183</v>
      </c>
    </row>
    <row r="60" customFormat="false" ht="17.15" hidden="false" customHeight="false" outlineLevel="0" collapsed="false">
      <c r="A60" s="0" t="s">
        <v>184</v>
      </c>
      <c r="B60" s="0" t="s">
        <v>185</v>
      </c>
      <c r="C60" s="0" t="s">
        <v>12</v>
      </c>
      <c r="E60" s="3" t="n">
        <v>61.8147687204296</v>
      </c>
      <c r="G60" s="4" t="s">
        <v>13</v>
      </c>
      <c r="H60" s="4" t="s">
        <v>186</v>
      </c>
    </row>
    <row r="61" customFormat="false" ht="17.15" hidden="false" customHeight="false" outlineLevel="0" collapsed="false">
      <c r="A61" s="0" t="s">
        <v>187</v>
      </c>
      <c r="B61" s="0" t="s">
        <v>188</v>
      </c>
      <c r="C61" s="0" t="s">
        <v>12</v>
      </c>
      <c r="E61" s="3" t="n">
        <v>88.7380615197793</v>
      </c>
      <c r="G61" s="4" t="s">
        <v>13</v>
      </c>
      <c r="H61" s="4" t="s">
        <v>189</v>
      </c>
    </row>
    <row r="62" customFormat="false" ht="17.15" hidden="false" customHeight="false" outlineLevel="0" collapsed="false">
      <c r="A62" s="0" t="s">
        <v>190</v>
      </c>
      <c r="B62" s="0" t="s">
        <v>191</v>
      </c>
      <c r="C62" s="0" t="s">
        <v>12</v>
      </c>
      <c r="E62" s="3" t="n">
        <v>116.401529624682</v>
      </c>
      <c r="G62" s="4" t="s">
        <v>13</v>
      </c>
      <c r="H62" s="4" t="s">
        <v>192</v>
      </c>
    </row>
    <row r="63" customFormat="false" ht="17.15" hidden="false" customHeight="false" outlineLevel="0" collapsed="false">
      <c r="A63" s="0" t="s">
        <v>193</v>
      </c>
      <c r="B63" s="5" t="s">
        <v>194</v>
      </c>
      <c r="C63" s="0" t="s">
        <v>134</v>
      </c>
      <c r="E63" s="3" t="n">
        <v>0.238210067173108</v>
      </c>
      <c r="G63" s="4" t="s">
        <v>13</v>
      </c>
      <c r="H63" s="4" t="s">
        <v>195</v>
      </c>
    </row>
    <row r="64" customFormat="false" ht="17.15" hidden="false" customHeight="false" outlineLevel="0" collapsed="false">
      <c r="A64" s="0" t="s">
        <v>196</v>
      </c>
      <c r="B64" s="5" t="s">
        <v>197</v>
      </c>
      <c r="C64" s="0" t="s">
        <v>134</v>
      </c>
      <c r="E64" s="3" t="n">
        <v>0.273101862203342</v>
      </c>
      <c r="G64" s="4" t="s">
        <v>13</v>
      </c>
      <c r="H64" s="4" t="s">
        <v>198</v>
      </c>
    </row>
    <row r="65" customFormat="false" ht="17.15" hidden="false" customHeight="false" outlineLevel="0" collapsed="false">
      <c r="A65" s="0" t="s">
        <v>199</v>
      </c>
      <c r="B65" s="5" t="s">
        <v>200</v>
      </c>
      <c r="C65" s="0" t="s">
        <v>134</v>
      </c>
      <c r="E65" s="3" t="n">
        <v>0.269621396123668</v>
      </c>
      <c r="G65" s="4" t="s">
        <v>13</v>
      </c>
      <c r="H65" s="4" t="s">
        <v>201</v>
      </c>
    </row>
    <row r="66" customFormat="false" ht="17.15" hidden="false" customHeight="false" outlineLevel="0" collapsed="false">
      <c r="A66" s="0" t="s">
        <v>202</v>
      </c>
      <c r="B66" s="5" t="s">
        <v>203</v>
      </c>
      <c r="C66" s="0" t="s">
        <v>134</v>
      </c>
      <c r="E66" s="3" t="n">
        <v>0.272187509408712</v>
      </c>
      <c r="G66" s="4" t="s">
        <v>13</v>
      </c>
      <c r="H66" s="4" t="s">
        <v>204</v>
      </c>
    </row>
    <row r="67" customFormat="false" ht="17.15" hidden="false" customHeight="false" outlineLevel="0" collapsed="false">
      <c r="A67" s="0" t="s">
        <v>205</v>
      </c>
      <c r="B67" s="0" t="s">
        <v>206</v>
      </c>
      <c r="C67" s="0" t="s">
        <v>12</v>
      </c>
      <c r="E67" s="3" t="n">
        <v>3.33333333333333</v>
      </c>
      <c r="G67" s="4" t="s">
        <v>13</v>
      </c>
      <c r="H67" s="4" t="s">
        <v>207</v>
      </c>
    </row>
    <row r="68" customFormat="false" ht="17.15" hidden="false" customHeight="false" outlineLevel="0" collapsed="false">
      <c r="A68" s="0" t="s">
        <v>208</v>
      </c>
      <c r="B68" s="0" t="s">
        <v>209</v>
      </c>
      <c r="C68" s="0" t="s">
        <v>12</v>
      </c>
      <c r="E68" s="3" t="n">
        <v>1.9895044578405</v>
      </c>
      <c r="G68" s="4" t="s">
        <v>13</v>
      </c>
      <c r="H68" s="4" t="s">
        <v>210</v>
      </c>
    </row>
    <row r="69" customFormat="false" ht="17.15" hidden="false" customHeight="false" outlineLevel="0" collapsed="false">
      <c r="A69" s="0" t="s">
        <v>211</v>
      </c>
      <c r="B69" s="0" t="s">
        <v>212</v>
      </c>
      <c r="C69" s="0" t="s">
        <v>12</v>
      </c>
      <c r="E69" s="3" t="n">
        <v>2.28121406090902</v>
      </c>
      <c r="G69" s="4" t="s">
        <v>13</v>
      </c>
      <c r="H69" s="4" t="s">
        <v>213</v>
      </c>
    </row>
    <row r="70" customFormat="false" ht="17.15" hidden="false" customHeight="false" outlineLevel="0" collapsed="false">
      <c r="A70" s="0" t="s">
        <v>214</v>
      </c>
      <c r="B70" s="0" t="s">
        <v>215</v>
      </c>
      <c r="C70" s="0" t="s">
        <v>12</v>
      </c>
      <c r="E70" s="3" t="n">
        <v>2.61252133099745</v>
      </c>
      <c r="G70" s="4" t="s">
        <v>13</v>
      </c>
      <c r="H70" s="4" t="s">
        <v>216</v>
      </c>
    </row>
    <row r="71" customFormat="false" ht="17.15" hidden="false" customHeight="false" outlineLevel="0" collapsed="false">
      <c r="A71" s="0" t="s">
        <v>217</v>
      </c>
      <c r="B71" s="0" t="s">
        <v>218</v>
      </c>
      <c r="C71" s="0" t="s">
        <v>12</v>
      </c>
      <c r="E71" s="3" t="n">
        <v>1</v>
      </c>
      <c r="G71" s="4" t="s">
        <v>13</v>
      </c>
      <c r="H71" s="4" t="s">
        <v>219</v>
      </c>
    </row>
    <row r="72" customFormat="false" ht="17.15" hidden="false" customHeight="false" outlineLevel="0" collapsed="false">
      <c r="A72" s="0" t="s">
        <v>220</v>
      </c>
      <c r="B72" s="5" t="s">
        <v>221</v>
      </c>
      <c r="C72" s="0" t="s">
        <v>134</v>
      </c>
      <c r="D72" s="3" t="n">
        <v>0.1</v>
      </c>
      <c r="E72" s="3" t="n">
        <v>0.15</v>
      </c>
      <c r="F72" s="3" t="n">
        <v>0.2</v>
      </c>
      <c r="G72" s="4" t="s">
        <v>126</v>
      </c>
      <c r="H72" s="4" t="s">
        <v>222</v>
      </c>
    </row>
    <row r="73" customFormat="false" ht="17.15" hidden="false" customHeight="false" outlineLevel="0" collapsed="false">
      <c r="A73" s="0" t="s">
        <v>223</v>
      </c>
      <c r="B73" s="5" t="s">
        <v>224</v>
      </c>
      <c r="C73" s="0" t="s">
        <v>130</v>
      </c>
      <c r="D73" s="3" t="n">
        <v>1</v>
      </c>
      <c r="E73" s="3" t="n">
        <v>0.5</v>
      </c>
      <c r="F73" s="3" t="n">
        <v>0</v>
      </c>
      <c r="G73" s="4" t="s">
        <v>126</v>
      </c>
      <c r="H73" s="4" t="s">
        <v>225</v>
      </c>
    </row>
    <row r="74" customFormat="false" ht="17.15" hidden="false" customHeight="false" outlineLevel="0" collapsed="false">
      <c r="A74" s="0" t="s">
        <v>226</v>
      </c>
      <c r="B74" s="5" t="s">
        <v>227</v>
      </c>
      <c r="C74" s="0" t="s">
        <v>130</v>
      </c>
      <c r="D74" s="3" t="n">
        <v>0</v>
      </c>
      <c r="E74" s="3" t="n">
        <v>0.5</v>
      </c>
      <c r="F74" s="3" t="n">
        <v>1</v>
      </c>
      <c r="G74" s="4" t="s">
        <v>126</v>
      </c>
      <c r="H74" s="4" t="s">
        <v>228</v>
      </c>
    </row>
    <row r="75" customFormat="false" ht="17.15" hidden="false" customHeight="false" outlineLevel="0" collapsed="false">
      <c r="A75" s="0" t="s">
        <v>229</v>
      </c>
      <c r="B75" s="5" t="s">
        <v>230</v>
      </c>
      <c r="C75" s="0" t="s">
        <v>134</v>
      </c>
      <c r="D75" s="3" t="n">
        <v>0.75</v>
      </c>
      <c r="E75" s="3" t="n">
        <v>0.85</v>
      </c>
      <c r="F75" s="3" t="n">
        <v>0.95</v>
      </c>
      <c r="G75" s="4" t="s">
        <v>126</v>
      </c>
      <c r="H75" s="4" t="s">
        <v>231</v>
      </c>
    </row>
    <row r="76" customFormat="false" ht="17.15" hidden="false" customHeight="false" outlineLevel="0" collapsed="false">
      <c r="A76" s="0" t="s">
        <v>232</v>
      </c>
      <c r="B76" s="0" t="s">
        <v>233</v>
      </c>
      <c r="C76" s="0" t="s">
        <v>134</v>
      </c>
      <c r="D76" s="3" t="n">
        <v>0.6</v>
      </c>
      <c r="E76" s="3" t="n">
        <v>0.68</v>
      </c>
      <c r="F76" s="3" t="n">
        <v>0.75</v>
      </c>
      <c r="G76" s="4" t="s">
        <v>13</v>
      </c>
      <c r="H76" s="4" t="s">
        <v>234</v>
      </c>
    </row>
    <row r="77" customFormat="false" ht="17.15" hidden="false" customHeight="false" outlineLevel="0" collapsed="false">
      <c r="A77" s="1" t="s">
        <v>235</v>
      </c>
    </row>
    <row r="78" customFormat="false" ht="17.15" hidden="false" customHeight="false" outlineLevel="0" collapsed="false">
      <c r="A78" s="0" t="s">
        <v>236</v>
      </c>
      <c r="B78" s="0" t="s">
        <v>237</v>
      </c>
      <c r="C78" s="5" t="s">
        <v>238</v>
      </c>
      <c r="E78" s="3" t="n">
        <v>6</v>
      </c>
      <c r="G78" s="4" t="s">
        <v>149</v>
      </c>
      <c r="H78" s="4" t="s">
        <v>239</v>
      </c>
    </row>
    <row r="79" customFormat="false" ht="17.15" hidden="false" customHeight="false" outlineLevel="0" collapsed="false">
      <c r="A79" s="0" t="s">
        <v>240</v>
      </c>
      <c r="B79" s="0" t="s">
        <v>241</v>
      </c>
      <c r="C79" s="0" t="s">
        <v>142</v>
      </c>
      <c r="E79" s="3" t="n">
        <v>25.4337277924695</v>
      </c>
      <c r="G79" s="4" t="s">
        <v>13</v>
      </c>
      <c r="H79" s="4" t="s">
        <v>242</v>
      </c>
    </row>
    <row r="80" customFormat="false" ht="17.15" hidden="false" customHeight="false" outlineLevel="0" collapsed="false">
      <c r="A80" s="0" t="s">
        <v>243</v>
      </c>
      <c r="B80" s="0" t="s">
        <v>244</v>
      </c>
      <c r="C80" s="0" t="s">
        <v>142</v>
      </c>
      <c r="E80" s="3" t="n">
        <v>11.1609392244584</v>
      </c>
      <c r="G80" s="4" t="s">
        <v>13</v>
      </c>
      <c r="H80" s="4" t="s">
        <v>245</v>
      </c>
    </row>
    <row r="81" customFormat="false" ht="17.15" hidden="false" customHeight="false" outlineLevel="0" collapsed="false">
      <c r="A81" s="0" t="s">
        <v>246</v>
      </c>
      <c r="B81" s="0" t="s">
        <v>247</v>
      </c>
      <c r="C81" s="0" t="s">
        <v>138</v>
      </c>
      <c r="E81" s="3" t="n">
        <v>46.3369</v>
      </c>
      <c r="G81" s="4" t="s">
        <v>160</v>
      </c>
      <c r="H81" s="4" t="s">
        <v>248</v>
      </c>
    </row>
    <row r="82" customFormat="false" ht="17.15" hidden="false" customHeight="false" outlineLevel="0" collapsed="false">
      <c r="A82" s="0" t="s">
        <v>249</v>
      </c>
      <c r="B82" s="0" t="s">
        <v>250</v>
      </c>
      <c r="C82" s="0" t="s">
        <v>12</v>
      </c>
      <c r="E82" s="3" t="n">
        <v>0</v>
      </c>
      <c r="G82" s="4" t="s">
        <v>13</v>
      </c>
      <c r="H82" s="4" t="s">
        <v>251</v>
      </c>
    </row>
    <row r="83" customFormat="false" ht="17.15" hidden="false" customHeight="false" outlineLevel="0" collapsed="false">
      <c r="A83" s="0" t="s">
        <v>252</v>
      </c>
      <c r="B83" s="0" t="s">
        <v>253</v>
      </c>
      <c r="C83" s="0" t="s">
        <v>12</v>
      </c>
      <c r="E83" s="3" t="n">
        <v>0</v>
      </c>
      <c r="G83" s="4" t="s">
        <v>13</v>
      </c>
      <c r="H83" s="4" t="s">
        <v>254</v>
      </c>
    </row>
    <row r="84" customFormat="false" ht="17.15" hidden="false" customHeight="false" outlineLevel="0" collapsed="false">
      <c r="A84" s="0" t="s">
        <v>255</v>
      </c>
      <c r="B84" s="0" t="s">
        <v>256</v>
      </c>
      <c r="C84" s="0" t="s">
        <v>142</v>
      </c>
      <c r="E84" s="3" t="n">
        <v>24.2901851177648</v>
      </c>
      <c r="G84" s="4" t="s">
        <v>13</v>
      </c>
      <c r="H84" s="4" t="s">
        <v>257</v>
      </c>
    </row>
    <row r="85" customFormat="false" ht="17.15" hidden="false" customHeight="false" outlineLevel="0" collapsed="false">
      <c r="A85" s="0" t="s">
        <v>258</v>
      </c>
      <c r="B85" s="0" t="s">
        <v>259</v>
      </c>
      <c r="C85" s="0" t="s">
        <v>142</v>
      </c>
      <c r="E85" s="3" t="n">
        <v>11.1609392244584</v>
      </c>
      <c r="G85" s="4" t="s">
        <v>13</v>
      </c>
      <c r="H85" s="4" t="s">
        <v>260</v>
      </c>
    </row>
    <row r="86" customFormat="false" ht="17.15" hidden="false" customHeight="false" outlineLevel="0" collapsed="false">
      <c r="A86" s="0" t="s">
        <v>261</v>
      </c>
      <c r="B86" s="0" t="s">
        <v>262</v>
      </c>
      <c r="C86" s="0" t="s">
        <v>138</v>
      </c>
      <c r="E86" s="3" t="n">
        <v>76.712075</v>
      </c>
      <c r="G86" s="4" t="s">
        <v>160</v>
      </c>
      <c r="H86" s="4" t="s">
        <v>263</v>
      </c>
    </row>
    <row r="87" customFormat="false" ht="17.15" hidden="false" customHeight="false" outlineLevel="0" collapsed="false">
      <c r="A87" s="0" t="s">
        <v>264</v>
      </c>
      <c r="B87" s="0" t="s">
        <v>265</v>
      </c>
      <c r="C87" s="0" t="s">
        <v>12</v>
      </c>
      <c r="E87" s="3" t="n">
        <v>2.13527</v>
      </c>
      <c r="G87" s="4" t="s">
        <v>13</v>
      </c>
      <c r="H87" s="4" t="s">
        <v>266</v>
      </c>
    </row>
    <row r="88" customFormat="false" ht="17.15" hidden="false" customHeight="false" outlineLevel="0" collapsed="false">
      <c r="A88" s="0" t="s">
        <v>267</v>
      </c>
      <c r="B88" s="0" t="s">
        <v>268</v>
      </c>
      <c r="C88" s="0" t="s">
        <v>12</v>
      </c>
      <c r="E88" s="3" t="n">
        <v>2.13527</v>
      </c>
      <c r="G88" s="4" t="s">
        <v>13</v>
      </c>
      <c r="H88" s="4" t="s">
        <v>269</v>
      </c>
    </row>
    <row r="89" customFormat="false" ht="17.15" hidden="false" customHeight="false" outlineLevel="0" collapsed="false">
      <c r="A89" s="0" t="s">
        <v>270</v>
      </c>
      <c r="B89" s="0" t="s">
        <v>271</v>
      </c>
      <c r="C89" s="0" t="s">
        <v>142</v>
      </c>
      <c r="E89" s="3" t="n">
        <v>29.9311970319981</v>
      </c>
      <c r="G89" s="4" t="s">
        <v>13</v>
      </c>
      <c r="H89" s="4" t="s">
        <v>272</v>
      </c>
    </row>
    <row r="90" customFormat="false" ht="17.15" hidden="false" customHeight="false" outlineLevel="0" collapsed="false">
      <c r="A90" s="0" t="s">
        <v>273</v>
      </c>
      <c r="B90" s="0" t="s">
        <v>274</v>
      </c>
      <c r="C90" s="0" t="s">
        <v>142</v>
      </c>
      <c r="E90" s="3" t="n">
        <v>11.1609392244584</v>
      </c>
      <c r="G90" s="4" t="s">
        <v>13</v>
      </c>
      <c r="H90" s="4" t="s">
        <v>275</v>
      </c>
    </row>
    <row r="91" customFormat="false" ht="17.15" hidden="false" customHeight="false" outlineLevel="0" collapsed="false">
      <c r="A91" s="0" t="s">
        <v>276</v>
      </c>
      <c r="B91" s="0" t="s">
        <v>277</v>
      </c>
      <c r="C91" s="0" t="s">
        <v>138</v>
      </c>
      <c r="E91" s="3" t="n">
        <v>131.229375</v>
      </c>
      <c r="G91" s="4" t="s">
        <v>160</v>
      </c>
      <c r="H91" s="4" t="s">
        <v>278</v>
      </c>
    </row>
    <row r="92" customFormat="false" ht="17.15" hidden="false" customHeight="false" outlineLevel="0" collapsed="false">
      <c r="A92" s="0" t="s">
        <v>279</v>
      </c>
      <c r="B92" s="0" t="s">
        <v>280</v>
      </c>
      <c r="C92" s="0" t="s">
        <v>12</v>
      </c>
      <c r="E92" s="3" t="n">
        <v>0.770955</v>
      </c>
      <c r="G92" s="4" t="s">
        <v>13</v>
      </c>
      <c r="H92" s="4" t="s">
        <v>281</v>
      </c>
    </row>
    <row r="93" customFormat="false" ht="17.15" hidden="false" customHeight="false" outlineLevel="0" collapsed="false">
      <c r="A93" s="0" t="s">
        <v>282</v>
      </c>
      <c r="B93" s="0" t="s">
        <v>283</v>
      </c>
      <c r="C93" s="0" t="s">
        <v>12</v>
      </c>
      <c r="E93" s="3" t="n">
        <v>0.770955</v>
      </c>
      <c r="G93" s="4" t="s">
        <v>13</v>
      </c>
      <c r="H93" s="4" t="s">
        <v>284</v>
      </c>
    </row>
    <row r="94" customFormat="false" ht="17.15" hidden="false" customHeight="false" outlineLevel="0" collapsed="false">
      <c r="A94" s="0" t="s">
        <v>285</v>
      </c>
      <c r="B94" s="0" t="s">
        <v>286</v>
      </c>
      <c r="C94" s="0" t="s">
        <v>142</v>
      </c>
      <c r="E94" s="3" t="n">
        <v>33.0020089706715</v>
      </c>
      <c r="G94" s="4" t="s">
        <v>13</v>
      </c>
      <c r="H94" s="4" t="s">
        <v>287</v>
      </c>
    </row>
    <row r="95" customFormat="false" ht="17.15" hidden="false" customHeight="false" outlineLevel="0" collapsed="false">
      <c r="A95" s="0" t="s">
        <v>288</v>
      </c>
      <c r="B95" s="0" t="s">
        <v>289</v>
      </c>
      <c r="C95" s="0" t="s">
        <v>142</v>
      </c>
      <c r="E95" s="3" t="n">
        <v>10.9398997029418</v>
      </c>
      <c r="G95" s="4" t="s">
        <v>13</v>
      </c>
      <c r="H95" s="4" t="s">
        <v>290</v>
      </c>
    </row>
    <row r="96" customFormat="false" ht="17.15" hidden="false" customHeight="false" outlineLevel="0" collapsed="false">
      <c r="A96" s="0" t="s">
        <v>291</v>
      </c>
      <c r="B96" s="0" t="s">
        <v>292</v>
      </c>
      <c r="C96" s="0" t="s">
        <v>138</v>
      </c>
      <c r="E96" s="3" t="n">
        <v>174.08595</v>
      </c>
      <c r="G96" s="4" t="s">
        <v>160</v>
      </c>
      <c r="H96" s="4" t="s">
        <v>293</v>
      </c>
    </row>
    <row r="97" customFormat="false" ht="17.15" hidden="false" customHeight="false" outlineLevel="0" collapsed="false">
      <c r="A97" s="0" t="s">
        <v>294</v>
      </c>
      <c r="B97" s="0" t="s">
        <v>295</v>
      </c>
      <c r="C97" s="0" t="s">
        <v>12</v>
      </c>
      <c r="E97" s="3" t="n">
        <v>1.04</v>
      </c>
      <c r="G97" s="4" t="s">
        <v>13</v>
      </c>
      <c r="H97" s="4" t="s">
        <v>296</v>
      </c>
    </row>
    <row r="98" customFormat="false" ht="17.15" hidden="false" customHeight="false" outlineLevel="0" collapsed="false">
      <c r="A98" s="0" t="s">
        <v>297</v>
      </c>
      <c r="B98" s="0" t="s">
        <v>298</v>
      </c>
      <c r="C98" s="0" t="s">
        <v>12</v>
      </c>
      <c r="E98" s="3" t="n">
        <v>3.56447576934396</v>
      </c>
      <c r="G98" s="4" t="s">
        <v>13</v>
      </c>
      <c r="H98" s="4" t="s">
        <v>299</v>
      </c>
    </row>
    <row r="99" customFormat="false" ht="17.15" hidden="false" customHeight="false" outlineLevel="0" collapsed="false">
      <c r="A99" s="0" t="s">
        <v>300</v>
      </c>
      <c r="B99" s="0" t="s">
        <v>301</v>
      </c>
      <c r="C99" s="0" t="s">
        <v>142</v>
      </c>
      <c r="E99" s="3" t="n">
        <v>35.2555042907785</v>
      </c>
      <c r="G99" s="4" t="s">
        <v>13</v>
      </c>
      <c r="H99" s="4" t="s">
        <v>302</v>
      </c>
    </row>
    <row r="100" customFormat="false" ht="17.15" hidden="false" customHeight="false" outlineLevel="0" collapsed="false">
      <c r="A100" s="0" t="s">
        <v>303</v>
      </c>
      <c r="B100" s="0" t="s">
        <v>304</v>
      </c>
      <c r="C100" s="0" t="s">
        <v>142</v>
      </c>
      <c r="E100" s="3" t="n">
        <v>10.9619484555566</v>
      </c>
      <c r="G100" s="4" t="s">
        <v>13</v>
      </c>
      <c r="H100" s="4" t="s">
        <v>305</v>
      </c>
    </row>
    <row r="101" customFormat="false" ht="17.15" hidden="false" customHeight="false" outlineLevel="0" collapsed="false">
      <c r="A101" s="0" t="s">
        <v>306</v>
      </c>
      <c r="B101" s="0" t="s">
        <v>307</v>
      </c>
      <c r="C101" s="0" t="s">
        <v>138</v>
      </c>
      <c r="E101" s="3" t="n">
        <v>198.883</v>
      </c>
      <c r="G101" s="4" t="s">
        <v>160</v>
      </c>
      <c r="H101" s="4" t="s">
        <v>308</v>
      </c>
    </row>
    <row r="102" customFormat="false" ht="17.15" hidden="false" customHeight="false" outlineLevel="0" collapsed="false">
      <c r="A102" s="0" t="s">
        <v>309</v>
      </c>
      <c r="B102" s="0" t="s">
        <v>310</v>
      </c>
      <c r="C102" s="0" t="s">
        <v>12</v>
      </c>
      <c r="E102" s="3" t="n">
        <v>1.67</v>
      </c>
      <c r="G102" s="4" t="s">
        <v>13</v>
      </c>
      <c r="H102" s="4" t="s">
        <v>311</v>
      </c>
    </row>
    <row r="103" customFormat="false" ht="17.15" hidden="false" customHeight="false" outlineLevel="0" collapsed="false">
      <c r="A103" s="0" t="s">
        <v>312</v>
      </c>
      <c r="B103" s="0" t="s">
        <v>313</v>
      </c>
      <c r="C103" s="0" t="s">
        <v>12</v>
      </c>
      <c r="E103" s="3" t="n">
        <v>4.06597876464757</v>
      </c>
      <c r="G103" s="4" t="s">
        <v>13</v>
      </c>
      <c r="H103" s="4" t="s">
        <v>314</v>
      </c>
    </row>
    <row r="104" customFormat="false" ht="17.15" hidden="false" customHeight="false" outlineLevel="0" collapsed="false">
      <c r="A104" s="0" t="s">
        <v>315</v>
      </c>
      <c r="B104" s="0" t="s">
        <v>316</v>
      </c>
      <c r="C104" s="0" t="s">
        <v>142</v>
      </c>
      <c r="E104" s="3" t="n">
        <v>35.1976655218092</v>
      </c>
      <c r="G104" s="4" t="s">
        <v>13</v>
      </c>
      <c r="H104" s="4" t="s">
        <v>317</v>
      </c>
    </row>
    <row r="105" customFormat="false" ht="17.15" hidden="false" customHeight="false" outlineLevel="0" collapsed="false">
      <c r="A105" s="0" t="s">
        <v>318</v>
      </c>
      <c r="B105" s="0" t="s">
        <v>319</v>
      </c>
      <c r="C105" s="0" t="s">
        <v>142</v>
      </c>
      <c r="E105" s="3" t="n">
        <v>10.9456921278958</v>
      </c>
      <c r="G105" s="4" t="s">
        <v>13</v>
      </c>
      <c r="H105" s="4" t="s">
        <v>320</v>
      </c>
    </row>
    <row r="106" customFormat="false" ht="17.15" hidden="false" customHeight="false" outlineLevel="0" collapsed="false">
      <c r="A106" s="0" t="s">
        <v>321</v>
      </c>
      <c r="B106" s="0" t="s">
        <v>322</v>
      </c>
      <c r="C106" s="0" t="s">
        <v>138</v>
      </c>
      <c r="E106" s="3" t="n">
        <v>224.1719025</v>
      </c>
      <c r="G106" s="4" t="s">
        <v>160</v>
      </c>
      <c r="H106" s="4" t="s">
        <v>323</v>
      </c>
    </row>
    <row r="107" customFormat="false" ht="17.15" hidden="false" customHeight="false" outlineLevel="0" collapsed="false">
      <c r="A107" s="0" t="s">
        <v>324</v>
      </c>
      <c r="B107" s="0" t="s">
        <v>325</v>
      </c>
      <c r="C107" s="0" t="s">
        <v>12</v>
      </c>
      <c r="E107" s="3" t="n">
        <v>0.144</v>
      </c>
      <c r="G107" s="4" t="s">
        <v>13</v>
      </c>
      <c r="H107" s="4" t="s">
        <v>326</v>
      </c>
    </row>
    <row r="108" customFormat="false" ht="17.15" hidden="false" customHeight="false" outlineLevel="0" collapsed="false">
      <c r="A108" s="0" t="s">
        <v>327</v>
      </c>
      <c r="B108" s="0" t="s">
        <v>328</v>
      </c>
      <c r="C108" s="0" t="s">
        <v>12</v>
      </c>
      <c r="E108" s="3" t="n">
        <v>4.6644209987717</v>
      </c>
      <c r="G108" s="4" t="s">
        <v>13</v>
      </c>
      <c r="H108" s="4" t="s">
        <v>329</v>
      </c>
    </row>
    <row r="109" customFormat="false" ht="17.15" hidden="false" customHeight="false" outlineLevel="0" collapsed="false">
      <c r="A109" s="0" t="s">
        <v>330</v>
      </c>
      <c r="B109" s="0" t="s">
        <v>331</v>
      </c>
      <c r="C109" s="0" t="s">
        <v>138</v>
      </c>
      <c r="G109" s="0" t="s">
        <v>13</v>
      </c>
      <c r="H109" s="0" t="s">
        <v>332</v>
      </c>
    </row>
    <row r="110" customFormat="false" ht="17.15" hidden="false" customHeight="false" outlineLevel="0" collapsed="false">
      <c r="A110" s="0" t="s">
        <v>333</v>
      </c>
      <c r="B110" s="0" t="s">
        <v>334</v>
      </c>
      <c r="C110" s="0" t="s">
        <v>138</v>
      </c>
      <c r="G110" s="0" t="s">
        <v>13</v>
      </c>
      <c r="H110" s="0" t="s">
        <v>335</v>
      </c>
    </row>
    <row r="111" customFormat="false" ht="17.15" hidden="false" customHeight="false" outlineLevel="0" collapsed="false">
      <c r="A111" s="0" t="s">
        <v>336</v>
      </c>
      <c r="B111" s="0" t="s">
        <v>337</v>
      </c>
      <c r="C111" s="0" t="s">
        <v>138</v>
      </c>
      <c r="E111" s="3" t="n">
        <v>145.3</v>
      </c>
      <c r="G111" s="4" t="s">
        <v>13</v>
      </c>
      <c r="H111" s="4" t="s">
        <v>338</v>
      </c>
    </row>
    <row r="112" customFormat="false" ht="17.15" hidden="false" customHeight="false" outlineLevel="0" collapsed="false">
      <c r="A112" s="0" t="s">
        <v>339</v>
      </c>
      <c r="B112" s="0" t="s">
        <v>340</v>
      </c>
      <c r="C112" s="0" t="s">
        <v>138</v>
      </c>
      <c r="E112" s="3" t="n">
        <v>204.2</v>
      </c>
      <c r="G112" s="4" t="s">
        <v>13</v>
      </c>
      <c r="H112" s="4" t="s">
        <v>341</v>
      </c>
    </row>
    <row r="113" customFormat="false" ht="17.15" hidden="false" customHeight="false" outlineLevel="0" collapsed="false">
      <c r="A113" s="0" t="s">
        <v>342</v>
      </c>
      <c r="B113" s="0" t="s">
        <v>343</v>
      </c>
      <c r="C113" s="0" t="s">
        <v>138</v>
      </c>
      <c r="E113" s="3" t="n">
        <v>233.304883</v>
      </c>
      <c r="G113" s="4" t="s">
        <v>13</v>
      </c>
      <c r="H113" s="4" t="s">
        <v>344</v>
      </c>
    </row>
    <row r="114" customFormat="false" ht="17.15" hidden="false" customHeight="false" outlineLevel="0" collapsed="false">
      <c r="A114" s="0" t="s">
        <v>345</v>
      </c>
      <c r="B114" s="0" t="s">
        <v>346</v>
      </c>
      <c r="C114" s="0" t="s">
        <v>138</v>
      </c>
      <c r="E114" s="3" t="n">
        <v>243.866549</v>
      </c>
      <c r="G114" s="4" t="s">
        <v>13</v>
      </c>
      <c r="H114" s="4" t="s">
        <v>347</v>
      </c>
    </row>
    <row r="115" customFormat="false" ht="17.15" hidden="false" customHeight="false" outlineLevel="0" collapsed="false">
      <c r="A115" s="0" t="s">
        <v>348</v>
      </c>
      <c r="B115" s="0" t="s">
        <v>349</v>
      </c>
      <c r="C115" s="0" t="s">
        <v>138</v>
      </c>
      <c r="E115" s="3" t="n">
        <v>221.102227</v>
      </c>
      <c r="G115" s="4" t="s">
        <v>13</v>
      </c>
      <c r="H115" s="4" t="s">
        <v>350</v>
      </c>
    </row>
    <row r="116" customFormat="false" ht="17.15" hidden="false" customHeight="false" outlineLevel="0" collapsed="false">
      <c r="A116" s="0" t="s">
        <v>351</v>
      </c>
      <c r="B116" s="0" t="s">
        <v>352</v>
      </c>
      <c r="C116" s="0" t="s">
        <v>138</v>
      </c>
      <c r="E116" s="3" t="n">
        <v>64.551</v>
      </c>
      <c r="G116" s="4" t="s">
        <v>149</v>
      </c>
      <c r="H116" s="4" t="s">
        <v>353</v>
      </c>
    </row>
    <row r="117" customFormat="false" ht="17.15" hidden="false" customHeight="false" outlineLevel="0" collapsed="false">
      <c r="A117" s="0" t="s">
        <v>354</v>
      </c>
      <c r="B117" s="0" t="s">
        <v>355</v>
      </c>
      <c r="C117" s="5" t="s">
        <v>238</v>
      </c>
      <c r="E117" s="3" t="n">
        <v>12</v>
      </c>
      <c r="G117" s="4" t="s">
        <v>149</v>
      </c>
      <c r="H117" s="4" t="s">
        <v>356</v>
      </c>
    </row>
    <row r="118" customFormat="false" ht="17.15" hidden="false" customHeight="false" outlineLevel="0" collapsed="false">
      <c r="A118" s="0" t="s">
        <v>357</v>
      </c>
      <c r="B118" s="0" t="s">
        <v>358</v>
      </c>
      <c r="C118" s="0" t="s">
        <v>142</v>
      </c>
      <c r="E118" s="3" t="n">
        <v>26.6067889972</v>
      </c>
      <c r="G118" s="4" t="s">
        <v>13</v>
      </c>
      <c r="H118" s="4" t="s">
        <v>359</v>
      </c>
    </row>
    <row r="119" customFormat="false" ht="17.15" hidden="false" customHeight="false" outlineLevel="0" collapsed="false">
      <c r="A119" s="0" t="s">
        <v>360</v>
      </c>
      <c r="B119" s="0" t="s">
        <v>361</v>
      </c>
      <c r="C119" s="0" t="s">
        <v>142</v>
      </c>
      <c r="E119" s="3" t="n">
        <v>9.807847</v>
      </c>
      <c r="G119" s="4" t="s">
        <v>13</v>
      </c>
      <c r="H119" s="4" t="s">
        <v>362</v>
      </c>
    </row>
    <row r="120" customFormat="false" ht="17.15" hidden="false" customHeight="false" outlineLevel="0" collapsed="false">
      <c r="A120" s="0" t="s">
        <v>363</v>
      </c>
      <c r="B120" s="0" t="s">
        <v>364</v>
      </c>
      <c r="C120" s="0" t="s">
        <v>138</v>
      </c>
      <c r="G120" s="0" t="s">
        <v>160</v>
      </c>
      <c r="H120" s="0" t="s">
        <v>365</v>
      </c>
    </row>
    <row r="121" customFormat="false" ht="17.15" hidden="false" customHeight="false" outlineLevel="0" collapsed="false">
      <c r="A121" s="0" t="s">
        <v>366</v>
      </c>
      <c r="B121" s="0" t="s">
        <v>367</v>
      </c>
      <c r="C121" s="0" t="s">
        <v>12</v>
      </c>
      <c r="E121" s="3" t="n">
        <v>1.32980834349181</v>
      </c>
      <c r="G121" s="4" t="s">
        <v>13</v>
      </c>
      <c r="H121" s="4" t="s">
        <v>368</v>
      </c>
    </row>
    <row r="122" customFormat="false" ht="17.15" hidden="false" customHeight="false" outlineLevel="0" collapsed="false">
      <c r="A122" s="0" t="s">
        <v>369</v>
      </c>
      <c r="B122" s="0" t="s">
        <v>370</v>
      </c>
      <c r="C122" s="0" t="s">
        <v>12</v>
      </c>
      <c r="E122" s="3" t="n">
        <v>1.32980834349181</v>
      </c>
      <c r="G122" s="4" t="s">
        <v>13</v>
      </c>
      <c r="H122" s="4" t="s">
        <v>371</v>
      </c>
    </row>
    <row r="123" customFormat="false" ht="17.15" hidden="false" customHeight="false" outlineLevel="0" collapsed="false">
      <c r="A123" s="0" t="s">
        <v>372</v>
      </c>
      <c r="B123" s="0" t="s">
        <v>373</v>
      </c>
      <c r="C123" s="0" t="s">
        <v>142</v>
      </c>
      <c r="E123" s="3" t="n">
        <v>26.2360108752</v>
      </c>
      <c r="G123" s="4" t="s">
        <v>13</v>
      </c>
      <c r="H123" s="4" t="s">
        <v>374</v>
      </c>
    </row>
    <row r="124" customFormat="false" ht="17.15" hidden="false" customHeight="false" outlineLevel="0" collapsed="false">
      <c r="A124" s="0" t="s">
        <v>375</v>
      </c>
      <c r="B124" s="0" t="s">
        <v>376</v>
      </c>
      <c r="C124" s="0" t="s">
        <v>142</v>
      </c>
      <c r="E124" s="3" t="n">
        <v>9.807847</v>
      </c>
      <c r="G124" s="4" t="s">
        <v>13</v>
      </c>
      <c r="H124" s="4" t="s">
        <v>377</v>
      </c>
    </row>
    <row r="125" customFormat="false" ht="17.15" hidden="false" customHeight="false" outlineLevel="0" collapsed="false">
      <c r="A125" s="0" t="s">
        <v>378</v>
      </c>
      <c r="B125" s="0" t="s">
        <v>379</v>
      </c>
      <c r="C125" s="0" t="s">
        <v>138</v>
      </c>
      <c r="E125" s="3" t="n">
        <v>77.72995</v>
      </c>
      <c r="G125" s="4" t="s">
        <v>160</v>
      </c>
      <c r="H125" s="4" t="s">
        <v>380</v>
      </c>
    </row>
    <row r="126" customFormat="false" ht="17.15" hidden="false" customHeight="false" outlineLevel="0" collapsed="false">
      <c r="A126" s="0" t="s">
        <v>381</v>
      </c>
      <c r="B126" s="0" t="s">
        <v>382</v>
      </c>
      <c r="C126" s="0" t="s">
        <v>12</v>
      </c>
      <c r="E126" s="3" t="n">
        <v>2.40961330082622</v>
      </c>
      <c r="G126" s="4" t="s">
        <v>13</v>
      </c>
      <c r="H126" s="4" t="s">
        <v>383</v>
      </c>
    </row>
    <row r="127" customFormat="false" ht="17.15" hidden="false" customHeight="false" outlineLevel="0" collapsed="false">
      <c r="A127" s="0" t="s">
        <v>384</v>
      </c>
      <c r="B127" s="0" t="s">
        <v>385</v>
      </c>
      <c r="C127" s="0" t="s">
        <v>12</v>
      </c>
      <c r="E127" s="3" t="n">
        <v>2.40961330082622</v>
      </c>
      <c r="G127" s="4" t="s">
        <v>13</v>
      </c>
      <c r="H127" s="4" t="s">
        <v>386</v>
      </c>
    </row>
    <row r="128" customFormat="false" ht="17.15" hidden="false" customHeight="false" outlineLevel="0" collapsed="false">
      <c r="A128" s="0" t="s">
        <v>387</v>
      </c>
      <c r="B128" s="0" t="s">
        <v>388</v>
      </c>
      <c r="C128" s="0" t="s">
        <v>142</v>
      </c>
      <c r="E128" s="3" t="n">
        <v>28.06503208272</v>
      </c>
      <c r="G128" s="4" t="s">
        <v>13</v>
      </c>
      <c r="H128" s="4" t="s">
        <v>389</v>
      </c>
    </row>
    <row r="129" customFormat="false" ht="17.15" hidden="false" customHeight="false" outlineLevel="0" collapsed="false">
      <c r="A129" s="0" t="s">
        <v>390</v>
      </c>
      <c r="B129" s="0" t="s">
        <v>391</v>
      </c>
      <c r="C129" s="0" t="s">
        <v>142</v>
      </c>
      <c r="E129" s="3" t="n">
        <v>9.807847</v>
      </c>
      <c r="G129" s="4" t="s">
        <v>13</v>
      </c>
      <c r="H129" s="4" t="s">
        <v>392</v>
      </c>
    </row>
    <row r="130" customFormat="false" ht="17.15" hidden="false" customHeight="false" outlineLevel="0" collapsed="false">
      <c r="A130" s="0" t="s">
        <v>393</v>
      </c>
      <c r="B130" s="0" t="s">
        <v>394</v>
      </c>
      <c r="C130" s="0" t="s">
        <v>138</v>
      </c>
      <c r="E130" s="3" t="n">
        <v>170</v>
      </c>
      <c r="G130" s="4" t="s">
        <v>160</v>
      </c>
      <c r="H130" s="4" t="s">
        <v>395</v>
      </c>
    </row>
    <row r="131" customFormat="false" ht="17.15" hidden="false" customHeight="false" outlineLevel="0" collapsed="false">
      <c r="A131" s="0" t="s">
        <v>396</v>
      </c>
      <c r="B131" s="0" t="s">
        <v>397</v>
      </c>
      <c r="C131" s="0" t="s">
        <v>12</v>
      </c>
      <c r="E131" s="3" t="n">
        <v>1.29267912772586</v>
      </c>
      <c r="G131" s="4" t="s">
        <v>13</v>
      </c>
      <c r="H131" s="4" t="s">
        <v>398</v>
      </c>
    </row>
    <row r="132" customFormat="false" ht="17.15" hidden="false" customHeight="false" outlineLevel="0" collapsed="false">
      <c r="A132" s="0" t="s">
        <v>399</v>
      </c>
      <c r="B132" s="0" t="s">
        <v>400</v>
      </c>
      <c r="C132" s="0" t="s">
        <v>12</v>
      </c>
      <c r="E132" s="3" t="n">
        <v>1.29267912772586</v>
      </c>
      <c r="G132" s="4" t="s">
        <v>13</v>
      </c>
      <c r="H132" s="4" t="s">
        <v>401</v>
      </c>
    </row>
    <row r="133" customFormat="false" ht="17.15" hidden="false" customHeight="false" outlineLevel="0" collapsed="false">
      <c r="A133" s="0" t="s">
        <v>402</v>
      </c>
      <c r="B133" s="0" t="s">
        <v>403</v>
      </c>
      <c r="C133" s="0" t="s">
        <v>142</v>
      </c>
      <c r="E133" s="3" t="n">
        <v>29.281842304383</v>
      </c>
      <c r="G133" s="4" t="s">
        <v>13</v>
      </c>
      <c r="H133" s="4" t="s">
        <v>404</v>
      </c>
    </row>
    <row r="134" customFormat="false" ht="17.15" hidden="false" customHeight="false" outlineLevel="0" collapsed="false">
      <c r="A134" s="0" t="s">
        <v>405</v>
      </c>
      <c r="B134" s="0" t="s">
        <v>406</v>
      </c>
      <c r="C134" s="0" t="s">
        <v>142</v>
      </c>
      <c r="E134" s="3" t="n">
        <v>9.807847</v>
      </c>
      <c r="G134" s="4" t="s">
        <v>13</v>
      </c>
      <c r="H134" s="4" t="s">
        <v>407</v>
      </c>
    </row>
    <row r="135" customFormat="false" ht="17.15" hidden="false" customHeight="false" outlineLevel="0" collapsed="false">
      <c r="A135" s="0" t="s">
        <v>408</v>
      </c>
      <c r="B135" s="0" t="s">
        <v>409</v>
      </c>
      <c r="C135" s="0" t="s">
        <v>138</v>
      </c>
      <c r="E135" s="3" t="n">
        <v>255.83215</v>
      </c>
      <c r="G135" s="4" t="s">
        <v>160</v>
      </c>
      <c r="H135" s="4" t="s">
        <v>410</v>
      </c>
    </row>
    <row r="136" customFormat="false" ht="17.15" hidden="false" customHeight="false" outlineLevel="0" collapsed="false">
      <c r="A136" s="0" t="s">
        <v>411</v>
      </c>
      <c r="B136" s="0" t="s">
        <v>412</v>
      </c>
      <c r="C136" s="0" t="s">
        <v>12</v>
      </c>
      <c r="E136" s="3" t="n">
        <v>1.626</v>
      </c>
      <c r="G136" s="4" t="s">
        <v>13</v>
      </c>
      <c r="H136" s="4" t="s">
        <v>413</v>
      </c>
    </row>
    <row r="137" customFormat="false" ht="17.15" hidden="false" customHeight="false" outlineLevel="0" collapsed="false">
      <c r="A137" s="0" t="s">
        <v>414</v>
      </c>
      <c r="B137" s="0" t="s">
        <v>415</v>
      </c>
      <c r="C137" s="0" t="s">
        <v>12</v>
      </c>
      <c r="E137" s="3" t="n">
        <v>5.69768565998842</v>
      </c>
      <c r="G137" s="4" t="s">
        <v>13</v>
      </c>
      <c r="H137" s="4" t="s">
        <v>416</v>
      </c>
    </row>
    <row r="138" customFormat="false" ht="17.15" hidden="false" customHeight="false" outlineLevel="0" collapsed="false">
      <c r="A138" s="0" t="s">
        <v>417</v>
      </c>
      <c r="B138" s="0" t="s">
        <v>418</v>
      </c>
      <c r="C138" s="0" t="s">
        <v>142</v>
      </c>
      <c r="E138" s="3" t="n">
        <v>30.020923498987</v>
      </c>
      <c r="G138" s="4" t="s">
        <v>13</v>
      </c>
      <c r="H138" s="4" t="s">
        <v>419</v>
      </c>
    </row>
    <row r="139" customFormat="false" ht="17.15" hidden="false" customHeight="false" outlineLevel="0" collapsed="false">
      <c r="A139" s="0" t="s">
        <v>420</v>
      </c>
      <c r="B139" s="0" t="s">
        <v>421</v>
      </c>
      <c r="C139" s="0" t="s">
        <v>142</v>
      </c>
      <c r="E139" s="3" t="n">
        <v>9.807847</v>
      </c>
      <c r="G139" s="4" t="s">
        <v>13</v>
      </c>
      <c r="H139" s="4" t="s">
        <v>422</v>
      </c>
    </row>
    <row r="140" customFormat="false" ht="17.15" hidden="false" customHeight="false" outlineLevel="0" collapsed="false">
      <c r="A140" s="0" t="s">
        <v>423</v>
      </c>
      <c r="B140" s="0" t="s">
        <v>424</v>
      </c>
      <c r="C140" s="0" t="s">
        <v>138</v>
      </c>
      <c r="E140" s="3" t="n">
        <v>288.53335</v>
      </c>
      <c r="G140" s="4" t="s">
        <v>160</v>
      </c>
      <c r="H140" s="4" t="s">
        <v>425</v>
      </c>
    </row>
    <row r="141" customFormat="false" ht="17.15" hidden="false" customHeight="false" outlineLevel="0" collapsed="false">
      <c r="A141" s="0" t="s">
        <v>426</v>
      </c>
      <c r="B141" s="0" t="s">
        <v>427</v>
      </c>
      <c r="C141" s="0" t="s">
        <v>12</v>
      </c>
      <c r="E141" s="3" t="n">
        <v>0.833333333333334</v>
      </c>
      <c r="G141" s="4" t="s">
        <v>13</v>
      </c>
      <c r="H141" s="4" t="s">
        <v>428</v>
      </c>
    </row>
    <row r="142" customFormat="false" ht="17.15" hidden="false" customHeight="false" outlineLevel="0" collapsed="false">
      <c r="A142" s="0" t="s">
        <v>429</v>
      </c>
      <c r="B142" s="0" t="s">
        <v>430</v>
      </c>
      <c r="C142" s="0" t="s">
        <v>12</v>
      </c>
      <c r="E142" s="3" t="n">
        <v>6.77682412398346</v>
      </c>
      <c r="G142" s="4" t="s">
        <v>13</v>
      </c>
      <c r="H142" s="4" t="s">
        <v>431</v>
      </c>
    </row>
    <row r="143" customFormat="false" ht="17.15" hidden="false" customHeight="false" outlineLevel="0" collapsed="false">
      <c r="A143" s="0" t="s">
        <v>432</v>
      </c>
      <c r="B143" s="0" t="s">
        <v>433</v>
      </c>
      <c r="C143" s="0" t="s">
        <v>142</v>
      </c>
      <c r="E143" s="3" t="n">
        <v>30.020923498987</v>
      </c>
      <c r="G143" s="4" t="s">
        <v>13</v>
      </c>
      <c r="H143" s="4" t="s">
        <v>434</v>
      </c>
    </row>
    <row r="144" customFormat="false" ht="17.15" hidden="false" customHeight="false" outlineLevel="0" collapsed="false">
      <c r="A144" s="0" t="s">
        <v>435</v>
      </c>
      <c r="B144" s="0" t="s">
        <v>436</v>
      </c>
      <c r="C144" s="0" t="s">
        <v>142</v>
      </c>
      <c r="E144" s="3" t="n">
        <v>9.807847</v>
      </c>
      <c r="G144" s="4" t="s">
        <v>13</v>
      </c>
      <c r="H144" s="4" t="s">
        <v>437</v>
      </c>
    </row>
    <row r="145" customFormat="false" ht="17.15" hidden="false" customHeight="false" outlineLevel="0" collapsed="false">
      <c r="A145" s="0" t="s">
        <v>438</v>
      </c>
      <c r="B145" s="0" t="s">
        <v>439</v>
      </c>
      <c r="C145" s="0" t="s">
        <v>138</v>
      </c>
      <c r="E145" s="3" t="n">
        <v>317.386685</v>
      </c>
      <c r="G145" s="4" t="s">
        <v>160</v>
      </c>
      <c r="H145" s="4" t="s">
        <v>440</v>
      </c>
    </row>
    <row r="146" customFormat="false" ht="17.15" hidden="false" customHeight="false" outlineLevel="0" collapsed="false">
      <c r="A146" s="0" t="s">
        <v>441</v>
      </c>
      <c r="B146" s="0" t="s">
        <v>442</v>
      </c>
      <c r="C146" s="0" t="s">
        <v>12</v>
      </c>
      <c r="E146" s="3" t="n">
        <v>0</v>
      </c>
      <c r="G146" s="4" t="s">
        <v>13</v>
      </c>
      <c r="H146" s="4" t="s">
        <v>443</v>
      </c>
    </row>
    <row r="147" customFormat="false" ht="17.15" hidden="false" customHeight="false" outlineLevel="0" collapsed="false">
      <c r="A147" s="0" t="s">
        <v>444</v>
      </c>
      <c r="B147" s="0" t="s">
        <v>445</v>
      </c>
      <c r="C147" s="0" t="s">
        <v>12</v>
      </c>
      <c r="E147" s="3" t="n">
        <v>7.68929590970478</v>
      </c>
      <c r="G147" s="4" t="s">
        <v>13</v>
      </c>
      <c r="H147" s="4" t="s">
        <v>446</v>
      </c>
    </row>
    <row r="148" customFormat="false" ht="17.15" hidden="false" customHeight="false" outlineLevel="0" collapsed="false">
      <c r="A148" s="0" t="s">
        <v>447</v>
      </c>
      <c r="B148" s="0" t="s">
        <v>448</v>
      </c>
      <c r="C148" s="0" t="s">
        <v>138</v>
      </c>
      <c r="E148" s="3" t="n">
        <v>52.535</v>
      </c>
      <c r="G148" s="4" t="s">
        <v>13</v>
      </c>
      <c r="H148" s="4" t="s">
        <v>449</v>
      </c>
    </row>
    <row r="149" customFormat="false" ht="17.15" hidden="false" customHeight="false" outlineLevel="0" collapsed="false">
      <c r="A149" s="0" t="s">
        <v>450</v>
      </c>
      <c r="B149" s="0" t="s">
        <v>451</v>
      </c>
      <c r="C149" s="0" t="s">
        <v>138</v>
      </c>
      <c r="E149" s="3" t="n">
        <v>91.447</v>
      </c>
      <c r="G149" s="4" t="s">
        <v>13</v>
      </c>
      <c r="H149" s="4" t="s">
        <v>452</v>
      </c>
    </row>
    <row r="150" customFormat="false" ht="17.15" hidden="false" customHeight="false" outlineLevel="0" collapsed="false">
      <c r="A150" s="0" t="s">
        <v>453</v>
      </c>
      <c r="B150" s="0" t="s">
        <v>454</v>
      </c>
      <c r="C150" s="0" t="s">
        <v>138</v>
      </c>
      <c r="E150" s="3" t="n">
        <v>200</v>
      </c>
      <c r="G150" s="4" t="s">
        <v>13</v>
      </c>
      <c r="H150" s="4" t="s">
        <v>455</v>
      </c>
    </row>
    <row r="151" customFormat="false" ht="17.15" hidden="false" customHeight="false" outlineLevel="0" collapsed="false">
      <c r="A151" s="0" t="s">
        <v>456</v>
      </c>
      <c r="B151" s="0" t="s">
        <v>457</v>
      </c>
      <c r="C151" s="0" t="s">
        <v>138</v>
      </c>
      <c r="E151" s="3" t="n">
        <v>290.36514</v>
      </c>
      <c r="G151" s="4" t="s">
        <v>13</v>
      </c>
      <c r="H151" s="4" t="s">
        <v>458</v>
      </c>
    </row>
    <row r="152" customFormat="false" ht="17.15" hidden="false" customHeight="false" outlineLevel="0" collapsed="false">
      <c r="A152" s="0" t="s">
        <v>459</v>
      </c>
      <c r="B152" s="0" t="s">
        <v>460</v>
      </c>
      <c r="C152" s="0" t="s">
        <v>138</v>
      </c>
      <c r="E152" s="3" t="n">
        <v>317.398835</v>
      </c>
      <c r="G152" s="4" t="s">
        <v>13</v>
      </c>
      <c r="H152" s="4" t="s">
        <v>461</v>
      </c>
    </row>
    <row r="153" customFormat="false" ht="17.15" hidden="false" customHeight="false" outlineLevel="0" collapsed="false">
      <c r="A153" s="0" t="s">
        <v>462</v>
      </c>
      <c r="B153" s="0" t="s">
        <v>463</v>
      </c>
      <c r="C153" s="0" t="s">
        <v>138</v>
      </c>
      <c r="E153" s="3" t="n">
        <v>292.560872</v>
      </c>
      <c r="G153" s="4" t="s">
        <v>13</v>
      </c>
      <c r="H153" s="4" t="s">
        <v>464</v>
      </c>
    </row>
    <row r="154" customFormat="false" ht="17.15" hidden="false" customHeight="false" outlineLevel="0" collapsed="false">
      <c r="A154" s="0" t="s">
        <v>465</v>
      </c>
      <c r="B154" s="0" t="s">
        <v>466</v>
      </c>
      <c r="C154" s="0" t="s">
        <v>138</v>
      </c>
      <c r="E154" s="3" t="n">
        <v>271.669537</v>
      </c>
      <c r="G154" s="4" t="s">
        <v>13</v>
      </c>
      <c r="H154" s="4" t="s">
        <v>467</v>
      </c>
    </row>
    <row r="155" customFormat="false" ht="17.15" hidden="false" customHeight="false" outlineLevel="0" collapsed="false">
      <c r="A155" s="0" t="s">
        <v>468</v>
      </c>
      <c r="B155" s="0" t="s">
        <v>469</v>
      </c>
      <c r="C155" s="5" t="s">
        <v>238</v>
      </c>
      <c r="E155" s="3" t="n">
        <v>12</v>
      </c>
      <c r="G155" s="4" t="s">
        <v>149</v>
      </c>
      <c r="H155" s="4" t="s">
        <v>470</v>
      </c>
    </row>
    <row r="156" customFormat="false" ht="17.15" hidden="false" customHeight="false" outlineLevel="0" collapsed="false">
      <c r="A156" s="0" t="s">
        <v>471</v>
      </c>
      <c r="B156" s="0" t="s">
        <v>472</v>
      </c>
      <c r="C156" s="0" t="s">
        <v>142</v>
      </c>
      <c r="E156" s="3" t="n">
        <v>24.4399126824</v>
      </c>
      <c r="G156" s="4" t="s">
        <v>13</v>
      </c>
      <c r="H156" s="4" t="s">
        <v>473</v>
      </c>
    </row>
    <row r="157" customFormat="false" ht="17.15" hidden="false" customHeight="false" outlineLevel="0" collapsed="false">
      <c r="A157" s="0" t="s">
        <v>474</v>
      </c>
      <c r="B157" s="0" t="s">
        <v>475</v>
      </c>
      <c r="C157" s="0" t="s">
        <v>142</v>
      </c>
      <c r="E157" s="3" t="n">
        <v>9.359329</v>
      </c>
      <c r="G157" s="4" t="s">
        <v>13</v>
      </c>
      <c r="H157" s="4" t="s">
        <v>476</v>
      </c>
    </row>
    <row r="158" customFormat="false" ht="17.15" hidden="false" customHeight="false" outlineLevel="0" collapsed="false">
      <c r="A158" s="0" t="s">
        <v>477</v>
      </c>
      <c r="B158" s="0" t="s">
        <v>478</v>
      </c>
      <c r="C158" s="0" t="s">
        <v>138</v>
      </c>
      <c r="G158" s="0" t="s">
        <v>160</v>
      </c>
      <c r="H158" s="0" t="s">
        <v>479</v>
      </c>
    </row>
    <row r="159" customFormat="false" ht="17.15" hidden="false" customHeight="false" outlineLevel="0" collapsed="false">
      <c r="A159" s="0" t="s">
        <v>480</v>
      </c>
      <c r="B159" s="0" t="s">
        <v>481</v>
      </c>
      <c r="C159" s="0" t="s">
        <v>12</v>
      </c>
      <c r="E159" s="3" t="n">
        <v>0</v>
      </c>
      <c r="G159" s="4" t="s">
        <v>13</v>
      </c>
      <c r="H159" s="4" t="s">
        <v>482</v>
      </c>
    </row>
    <row r="160" customFormat="false" ht="17.15" hidden="false" customHeight="false" outlineLevel="0" collapsed="false">
      <c r="A160" s="0" t="s">
        <v>483</v>
      </c>
      <c r="B160" s="0" t="s">
        <v>484</v>
      </c>
      <c r="C160" s="0" t="s">
        <v>12</v>
      </c>
      <c r="E160" s="3" t="n">
        <v>0</v>
      </c>
      <c r="G160" s="4" t="s">
        <v>13</v>
      </c>
      <c r="H160" s="4" t="s">
        <v>485</v>
      </c>
    </row>
    <row r="161" customFormat="false" ht="17.15" hidden="false" customHeight="false" outlineLevel="0" collapsed="false">
      <c r="A161" s="0" t="s">
        <v>486</v>
      </c>
      <c r="B161" s="0" t="s">
        <v>487</v>
      </c>
      <c r="C161" s="0" t="s">
        <v>142</v>
      </c>
      <c r="E161" s="3" t="n">
        <v>23.9445411024</v>
      </c>
      <c r="G161" s="4" t="s">
        <v>13</v>
      </c>
      <c r="H161" s="4" t="s">
        <v>488</v>
      </c>
    </row>
    <row r="162" customFormat="false" ht="17.15" hidden="false" customHeight="false" outlineLevel="0" collapsed="false">
      <c r="A162" s="0" t="s">
        <v>489</v>
      </c>
      <c r="B162" s="0" t="s">
        <v>490</v>
      </c>
      <c r="C162" s="0" t="s">
        <v>142</v>
      </c>
      <c r="E162" s="3" t="n">
        <v>9.359329</v>
      </c>
      <c r="G162" s="4" t="s">
        <v>13</v>
      </c>
      <c r="H162" s="4" t="s">
        <v>491</v>
      </c>
    </row>
    <row r="163" customFormat="false" ht="17.15" hidden="false" customHeight="false" outlineLevel="0" collapsed="false">
      <c r="A163" s="0" t="s">
        <v>492</v>
      </c>
      <c r="B163" s="0" t="s">
        <v>493</v>
      </c>
      <c r="C163" s="0" t="s">
        <v>138</v>
      </c>
      <c r="E163" s="3" t="n">
        <v>87.2576</v>
      </c>
      <c r="G163" s="4" t="s">
        <v>160</v>
      </c>
      <c r="H163" s="4" t="s">
        <v>494</v>
      </c>
    </row>
    <row r="164" customFormat="false" ht="17.15" hidden="false" customHeight="false" outlineLevel="0" collapsed="false">
      <c r="A164" s="0" t="s">
        <v>495</v>
      </c>
      <c r="B164" s="0" t="s">
        <v>496</v>
      </c>
      <c r="C164" s="0" t="s">
        <v>12</v>
      </c>
      <c r="E164" s="3" t="n">
        <v>1.38971599402093</v>
      </c>
      <c r="G164" s="4" t="s">
        <v>13</v>
      </c>
      <c r="H164" s="4" t="s">
        <v>497</v>
      </c>
    </row>
    <row r="165" customFormat="false" ht="17.15" hidden="false" customHeight="false" outlineLevel="0" collapsed="false">
      <c r="A165" s="0" t="s">
        <v>498</v>
      </c>
      <c r="B165" s="0" t="s">
        <v>499</v>
      </c>
      <c r="C165" s="0" t="s">
        <v>12</v>
      </c>
      <c r="E165" s="3" t="n">
        <v>1.38971599402093</v>
      </c>
      <c r="G165" s="4" t="s">
        <v>13</v>
      </c>
      <c r="H165" s="4" t="s">
        <v>500</v>
      </c>
    </row>
    <row r="166" customFormat="false" ht="17.15" hidden="false" customHeight="false" outlineLevel="0" collapsed="false">
      <c r="A166" s="0" t="s">
        <v>501</v>
      </c>
      <c r="B166" s="0" t="s">
        <v>502</v>
      </c>
      <c r="C166" s="0" t="s">
        <v>142</v>
      </c>
      <c r="E166" s="3" t="n">
        <v>26.3881726752</v>
      </c>
      <c r="G166" s="4" t="s">
        <v>13</v>
      </c>
      <c r="H166" s="4" t="s">
        <v>503</v>
      </c>
    </row>
    <row r="167" customFormat="false" ht="17.15" hidden="false" customHeight="false" outlineLevel="0" collapsed="false">
      <c r="A167" s="0" t="s">
        <v>504</v>
      </c>
      <c r="B167" s="0" t="s">
        <v>505</v>
      </c>
      <c r="C167" s="0" t="s">
        <v>142</v>
      </c>
      <c r="E167" s="3" t="n">
        <v>9.359329</v>
      </c>
      <c r="G167" s="4" t="s">
        <v>13</v>
      </c>
      <c r="H167" s="4" t="s">
        <v>506</v>
      </c>
    </row>
    <row r="168" customFormat="false" ht="17.15" hidden="false" customHeight="false" outlineLevel="0" collapsed="false">
      <c r="A168" s="0" t="s">
        <v>507</v>
      </c>
      <c r="B168" s="0" t="s">
        <v>508</v>
      </c>
      <c r="C168" s="0" t="s">
        <v>138</v>
      </c>
      <c r="E168" s="3" t="n">
        <v>149.6</v>
      </c>
      <c r="G168" s="4" t="s">
        <v>160</v>
      </c>
      <c r="H168" s="4" t="s">
        <v>509</v>
      </c>
    </row>
    <row r="169" customFormat="false" ht="17.15" hidden="false" customHeight="false" outlineLevel="0" collapsed="false">
      <c r="A169" s="0" t="s">
        <v>510</v>
      </c>
      <c r="B169" s="0" t="s">
        <v>511</v>
      </c>
      <c r="C169" s="0" t="s">
        <v>12</v>
      </c>
      <c r="E169" s="3" t="n">
        <v>0.527</v>
      </c>
      <c r="G169" s="4" t="s">
        <v>13</v>
      </c>
      <c r="H169" s="4" t="s">
        <v>512</v>
      </c>
    </row>
    <row r="170" customFormat="false" ht="17.15" hidden="false" customHeight="false" outlineLevel="0" collapsed="false">
      <c r="A170" s="0" t="s">
        <v>513</v>
      </c>
      <c r="B170" s="0" t="s">
        <v>514</v>
      </c>
      <c r="C170" s="0" t="s">
        <v>12</v>
      </c>
      <c r="E170" s="3" t="n">
        <v>0.527</v>
      </c>
      <c r="G170" s="4" t="s">
        <v>13</v>
      </c>
      <c r="H170" s="4" t="s">
        <v>515</v>
      </c>
    </row>
    <row r="171" customFormat="false" ht="17.15" hidden="false" customHeight="false" outlineLevel="0" collapsed="false">
      <c r="A171" s="0" t="s">
        <v>516</v>
      </c>
      <c r="B171" s="0" t="s">
        <v>517</v>
      </c>
      <c r="C171" s="0" t="s">
        <v>142</v>
      </c>
      <c r="E171" s="3" t="n">
        <v>28.0138705421991</v>
      </c>
      <c r="G171" s="4" t="s">
        <v>13</v>
      </c>
      <c r="H171" s="4" t="s">
        <v>518</v>
      </c>
    </row>
    <row r="172" customFormat="false" ht="17.15" hidden="false" customHeight="false" outlineLevel="0" collapsed="false">
      <c r="A172" s="0" t="s">
        <v>519</v>
      </c>
      <c r="B172" s="0" t="s">
        <v>520</v>
      </c>
      <c r="C172" s="0" t="s">
        <v>142</v>
      </c>
      <c r="E172" s="3" t="n">
        <v>9.359329</v>
      </c>
      <c r="G172" s="4" t="s">
        <v>13</v>
      </c>
      <c r="H172" s="4" t="s">
        <v>521</v>
      </c>
    </row>
    <row r="173" customFormat="false" ht="17.15" hidden="false" customHeight="false" outlineLevel="0" collapsed="false">
      <c r="A173" s="0" t="s">
        <v>522</v>
      </c>
      <c r="B173" s="0" t="s">
        <v>523</v>
      </c>
      <c r="C173" s="0" t="s">
        <v>138</v>
      </c>
      <c r="E173" s="3" t="n">
        <v>187.04284</v>
      </c>
      <c r="G173" s="4" t="s">
        <v>160</v>
      </c>
      <c r="H173" s="4" t="s">
        <v>524</v>
      </c>
    </row>
    <row r="174" customFormat="false" ht="17.15" hidden="false" customHeight="false" outlineLevel="0" collapsed="false">
      <c r="A174" s="0" t="s">
        <v>525</v>
      </c>
      <c r="B174" s="0" t="s">
        <v>526</v>
      </c>
      <c r="C174" s="0" t="s">
        <v>12</v>
      </c>
      <c r="E174" s="3" t="n">
        <v>0.364</v>
      </c>
      <c r="G174" s="4" t="s">
        <v>13</v>
      </c>
      <c r="H174" s="4" t="s">
        <v>527</v>
      </c>
    </row>
    <row r="175" customFormat="false" ht="17.15" hidden="false" customHeight="false" outlineLevel="0" collapsed="false">
      <c r="A175" s="0" t="s">
        <v>528</v>
      </c>
      <c r="B175" s="0" t="s">
        <v>529</v>
      </c>
      <c r="C175" s="0" t="s">
        <v>12</v>
      </c>
      <c r="E175" s="3" t="n">
        <v>4.54496548273742</v>
      </c>
      <c r="G175" s="4" t="s">
        <v>13</v>
      </c>
      <c r="H175" s="4" t="s">
        <v>530</v>
      </c>
    </row>
    <row r="176" customFormat="false" ht="17.15" hidden="false" customHeight="false" outlineLevel="0" collapsed="false">
      <c r="A176" s="0" t="s">
        <v>531</v>
      </c>
      <c r="B176" s="0" t="s">
        <v>532</v>
      </c>
      <c r="C176" s="0" t="s">
        <v>142</v>
      </c>
      <c r="E176" s="3" t="n">
        <v>29.0013069560425</v>
      </c>
      <c r="G176" s="4" t="s">
        <v>13</v>
      </c>
      <c r="H176" s="4" t="s">
        <v>533</v>
      </c>
    </row>
    <row r="177" customFormat="false" ht="17.15" hidden="false" customHeight="false" outlineLevel="0" collapsed="false">
      <c r="A177" s="0" t="s">
        <v>534</v>
      </c>
      <c r="B177" s="0" t="s">
        <v>535</v>
      </c>
      <c r="C177" s="0" t="s">
        <v>142</v>
      </c>
      <c r="E177" s="3" t="n">
        <v>9.359329</v>
      </c>
      <c r="G177" s="4" t="s">
        <v>13</v>
      </c>
      <c r="H177" s="4" t="s">
        <v>536</v>
      </c>
    </row>
    <row r="178" customFormat="false" ht="17.15" hidden="false" customHeight="false" outlineLevel="0" collapsed="false">
      <c r="A178" s="0" t="s">
        <v>537</v>
      </c>
      <c r="B178" s="0" t="s">
        <v>538</v>
      </c>
      <c r="C178" s="0" t="s">
        <v>138</v>
      </c>
      <c r="E178" s="3" t="n">
        <v>199.19036</v>
      </c>
      <c r="G178" s="4" t="s">
        <v>160</v>
      </c>
      <c r="H178" s="4" t="s">
        <v>539</v>
      </c>
    </row>
    <row r="179" customFormat="false" ht="17.15" hidden="false" customHeight="false" outlineLevel="0" collapsed="false">
      <c r="A179" s="0" t="s">
        <v>540</v>
      </c>
      <c r="B179" s="0" t="s">
        <v>541</v>
      </c>
      <c r="C179" s="0" t="s">
        <v>12</v>
      </c>
      <c r="E179" s="3" t="n">
        <v>1.744</v>
      </c>
      <c r="G179" s="4" t="s">
        <v>13</v>
      </c>
      <c r="H179" s="4" t="s">
        <v>542</v>
      </c>
    </row>
    <row r="180" customFormat="false" ht="17.15" hidden="false" customHeight="false" outlineLevel="0" collapsed="false">
      <c r="A180" s="0" t="s">
        <v>543</v>
      </c>
      <c r="B180" s="0" t="s">
        <v>544</v>
      </c>
      <c r="C180" s="0" t="s">
        <v>12</v>
      </c>
      <c r="E180" s="3" t="n">
        <v>4.99623819927339</v>
      </c>
      <c r="G180" s="4" t="s">
        <v>13</v>
      </c>
      <c r="H180" s="4" t="s">
        <v>545</v>
      </c>
    </row>
    <row r="181" customFormat="false" ht="17.15" hidden="false" customHeight="false" outlineLevel="0" collapsed="false">
      <c r="A181" s="0" t="s">
        <v>546</v>
      </c>
      <c r="B181" s="0" t="s">
        <v>547</v>
      </c>
      <c r="C181" s="0" t="s">
        <v>142</v>
      </c>
      <c r="E181" s="3" t="n">
        <v>29.0013069560425</v>
      </c>
      <c r="G181" s="4" t="s">
        <v>13</v>
      </c>
      <c r="H181" s="4" t="s">
        <v>548</v>
      </c>
    </row>
    <row r="182" customFormat="false" ht="17.15" hidden="false" customHeight="false" outlineLevel="0" collapsed="false">
      <c r="A182" s="0" t="s">
        <v>549</v>
      </c>
      <c r="B182" s="0" t="s">
        <v>550</v>
      </c>
      <c r="C182" s="0" t="s">
        <v>142</v>
      </c>
      <c r="E182" s="3" t="n">
        <v>9.359329</v>
      </c>
      <c r="G182" s="4" t="s">
        <v>13</v>
      </c>
      <c r="H182" s="4" t="s">
        <v>551</v>
      </c>
    </row>
    <row r="183" customFormat="false" ht="17.15" hidden="false" customHeight="false" outlineLevel="0" collapsed="false">
      <c r="A183" s="0" t="s">
        <v>552</v>
      </c>
      <c r="B183" s="0" t="s">
        <v>553</v>
      </c>
      <c r="C183" s="0" t="s">
        <v>138</v>
      </c>
      <c r="E183" s="3" t="n">
        <v>219.109396</v>
      </c>
      <c r="G183" s="4" t="s">
        <v>160</v>
      </c>
      <c r="H183" s="4" t="s">
        <v>554</v>
      </c>
    </row>
    <row r="184" customFormat="false" ht="17.15" hidden="false" customHeight="false" outlineLevel="0" collapsed="false">
      <c r="A184" s="0" t="s">
        <v>555</v>
      </c>
      <c r="B184" s="0" t="s">
        <v>556</v>
      </c>
      <c r="C184" s="0" t="s">
        <v>12</v>
      </c>
      <c r="E184" s="3" t="n">
        <v>0.0620000000000003</v>
      </c>
      <c r="G184" s="4" t="s">
        <v>13</v>
      </c>
      <c r="H184" s="4" t="s">
        <v>557</v>
      </c>
    </row>
    <row r="185" customFormat="false" ht="17.15" hidden="false" customHeight="false" outlineLevel="0" collapsed="false">
      <c r="A185" s="0" t="s">
        <v>558</v>
      </c>
      <c r="B185" s="0" t="s">
        <v>559</v>
      </c>
      <c r="C185" s="0" t="s">
        <v>12</v>
      </c>
      <c r="E185" s="3" t="n">
        <v>5.54650880690247</v>
      </c>
      <c r="G185" s="4" t="s">
        <v>13</v>
      </c>
      <c r="H185" s="4" t="s">
        <v>560</v>
      </c>
    </row>
    <row r="186" customFormat="false" ht="17.15" hidden="false" customHeight="false" outlineLevel="0" collapsed="false">
      <c r="A186" s="0" t="s">
        <v>561</v>
      </c>
      <c r="B186" s="0" t="s">
        <v>562</v>
      </c>
      <c r="C186" s="0" t="s">
        <v>138</v>
      </c>
      <c r="E186" s="3" t="n">
        <v>77.658</v>
      </c>
      <c r="G186" s="4" t="s">
        <v>13</v>
      </c>
      <c r="H186" s="4" t="s">
        <v>563</v>
      </c>
    </row>
    <row r="187" customFormat="false" ht="17.15" hidden="false" customHeight="false" outlineLevel="0" collapsed="false">
      <c r="A187" s="0" t="s">
        <v>564</v>
      </c>
      <c r="B187" s="0" t="s">
        <v>565</v>
      </c>
      <c r="C187" s="0" t="s">
        <v>138</v>
      </c>
      <c r="E187" s="3" t="n">
        <v>128.32</v>
      </c>
      <c r="G187" s="4" t="s">
        <v>13</v>
      </c>
      <c r="H187" s="4" t="s">
        <v>566</v>
      </c>
    </row>
    <row r="188" customFormat="false" ht="17.15" hidden="false" customHeight="false" outlineLevel="0" collapsed="false">
      <c r="A188" s="0" t="s">
        <v>567</v>
      </c>
      <c r="B188" s="0" t="s">
        <v>568</v>
      </c>
      <c r="C188" s="0" t="s">
        <v>138</v>
      </c>
      <c r="E188" s="3" t="n">
        <v>220</v>
      </c>
      <c r="G188" s="4" t="s">
        <v>13</v>
      </c>
      <c r="H188" s="4" t="s">
        <v>569</v>
      </c>
    </row>
    <row r="189" customFormat="false" ht="17.15" hidden="false" customHeight="false" outlineLevel="0" collapsed="false">
      <c r="A189" s="0" t="s">
        <v>570</v>
      </c>
      <c r="B189" s="0" t="s">
        <v>571</v>
      </c>
      <c r="C189" s="0" t="s">
        <v>138</v>
      </c>
      <c r="E189" s="3" t="n">
        <v>253.080086</v>
      </c>
      <c r="G189" s="4" t="s">
        <v>13</v>
      </c>
      <c r="H189" s="4" t="s">
        <v>572</v>
      </c>
    </row>
    <row r="190" customFormat="false" ht="17.15" hidden="false" customHeight="false" outlineLevel="0" collapsed="false">
      <c r="A190" s="0" t="s">
        <v>573</v>
      </c>
      <c r="B190" s="0" t="s">
        <v>574</v>
      </c>
      <c r="C190" s="0" t="s">
        <v>138</v>
      </c>
      <c r="E190" s="3" t="n">
        <v>266.971568</v>
      </c>
      <c r="G190" s="4" t="s">
        <v>13</v>
      </c>
      <c r="H190" s="4" t="s">
        <v>575</v>
      </c>
    </row>
    <row r="191" customFormat="false" ht="17.15" hidden="false" customHeight="false" outlineLevel="0" collapsed="false">
      <c r="A191" s="0" t="s">
        <v>576</v>
      </c>
      <c r="B191" s="0" t="s">
        <v>577</v>
      </c>
      <c r="C191" s="0" t="s">
        <v>138</v>
      </c>
      <c r="E191" s="3" t="n">
        <v>278.40589</v>
      </c>
      <c r="G191" s="4" t="s">
        <v>13</v>
      </c>
      <c r="H191" s="4" t="s">
        <v>578</v>
      </c>
    </row>
    <row r="192" customFormat="false" ht="17.15" hidden="false" customHeight="false" outlineLevel="0" collapsed="false">
      <c r="A192" s="0" t="s">
        <v>579</v>
      </c>
      <c r="B192" s="0" t="s">
        <v>580</v>
      </c>
      <c r="C192" s="0" t="s">
        <v>138</v>
      </c>
      <c r="E192" s="3" t="n">
        <v>235.400884</v>
      </c>
      <c r="G192" s="4" t="s">
        <v>13</v>
      </c>
      <c r="H192" s="4" t="s">
        <v>581</v>
      </c>
    </row>
    <row r="193" customFormat="false" ht="17.15" hidden="false" customHeight="false" outlineLevel="0" collapsed="false">
      <c r="A193" s="0" t="s">
        <v>582</v>
      </c>
      <c r="B193" s="0" t="s">
        <v>583</v>
      </c>
      <c r="C193" s="5" t="s">
        <v>238</v>
      </c>
      <c r="E193" s="3" t="n">
        <v>12</v>
      </c>
      <c r="G193" s="4" t="s">
        <v>149</v>
      </c>
      <c r="H193" s="4" t="s">
        <v>584</v>
      </c>
    </row>
    <row r="194" customFormat="false" ht="17.15" hidden="false" customHeight="false" outlineLevel="0" collapsed="false">
      <c r="A194" s="0" t="s">
        <v>585</v>
      </c>
      <c r="B194" s="0" t="s">
        <v>586</v>
      </c>
      <c r="C194" s="0" t="s">
        <v>142</v>
      </c>
      <c r="E194" s="3" t="n">
        <v>28.5674343946187</v>
      </c>
      <c r="G194" s="4" t="s">
        <v>13</v>
      </c>
      <c r="H194" s="4" t="s">
        <v>587</v>
      </c>
    </row>
    <row r="195" customFormat="false" ht="17.15" hidden="false" customHeight="false" outlineLevel="0" collapsed="false">
      <c r="A195" s="0" t="s">
        <v>588</v>
      </c>
      <c r="B195" s="0" t="s">
        <v>589</v>
      </c>
      <c r="C195" s="0" t="s">
        <v>142</v>
      </c>
      <c r="E195" s="3" t="n">
        <v>12.2172817673375</v>
      </c>
      <c r="G195" s="4" t="s">
        <v>13</v>
      </c>
      <c r="H195" s="4" t="s">
        <v>590</v>
      </c>
    </row>
    <row r="196" customFormat="false" ht="17.15" hidden="false" customHeight="false" outlineLevel="0" collapsed="false">
      <c r="A196" s="0" t="s">
        <v>591</v>
      </c>
      <c r="B196" s="0" t="s">
        <v>592</v>
      </c>
      <c r="C196" s="0" t="s">
        <v>138</v>
      </c>
      <c r="G196" s="0" t="s">
        <v>160</v>
      </c>
      <c r="H196" s="0" t="s">
        <v>593</v>
      </c>
    </row>
    <row r="197" customFormat="false" ht="17.15" hidden="false" customHeight="false" outlineLevel="0" collapsed="false">
      <c r="A197" s="0" t="s">
        <v>594</v>
      </c>
      <c r="B197" s="0" t="s">
        <v>595</v>
      </c>
      <c r="C197" s="0" t="s">
        <v>12</v>
      </c>
      <c r="E197" s="3" t="n">
        <v>0</v>
      </c>
      <c r="G197" s="4" t="s">
        <v>13</v>
      </c>
      <c r="H197" s="4" t="s">
        <v>596</v>
      </c>
    </row>
    <row r="198" customFormat="false" ht="17.15" hidden="false" customHeight="false" outlineLevel="0" collapsed="false">
      <c r="A198" s="0" t="s">
        <v>597</v>
      </c>
      <c r="B198" s="0" t="s">
        <v>598</v>
      </c>
      <c r="C198" s="0" t="s">
        <v>12</v>
      </c>
      <c r="E198" s="3" t="n">
        <v>0</v>
      </c>
      <c r="G198" s="4" t="s">
        <v>13</v>
      </c>
      <c r="H198" s="4" t="s">
        <v>599</v>
      </c>
    </row>
    <row r="199" customFormat="false" ht="17.15" hidden="false" customHeight="false" outlineLevel="0" collapsed="false">
      <c r="A199" s="0" t="s">
        <v>600</v>
      </c>
      <c r="B199" s="0" t="s">
        <v>601</v>
      </c>
      <c r="C199" s="0" t="s">
        <v>142</v>
      </c>
      <c r="E199" s="3" t="n">
        <v>27.423891719914</v>
      </c>
      <c r="G199" s="4" t="s">
        <v>13</v>
      </c>
      <c r="H199" s="4" t="s">
        <v>602</v>
      </c>
    </row>
    <row r="200" customFormat="false" ht="17.15" hidden="false" customHeight="false" outlineLevel="0" collapsed="false">
      <c r="A200" s="0" t="s">
        <v>603</v>
      </c>
      <c r="B200" s="0" t="s">
        <v>604</v>
      </c>
      <c r="C200" s="0" t="s">
        <v>142</v>
      </c>
      <c r="E200" s="3" t="n">
        <v>12.2172817673375</v>
      </c>
      <c r="G200" s="4" t="s">
        <v>13</v>
      </c>
      <c r="H200" s="4" t="s">
        <v>605</v>
      </c>
    </row>
    <row r="201" customFormat="false" ht="17.15" hidden="false" customHeight="false" outlineLevel="0" collapsed="false">
      <c r="A201" s="0" t="s">
        <v>606</v>
      </c>
      <c r="B201" s="0" t="s">
        <v>607</v>
      </c>
      <c r="C201" s="0" t="s">
        <v>138</v>
      </c>
      <c r="G201" s="0" t="s">
        <v>160</v>
      </c>
      <c r="H201" s="0" t="s">
        <v>608</v>
      </c>
    </row>
    <row r="202" customFormat="false" ht="17.15" hidden="false" customHeight="false" outlineLevel="0" collapsed="false">
      <c r="A202" s="0" t="s">
        <v>609</v>
      </c>
      <c r="B202" s="0" t="s">
        <v>610</v>
      </c>
      <c r="C202" s="0" t="s">
        <v>12</v>
      </c>
      <c r="E202" s="3" t="n">
        <v>1.50812</v>
      </c>
      <c r="G202" s="4" t="s">
        <v>13</v>
      </c>
      <c r="H202" s="4" t="s">
        <v>611</v>
      </c>
    </row>
    <row r="203" customFormat="false" ht="17.15" hidden="false" customHeight="false" outlineLevel="0" collapsed="false">
      <c r="A203" s="0" t="s">
        <v>612</v>
      </c>
      <c r="B203" s="0" t="s">
        <v>613</v>
      </c>
      <c r="C203" s="0" t="s">
        <v>12</v>
      </c>
      <c r="E203" s="3" t="n">
        <v>1.50812</v>
      </c>
      <c r="G203" s="4" t="s">
        <v>13</v>
      </c>
      <c r="H203" s="4" t="s">
        <v>614</v>
      </c>
    </row>
    <row r="204" customFormat="false" ht="17.15" hidden="false" customHeight="false" outlineLevel="0" collapsed="false">
      <c r="A204" s="0" t="s">
        <v>615</v>
      </c>
      <c r="B204" s="0" t="s">
        <v>616</v>
      </c>
      <c r="C204" s="0" t="s">
        <v>142</v>
      </c>
      <c r="E204" s="3" t="n">
        <v>33.0649036341473</v>
      </c>
      <c r="G204" s="4" t="s">
        <v>13</v>
      </c>
      <c r="H204" s="4" t="s">
        <v>617</v>
      </c>
    </row>
    <row r="205" customFormat="false" ht="17.15" hidden="false" customHeight="false" outlineLevel="0" collapsed="false">
      <c r="A205" s="0" t="s">
        <v>618</v>
      </c>
      <c r="B205" s="0" t="s">
        <v>619</v>
      </c>
      <c r="C205" s="0" t="s">
        <v>142</v>
      </c>
      <c r="E205" s="3" t="n">
        <v>12.2172817673375</v>
      </c>
      <c r="G205" s="4" t="s">
        <v>13</v>
      </c>
      <c r="H205" s="4" t="s">
        <v>620</v>
      </c>
    </row>
    <row r="206" customFormat="false" ht="17.15" hidden="false" customHeight="false" outlineLevel="0" collapsed="false">
      <c r="A206" s="0" t="s">
        <v>621</v>
      </c>
      <c r="B206" s="0" t="s">
        <v>622</v>
      </c>
      <c r="C206" s="0" t="s">
        <v>138</v>
      </c>
      <c r="E206" s="3" t="n">
        <v>119</v>
      </c>
      <c r="G206" s="4" t="s">
        <v>160</v>
      </c>
      <c r="H206" s="4" t="s">
        <v>623</v>
      </c>
    </row>
    <row r="207" customFormat="false" ht="17.15" hidden="false" customHeight="false" outlineLevel="0" collapsed="false">
      <c r="A207" s="0" t="s">
        <v>624</v>
      </c>
      <c r="B207" s="0" t="s">
        <v>625</v>
      </c>
      <c r="C207" s="0" t="s">
        <v>12</v>
      </c>
      <c r="E207" s="3" t="n">
        <v>0.676</v>
      </c>
      <c r="G207" s="4" t="s">
        <v>13</v>
      </c>
      <c r="H207" s="4" t="s">
        <v>626</v>
      </c>
    </row>
    <row r="208" customFormat="false" ht="17.15" hidden="false" customHeight="false" outlineLevel="0" collapsed="false">
      <c r="A208" s="0" t="s">
        <v>627</v>
      </c>
      <c r="B208" s="0" t="s">
        <v>628</v>
      </c>
      <c r="C208" s="0" t="s">
        <v>12</v>
      </c>
      <c r="E208" s="3" t="n">
        <v>0.676</v>
      </c>
      <c r="G208" s="4" t="s">
        <v>13</v>
      </c>
      <c r="H208" s="4" t="s">
        <v>629</v>
      </c>
    </row>
    <row r="209" customFormat="false" ht="17.15" hidden="false" customHeight="false" outlineLevel="0" collapsed="false">
      <c r="A209" s="0" t="s">
        <v>630</v>
      </c>
      <c r="B209" s="0" t="s">
        <v>631</v>
      </c>
      <c r="C209" s="0" t="s">
        <v>142</v>
      </c>
      <c r="E209" s="3" t="n">
        <v>36.5947249242921</v>
      </c>
      <c r="G209" s="4" t="s">
        <v>13</v>
      </c>
      <c r="H209" s="4" t="s">
        <v>632</v>
      </c>
    </row>
    <row r="210" customFormat="false" ht="17.15" hidden="false" customHeight="false" outlineLevel="0" collapsed="false">
      <c r="A210" s="0" t="s">
        <v>633</v>
      </c>
      <c r="B210" s="0" t="s">
        <v>634</v>
      </c>
      <c r="C210" s="0" t="s">
        <v>142</v>
      </c>
      <c r="E210" s="3" t="n">
        <v>12.1509699108826</v>
      </c>
      <c r="G210" s="4" t="s">
        <v>13</v>
      </c>
      <c r="H210" s="4" t="s">
        <v>635</v>
      </c>
    </row>
    <row r="211" customFormat="false" ht="17.15" hidden="false" customHeight="false" outlineLevel="0" collapsed="false">
      <c r="A211" s="0" t="s">
        <v>636</v>
      </c>
      <c r="B211" s="0" t="s">
        <v>637</v>
      </c>
      <c r="C211" s="0" t="s">
        <v>138</v>
      </c>
      <c r="E211" s="3" t="n">
        <v>130.9</v>
      </c>
      <c r="G211" s="4" t="s">
        <v>160</v>
      </c>
      <c r="H211" s="4" t="s">
        <v>638</v>
      </c>
    </row>
    <row r="212" customFormat="false" ht="17.15" hidden="false" customHeight="false" outlineLevel="0" collapsed="false">
      <c r="A212" s="0" t="s">
        <v>639</v>
      </c>
      <c r="B212" s="0" t="s">
        <v>640</v>
      </c>
      <c r="C212" s="0" t="s">
        <v>12</v>
      </c>
      <c r="E212" s="3" t="n">
        <v>0.615</v>
      </c>
      <c r="G212" s="4" t="s">
        <v>13</v>
      </c>
      <c r="H212" s="4" t="s">
        <v>641</v>
      </c>
    </row>
    <row r="213" customFormat="false" ht="17.15" hidden="false" customHeight="false" outlineLevel="0" collapsed="false">
      <c r="A213" s="0" t="s">
        <v>642</v>
      </c>
      <c r="B213" s="0" t="s">
        <v>643</v>
      </c>
      <c r="C213" s="0" t="s">
        <v>12</v>
      </c>
      <c r="E213" s="3" t="n">
        <v>0.615</v>
      </c>
      <c r="G213" s="4" t="s">
        <v>13</v>
      </c>
      <c r="H213" s="4" t="s">
        <v>644</v>
      </c>
    </row>
    <row r="214" customFormat="false" ht="17.15" hidden="false" customHeight="false" outlineLevel="0" collapsed="false">
      <c r="A214" s="0" t="s">
        <v>645</v>
      </c>
      <c r="B214" s="0" t="s">
        <v>646</v>
      </c>
      <c r="C214" s="0" t="s">
        <v>142</v>
      </c>
      <c r="E214" s="3" t="n">
        <v>38.802433936281</v>
      </c>
      <c r="G214" s="4" t="s">
        <v>13</v>
      </c>
      <c r="H214" s="4" t="s">
        <v>647</v>
      </c>
    </row>
    <row r="215" customFormat="false" ht="17.15" hidden="false" customHeight="false" outlineLevel="0" collapsed="false">
      <c r="A215" s="0" t="s">
        <v>648</v>
      </c>
      <c r="B215" s="0" t="s">
        <v>649</v>
      </c>
      <c r="C215" s="0" t="s">
        <v>142</v>
      </c>
      <c r="E215" s="3" t="n">
        <v>12.157584536667</v>
      </c>
      <c r="G215" s="4" t="s">
        <v>13</v>
      </c>
      <c r="H215" s="4" t="s">
        <v>650</v>
      </c>
    </row>
    <row r="216" customFormat="false" ht="17.15" hidden="false" customHeight="false" outlineLevel="0" collapsed="false">
      <c r="A216" s="0" t="s">
        <v>651</v>
      </c>
      <c r="B216" s="0" t="s">
        <v>652</v>
      </c>
      <c r="C216" s="0" t="s">
        <v>138</v>
      </c>
      <c r="E216" s="3" t="n">
        <v>143.99</v>
      </c>
      <c r="G216" s="4" t="s">
        <v>160</v>
      </c>
      <c r="H216" s="4" t="s">
        <v>653</v>
      </c>
    </row>
    <row r="217" customFormat="false" ht="17.15" hidden="false" customHeight="false" outlineLevel="0" collapsed="false">
      <c r="A217" s="0" t="s">
        <v>654</v>
      </c>
      <c r="B217" s="0" t="s">
        <v>655</v>
      </c>
      <c r="C217" s="0" t="s">
        <v>12</v>
      </c>
      <c r="E217" s="3" t="n">
        <v>2.99433333333333</v>
      </c>
      <c r="G217" s="4" t="s">
        <v>13</v>
      </c>
      <c r="H217" s="4" t="s">
        <v>656</v>
      </c>
    </row>
    <row r="218" customFormat="false" ht="17.15" hidden="false" customHeight="false" outlineLevel="0" collapsed="false">
      <c r="A218" s="0" t="s">
        <v>657</v>
      </c>
      <c r="B218" s="0" t="s">
        <v>658</v>
      </c>
      <c r="C218" s="0" t="s">
        <v>12</v>
      </c>
      <c r="E218" s="3" t="n">
        <v>2.73641202658016</v>
      </c>
      <c r="G218" s="4" t="s">
        <v>13</v>
      </c>
      <c r="H218" s="4" t="s">
        <v>659</v>
      </c>
    </row>
    <row r="219" customFormat="false" ht="17.15" hidden="false" customHeight="false" outlineLevel="0" collapsed="false">
      <c r="A219" s="0" t="s">
        <v>660</v>
      </c>
      <c r="B219" s="0" t="s">
        <v>661</v>
      </c>
      <c r="C219" s="0" t="s">
        <v>142</v>
      </c>
      <c r="E219" s="3" t="n">
        <v>38.7783529603329</v>
      </c>
      <c r="G219" s="4" t="s">
        <v>13</v>
      </c>
      <c r="H219" s="4" t="s">
        <v>662</v>
      </c>
    </row>
    <row r="220" customFormat="false" ht="17.15" hidden="false" customHeight="false" outlineLevel="0" collapsed="false">
      <c r="A220" s="0" t="s">
        <v>663</v>
      </c>
      <c r="B220" s="0" t="s">
        <v>664</v>
      </c>
      <c r="C220" s="0" t="s">
        <v>142</v>
      </c>
      <c r="E220" s="3" t="n">
        <v>12.1527076383687</v>
      </c>
      <c r="G220" s="4" t="s">
        <v>13</v>
      </c>
      <c r="H220" s="4" t="s">
        <v>665</v>
      </c>
    </row>
    <row r="221" customFormat="false" ht="17.15" hidden="false" customHeight="false" outlineLevel="0" collapsed="false">
      <c r="A221" s="0" t="s">
        <v>666</v>
      </c>
      <c r="B221" s="0" t="s">
        <v>667</v>
      </c>
      <c r="C221" s="0" t="s">
        <v>138</v>
      </c>
      <c r="E221" s="3" t="n">
        <v>158.389</v>
      </c>
      <c r="G221" s="4" t="s">
        <v>160</v>
      </c>
      <c r="H221" s="4" t="s">
        <v>668</v>
      </c>
    </row>
    <row r="222" customFormat="false" ht="17.15" hidden="false" customHeight="false" outlineLevel="0" collapsed="false">
      <c r="A222" s="0" t="s">
        <v>669</v>
      </c>
      <c r="B222" s="0" t="s">
        <v>670</v>
      </c>
      <c r="C222" s="0" t="s">
        <v>12</v>
      </c>
      <c r="E222" s="3" t="n">
        <v>0.968</v>
      </c>
      <c r="G222" s="4" t="s">
        <v>13</v>
      </c>
      <c r="H222" s="4" t="s">
        <v>671</v>
      </c>
    </row>
    <row r="223" customFormat="false" ht="17.15" hidden="false" customHeight="false" outlineLevel="0" collapsed="false">
      <c r="A223" s="0" t="s">
        <v>672</v>
      </c>
      <c r="B223" s="0" t="s">
        <v>673</v>
      </c>
      <c r="C223" s="0" t="s">
        <v>12</v>
      </c>
      <c r="E223" s="3" t="n">
        <v>3.01174825182942</v>
      </c>
      <c r="G223" s="4" t="s">
        <v>13</v>
      </c>
      <c r="H223" s="4" t="s">
        <v>674</v>
      </c>
    </row>
    <row r="224" customFormat="false" ht="17.15" hidden="false" customHeight="false" outlineLevel="0" collapsed="false">
      <c r="A224" s="0" t="s">
        <v>675</v>
      </c>
      <c r="B224" s="0" t="s">
        <v>676</v>
      </c>
      <c r="C224" s="0" t="s">
        <v>138</v>
      </c>
      <c r="E224" s="3" t="n">
        <v>39.225</v>
      </c>
      <c r="G224" s="4" t="s">
        <v>13</v>
      </c>
      <c r="H224" s="4" t="s">
        <v>677</v>
      </c>
    </row>
    <row r="225" customFormat="false" ht="17.15" hidden="false" customHeight="false" outlineLevel="0" collapsed="false">
      <c r="A225" s="0" t="s">
        <v>678</v>
      </c>
      <c r="B225" s="0" t="s">
        <v>679</v>
      </c>
      <c r="C225" s="0" t="s">
        <v>138</v>
      </c>
      <c r="E225" s="3" t="n">
        <v>72.215</v>
      </c>
      <c r="G225" s="4" t="s">
        <v>13</v>
      </c>
      <c r="H225" s="4" t="s">
        <v>680</v>
      </c>
    </row>
    <row r="226" customFormat="false" ht="17.15" hidden="false" customHeight="false" outlineLevel="0" collapsed="false">
      <c r="A226" s="0" t="s">
        <v>681</v>
      </c>
      <c r="B226" s="0" t="s">
        <v>682</v>
      </c>
      <c r="C226" s="0" t="s">
        <v>138</v>
      </c>
      <c r="E226" s="3" t="n">
        <v>140</v>
      </c>
      <c r="G226" s="4" t="s">
        <v>13</v>
      </c>
      <c r="H226" s="4" t="s">
        <v>683</v>
      </c>
    </row>
    <row r="227" customFormat="false" ht="17.15" hidden="false" customHeight="false" outlineLevel="0" collapsed="false">
      <c r="A227" s="0" t="s">
        <v>684</v>
      </c>
      <c r="B227" s="0" t="s">
        <v>685</v>
      </c>
      <c r="C227" s="0" t="s">
        <v>138</v>
      </c>
      <c r="E227" s="3" t="n">
        <v>205.705878</v>
      </c>
      <c r="G227" s="4" t="s">
        <v>13</v>
      </c>
      <c r="H227" s="4" t="s">
        <v>686</v>
      </c>
    </row>
    <row r="228" customFormat="false" ht="17.15" hidden="false" customHeight="false" outlineLevel="0" collapsed="false">
      <c r="A228" s="0" t="s">
        <v>687</v>
      </c>
      <c r="B228" s="0" t="s">
        <v>688</v>
      </c>
      <c r="C228" s="0" t="s">
        <v>138</v>
      </c>
      <c r="E228" s="3" t="n">
        <v>219.283263</v>
      </c>
      <c r="G228" s="4" t="s">
        <v>13</v>
      </c>
      <c r="H228" s="4" t="s">
        <v>689</v>
      </c>
    </row>
    <row r="229" customFormat="false" ht="17.15" hidden="false" customHeight="false" outlineLevel="0" collapsed="false">
      <c r="A229" s="0" t="s">
        <v>690</v>
      </c>
      <c r="B229" s="0" t="s">
        <v>691</v>
      </c>
      <c r="C229" s="0" t="s">
        <v>138</v>
      </c>
      <c r="E229" s="3" t="n">
        <v>194.799863</v>
      </c>
      <c r="G229" s="4" t="s">
        <v>13</v>
      </c>
      <c r="H229" s="4" t="s">
        <v>692</v>
      </c>
    </row>
    <row r="230" customFormat="false" ht="17.15" hidden="false" customHeight="false" outlineLevel="0" collapsed="false">
      <c r="A230" s="0" t="s">
        <v>693</v>
      </c>
      <c r="B230" s="0" t="s">
        <v>694</v>
      </c>
      <c r="C230" s="0" t="s">
        <v>138</v>
      </c>
      <c r="E230" s="3" t="n">
        <v>165.565732</v>
      </c>
      <c r="G230" s="4" t="s">
        <v>13</v>
      </c>
      <c r="H230" s="4" t="s">
        <v>695</v>
      </c>
    </row>
    <row r="231" customFormat="false" ht="17.15" hidden="false" customHeight="false" outlineLevel="0" collapsed="false">
      <c r="A231" s="0" t="s">
        <v>696</v>
      </c>
      <c r="B231" s="0" t="s">
        <v>697</v>
      </c>
      <c r="C231" s="5" t="s">
        <v>238</v>
      </c>
      <c r="E231" s="3" t="n">
        <v>5</v>
      </c>
      <c r="G231" s="4" t="s">
        <v>149</v>
      </c>
      <c r="H231" s="4" t="s">
        <v>698</v>
      </c>
    </row>
    <row r="232" customFormat="false" ht="17.15" hidden="false" customHeight="false" outlineLevel="0" collapsed="false">
      <c r="A232" s="0" t="s">
        <v>699</v>
      </c>
      <c r="B232" s="0" t="s">
        <v>700</v>
      </c>
      <c r="C232" s="0" t="s">
        <v>142</v>
      </c>
      <c r="E232" s="3" t="n">
        <v>28.5674343946187</v>
      </c>
      <c r="G232" s="4" t="s">
        <v>13</v>
      </c>
      <c r="H232" s="4" t="s">
        <v>701</v>
      </c>
    </row>
    <row r="233" customFormat="false" ht="17.15" hidden="false" customHeight="false" outlineLevel="0" collapsed="false">
      <c r="A233" s="0" t="s">
        <v>702</v>
      </c>
      <c r="B233" s="0" t="s">
        <v>703</v>
      </c>
      <c r="C233" s="0" t="s">
        <v>142</v>
      </c>
      <c r="E233" s="3" t="n">
        <v>12.2172817673375</v>
      </c>
      <c r="G233" s="4" t="s">
        <v>13</v>
      </c>
      <c r="H233" s="4" t="s">
        <v>704</v>
      </c>
    </row>
    <row r="234" customFormat="false" ht="17.15" hidden="false" customHeight="false" outlineLevel="0" collapsed="false">
      <c r="A234" s="0" t="s">
        <v>705</v>
      </c>
      <c r="B234" s="0" t="s">
        <v>706</v>
      </c>
      <c r="C234" s="0" t="s">
        <v>138</v>
      </c>
      <c r="G234" s="0" t="s">
        <v>160</v>
      </c>
      <c r="H234" s="0" t="s">
        <v>707</v>
      </c>
    </row>
    <row r="235" customFormat="false" ht="17.15" hidden="false" customHeight="false" outlineLevel="0" collapsed="false">
      <c r="A235" s="0" t="s">
        <v>708</v>
      </c>
      <c r="B235" s="0" t="s">
        <v>709</v>
      </c>
      <c r="C235" s="0" t="s">
        <v>12</v>
      </c>
      <c r="E235" s="3" t="n">
        <v>0</v>
      </c>
      <c r="G235" s="4" t="s">
        <v>13</v>
      </c>
      <c r="H235" s="4" t="s">
        <v>710</v>
      </c>
    </row>
    <row r="236" customFormat="false" ht="17.15" hidden="false" customHeight="false" outlineLevel="0" collapsed="false">
      <c r="A236" s="0" t="s">
        <v>711</v>
      </c>
      <c r="B236" s="0" t="s">
        <v>712</v>
      </c>
      <c r="C236" s="0" t="s">
        <v>12</v>
      </c>
      <c r="E236" s="3" t="n">
        <v>0</v>
      </c>
      <c r="G236" s="4" t="s">
        <v>13</v>
      </c>
      <c r="H236" s="4" t="s">
        <v>713</v>
      </c>
    </row>
    <row r="237" customFormat="false" ht="17.15" hidden="false" customHeight="false" outlineLevel="0" collapsed="false">
      <c r="A237" s="0" t="s">
        <v>714</v>
      </c>
      <c r="B237" s="0" t="s">
        <v>715</v>
      </c>
      <c r="C237" s="0" t="s">
        <v>142</v>
      </c>
      <c r="E237" s="3" t="n">
        <v>27.423891719914</v>
      </c>
      <c r="G237" s="4" t="s">
        <v>13</v>
      </c>
      <c r="H237" s="4" t="s">
        <v>716</v>
      </c>
    </row>
    <row r="238" customFormat="false" ht="17.15" hidden="false" customHeight="false" outlineLevel="0" collapsed="false">
      <c r="A238" s="0" t="s">
        <v>717</v>
      </c>
      <c r="B238" s="0" t="s">
        <v>718</v>
      </c>
      <c r="C238" s="0" t="s">
        <v>142</v>
      </c>
      <c r="E238" s="3" t="n">
        <v>12.2172817673375</v>
      </c>
      <c r="G238" s="4" t="s">
        <v>13</v>
      </c>
      <c r="H238" s="4" t="s">
        <v>719</v>
      </c>
    </row>
    <row r="239" customFormat="false" ht="17.15" hidden="false" customHeight="false" outlineLevel="0" collapsed="false">
      <c r="A239" s="0" t="s">
        <v>720</v>
      </c>
      <c r="B239" s="0" t="s">
        <v>721</v>
      </c>
      <c r="C239" s="0" t="s">
        <v>138</v>
      </c>
      <c r="E239" s="3" t="n">
        <v>35.1132166666667</v>
      </c>
      <c r="G239" s="4" t="s">
        <v>160</v>
      </c>
      <c r="H239" s="4" t="s">
        <v>722</v>
      </c>
    </row>
    <row r="240" customFormat="false" ht="17.15" hidden="false" customHeight="false" outlineLevel="0" collapsed="false">
      <c r="A240" s="0" t="s">
        <v>723</v>
      </c>
      <c r="B240" s="0" t="s">
        <v>724</v>
      </c>
      <c r="C240" s="0" t="s">
        <v>12</v>
      </c>
      <c r="E240" s="3" t="n">
        <v>0.816405</v>
      </c>
      <c r="G240" s="4" t="s">
        <v>13</v>
      </c>
      <c r="H240" s="4" t="s">
        <v>725</v>
      </c>
    </row>
    <row r="241" customFormat="false" ht="17.15" hidden="false" customHeight="false" outlineLevel="0" collapsed="false">
      <c r="A241" s="0" t="s">
        <v>726</v>
      </c>
      <c r="B241" s="0" t="s">
        <v>727</v>
      </c>
      <c r="C241" s="0" t="s">
        <v>12</v>
      </c>
      <c r="E241" s="3" t="n">
        <v>0.816405</v>
      </c>
      <c r="G241" s="4" t="s">
        <v>13</v>
      </c>
      <c r="H241" s="4" t="s">
        <v>728</v>
      </c>
    </row>
    <row r="242" customFormat="false" ht="17.15" hidden="false" customHeight="false" outlineLevel="0" collapsed="false">
      <c r="A242" s="0" t="s">
        <v>729</v>
      </c>
      <c r="B242" s="0" t="s">
        <v>730</v>
      </c>
      <c r="C242" s="0" t="s">
        <v>142</v>
      </c>
      <c r="E242" s="3" t="n">
        <v>33.0649036341473</v>
      </c>
      <c r="G242" s="4" t="s">
        <v>13</v>
      </c>
      <c r="H242" s="4" t="s">
        <v>731</v>
      </c>
    </row>
    <row r="243" customFormat="false" ht="17.15" hidden="false" customHeight="false" outlineLevel="0" collapsed="false">
      <c r="A243" s="0" t="s">
        <v>732</v>
      </c>
      <c r="B243" s="0" t="s">
        <v>733</v>
      </c>
      <c r="C243" s="0" t="s">
        <v>142</v>
      </c>
      <c r="E243" s="3" t="n">
        <v>12.2172817673375</v>
      </c>
      <c r="G243" s="4" t="s">
        <v>13</v>
      </c>
      <c r="H243" s="4" t="s">
        <v>734</v>
      </c>
    </row>
    <row r="244" customFormat="false" ht="17.15" hidden="false" customHeight="false" outlineLevel="0" collapsed="false">
      <c r="A244" s="0" t="s">
        <v>735</v>
      </c>
      <c r="B244" s="0" t="s">
        <v>736</v>
      </c>
      <c r="C244" s="0" t="s">
        <v>138</v>
      </c>
      <c r="E244" s="3" t="n">
        <v>65.5785625</v>
      </c>
      <c r="G244" s="4" t="s">
        <v>160</v>
      </c>
      <c r="H244" s="4" t="s">
        <v>737</v>
      </c>
    </row>
    <row r="245" customFormat="false" ht="17.15" hidden="false" customHeight="false" outlineLevel="0" collapsed="false">
      <c r="A245" s="0" t="s">
        <v>738</v>
      </c>
      <c r="B245" s="0" t="s">
        <v>739</v>
      </c>
      <c r="C245" s="0" t="s">
        <v>12</v>
      </c>
      <c r="E245" s="3" t="n">
        <v>1.54613</v>
      </c>
      <c r="G245" s="4" t="s">
        <v>13</v>
      </c>
      <c r="H245" s="4" t="s">
        <v>740</v>
      </c>
    </row>
    <row r="246" customFormat="false" ht="17.15" hidden="false" customHeight="false" outlineLevel="0" collapsed="false">
      <c r="A246" s="0" t="s">
        <v>741</v>
      </c>
      <c r="B246" s="0" t="s">
        <v>742</v>
      </c>
      <c r="C246" s="0" t="s">
        <v>12</v>
      </c>
      <c r="E246" s="3" t="n">
        <v>1.54613</v>
      </c>
      <c r="G246" s="4" t="s">
        <v>13</v>
      </c>
      <c r="H246" s="4" t="s">
        <v>743</v>
      </c>
    </row>
    <row r="247" customFormat="false" ht="17.15" hidden="false" customHeight="false" outlineLevel="0" collapsed="false">
      <c r="A247" s="0" t="s">
        <v>744</v>
      </c>
      <c r="B247" s="0" t="s">
        <v>745</v>
      </c>
      <c r="C247" s="0" t="s">
        <v>142</v>
      </c>
      <c r="E247" s="3" t="n">
        <v>36.5947249242921</v>
      </c>
      <c r="G247" s="4" t="s">
        <v>13</v>
      </c>
      <c r="H247" s="4" t="s">
        <v>746</v>
      </c>
    </row>
    <row r="248" customFormat="false" ht="17.15" hidden="false" customHeight="false" outlineLevel="0" collapsed="false">
      <c r="A248" s="0" t="s">
        <v>747</v>
      </c>
      <c r="B248" s="0" t="s">
        <v>748</v>
      </c>
      <c r="C248" s="0" t="s">
        <v>142</v>
      </c>
      <c r="E248" s="3" t="n">
        <v>12.1509699108826</v>
      </c>
      <c r="G248" s="4" t="s">
        <v>13</v>
      </c>
      <c r="H248" s="4" t="s">
        <v>749</v>
      </c>
    </row>
    <row r="249" customFormat="false" ht="17.15" hidden="false" customHeight="false" outlineLevel="0" collapsed="false">
      <c r="A249" s="0" t="s">
        <v>750</v>
      </c>
      <c r="B249" s="0" t="s">
        <v>751</v>
      </c>
      <c r="C249" s="0" t="s">
        <v>138</v>
      </c>
      <c r="E249" s="3" t="n">
        <v>82.8207416666667</v>
      </c>
      <c r="G249" s="4" t="s">
        <v>160</v>
      </c>
      <c r="H249" s="4" t="s">
        <v>752</v>
      </c>
    </row>
    <row r="250" customFormat="false" ht="17.15" hidden="false" customHeight="false" outlineLevel="0" collapsed="false">
      <c r="A250" s="0" t="s">
        <v>753</v>
      </c>
      <c r="B250" s="0" t="s">
        <v>754</v>
      </c>
      <c r="C250" s="0" t="s">
        <v>12</v>
      </c>
      <c r="E250" s="3" t="n">
        <v>0.944166666666667</v>
      </c>
      <c r="G250" s="4" t="s">
        <v>13</v>
      </c>
      <c r="H250" s="4" t="s">
        <v>755</v>
      </c>
    </row>
    <row r="251" customFormat="false" ht="17.15" hidden="false" customHeight="false" outlineLevel="0" collapsed="false">
      <c r="A251" s="0" t="s">
        <v>756</v>
      </c>
      <c r="B251" s="0" t="s">
        <v>757</v>
      </c>
      <c r="C251" s="0" t="s">
        <v>12</v>
      </c>
      <c r="E251" s="3" t="n">
        <v>1.53296918960021</v>
      </c>
      <c r="G251" s="4" t="s">
        <v>13</v>
      </c>
      <c r="H251" s="4" t="s">
        <v>758</v>
      </c>
    </row>
    <row r="252" customFormat="false" ht="17.15" hidden="false" customHeight="false" outlineLevel="0" collapsed="false">
      <c r="A252" s="0" t="s">
        <v>759</v>
      </c>
      <c r="B252" s="0" t="s">
        <v>760</v>
      </c>
      <c r="C252" s="0" t="s">
        <v>142</v>
      </c>
      <c r="E252" s="3" t="n">
        <v>38.802433936281</v>
      </c>
      <c r="G252" s="4" t="s">
        <v>13</v>
      </c>
      <c r="H252" s="4" t="s">
        <v>761</v>
      </c>
    </row>
    <row r="253" customFormat="false" ht="17.15" hidden="false" customHeight="false" outlineLevel="0" collapsed="false">
      <c r="A253" s="0" t="s">
        <v>762</v>
      </c>
      <c r="B253" s="0" t="s">
        <v>763</v>
      </c>
      <c r="C253" s="0" t="s">
        <v>142</v>
      </c>
      <c r="E253" s="3" t="n">
        <v>12.157584536667</v>
      </c>
      <c r="G253" s="4" t="s">
        <v>13</v>
      </c>
      <c r="H253" s="4" t="s">
        <v>764</v>
      </c>
    </row>
    <row r="254" customFormat="false" ht="17.15" hidden="false" customHeight="false" outlineLevel="0" collapsed="false">
      <c r="A254" s="0" t="s">
        <v>765</v>
      </c>
      <c r="B254" s="0" t="s">
        <v>766</v>
      </c>
      <c r="C254" s="0" t="s">
        <v>138</v>
      </c>
      <c r="E254" s="3" t="n">
        <v>77.8278416666667</v>
      </c>
      <c r="G254" s="4" t="s">
        <v>160</v>
      </c>
      <c r="H254" s="4" t="s">
        <v>767</v>
      </c>
    </row>
    <row r="255" customFormat="false" ht="17.15" hidden="false" customHeight="false" outlineLevel="0" collapsed="false">
      <c r="A255" s="0" t="s">
        <v>768</v>
      </c>
      <c r="B255" s="0" t="s">
        <v>769</v>
      </c>
      <c r="C255" s="0" t="s">
        <v>12</v>
      </c>
      <c r="E255" s="3" t="n">
        <v>4.91166666666667</v>
      </c>
      <c r="G255" s="4" t="s">
        <v>13</v>
      </c>
      <c r="H255" s="4" t="s">
        <v>770</v>
      </c>
    </row>
    <row r="256" customFormat="false" ht="17.15" hidden="false" customHeight="false" outlineLevel="0" collapsed="false">
      <c r="A256" s="0" t="s">
        <v>771</v>
      </c>
      <c r="B256" s="0" t="s">
        <v>772</v>
      </c>
      <c r="C256" s="0" t="s">
        <v>12</v>
      </c>
      <c r="E256" s="3" t="n">
        <v>1.51024789659781</v>
      </c>
      <c r="G256" s="4" t="s">
        <v>13</v>
      </c>
      <c r="H256" s="4" t="s">
        <v>773</v>
      </c>
    </row>
    <row r="257" customFormat="false" ht="17.15" hidden="false" customHeight="false" outlineLevel="0" collapsed="false">
      <c r="A257" s="0" t="s">
        <v>774</v>
      </c>
      <c r="B257" s="0" t="s">
        <v>775</v>
      </c>
      <c r="C257" s="0" t="s">
        <v>142</v>
      </c>
      <c r="E257" s="3" t="n">
        <v>38.7783529603329</v>
      </c>
      <c r="G257" s="4" t="s">
        <v>13</v>
      </c>
      <c r="H257" s="4" t="s">
        <v>776</v>
      </c>
    </row>
    <row r="258" customFormat="false" ht="17.15" hidden="false" customHeight="false" outlineLevel="0" collapsed="false">
      <c r="A258" s="0" t="s">
        <v>777</v>
      </c>
      <c r="B258" s="0" t="s">
        <v>778</v>
      </c>
      <c r="C258" s="0" t="s">
        <v>142</v>
      </c>
      <c r="E258" s="3" t="n">
        <v>12.1527076383687</v>
      </c>
      <c r="G258" s="4" t="s">
        <v>13</v>
      </c>
      <c r="H258" s="4" t="s">
        <v>779</v>
      </c>
    </row>
    <row r="259" customFormat="false" ht="17.15" hidden="false" customHeight="false" outlineLevel="0" collapsed="false">
      <c r="A259" s="0" t="s">
        <v>780</v>
      </c>
      <c r="B259" s="0" t="s">
        <v>781</v>
      </c>
      <c r="C259" s="0" t="s">
        <v>138</v>
      </c>
      <c r="E259" s="3" t="n">
        <v>76.3278466666667</v>
      </c>
      <c r="G259" s="4" t="s">
        <v>160</v>
      </c>
      <c r="H259" s="4" t="s">
        <v>782</v>
      </c>
    </row>
    <row r="260" customFormat="false" ht="17.15" hidden="false" customHeight="false" outlineLevel="0" collapsed="false">
      <c r="A260" s="0" t="s">
        <v>783</v>
      </c>
      <c r="B260" s="0" t="s">
        <v>784</v>
      </c>
      <c r="C260" s="0" t="s">
        <v>12</v>
      </c>
      <c r="E260" s="3" t="n">
        <v>0</v>
      </c>
      <c r="G260" s="4" t="s">
        <v>13</v>
      </c>
      <c r="H260" s="4" t="s">
        <v>785</v>
      </c>
    </row>
    <row r="261" customFormat="false" ht="17.15" hidden="false" customHeight="false" outlineLevel="0" collapsed="false">
      <c r="A261" s="0" t="s">
        <v>786</v>
      </c>
      <c r="B261" s="0" t="s">
        <v>787</v>
      </c>
      <c r="C261" s="0" t="s">
        <v>12</v>
      </c>
      <c r="E261" s="3" t="n">
        <v>1.51737350859666</v>
      </c>
      <c r="G261" s="4" t="s">
        <v>13</v>
      </c>
      <c r="H261" s="4" t="s">
        <v>788</v>
      </c>
    </row>
    <row r="262" customFormat="false" ht="17.15" hidden="false" customHeight="false" outlineLevel="0" collapsed="false">
      <c r="A262" s="0" t="s">
        <v>789</v>
      </c>
      <c r="B262" s="0" t="s">
        <v>790</v>
      </c>
      <c r="C262" s="0" t="s">
        <v>138</v>
      </c>
      <c r="G262" s="0" t="s">
        <v>13</v>
      </c>
      <c r="H262" s="0" t="s">
        <v>791</v>
      </c>
    </row>
    <row r="263" customFormat="false" ht="17.15" hidden="false" customHeight="false" outlineLevel="0" collapsed="false">
      <c r="A263" s="0" t="s">
        <v>792</v>
      </c>
      <c r="B263" s="0" t="s">
        <v>793</v>
      </c>
      <c r="C263" s="0" t="s">
        <v>138</v>
      </c>
      <c r="G263" s="0" t="s">
        <v>13</v>
      </c>
      <c r="H263" s="0" t="s">
        <v>794</v>
      </c>
    </row>
    <row r="264" customFormat="false" ht="17.15" hidden="false" customHeight="false" outlineLevel="0" collapsed="false">
      <c r="A264" s="0" t="s">
        <v>795</v>
      </c>
      <c r="B264" s="0" t="s">
        <v>796</v>
      </c>
      <c r="C264" s="0" t="s">
        <v>138</v>
      </c>
      <c r="E264" s="3" t="n">
        <v>55.663</v>
      </c>
      <c r="G264" s="4" t="s">
        <v>13</v>
      </c>
      <c r="H264" s="4" t="s">
        <v>797</v>
      </c>
    </row>
    <row r="265" customFormat="false" ht="17.15" hidden="false" customHeight="false" outlineLevel="0" collapsed="false">
      <c r="A265" s="0" t="s">
        <v>798</v>
      </c>
      <c r="B265" s="0" t="s">
        <v>799</v>
      </c>
      <c r="C265" s="0" t="s">
        <v>138</v>
      </c>
      <c r="E265" s="3" t="n">
        <v>92.5</v>
      </c>
      <c r="G265" s="4" t="s">
        <v>13</v>
      </c>
      <c r="H265" s="4" t="s">
        <v>800</v>
      </c>
    </row>
    <row r="266" customFormat="false" ht="17.15" hidden="false" customHeight="false" outlineLevel="0" collapsed="false">
      <c r="A266" s="0" t="s">
        <v>801</v>
      </c>
      <c r="B266" s="0" t="s">
        <v>802</v>
      </c>
      <c r="C266" s="0" t="s">
        <v>138</v>
      </c>
      <c r="E266" s="3" t="n">
        <v>86.397526</v>
      </c>
      <c r="G266" s="4" t="s">
        <v>13</v>
      </c>
      <c r="H266" s="4" t="s">
        <v>803</v>
      </c>
    </row>
    <row r="267" customFormat="false" ht="17.15" hidden="false" customHeight="false" outlineLevel="0" collapsed="false">
      <c r="A267" s="0" t="s">
        <v>804</v>
      </c>
      <c r="B267" s="0" t="s">
        <v>805</v>
      </c>
      <c r="C267" s="0" t="s">
        <v>138</v>
      </c>
      <c r="E267" s="3" t="n">
        <v>38.005563</v>
      </c>
      <c r="G267" s="4" t="s">
        <v>13</v>
      </c>
      <c r="H267" s="4" t="s">
        <v>806</v>
      </c>
    </row>
    <row r="268" customFormat="false" ht="17.15" hidden="false" customHeight="false" outlineLevel="0" collapsed="false">
      <c r="A268" s="0" t="s">
        <v>807</v>
      </c>
      <c r="B268" s="0" t="s">
        <v>808</v>
      </c>
      <c r="C268" s="0" t="s">
        <v>138</v>
      </c>
      <c r="E268" s="3" t="n">
        <v>20.011665</v>
      </c>
      <c r="G268" s="4" t="s">
        <v>13</v>
      </c>
      <c r="H268" s="4" t="s">
        <v>809</v>
      </c>
    </row>
    <row r="269" customFormat="false" ht="17.15" hidden="false" customHeight="false" outlineLevel="0" collapsed="false">
      <c r="A269" s="0" t="s">
        <v>810</v>
      </c>
      <c r="B269" s="0" t="s">
        <v>811</v>
      </c>
      <c r="C269" s="0" t="s">
        <v>138</v>
      </c>
      <c r="E269" s="3" t="n">
        <v>21.215</v>
      </c>
      <c r="G269" s="4" t="s">
        <v>149</v>
      </c>
      <c r="H269" s="4" t="s">
        <v>812</v>
      </c>
    </row>
    <row r="270" customFormat="false" ht="17.15" hidden="false" customHeight="false" outlineLevel="0" collapsed="false">
      <c r="A270" s="0" t="s">
        <v>813</v>
      </c>
      <c r="B270" s="0" t="s">
        <v>814</v>
      </c>
      <c r="C270" s="5" t="s">
        <v>238</v>
      </c>
      <c r="E270" s="3" t="n">
        <v>12</v>
      </c>
      <c r="G270" s="4" t="s">
        <v>149</v>
      </c>
      <c r="H270" s="4" t="s">
        <v>815</v>
      </c>
    </row>
    <row r="271" customFormat="false" ht="17.15" hidden="false" customHeight="false" outlineLevel="0" collapsed="false">
      <c r="A271" s="0" t="s">
        <v>816</v>
      </c>
      <c r="B271" s="0" t="s">
        <v>817</v>
      </c>
      <c r="C271" s="0" t="s">
        <v>142</v>
      </c>
      <c r="E271" s="3" t="n">
        <v>27.510214</v>
      </c>
      <c r="G271" s="4" t="s">
        <v>13</v>
      </c>
      <c r="H271" s="4" t="s">
        <v>818</v>
      </c>
    </row>
    <row r="272" customFormat="false" ht="17.15" hidden="false" customHeight="false" outlineLevel="0" collapsed="false">
      <c r="A272" s="0" t="s">
        <v>819</v>
      </c>
      <c r="B272" s="0" t="s">
        <v>820</v>
      </c>
      <c r="C272" s="0" t="s">
        <v>142</v>
      </c>
      <c r="E272" s="3" t="n">
        <v>12.67</v>
      </c>
      <c r="G272" s="4" t="s">
        <v>13</v>
      </c>
      <c r="H272" s="4" t="s">
        <v>821</v>
      </c>
    </row>
    <row r="273" customFormat="false" ht="17.15" hidden="false" customHeight="false" outlineLevel="0" collapsed="false">
      <c r="A273" s="0" t="s">
        <v>822</v>
      </c>
      <c r="B273" s="0" t="s">
        <v>823</v>
      </c>
      <c r="C273" s="0" t="s">
        <v>138</v>
      </c>
      <c r="G273" s="0" t="s">
        <v>160</v>
      </c>
      <c r="H273" s="0" t="s">
        <v>824</v>
      </c>
    </row>
    <row r="274" customFormat="false" ht="17.15" hidden="false" customHeight="false" outlineLevel="0" collapsed="false">
      <c r="A274" s="0" t="s">
        <v>825</v>
      </c>
      <c r="B274" s="0" t="s">
        <v>826</v>
      </c>
      <c r="C274" s="0" t="s">
        <v>12</v>
      </c>
      <c r="E274" s="3" t="n">
        <v>0.29</v>
      </c>
      <c r="G274" s="4" t="s">
        <v>13</v>
      </c>
      <c r="H274" s="4" t="s">
        <v>827</v>
      </c>
    </row>
    <row r="275" customFormat="false" ht="17.15" hidden="false" customHeight="false" outlineLevel="0" collapsed="false">
      <c r="A275" s="0" t="s">
        <v>828</v>
      </c>
      <c r="B275" s="0" t="s">
        <v>829</v>
      </c>
      <c r="C275" s="0" t="s">
        <v>12</v>
      </c>
      <c r="E275" s="3" t="n">
        <v>0.29</v>
      </c>
      <c r="G275" s="4" t="s">
        <v>13</v>
      </c>
      <c r="H275" s="4" t="s">
        <v>830</v>
      </c>
    </row>
    <row r="276" customFormat="false" ht="17.15" hidden="false" customHeight="false" outlineLevel="0" collapsed="false">
      <c r="A276" s="0" t="s">
        <v>831</v>
      </c>
      <c r="B276" s="0" t="s">
        <v>832</v>
      </c>
      <c r="C276" s="0" t="s">
        <v>142</v>
      </c>
      <c r="E276" s="3" t="n">
        <v>26.009088</v>
      </c>
      <c r="G276" s="4" t="s">
        <v>13</v>
      </c>
      <c r="H276" s="4" t="s">
        <v>833</v>
      </c>
    </row>
    <row r="277" customFormat="false" ht="17.15" hidden="false" customHeight="false" outlineLevel="0" collapsed="false">
      <c r="A277" s="0" t="s">
        <v>834</v>
      </c>
      <c r="B277" s="0" t="s">
        <v>835</v>
      </c>
      <c r="C277" s="0" t="s">
        <v>142</v>
      </c>
      <c r="E277" s="3" t="n">
        <v>12.67</v>
      </c>
      <c r="G277" s="4" t="s">
        <v>13</v>
      </c>
      <c r="H277" s="4" t="s">
        <v>836</v>
      </c>
    </row>
    <row r="278" customFormat="false" ht="17.15" hidden="false" customHeight="false" outlineLevel="0" collapsed="false">
      <c r="A278" s="0" t="s">
        <v>837</v>
      </c>
      <c r="B278" s="0" t="s">
        <v>838</v>
      </c>
      <c r="C278" s="0" t="s">
        <v>138</v>
      </c>
      <c r="G278" s="0" t="s">
        <v>160</v>
      </c>
      <c r="H278" s="0" t="s">
        <v>839</v>
      </c>
    </row>
    <row r="279" customFormat="false" ht="17.15" hidden="false" customHeight="false" outlineLevel="0" collapsed="false">
      <c r="A279" s="0" t="s">
        <v>840</v>
      </c>
      <c r="B279" s="0" t="s">
        <v>841</v>
      </c>
      <c r="C279" s="0" t="s">
        <v>12</v>
      </c>
      <c r="E279" s="3" t="n">
        <v>0.49</v>
      </c>
      <c r="G279" s="4" t="s">
        <v>13</v>
      </c>
      <c r="H279" s="4" t="s">
        <v>842</v>
      </c>
    </row>
    <row r="280" customFormat="false" ht="17.15" hidden="false" customHeight="false" outlineLevel="0" collapsed="false">
      <c r="A280" s="0" t="s">
        <v>843</v>
      </c>
      <c r="B280" s="0" t="s">
        <v>844</v>
      </c>
      <c r="C280" s="0" t="s">
        <v>12</v>
      </c>
      <c r="E280" s="3" t="n">
        <v>0.49</v>
      </c>
      <c r="G280" s="4" t="s">
        <v>13</v>
      </c>
      <c r="H280" s="4" t="s">
        <v>845</v>
      </c>
    </row>
    <row r="281" customFormat="false" ht="17.15" hidden="false" customHeight="false" outlineLevel="0" collapsed="false">
      <c r="A281" s="0" t="s">
        <v>846</v>
      </c>
      <c r="B281" s="0" t="s">
        <v>847</v>
      </c>
      <c r="C281" s="0" t="s">
        <v>142</v>
      </c>
      <c r="E281" s="3" t="n">
        <v>33.41403216</v>
      </c>
      <c r="G281" s="4" t="s">
        <v>13</v>
      </c>
      <c r="H281" s="4" t="s">
        <v>848</v>
      </c>
    </row>
    <row r="282" customFormat="false" ht="17.15" hidden="false" customHeight="false" outlineLevel="0" collapsed="false">
      <c r="A282" s="0" t="s">
        <v>849</v>
      </c>
      <c r="B282" s="0" t="s">
        <v>850</v>
      </c>
      <c r="C282" s="0" t="s">
        <v>142</v>
      </c>
      <c r="E282" s="3" t="n">
        <v>12.67</v>
      </c>
      <c r="G282" s="4" t="s">
        <v>13</v>
      </c>
      <c r="H282" s="4" t="s">
        <v>851</v>
      </c>
    </row>
    <row r="283" customFormat="false" ht="17.15" hidden="false" customHeight="false" outlineLevel="0" collapsed="false">
      <c r="A283" s="0" t="s">
        <v>852</v>
      </c>
      <c r="B283" s="0" t="s">
        <v>853</v>
      </c>
      <c r="C283" s="0" t="s">
        <v>138</v>
      </c>
      <c r="E283" s="3" t="n">
        <v>31.45</v>
      </c>
      <c r="G283" s="4" t="s">
        <v>160</v>
      </c>
      <c r="H283" s="4" t="s">
        <v>854</v>
      </c>
    </row>
    <row r="284" customFormat="false" ht="17.15" hidden="false" customHeight="false" outlineLevel="0" collapsed="false">
      <c r="A284" s="0" t="s">
        <v>855</v>
      </c>
      <c r="B284" s="0" t="s">
        <v>856</v>
      </c>
      <c r="C284" s="0" t="s">
        <v>12</v>
      </c>
      <c r="E284" s="3" t="n">
        <v>1</v>
      </c>
      <c r="G284" s="4" t="s">
        <v>13</v>
      </c>
      <c r="H284" s="4" t="s">
        <v>857</v>
      </c>
    </row>
    <row r="285" customFormat="false" ht="17.15" hidden="false" customHeight="false" outlineLevel="0" collapsed="false">
      <c r="A285" s="0" t="s">
        <v>858</v>
      </c>
      <c r="B285" s="0" t="s">
        <v>859</v>
      </c>
      <c r="C285" s="0" t="s">
        <v>12</v>
      </c>
      <c r="E285" s="3" t="n">
        <v>1</v>
      </c>
      <c r="G285" s="4" t="s">
        <v>13</v>
      </c>
      <c r="H285" s="4" t="s">
        <v>860</v>
      </c>
    </row>
    <row r="286" customFormat="false" ht="17.15" hidden="false" customHeight="false" outlineLevel="0" collapsed="false">
      <c r="A286" s="0" t="s">
        <v>861</v>
      </c>
      <c r="B286" s="0" t="s">
        <v>862</v>
      </c>
      <c r="C286" s="0" t="s">
        <v>142</v>
      </c>
      <c r="E286" s="3" t="n">
        <v>38.3403893327246</v>
      </c>
      <c r="G286" s="4" t="s">
        <v>13</v>
      </c>
      <c r="H286" s="4" t="s">
        <v>863</v>
      </c>
    </row>
    <row r="287" customFormat="false" ht="17.15" hidden="false" customHeight="false" outlineLevel="0" collapsed="false">
      <c r="A287" s="0" t="s">
        <v>864</v>
      </c>
      <c r="B287" s="0" t="s">
        <v>865</v>
      </c>
      <c r="C287" s="0" t="s">
        <v>142</v>
      </c>
      <c r="E287" s="3" t="n">
        <v>12.67</v>
      </c>
      <c r="G287" s="4" t="s">
        <v>13</v>
      </c>
      <c r="H287" s="4" t="s">
        <v>866</v>
      </c>
    </row>
    <row r="288" customFormat="false" ht="17.15" hidden="false" customHeight="false" outlineLevel="0" collapsed="false">
      <c r="A288" s="0" t="s">
        <v>867</v>
      </c>
      <c r="B288" s="0" t="s">
        <v>868</v>
      </c>
      <c r="C288" s="0" t="s">
        <v>138</v>
      </c>
      <c r="E288" s="3" t="n">
        <v>39.5046</v>
      </c>
      <c r="G288" s="4" t="s">
        <v>160</v>
      </c>
      <c r="H288" s="4" t="s">
        <v>869</v>
      </c>
    </row>
    <row r="289" customFormat="false" ht="17.15" hidden="false" customHeight="false" outlineLevel="0" collapsed="false">
      <c r="A289" s="0" t="s">
        <v>870</v>
      </c>
      <c r="B289" s="0" t="s">
        <v>871</v>
      </c>
      <c r="C289" s="0" t="s">
        <v>12</v>
      </c>
      <c r="E289" s="3" t="n">
        <v>1.5375</v>
      </c>
      <c r="G289" s="4" t="s">
        <v>13</v>
      </c>
      <c r="H289" s="4" t="s">
        <v>872</v>
      </c>
    </row>
    <row r="290" customFormat="false" ht="17.15" hidden="false" customHeight="false" outlineLevel="0" collapsed="false">
      <c r="A290" s="0" t="s">
        <v>873</v>
      </c>
      <c r="B290" s="0" t="s">
        <v>874</v>
      </c>
      <c r="C290" s="0" t="s">
        <v>12</v>
      </c>
      <c r="E290" s="3" t="n">
        <v>1.5375</v>
      </c>
      <c r="G290" s="4" t="s">
        <v>13</v>
      </c>
      <c r="H290" s="4" t="s">
        <v>875</v>
      </c>
    </row>
    <row r="291" customFormat="false" ht="17.15" hidden="false" customHeight="false" outlineLevel="0" collapsed="false">
      <c r="A291" s="0" t="s">
        <v>876</v>
      </c>
      <c r="B291" s="0" t="s">
        <v>877</v>
      </c>
      <c r="C291" s="0" t="s">
        <v>142</v>
      </c>
      <c r="E291" s="3" t="n">
        <v>41.3326208898258</v>
      </c>
      <c r="G291" s="4" t="s">
        <v>13</v>
      </c>
      <c r="H291" s="4" t="s">
        <v>878</v>
      </c>
    </row>
    <row r="292" customFormat="false" ht="17.15" hidden="false" customHeight="false" outlineLevel="0" collapsed="false">
      <c r="A292" s="0" t="s">
        <v>879</v>
      </c>
      <c r="B292" s="0" t="s">
        <v>880</v>
      </c>
      <c r="C292" s="0" t="s">
        <v>142</v>
      </c>
      <c r="E292" s="3" t="n">
        <v>12.67</v>
      </c>
      <c r="G292" s="4" t="s">
        <v>13</v>
      </c>
      <c r="H292" s="4" t="s">
        <v>881</v>
      </c>
    </row>
    <row r="293" customFormat="false" ht="17.15" hidden="false" customHeight="false" outlineLevel="0" collapsed="false">
      <c r="A293" s="0" t="s">
        <v>882</v>
      </c>
      <c r="B293" s="0" t="s">
        <v>883</v>
      </c>
      <c r="C293" s="0" t="s">
        <v>138</v>
      </c>
      <c r="E293" s="3" t="n">
        <v>42.60965</v>
      </c>
      <c r="G293" s="4" t="s">
        <v>160</v>
      </c>
      <c r="H293" s="4" t="s">
        <v>884</v>
      </c>
    </row>
    <row r="294" customFormat="false" ht="17.15" hidden="false" customHeight="false" outlineLevel="0" collapsed="false">
      <c r="A294" s="0" t="s">
        <v>885</v>
      </c>
      <c r="B294" s="0" t="s">
        <v>886</v>
      </c>
      <c r="C294" s="0" t="s">
        <v>12</v>
      </c>
      <c r="E294" s="3" t="n">
        <v>1.5375</v>
      </c>
      <c r="G294" s="4" t="s">
        <v>13</v>
      </c>
      <c r="H294" s="4" t="s">
        <v>887</v>
      </c>
    </row>
    <row r="295" customFormat="false" ht="17.15" hidden="false" customHeight="false" outlineLevel="0" collapsed="false">
      <c r="A295" s="0" t="s">
        <v>888</v>
      </c>
      <c r="B295" s="0" t="s">
        <v>889</v>
      </c>
      <c r="C295" s="0" t="s">
        <v>12</v>
      </c>
      <c r="E295" s="3" t="n">
        <v>0.758042293208187</v>
      </c>
      <c r="G295" s="4" t="s">
        <v>13</v>
      </c>
      <c r="H295" s="4" t="s">
        <v>890</v>
      </c>
    </row>
    <row r="296" customFormat="false" ht="17.15" hidden="false" customHeight="false" outlineLevel="0" collapsed="false">
      <c r="A296" s="0" t="s">
        <v>891</v>
      </c>
      <c r="B296" s="0" t="s">
        <v>892</v>
      </c>
      <c r="C296" s="0" t="s">
        <v>142</v>
      </c>
      <c r="E296" s="3" t="n">
        <v>41.3326208898258</v>
      </c>
      <c r="G296" s="4" t="s">
        <v>13</v>
      </c>
      <c r="H296" s="4" t="s">
        <v>893</v>
      </c>
    </row>
    <row r="297" customFormat="false" ht="17.15" hidden="false" customHeight="false" outlineLevel="0" collapsed="false">
      <c r="A297" s="0" t="s">
        <v>894</v>
      </c>
      <c r="B297" s="0" t="s">
        <v>895</v>
      </c>
      <c r="C297" s="0" t="s">
        <v>142</v>
      </c>
      <c r="E297" s="3" t="n">
        <v>12.67</v>
      </c>
      <c r="G297" s="4" t="s">
        <v>13</v>
      </c>
      <c r="H297" s="4" t="s">
        <v>896</v>
      </c>
    </row>
    <row r="298" customFormat="false" ht="17.15" hidden="false" customHeight="false" outlineLevel="0" collapsed="false">
      <c r="A298" s="0" t="s">
        <v>897</v>
      </c>
      <c r="B298" s="0" t="s">
        <v>898</v>
      </c>
      <c r="C298" s="0" t="s">
        <v>138</v>
      </c>
      <c r="E298" s="3" t="n">
        <v>46.870615</v>
      </c>
      <c r="G298" s="4" t="s">
        <v>160</v>
      </c>
      <c r="H298" s="4" t="s">
        <v>899</v>
      </c>
    </row>
    <row r="299" customFormat="false" ht="17.15" hidden="false" customHeight="false" outlineLevel="0" collapsed="false">
      <c r="A299" s="0" t="s">
        <v>900</v>
      </c>
      <c r="B299" s="0" t="s">
        <v>901</v>
      </c>
      <c r="C299" s="0" t="s">
        <v>12</v>
      </c>
      <c r="E299" s="3" t="n">
        <v>1.5375</v>
      </c>
      <c r="G299" s="4" t="s">
        <v>13</v>
      </c>
      <c r="H299" s="4" t="s">
        <v>902</v>
      </c>
    </row>
    <row r="300" customFormat="false" ht="17.15" hidden="false" customHeight="false" outlineLevel="0" collapsed="false">
      <c r="A300" s="0" t="s">
        <v>903</v>
      </c>
      <c r="B300" s="0" t="s">
        <v>904</v>
      </c>
      <c r="C300" s="0" t="s">
        <v>12</v>
      </c>
      <c r="E300" s="3" t="n">
        <v>0.842675104355277</v>
      </c>
      <c r="G300" s="4" t="s">
        <v>13</v>
      </c>
      <c r="H300" s="4" t="s">
        <v>905</v>
      </c>
    </row>
    <row r="301" customFormat="false" ht="17.15" hidden="false" customHeight="false" outlineLevel="0" collapsed="false">
      <c r="A301" s="0" t="s">
        <v>906</v>
      </c>
      <c r="B301" s="0" t="s">
        <v>907</v>
      </c>
      <c r="C301" s="0" t="s">
        <v>138</v>
      </c>
      <c r="G301" s="0" t="s">
        <v>13</v>
      </c>
      <c r="H301" s="0" t="s">
        <v>908</v>
      </c>
    </row>
    <row r="302" customFormat="false" ht="17.15" hidden="false" customHeight="false" outlineLevel="0" collapsed="false">
      <c r="A302" s="0" t="s">
        <v>909</v>
      </c>
      <c r="B302" s="0" t="s">
        <v>910</v>
      </c>
      <c r="C302" s="0" t="s">
        <v>138</v>
      </c>
      <c r="G302" s="0" t="s">
        <v>13</v>
      </c>
      <c r="H302" s="0" t="s">
        <v>911</v>
      </c>
    </row>
    <row r="303" customFormat="false" ht="17.15" hidden="false" customHeight="false" outlineLevel="0" collapsed="false">
      <c r="A303" s="0" t="s">
        <v>912</v>
      </c>
      <c r="B303" s="0" t="s">
        <v>913</v>
      </c>
      <c r="C303" s="0" t="s">
        <v>138</v>
      </c>
      <c r="E303" s="3" t="n">
        <v>32.978</v>
      </c>
      <c r="G303" s="4" t="s">
        <v>13</v>
      </c>
      <c r="H303" s="4" t="s">
        <v>914</v>
      </c>
    </row>
    <row r="304" customFormat="false" ht="17.15" hidden="false" customHeight="false" outlineLevel="0" collapsed="false">
      <c r="A304" s="0" t="s">
        <v>915</v>
      </c>
      <c r="B304" s="0" t="s">
        <v>916</v>
      </c>
      <c r="C304" s="0" t="s">
        <v>138</v>
      </c>
      <c r="E304" s="3" t="n">
        <v>39.363041</v>
      </c>
      <c r="G304" s="4" t="s">
        <v>13</v>
      </c>
      <c r="H304" s="4" t="s">
        <v>917</v>
      </c>
    </row>
    <row r="305" customFormat="false" ht="17.15" hidden="false" customHeight="false" outlineLevel="0" collapsed="false">
      <c r="A305" s="0" t="s">
        <v>918</v>
      </c>
      <c r="B305" s="0" t="s">
        <v>919</v>
      </c>
      <c r="C305" s="0" t="s">
        <v>138</v>
      </c>
      <c r="E305" s="3" t="n">
        <v>32.512194</v>
      </c>
      <c r="G305" s="4" t="s">
        <v>13</v>
      </c>
      <c r="H305" s="4" t="s">
        <v>920</v>
      </c>
    </row>
    <row r="306" customFormat="false" ht="17.15" hidden="false" customHeight="false" outlineLevel="0" collapsed="false">
      <c r="A306" s="0" t="s">
        <v>921</v>
      </c>
      <c r="B306" s="0" t="s">
        <v>922</v>
      </c>
      <c r="C306" s="0" t="s">
        <v>138</v>
      </c>
      <c r="E306" s="3" t="n">
        <v>32.700126</v>
      </c>
      <c r="G306" s="4" t="s">
        <v>13</v>
      </c>
      <c r="H306" s="4" t="s">
        <v>923</v>
      </c>
    </row>
    <row r="307" customFormat="false" ht="17.15" hidden="false" customHeight="false" outlineLevel="0" collapsed="false">
      <c r="A307" s="0" t="s">
        <v>924</v>
      </c>
      <c r="B307" s="0" t="s">
        <v>925</v>
      </c>
      <c r="C307" s="0" t="s">
        <v>138</v>
      </c>
      <c r="E307" s="3" t="n">
        <v>37.022557</v>
      </c>
      <c r="G307" s="4" t="s">
        <v>13</v>
      </c>
      <c r="H307" s="4" t="s">
        <v>926</v>
      </c>
    </row>
    <row r="308" customFormat="false" ht="17.15" hidden="false" customHeight="false" outlineLevel="0" collapsed="false">
      <c r="A308" s="0" t="s">
        <v>927</v>
      </c>
      <c r="B308" s="0" t="s">
        <v>928</v>
      </c>
      <c r="C308" s="5" t="s">
        <v>238</v>
      </c>
      <c r="E308" s="3" t="n">
        <v>12</v>
      </c>
      <c r="G308" s="4" t="s">
        <v>149</v>
      </c>
      <c r="H308" s="4" t="s">
        <v>929</v>
      </c>
    </row>
    <row r="309" customFormat="false" ht="17.15" hidden="false" customHeight="false" outlineLevel="0" collapsed="false">
      <c r="A309" s="0" t="s">
        <v>930</v>
      </c>
      <c r="B309" s="0" t="s">
        <v>931</v>
      </c>
      <c r="C309" s="0" t="s">
        <v>142</v>
      </c>
      <c r="E309" s="3" t="n">
        <v>27.510214</v>
      </c>
      <c r="G309" s="4" t="s">
        <v>13</v>
      </c>
      <c r="H309" s="4" t="s">
        <v>932</v>
      </c>
    </row>
    <row r="310" customFormat="false" ht="17.15" hidden="false" customHeight="false" outlineLevel="0" collapsed="false">
      <c r="A310" s="0" t="s">
        <v>933</v>
      </c>
      <c r="B310" s="0" t="s">
        <v>934</v>
      </c>
      <c r="C310" s="0" t="s">
        <v>142</v>
      </c>
      <c r="E310" s="3" t="n">
        <v>12.67</v>
      </c>
      <c r="G310" s="4" t="s">
        <v>13</v>
      </c>
      <c r="H310" s="4" t="s">
        <v>935</v>
      </c>
    </row>
    <row r="311" customFormat="false" ht="17.15" hidden="false" customHeight="false" outlineLevel="0" collapsed="false">
      <c r="A311" s="0" t="s">
        <v>936</v>
      </c>
      <c r="B311" s="0" t="s">
        <v>937</v>
      </c>
      <c r="C311" s="0" t="s">
        <v>138</v>
      </c>
      <c r="G311" s="0" t="s">
        <v>160</v>
      </c>
      <c r="H311" s="0" t="s">
        <v>938</v>
      </c>
    </row>
    <row r="312" customFormat="false" ht="17.15" hidden="false" customHeight="false" outlineLevel="0" collapsed="false">
      <c r="A312" s="0" t="s">
        <v>939</v>
      </c>
      <c r="B312" s="0" t="s">
        <v>940</v>
      </c>
      <c r="C312" s="0" t="s">
        <v>12</v>
      </c>
      <c r="E312" s="3" t="n">
        <v>0</v>
      </c>
      <c r="G312" s="4" t="s">
        <v>13</v>
      </c>
      <c r="H312" s="4" t="s">
        <v>941</v>
      </c>
    </row>
    <row r="313" customFormat="false" ht="17.15" hidden="false" customHeight="false" outlineLevel="0" collapsed="false">
      <c r="A313" s="0" t="s">
        <v>942</v>
      </c>
      <c r="B313" s="0" t="s">
        <v>943</v>
      </c>
      <c r="C313" s="0" t="s">
        <v>12</v>
      </c>
      <c r="E313" s="3" t="n">
        <v>0</v>
      </c>
      <c r="G313" s="4" t="s">
        <v>13</v>
      </c>
      <c r="H313" s="4" t="s">
        <v>944</v>
      </c>
    </row>
    <row r="314" customFormat="false" ht="17.15" hidden="false" customHeight="false" outlineLevel="0" collapsed="false">
      <c r="A314" s="0" t="s">
        <v>945</v>
      </c>
      <c r="B314" s="0" t="s">
        <v>946</v>
      </c>
      <c r="C314" s="0" t="s">
        <v>142</v>
      </c>
      <c r="E314" s="3" t="n">
        <v>26.009088</v>
      </c>
      <c r="G314" s="4" t="s">
        <v>13</v>
      </c>
      <c r="H314" s="4" t="s">
        <v>947</v>
      </c>
    </row>
    <row r="315" customFormat="false" ht="17.15" hidden="false" customHeight="false" outlineLevel="0" collapsed="false">
      <c r="A315" s="0" t="s">
        <v>948</v>
      </c>
      <c r="B315" s="0" t="s">
        <v>949</v>
      </c>
      <c r="C315" s="0" t="s">
        <v>142</v>
      </c>
      <c r="E315" s="3" t="n">
        <v>12.67</v>
      </c>
      <c r="G315" s="4" t="s">
        <v>13</v>
      </c>
      <c r="H315" s="4" t="s">
        <v>950</v>
      </c>
    </row>
    <row r="316" customFormat="false" ht="17.15" hidden="false" customHeight="false" outlineLevel="0" collapsed="false">
      <c r="A316" s="0" t="s">
        <v>951</v>
      </c>
      <c r="B316" s="0" t="s">
        <v>952</v>
      </c>
      <c r="C316" s="0" t="s">
        <v>138</v>
      </c>
      <c r="E316" s="3" t="n">
        <v>3.4561</v>
      </c>
      <c r="G316" s="4" t="s">
        <v>160</v>
      </c>
      <c r="H316" s="4" t="s">
        <v>953</v>
      </c>
    </row>
    <row r="317" customFormat="false" ht="17.15" hidden="false" customHeight="false" outlineLevel="0" collapsed="false">
      <c r="A317" s="0" t="s">
        <v>954</v>
      </c>
      <c r="B317" s="0" t="s">
        <v>955</v>
      </c>
      <c r="C317" s="0" t="s">
        <v>12</v>
      </c>
      <c r="E317" s="3" t="n">
        <v>0</v>
      </c>
      <c r="G317" s="4" t="s">
        <v>13</v>
      </c>
      <c r="H317" s="4" t="s">
        <v>956</v>
      </c>
    </row>
    <row r="318" customFormat="false" ht="17.15" hidden="false" customHeight="false" outlineLevel="0" collapsed="false">
      <c r="A318" s="0" t="s">
        <v>957</v>
      </c>
      <c r="B318" s="0" t="s">
        <v>958</v>
      </c>
      <c r="C318" s="0" t="s">
        <v>12</v>
      </c>
      <c r="E318" s="3" t="n">
        <v>0</v>
      </c>
      <c r="G318" s="4" t="s">
        <v>13</v>
      </c>
      <c r="H318" s="4" t="s">
        <v>959</v>
      </c>
    </row>
    <row r="319" customFormat="false" ht="17.15" hidden="false" customHeight="false" outlineLevel="0" collapsed="false">
      <c r="A319" s="0" t="s">
        <v>960</v>
      </c>
      <c r="B319" s="0" t="s">
        <v>961</v>
      </c>
      <c r="C319" s="0" t="s">
        <v>142</v>
      </c>
      <c r="E319" s="3" t="n">
        <v>33.41403216</v>
      </c>
      <c r="G319" s="4" t="s">
        <v>13</v>
      </c>
      <c r="H319" s="4" t="s">
        <v>962</v>
      </c>
    </row>
    <row r="320" customFormat="false" ht="17.15" hidden="false" customHeight="false" outlineLevel="0" collapsed="false">
      <c r="A320" s="0" t="s">
        <v>963</v>
      </c>
      <c r="B320" s="0" t="s">
        <v>964</v>
      </c>
      <c r="C320" s="0" t="s">
        <v>142</v>
      </c>
      <c r="E320" s="3" t="n">
        <v>12.67</v>
      </c>
      <c r="G320" s="4" t="s">
        <v>13</v>
      </c>
      <c r="H320" s="4" t="s">
        <v>965</v>
      </c>
    </row>
    <row r="321" customFormat="false" ht="17.15" hidden="false" customHeight="false" outlineLevel="0" collapsed="false">
      <c r="A321" s="0" t="s">
        <v>966</v>
      </c>
      <c r="B321" s="0" t="s">
        <v>967</v>
      </c>
      <c r="C321" s="0" t="s">
        <v>138</v>
      </c>
      <c r="E321" s="3" t="n">
        <v>19.125</v>
      </c>
      <c r="G321" s="4" t="s">
        <v>160</v>
      </c>
      <c r="H321" s="4" t="s">
        <v>968</v>
      </c>
    </row>
    <row r="322" customFormat="false" ht="17.15" hidden="false" customHeight="false" outlineLevel="0" collapsed="false">
      <c r="A322" s="0" t="s">
        <v>969</v>
      </c>
      <c r="B322" s="0" t="s">
        <v>970</v>
      </c>
      <c r="C322" s="0" t="s">
        <v>12</v>
      </c>
      <c r="E322" s="3" t="n">
        <v>0.73</v>
      </c>
      <c r="G322" s="4" t="s">
        <v>13</v>
      </c>
      <c r="H322" s="4" t="s">
        <v>971</v>
      </c>
    </row>
    <row r="323" customFormat="false" ht="17.15" hidden="false" customHeight="false" outlineLevel="0" collapsed="false">
      <c r="A323" s="0" t="s">
        <v>972</v>
      </c>
      <c r="B323" s="0" t="s">
        <v>973</v>
      </c>
      <c r="C323" s="0" t="s">
        <v>12</v>
      </c>
      <c r="E323" s="3" t="n">
        <v>0.73</v>
      </c>
      <c r="G323" s="4" t="s">
        <v>13</v>
      </c>
      <c r="H323" s="4" t="s">
        <v>974</v>
      </c>
    </row>
    <row r="324" customFormat="false" ht="17.15" hidden="false" customHeight="false" outlineLevel="0" collapsed="false">
      <c r="A324" s="0" t="s">
        <v>975</v>
      </c>
      <c r="B324" s="0" t="s">
        <v>976</v>
      </c>
      <c r="C324" s="0" t="s">
        <v>142</v>
      </c>
      <c r="E324" s="3" t="n">
        <v>38.3403893327246</v>
      </c>
      <c r="G324" s="4" t="s">
        <v>13</v>
      </c>
      <c r="H324" s="4" t="s">
        <v>977</v>
      </c>
    </row>
    <row r="325" customFormat="false" ht="17.15" hidden="false" customHeight="false" outlineLevel="0" collapsed="false">
      <c r="A325" s="0" t="s">
        <v>978</v>
      </c>
      <c r="B325" s="0" t="s">
        <v>979</v>
      </c>
      <c r="C325" s="0" t="s">
        <v>142</v>
      </c>
      <c r="E325" s="3" t="n">
        <v>12.67</v>
      </c>
      <c r="G325" s="4" t="s">
        <v>13</v>
      </c>
      <c r="H325" s="4" t="s">
        <v>980</v>
      </c>
    </row>
    <row r="326" customFormat="false" ht="17.15" hidden="false" customHeight="false" outlineLevel="0" collapsed="false">
      <c r="A326" s="0" t="s">
        <v>981</v>
      </c>
      <c r="B326" s="0" t="s">
        <v>982</v>
      </c>
      <c r="C326" s="0" t="s">
        <v>138</v>
      </c>
      <c r="E326" s="3" t="n">
        <v>23.15655</v>
      </c>
      <c r="G326" s="4" t="s">
        <v>160</v>
      </c>
      <c r="H326" s="4" t="s">
        <v>983</v>
      </c>
    </row>
    <row r="327" customFormat="false" ht="17.15" hidden="false" customHeight="false" outlineLevel="0" collapsed="false">
      <c r="A327" s="0" t="s">
        <v>984</v>
      </c>
      <c r="B327" s="0" t="s">
        <v>985</v>
      </c>
      <c r="C327" s="0" t="s">
        <v>12</v>
      </c>
      <c r="E327" s="3" t="n">
        <v>0.403</v>
      </c>
      <c r="G327" s="4" t="s">
        <v>13</v>
      </c>
      <c r="H327" s="4" t="s">
        <v>986</v>
      </c>
    </row>
    <row r="328" customFormat="false" ht="17.15" hidden="false" customHeight="false" outlineLevel="0" collapsed="false">
      <c r="A328" s="0" t="s">
        <v>987</v>
      </c>
      <c r="B328" s="0" t="s">
        <v>988</v>
      </c>
      <c r="C328" s="0" t="s">
        <v>12</v>
      </c>
      <c r="E328" s="3" t="n">
        <v>0.396179366526544</v>
      </c>
      <c r="G328" s="4" t="s">
        <v>13</v>
      </c>
      <c r="H328" s="4" t="s">
        <v>989</v>
      </c>
    </row>
    <row r="329" customFormat="false" ht="17.15" hidden="false" customHeight="false" outlineLevel="0" collapsed="false">
      <c r="A329" s="0" t="s">
        <v>990</v>
      </c>
      <c r="B329" s="0" t="s">
        <v>991</v>
      </c>
      <c r="C329" s="0" t="s">
        <v>142</v>
      </c>
      <c r="E329" s="3" t="n">
        <v>41.3326208898258</v>
      </c>
      <c r="G329" s="4" t="s">
        <v>13</v>
      </c>
      <c r="H329" s="4" t="s">
        <v>992</v>
      </c>
    </row>
    <row r="330" customFormat="false" ht="17.15" hidden="false" customHeight="false" outlineLevel="0" collapsed="false">
      <c r="A330" s="0" t="s">
        <v>993</v>
      </c>
      <c r="B330" s="0" t="s">
        <v>994</v>
      </c>
      <c r="C330" s="0" t="s">
        <v>142</v>
      </c>
      <c r="E330" s="3" t="n">
        <v>12.67</v>
      </c>
      <c r="G330" s="4" t="s">
        <v>13</v>
      </c>
      <c r="H330" s="4" t="s">
        <v>995</v>
      </c>
    </row>
    <row r="331" customFormat="false" ht="17.15" hidden="false" customHeight="false" outlineLevel="0" collapsed="false">
      <c r="A331" s="0" t="s">
        <v>996</v>
      </c>
      <c r="B331" s="0" t="s">
        <v>997</v>
      </c>
      <c r="C331" s="0" t="s">
        <v>138</v>
      </c>
      <c r="E331" s="3" t="n">
        <v>32.6315</v>
      </c>
      <c r="G331" s="4" t="s">
        <v>160</v>
      </c>
      <c r="H331" s="4" t="s">
        <v>998</v>
      </c>
    </row>
    <row r="332" customFormat="false" ht="17.15" hidden="false" customHeight="false" outlineLevel="0" collapsed="false">
      <c r="A332" s="0" t="s">
        <v>999</v>
      </c>
      <c r="B332" s="0" t="s">
        <v>1000</v>
      </c>
      <c r="C332" s="0" t="s">
        <v>12</v>
      </c>
      <c r="E332" s="3" t="n">
        <v>0</v>
      </c>
      <c r="G332" s="4" t="s">
        <v>13</v>
      </c>
      <c r="H332" s="4" t="s">
        <v>1001</v>
      </c>
    </row>
    <row r="333" customFormat="false" ht="17.15" hidden="false" customHeight="false" outlineLevel="0" collapsed="false">
      <c r="A333" s="0" t="s">
        <v>1002</v>
      </c>
      <c r="B333" s="0" t="s">
        <v>1003</v>
      </c>
      <c r="C333" s="0" t="s">
        <v>12</v>
      </c>
      <c r="E333" s="3" t="n">
        <v>0.554335434150153</v>
      </c>
      <c r="G333" s="4" t="s">
        <v>13</v>
      </c>
      <c r="H333" s="4" t="s">
        <v>1004</v>
      </c>
    </row>
    <row r="334" customFormat="false" ht="17.15" hidden="false" customHeight="false" outlineLevel="0" collapsed="false">
      <c r="A334" s="0" t="s">
        <v>1005</v>
      </c>
      <c r="B334" s="0" t="s">
        <v>1006</v>
      </c>
      <c r="C334" s="0" t="s">
        <v>142</v>
      </c>
      <c r="E334" s="3" t="n">
        <v>41.3326208898258</v>
      </c>
      <c r="G334" s="4" t="s">
        <v>13</v>
      </c>
      <c r="H334" s="4" t="s">
        <v>1007</v>
      </c>
    </row>
    <row r="335" customFormat="false" ht="17.15" hidden="false" customHeight="false" outlineLevel="0" collapsed="false">
      <c r="A335" s="0" t="s">
        <v>1008</v>
      </c>
      <c r="B335" s="0" t="s">
        <v>1009</v>
      </c>
      <c r="C335" s="0" t="s">
        <v>142</v>
      </c>
      <c r="E335" s="3" t="n">
        <v>12.67</v>
      </c>
      <c r="G335" s="4" t="s">
        <v>13</v>
      </c>
      <c r="H335" s="4" t="s">
        <v>1010</v>
      </c>
    </row>
    <row r="336" customFormat="false" ht="17.15" hidden="false" customHeight="false" outlineLevel="0" collapsed="false">
      <c r="A336" s="0" t="s">
        <v>1011</v>
      </c>
      <c r="B336" s="0" t="s">
        <v>1012</v>
      </c>
      <c r="C336" s="0" t="s">
        <v>138</v>
      </c>
      <c r="E336" s="3" t="n">
        <v>35.89465</v>
      </c>
      <c r="G336" s="4" t="s">
        <v>160</v>
      </c>
      <c r="H336" s="4" t="s">
        <v>1013</v>
      </c>
    </row>
    <row r="337" customFormat="false" ht="17.15" hidden="false" customHeight="false" outlineLevel="0" collapsed="false">
      <c r="A337" s="0" t="s">
        <v>1014</v>
      </c>
      <c r="B337" s="0" t="s">
        <v>1015</v>
      </c>
      <c r="C337" s="0" t="s">
        <v>12</v>
      </c>
      <c r="E337" s="3" t="n">
        <v>0</v>
      </c>
      <c r="G337" s="4" t="s">
        <v>13</v>
      </c>
      <c r="H337" s="4" t="s">
        <v>1016</v>
      </c>
    </row>
    <row r="338" customFormat="false" ht="17.15" hidden="false" customHeight="false" outlineLevel="0" collapsed="false">
      <c r="A338" s="0" t="s">
        <v>1017</v>
      </c>
      <c r="B338" s="0" t="s">
        <v>1018</v>
      </c>
      <c r="C338" s="0" t="s">
        <v>12</v>
      </c>
      <c r="E338" s="3" t="n">
        <v>0.629924193744744</v>
      </c>
      <c r="G338" s="4" t="s">
        <v>13</v>
      </c>
      <c r="H338" s="4" t="s">
        <v>1019</v>
      </c>
    </row>
    <row r="339" customFormat="false" ht="17.15" hidden="false" customHeight="false" outlineLevel="0" collapsed="false">
      <c r="A339" s="0" t="s">
        <v>1020</v>
      </c>
      <c r="B339" s="0" t="s">
        <v>1021</v>
      </c>
      <c r="C339" s="0" t="s">
        <v>138</v>
      </c>
      <c r="G339" s="0" t="s">
        <v>13</v>
      </c>
      <c r="H339" s="0" t="s">
        <v>1022</v>
      </c>
    </row>
    <row r="340" customFormat="false" ht="17.15" hidden="false" customHeight="false" outlineLevel="0" collapsed="false">
      <c r="A340" s="0" t="s">
        <v>1023</v>
      </c>
      <c r="B340" s="0" t="s">
        <v>1024</v>
      </c>
      <c r="C340" s="0" t="s">
        <v>138</v>
      </c>
      <c r="G340" s="0" t="s">
        <v>13</v>
      </c>
      <c r="H340" s="0" t="s">
        <v>1025</v>
      </c>
    </row>
    <row r="341" customFormat="false" ht="17.15" hidden="false" customHeight="false" outlineLevel="0" collapsed="false">
      <c r="A341" s="0" t="s">
        <v>1026</v>
      </c>
      <c r="B341" s="0" t="s">
        <v>1027</v>
      </c>
      <c r="C341" s="0" t="s">
        <v>138</v>
      </c>
      <c r="E341" s="3" t="n">
        <v>26.04619</v>
      </c>
      <c r="G341" s="4" t="s">
        <v>13</v>
      </c>
      <c r="H341" s="4" t="s">
        <v>1028</v>
      </c>
    </row>
    <row r="342" customFormat="false" ht="17.15" hidden="false" customHeight="false" outlineLevel="0" collapsed="false">
      <c r="A342" s="0" t="s">
        <v>1029</v>
      </c>
      <c r="B342" s="0" t="s">
        <v>1030</v>
      </c>
      <c r="C342" s="0" t="s">
        <v>138</v>
      </c>
      <c r="E342" s="3" t="n">
        <v>27.597437</v>
      </c>
      <c r="G342" s="4" t="s">
        <v>13</v>
      </c>
      <c r="H342" s="4" t="s">
        <v>1031</v>
      </c>
    </row>
    <row r="343" customFormat="false" ht="17.15" hidden="false" customHeight="false" outlineLevel="0" collapsed="false">
      <c r="A343" s="0" t="s">
        <v>1032</v>
      </c>
      <c r="B343" s="0" t="s">
        <v>1033</v>
      </c>
      <c r="C343" s="0" t="s">
        <v>138</v>
      </c>
      <c r="E343" s="3" t="n">
        <v>29.148684</v>
      </c>
      <c r="G343" s="4" t="s">
        <v>13</v>
      </c>
      <c r="H343" s="4" t="s">
        <v>1034</v>
      </c>
    </row>
    <row r="344" customFormat="false" ht="17.15" hidden="false" customHeight="false" outlineLevel="0" collapsed="false">
      <c r="A344" s="0" t="s">
        <v>1035</v>
      </c>
      <c r="B344" s="0" t="s">
        <v>1036</v>
      </c>
      <c r="C344" s="0" t="s">
        <v>138</v>
      </c>
      <c r="E344" s="3" t="n">
        <v>29.148684</v>
      </c>
      <c r="G344" s="4" t="s">
        <v>13</v>
      </c>
      <c r="H344" s="4" t="s">
        <v>1037</v>
      </c>
    </row>
    <row r="345" customFormat="false" ht="17.15" hidden="false" customHeight="false" outlineLevel="0" collapsed="false">
      <c r="A345" s="0" t="s">
        <v>1038</v>
      </c>
      <c r="B345" s="0" t="s">
        <v>1039</v>
      </c>
      <c r="C345" s="0" t="s">
        <v>138</v>
      </c>
      <c r="E345" s="3" t="n">
        <v>37.692264</v>
      </c>
      <c r="G345" s="4" t="s">
        <v>13</v>
      </c>
      <c r="H345" s="4" t="s">
        <v>1040</v>
      </c>
    </row>
    <row r="346" customFormat="false" ht="17.15" hidden="false" customHeight="false" outlineLevel="0" collapsed="false">
      <c r="A346" s="1" t="s">
        <v>1041</v>
      </c>
    </row>
    <row r="347" customFormat="false" ht="17.15" hidden="false" customHeight="false" outlineLevel="0" collapsed="false">
      <c r="A347" s="0" t="s">
        <v>1042</v>
      </c>
      <c r="B347" s="0" t="s">
        <v>1043</v>
      </c>
      <c r="C347" s="0" t="s">
        <v>142</v>
      </c>
      <c r="E347" s="3" t="n">
        <v>27.510214</v>
      </c>
      <c r="G347" s="4" t="s">
        <v>13</v>
      </c>
      <c r="H347" s="4" t="s">
        <v>1044</v>
      </c>
    </row>
    <row r="348" customFormat="false" ht="17.15" hidden="false" customHeight="false" outlineLevel="0" collapsed="false">
      <c r="A348" s="0" t="s">
        <v>1045</v>
      </c>
      <c r="B348" s="0" t="s">
        <v>1046</v>
      </c>
      <c r="C348" s="0" t="s">
        <v>142</v>
      </c>
      <c r="E348" s="3" t="n">
        <v>12.67</v>
      </c>
      <c r="G348" s="4" t="s">
        <v>13</v>
      </c>
      <c r="H348" s="4" t="s">
        <v>1047</v>
      </c>
    </row>
    <row r="349" customFormat="false" ht="17.15" hidden="false" customHeight="false" outlineLevel="0" collapsed="false">
      <c r="A349" s="0" t="s">
        <v>1048</v>
      </c>
      <c r="B349" s="0" t="s">
        <v>1049</v>
      </c>
      <c r="C349" s="0" t="s">
        <v>142</v>
      </c>
      <c r="E349" s="3" t="n">
        <v>26.009088</v>
      </c>
      <c r="G349" s="4" t="s">
        <v>13</v>
      </c>
      <c r="H349" s="4" t="s">
        <v>1050</v>
      </c>
    </row>
    <row r="350" customFormat="false" ht="17.15" hidden="false" customHeight="false" outlineLevel="0" collapsed="false">
      <c r="A350" s="0" t="s">
        <v>1051</v>
      </c>
      <c r="B350" s="0" t="s">
        <v>1052</v>
      </c>
      <c r="C350" s="0" t="s">
        <v>142</v>
      </c>
      <c r="E350" s="3" t="n">
        <v>12.67</v>
      </c>
      <c r="G350" s="4" t="s">
        <v>13</v>
      </c>
      <c r="H350" s="4" t="s">
        <v>1053</v>
      </c>
    </row>
    <row r="351" customFormat="false" ht="17.15" hidden="false" customHeight="false" outlineLevel="0" collapsed="false">
      <c r="A351" s="0" t="s">
        <v>1054</v>
      </c>
      <c r="B351" s="0" t="s">
        <v>1055</v>
      </c>
      <c r="C351" s="0" t="s">
        <v>142</v>
      </c>
      <c r="E351" s="3" t="n">
        <v>33.41403216</v>
      </c>
      <c r="G351" s="4" t="s">
        <v>13</v>
      </c>
      <c r="H351" s="4" t="s">
        <v>1056</v>
      </c>
    </row>
    <row r="352" customFormat="false" ht="17.15" hidden="false" customHeight="false" outlineLevel="0" collapsed="false">
      <c r="A352" s="0" t="s">
        <v>1057</v>
      </c>
      <c r="B352" s="0" t="s">
        <v>1058</v>
      </c>
      <c r="C352" s="0" t="s">
        <v>142</v>
      </c>
      <c r="E352" s="3" t="n">
        <v>12.67</v>
      </c>
      <c r="G352" s="4" t="s">
        <v>13</v>
      </c>
      <c r="H352" s="4" t="s">
        <v>1059</v>
      </c>
    </row>
    <row r="353" customFormat="false" ht="17.15" hidden="false" customHeight="false" outlineLevel="0" collapsed="false">
      <c r="A353" s="0" t="s">
        <v>1060</v>
      </c>
      <c r="B353" s="0" t="s">
        <v>1061</v>
      </c>
      <c r="C353" s="0" t="s">
        <v>142</v>
      </c>
      <c r="E353" s="3" t="n">
        <v>38.3403893327246</v>
      </c>
      <c r="G353" s="4" t="s">
        <v>13</v>
      </c>
      <c r="H353" s="4" t="s">
        <v>1062</v>
      </c>
    </row>
    <row r="354" customFormat="false" ht="17.15" hidden="false" customHeight="false" outlineLevel="0" collapsed="false">
      <c r="A354" s="0" t="s">
        <v>1063</v>
      </c>
      <c r="B354" s="0" t="s">
        <v>1064</v>
      </c>
      <c r="C354" s="0" t="s">
        <v>142</v>
      </c>
      <c r="E354" s="3" t="n">
        <v>12.67</v>
      </c>
      <c r="G354" s="4" t="s">
        <v>13</v>
      </c>
      <c r="H354" s="4" t="s">
        <v>1065</v>
      </c>
    </row>
    <row r="355" customFormat="false" ht="17.15" hidden="false" customHeight="false" outlineLevel="0" collapsed="false">
      <c r="A355" s="0" t="s">
        <v>1066</v>
      </c>
      <c r="B355" s="0" t="s">
        <v>1067</v>
      </c>
      <c r="C355" s="0" t="s">
        <v>142</v>
      </c>
      <c r="E355" s="3" t="n">
        <v>41.3326208898258</v>
      </c>
      <c r="G355" s="4" t="s">
        <v>13</v>
      </c>
      <c r="H355" s="4" t="s">
        <v>1068</v>
      </c>
    </row>
    <row r="356" customFormat="false" ht="17.15" hidden="false" customHeight="false" outlineLevel="0" collapsed="false">
      <c r="A356" s="0" t="s">
        <v>1069</v>
      </c>
      <c r="B356" s="0" t="s">
        <v>1070</v>
      </c>
      <c r="C356" s="0" t="s">
        <v>142</v>
      </c>
      <c r="E356" s="3" t="n">
        <v>12.67</v>
      </c>
      <c r="G356" s="4" t="s">
        <v>13</v>
      </c>
      <c r="H356" s="4" t="s">
        <v>1071</v>
      </c>
    </row>
    <row r="357" customFormat="false" ht="17.15" hidden="false" customHeight="false" outlineLevel="0" collapsed="false">
      <c r="A357" s="0" t="s">
        <v>1072</v>
      </c>
      <c r="B357" s="0" t="s">
        <v>1073</v>
      </c>
      <c r="C357" s="0" t="s">
        <v>142</v>
      </c>
      <c r="E357" s="3" t="n">
        <v>41.3326208898258</v>
      </c>
      <c r="G357" s="4" t="s">
        <v>13</v>
      </c>
      <c r="H357" s="4" t="s">
        <v>1074</v>
      </c>
    </row>
    <row r="358" customFormat="false" ht="17.15" hidden="false" customHeight="false" outlineLevel="0" collapsed="false">
      <c r="A358" s="0" t="s">
        <v>1075</v>
      </c>
      <c r="B358" s="0" t="s">
        <v>1076</v>
      </c>
      <c r="C358" s="0" t="s">
        <v>142</v>
      </c>
      <c r="E358" s="3" t="n">
        <v>12.67</v>
      </c>
      <c r="G358" s="4" t="s">
        <v>13</v>
      </c>
      <c r="H358" s="4" t="s">
        <v>1077</v>
      </c>
    </row>
    <row r="359" customFormat="false" ht="17.15" hidden="false" customHeight="false" outlineLevel="0" collapsed="false">
      <c r="A359" s="0" t="s">
        <v>1078</v>
      </c>
      <c r="B359" s="0" t="s">
        <v>1079</v>
      </c>
      <c r="C359" s="0" t="s">
        <v>12</v>
      </c>
      <c r="E359" s="3" t="n">
        <v>0</v>
      </c>
      <c r="G359" s="4" t="s">
        <v>13</v>
      </c>
      <c r="H359" s="4" t="s">
        <v>1080</v>
      </c>
    </row>
    <row r="360" customFormat="false" ht="17.15" hidden="false" customHeight="false" outlineLevel="0" collapsed="false">
      <c r="A360" s="0" t="s">
        <v>1081</v>
      </c>
      <c r="B360" s="0" t="s">
        <v>1082</v>
      </c>
      <c r="C360" s="0" t="s">
        <v>12</v>
      </c>
      <c r="E360" s="3" t="n">
        <v>0</v>
      </c>
      <c r="G360" s="4" t="s">
        <v>13</v>
      </c>
      <c r="H360" s="4" t="s">
        <v>1083</v>
      </c>
    </row>
    <row r="361" customFormat="false" ht="17.15" hidden="false" customHeight="false" outlineLevel="0" collapsed="false">
      <c r="A361" s="0" t="s">
        <v>1084</v>
      </c>
      <c r="B361" s="0" t="s">
        <v>1085</v>
      </c>
      <c r="C361" s="0" t="s">
        <v>12</v>
      </c>
      <c r="E361" s="3" t="n">
        <v>1.4302</v>
      </c>
      <c r="G361" s="4" t="s">
        <v>13</v>
      </c>
      <c r="H361" s="4" t="s">
        <v>1086</v>
      </c>
    </row>
    <row r="362" customFormat="false" ht="17.15" hidden="false" customHeight="false" outlineLevel="0" collapsed="false">
      <c r="A362" s="0" t="s">
        <v>1087</v>
      </c>
      <c r="B362" s="0" t="s">
        <v>1088</v>
      </c>
      <c r="C362" s="0" t="s">
        <v>12</v>
      </c>
      <c r="E362" s="3" t="n">
        <v>0.585</v>
      </c>
      <c r="G362" s="4" t="s">
        <v>13</v>
      </c>
      <c r="H362" s="4" t="s">
        <v>1089</v>
      </c>
    </row>
    <row r="363" customFormat="false" ht="17.15" hidden="false" customHeight="false" outlineLevel="0" collapsed="false">
      <c r="A363" s="0" t="s">
        <v>1090</v>
      </c>
      <c r="B363" s="0" t="s">
        <v>1091</v>
      </c>
      <c r="C363" s="0" t="s">
        <v>12</v>
      </c>
      <c r="E363" s="3" t="n">
        <v>0</v>
      </c>
      <c r="G363" s="4" t="s">
        <v>13</v>
      </c>
      <c r="H363" s="4" t="s">
        <v>1092</v>
      </c>
    </row>
    <row r="364" customFormat="false" ht="17.15" hidden="false" customHeight="false" outlineLevel="0" collapsed="false">
      <c r="A364" s="0" t="s">
        <v>1093</v>
      </c>
      <c r="B364" s="0" t="s">
        <v>1094</v>
      </c>
      <c r="C364" s="0" t="s">
        <v>12</v>
      </c>
      <c r="E364" s="3" t="n">
        <v>0</v>
      </c>
      <c r="G364" s="4" t="s">
        <v>13</v>
      </c>
      <c r="H364" s="4" t="s">
        <v>1095</v>
      </c>
    </row>
    <row r="365" customFormat="false" ht="17.15" hidden="false" customHeight="false" outlineLevel="0" collapsed="false">
      <c r="A365" s="0" t="s">
        <v>1096</v>
      </c>
      <c r="B365" s="0" t="s">
        <v>1097</v>
      </c>
      <c r="C365" s="0" t="s">
        <v>138</v>
      </c>
      <c r="G365" s="0" t="s">
        <v>13</v>
      </c>
      <c r="H365" s="0" t="s">
        <v>1098</v>
      </c>
    </row>
    <row r="366" customFormat="false" ht="17.15" hidden="false" customHeight="false" outlineLevel="0" collapsed="false">
      <c r="A366" s="0" t="s">
        <v>1099</v>
      </c>
      <c r="B366" s="0" t="s">
        <v>1100</v>
      </c>
      <c r="C366" s="0" t="s">
        <v>138</v>
      </c>
      <c r="G366" s="0" t="s">
        <v>13</v>
      </c>
      <c r="H366" s="0" t="s">
        <v>1101</v>
      </c>
    </row>
    <row r="367" customFormat="false" ht="17.15" hidden="false" customHeight="false" outlineLevel="0" collapsed="false">
      <c r="A367" s="0" t="s">
        <v>1102</v>
      </c>
      <c r="B367" s="0" t="s">
        <v>1103</v>
      </c>
      <c r="C367" s="0" t="s">
        <v>138</v>
      </c>
      <c r="E367" s="3" t="n">
        <v>74.058119</v>
      </c>
      <c r="G367" s="4" t="s">
        <v>13</v>
      </c>
      <c r="H367" s="4" t="s">
        <v>1104</v>
      </c>
    </row>
    <row r="368" customFormat="false" ht="17.15" hidden="false" customHeight="false" outlineLevel="0" collapsed="false">
      <c r="A368" s="0" t="s">
        <v>1105</v>
      </c>
      <c r="B368" s="0" t="s">
        <v>1106</v>
      </c>
      <c r="C368" s="0" t="s">
        <v>138</v>
      </c>
      <c r="E368" s="3" t="n">
        <v>136.252477</v>
      </c>
      <c r="G368" s="4" t="s">
        <v>13</v>
      </c>
      <c r="H368" s="4" t="s">
        <v>1107</v>
      </c>
    </row>
    <row r="369" customFormat="false" ht="17.15" hidden="false" customHeight="false" outlineLevel="0" collapsed="false">
      <c r="A369" s="0" t="s">
        <v>1108</v>
      </c>
      <c r="B369" s="0" t="s">
        <v>1109</v>
      </c>
      <c r="C369" s="0" t="s">
        <v>138</v>
      </c>
      <c r="E369" s="3" t="n">
        <v>144.12072</v>
      </c>
      <c r="G369" s="4" t="s">
        <v>13</v>
      </c>
      <c r="H369" s="4" t="s">
        <v>1110</v>
      </c>
    </row>
    <row r="370" customFormat="false" ht="17.15" hidden="false" customHeight="false" outlineLevel="0" collapsed="false">
      <c r="A370" s="0" t="s">
        <v>1111</v>
      </c>
      <c r="B370" s="0" t="s">
        <v>1112</v>
      </c>
      <c r="C370" s="0" t="s">
        <v>138</v>
      </c>
      <c r="E370" s="3" t="n">
        <v>111.172527</v>
      </c>
      <c r="G370" s="4" t="s">
        <v>13</v>
      </c>
      <c r="H370" s="4" t="s">
        <v>1113</v>
      </c>
    </row>
    <row r="371" customFormat="false" ht="17.15" hidden="false" customHeight="false" outlineLevel="0" collapsed="false">
      <c r="A371" s="0" t="s">
        <v>1114</v>
      </c>
      <c r="B371" s="0" t="s">
        <v>1115</v>
      </c>
      <c r="C371" s="0" t="s">
        <v>12</v>
      </c>
      <c r="E371" s="3" t="n">
        <v>0</v>
      </c>
      <c r="G371" s="4" t="s">
        <v>13</v>
      </c>
      <c r="H371" s="4" t="s">
        <v>1116</v>
      </c>
    </row>
    <row r="372" customFormat="false" ht="17.15" hidden="false" customHeight="false" outlineLevel="0" collapsed="false">
      <c r="A372" s="0" t="s">
        <v>1117</v>
      </c>
      <c r="B372" s="0" t="s">
        <v>1118</v>
      </c>
      <c r="C372" s="0" t="s">
        <v>12</v>
      </c>
      <c r="E372" s="3" t="n">
        <v>0</v>
      </c>
      <c r="G372" s="4" t="s">
        <v>13</v>
      </c>
      <c r="H372" s="4" t="s">
        <v>1119</v>
      </c>
    </row>
    <row r="373" customFormat="false" ht="17.15" hidden="false" customHeight="false" outlineLevel="0" collapsed="false">
      <c r="A373" s="0" t="s">
        <v>1120</v>
      </c>
      <c r="B373" s="0" t="s">
        <v>1121</v>
      </c>
      <c r="C373" s="0" t="s">
        <v>12</v>
      </c>
      <c r="E373" s="3" t="n">
        <v>0</v>
      </c>
      <c r="G373" s="4" t="s">
        <v>13</v>
      </c>
      <c r="H373" s="4" t="s">
        <v>1122</v>
      </c>
    </row>
    <row r="374" customFormat="false" ht="17.15" hidden="false" customHeight="false" outlineLevel="0" collapsed="false">
      <c r="A374" s="0" t="s">
        <v>1123</v>
      </c>
      <c r="B374" s="0" t="s">
        <v>1124</v>
      </c>
      <c r="C374" s="0" t="s">
        <v>12</v>
      </c>
      <c r="E374" s="3" t="n">
        <v>0.522</v>
      </c>
      <c r="G374" s="4" t="s">
        <v>13</v>
      </c>
      <c r="H374" s="4" t="s">
        <v>1125</v>
      </c>
    </row>
    <row r="375" customFormat="false" ht="17.15" hidden="false" customHeight="false" outlineLevel="0" collapsed="false">
      <c r="A375" s="0" t="s">
        <v>1126</v>
      </c>
      <c r="B375" s="0" t="s">
        <v>1127</v>
      </c>
      <c r="C375" s="0" t="s">
        <v>12</v>
      </c>
      <c r="E375" s="3" t="n">
        <v>1.245</v>
      </c>
      <c r="G375" s="4" t="s">
        <v>13</v>
      </c>
      <c r="H375" s="4" t="s">
        <v>1128</v>
      </c>
    </row>
    <row r="376" customFormat="false" ht="17.15" hidden="false" customHeight="false" outlineLevel="0" collapsed="false">
      <c r="A376" s="0" t="s">
        <v>1129</v>
      </c>
      <c r="B376" s="0" t="s">
        <v>1130</v>
      </c>
      <c r="C376" s="0" t="s">
        <v>12</v>
      </c>
      <c r="E376" s="3" t="n">
        <v>1.149</v>
      </c>
      <c r="G376" s="4" t="s">
        <v>13</v>
      </c>
      <c r="H376" s="4" t="s">
        <v>1131</v>
      </c>
    </row>
    <row r="377" customFormat="false" ht="17.15" hidden="false" customHeight="false" outlineLevel="0" collapsed="false">
      <c r="A377" s="0" t="s">
        <v>1132</v>
      </c>
      <c r="B377" s="0" t="s">
        <v>1133</v>
      </c>
      <c r="C377" s="0" t="s">
        <v>138</v>
      </c>
      <c r="G377" s="0" t="s">
        <v>13</v>
      </c>
      <c r="H377" s="0" t="s">
        <v>1134</v>
      </c>
    </row>
    <row r="378" customFormat="false" ht="17.15" hidden="false" customHeight="false" outlineLevel="0" collapsed="false">
      <c r="A378" s="0" t="s">
        <v>1135</v>
      </c>
      <c r="B378" s="0" t="s">
        <v>1136</v>
      </c>
      <c r="C378" s="0" t="s">
        <v>138</v>
      </c>
      <c r="G378" s="0" t="s">
        <v>13</v>
      </c>
      <c r="H378" s="0" t="s">
        <v>1137</v>
      </c>
    </row>
    <row r="379" customFormat="false" ht="17.15" hidden="false" customHeight="false" outlineLevel="0" collapsed="false">
      <c r="A379" s="0" t="s">
        <v>1138</v>
      </c>
      <c r="B379" s="0" t="s">
        <v>1139</v>
      </c>
      <c r="C379" s="0" t="s">
        <v>138</v>
      </c>
      <c r="E379" s="3" t="n">
        <v>20</v>
      </c>
      <c r="G379" s="4" t="s">
        <v>13</v>
      </c>
      <c r="H379" s="4" t="s">
        <v>1140</v>
      </c>
    </row>
    <row r="380" customFormat="false" ht="17.15" hidden="false" customHeight="false" outlineLevel="0" collapsed="false">
      <c r="A380" s="0" t="s">
        <v>1141</v>
      </c>
      <c r="B380" s="0" t="s">
        <v>1142</v>
      </c>
      <c r="C380" s="0" t="s">
        <v>138</v>
      </c>
      <c r="E380" s="3" t="n">
        <v>30</v>
      </c>
      <c r="G380" s="4" t="s">
        <v>13</v>
      </c>
      <c r="H380" s="4" t="s">
        <v>1143</v>
      </c>
    </row>
    <row r="381" customFormat="false" ht="17.15" hidden="false" customHeight="false" outlineLevel="0" collapsed="false">
      <c r="A381" s="0" t="s">
        <v>1144</v>
      </c>
      <c r="B381" s="0" t="s">
        <v>1145</v>
      </c>
      <c r="C381" s="0" t="s">
        <v>138</v>
      </c>
      <c r="E381" s="3" t="n">
        <v>45</v>
      </c>
      <c r="G381" s="4" t="s">
        <v>13</v>
      </c>
      <c r="H381" s="4" t="s">
        <v>1146</v>
      </c>
    </row>
    <row r="382" customFormat="false" ht="17.15" hidden="false" customHeight="false" outlineLevel="0" collapsed="false">
      <c r="A382" s="0" t="s">
        <v>1147</v>
      </c>
      <c r="B382" s="0" t="s">
        <v>1148</v>
      </c>
      <c r="C382" s="0" t="s">
        <v>138</v>
      </c>
      <c r="E382" s="3" t="n">
        <v>60</v>
      </c>
      <c r="G382" s="4" t="s">
        <v>13</v>
      </c>
      <c r="H382" s="4" t="s">
        <v>1149</v>
      </c>
    </row>
    <row r="383" customFormat="false" ht="17.15" hidden="false" customHeight="false" outlineLevel="0" collapsed="false">
      <c r="A383" s="0" t="s">
        <v>1150</v>
      </c>
      <c r="B383" s="0" t="s">
        <v>1151</v>
      </c>
      <c r="C383" s="0" t="s">
        <v>12</v>
      </c>
      <c r="E383" s="3" t="n">
        <v>0</v>
      </c>
      <c r="G383" s="4" t="s">
        <v>13</v>
      </c>
      <c r="H383" s="4" t="s">
        <v>1152</v>
      </c>
    </row>
    <row r="384" customFormat="false" ht="17.15" hidden="false" customHeight="false" outlineLevel="0" collapsed="false">
      <c r="A384" s="0" t="s">
        <v>1153</v>
      </c>
      <c r="B384" s="0" t="s">
        <v>1154</v>
      </c>
      <c r="C384" s="0" t="s">
        <v>12</v>
      </c>
      <c r="E384" s="3" t="n">
        <v>0</v>
      </c>
      <c r="G384" s="4" t="s">
        <v>13</v>
      </c>
      <c r="H384" s="4" t="s">
        <v>1155</v>
      </c>
    </row>
    <row r="385" customFormat="false" ht="17.15" hidden="false" customHeight="false" outlineLevel="0" collapsed="false">
      <c r="A385" s="0" t="s">
        <v>1156</v>
      </c>
      <c r="B385" s="0" t="s">
        <v>1157</v>
      </c>
      <c r="C385" s="0" t="s">
        <v>12</v>
      </c>
      <c r="E385" s="3" t="n">
        <v>0</v>
      </c>
      <c r="G385" s="4" t="s">
        <v>13</v>
      </c>
      <c r="H385" s="4" t="s">
        <v>1158</v>
      </c>
    </row>
    <row r="386" customFormat="false" ht="17.15" hidden="false" customHeight="false" outlineLevel="0" collapsed="false">
      <c r="A386" s="0" t="s">
        <v>1159</v>
      </c>
      <c r="B386" s="0" t="s">
        <v>1160</v>
      </c>
      <c r="C386" s="0" t="s">
        <v>12</v>
      </c>
      <c r="E386" s="3" t="n">
        <v>0</v>
      </c>
      <c r="G386" s="4" t="s">
        <v>13</v>
      </c>
      <c r="H386" s="4" t="s">
        <v>1161</v>
      </c>
    </row>
    <row r="387" customFormat="false" ht="17.15" hidden="false" customHeight="false" outlineLevel="0" collapsed="false">
      <c r="A387" s="0" t="s">
        <v>1162</v>
      </c>
      <c r="B387" s="0" t="s">
        <v>1163</v>
      </c>
      <c r="C387" s="0" t="s">
        <v>12</v>
      </c>
      <c r="E387" s="3" t="n">
        <v>0</v>
      </c>
      <c r="G387" s="4" t="s">
        <v>13</v>
      </c>
      <c r="H387" s="4" t="s">
        <v>1164</v>
      </c>
    </row>
    <row r="388" customFormat="false" ht="17.15" hidden="false" customHeight="false" outlineLevel="0" collapsed="false">
      <c r="A388" s="0" t="s">
        <v>1165</v>
      </c>
      <c r="B388" s="0" t="s">
        <v>1166</v>
      </c>
      <c r="C388" s="0" t="s">
        <v>12</v>
      </c>
      <c r="E388" s="3" t="n">
        <v>0</v>
      </c>
      <c r="G388" s="4" t="s">
        <v>13</v>
      </c>
      <c r="H388" s="4" t="s">
        <v>1167</v>
      </c>
    </row>
    <row r="389" customFormat="false" ht="17.15" hidden="false" customHeight="false" outlineLevel="0" collapsed="false">
      <c r="A389" s="0" t="s">
        <v>1168</v>
      </c>
      <c r="B389" s="0" t="s">
        <v>1169</v>
      </c>
      <c r="C389" s="0" t="s">
        <v>138</v>
      </c>
      <c r="G389" s="0" t="s">
        <v>13</v>
      </c>
      <c r="H389" s="0" t="s">
        <v>1170</v>
      </c>
    </row>
    <row r="390" customFormat="false" ht="17.15" hidden="false" customHeight="false" outlineLevel="0" collapsed="false">
      <c r="A390" s="0" t="s">
        <v>1171</v>
      </c>
      <c r="B390" s="0" t="s">
        <v>1172</v>
      </c>
      <c r="C390" s="0" t="s">
        <v>138</v>
      </c>
      <c r="G390" s="0" t="s">
        <v>13</v>
      </c>
      <c r="H390" s="0" t="s">
        <v>1173</v>
      </c>
    </row>
    <row r="391" customFormat="false" ht="17.15" hidden="false" customHeight="false" outlineLevel="0" collapsed="false">
      <c r="A391" s="0" t="s">
        <v>1174</v>
      </c>
      <c r="B391" s="0" t="s">
        <v>1175</v>
      </c>
      <c r="C391" s="0" t="s">
        <v>138</v>
      </c>
      <c r="E391" s="3" t="n">
        <v>16.666667</v>
      </c>
      <c r="G391" s="4" t="s">
        <v>13</v>
      </c>
      <c r="H391" s="4" t="s">
        <v>1176</v>
      </c>
    </row>
    <row r="392" customFormat="false" ht="17.15" hidden="false" customHeight="false" outlineLevel="0" collapsed="false">
      <c r="A392" s="0" t="s">
        <v>1177</v>
      </c>
      <c r="B392" s="0" t="s">
        <v>1178</v>
      </c>
      <c r="C392" s="0" t="s">
        <v>138</v>
      </c>
      <c r="E392" s="3" t="n">
        <v>16.666667</v>
      </c>
      <c r="G392" s="4" t="s">
        <v>13</v>
      </c>
      <c r="H392" s="4" t="s">
        <v>1179</v>
      </c>
    </row>
    <row r="393" customFormat="false" ht="17.15" hidden="false" customHeight="false" outlineLevel="0" collapsed="false">
      <c r="A393" s="0" t="s">
        <v>1180</v>
      </c>
      <c r="B393" s="0" t="s">
        <v>1181</v>
      </c>
      <c r="C393" s="0" t="s">
        <v>138</v>
      </c>
      <c r="E393" s="3" t="n">
        <v>16.666667</v>
      </c>
      <c r="G393" s="4" t="s">
        <v>13</v>
      </c>
      <c r="H393" s="4" t="s">
        <v>1182</v>
      </c>
    </row>
    <row r="394" customFormat="false" ht="17.15" hidden="false" customHeight="false" outlineLevel="0" collapsed="false">
      <c r="A394" s="0" t="s">
        <v>1183</v>
      </c>
      <c r="B394" s="0" t="s">
        <v>1184</v>
      </c>
      <c r="C394" s="0" t="s">
        <v>138</v>
      </c>
      <c r="E394" s="3" t="n">
        <v>0</v>
      </c>
      <c r="G394" s="4" t="s">
        <v>13</v>
      </c>
      <c r="H394" s="4" t="s">
        <v>1185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8"/>
    <col collapsed="false" customWidth="true" hidden="false" outlineLevel="0" max="9" min="4" style="0" width="10"/>
  </cols>
  <sheetData>
    <row r="1" customFormat="false" ht="17.15" hidden="false" customHeight="false" outlineLevel="0" collapsed="false">
      <c r="A1" s="1" t="s">
        <v>1186</v>
      </c>
    </row>
    <row r="3" customFormat="false" ht="15" hidden="false" customHeight="false" outlineLevel="0" collapsed="false">
      <c r="A3" s="6" t="s">
        <v>1187</v>
      </c>
    </row>
    <row r="4" customFormat="false" ht="15" hidden="false" customHeight="false" outlineLevel="0" collapsed="false">
      <c r="A4" s="2" t="s">
        <v>1</v>
      </c>
      <c r="B4" s="2" t="s">
        <v>2</v>
      </c>
      <c r="C4" s="7" t="s">
        <v>1188</v>
      </c>
      <c r="D4" s="7" t="s">
        <v>1189</v>
      </c>
      <c r="E4" s="7" t="s">
        <v>1190</v>
      </c>
      <c r="F4" s="7" t="s">
        <v>1191</v>
      </c>
      <c r="G4" s="7" t="s">
        <v>1192</v>
      </c>
      <c r="H4" s="7" t="s">
        <v>1193</v>
      </c>
    </row>
    <row r="5" customFormat="false" ht="17.15" hidden="false" customHeight="false" outlineLevel="0" collapsed="false">
      <c r="A5" s="0" t="s">
        <v>1194</v>
      </c>
      <c r="B5" s="0" t="s">
        <v>1195</v>
      </c>
      <c r="D5" s="8" t="n">
        <f aca="false">IF(ISNUMBER(ai2_msft_2024),ai2_msft_2024,"")</f>
        <v>46.3369</v>
      </c>
      <c r="E5" s="8" t="n">
        <f aca="false">IF(ISNUMBER(ai2_msft_2025),ai2_msft_2025,"")</f>
        <v>76.712075</v>
      </c>
      <c r="F5" s="8" t="n">
        <f aca="false">IF(ISNUMBER(ai2_msft_2026),ai2_msft_2026,"")</f>
        <v>131.229375</v>
      </c>
      <c r="G5" s="8" t="n">
        <f aca="false">IF(ISNUMBER(ai2_msft_2027),ai2_msft_2027,"")</f>
        <v>174.08595</v>
      </c>
      <c r="H5" s="8" t="n">
        <f aca="false">IF(ISNUMBER(ai2_msft_2028),ai2_msft_2028,"")</f>
        <v>198.883</v>
      </c>
      <c r="I5" s="8" t="n">
        <f aca="false">IF(ISNUMBER(ai2_msft_2029),ai2_msft_2029,"")</f>
        <v>224.1719025</v>
      </c>
    </row>
    <row r="6" customFormat="false" ht="17.15" hidden="false" customHeight="false" outlineLevel="0" collapsed="false">
      <c r="A6" s="0" t="s">
        <v>1196</v>
      </c>
      <c r="B6" s="0" t="s">
        <v>1197</v>
      </c>
      <c r="D6" s="8" t="n">
        <f aca="false">IF(ISNUMBER(D5),(pit_msft_2024/(pit_msft_2024+pfac_msft_2024)*D5+pfac_msft_2024/(pit_msft_2024+pfac_msft_2024)*IF(AND(ISNUMBER(""),ISNUMBER("")),wb1*""+wb2*"",IF(ISNUMBER(""),"",D5)))/(pit_msft_2024+pfac_msft_2024),site_msft_2024)</f>
        <v>1.2662200199435</v>
      </c>
      <c r="E6" s="8" t="n">
        <f aca="false">IF(ISNUMBER(E5),(pit_msft_2025/(pit_msft_2025+pfac_msft_2025)*E5+pfac_msft_2025/(pit_msft_2025+pfac_msft_2025)*IF(AND(ISNUMBER(D5),ISNUMBER("")),wb1*D5+wb2*"",IF(ISNUMBER(D5),D5,E5)))/(pit_msft_2025+pfac_msft_2025),site_msft_2025)</f>
        <v>1.89413391980359</v>
      </c>
      <c r="F6" s="8" t="n">
        <f aca="false">IF(ISNUMBER(F5),(pit_msft_2026/(pit_msft_2026+pfac_msft_2026)*F5+pfac_msft_2026/(pit_msft_2026+pfac_msft_2026)*IF(AND(ISNUMBER(E5),ISNUMBER(D5)),wb1*E5+wb2*D5,IF(ISNUMBER(E5),E5,F5)))/(pit_msft_2026+pfac_msft_2026),site_msft_2026)</f>
        <v>2.73280981276305</v>
      </c>
      <c r="G6" s="8" t="n">
        <f aca="false">IF(ISNUMBER(G5),(pit_msft_2027/(pit_msft_2027+pfac_msft_2027)*G5+pfac_msft_2027/(pit_msft_2027+pfac_msft_2027)*IF(AND(ISNUMBER(F5),ISNUMBER(E5)),wb1*F5+wb2*E5,IF(ISNUMBER(F5),F5,G5)))/(pit_msft_2027+pfac_msft_2027),site_msft_2027)</f>
        <v>3.56447576934396</v>
      </c>
      <c r="H6" s="8" t="n">
        <f aca="false">IF(ISNUMBER(H5),(pit_msft_2028/(pit_msft_2028+pfac_msft_2028)*H5+pfac_msft_2028/(pit_msft_2028+pfac_msft_2028)*IF(AND(ISNUMBER(G5),ISNUMBER(F5)),wb1*G5+wb2*F5,IF(ISNUMBER(G5),G5,H5)))/(pit_msft_2028+pfac_msft_2028),site_msft_2028)</f>
        <v>4.06597876464757</v>
      </c>
      <c r="I6" s="8" t="n">
        <f aca="false">IF(ISNUMBER(I5),(pit_msft_2029/(pit_msft_2029+pfac_msft_2029)*I5+pfac_msft_2029/(pit_msft_2029+pfac_msft_2029)*IF(AND(ISNUMBER(H5),ISNUMBER(G5)),wb1*H5+wb2*G5,IF(ISNUMBER(H5),H5,I5)))/(pit_msft_2029+pfac_msft_2029),site_msft_2029)</f>
        <v>4.6644209987717</v>
      </c>
    </row>
    <row r="7" customFormat="false" ht="17.15" hidden="false" customHeight="false" outlineLevel="0" collapsed="false">
      <c r="A7" s="0" t="s">
        <v>1198</v>
      </c>
      <c r="B7" s="0" t="s">
        <v>1199</v>
      </c>
      <c r="E7" s="8" t="n">
        <f aca="false">(1-lag)*E6+lag*D6-inv_k*(E6-D6)</f>
        <v>1.59587481737004</v>
      </c>
      <c r="F7" s="8" t="n">
        <f aca="false">(1-lag)*F6+lag*E6-inv_k*(F6-E6)</f>
        <v>2.3344387636073</v>
      </c>
      <c r="G7" s="8" t="n">
        <f aca="false">(1-lag)*G6+lag*F6-inv_k*(G6-F6)</f>
        <v>3.16943443996803</v>
      </c>
      <c r="H7" s="8" t="n">
        <f aca="false">(1-lag)*H6+lag*G6-inv_k*(H6-G6)</f>
        <v>3.82776484187835</v>
      </c>
      <c r="I7" s="8" t="n">
        <f aca="false">(1-lag)*I6+lag*H6-inv_k*(I6-H6)</f>
        <v>4.38016093756274</v>
      </c>
    </row>
    <row r="8" customFormat="false" ht="17.15" hidden="false" customHeight="false" outlineLevel="0" collapsed="false">
      <c r="A8" s="0" t="s">
        <v>1200</v>
      </c>
      <c r="B8" s="0" t="s">
        <v>1201</v>
      </c>
      <c r="D8" s="8" t="str">
        <f aca="false">""</f>
        <v/>
      </c>
      <c r="E8" s="8" t="n">
        <f aca="false">(6/12*cap2_msft_2025+6/12*gcap_msft_2026)*ai_sh</f>
        <v>89.186675</v>
      </c>
      <c r="F8" s="8" t="n">
        <f aca="false">(6/12*gcap_msft_2026+6/12*gcap_msft_2027)*ai_sh</f>
        <v>148.5375</v>
      </c>
      <c r="G8" s="8" t="n">
        <f aca="false">(6/12*gcap_msft_2027+6/12*gcap_msft_2028)*ai_sh</f>
        <v>185.939575275</v>
      </c>
      <c r="H8" s="8" t="n">
        <f aca="false">(6/12*gcap_msft_2028+6/12*gcap_msft_2029)*ai_sh</f>
        <v>202.7978586</v>
      </c>
      <c r="I8" s="8" t="n">
        <f aca="false">(6/12*gcap_msft_2029+6/12*gcap_msft_2030)*ai_sh</f>
        <v>197.6117298</v>
      </c>
    </row>
    <row r="9" customFormat="false" ht="17.15" hidden="false" customHeight="false" outlineLevel="0" collapsed="false">
      <c r="A9" s="0" t="s">
        <v>1202</v>
      </c>
      <c r="B9" s="0" t="s">
        <v>1197</v>
      </c>
      <c r="D9" s="8" t="n">
        <f aca="false">IF(ISNUMBER(D8),(pit_msft_2024/(pit_msft_2024+pfac_msft_2024)*D8+pfac_msft_2024/(pit_msft_2024+pfac_msft_2024)*IF(AND(ISNUMBER(""),ISNUMBER("")),wb1*""+wb2*"",IF(ISNUMBER(""),"",D8)))/(pit_msft_2024+pfac_msft_2024),site_msft_2024)</f>
        <v>0</v>
      </c>
      <c r="E9" s="8" t="n">
        <f aca="false">IF(ISNUMBER(E8),(pit_msft_2025/(pit_msft_2025+pfac_msft_2025)*E8+pfac_msft_2025/(pit_msft_2025+pfac_msft_2025)*IF(AND(ISNUMBER(D8),ISNUMBER("")),wb1*D8+wb2*"",IF(ISNUMBER(D8),D8,E8)))/(pit_msft_2025+pfac_msft_2025),site_msft_2025)</f>
        <v>2.51576435599185</v>
      </c>
      <c r="F9" s="8" t="n">
        <f aca="false">IF(ISNUMBER(F8),(pit_msft_2026/(pit_msft_2026+pfac_msft_2026)*F8+pfac_msft_2026/(pit_msft_2026+pfac_msft_2026)*IF(AND(ISNUMBER(E8),ISNUMBER(D8)),wb1*E8+wb2*D8,IF(ISNUMBER(E8),E8,F8)))/(pit_msft_2026+pfac_msft_2026),site_msft_2026)</f>
        <v>3.22245015720519</v>
      </c>
      <c r="G9" s="8" t="n">
        <f aca="false">IF(ISNUMBER(G8),(pit_msft_2027/(pit_msft_2027+pfac_msft_2027)*G8+pfac_msft_2027/(pit_msft_2027+pfac_msft_2027)*IF(AND(ISNUMBER(F8),ISNUMBER(E8)),wb1*F8+wb2*E8,IF(ISNUMBER(F8),F8,G8)))/(pit_msft_2027+pfac_msft_2027),site_msft_2027)</f>
        <v>3.85144347642322</v>
      </c>
      <c r="H9" s="8" t="n">
        <f aca="false">IF(ISNUMBER(H8),(pit_msft_2028/(pit_msft_2028+pfac_msft_2028)*H8+pfac_msft_2028/(pit_msft_2028+pfac_msft_2028)*IF(AND(ISNUMBER(G8),ISNUMBER(F8)),wb1*G8+wb2*F8,IF(ISNUMBER(G8),G8,H8)))/(pit_msft_2028+pfac_msft_2028),site_msft_2028)</f>
        <v>4.20542058770135</v>
      </c>
      <c r="I9" s="8" t="n">
        <f aca="false">IF(ISNUMBER(I8),(pit_msft_2029/(pit_msft_2029+pfac_msft_2029)*I8+pfac_msft_2029/(pit_msft_2029+pfac_msft_2029)*IF(AND(ISNUMBER(H8),ISNUMBER(G8)),wb1*H8+wb2*G8,IF(ISNUMBER(H8),H8,I8)))/(pit_msft_2029+pfac_msft_2029),site_msft_2029)</f>
        <v>4.26588923952249</v>
      </c>
    </row>
    <row r="10" customFormat="false" ht="17.15" hidden="false" customHeight="false" outlineLevel="0" collapsed="false">
      <c r="A10" s="0" t="s">
        <v>1203</v>
      </c>
      <c r="B10" s="0" t="s">
        <v>1199</v>
      </c>
      <c r="E10" s="8" t="n">
        <f aca="false">(1-lag)*E9+lag*D9-inv_k*(E9-D9)</f>
        <v>1.32077628689572</v>
      </c>
      <c r="F10" s="8" t="n">
        <f aca="false">(1-lag)*F9+lag*E9-inv_k*(F9-E9)</f>
        <v>2.88677440162885</v>
      </c>
      <c r="G10" s="8" t="n">
        <f aca="false">(1-lag)*G9+lag*F9-inv_k*(G9-F9)</f>
        <v>3.55267164979465</v>
      </c>
      <c r="H10" s="8" t="n">
        <f aca="false">(1-lag)*H9+lag*G9-inv_k*(H9-G9)</f>
        <v>4.03728145984424</v>
      </c>
      <c r="I10" s="8" t="n">
        <f aca="false">(1-lag)*I9+lag*H9-inv_k*(I9-H9)</f>
        <v>4.23716662990745</v>
      </c>
    </row>
    <row r="11" customFormat="false" ht="17.15" hidden="false" customHeight="false" outlineLevel="0" collapsed="false">
      <c r="A11" s="0" t="s">
        <v>1204</v>
      </c>
      <c r="B11" s="0" t="s">
        <v>1205</v>
      </c>
      <c r="D11" s="8" t="n">
        <f aca="false">site_msft_2024</f>
        <v>0</v>
      </c>
      <c r="E11" s="8" t="n">
        <f aca="false">site_msft_2025</f>
        <v>2.13527</v>
      </c>
      <c r="F11" s="8" t="n">
        <f aca="false">site_msft_2026</f>
        <v>0.770955</v>
      </c>
      <c r="G11" s="8" t="n">
        <f aca="false">site_msft_2027</f>
        <v>1.04</v>
      </c>
      <c r="H11" s="8" t="n">
        <f aca="false">site_msft_2028</f>
        <v>1.67</v>
      </c>
      <c r="I11" s="8" t="n">
        <f aca="false">site_msft_2029</f>
        <v>0.144</v>
      </c>
    </row>
    <row r="12" customFormat="false" ht="17.15" hidden="false" customHeight="false" outlineLevel="0" collapsed="false">
      <c r="A12" s="0" t="s">
        <v>1206</v>
      </c>
      <c r="B12" s="0" t="s">
        <v>1207</v>
      </c>
      <c r="D12" s="8" t="str">
        <f aca="false">IF(ISNUMBER(ai2_googl_2024),ai2_googl_2024,"")</f>
        <v/>
      </c>
      <c r="E12" s="8" t="n">
        <f aca="false">IF(ISNUMBER(ai2_googl_2025),ai2_googl_2025,"")</f>
        <v>77.72995</v>
      </c>
      <c r="F12" s="8" t="n">
        <f aca="false">IF(ISNUMBER(ai2_googl_2026),ai2_googl_2026,"")</f>
        <v>170</v>
      </c>
      <c r="G12" s="8" t="n">
        <f aca="false">IF(ISNUMBER(ai2_googl_2027),ai2_googl_2027,"")</f>
        <v>255.83215</v>
      </c>
      <c r="H12" s="8" t="n">
        <f aca="false">IF(ISNUMBER(ai2_googl_2028),ai2_googl_2028,"")</f>
        <v>288.53335</v>
      </c>
      <c r="I12" s="8" t="n">
        <f aca="false">IF(ISNUMBER(ai2_googl_2029),ai2_googl_2029,"")</f>
        <v>317.386685</v>
      </c>
    </row>
    <row r="13" customFormat="false" ht="17.15" hidden="false" customHeight="false" outlineLevel="0" collapsed="false">
      <c r="A13" s="0" t="s">
        <v>1208</v>
      </c>
      <c r="B13" s="0" t="s">
        <v>1209</v>
      </c>
      <c r="D13" s="8" t="n">
        <f aca="false">IF(ISNUMBER(D12),(pit_googl_2024/(pit_googl_2024+pfac_googl_2024)*D12+pfac_googl_2024/(pit_googl_2024+pfac_googl_2024)*IF(AND(ISNUMBER(""),ISNUMBER("")),wb1*""+wb2*"",IF(ISNUMBER(""),"",D12)))/(pit_googl_2024+pfac_googl_2024),site_googl_2024)</f>
        <v>1.32980834349181</v>
      </c>
      <c r="E13" s="8" t="n">
        <f aca="false">IF(ISNUMBER(E12),(pit_googl_2025/(pit_googl_2025+pfac_googl_2025)*E12+pfac_googl_2025/(pit_googl_2025+pfac_googl_2025)*IF(AND(ISNUMBER(D12),ISNUMBER("")),wb1*D12+wb2*"",IF(ISNUMBER(D12),D12,E12)))/(pit_googl_2025+pfac_googl_2025),site_googl_2025)</f>
        <v>2.15653802290354</v>
      </c>
      <c r="F13" s="8" t="n">
        <f aca="false">IF(ISNUMBER(F12),(pit_googl_2026/(pit_googl_2026+pfac_googl_2026)*F12+pfac_googl_2026/(pit_googl_2026+pfac_googl_2026)*IF(AND(ISNUMBER(E12),ISNUMBER(D12)),wb1*E12+wb2*D12,IF(ISNUMBER(E12),E12,F12)))/(pit_googl_2026+pfac_googl_2026),site_googl_2026)</f>
        <v>3.85777511610307</v>
      </c>
      <c r="G13" s="8" t="n">
        <f aca="false">IF(ISNUMBER(G12),(pit_googl_2027/(pit_googl_2027+pfac_googl_2027)*G12+pfac_googl_2027/(pit_googl_2027+pfac_googl_2027)*IF(AND(ISNUMBER(F12),ISNUMBER(E12)),wb1*F12+wb2*E12,IF(ISNUMBER(F12),F12,G12)))/(pit_googl_2027+pfac_googl_2027),site_googl_2027)</f>
        <v>5.69768565998842</v>
      </c>
      <c r="H13" s="8" t="n">
        <f aca="false">IF(ISNUMBER(H12),(pit_googl_2028/(pit_googl_2028+pfac_googl_2028)*H12+pfac_googl_2028/(pit_googl_2028+pfac_googl_2028)*IF(AND(ISNUMBER(G12),ISNUMBER(F12)),wb1*G12+wb2*F12,IF(ISNUMBER(G12),G12,H12)))/(pit_googl_2028+pfac_googl_2028),site_googl_2028)</f>
        <v>6.77682412398345</v>
      </c>
      <c r="I13" s="8" t="n">
        <f aca="false">IF(ISNUMBER(I12),(pit_googl_2029/(pit_googl_2029+pfac_googl_2029)*I12+pfac_googl_2029/(pit_googl_2029+pfac_googl_2029)*IF(AND(ISNUMBER(H12),ISNUMBER(G12)),wb1*H12+wb2*G12,IF(ISNUMBER(H12),H12,I12)))/(pit_googl_2029+pfac_googl_2029),site_googl_2029)</f>
        <v>7.68929590970477</v>
      </c>
    </row>
    <row r="14" customFormat="false" ht="17.15" hidden="false" customHeight="false" outlineLevel="0" collapsed="false">
      <c r="A14" s="0" t="s">
        <v>1210</v>
      </c>
      <c r="B14" s="0" t="s">
        <v>1211</v>
      </c>
      <c r="E14" s="8" t="n">
        <f aca="false">(1-lag)*E13+lag*D13-inv_k*(E13-D13)</f>
        <v>1.76384142518297</v>
      </c>
      <c r="F14" s="8" t="n">
        <f aca="false">(1-lag)*F13+lag*E13-inv_k*(F13-E13)</f>
        <v>3.04968749683329</v>
      </c>
      <c r="G14" s="8" t="n">
        <f aca="false">(1-lag)*G13+lag*F13-inv_k*(G13-F13)</f>
        <v>4.82372815164288</v>
      </c>
      <c r="H14" s="8" t="n">
        <f aca="false">(1-lag)*H13+lag*G13-inv_k*(H13-G13)</f>
        <v>6.26423335358581</v>
      </c>
      <c r="I14" s="8" t="n">
        <f aca="false">(1-lag)*I13+lag*H13-inv_k*(I13-H13)</f>
        <v>7.25587181148715</v>
      </c>
    </row>
    <row r="15" customFormat="false" ht="17.15" hidden="false" customHeight="false" outlineLevel="0" collapsed="false">
      <c r="A15" s="0" t="s">
        <v>1212</v>
      </c>
      <c r="B15" s="0" t="s">
        <v>1213</v>
      </c>
      <c r="D15" s="8" t="n">
        <f aca="false">gcap_googl_2024*ai_sh</f>
        <v>44.65475</v>
      </c>
      <c r="E15" s="8" t="n">
        <f aca="false">gcap_googl_2025*ai_sh</f>
        <v>77.72995</v>
      </c>
      <c r="F15" s="8" t="n">
        <f aca="false">gcap_googl_2026*ai_sh</f>
        <v>170</v>
      </c>
      <c r="G15" s="8" t="n">
        <f aca="false">gcap_googl_2027*ai_sh</f>
        <v>246.810369</v>
      </c>
      <c r="H15" s="8" t="n">
        <f aca="false">gcap_googl_2028*ai_sh</f>
        <v>269.78900975</v>
      </c>
      <c r="I15" s="8" t="n">
        <f aca="false">gcap_googl_2029*ai_sh</f>
        <v>248.6767412</v>
      </c>
    </row>
    <row r="16" customFormat="false" ht="17.15" hidden="false" customHeight="false" outlineLevel="0" collapsed="false">
      <c r="A16" s="0" t="s">
        <v>1214</v>
      </c>
      <c r="B16" s="0" t="s">
        <v>1209</v>
      </c>
      <c r="D16" s="8" t="n">
        <f aca="false">IF(ISNUMBER(D15),(pit_googl_2024/(pit_googl_2024+pfac_googl_2024)*D15+pfac_googl_2024/(pit_googl_2024+pfac_googl_2024)*IF(AND(ISNUMBER(""),ISNUMBER("")),wb1*""+wb2*"",IF(ISNUMBER(""),"",D15)))/(pit_googl_2024+pfac_googl_2024),site_googl_2024)</f>
        <v>1.22628577156267</v>
      </c>
      <c r="E16" s="8" t="n">
        <f aca="false">IF(ISNUMBER(E15),(pit_googl_2025/(pit_googl_2025+pfac_googl_2025)*E15+pfac_googl_2025/(pit_googl_2025+pfac_googl_2025)*IF(AND(ISNUMBER(D15),ISNUMBER("")),wb1*D15+wb2*"",IF(ISNUMBER(D15),D15,E15)))/(pit_googl_2025+pfac_googl_2025),site_googl_2025)</f>
        <v>1.90684085060084</v>
      </c>
      <c r="F16" s="8" t="n">
        <f aca="false">IF(ISNUMBER(F15),(pit_googl_2026/(pit_googl_2026+pfac_googl_2026)*F15+pfac_googl_2026/(pit_googl_2026+pfac_googl_2026)*IF(AND(ISNUMBER(E15),ISNUMBER(D15)),wb1*E15+wb2*D15,IF(ISNUMBER(E15),E15,F15)))/(pit_googl_2026+pfac_googl_2026),site_googl_2026)</f>
        <v>3.74469414665129</v>
      </c>
      <c r="G16" s="8" t="n">
        <f aca="false">IF(ISNUMBER(G15),(pit_googl_2027/(pit_googl_2027+pfac_googl_2027)*G15+pfac_googl_2027/(pit_googl_2027+pfac_googl_2027)*IF(AND(ISNUMBER(F15),ISNUMBER(E15)),wb1*F15+wb2*E15,IF(ISNUMBER(F15),F15,G15)))/(pit_googl_2027+pfac_googl_2027),site_googl_2027)</f>
        <v>5.52479710641755</v>
      </c>
      <c r="H16" s="8" t="n">
        <f aca="false">IF(ISNUMBER(H15),(pit_googl_2028/(pit_googl_2028+pfac_googl_2028)*H15+pfac_googl_2028/(pit_googl_2028+pfac_googl_2028)*IF(AND(ISNUMBER(G15),ISNUMBER(F15)),wb1*G15+wb2*F15,IF(ISNUMBER(G15),G15,H15)))/(pit_googl_2028+pfac_googl_2028),site_googl_2028)</f>
        <v>6.39420249958533</v>
      </c>
      <c r="I16" s="8" t="n">
        <f aca="false">IF(ISNUMBER(I15),(pit_googl_2029/(pit_googl_2029+pfac_googl_2029)*I15+pfac_googl_2029/(pit_googl_2029+pfac_googl_2029)*IF(AND(ISNUMBER(H15),ISNUMBER(G15)),wb1*H15+wb2*G15,IF(ISNUMBER(H15),H15,I15)))/(pit_googl_2029+pfac_googl_2029),site_googl_2029)</f>
        <v>6.30314197516365</v>
      </c>
    </row>
    <row r="17" customFormat="false" ht="17.15" hidden="false" customHeight="false" outlineLevel="0" collapsed="false">
      <c r="A17" s="0" t="s">
        <v>1215</v>
      </c>
      <c r="B17" s="0" t="s">
        <v>1211</v>
      </c>
      <c r="E17" s="8" t="n">
        <f aca="false">(1-lag)*E16+lag*D16-inv_k*(E16-D16)</f>
        <v>1.58357718805771</v>
      </c>
      <c r="F17" s="8" t="n">
        <f aca="false">(1-lag)*F16+lag*E16-inv_k*(F16-E16)</f>
        <v>2.87171383102733</v>
      </c>
      <c r="G17" s="8" t="n">
        <f aca="false">(1-lag)*G16+lag*F16-inv_k*(G16-F16)</f>
        <v>4.67924820052858</v>
      </c>
      <c r="H17" s="8" t="n">
        <f aca="false">(1-lag)*H16+lag*G16-inv_k*(H16-G16)</f>
        <v>5.98123493783063</v>
      </c>
      <c r="I17" s="8" t="n">
        <f aca="false">(1-lag)*I16+lag*H16-inv_k*(I16-H16)</f>
        <v>6.34639572426395</v>
      </c>
    </row>
    <row r="18" customFormat="false" ht="17.15" hidden="false" customHeight="false" outlineLevel="0" collapsed="false">
      <c r="A18" s="0" t="s">
        <v>1216</v>
      </c>
      <c r="B18" s="0" t="s">
        <v>1217</v>
      </c>
      <c r="D18" s="8" t="n">
        <f aca="false">site_googl_2024</f>
        <v>1.32980834349181</v>
      </c>
      <c r="E18" s="8" t="n">
        <f aca="false">site_googl_2025</f>
        <v>2.40961330082622</v>
      </c>
      <c r="F18" s="8" t="n">
        <f aca="false">site_googl_2026</f>
        <v>1.29267912772586</v>
      </c>
      <c r="G18" s="8" t="n">
        <f aca="false">site_googl_2027</f>
        <v>1.626</v>
      </c>
      <c r="H18" s="8" t="n">
        <f aca="false">site_googl_2028</f>
        <v>0.833333333333334</v>
      </c>
      <c r="I18" s="8" t="n">
        <f aca="false">site_googl_2029</f>
        <v>0</v>
      </c>
    </row>
    <row r="19" customFormat="false" ht="17.15" hidden="false" customHeight="false" outlineLevel="0" collapsed="false">
      <c r="A19" s="0" t="s">
        <v>1218</v>
      </c>
      <c r="B19" s="0" t="s">
        <v>1219</v>
      </c>
      <c r="D19" s="8" t="str">
        <f aca="false">IF(ISNUMBER(ai2_amzn_2024),ai2_amzn_2024,"")</f>
        <v/>
      </c>
      <c r="E19" s="8" t="n">
        <f aca="false">IF(ISNUMBER(ai2_amzn_2025),ai2_amzn_2025,"")</f>
        <v>87.2576</v>
      </c>
      <c r="F19" s="8" t="n">
        <f aca="false">IF(ISNUMBER(ai2_amzn_2026),ai2_amzn_2026,"")</f>
        <v>149.6</v>
      </c>
      <c r="G19" s="8" t="n">
        <f aca="false">IF(ISNUMBER(ai2_amzn_2027),ai2_amzn_2027,"")</f>
        <v>187.04284</v>
      </c>
      <c r="H19" s="8" t="n">
        <f aca="false">IF(ISNUMBER(ai2_amzn_2028),ai2_amzn_2028,"")</f>
        <v>199.19036</v>
      </c>
      <c r="I19" s="8" t="n">
        <f aca="false">IF(ISNUMBER(ai2_amzn_2029),ai2_amzn_2029,"")</f>
        <v>219.109396</v>
      </c>
    </row>
    <row r="20" customFormat="false" ht="17.15" hidden="false" customHeight="false" outlineLevel="0" collapsed="false">
      <c r="A20" s="0" t="s">
        <v>1220</v>
      </c>
      <c r="B20" s="0" t="s">
        <v>1221</v>
      </c>
      <c r="D20" s="8" t="n">
        <f aca="false">IF(ISNUMBER(D19),(pit_amzn_2024/(pit_amzn_2024+pfac_amzn_2024)*D19+pfac_amzn_2024/(pit_amzn_2024+pfac_amzn_2024)*IF(AND(ISNUMBER(""),ISNUMBER("")),wb1*""+wb2*"",IF(ISNUMBER(""),"",D19)))/(pit_amzn_2024+pfac_amzn_2024),site_amzn_2024)</f>
        <v>0</v>
      </c>
      <c r="E20" s="8" t="n">
        <f aca="false">IF(ISNUMBER(E19),(pit_amzn_2025/(pit_amzn_2025+pfac_amzn_2025)*E19+pfac_amzn_2025/(pit_amzn_2025+pfac_amzn_2025)*IF(AND(ISNUMBER(D19),ISNUMBER("")),wb1*D19+wb2*"",IF(ISNUMBER(D19),D19,E19)))/(pit_amzn_2025+pfac_amzn_2025),site_amzn_2025)</f>
        <v>2.6200438487091</v>
      </c>
      <c r="F20" s="8" t="n">
        <f aca="false">IF(ISNUMBER(F19),(pit_amzn_2026/(pit_amzn_2026+pfac_amzn_2026)*F19+pfac_amzn_2026/(pit_amzn_2026+pfac_amzn_2026)*IF(AND(ISNUMBER(E19),ISNUMBER(D19)),wb1*E19+wb2*D19,IF(ISNUMBER(E19),E19,F19)))/(pit_amzn_2026+pfac_amzn_2026),site_amzn_2026)</f>
        <v>3.72830685774426</v>
      </c>
      <c r="G20" s="8" t="n">
        <f aca="false">IF(ISNUMBER(G19),(pit_amzn_2027/(pit_amzn_2027+pfac_amzn_2027)*G19+pfac_amzn_2027/(pit_amzn_2027+pfac_amzn_2027)*IF(AND(ISNUMBER(F19),ISNUMBER(E19)),wb1*F19+wb2*E19,IF(ISNUMBER(F19),F19,G19)))/(pit_amzn_2027+pfac_amzn_2027),site_amzn_2027)</f>
        <v>4.54496548273742</v>
      </c>
      <c r="H20" s="8" t="n">
        <f aca="false">IF(ISNUMBER(H19),(pit_amzn_2028/(pit_amzn_2028+pfac_amzn_2028)*H19+pfac_amzn_2028/(pit_amzn_2028+pfac_amzn_2028)*IF(AND(ISNUMBER(G19),ISNUMBER(F19)),wb1*G19+wb2*F19,IF(ISNUMBER(G19),G19,H19)))/(pit_amzn_2028+pfac_amzn_2028),site_amzn_2028)</f>
        <v>4.99623819927339</v>
      </c>
      <c r="I20" s="8" t="n">
        <f aca="false">IF(ISNUMBER(I19),(pit_amzn_2029/(pit_amzn_2029+pfac_amzn_2029)*I19+pfac_amzn_2029/(pit_amzn_2029+pfac_amzn_2029)*IF(AND(ISNUMBER(H19),ISNUMBER(G19)),wb1*H19+wb2*G19,IF(ISNUMBER(H19),H19,I19)))/(pit_amzn_2029+pfac_amzn_2029),site_amzn_2029)</f>
        <v>5.54650880690247</v>
      </c>
    </row>
    <row r="21" customFormat="false" ht="17.15" hidden="false" customHeight="false" outlineLevel="0" collapsed="false">
      <c r="A21" s="0" t="s">
        <v>1222</v>
      </c>
      <c r="B21" s="0" t="s">
        <v>1223</v>
      </c>
      <c r="E21" s="8" t="n">
        <f aca="false">(1-lag)*E20+lag*D20-inv_k*(E20-D20)</f>
        <v>1.37552302057228</v>
      </c>
      <c r="F21" s="8" t="n">
        <f aca="false">(1-lag)*F20+lag*E20-inv_k*(F20-E20)</f>
        <v>3.20188192845256</v>
      </c>
      <c r="G21" s="8" t="n">
        <f aca="false">(1-lag)*G20+lag*F20-inv_k*(G20-F20)</f>
        <v>4.15705263586567</v>
      </c>
      <c r="H21" s="8" t="n">
        <f aca="false">(1-lag)*H20+lag*G20-inv_k*(H20-G20)</f>
        <v>4.78188365891881</v>
      </c>
      <c r="I21" s="8" t="n">
        <f aca="false">(1-lag)*I20+lag*H20-inv_k*(I20-H20)</f>
        <v>5.28513026827866</v>
      </c>
    </row>
    <row r="22" customFormat="false" ht="17.15" hidden="false" customHeight="false" outlineLevel="0" collapsed="false">
      <c r="A22" s="0" t="s">
        <v>1224</v>
      </c>
      <c r="B22" s="0" t="s">
        <v>1225</v>
      </c>
      <c r="D22" s="8" t="n">
        <f aca="false">gcap_amzn_2024*ai_amzn</f>
        <v>52.80744</v>
      </c>
      <c r="E22" s="8" t="n">
        <f aca="false">gcap_amzn_2025*ai_amzn</f>
        <v>87.2576</v>
      </c>
      <c r="F22" s="8" t="n">
        <f aca="false">gcap_amzn_2026*ai_amzn</f>
        <v>149.6</v>
      </c>
      <c r="G22" s="8" t="n">
        <f aca="false">gcap_amzn_2027*ai_amzn</f>
        <v>172.09445848</v>
      </c>
      <c r="H22" s="8" t="n">
        <f aca="false">gcap_amzn_2028*ai_amzn</f>
        <v>181.54066624</v>
      </c>
      <c r="I22" s="8" t="n">
        <f aca="false">gcap_amzn_2029*ai_amzn</f>
        <v>189.3160052</v>
      </c>
    </row>
    <row r="23" customFormat="false" ht="17.15" hidden="false" customHeight="false" outlineLevel="0" collapsed="false">
      <c r="A23" s="0" t="s">
        <v>1226</v>
      </c>
      <c r="B23" s="0" t="s">
        <v>1221</v>
      </c>
      <c r="D23" s="8" t="n">
        <f aca="false">IF(ISNUMBER(D22),(pit_amzn_2024/(pit_amzn_2024+pfac_amzn_2024)*D22+pfac_amzn_2024/(pit_amzn_2024+pfac_amzn_2024)*IF(AND(ISNUMBER(""),ISNUMBER("")),wb1*""+wb2*"",IF(ISNUMBER(""),"",D22)))/(pit_amzn_2024+pfac_amzn_2024),site_amzn_2024)</f>
        <v>1.56238534864816</v>
      </c>
      <c r="E23" s="8" t="n">
        <f aca="false">IF(ISNUMBER(E22),(pit_amzn_2025/(pit_amzn_2025+pfac_amzn_2025)*E22+pfac_amzn_2025/(pit_amzn_2025+pfac_amzn_2025)*IF(AND(ISNUMBER(D22),ISNUMBER("")),wb1*D22+wb2*"",IF(ISNUMBER(D22),D22,E22)))/(pit_amzn_2025+pfac_amzn_2025),site_amzn_2025)</f>
        <v>2.32934283296825</v>
      </c>
      <c r="F23" s="8" t="n">
        <f aca="false">IF(ISNUMBER(F22),(pit_amzn_2026/(pit_amzn_2026+pfac_amzn_2026)*F22+pfac_amzn_2026/(pit_amzn_2026+pfac_amzn_2026)*IF(AND(ISNUMBER(E22),ISNUMBER(D22)),wb1*E22+wb2*D22,IF(ISNUMBER(E22),E22,F22)))/(pit_amzn_2026+pfac_amzn_2026),site_amzn_2026)</f>
        <v>3.60214892289839</v>
      </c>
      <c r="G23" s="8" t="n">
        <f aca="false">IF(ISNUMBER(G22),(pit_amzn_2027/(pit_amzn_2027+pfac_amzn_2027)*G22+pfac_amzn_2027/(pit_amzn_2027+pfac_amzn_2027)*IF(AND(ISNUMBER(F22),ISNUMBER(E22)),wb1*F22+wb2*E22,IF(ISNUMBER(F22),F22,G22)))/(pit_amzn_2027+pfac_amzn_2027),site_amzn_2027)</f>
        <v>4.24515505663672</v>
      </c>
      <c r="H23" s="8" t="n">
        <f aca="false">IF(ISNUMBER(H22),(pit_amzn_2028/(pit_amzn_2028+pfac_amzn_2028)*H22+pfac_amzn_2028/(pit_amzn_2028+pfac_amzn_2028)*IF(AND(ISNUMBER(G22),ISNUMBER(F22)),wb1*G22+wb2*F22,IF(ISNUMBER(G22),G22,H22)))/(pit_amzn_2028+pfac_amzn_2028),site_amzn_2028)</f>
        <v>4.60085769114469</v>
      </c>
      <c r="I23" s="8" t="n">
        <f aca="false">IF(ISNUMBER(I22),(pit_amzn_2029/(pit_amzn_2029+pfac_amzn_2029)*I22+pfac_amzn_2029/(pit_amzn_2029+pfac_amzn_2029)*IF(AND(ISNUMBER(H22),ISNUMBER(G22)),wb1*H22+wb2*G22,IF(ISNUMBER(H22),H22,I22)))/(pit_amzn_2029+pfac_amzn_2029),site_amzn_2029)</f>
        <v>4.85567033897056</v>
      </c>
    </row>
    <row r="24" customFormat="false" ht="17.15" hidden="false" customHeight="false" outlineLevel="0" collapsed="false">
      <c r="A24" s="0" t="s">
        <v>1227</v>
      </c>
      <c r="B24" s="0" t="s">
        <v>1223</v>
      </c>
      <c r="E24" s="8" t="n">
        <f aca="false">(1-lag)*E23+lag*D23-inv_k*(E23-D23)</f>
        <v>1.96503802791621</v>
      </c>
      <c r="F24" s="8" t="n">
        <f aca="false">(1-lag)*F23+lag*E23-inv_k*(F23-E23)</f>
        <v>2.99756603018157</v>
      </c>
      <c r="G24" s="8" t="n">
        <f aca="false">(1-lag)*G23+lag*F23-inv_k*(G23-F23)</f>
        <v>3.93972714311101</v>
      </c>
      <c r="H24" s="8" t="n">
        <f aca="false">(1-lag)*H23+lag*G23-inv_k*(H23-G23)</f>
        <v>4.4318989397534</v>
      </c>
      <c r="I24" s="8" t="n">
        <f aca="false">(1-lag)*I23+lag*H23-inv_k*(I23-H23)</f>
        <v>4.73463433125327</v>
      </c>
    </row>
    <row r="25" customFormat="false" ht="17.15" hidden="false" customHeight="false" outlineLevel="0" collapsed="false">
      <c r="A25" s="0" t="s">
        <v>1228</v>
      </c>
      <c r="B25" s="0" t="s">
        <v>1229</v>
      </c>
      <c r="D25" s="8" t="n">
        <f aca="false">site_amzn_2024</f>
        <v>0</v>
      </c>
      <c r="E25" s="8" t="n">
        <f aca="false">site_amzn_2025</f>
        <v>1.38971599402093</v>
      </c>
      <c r="F25" s="8" t="n">
        <f aca="false">site_amzn_2026</f>
        <v>0.527</v>
      </c>
      <c r="G25" s="8" t="n">
        <f aca="false">site_amzn_2027</f>
        <v>0.364</v>
      </c>
      <c r="H25" s="8" t="n">
        <f aca="false">site_amzn_2028</f>
        <v>1.744</v>
      </c>
      <c r="I25" s="8" t="n">
        <f aca="false">site_amzn_2029</f>
        <v>0.0620000000000003</v>
      </c>
    </row>
    <row r="26" customFormat="false" ht="17.15" hidden="false" customHeight="false" outlineLevel="0" collapsed="false">
      <c r="A26" s="0" t="s">
        <v>1230</v>
      </c>
      <c r="B26" s="0" t="s">
        <v>1231</v>
      </c>
      <c r="D26" s="8" t="str">
        <f aca="false">IF(ISNUMBER(ai2_meta_2024),ai2_meta_2024,"")</f>
        <v/>
      </c>
      <c r="E26" s="8" t="str">
        <f aca="false">IF(ISNUMBER(ai2_meta_2025),ai2_meta_2025,"")</f>
        <v/>
      </c>
      <c r="F26" s="8" t="n">
        <f aca="false">IF(ISNUMBER(ai2_meta_2026),ai2_meta_2026,"")</f>
        <v>119</v>
      </c>
      <c r="G26" s="8" t="n">
        <f aca="false">IF(ISNUMBER(ai2_meta_2027),ai2_meta_2027,"")</f>
        <v>130.9</v>
      </c>
      <c r="H26" s="8" t="n">
        <f aca="false">IF(ISNUMBER(ai2_meta_2028),ai2_meta_2028,"")</f>
        <v>143.99</v>
      </c>
      <c r="I26" s="8" t="n">
        <f aca="false">IF(ISNUMBER(ai2_meta_2029),ai2_meta_2029,"")</f>
        <v>158.389</v>
      </c>
    </row>
    <row r="27" customFormat="false" ht="17.15" hidden="false" customHeight="false" outlineLevel="0" collapsed="false">
      <c r="A27" s="0" t="s">
        <v>1232</v>
      </c>
      <c r="B27" s="0" t="s">
        <v>1233</v>
      </c>
      <c r="D27" s="8" t="n">
        <f aca="false">IF(ISNUMBER(D26),(pit_meta_2024/(pit_meta_2024+pfac_meta_2024)*D26+pfac_meta_2024/(pit_meta_2024+pfac_meta_2024)*IF(AND(ISNUMBER(""),ISNUMBER("")),wb1*""+wb2*"",IF(ISNUMBER(""),"",D26)))/(pit_meta_2024+pfac_meta_2024),site_meta_2024)</f>
        <v>0</v>
      </c>
      <c r="E27" s="8" t="n">
        <f aca="false">IF(ISNUMBER(E26),(pit_meta_2025/(pit_meta_2025+pfac_meta_2025)*E26+pfac_meta_2025/(pit_meta_2025+pfac_meta_2025)*IF(AND(ISNUMBER(D26),ISNUMBER("")),wb1*D26+wb2*"",IF(ISNUMBER(D26),D26,E26)))/(pit_meta_2025+pfac_meta_2025),site_meta_2025)</f>
        <v>1.50812</v>
      </c>
      <c r="F27" s="8" t="n">
        <f aca="false">IF(ISNUMBER(F26),(pit_meta_2026/(pit_meta_2026+pfac_meta_2026)*F26+pfac_meta_2026/(pit_meta_2026+pfac_meta_2026)*IF(AND(ISNUMBER(E26),ISNUMBER(D26)),wb1*E26+wb2*D26,IF(ISNUMBER(E26),E26,F26)))/(pit_meta_2026+pfac_meta_2026),site_meta_2026)</f>
        <v>2.62796503624796</v>
      </c>
      <c r="G27" s="8" t="n">
        <f aca="false">IF(ISNUMBER(G26),(pit_meta_2027/(pit_meta_2027+pfac_meta_2027)*G26+pfac_meta_2027/(pit_meta_2027+pfac_meta_2027)*IF(AND(ISNUMBER(F26),ISNUMBER(E26)),wb1*F26+wb2*E26,IF(ISNUMBER(F26),F26,G26)))/(pit_meta_2027+pfac_meta_2027),site_meta_2027)</f>
        <v>2.62451187863681</v>
      </c>
      <c r="H27" s="8" t="n">
        <f aca="false">IF(ISNUMBER(H26),(pit_meta_2028/(pit_meta_2028+pfac_meta_2028)*H26+pfac_meta_2028/(pit_meta_2028+pfac_meta_2028)*IF(AND(ISNUMBER(G26),ISNUMBER(F26)),wb1*G26+wb2*F26,IF(ISNUMBER(G26),G26,H26)))/(pit_meta_2028+pfac_meta_2028),site_meta_2028)</f>
        <v>2.73641202658015</v>
      </c>
      <c r="I27" s="8" t="n">
        <f aca="false">IF(ISNUMBER(I26),(pit_meta_2029/(pit_meta_2029+pfac_meta_2029)*I26+pfac_meta_2029/(pit_meta_2029+pfac_meta_2029)*IF(AND(ISNUMBER(H26),ISNUMBER(G26)),wb1*H26+wb2*G26,IF(ISNUMBER(H26),H26,I26)))/(pit_meta_2029+pfac_meta_2029),site_meta_2029)</f>
        <v>3.01174825182942</v>
      </c>
    </row>
    <row r="28" customFormat="false" ht="17.15" hidden="false" customHeight="false" outlineLevel="0" collapsed="false">
      <c r="A28" s="0" t="s">
        <v>1234</v>
      </c>
      <c r="B28" s="0" t="s">
        <v>1235</v>
      </c>
      <c r="E28" s="8" t="n">
        <f aca="false">(1-lag)*E27+lag*D27-inv_k*(E27-D27)</f>
        <v>0.791763</v>
      </c>
      <c r="F28" s="8" t="n">
        <f aca="false">(1-lag)*F27+lag*E27-inv_k*(F27-E27)</f>
        <v>2.09603864403018</v>
      </c>
      <c r="G28" s="8" t="n">
        <f aca="false">(1-lag)*G27+lag*F27-inv_k*(G27-F27)</f>
        <v>2.62615212850211</v>
      </c>
      <c r="H28" s="8" t="n">
        <f aca="false">(1-lag)*H27+lag*G27-inv_k*(H27-G27)</f>
        <v>2.68325945630706</v>
      </c>
      <c r="I28" s="8" t="n">
        <f aca="false">(1-lag)*I27+lag*H27-inv_k*(I27-H27)</f>
        <v>2.88096354483602</v>
      </c>
    </row>
    <row r="29" customFormat="false" ht="17.15" hidden="false" customHeight="false" outlineLevel="0" collapsed="false">
      <c r="A29" s="0" t="s">
        <v>1236</v>
      </c>
      <c r="B29" s="0" t="s">
        <v>1237</v>
      </c>
      <c r="D29" s="8" t="n">
        <f aca="false">gcap_meta_2024*ai_sh</f>
        <v>33.34125</v>
      </c>
      <c r="E29" s="8" t="n">
        <f aca="false">gcap_meta_2025*ai_sh</f>
        <v>61.38275</v>
      </c>
      <c r="F29" s="8" t="n">
        <f aca="false">gcap_meta_2026*ai_sh</f>
        <v>119</v>
      </c>
      <c r="G29" s="8" t="n">
        <f aca="false">gcap_meta_2027*ai_sh</f>
        <v>174.8499963</v>
      </c>
      <c r="H29" s="8" t="n">
        <f aca="false">gcap_meta_2028*ai_sh</f>
        <v>186.39077355</v>
      </c>
      <c r="I29" s="8" t="n">
        <f aca="false">gcap_meta_2029*ai_sh</f>
        <v>165.57988355</v>
      </c>
    </row>
    <row r="30" customFormat="false" ht="17.15" hidden="false" customHeight="false" outlineLevel="0" collapsed="false">
      <c r="A30" s="0" t="s">
        <v>1238</v>
      </c>
      <c r="B30" s="0" t="s">
        <v>1233</v>
      </c>
      <c r="D30" s="8" t="n">
        <f aca="false">IF(ISNUMBER(D29),(pit_meta_2024/(pit_meta_2024+pfac_meta_2024)*D29+pfac_meta_2024/(pit_meta_2024+pfac_meta_2024)*IF(AND(ISNUMBER(""),ISNUMBER("")),wb1*""+wb2*"",IF(ISNUMBER(""),"",D29)))/(pit_meta_2024+pfac_meta_2024),site_meta_2024)</f>
        <v>0.817493736320288</v>
      </c>
      <c r="E30" s="8" t="n">
        <f aca="false">IF(ISNUMBER(E29),(pit_meta_2025/(pit_meta_2025+pfac_meta_2025)*E29+pfac_meta_2025/(pit_meta_2025+pfac_meta_2025)*IF(AND(ISNUMBER(D29),ISNUMBER("")),wb1*D29+wb2*"",IF(ISNUMBER(D29),D29,E29)))/(pit_meta_2025+pfac_meta_2025),site_meta_2025)</f>
        <v>1.33044623899154</v>
      </c>
      <c r="F30" s="8" t="n">
        <f aca="false">IF(ISNUMBER(F29),(pit_meta_2026/(pit_meta_2026+pfac_meta_2026)*F29+pfac_meta_2026/(pit_meta_2026+pfac_meta_2026)*IF(AND(ISNUMBER(E29),ISNUMBER(D29)),wb1*E29+wb2*D29,IF(ISNUMBER(E29),E29,F29)))/(pit_meta_2026+pfac_meta_2026),site_meta_2026)</f>
        <v>2.20112683043242</v>
      </c>
      <c r="G30" s="8" t="n">
        <f aca="false">IF(ISNUMBER(G29),(pit_meta_2027/(pit_meta_2027+pfac_meta_2027)*G29+pfac_meta_2027/(pit_meta_2027+pfac_meta_2027)*IF(AND(ISNUMBER(F29),ISNUMBER(E29)),wb1*F29+wb2*E29,IF(ISNUMBER(F29),F29,G29)))/(pit_meta_2027+pfac_meta_2027),site_meta_2027)</f>
        <v>3.15406141077207</v>
      </c>
      <c r="H30" s="8" t="n">
        <f aca="false">IF(ISNUMBER(H29),(pit_meta_2028/(pit_meta_2028+pfac_meta_2028)*H29+pfac_meta_2028/(pit_meta_2028+pfac_meta_2028)*IF(AND(ISNUMBER(G29),ISNUMBER(F29)),wb1*G29+wb2*F29,IF(ISNUMBER(G29),G29,H29)))/(pit_meta_2028+pfac_meta_2028),site_meta_2028)</f>
        <v>3.47282806845288</v>
      </c>
      <c r="I30" s="8" t="n">
        <f aca="false">IF(ISNUMBER(I29),(pit_meta_2029/(pit_meta_2029+pfac_meta_2029)*I29+pfac_meta_2029/(pit_meta_2029+pfac_meta_2029)*IF(AND(ISNUMBER(H29),ISNUMBER(G29)),wb1*H29+wb2*G29,IF(ISNUMBER(H29),H29,I29)))/(pit_meta_2029+pfac_meta_2029),site_meta_2029)</f>
        <v>3.32152343881153</v>
      </c>
    </row>
    <row r="31" customFormat="false" ht="17.15" hidden="false" customHeight="false" outlineLevel="0" collapsed="false">
      <c r="A31" s="0" t="s">
        <v>1239</v>
      </c>
      <c r="B31" s="0" t="s">
        <v>1235</v>
      </c>
      <c r="E31" s="8" t="n">
        <f aca="false">(1-lag)*E30+lag*D30-inv_k*(E30-D30)</f>
        <v>1.08679380022269</v>
      </c>
      <c r="F31" s="8" t="n">
        <f aca="false">(1-lag)*F30+lag*E30-inv_k*(F30-E30)</f>
        <v>1.787553549498</v>
      </c>
      <c r="G31" s="8" t="n">
        <f aca="false">(1-lag)*G30+lag*F30-inv_k*(G30-F30)</f>
        <v>2.70141748511073</v>
      </c>
      <c r="H31" s="8" t="n">
        <f aca="false">(1-lag)*H30+lag*G30-inv_k*(H30-G30)</f>
        <v>3.32141390605449</v>
      </c>
      <c r="I31" s="8" t="n">
        <f aca="false">(1-lag)*I30+lag*H30-inv_k*(I30-H30)</f>
        <v>3.39339313789117</v>
      </c>
    </row>
    <row r="32" customFormat="false" ht="17.15" hidden="false" customHeight="false" outlineLevel="0" collapsed="false">
      <c r="A32" s="0" t="s">
        <v>1240</v>
      </c>
      <c r="B32" s="0" t="s">
        <v>1241</v>
      </c>
      <c r="D32" s="8" t="n">
        <f aca="false">site_meta_2024</f>
        <v>0</v>
      </c>
      <c r="E32" s="8" t="n">
        <f aca="false">site_meta_2025</f>
        <v>1.50812</v>
      </c>
      <c r="F32" s="8" t="n">
        <f aca="false">site_meta_2026</f>
        <v>0.676</v>
      </c>
      <c r="G32" s="8" t="n">
        <f aca="false">site_meta_2027</f>
        <v>0.615</v>
      </c>
      <c r="H32" s="8" t="n">
        <f aca="false">site_meta_2028</f>
        <v>2.99433333333333</v>
      </c>
      <c r="I32" s="8" t="n">
        <f aca="false">site_meta_2029</f>
        <v>0.968</v>
      </c>
    </row>
    <row r="33" customFormat="false" ht="17.15" hidden="false" customHeight="false" outlineLevel="0" collapsed="false">
      <c r="A33" s="0" t="s">
        <v>1242</v>
      </c>
      <c r="B33" s="0" t="s">
        <v>1243</v>
      </c>
      <c r="D33" s="8" t="str">
        <f aca="false">IF(ISNUMBER(ai2_orcl_2024),ai2_orcl_2024,"")</f>
        <v/>
      </c>
      <c r="E33" s="8" t="n">
        <f aca="false">IF(ISNUMBER(ai2_orcl_2025),ai2_orcl_2025,"")</f>
        <v>35.1132166666667</v>
      </c>
      <c r="F33" s="8" t="n">
        <f aca="false">IF(ISNUMBER(ai2_orcl_2026),ai2_orcl_2026,"")</f>
        <v>65.5785625</v>
      </c>
      <c r="G33" s="8" t="n">
        <f aca="false">IF(ISNUMBER(ai2_orcl_2027),ai2_orcl_2027,"")</f>
        <v>82.8207416666667</v>
      </c>
      <c r="H33" s="8" t="n">
        <f aca="false">IF(ISNUMBER(ai2_orcl_2028),ai2_orcl_2028,"")</f>
        <v>77.8278416666667</v>
      </c>
      <c r="I33" s="8" t="n">
        <f aca="false">IF(ISNUMBER(ai2_orcl_2029),ai2_orcl_2029,"")</f>
        <v>76.3278466666667</v>
      </c>
    </row>
    <row r="34" customFormat="false" ht="17.15" hidden="false" customHeight="false" outlineLevel="0" collapsed="false">
      <c r="A34" s="0" t="s">
        <v>1244</v>
      </c>
      <c r="B34" s="0" t="s">
        <v>1245</v>
      </c>
      <c r="D34" s="8" t="n">
        <f aca="false">IF(ISNUMBER(D33),(pit_orcl_2024/(pit_orcl_2024+pfac_orcl_2024)*D33+pfac_orcl_2024/(pit_orcl_2024+pfac_orcl_2024)*IF(AND(ISNUMBER(""),ISNUMBER("")),wb1*""+wb2*"",IF(ISNUMBER(""),"",D33)))/(pit_orcl_2024+pfac_orcl_2024),site_orcl_2024)</f>
        <v>0</v>
      </c>
      <c r="E34" s="8" t="n">
        <f aca="false">IF(ISNUMBER(E33),(pit_orcl_2025/(pit_orcl_2025+pfac_orcl_2025)*E33+pfac_orcl_2025/(pit_orcl_2025+pfac_orcl_2025)*IF(AND(ISNUMBER(D33),ISNUMBER("")),wb1*D33+wb2*"",IF(ISNUMBER(D33),D33,E33)))/(pit_orcl_2025+pfac_orcl_2025),site_orcl_2025)</f>
        <v>0.885776418247533</v>
      </c>
      <c r="F34" s="8" t="n">
        <f aca="false">IF(ISNUMBER(F33),(pit_orcl_2026/(pit_orcl_2026+pfac_orcl_2026)*F33+pfac_orcl_2026/(pit_orcl_2026+pfac_orcl_2026)*IF(AND(ISNUMBER(E33),ISNUMBER(D33)),wb1*E33+wb2*D33,IF(ISNUMBER(E33),E33,F33)))/(pit_orcl_2026+pfac_orcl_2026),site_orcl_2026)</f>
        <v>1.26669929939621</v>
      </c>
      <c r="G34" s="8" t="n">
        <f aca="false">IF(ISNUMBER(G33),(pit_orcl_2027/(pit_orcl_2027+pfac_orcl_2027)*G33+pfac_orcl_2027/(pit_orcl_2027+pfac_orcl_2027)*IF(AND(ISNUMBER(F33),ISNUMBER(E33)),wb1*F33+wb2*E33,IF(ISNUMBER(F33),F33,G33)))/(pit_orcl_2027+pfac_orcl_2027),site_orcl_2027)</f>
        <v>1.53296918960021</v>
      </c>
      <c r="H34" s="8" t="n">
        <f aca="false">IF(ISNUMBER(H33),(pit_orcl_2028/(pit_orcl_2028+pfac_orcl_2028)*H33+pfac_orcl_2028/(pit_orcl_2028+pfac_orcl_2028)*IF(AND(ISNUMBER(G33),ISNUMBER(F33)),wb1*G33+wb2*F33,IF(ISNUMBER(G33),G33,H33)))/(pit_orcl_2028+pfac_orcl_2028),site_orcl_2028)</f>
        <v>1.51024789659781</v>
      </c>
      <c r="I34" s="8" t="n">
        <f aca="false">IF(ISNUMBER(I33),(pit_orcl_2029/(pit_orcl_2029+pfac_orcl_2029)*I33+pfac_orcl_2029/(pit_orcl_2029+pfac_orcl_2029)*IF(AND(ISNUMBER(H33),ISNUMBER(G33)),wb1*H33+wb2*G33,IF(ISNUMBER(H33),H33,I33)))/(pit_orcl_2029+pfac_orcl_2029),site_orcl_2029)</f>
        <v>1.51737350859667</v>
      </c>
    </row>
    <row r="35" customFormat="false" ht="17.15" hidden="false" customHeight="false" outlineLevel="0" collapsed="false">
      <c r="A35" s="0" t="s">
        <v>1246</v>
      </c>
      <c r="B35" s="0" t="s">
        <v>1247</v>
      </c>
      <c r="E35" s="8" t="n">
        <f aca="false">(1-lag)*E34+lag*D34-inv_k*(E34-D34)</f>
        <v>0.465032619579955</v>
      </c>
      <c r="F35" s="8" t="n">
        <f aca="false">(1-lag)*F34+lag*E34-inv_k*(F34-E34)</f>
        <v>1.08576093085059</v>
      </c>
      <c r="G35" s="8" t="n">
        <f aca="false">(1-lag)*G34+lag*F34-inv_k*(G34-F34)</f>
        <v>1.40649099175331</v>
      </c>
      <c r="H35" s="8" t="n">
        <f aca="false">(1-lag)*H34+lag*G34-inv_k*(H34-G34)</f>
        <v>1.52104051077395</v>
      </c>
      <c r="I35" s="8" t="n">
        <f aca="false">(1-lag)*I34+lag*H34-inv_k*(I34-H34)</f>
        <v>1.51398884289721</v>
      </c>
    </row>
    <row r="36" customFormat="false" ht="17.15" hidden="false" customHeight="false" outlineLevel="0" collapsed="false">
      <c r="A36" s="0" t="s">
        <v>1248</v>
      </c>
      <c r="B36" s="0" t="s">
        <v>1249</v>
      </c>
      <c r="D36" s="8" t="str">
        <f aca="false">""</f>
        <v/>
      </c>
      <c r="E36" s="8" t="n">
        <f aca="false">(5/12*cap2_orcl_2025+7/12*gcap_orcl_2026)*ai_sh</f>
        <v>35.1132166666667</v>
      </c>
      <c r="F36" s="8" t="n">
        <f aca="false">(5/12*gcap_orcl_2026+7/12*gcap_orcl_2027)*ai_sh</f>
        <v>65.5785625</v>
      </c>
      <c r="G36" s="8" t="n">
        <f aca="false">(5/12*gcap_orcl_2027+7/12*gcap_orcl_2028)*ai_sh</f>
        <v>75.599189975</v>
      </c>
      <c r="H36" s="8" t="n">
        <f aca="false">(5/12*gcap_orcl_2028+7/12*gcap_orcl_2029)*ai_sh</f>
        <v>49.4435487791667</v>
      </c>
      <c r="I36" s="8" t="n">
        <f aca="false">(5/12*gcap_orcl_2029+7/12*gcap_orcl_2030)*ai_sh</f>
        <v>23.382754125</v>
      </c>
    </row>
    <row r="37" customFormat="false" ht="17.15" hidden="false" customHeight="false" outlineLevel="0" collapsed="false">
      <c r="A37" s="0" t="s">
        <v>1250</v>
      </c>
      <c r="B37" s="0" t="s">
        <v>1245</v>
      </c>
      <c r="D37" s="8" t="n">
        <f aca="false">IF(ISNUMBER(D36),(pit_orcl_2024/(pit_orcl_2024+pfac_orcl_2024)*D36+pfac_orcl_2024/(pit_orcl_2024+pfac_orcl_2024)*IF(AND(ISNUMBER(""),ISNUMBER("")),wb1*""+wb2*"",IF(ISNUMBER(""),"",D36)))/(pit_orcl_2024+pfac_orcl_2024),site_orcl_2024)</f>
        <v>0</v>
      </c>
      <c r="E37" s="8" t="n">
        <f aca="false">IF(ISNUMBER(E36),(pit_orcl_2025/(pit_orcl_2025+pfac_orcl_2025)*E36+pfac_orcl_2025/(pit_orcl_2025+pfac_orcl_2025)*IF(AND(ISNUMBER(D36),ISNUMBER("")),wb1*D36+wb2*"",IF(ISNUMBER(D36),D36,E36)))/(pit_orcl_2025+pfac_orcl_2025),site_orcl_2025)</f>
        <v>0.885776418247532</v>
      </c>
      <c r="F37" s="8" t="n">
        <f aca="false">IF(ISNUMBER(F36),(pit_orcl_2026/(pit_orcl_2026+pfac_orcl_2026)*F36+pfac_orcl_2026/(pit_orcl_2026+pfac_orcl_2026)*IF(AND(ISNUMBER(E36),ISNUMBER(D36)),wb1*E36+wb2*D36,IF(ISNUMBER(E36),E36,F36)))/(pit_orcl_2026+pfac_orcl_2026),site_orcl_2026)</f>
        <v>1.26669929939621</v>
      </c>
      <c r="G37" s="8" t="n">
        <f aca="false">IF(ISNUMBER(G36),(pit_orcl_2027/(pit_orcl_2027+pfac_orcl_2027)*G36+pfac_orcl_2027/(pit_orcl_2027+pfac_orcl_2027)*IF(AND(ISNUMBER(F36),ISNUMBER(E36)),wb1*F36+wb2*E36,IF(ISNUMBER(F36),F36,G36)))/(pit_orcl_2027+pfac_orcl_2027),site_orcl_2027)</f>
        <v>1.42175083118347</v>
      </c>
      <c r="H37" s="8" t="n">
        <f aca="false">IF(ISNUMBER(H36),(pit_orcl_2028/(pit_orcl_2028+pfac_orcl_2028)*H36+pfac_orcl_2028/(pit_orcl_2028+pfac_orcl_2028)*IF(AND(ISNUMBER(G36),ISNUMBER(F36)),wb1*G36+wb2*F36,IF(ISNUMBER(G36),G36,H36)))/(pit_orcl_2028+pfac_orcl_2028),site_orcl_2028)</f>
        <v>1.06923453221276</v>
      </c>
      <c r="I37" s="8" t="n">
        <f aca="false">IF(ISNUMBER(I36),(pit_orcl_2029/(pit_orcl_2029+pfac_orcl_2029)*I36+pfac_orcl_2029/(pit_orcl_2029+pfac_orcl_2029)*IF(AND(ISNUMBER(H36),ISNUMBER(G36)),wb1*H36+wb2*G36,IF(ISNUMBER(H36),H36,I36)))/(pit_orcl_2029+pfac_orcl_2029),site_orcl_2029)</f>
        <v>0.642469547070952</v>
      </c>
    </row>
    <row r="38" customFormat="false" ht="17.15" hidden="false" customHeight="false" outlineLevel="0" collapsed="false">
      <c r="A38" s="0" t="s">
        <v>1251</v>
      </c>
      <c r="B38" s="0" t="s">
        <v>1247</v>
      </c>
      <c r="E38" s="8" t="n">
        <f aca="false">(1-lag)*E37+lag*D37-inv_k*(E37-D37)</f>
        <v>0.465032619579954</v>
      </c>
      <c r="F38" s="8" t="n">
        <f aca="false">(1-lag)*F37+lag*E37-inv_k*(F37-E37)</f>
        <v>1.08576093085059</v>
      </c>
      <c r="G38" s="8" t="n">
        <f aca="false">(1-lag)*G37+lag*F37-inv_k*(G37-F37)</f>
        <v>1.34810135358452</v>
      </c>
      <c r="H38" s="8" t="n">
        <f aca="false">(1-lag)*H37+lag*G37-inv_k*(H37-G37)</f>
        <v>1.23667977422385</v>
      </c>
      <c r="I38" s="8" t="n">
        <f aca="false">(1-lag)*I37+lag*H37-inv_k*(I37-H37)</f>
        <v>0.845182915013309</v>
      </c>
    </row>
    <row r="39" customFormat="false" ht="17.15" hidden="false" customHeight="false" outlineLevel="0" collapsed="false">
      <c r="A39" s="0" t="s">
        <v>1252</v>
      </c>
      <c r="B39" s="0" t="s">
        <v>1253</v>
      </c>
      <c r="D39" s="8" t="n">
        <f aca="false">site_orcl_2024</f>
        <v>0</v>
      </c>
      <c r="E39" s="8" t="n">
        <f aca="false">site_orcl_2025</f>
        <v>0.816405</v>
      </c>
      <c r="F39" s="8" t="n">
        <f aca="false">site_orcl_2026</f>
        <v>1.54613</v>
      </c>
      <c r="G39" s="8" t="n">
        <f aca="false">site_orcl_2027</f>
        <v>0.944166666666667</v>
      </c>
      <c r="H39" s="8" t="n">
        <f aca="false">site_orcl_2028</f>
        <v>4.91166666666667</v>
      </c>
      <c r="I39" s="8" t="n">
        <f aca="false">site_orcl_2029</f>
        <v>0</v>
      </c>
    </row>
    <row r="40" customFormat="false" ht="17.15" hidden="false" customHeight="false" outlineLevel="0" collapsed="false">
      <c r="A40" s="0" t="s">
        <v>1254</v>
      </c>
      <c r="B40" s="0" t="s">
        <v>1255</v>
      </c>
      <c r="D40" s="8" t="str">
        <f aca="false">IF(ISNUMBER(ai2_crwv_2024),ai2_crwv_2024,"")</f>
        <v/>
      </c>
      <c r="E40" s="8" t="str">
        <f aca="false">IF(ISNUMBER(ai2_crwv_2025),ai2_crwv_2025,"")</f>
        <v/>
      </c>
      <c r="F40" s="8" t="n">
        <f aca="false">IF(ISNUMBER(ai2_crwv_2026),ai2_crwv_2026,"")</f>
        <v>31.45</v>
      </c>
      <c r="G40" s="8" t="n">
        <f aca="false">IF(ISNUMBER(ai2_crwv_2027),ai2_crwv_2027,"")</f>
        <v>39.5046</v>
      </c>
      <c r="H40" s="8" t="n">
        <f aca="false">IF(ISNUMBER(ai2_crwv_2028),ai2_crwv_2028,"")</f>
        <v>42.60965</v>
      </c>
      <c r="I40" s="8" t="n">
        <f aca="false">IF(ISNUMBER(ai2_crwv_2029),ai2_crwv_2029,"")</f>
        <v>46.870615</v>
      </c>
    </row>
    <row r="41" customFormat="false" ht="17.15" hidden="false" customHeight="false" outlineLevel="0" collapsed="false">
      <c r="A41" s="0" t="s">
        <v>1256</v>
      </c>
      <c r="B41" s="0" t="s">
        <v>1257</v>
      </c>
      <c r="D41" s="8" t="n">
        <f aca="false">IF(ISNUMBER(D40),(pit_crwv_2024/(pit_crwv_2024+pfac_crwv_2024)*D40+pfac_crwv_2024/(pit_crwv_2024+pfac_crwv_2024)*IF(AND(ISNUMBER(""),ISNUMBER("")),wb1*""+wb2*"",IF(ISNUMBER(""),"",D40)))/(pit_crwv_2024+pfac_crwv_2024),site_crwv_2024)</f>
        <v>0.29</v>
      </c>
      <c r="E41" s="8" t="n">
        <f aca="false">IF(ISNUMBER(E40),(pit_crwv_2025/(pit_crwv_2025+pfac_crwv_2025)*E40+pfac_crwv_2025/(pit_crwv_2025+pfac_crwv_2025)*IF(AND(ISNUMBER(D40),ISNUMBER("")),wb1*D40+wb2*"",IF(ISNUMBER(D40),D40,E40)))/(pit_crwv_2025+pfac_crwv_2025),site_crwv_2025)</f>
        <v>0.49</v>
      </c>
      <c r="F41" s="8" t="n">
        <f aca="false">IF(ISNUMBER(F40),(pit_crwv_2026/(pit_crwv_2026+pfac_crwv_2026)*F40+pfac_crwv_2026/(pit_crwv_2026+pfac_crwv_2026)*IF(AND(ISNUMBER(E40),ISNUMBER(D40)),wb1*E40+wb2*D40,IF(ISNUMBER(E40),E40,F40)))/(pit_crwv_2026+pfac_crwv_2026),site_crwv_2026)</f>
        <v>0.6824489639016</v>
      </c>
      <c r="G41" s="8" t="n">
        <f aca="false">IF(ISNUMBER(G40),(pit_crwv_2027/(pit_crwv_2027+pfac_crwv_2027)*G40+pfac_crwv_2027/(pit_crwv_2027+pfac_crwv_2027)*IF(AND(ISNUMBER(F40),ISNUMBER(E40)),wb1*F40+wb2*E40,IF(ISNUMBER(F40),F40,G40)))/(pit_crwv_2027+pfac_crwv_2027),site_crwv_2027)</f>
        <v>0.735222622408663</v>
      </c>
      <c r="H41" s="8" t="n">
        <f aca="false">IF(ISNUMBER(H40),(pit_crwv_2028/(pit_crwv_2028+pfac_crwv_2028)*H40+pfac_crwv_2028/(pit_crwv_2028+pfac_crwv_2028)*IF(AND(ISNUMBER(G40),ISNUMBER(F40)),wb1*G40+wb2*F40,IF(ISNUMBER(G40),G40,H40)))/(pit_crwv_2028+pfac_crwv_2028),site_crwv_2028)</f>
        <v>0.758042293208188</v>
      </c>
      <c r="I41" s="8" t="n">
        <f aca="false">IF(ISNUMBER(I40),(pit_crwv_2029/(pit_crwv_2029+pfac_crwv_2029)*I40+pfac_crwv_2029/(pit_crwv_2029+pfac_crwv_2029)*IF(AND(ISNUMBER(H40),ISNUMBER(G40)),wb1*H40+wb2*G40,IF(ISNUMBER(H40),H40,I40)))/(pit_crwv_2029+pfac_crwv_2029),site_crwv_2029)</f>
        <v>0.842675104355277</v>
      </c>
    </row>
    <row r="42" customFormat="false" ht="17.15" hidden="false" customHeight="false" outlineLevel="0" collapsed="false">
      <c r="A42" s="0" t="s">
        <v>1258</v>
      </c>
      <c r="B42" s="0" t="s">
        <v>1259</v>
      </c>
      <c r="E42" s="8" t="n">
        <f aca="false">(1-lag)*E41+lag*D41-inv_k*(E41-D41)</f>
        <v>0.395</v>
      </c>
      <c r="F42" s="8" t="n">
        <f aca="false">(1-lag)*F41+lag*E41-inv_k*(F41-E41)</f>
        <v>0.59103570604834</v>
      </c>
      <c r="G42" s="8" t="n">
        <f aca="false">(1-lag)*G41+lag*F41-inv_k*(G41-F41)</f>
        <v>0.710155134617808</v>
      </c>
      <c r="H42" s="8" t="n">
        <f aca="false">(1-lag)*H41+lag*G41-inv_k*(H41-G41)</f>
        <v>0.747202949578414</v>
      </c>
      <c r="I42" s="8" t="n">
        <f aca="false">(1-lag)*I41+lag*H41-inv_k*(I41-H41)</f>
        <v>0.80247451906041</v>
      </c>
    </row>
    <row r="43" customFormat="false" ht="17.15" hidden="false" customHeight="false" outlineLevel="0" collapsed="false">
      <c r="A43" s="0" t="s">
        <v>1260</v>
      </c>
      <c r="B43" s="0" t="s">
        <v>1261</v>
      </c>
      <c r="D43" s="8" t="str">
        <f aca="false">""</f>
        <v/>
      </c>
      <c r="E43" s="8" t="str">
        <f aca="false">""</f>
        <v/>
      </c>
      <c r="F43" s="8" t="n">
        <f aca="false">gcap_crwv_2026*ai_sh</f>
        <v>28.0313</v>
      </c>
      <c r="G43" s="8" t="n">
        <f aca="false">gcap_crwv_2027*ai_sh</f>
        <v>33.45858485</v>
      </c>
      <c r="H43" s="8" t="n">
        <f aca="false">gcap_crwv_2028*ai_sh</f>
        <v>27.6353649</v>
      </c>
      <c r="I43" s="8" t="n">
        <f aca="false">gcap_crwv_2029*ai_sh</f>
        <v>27.7951071</v>
      </c>
    </row>
    <row r="44" customFormat="false" ht="17.15" hidden="false" customHeight="false" outlineLevel="0" collapsed="false">
      <c r="A44" s="0" t="s">
        <v>1262</v>
      </c>
      <c r="B44" s="0" t="s">
        <v>1257</v>
      </c>
      <c r="D44" s="8" t="n">
        <f aca="false">IF(ISNUMBER(D43),(pit_crwv_2024/(pit_crwv_2024+pfac_crwv_2024)*D43+pfac_crwv_2024/(pit_crwv_2024+pfac_crwv_2024)*IF(AND(ISNUMBER(""),ISNUMBER("")),wb1*""+wb2*"",IF(ISNUMBER(""),"",D43)))/(pit_crwv_2024+pfac_crwv_2024),site_crwv_2024)</f>
        <v>0.29</v>
      </c>
      <c r="E44" s="8" t="n">
        <f aca="false">IF(ISNUMBER(E43),(pit_crwv_2025/(pit_crwv_2025+pfac_crwv_2025)*E43+pfac_crwv_2025/(pit_crwv_2025+pfac_crwv_2025)*IF(AND(ISNUMBER(D43),ISNUMBER("")),wb1*D43+wb2*"",IF(ISNUMBER(D43),D43,E43)))/(pit_crwv_2025+pfac_crwv_2025),site_crwv_2025)</f>
        <v>0.49</v>
      </c>
      <c r="F44" s="8" t="n">
        <f aca="false">IF(ISNUMBER(F43),(pit_crwv_2026/(pit_crwv_2026+pfac_crwv_2026)*F43+pfac_crwv_2026/(pit_crwv_2026+pfac_crwv_2026)*IF(AND(ISNUMBER(E43),ISNUMBER(D43)),wb1*E43+wb2*D43,IF(ISNUMBER(E43),E43,F43)))/(pit_crwv_2026+pfac_crwv_2026),site_crwv_2026)</f>
        <v>0.608264917068837</v>
      </c>
      <c r="G44" s="8" t="n">
        <f aca="false">IF(ISNUMBER(G43),(pit_crwv_2027/(pit_crwv_2027+pfac_crwv_2027)*G43+pfac_crwv_2027/(pit_crwv_2027+pfac_crwv_2027)*IF(AND(ISNUMBER(F43),ISNUMBER(E43)),wb1*F43+wb2*E43,IF(ISNUMBER(F43),F43,G43)))/(pit_crwv_2027+pfac_crwv_2027),site_crwv_2027)</f>
        <v>0.629490424531811</v>
      </c>
      <c r="H44" s="8" t="n">
        <f aca="false">IF(ISNUMBER(H43),(pit_crwv_2028/(pit_crwv_2028+pfac_crwv_2028)*H43+pfac_crwv_2028/(pit_crwv_2028+pfac_crwv_2028)*IF(AND(ISNUMBER(G43),ISNUMBER(F43)),wb1*G43+wb2*F43,IF(ISNUMBER(G43),G43,H43)))/(pit_crwv_2028+pfac_crwv_2028),site_crwv_2028)</f>
        <v>0.525250960902376</v>
      </c>
      <c r="I44" s="8" t="n">
        <f aca="false">IF(ISNUMBER(I43),(pit_crwv_2029/(pit_crwv_2029+pfac_crwv_2029)*I43+pfac_crwv_2029/(pit_crwv_2029+pfac_crwv_2029)*IF(AND(ISNUMBER(H43),ISNUMBER(G43)),wb1*H43+wb2*G43,IF(ISNUMBER(H43),H43,I43)))/(pit_crwv_2029+pfac_crwv_2029),site_crwv_2029)</f>
        <v>0.526654910671929</v>
      </c>
    </row>
    <row r="45" customFormat="false" ht="17.15" hidden="false" customHeight="false" outlineLevel="0" collapsed="false">
      <c r="A45" s="0" t="s">
        <v>1263</v>
      </c>
      <c r="B45" s="0" t="s">
        <v>1259</v>
      </c>
      <c r="E45" s="8" t="n">
        <f aca="false">(1-lag)*E44+lag*D44-inv_k*(E44-D44)</f>
        <v>0.395</v>
      </c>
      <c r="F45" s="8" t="n">
        <f aca="false">(1-lag)*F44+lag*E44-inv_k*(F44-E44)</f>
        <v>0.552089081461139</v>
      </c>
      <c r="G45" s="8" t="n">
        <f aca="false">(1-lag)*G44+lag*F44-inv_k*(G44-F44)</f>
        <v>0.619408308486898</v>
      </c>
      <c r="H45" s="8" t="n">
        <f aca="false">(1-lag)*H44+lag*G44-inv_k*(H44-G44)</f>
        <v>0.574764706126358</v>
      </c>
      <c r="I45" s="8" t="n">
        <f aca="false">(1-lag)*I44+lag*H44-inv_k*(I44-H44)</f>
        <v>0.525988034531391</v>
      </c>
    </row>
    <row r="46" customFormat="false" ht="17.15" hidden="false" customHeight="false" outlineLevel="0" collapsed="false">
      <c r="A46" s="0" t="s">
        <v>1264</v>
      </c>
      <c r="B46" s="0" t="s">
        <v>1265</v>
      </c>
      <c r="D46" s="8" t="n">
        <f aca="false">site_crwv_2024</f>
        <v>0.29</v>
      </c>
      <c r="E46" s="8" t="n">
        <f aca="false">site_crwv_2025</f>
        <v>0.49</v>
      </c>
      <c r="F46" s="8" t="n">
        <f aca="false">site_crwv_2026</f>
        <v>1</v>
      </c>
      <c r="G46" s="8" t="n">
        <f aca="false">site_crwv_2027</f>
        <v>1.5375</v>
      </c>
      <c r="H46" s="8" t="n">
        <f aca="false">site_crwv_2028</f>
        <v>1.5375</v>
      </c>
      <c r="I46" s="8" t="n">
        <f aca="false">site_crwv_2029</f>
        <v>1.5375</v>
      </c>
    </row>
    <row r="47" customFormat="false" ht="17.15" hidden="false" customHeight="false" outlineLevel="0" collapsed="false">
      <c r="A47" s="0" t="s">
        <v>1266</v>
      </c>
      <c r="B47" s="0" t="s">
        <v>1267</v>
      </c>
      <c r="D47" s="8" t="str">
        <f aca="false">IF(ISNUMBER(ai2_nbis_2024),ai2_nbis_2024,"")</f>
        <v/>
      </c>
      <c r="E47" s="8" t="n">
        <f aca="false">IF(ISNUMBER(ai2_nbis_2025),ai2_nbis_2025,"")</f>
        <v>3.4561</v>
      </c>
      <c r="F47" s="8" t="n">
        <f aca="false">IF(ISNUMBER(ai2_nbis_2026),ai2_nbis_2026,"")</f>
        <v>19.125</v>
      </c>
      <c r="G47" s="8" t="n">
        <f aca="false">IF(ISNUMBER(ai2_nbis_2027),ai2_nbis_2027,"")</f>
        <v>23.15655</v>
      </c>
      <c r="H47" s="8" t="n">
        <f aca="false">IF(ISNUMBER(ai2_nbis_2028),ai2_nbis_2028,"")</f>
        <v>32.6315</v>
      </c>
      <c r="I47" s="8" t="n">
        <f aca="false">IF(ISNUMBER(ai2_nbis_2029),ai2_nbis_2029,"")</f>
        <v>35.89465</v>
      </c>
    </row>
    <row r="48" customFormat="false" ht="17.15" hidden="false" customHeight="false" outlineLevel="0" collapsed="false">
      <c r="A48" s="0" t="s">
        <v>1268</v>
      </c>
      <c r="B48" s="0" t="s">
        <v>1269</v>
      </c>
      <c r="D48" s="8" t="n">
        <f aca="false">IF(ISNUMBER(D47),(pit_nbis_2024/(pit_nbis_2024+pfac_nbis_2024)*D47+pfac_nbis_2024/(pit_nbis_2024+pfac_nbis_2024)*IF(AND(ISNUMBER(""),ISNUMBER("")),wb1*""+wb2*"",IF(ISNUMBER(""),"",D47)))/(pit_nbis_2024+pfac_nbis_2024),site_nbis_2024)</f>
        <v>0</v>
      </c>
      <c r="E48" s="8" t="n">
        <f aca="false">IF(ISNUMBER(E47),(pit_nbis_2025/(pit_nbis_2025+pfac_nbis_2025)*E47+pfac_nbis_2025/(pit_nbis_2025+pfac_nbis_2025)*IF(AND(ISNUMBER(D47),ISNUMBER("")),wb1*D47+wb2*"",IF(ISNUMBER(D47),D47,E47)))/(pit_nbis_2025+pfac_nbis_2025),site_nbis_2025)</f>
        <v>0.0893531926088847</v>
      </c>
      <c r="F48" s="8" t="n">
        <f aca="false">IF(ISNUMBER(F47),(pit_nbis_2026/(pit_nbis_2026+pfac_nbis_2026)*F47+pfac_nbis_2026/(pit_nbis_2026+pfac_nbis_2026)*IF(AND(ISNUMBER(E47),ISNUMBER(D47)),wb1*E47+wb2*D47,IF(ISNUMBER(E47),E47,F47)))/(pit_nbis_2026+pfac_nbis_2026),site_nbis_2026)</f>
        <v>0.321523721659491</v>
      </c>
      <c r="G48" s="8" t="n">
        <f aca="false">IF(ISNUMBER(G47),(pit_nbis_2027/(pit_nbis_2027+pfac_nbis_2027)*G47+pfac_nbis_2027/(pit_nbis_2027+pfac_nbis_2027)*IF(AND(ISNUMBER(F47),ISNUMBER(E47)),wb1*F47+wb2*E47,IF(ISNUMBER(F47),F47,G47)))/(pit_nbis_2027+pfac_nbis_2027),site_nbis_2027)</f>
        <v>0.396179366526544</v>
      </c>
      <c r="H48" s="8" t="n">
        <f aca="false">IF(ISNUMBER(H47),(pit_nbis_2028/(pit_nbis_2028+pfac_nbis_2028)*H47+pfac_nbis_2028/(pit_nbis_2028+pfac_nbis_2028)*IF(AND(ISNUMBER(G47),ISNUMBER(F47)),wb1*G47+wb2*F47,IF(ISNUMBER(G47),G47,H47)))/(pit_nbis_2028+pfac_nbis_2028),site_nbis_2028)</f>
        <v>0.554335434150153</v>
      </c>
      <c r="I48" s="8" t="n">
        <f aca="false">IF(ISNUMBER(I47),(pit_nbis_2029/(pit_nbis_2029+pfac_nbis_2029)*I47+pfac_nbis_2029/(pit_nbis_2029+pfac_nbis_2029)*IF(AND(ISNUMBER(H47),ISNUMBER(G47)),wb1*H47+wb2*G47,IF(ISNUMBER(H47),H47,I47)))/(pit_nbis_2029+pfac_nbis_2029),site_nbis_2029)</f>
        <v>0.629924193744744</v>
      </c>
    </row>
    <row r="49" customFormat="false" ht="17.15" hidden="false" customHeight="false" outlineLevel="0" collapsed="false">
      <c r="A49" s="0" t="s">
        <v>1270</v>
      </c>
      <c r="B49" s="0" t="s">
        <v>1271</v>
      </c>
      <c r="E49" s="8" t="n">
        <f aca="false">(1-lag)*E48+lag*D48-inv_k*(E48-D48)</f>
        <v>0.0469104261196645</v>
      </c>
      <c r="F49" s="8" t="n">
        <f aca="false">(1-lag)*F48+lag*E48-inv_k*(F48-E48)</f>
        <v>0.211242720360453</v>
      </c>
      <c r="G49" s="8" t="n">
        <f aca="false">(1-lag)*G48+lag*F48-inv_k*(G48-F48)</f>
        <v>0.360717935214694</v>
      </c>
      <c r="H49" s="8" t="n">
        <f aca="false">(1-lag)*H48+lag*G48-inv_k*(H48-G48)</f>
        <v>0.479211302028939</v>
      </c>
      <c r="I49" s="8" t="n">
        <f aca="false">(1-lag)*I48+lag*H48-inv_k*(I48-H48)</f>
        <v>0.594019532937313</v>
      </c>
    </row>
    <row r="50" customFormat="false" ht="17.15" hidden="false" customHeight="false" outlineLevel="0" collapsed="false">
      <c r="A50" s="0" t="s">
        <v>1272</v>
      </c>
      <c r="B50" s="0" t="s">
        <v>1273</v>
      </c>
      <c r="D50" s="8" t="str">
        <f aca="false">""</f>
        <v/>
      </c>
      <c r="E50" s="8" t="str">
        <f aca="false">""</f>
        <v/>
      </c>
      <c r="F50" s="8" t="n">
        <f aca="false">gcap_nbis_2026*ai_sh</f>
        <v>22.1392615</v>
      </c>
      <c r="G50" s="8" t="n">
        <f aca="false">gcap_nbis_2027*ai_sh</f>
        <v>23.45782145</v>
      </c>
      <c r="H50" s="8" t="n">
        <f aca="false">gcap_nbis_2028*ai_sh</f>
        <v>24.7763814</v>
      </c>
      <c r="I50" s="8" t="n">
        <f aca="false">gcap_nbis_2029*ai_sh</f>
        <v>24.7763814</v>
      </c>
    </row>
    <row r="51" customFormat="false" ht="17.15" hidden="false" customHeight="false" outlineLevel="0" collapsed="false">
      <c r="A51" s="0" t="s">
        <v>1274</v>
      </c>
      <c r="B51" s="0" t="s">
        <v>1269</v>
      </c>
      <c r="D51" s="8" t="n">
        <f aca="false">IF(ISNUMBER(D50),(pit_nbis_2024/(pit_nbis_2024+pfac_nbis_2024)*D50+pfac_nbis_2024/(pit_nbis_2024+pfac_nbis_2024)*IF(AND(ISNUMBER(""),ISNUMBER("")),wb1*""+wb2*"",IF(ISNUMBER(""),"",D50)))/(pit_nbis_2024+pfac_nbis_2024),site_nbis_2024)</f>
        <v>0</v>
      </c>
      <c r="E51" s="8" t="n">
        <f aca="false">IF(ISNUMBER(E50),(pit_nbis_2025/(pit_nbis_2025+pfac_nbis_2025)*E50+pfac_nbis_2025/(pit_nbis_2025+pfac_nbis_2025)*IF(AND(ISNUMBER(D50),ISNUMBER("")),wb1*D50+wb2*"",IF(ISNUMBER(D50),D50,E50)))/(pit_nbis_2025+pfac_nbis_2025),site_nbis_2025)</f>
        <v>0</v>
      </c>
      <c r="F51" s="8" t="n">
        <f aca="false">IF(ISNUMBER(F50),(pit_nbis_2026/(pit_nbis_2026+pfac_nbis_2026)*F50+pfac_nbis_2026/(pit_nbis_2026+pfac_nbis_2026)*IF(AND(ISNUMBER(E50),ISNUMBER(D50)),wb1*E50+wb2*D50,IF(ISNUMBER(E50),E50,F50)))/(pit_nbis_2026+pfac_nbis_2026),site_nbis_2026)</f>
        <v>0.480410685921195</v>
      </c>
      <c r="G51" s="8" t="n">
        <f aca="false">IF(ISNUMBER(G50),(pit_nbis_2027/(pit_nbis_2027+pfac_nbis_2027)*G50+pfac_nbis_2027/(pit_nbis_2027+pfac_nbis_2027)*IF(AND(ISNUMBER(F50),ISNUMBER(E50)),wb1*F50+wb2*E50,IF(ISNUMBER(F50),F50,G50)))/(pit_nbis_2027+pfac_nbis_2027),site_nbis_2027)</f>
        <v>0.453443245801974</v>
      </c>
      <c r="H51" s="8" t="n">
        <f aca="false">IF(ISNUMBER(H50),(pit_nbis_2028/(pit_nbis_2028+pfac_nbis_2028)*H50+pfac_nbis_2028/(pit_nbis_2028+pfac_nbis_2028)*IF(AND(ISNUMBER(G50),ISNUMBER(F50)),wb1*G50+wb2*F50,IF(ISNUMBER(G50),G50,H50)))/(pit_nbis_2028+pfac_nbis_2028),site_nbis_2028)</f>
        <v>0.450206743161261</v>
      </c>
      <c r="I51" s="8" t="n">
        <f aca="false">IF(ISNUMBER(I50),(pit_nbis_2029/(pit_nbis_2029+pfac_nbis_2029)*I50+pfac_nbis_2029/(pit_nbis_2029+pfac_nbis_2029)*IF(AND(ISNUMBER(H50),ISNUMBER(G50)),wb1*H50+wb2*G50,IF(ISNUMBER(H50),H50,I50)))/(pit_nbis_2029+pfac_nbis_2029),site_nbis_2029)</f>
        <v>0.45593532101388</v>
      </c>
    </row>
    <row r="52" customFormat="false" ht="17.15" hidden="false" customHeight="false" outlineLevel="0" collapsed="false">
      <c r="A52" s="0" t="s">
        <v>1275</v>
      </c>
      <c r="B52" s="0" t="s">
        <v>1271</v>
      </c>
      <c r="E52" s="8" t="n">
        <f aca="false">(1-lag)*E51+lag*D51-inv_k*(E51-D51)</f>
        <v>0</v>
      </c>
      <c r="F52" s="8" t="n">
        <f aca="false">(1-lag)*F51+lag*E51-inv_k*(F51-E51)</f>
        <v>0.252215610108627</v>
      </c>
      <c r="G52" s="8" t="n">
        <f aca="false">(1-lag)*G51+lag*F51-inv_k*(G51-F51)</f>
        <v>0.466252779858604</v>
      </c>
      <c r="H52" s="8" t="n">
        <f aca="false">(1-lag)*H51+lag*G51-inv_k*(H51-G51)</f>
        <v>0.451744081915599</v>
      </c>
      <c r="I52" s="8" t="n">
        <f aca="false">(1-lag)*I51+lag*H51-inv_k*(I51-H51)</f>
        <v>0.453214246533886</v>
      </c>
    </row>
    <row r="53" customFormat="false" ht="17.15" hidden="false" customHeight="false" outlineLevel="0" collapsed="false">
      <c r="A53" s="0" t="s">
        <v>1276</v>
      </c>
      <c r="B53" s="0" t="s">
        <v>1277</v>
      </c>
      <c r="D53" s="8" t="n">
        <f aca="false">site_nbis_2024</f>
        <v>0</v>
      </c>
      <c r="E53" s="8" t="n">
        <f aca="false">site_nbis_2025</f>
        <v>0</v>
      </c>
      <c r="F53" s="8" t="n">
        <f aca="false">site_nbis_2026</f>
        <v>0.73</v>
      </c>
      <c r="G53" s="8" t="n">
        <f aca="false">site_nbis_2027</f>
        <v>0.403</v>
      </c>
      <c r="H53" s="8" t="n">
        <f aca="false">site_nbis_2028</f>
        <v>0</v>
      </c>
      <c r="I53" s="8" t="n">
        <f aca="false">site_nbis_2029</f>
        <v>0</v>
      </c>
    </row>
    <row r="54" customFormat="false" ht="17.15" hidden="false" customHeight="false" outlineLevel="0" collapsed="false">
      <c r="A54" s="0" t="s">
        <v>1278</v>
      </c>
      <c r="B54" s="0" t="s">
        <v>1279</v>
      </c>
      <c r="D54" s="8" t="str">
        <f aca="false">IF(ISNUMBER(gai_xai_2024),gai_xai_2024,"")</f>
        <v/>
      </c>
      <c r="E54" s="8" t="str">
        <f aca="false">IF(ISNUMBER(gai_xai_2025),gai_xai_2025,"")</f>
        <v/>
      </c>
      <c r="F54" s="8" t="n">
        <f aca="false">IF(ISNUMBER(gai_xai_2026),gai_xai_2026,"")</f>
        <v>74.058119</v>
      </c>
      <c r="G54" s="8" t="n">
        <f aca="false">IF(ISNUMBER(gai_xai_2027),gai_xai_2027,"")</f>
        <v>136.252477</v>
      </c>
      <c r="H54" s="8" t="n">
        <f aca="false">IF(ISNUMBER(gai_xai_2028),gai_xai_2028,"")</f>
        <v>144.12072</v>
      </c>
      <c r="I54" s="8" t="n">
        <f aca="false">IF(ISNUMBER(gai_xai_2029),gai_xai_2029,"")</f>
        <v>111.172527</v>
      </c>
    </row>
    <row r="55" customFormat="false" ht="17.15" hidden="false" customHeight="false" outlineLevel="0" collapsed="false">
      <c r="A55" s="0" t="s">
        <v>1280</v>
      </c>
      <c r="B55" s="0" t="s">
        <v>1281</v>
      </c>
      <c r="D55" s="8" t="n">
        <f aca="false">IF(ISNUMBER(D54),(pitN_2024/(pitN_2024+pfacN_2024)*D54+pfacN_2024/(pitN_2024+pfacN_2024)*IF(AND(ISNUMBER(""),ISNUMBER("")),wb1*""+wb2*"",IF(ISNUMBER(""),"",D54)))/(pitN_2024+pfacN_2024),site_xai_2024)</f>
        <v>0</v>
      </c>
      <c r="E55" s="8" t="n">
        <f aca="false">IF(ISNUMBER(E54),(pitN_2025/(pitN_2025+pfacN_2025)*E54+pfacN_2025/(pitN_2025+pfacN_2025)*IF(AND(ISNUMBER(D54),ISNUMBER("")),wb1*D54+wb2*"",IF(ISNUMBER(D54),D54,E54)))/(pitN_2025+pfacN_2025),site_xai_2025)</f>
        <v>0</v>
      </c>
      <c r="F55" s="8" t="n">
        <f aca="false">IF(ISNUMBER(F54),(pitN_2026/(pitN_2026+pfacN_2026)*F54+pfacN_2026/(pitN_2026+pfacN_2026)*IF(AND(ISNUMBER(E54),ISNUMBER(D54)),wb1*E54+wb2*D54,IF(ISNUMBER(E54),E54,F54)))/(pitN_2026+pfacN_2026),site_xai_2026)</f>
        <v>1.60702342066936</v>
      </c>
      <c r="G55" s="8" t="n">
        <f aca="false">IF(ISNUMBER(G54),(pitN_2027/(pitN_2027+pfacN_2027)*G54+pfacN_2027/(pitN_2027+pfacN_2027)*IF(AND(ISNUMBER(F54),ISNUMBER(E54)),wb1*F54+wb2*E54,IF(ISNUMBER(F54),F54,G54)))/(pitN_2027+pfacN_2027),site_xai_2027)</f>
        <v>2.36823509451502</v>
      </c>
      <c r="H55" s="8" t="n">
        <f aca="false">IF(ISNUMBER(H54),(pitN_2028/(pitN_2028+pfacN_2028)*H54+pfacN_2028/(pitN_2028+pfacN_2028)*IF(AND(ISNUMBER(G54),ISNUMBER(F54)),wb1*G54+wb2*F54,IF(ISNUMBER(G54),G54,H54)))/(pitN_2028+pfacN_2028),site_xai_2028)</f>
        <v>2.49948463520021</v>
      </c>
      <c r="I55" s="8" t="n">
        <f aca="false">IF(ISNUMBER(I54),(pitN_2029/(pitN_2029+pfacN_2029)*I54+pfacN_2029/(pitN_2029+pfacN_2029)*IF(AND(ISNUMBER(H54),ISNUMBER(G54)),wb1*H54+wb2*G54,IF(ISNUMBER(H54),H54,I54)))/(pitN_2029+pfacN_2029),site_xai_2029)</f>
        <v>2.18470428873966</v>
      </c>
    </row>
    <row r="56" customFormat="false" ht="17.15" hidden="false" customHeight="false" outlineLevel="0" collapsed="false">
      <c r="A56" s="0" t="s">
        <v>1282</v>
      </c>
      <c r="B56" s="0" t="s">
        <v>1283</v>
      </c>
      <c r="E56" s="8" t="n">
        <f aca="false">IF(ISNUMBER(gai_xai_2024),(1-lag)*E55+lag*D55-inv_k*(E55-D55),E55)</f>
        <v>0</v>
      </c>
      <c r="F56" s="8" t="n">
        <f aca="false">IF(ISNUMBER(gai_xai_2025),(1-lag)*F55+lag*E55-inv_k*(F55-E55),F55)</f>
        <v>1.60702342066936</v>
      </c>
      <c r="G56" s="8" t="n">
        <f aca="false">IF(ISNUMBER(gai_xai_2026),(1-lag)*G55+lag*F55-inv_k*(G55-F55),G55)</f>
        <v>2.00665954943833</v>
      </c>
      <c r="H56" s="8" t="n">
        <f aca="false">IF(ISNUMBER(gai_xai_2027),(1-lag)*H55+lag*G55-inv_k*(H55-G55),H55)</f>
        <v>2.43714110337474</v>
      </c>
      <c r="I56" s="8" t="n">
        <f aca="false">IF(ISNUMBER(gai_xai_2028),(1-lag)*I55+lag*H55-inv_k*(I55-H55),I55)</f>
        <v>2.33422495330842</v>
      </c>
    </row>
    <row r="57" customFormat="false" ht="17.15" hidden="false" customHeight="false" outlineLevel="0" collapsed="false">
      <c r="A57" s="0" t="s">
        <v>1284</v>
      </c>
      <c r="B57" s="0" t="s">
        <v>1285</v>
      </c>
      <c r="D57" s="8" t="n">
        <f aca="false">site_xai_2024</f>
        <v>0</v>
      </c>
      <c r="E57" s="8" t="n">
        <f aca="false">site_xai_2025</f>
        <v>0</v>
      </c>
      <c r="F57" s="8" t="n">
        <f aca="false">site_xai_2026</f>
        <v>1.4302</v>
      </c>
      <c r="G57" s="8" t="n">
        <f aca="false">site_xai_2027</f>
        <v>0.585</v>
      </c>
      <c r="H57" s="8" t="n">
        <f aca="false">site_xai_2028</f>
        <v>0</v>
      </c>
      <c r="I57" s="8" t="n">
        <f aca="false">site_xai_2029</f>
        <v>0</v>
      </c>
    </row>
    <row r="58" customFormat="false" ht="17.15" hidden="false" customHeight="false" outlineLevel="0" collapsed="false">
      <c r="A58" s="0" t="s">
        <v>1286</v>
      </c>
      <c r="B58" s="0" t="s">
        <v>1287</v>
      </c>
      <c r="D58" s="8" t="str">
        <f aca="false">IF(ISNUMBER(gai_oai_2024),gai_oai_2024,"")</f>
        <v/>
      </c>
      <c r="E58" s="8" t="str">
        <f aca="false">IF(ISNUMBER(gai_oai_2025),gai_oai_2025,"")</f>
        <v/>
      </c>
      <c r="F58" s="8" t="n">
        <f aca="false">IF(ISNUMBER(gai_oai_2026),gai_oai_2026,"")</f>
        <v>20</v>
      </c>
      <c r="G58" s="8" t="n">
        <f aca="false">IF(ISNUMBER(gai_oai_2027),gai_oai_2027,"")</f>
        <v>30</v>
      </c>
      <c r="H58" s="8" t="n">
        <f aca="false">IF(ISNUMBER(gai_oai_2028),gai_oai_2028,"")</f>
        <v>45</v>
      </c>
      <c r="I58" s="8" t="n">
        <f aca="false">IF(ISNUMBER(gai_oai_2029),gai_oai_2029,"")</f>
        <v>60</v>
      </c>
    </row>
    <row r="59" customFormat="false" ht="17.15" hidden="false" customHeight="false" outlineLevel="0" collapsed="false">
      <c r="A59" s="0" t="s">
        <v>1288</v>
      </c>
      <c r="B59" s="0" t="s">
        <v>1289</v>
      </c>
      <c r="D59" s="8" t="n">
        <f aca="false">IF(ISNUMBER(D58),(pitN_2024/(pitN_2024+pfacN_2024)*D58+pfacN_2024/(pitN_2024+pfacN_2024)*IF(AND(ISNUMBER(""),ISNUMBER("")),wb1*""+wb2*"",IF(ISNUMBER(""),"",D58)))/(pitN_2024+pfacN_2024),site_oai_2024)</f>
        <v>0</v>
      </c>
      <c r="E59" s="8" t="n">
        <f aca="false">IF(ISNUMBER(E58),(pitN_2025/(pitN_2025+pfacN_2025)*E58+pfacN_2025/(pitN_2025+pfacN_2025)*IF(AND(ISNUMBER(D58),ISNUMBER("")),wb1*D58+wb2*"",IF(ISNUMBER(D58),D58,E58)))/(pitN_2025+pfacN_2025),site_oai_2025)</f>
        <v>0</v>
      </c>
      <c r="F59" s="8" t="n">
        <f aca="false">IF(ISNUMBER(F58),(pitN_2026/(pitN_2026+pfacN_2026)*F58+pfacN_2026/(pitN_2026+pfacN_2026)*IF(AND(ISNUMBER(E58),ISNUMBER(D58)),wb1*E58+wb2*D58,IF(ISNUMBER(E58),E58,F58)))/(pitN_2026+pfacN_2026),site_oai_2026)</f>
        <v>0.433989802163179</v>
      </c>
      <c r="G59" s="8" t="n">
        <f aca="false">IF(ISNUMBER(G58),(pitN_2027/(pitN_2027+pfacN_2027)*G58+pfacN_2027/(pitN_2027+pfacN_2027)*IF(AND(ISNUMBER(F58),ISNUMBER(E58)),wb1*F58+wb2*E58,IF(ISNUMBER(F58),F58,G58)))/(pitN_2027+pfacN_2027),site_oai_2027)</f>
        <v>0.539423294291731</v>
      </c>
      <c r="H59" s="8" t="n">
        <f aca="false">IF(ISNUMBER(H58),(pitN_2028/(pitN_2028+pfacN_2028)*H58+pfacN_2028/(pitN_2028+pfacN_2028)*IF(AND(ISNUMBER(G58),ISNUMBER(F58)),wb1*G58+wb2*F58,IF(ISNUMBER(G58),G58,H58)))/(pitN_2028+pfacN_2028),site_oai_2028)</f>
        <v>0.74640146139489</v>
      </c>
      <c r="I59" s="8" t="n">
        <f aca="false">IF(ISNUMBER(I58),(pitN_2029/(pitN_2029+pfacN_2029)*I58+pfacN_2029/(pitN_2029+pfacN_2029)*IF(AND(ISNUMBER(H58),ISNUMBER(G58)),wb1*H58+wb2*G58,IF(ISNUMBER(H58),H58,I58)))/(pitN_2029+pfacN_2029),site_oai_2029)</f>
        <v>1.01330432937459</v>
      </c>
    </row>
    <row r="60" customFormat="false" ht="17.15" hidden="false" customHeight="false" outlineLevel="0" collapsed="false">
      <c r="A60" s="0" t="s">
        <v>1290</v>
      </c>
      <c r="B60" s="0" t="s">
        <v>1291</v>
      </c>
      <c r="E60" s="8" t="n">
        <f aca="false">IF(ISNUMBER(gai_oai_2024),(1-lag)*E59+lag*D59-inv_k*(E59-D59),E59)</f>
        <v>0</v>
      </c>
      <c r="F60" s="8" t="n">
        <f aca="false">IF(ISNUMBER(gai_oai_2025),(1-lag)*F59+lag*E59-inv_k*(F59-E59),F59)</f>
        <v>0.433989802163179</v>
      </c>
      <c r="G60" s="8" t="n">
        <f aca="false">IF(ISNUMBER(gai_oai_2026),(1-lag)*G59+lag*F59-inv_k*(G59-F59),G59)</f>
        <v>0.489342385530669</v>
      </c>
      <c r="H60" s="8" t="n">
        <f aca="false">IF(ISNUMBER(gai_oai_2027),(1-lag)*H59+lag*G59-inv_k*(H59-G59),H59)</f>
        <v>0.64808683202089</v>
      </c>
      <c r="I60" s="8" t="n">
        <f aca="false">IF(ISNUMBER(gai_oai_2028),(1-lag)*I59+lag*H59-inv_k*(I59-H59),I59)</f>
        <v>0.886525467084233</v>
      </c>
    </row>
    <row r="61" customFormat="false" ht="17.15" hidden="false" customHeight="false" outlineLevel="0" collapsed="false">
      <c r="A61" s="0" t="s">
        <v>1292</v>
      </c>
      <c r="B61" s="0" t="s">
        <v>1293</v>
      </c>
      <c r="D61" s="8" t="n">
        <f aca="false">site_oai_2024</f>
        <v>0</v>
      </c>
      <c r="E61" s="8" t="n">
        <f aca="false">site_oai_2025</f>
        <v>0</v>
      </c>
      <c r="F61" s="8" t="n">
        <f aca="false">site_oai_2026</f>
        <v>0</v>
      </c>
      <c r="G61" s="8" t="n">
        <f aca="false">site_oai_2027</f>
        <v>0.522</v>
      </c>
      <c r="H61" s="8" t="n">
        <f aca="false">site_oai_2028</f>
        <v>1.245</v>
      </c>
      <c r="I61" s="8" t="n">
        <f aca="false">site_oai_2029</f>
        <v>1.149</v>
      </c>
    </row>
    <row r="62" customFormat="false" ht="17.15" hidden="false" customHeight="false" outlineLevel="0" collapsed="false">
      <c r="A62" s="0" t="s">
        <v>1294</v>
      </c>
      <c r="B62" s="0" t="s">
        <v>1295</v>
      </c>
      <c r="D62" s="8" t="str">
        <f aca="false">IF(ISNUMBER(gai_ant_2024),gai_ant_2024,"")</f>
        <v/>
      </c>
      <c r="E62" s="8" t="str">
        <f aca="false">IF(ISNUMBER(gai_ant_2025),gai_ant_2025,"")</f>
        <v/>
      </c>
      <c r="F62" s="8" t="n">
        <f aca="false">IF(ISNUMBER(gai_ant_2026),gai_ant_2026,"")</f>
        <v>16.666667</v>
      </c>
      <c r="G62" s="8" t="n">
        <f aca="false">IF(ISNUMBER(gai_ant_2027),gai_ant_2027,"")</f>
        <v>16.666667</v>
      </c>
      <c r="H62" s="8" t="n">
        <f aca="false">IF(ISNUMBER(gai_ant_2028),gai_ant_2028,"")</f>
        <v>16.666667</v>
      </c>
      <c r="I62" s="8" t="n">
        <f aca="false">IF(ISNUMBER(gai_ant_2029),gai_ant_2029,"")</f>
        <v>0</v>
      </c>
    </row>
    <row r="63" customFormat="false" ht="17.15" hidden="false" customHeight="false" outlineLevel="0" collapsed="false">
      <c r="A63" s="0" t="s">
        <v>1296</v>
      </c>
      <c r="B63" s="0" t="s">
        <v>1297</v>
      </c>
      <c r="D63" s="8" t="n">
        <f aca="false">IF(ISNUMBER(D62),(pitN_2024/(pitN_2024+pfacN_2024)*D62+pfacN_2024/(pitN_2024+pfacN_2024)*IF(AND(ISNUMBER(""),ISNUMBER("")),wb1*""+wb2*"",IF(ISNUMBER(""),"",D62)))/(pitN_2024+pfacN_2024),site_ant_2024)</f>
        <v>0</v>
      </c>
      <c r="E63" s="8" t="n">
        <f aca="false">IF(ISNUMBER(E62),(pitN_2025/(pitN_2025+pfacN_2025)*E62+pfacN_2025/(pitN_2025+pfacN_2025)*IF(AND(ISNUMBER(D62),ISNUMBER("")),wb1*D62+wb2*"",IF(ISNUMBER(D62),D62,E62)))/(pitN_2025+pfacN_2025),site_ant_2025)</f>
        <v>0</v>
      </c>
      <c r="F63" s="8" t="n">
        <f aca="false">IF(ISNUMBER(F62),(pitN_2026/(pitN_2026+pfacN_2026)*F62+pfacN_2026/(pitN_2026+pfacN_2026)*IF(AND(ISNUMBER(E62),ISNUMBER(D62)),wb1*E62+wb2*D62,IF(ISNUMBER(E62),E62,F62)))/(pitN_2026+pfacN_2026),site_ant_2026)</f>
        <v>0.36165817570248</v>
      </c>
      <c r="G63" s="8" t="n">
        <f aca="false">IF(ISNUMBER(G62),(pitN_2027/(pitN_2027+pfacN_2027)*G62+pfacN_2027/(pitN_2027+pfacN_2027)*IF(AND(ISNUMBER(F62),ISNUMBER(E62)),wb1*F62+wb2*E62,IF(ISNUMBER(F62),F62,G62)))/(pitN_2027+pfacN_2027),site_ant_2027)</f>
        <v>0.326730833032632</v>
      </c>
      <c r="H63" s="8" t="n">
        <f aca="false">IF(ISNUMBER(H62),(pitN_2028/(pitN_2028+pfacN_2028)*H62+pfacN_2028/(pitN_2028+pfacN_2028)*IF(AND(ISNUMBER(G62),ISNUMBER(F62)),wb1*G62+wb2*F62,IF(ISNUMBER(G62),G62,H62)))/(pitN_2028+pfacN_2028),site_ant_2028)</f>
        <v>0.308627002270922</v>
      </c>
      <c r="I63" s="8" t="n">
        <f aca="false">IF(ISNUMBER(I62),(pitN_2029/(pitN_2029+pfacN_2029)*I62+pfacN_2029/(pitN_2029+pfacN_2029)*IF(AND(ISNUMBER(H62),ISNUMBER(G62)),wb1*H62+wb2*G62,IF(ISNUMBER(H62),H62,I62)))/(pitN_2029+pfacN_2029),site_ant_2029)</f>
        <v>0.0724095248404747</v>
      </c>
    </row>
    <row r="64" customFormat="false" ht="17.15" hidden="false" customHeight="false" outlineLevel="0" collapsed="false">
      <c r="A64" s="0" t="s">
        <v>1298</v>
      </c>
      <c r="B64" s="0" t="s">
        <v>1299</v>
      </c>
      <c r="E64" s="8" t="n">
        <f aca="false">IF(ISNUMBER(gai_ant_2024),(1-lag)*E63+lag*D63-inv_k*(E63-D63),E63)</f>
        <v>0</v>
      </c>
      <c r="F64" s="8" t="n">
        <f aca="false">IF(ISNUMBER(gai_ant_2025),(1-lag)*F63+lag*E63-inv_k*(F63-E63),F63)</f>
        <v>0.36165817570248</v>
      </c>
      <c r="G64" s="8" t="n">
        <f aca="false">IF(ISNUMBER(gai_ant_2026),(1-lag)*G63+lag*F63-inv_k*(G63-F63),G63)</f>
        <v>0.34332132080081</v>
      </c>
      <c r="H64" s="8" t="n">
        <f aca="false">IF(ISNUMBER(gai_ant_2027),(1-lag)*H63+lag*G63-inv_k*(H63-G63),H63)</f>
        <v>0.317226321882734</v>
      </c>
      <c r="I64" s="8" t="n">
        <f aca="false">IF(ISNUMBER(gai_ant_2028),(1-lag)*I63+lag*H63-inv_k*(I63-H63),I63)</f>
        <v>0.184612826619937</v>
      </c>
    </row>
    <row r="65" customFormat="false" ht="17.15" hidden="false" customHeight="false" outlineLevel="0" collapsed="false">
      <c r="A65" s="0" t="s">
        <v>1300</v>
      </c>
      <c r="B65" s="0" t="s">
        <v>1301</v>
      </c>
      <c r="D65" s="8" t="n">
        <f aca="false">site_ant_2024</f>
        <v>0</v>
      </c>
      <c r="E65" s="8" t="n">
        <f aca="false">site_ant_2025</f>
        <v>0</v>
      </c>
      <c r="F65" s="8" t="n">
        <f aca="false">site_ant_2026</f>
        <v>0</v>
      </c>
      <c r="G65" s="8" t="n">
        <f aca="false">site_ant_2027</f>
        <v>0</v>
      </c>
      <c r="H65" s="8" t="n">
        <f aca="false">site_ant_2028</f>
        <v>0</v>
      </c>
      <c r="I65" s="8" t="n">
        <f aca="false">site_ant_2029</f>
        <v>0</v>
      </c>
    </row>
    <row r="66" customFormat="false" ht="17.15" hidden="false" customHeight="false" outlineLevel="0" collapsed="false">
      <c r="A66" s="0" t="s">
        <v>1302</v>
      </c>
      <c r="B66" s="5" t="s">
        <v>1303</v>
      </c>
      <c r="D66" s="9" t="n">
        <f aca="false">D6+D13+D20+D27+D34+D41+D48</f>
        <v>2.88602836343531</v>
      </c>
      <c r="E66" s="9" t="n">
        <f aca="false">E6+E13+E20+E27+E34+E41+E48</f>
        <v>9.64396540227264</v>
      </c>
      <c r="F66" s="9" t="n">
        <f aca="false">F6+F13+F20+F27+F34+F41+F48</f>
        <v>15.2175288078156</v>
      </c>
      <c r="G66" s="9" t="n">
        <f aca="false">G6+G13+G20+G27+G34+G41+G48</f>
        <v>19.096009969242</v>
      </c>
      <c r="H66" s="9" t="n">
        <f aca="false">H6+H13+H20+H27+H34+H41+H48</f>
        <v>21.3980787384407</v>
      </c>
      <c r="I66" s="9" t="n">
        <f aca="false">I6+I13+I20+I27+I34+I41+I48</f>
        <v>23.901946773905</v>
      </c>
    </row>
    <row r="67" customFormat="false" ht="17.15" hidden="false" customHeight="false" outlineLevel="0" collapsed="false">
      <c r="A67" s="0" t="s">
        <v>1304</v>
      </c>
      <c r="B67" s="5" t="s">
        <v>1305</v>
      </c>
      <c r="D67" s="9" t="n">
        <f aca="false">D7+D14+D21+D28+D35+D42+D49</f>
        <v>0</v>
      </c>
      <c r="E67" s="9" t="n">
        <f aca="false">E7+E14+E21+E28+E35+E42+E49</f>
        <v>6.43394530882491</v>
      </c>
      <c r="F67" s="9" t="n">
        <f aca="false">F7+F14+F21+F28+F35+F42+F49</f>
        <v>12.5700861901827</v>
      </c>
      <c r="G67" s="9" t="n">
        <f aca="false">G7+G14+G21+G28+G35+G42+G49</f>
        <v>17.2537314175645</v>
      </c>
      <c r="H67" s="9" t="n">
        <f aca="false">H7+H14+H21+H28+H35+H42+H49</f>
        <v>20.3045960730713</v>
      </c>
      <c r="I67" s="9" t="n">
        <f aca="false">I7+I14+I21+I28+I35+I42+I49</f>
        <v>22.7126094570595</v>
      </c>
    </row>
    <row r="68" customFormat="false" ht="17.15" hidden="false" customHeight="false" outlineLevel="0" collapsed="false">
      <c r="A68" s="0" t="s">
        <v>1306</v>
      </c>
      <c r="B68" s="5" t="s">
        <v>1307</v>
      </c>
      <c r="D68" s="9" t="n">
        <f aca="false">D9+D16+D23+D30+D37+D44+D51</f>
        <v>3.89616485653111</v>
      </c>
      <c r="E68" s="9" t="n">
        <f aca="false">E9+E16+E23+E30+E37+E44+E51</f>
        <v>9.4581706968</v>
      </c>
      <c r="F68" s="9" t="n">
        <f aca="false">F9+F16+F23+F30+F37+F44+F51</f>
        <v>15.1257949595735</v>
      </c>
      <c r="G68" s="9" t="n">
        <f aca="false">G9+G16+G23+G30+G37+G44+G51</f>
        <v>19.2801415517668</v>
      </c>
      <c r="H68" s="9" t="n">
        <f aca="false">H9+H16+H23+H30+H37+H44+H51</f>
        <v>20.7180010831606</v>
      </c>
      <c r="I68" s="9" t="n">
        <f aca="false">I9+I16+I23+I30+I37+I44+I51</f>
        <v>20.371284771225</v>
      </c>
    </row>
    <row r="69" customFormat="false" ht="17.15" hidden="false" customHeight="false" outlineLevel="0" collapsed="false">
      <c r="A69" s="0" t="s">
        <v>1308</v>
      </c>
      <c r="B69" s="5" t="s">
        <v>1309</v>
      </c>
      <c r="D69" s="9" t="n">
        <f aca="false">D10+D17+D24+D31+D38+D45+D52</f>
        <v>0</v>
      </c>
      <c r="E69" s="9" t="n">
        <f aca="false">E10+E17+E24+E31+E38+E45+E52</f>
        <v>6.81621792267228</v>
      </c>
      <c r="F69" s="9" t="n">
        <f aca="false">F10+F17+F24+F31+F38+F45+F52</f>
        <v>12.4336734347561</v>
      </c>
      <c r="G69" s="9" t="n">
        <f aca="false">G10+G17+G24+G31+G38+G45+G52</f>
        <v>17.306826920475</v>
      </c>
      <c r="H69" s="9" t="n">
        <f aca="false">H10+H17+H24+H31+H38+H45+H52</f>
        <v>20.0350178057486</v>
      </c>
      <c r="I69" s="9" t="n">
        <f aca="false">I10+I17+I24+I31+I38+I45+I52</f>
        <v>20.5359750193944</v>
      </c>
    </row>
    <row r="70" customFormat="false" ht="15" hidden="false" customHeight="false" outlineLevel="0" collapsed="false">
      <c r="A70" s="0" t="s">
        <v>1310</v>
      </c>
      <c r="B70" s="5" t="s">
        <v>1311</v>
      </c>
      <c r="D70" s="9" t="n">
        <f aca="false">D11+D18+D25+D32+D39+D46+D53</f>
        <v>1.61980834349181</v>
      </c>
      <c r="E70" s="9" t="n">
        <f aca="false">E11+E18+E25+E32+E39+E46+E53</f>
        <v>8.74912429484715</v>
      </c>
      <c r="F70" s="9" t="n">
        <f aca="false">F11+F18+F25+F32+F39+F46+F53</f>
        <v>6.54276412772586</v>
      </c>
      <c r="G70" s="9" t="n">
        <f aca="false">G11+G18+G25+G32+G39+G46+G53</f>
        <v>6.52966666666667</v>
      </c>
      <c r="H70" s="9" t="n">
        <f aca="false">H11+H18+H25+H32+H39+H46+H53</f>
        <v>13.6908333333333</v>
      </c>
      <c r="I70" s="9" t="n">
        <f aca="false">I11+I18+I25+I32+I39+I46+I53</f>
        <v>2.7115</v>
      </c>
    </row>
    <row r="71" customFormat="false" ht="15" hidden="false" customHeight="false" outlineLevel="0" collapsed="false">
      <c r="A71" s="0" t="s">
        <v>1312</v>
      </c>
      <c r="B71" s="5" t="s">
        <v>1313</v>
      </c>
      <c r="D71" s="9" t="n">
        <f aca="false">D55+D59+D63</f>
        <v>0</v>
      </c>
      <c r="E71" s="9" t="n">
        <f aca="false">E55+E59+E63</f>
        <v>0</v>
      </c>
      <c r="F71" s="9" t="n">
        <f aca="false">F55+F59+F63</f>
        <v>2.40267139853502</v>
      </c>
      <c r="G71" s="9" t="n">
        <f aca="false">G55+G59+G63</f>
        <v>3.23438922183938</v>
      </c>
      <c r="H71" s="9" t="n">
        <f aca="false">H55+H59+H63</f>
        <v>3.55451309886602</v>
      </c>
      <c r="I71" s="9" t="n">
        <f aca="false">I55+I59+I63</f>
        <v>3.27041814295472</v>
      </c>
    </row>
    <row r="72" customFormat="false" ht="15" hidden="false" customHeight="false" outlineLevel="0" collapsed="false">
      <c r="A72" s="0" t="s">
        <v>1314</v>
      </c>
      <c r="B72" s="5" t="s">
        <v>1315</v>
      </c>
      <c r="D72" s="9" t="n">
        <f aca="false">D56+D60+D64</f>
        <v>0</v>
      </c>
      <c r="E72" s="9" t="n">
        <f aca="false">E56+E60+E64</f>
        <v>0</v>
      </c>
      <c r="F72" s="9" t="n">
        <f aca="false">F56+F60+F64</f>
        <v>2.40267139853502</v>
      </c>
      <c r="G72" s="9" t="n">
        <f aca="false">G56+G60+G64</f>
        <v>2.83932325576981</v>
      </c>
      <c r="H72" s="9" t="n">
        <f aca="false">H56+H60+H64</f>
        <v>3.40245425727836</v>
      </c>
      <c r="I72" s="9" t="n">
        <f aca="false">I56+I60+I64</f>
        <v>3.40536324701259</v>
      </c>
    </row>
    <row r="73" customFormat="false" ht="15" hidden="false" customHeight="false" outlineLevel="0" collapsed="false">
      <c r="A73" s="0" t="s">
        <v>1316</v>
      </c>
      <c r="B73" s="5" t="s">
        <v>1317</v>
      </c>
      <c r="D73" s="9" t="n">
        <f aca="false">D57+D61+D65</f>
        <v>0</v>
      </c>
      <c r="E73" s="9" t="n">
        <f aca="false">E57+E61+E65</f>
        <v>0</v>
      </c>
      <c r="F73" s="9" t="n">
        <f aca="false">F57+F61+F65</f>
        <v>1.4302</v>
      </c>
      <c r="G73" s="9" t="n">
        <f aca="false">G57+G61+G65</f>
        <v>1.107</v>
      </c>
      <c r="H73" s="9" t="n">
        <f aca="false">H57+H61+H65</f>
        <v>1.245</v>
      </c>
      <c r="I73" s="9" t="n">
        <f aca="false">I57+I61+I65</f>
        <v>1.149</v>
      </c>
    </row>
    <row r="75" customFormat="false" ht="17.15" hidden="false" customHeight="false" outlineLevel="0" collapsed="false">
      <c r="A75" s="6" t="s">
        <v>1318</v>
      </c>
    </row>
    <row r="76" customFormat="false" ht="15" hidden="false" customHeight="false" outlineLevel="0" collapsed="false">
      <c r="A76" s="2" t="s">
        <v>1</v>
      </c>
      <c r="B76" s="2" t="s">
        <v>2</v>
      </c>
      <c r="C76" s="7" t="s">
        <v>1188</v>
      </c>
      <c r="D76" s="7" t="s">
        <v>1189</v>
      </c>
      <c r="E76" s="7" t="s">
        <v>1190</v>
      </c>
      <c r="F76" s="7" t="s">
        <v>1191</v>
      </c>
      <c r="G76" s="7" t="s">
        <v>1192</v>
      </c>
      <c r="H76" s="7" t="s">
        <v>1193</v>
      </c>
    </row>
    <row r="77" customFormat="false" ht="17.15" hidden="false" customHeight="false" outlineLevel="0" collapsed="false">
      <c r="A77" s="0" t="s">
        <v>1319</v>
      </c>
      <c r="B77" s="0" t="s">
        <v>1195</v>
      </c>
      <c r="D77" s="8" t="n">
        <f aca="false">IF(ISNUMBER(ai2_msft_2024),ai2_msft_2024/ai_sh*ai_sh_lo,"")</f>
        <v>40.8855</v>
      </c>
      <c r="E77" s="8" t="n">
        <f aca="false">IF(ISNUMBER(ai2_msft_2025),ai2_msft_2025/ai_sh*ai_sh_lo,"")</f>
        <v>67.687125</v>
      </c>
      <c r="F77" s="8" t="n">
        <f aca="false">IF(ISNUMBER(ai2_msft_2026),ai2_msft_2026/ai_sh*ai_sh_lo,"")</f>
        <v>115.790625</v>
      </c>
      <c r="G77" s="8" t="n">
        <f aca="false">IF(ISNUMBER(ai2_msft_2027),ai2_msft_2027/ai_sh*ai_sh_lo,"")</f>
        <v>153.60525</v>
      </c>
      <c r="H77" s="8" t="n">
        <f aca="false">IF(ISNUMBER(ai2_msft_2028),ai2_msft_2028/ai_sh*ai_sh_lo,"")</f>
        <v>175.485</v>
      </c>
      <c r="I77" s="8" t="n">
        <f aca="false">IF(ISNUMBER(ai2_msft_2029),ai2_msft_2029/ai_sh*ai_sh_lo,"")</f>
        <v>197.7987375</v>
      </c>
    </row>
    <row r="78" customFormat="false" ht="17.15" hidden="false" customHeight="false" outlineLevel="0" collapsed="false">
      <c r="A78" s="0" t="s">
        <v>1320</v>
      </c>
      <c r="B78" s="0" t="s">
        <v>1197</v>
      </c>
      <c r="D78" s="8" t="n">
        <f aca="false">IF(ISNUMBER(D77),(pit_msft_2024/(pit_msft_2024+pfac_msft_2024)*D77+pfac_msft_2024/(pit_msft_2024+pfac_msft_2024)*IF(AND(ISNUMBER(""),ISNUMBER("")),wb1*""+wb2*"",IF(ISNUMBER(""),"",D77)))/(pit_msft_2024+pfac_msft_2024),site_msft_2024)</f>
        <v>1.11725295877367</v>
      </c>
      <c r="E78" s="8" t="n">
        <f aca="false">IF(ISNUMBER(E77),(pit_msft_2025/(pit_msft_2025+pfac_msft_2025)*E77+pfac_msft_2025/(pit_msft_2025+pfac_msft_2025)*IF(AND(ISNUMBER(D77),ISNUMBER("")),wb1*D77+wb2*"",IF(ISNUMBER(D77),D77,E77)))/(pit_msft_2025+pfac_msft_2025),site_msft_2025)</f>
        <v>1.67129463512081</v>
      </c>
      <c r="F78" s="8" t="n">
        <f aca="false">IF(ISNUMBER(F77),(pit_msft_2026/(pit_msft_2026+pfac_msft_2026)*F77+pfac_msft_2026/(pit_msft_2026+pfac_msft_2026)*IF(AND(ISNUMBER(E77),ISNUMBER(D77)),wb1*E77+wb2*D77,IF(ISNUMBER(E77),E77,F77)))/(pit_msft_2026+pfac_msft_2026),site_msft_2026)</f>
        <v>2.41130277596739</v>
      </c>
      <c r="G78" s="8" t="n">
        <f aca="false">IF(ISNUMBER(G77),(pit_msft_2027/(pit_msft_2027+pfac_msft_2027)*G77+pfac_msft_2027/(pit_msft_2027+pfac_msft_2027)*IF(AND(ISNUMBER(F77),ISNUMBER(E77)),wb1*F77+wb2*E77,IF(ISNUMBER(F77),F77,G77)))/(pit_msft_2027+pfac_msft_2027),site_msft_2027)</f>
        <v>3.14512567883291</v>
      </c>
      <c r="H78" s="8" t="n">
        <f aca="false">IF(ISNUMBER(H77),(pit_msft_2028/(pit_msft_2028+pfac_msft_2028)*H77+pfac_msft_2028/(pit_msft_2028+pfac_msft_2028)*IF(AND(ISNUMBER(G77),ISNUMBER(F77)),wb1*G77+wb2*F77,IF(ISNUMBER(G77),G77,H77)))/(pit_msft_2028+pfac_msft_2028),site_msft_2028)</f>
        <v>3.58762832174786</v>
      </c>
      <c r="I78" s="8" t="n">
        <f aca="false">IF(ISNUMBER(I77),(pit_msft_2029/(pit_msft_2029+pfac_msft_2029)*I77+pfac_msft_2029/(pit_msft_2029+pfac_msft_2029)*IF(AND(ISNUMBER(H77),ISNUMBER(G77)),wb1*H77+wb2*G77,IF(ISNUMBER(H77),H77,I77)))/(pit_msft_2029+pfac_msft_2029),site_msft_2029)</f>
        <v>4.1156655871515</v>
      </c>
    </row>
    <row r="79" customFormat="false" ht="17.15" hidden="false" customHeight="false" outlineLevel="0" collapsed="false">
      <c r="A79" s="0" t="s">
        <v>1321</v>
      </c>
      <c r="B79" s="0" t="s">
        <v>1199</v>
      </c>
      <c r="E79" s="8" t="n">
        <f aca="false">(1-lag)*E78+lag*D78-inv_k*(E78-D78)</f>
        <v>1.40812483885592</v>
      </c>
      <c r="F79" s="8" t="n">
        <f aca="false">(1-lag)*F78+lag*E78-inv_k*(F78-E78)</f>
        <v>2.05979890906527</v>
      </c>
      <c r="G79" s="8" t="n">
        <f aca="false">(1-lag)*G78+lag*F78-inv_k*(G78-F78)</f>
        <v>2.79655979997179</v>
      </c>
      <c r="H79" s="8" t="n">
        <f aca="false">(1-lag)*H78+lag*G78-inv_k*(H78-G78)</f>
        <v>3.37743956636325</v>
      </c>
      <c r="I79" s="8" t="n">
        <f aca="false">(1-lag)*I78+lag*H78-inv_k*(I78-H78)</f>
        <v>3.86484788608477</v>
      </c>
    </row>
    <row r="80" customFormat="false" ht="17.15" hidden="false" customHeight="false" outlineLevel="0" collapsed="false">
      <c r="A80" s="0" t="s">
        <v>1322</v>
      </c>
      <c r="B80" s="0" t="s">
        <v>1201</v>
      </c>
      <c r="D80" s="8" t="str">
        <f aca="false">""</f>
        <v/>
      </c>
      <c r="E80" s="8" t="n">
        <f aca="false">(6/12*cap2_msft_2025+6/12*gcap_msft_2026)*ai_sh_lo</f>
        <v>78.694125</v>
      </c>
      <c r="F80" s="8" t="n">
        <f aca="false">(6/12*gcap_msft_2026+6/12*gcap_msft_2027)*ai_sh_lo</f>
        <v>131.0625</v>
      </c>
      <c r="G80" s="8" t="n">
        <f aca="false">(6/12*gcap_msft_2027+6/12*gcap_msft_2028)*ai_sh_lo</f>
        <v>164.064331125</v>
      </c>
      <c r="H80" s="8" t="n">
        <f aca="false">(6/12*gcap_msft_2028+6/12*gcap_msft_2029)*ai_sh_lo</f>
        <v>178.939287</v>
      </c>
      <c r="I80" s="8" t="n">
        <f aca="false">(6/12*gcap_msft_2029+6/12*gcap_msft_2030)*ai_sh_lo</f>
        <v>174.363291</v>
      </c>
    </row>
    <row r="81" customFormat="false" ht="17.15" hidden="false" customHeight="false" outlineLevel="0" collapsed="false">
      <c r="A81" s="0" t="s">
        <v>1323</v>
      </c>
      <c r="B81" s="0" t="s">
        <v>1197</v>
      </c>
      <c r="D81" s="8" t="n">
        <f aca="false">IF(ISNUMBER(D80),(pit_msft_2024/(pit_msft_2024+pfac_msft_2024)*D80+pfac_msft_2024/(pit_msft_2024+pfac_msft_2024)*IF(AND(ISNUMBER(""),ISNUMBER("")),wb1*""+wb2*"",IF(ISNUMBER(""),"",D80)))/(pit_msft_2024+pfac_msft_2024),site_msft_2024)</f>
        <v>0</v>
      </c>
      <c r="E81" s="8" t="n">
        <f aca="false">IF(ISNUMBER(E80),(pit_msft_2025/(pit_msft_2025+pfac_msft_2025)*E80+pfac_msft_2025/(pit_msft_2025+pfac_msft_2025)*IF(AND(ISNUMBER(D80),ISNUMBER("")),wb1*D80+wb2*"",IF(ISNUMBER(D80),D80,E80)))/(pit_msft_2025+pfac_msft_2025),site_msft_2025)</f>
        <v>2.21979207881634</v>
      </c>
      <c r="F81" s="8" t="n">
        <f aca="false">IF(ISNUMBER(F80),(pit_msft_2026/(pit_msft_2026+pfac_msft_2026)*F80+pfac_msft_2026/(pit_msft_2026+pfac_msft_2026)*IF(AND(ISNUMBER(E80),ISNUMBER(D80)),wb1*E80+wb2*D80,IF(ISNUMBER(E80),E80,F80)))/(pit_msft_2026+pfac_msft_2026),site_msft_2026)</f>
        <v>2.84333837400458</v>
      </c>
      <c r="G81" s="8" t="n">
        <f aca="false">IF(ISNUMBER(G80),(pit_msft_2027/(pit_msft_2027+pfac_msft_2027)*G80+pfac_msft_2027/(pit_msft_2027+pfac_msft_2027)*IF(AND(ISNUMBER(F80),ISNUMBER(E80)),wb1*F80+wb2*E80,IF(ISNUMBER(F80),F80,G80)))/(pit_msft_2027+pfac_msft_2027),site_msft_2027)</f>
        <v>3.39833247919696</v>
      </c>
      <c r="H81" s="8" t="n">
        <f aca="false">IF(ISNUMBER(H80),(pit_msft_2028/(pit_msft_2028+pfac_msft_2028)*H80+pfac_msft_2028/(pit_msft_2028+pfac_msft_2028)*IF(AND(ISNUMBER(G80),ISNUMBER(F80)),wb1*G80+wb2*F80,IF(ISNUMBER(G80),G80,H80)))/(pit_msft_2028+pfac_msft_2028),site_msft_2028)</f>
        <v>3.71066522444237</v>
      </c>
      <c r="I81" s="8" t="n">
        <f aca="false">IF(ISNUMBER(I80),(pit_msft_2029/(pit_msft_2029+pfac_msft_2029)*I80+pfac_msft_2029/(pit_msft_2029+pfac_msft_2029)*IF(AND(ISNUMBER(H80),ISNUMBER(G80)),wb1*H80+wb2*G80,IF(ISNUMBER(H80),H80,I80)))/(pit_msft_2029+pfac_msft_2029),site_msft_2029)</f>
        <v>3.76401991722572</v>
      </c>
    </row>
    <row r="82" customFormat="false" ht="17.15" hidden="false" customHeight="false" outlineLevel="0" collapsed="false">
      <c r="A82" s="0" t="s">
        <v>1324</v>
      </c>
      <c r="B82" s="0" t="s">
        <v>1199</v>
      </c>
      <c r="E82" s="8" t="n">
        <f aca="false">(1-lag)*E81+lag*D81-inv_k*(E81-D81)</f>
        <v>1.16539084137858</v>
      </c>
      <c r="F82" s="8" t="n">
        <f aca="false">(1-lag)*F81+lag*E81-inv_k*(F81-E81)</f>
        <v>2.54715388379016</v>
      </c>
      <c r="G82" s="8" t="n">
        <f aca="false">(1-lag)*G81+lag*F81-inv_k*(G81-F81)</f>
        <v>3.13471027923058</v>
      </c>
      <c r="H82" s="8" t="n">
        <f aca="false">(1-lag)*H81+lag*G81-inv_k*(H81-G81)</f>
        <v>3.5623071704508</v>
      </c>
      <c r="I82" s="8" t="n">
        <f aca="false">(1-lag)*I81+lag*H81-inv_k*(I81-H81)</f>
        <v>3.73867643815363</v>
      </c>
    </row>
    <row r="83" customFormat="false" ht="17.15" hidden="false" customHeight="false" outlineLevel="0" collapsed="false">
      <c r="A83" s="0" t="s">
        <v>1325</v>
      </c>
      <c r="B83" s="0" t="s">
        <v>1205</v>
      </c>
      <c r="D83" s="8" t="n">
        <f aca="false">site_msft_2024</f>
        <v>0</v>
      </c>
      <c r="E83" s="8" t="n">
        <f aca="false">site_msft_2025</f>
        <v>2.13527</v>
      </c>
      <c r="F83" s="8" t="n">
        <f aca="false">site_msft_2026</f>
        <v>0.770955</v>
      </c>
      <c r="G83" s="8" t="n">
        <f aca="false">site_msft_2027</f>
        <v>1.04</v>
      </c>
      <c r="H83" s="8" t="n">
        <f aca="false">site_msft_2028</f>
        <v>1.67</v>
      </c>
      <c r="I83" s="8" t="n">
        <f aca="false">site_msft_2029</f>
        <v>0.144</v>
      </c>
    </row>
    <row r="84" customFormat="false" ht="17.15" hidden="false" customHeight="false" outlineLevel="0" collapsed="false">
      <c r="A84" s="0" t="s">
        <v>1326</v>
      </c>
      <c r="B84" s="0" t="s">
        <v>1207</v>
      </c>
      <c r="D84" s="8" t="str">
        <f aca="false">IF(ISNUMBER(ai2_googl_2024),ai2_googl_2024/ai_sh*ai_sh_lo,"")</f>
        <v/>
      </c>
      <c r="E84" s="8" t="n">
        <f aca="false">IF(ISNUMBER(ai2_googl_2025),ai2_googl_2025/ai_sh*ai_sh_lo,"")</f>
        <v>68.58525</v>
      </c>
      <c r="F84" s="8" t="n">
        <f aca="false">IF(ISNUMBER(ai2_googl_2026),ai2_googl_2026/ai_sh*ai_sh_lo,"")</f>
        <v>150</v>
      </c>
      <c r="G84" s="8" t="n">
        <f aca="false">IF(ISNUMBER(ai2_googl_2027),ai2_googl_2027/ai_sh*ai_sh_lo,"")</f>
        <v>225.73425</v>
      </c>
      <c r="H84" s="8" t="n">
        <f aca="false">IF(ISNUMBER(ai2_googl_2028),ai2_googl_2028/ai_sh*ai_sh_lo,"")</f>
        <v>254.58825</v>
      </c>
      <c r="I84" s="8" t="n">
        <f aca="false">IF(ISNUMBER(ai2_googl_2029),ai2_googl_2029/ai_sh*ai_sh_lo,"")</f>
        <v>280.047075</v>
      </c>
    </row>
    <row r="85" customFormat="false" ht="17.15" hidden="false" customHeight="false" outlineLevel="0" collapsed="false">
      <c r="A85" s="0" t="s">
        <v>1327</v>
      </c>
      <c r="B85" s="0" t="s">
        <v>1209</v>
      </c>
      <c r="D85" s="8" t="n">
        <f aca="false">IF(ISNUMBER(D84),(pit_googl_2024/(pit_googl_2024+pfac_googl_2024)*D84+pfac_googl_2024/(pit_googl_2024+pfac_googl_2024)*IF(AND(ISNUMBER(""),ISNUMBER("")),wb1*""+wb2*"",IF(ISNUMBER(""),"",D84)))/(pit_googl_2024+pfac_googl_2024),site_googl_2024)</f>
        <v>1.32980834349181</v>
      </c>
      <c r="E85" s="8" t="n">
        <f aca="false">IF(ISNUMBER(E84),(pit_googl_2025/(pit_googl_2025+pfac_googl_2025)*E84+pfac_googl_2025/(pit_googl_2025+pfac_googl_2025)*IF(AND(ISNUMBER(D84),ISNUMBER("")),wb1*D84+wb2*"",IF(ISNUMBER(D84),D84,E84)))/(pit_googl_2025+pfac_googl_2025),site_googl_2025)</f>
        <v>1.90282766726783</v>
      </c>
      <c r="F85" s="8" t="n">
        <f aca="false">IF(ISNUMBER(F84),(pit_googl_2026/(pit_googl_2026+pfac_googl_2026)*F84+pfac_googl_2026/(pit_googl_2026+pfac_googl_2026)*IF(AND(ISNUMBER(E84),ISNUMBER(D84)),wb1*E84+wb2*D84,IF(ISNUMBER(E84),E84,F84)))/(pit_googl_2026+pfac_googl_2026),site_googl_2026)</f>
        <v>3.40391922009095</v>
      </c>
      <c r="G85" s="8" t="n">
        <f aca="false">IF(ISNUMBER(G84),(pit_googl_2027/(pit_googl_2027+pfac_googl_2027)*G84+pfac_googl_2027/(pit_googl_2027+pfac_googl_2027)*IF(AND(ISNUMBER(F84),ISNUMBER(E84)),wb1*F84+wb2*E84,IF(ISNUMBER(F84),F84,G84)))/(pit_googl_2027+pfac_googl_2027),site_googl_2027)</f>
        <v>5.02736969998978</v>
      </c>
      <c r="H85" s="8" t="n">
        <f aca="false">IF(ISNUMBER(H84),(pit_googl_2028/(pit_googl_2028+pfac_googl_2028)*H84+pfac_googl_2028/(pit_googl_2028+pfac_googl_2028)*IF(AND(ISNUMBER(G84),ISNUMBER(F84)),wb1*G84+wb2*F84,IF(ISNUMBER(G84),G84,H84)))/(pit_googl_2028+pfac_googl_2028),site_googl_2028)</f>
        <v>5.97955069763246</v>
      </c>
      <c r="I85" s="8" t="n">
        <f aca="false">IF(ISNUMBER(I84),(pit_googl_2029/(pit_googl_2029+pfac_googl_2029)*I84+pfac_googl_2029/(pit_googl_2029+pfac_googl_2029)*IF(AND(ISNUMBER(H84),ISNUMBER(G84)),wb1*H84+wb2*G84,IF(ISNUMBER(H84),H84,I84)))/(pit_googl_2029+pfac_googl_2029),site_googl_2029)</f>
        <v>6.78467286150421</v>
      </c>
    </row>
    <row r="86" customFormat="false" ht="17.15" hidden="false" customHeight="false" outlineLevel="0" collapsed="false">
      <c r="A86" s="0" t="s">
        <v>1328</v>
      </c>
      <c r="B86" s="0" t="s">
        <v>1211</v>
      </c>
      <c r="E86" s="8" t="n">
        <f aca="false">(1-lag)*E85+lag*D85-inv_k*(E85-D85)</f>
        <v>1.63064348847422</v>
      </c>
      <c r="F86" s="8" t="n">
        <f aca="false">(1-lag)*F85+lag*E85-inv_k*(F85-E85)</f>
        <v>2.69090073249997</v>
      </c>
      <c r="G86" s="8" t="n">
        <f aca="false">(1-lag)*G85+lag*F85-inv_k*(G85-F85)</f>
        <v>4.25623072203784</v>
      </c>
      <c r="H86" s="8" t="n">
        <f aca="false">(1-lag)*H85+lag*G85-inv_k*(H85-G85)</f>
        <v>5.52726472375219</v>
      </c>
      <c r="I86" s="8" t="n">
        <f aca="false">(1-lag)*I85+lag*H85-inv_k*(I85-H85)</f>
        <v>6.40223983366513</v>
      </c>
    </row>
    <row r="87" customFormat="false" ht="17.15" hidden="false" customHeight="false" outlineLevel="0" collapsed="false">
      <c r="A87" s="0" t="s">
        <v>1329</v>
      </c>
      <c r="B87" s="0" t="s">
        <v>1213</v>
      </c>
      <c r="D87" s="8" t="n">
        <f aca="false">gcap_googl_2024*ai_sh_lo</f>
        <v>39.40125</v>
      </c>
      <c r="E87" s="8" t="n">
        <f aca="false">gcap_googl_2025*ai_sh_lo</f>
        <v>68.58525</v>
      </c>
      <c r="F87" s="8" t="n">
        <f aca="false">gcap_googl_2026*ai_sh_lo</f>
        <v>150</v>
      </c>
      <c r="G87" s="8" t="n">
        <f aca="false">gcap_googl_2027*ai_sh_lo</f>
        <v>217.773855</v>
      </c>
      <c r="H87" s="8" t="n">
        <f aca="false">gcap_googl_2028*ai_sh_lo</f>
        <v>238.04912625</v>
      </c>
      <c r="I87" s="8" t="n">
        <f aca="false">gcap_googl_2029*ai_sh_lo</f>
        <v>219.420654</v>
      </c>
    </row>
    <row r="88" customFormat="false" ht="17.15" hidden="false" customHeight="false" outlineLevel="0" collapsed="false">
      <c r="A88" s="0" t="s">
        <v>1330</v>
      </c>
      <c r="B88" s="0" t="s">
        <v>1209</v>
      </c>
      <c r="D88" s="8" t="n">
        <f aca="false">IF(ISNUMBER(D87),(pit_googl_2024/(pit_googl_2024+pfac_googl_2024)*D87+pfac_googl_2024/(pit_googl_2024+pfac_googl_2024)*IF(AND(ISNUMBER(""),ISNUMBER("")),wb1*""+wb2*"",IF(ISNUMBER(""),"",D87)))/(pit_googl_2024+pfac_googl_2024),site_googl_2024)</f>
        <v>1.08201685726117</v>
      </c>
      <c r="E88" s="8" t="n">
        <f aca="false">IF(ISNUMBER(E87),(pit_googl_2025/(pit_googl_2025+pfac_googl_2025)*E87+pfac_googl_2025/(pit_googl_2025+pfac_googl_2025)*IF(AND(ISNUMBER(D87),ISNUMBER("")),wb1*D87+wb2*"",IF(ISNUMBER(D87),D87,E87)))/(pit_googl_2025+pfac_googl_2025),site_googl_2025)</f>
        <v>1.68250663288309</v>
      </c>
      <c r="F88" s="8" t="n">
        <f aca="false">IF(ISNUMBER(F87),(pit_googl_2026/(pit_googl_2026+pfac_googl_2026)*F87+pfac_googl_2026/(pit_googl_2026+pfac_googl_2026)*IF(AND(ISNUMBER(E87),ISNUMBER(D87)),wb1*E87+wb2*D87,IF(ISNUMBER(E87),E87,F87)))/(pit_googl_2026+pfac_googl_2026),site_googl_2026)</f>
        <v>3.30414189410408</v>
      </c>
      <c r="G88" s="8" t="n">
        <f aca="false">IF(ISNUMBER(G87),(pit_googl_2027/(pit_googl_2027+pfac_googl_2027)*G87+pfac_googl_2027/(pit_googl_2027+pfac_googl_2027)*IF(AND(ISNUMBER(F87),ISNUMBER(E87)),wb1*F87+wb2*E87,IF(ISNUMBER(F87),F87,G87)))/(pit_googl_2027+pfac_googl_2027),site_googl_2027)</f>
        <v>4.87482097625078</v>
      </c>
      <c r="H88" s="8" t="n">
        <f aca="false">IF(ISNUMBER(H87),(pit_googl_2028/(pit_googl_2028+pfac_googl_2028)*H87+pfac_googl_2028/(pit_googl_2028+pfac_googl_2028)*IF(AND(ISNUMBER(G87),ISNUMBER(F87)),wb1*G87+wb2*F87,IF(ISNUMBER(G87),G87,H87)))/(pit_googl_2028+pfac_googl_2028),site_googl_2028)</f>
        <v>5.64194338198706</v>
      </c>
      <c r="I88" s="8" t="n">
        <f aca="false">IF(ISNUMBER(I87),(pit_googl_2029/(pit_googl_2029+pfac_googl_2029)*I87+pfac_googl_2029/(pit_googl_2029+pfac_googl_2029)*IF(AND(ISNUMBER(H87),ISNUMBER(G87)),wb1*H87+wb2*G87,IF(ISNUMBER(H87),H87,I87)))/(pit_googl_2029+pfac_googl_2029),site_googl_2029)</f>
        <v>5.56159586043852</v>
      </c>
    </row>
    <row r="89" customFormat="false" ht="17.15" hidden="false" customHeight="false" outlineLevel="0" collapsed="false">
      <c r="A89" s="0" t="s">
        <v>1331</v>
      </c>
      <c r="B89" s="0" t="s">
        <v>1211</v>
      </c>
      <c r="E89" s="8" t="n">
        <f aca="false">(1-lag)*E88+lag*D88-inv_k*(E88-D88)</f>
        <v>1.39727398946268</v>
      </c>
      <c r="F89" s="8" t="n">
        <f aca="false">(1-lag)*F88+lag*E88-inv_k*(F88-E88)</f>
        <v>2.53386514502411</v>
      </c>
      <c r="G89" s="8" t="n">
        <f aca="false">(1-lag)*G88+lag*F88-inv_k*(G88-F88)</f>
        <v>4.1287484122311</v>
      </c>
      <c r="H89" s="8" t="n">
        <f aca="false">(1-lag)*H88+lag*G88-inv_k*(H88-G88)</f>
        <v>5.27756023926233</v>
      </c>
      <c r="I89" s="8" t="n">
        <f aca="false">(1-lag)*I88+lag*H88-inv_k*(I88-H88)</f>
        <v>5.59976093317408</v>
      </c>
    </row>
    <row r="90" customFormat="false" ht="17.15" hidden="false" customHeight="false" outlineLevel="0" collapsed="false">
      <c r="A90" s="0" t="s">
        <v>1332</v>
      </c>
      <c r="B90" s="0" t="s">
        <v>1217</v>
      </c>
      <c r="D90" s="8" t="n">
        <f aca="false">site_googl_2024</f>
        <v>1.32980834349181</v>
      </c>
      <c r="E90" s="8" t="n">
        <f aca="false">site_googl_2025</f>
        <v>2.40961330082622</v>
      </c>
      <c r="F90" s="8" t="n">
        <f aca="false">site_googl_2026</f>
        <v>1.29267912772586</v>
      </c>
      <c r="G90" s="8" t="n">
        <f aca="false">site_googl_2027</f>
        <v>1.626</v>
      </c>
      <c r="H90" s="8" t="n">
        <f aca="false">site_googl_2028</f>
        <v>0.833333333333334</v>
      </c>
      <c r="I90" s="8" t="n">
        <f aca="false">site_googl_2029</f>
        <v>0</v>
      </c>
    </row>
    <row r="91" customFormat="false" ht="17.15" hidden="false" customHeight="false" outlineLevel="0" collapsed="false">
      <c r="A91" s="0" t="s">
        <v>1333</v>
      </c>
      <c r="B91" s="0" t="s">
        <v>1219</v>
      </c>
      <c r="D91" s="8" t="str">
        <f aca="false">IF(ISNUMBER(ai2_amzn_2024),ai2_amzn_2024/ai_amzn*ai_amzn_lo,"")</f>
        <v/>
      </c>
      <c r="E91" s="8" t="n">
        <f aca="false">IF(ISNUMBER(ai2_amzn_2025),ai2_amzn_2025/ai_amzn*ai_amzn_lo,"")</f>
        <v>76.992</v>
      </c>
      <c r="F91" s="8" t="n">
        <f aca="false">IF(ISNUMBER(ai2_amzn_2026),ai2_amzn_2026/ai_amzn*ai_amzn_lo,"")</f>
        <v>132</v>
      </c>
      <c r="G91" s="8" t="n">
        <f aca="false">IF(ISNUMBER(ai2_amzn_2027),ai2_amzn_2027/ai_amzn*ai_amzn_lo,"")</f>
        <v>165.0378</v>
      </c>
      <c r="H91" s="8" t="n">
        <f aca="false">IF(ISNUMBER(ai2_amzn_2028),ai2_amzn_2028/ai_amzn*ai_amzn_lo,"")</f>
        <v>175.7562</v>
      </c>
      <c r="I91" s="8" t="n">
        <f aca="false">IF(ISNUMBER(ai2_amzn_2029),ai2_amzn_2029/ai_amzn*ai_amzn_lo,"")</f>
        <v>193.33182</v>
      </c>
    </row>
    <row r="92" customFormat="false" ht="17.15" hidden="false" customHeight="false" outlineLevel="0" collapsed="false">
      <c r="A92" s="0" t="s">
        <v>1334</v>
      </c>
      <c r="B92" s="0" t="s">
        <v>1221</v>
      </c>
      <c r="D92" s="8" t="n">
        <f aca="false">IF(ISNUMBER(D91),(pit_amzn_2024/(pit_amzn_2024+pfac_amzn_2024)*D91+pfac_amzn_2024/(pit_amzn_2024+pfac_amzn_2024)*IF(AND(ISNUMBER(""),ISNUMBER("")),wb1*""+wb2*"",IF(ISNUMBER(""),"",D91)))/(pit_amzn_2024+pfac_amzn_2024),site_amzn_2024)</f>
        <v>0</v>
      </c>
      <c r="E92" s="8" t="n">
        <f aca="false">IF(ISNUMBER(E91),(pit_amzn_2025/(pit_amzn_2025+pfac_amzn_2025)*E91+pfac_amzn_2025/(pit_amzn_2025+pfac_amzn_2025)*IF(AND(ISNUMBER(D91),ISNUMBER("")),wb1*D91+wb2*"",IF(ISNUMBER(D91),D91,E91)))/(pit_amzn_2025+pfac_amzn_2025),site_amzn_2025)</f>
        <v>2.31180339591979</v>
      </c>
      <c r="F92" s="8" t="n">
        <f aca="false">IF(ISNUMBER(F91),(pit_amzn_2026/(pit_amzn_2026+pfac_amzn_2026)*F91+pfac_amzn_2026/(pit_amzn_2026+pfac_amzn_2026)*IF(AND(ISNUMBER(E91),ISNUMBER(D91)),wb1*E91+wb2*D91,IF(ISNUMBER(E91),E91,F91)))/(pit_amzn_2026+pfac_amzn_2026),site_amzn_2026)</f>
        <v>3.28968252153905</v>
      </c>
      <c r="G92" s="8" t="n">
        <f aca="false">IF(ISNUMBER(G91),(pit_amzn_2027/(pit_amzn_2027+pfac_amzn_2027)*G91+pfac_amzn_2027/(pit_amzn_2027+pfac_amzn_2027)*IF(AND(ISNUMBER(F91),ISNUMBER(E91)),wb1*F91+wb2*E91,IF(ISNUMBER(F91),F91,G91)))/(pit_amzn_2027+pfac_amzn_2027),site_amzn_2027)</f>
        <v>4.0102636612389</v>
      </c>
      <c r="H92" s="8" t="n">
        <f aca="false">IF(ISNUMBER(H91),(pit_amzn_2028/(pit_amzn_2028+pfac_amzn_2028)*H91+pfac_amzn_2028/(pit_amzn_2028+pfac_amzn_2028)*IF(AND(ISNUMBER(G91),ISNUMBER(F91)),wb1*G91+wb2*F91,IF(ISNUMBER(G91),G91,H91)))/(pit_amzn_2028+pfac_amzn_2028),site_amzn_2028)</f>
        <v>4.40844546994711</v>
      </c>
      <c r="I92" s="8" t="n">
        <f aca="false">IF(ISNUMBER(I91),(pit_amzn_2029/(pit_amzn_2029+pfac_amzn_2029)*I91+pfac_amzn_2029/(pit_amzn_2029+pfac_amzn_2029)*IF(AND(ISNUMBER(H91),ISNUMBER(G91)),wb1*H91+wb2*G91,IF(ISNUMBER(H91),H91,I91)))/(pit_amzn_2029+pfac_amzn_2029),site_amzn_2029)</f>
        <v>4.89397835903159</v>
      </c>
    </row>
    <row r="93" customFormat="false" ht="17.15" hidden="false" customHeight="false" outlineLevel="0" collapsed="false">
      <c r="A93" s="0" t="s">
        <v>1335</v>
      </c>
      <c r="B93" s="0" t="s">
        <v>1223</v>
      </c>
      <c r="E93" s="8" t="n">
        <f aca="false">(1-lag)*E92+lag*D92-inv_k*(E92-D92)</f>
        <v>1.21369678285789</v>
      </c>
      <c r="F93" s="8" t="n">
        <f aca="false">(1-lag)*F92+lag*E92-inv_k*(F92-E92)</f>
        <v>2.82518993686991</v>
      </c>
      <c r="G93" s="8" t="n">
        <f aca="false">(1-lag)*G92+lag*F92-inv_k*(G92-F92)</f>
        <v>3.66798761988147</v>
      </c>
      <c r="H93" s="8" t="n">
        <f aca="false">(1-lag)*H92+lag*G92-inv_k*(H92-G92)</f>
        <v>4.21930911081071</v>
      </c>
      <c r="I93" s="8" t="n">
        <f aca="false">(1-lag)*I92+lag*H92-inv_k*(I92-H92)</f>
        <v>4.66335023671646</v>
      </c>
    </row>
    <row r="94" customFormat="false" ht="17.15" hidden="false" customHeight="false" outlineLevel="0" collapsed="false">
      <c r="A94" s="0" t="s">
        <v>1336</v>
      </c>
      <c r="B94" s="0" t="s">
        <v>1225</v>
      </c>
      <c r="D94" s="8" t="n">
        <f aca="false">gcap_amzn_2024*ai_amzn_lo</f>
        <v>46.5948</v>
      </c>
      <c r="E94" s="8" t="n">
        <f aca="false">gcap_amzn_2025*ai_amzn_lo</f>
        <v>76.992</v>
      </c>
      <c r="F94" s="8" t="n">
        <f aca="false">gcap_amzn_2026*ai_amzn_lo</f>
        <v>132</v>
      </c>
      <c r="G94" s="8" t="n">
        <f aca="false">gcap_amzn_2027*ai_amzn_lo</f>
        <v>151.8480516</v>
      </c>
      <c r="H94" s="8" t="n">
        <f aca="false">gcap_amzn_2028*ai_amzn_lo</f>
        <v>160.1829408</v>
      </c>
      <c r="I94" s="8" t="n">
        <f aca="false">gcap_amzn_2029*ai_amzn_lo</f>
        <v>167.043534</v>
      </c>
    </row>
    <row r="95" customFormat="false" ht="17.15" hidden="false" customHeight="false" outlineLevel="0" collapsed="false">
      <c r="A95" s="0" t="s">
        <v>1337</v>
      </c>
      <c r="B95" s="0" t="s">
        <v>1221</v>
      </c>
      <c r="D95" s="8" t="n">
        <f aca="false">IF(ISNUMBER(D94),(pit_amzn_2024/(pit_amzn_2024+pfac_amzn_2024)*D94+pfac_amzn_2024/(pit_amzn_2024+pfac_amzn_2024)*IF(AND(ISNUMBER(""),ISNUMBER("")),wb1*""+wb2*"",IF(ISNUMBER(""),"",D94)))/(pit_amzn_2024+pfac_amzn_2024),site_amzn_2024)</f>
        <v>1.37857530763073</v>
      </c>
      <c r="E95" s="8" t="n">
        <f aca="false">IF(ISNUMBER(E94),(pit_amzn_2025/(pit_amzn_2025+pfac_amzn_2025)*E94+pfac_amzn_2025/(pit_amzn_2025+pfac_amzn_2025)*IF(AND(ISNUMBER(D94),ISNUMBER("")),wb1*D94+wb2*"",IF(ISNUMBER(D94),D94,E94)))/(pit_amzn_2025+pfac_amzn_2025),site_amzn_2025)</f>
        <v>2.05530249967786</v>
      </c>
      <c r="F95" s="8" t="n">
        <f aca="false">IF(ISNUMBER(F94),(pit_amzn_2026/(pit_amzn_2026+pfac_amzn_2026)*F94+pfac_amzn_2026/(pit_amzn_2026+pfac_amzn_2026)*IF(AND(ISNUMBER(E94),ISNUMBER(D94)),wb1*E94+wb2*D94,IF(ISNUMBER(E94),E94,F94)))/(pit_amzn_2026+pfac_amzn_2026),site_amzn_2026)</f>
        <v>3.17836669667505</v>
      </c>
      <c r="G95" s="8" t="n">
        <f aca="false">IF(ISNUMBER(G94),(pit_amzn_2027/(pit_amzn_2027+pfac_amzn_2027)*G94+pfac_amzn_2027/(pit_amzn_2027+pfac_amzn_2027)*IF(AND(ISNUMBER(F94),ISNUMBER(E94)),wb1*F94+wb2*E94,IF(ISNUMBER(F94),F94,G94)))/(pit_amzn_2027+pfac_amzn_2027),site_amzn_2027)</f>
        <v>3.74572504997357</v>
      </c>
      <c r="H95" s="8" t="n">
        <f aca="false">IF(ISNUMBER(H94),(pit_amzn_2028/(pit_amzn_2028+pfac_amzn_2028)*H94+pfac_amzn_2028/(pit_amzn_2028+pfac_amzn_2028)*IF(AND(ISNUMBER(G94),ISNUMBER(F94)),wb1*G94+wb2*F94,IF(ISNUMBER(G94),G94,H94)))/(pit_amzn_2028+pfac_amzn_2028),site_amzn_2028)</f>
        <v>4.0595803157159</v>
      </c>
      <c r="I95" s="8" t="n">
        <f aca="false">IF(ISNUMBER(I94),(pit_amzn_2029/(pit_amzn_2029+pfac_amzn_2029)*I94+pfac_amzn_2029/(pit_amzn_2029+pfac_amzn_2029)*IF(AND(ISNUMBER(H94),ISNUMBER(G94)),wb1*H94+wb2*G94,IF(ISNUMBER(H94),H94,I94)))/(pit_amzn_2029+pfac_amzn_2029),site_amzn_2029)</f>
        <v>4.28441500497403</v>
      </c>
    </row>
    <row r="96" customFormat="false" ht="17.15" hidden="false" customHeight="false" outlineLevel="0" collapsed="false">
      <c r="A96" s="0" t="s">
        <v>1338</v>
      </c>
      <c r="B96" s="0" t="s">
        <v>1223</v>
      </c>
      <c r="E96" s="8" t="n">
        <f aca="false">(1-lag)*E95+lag*D95-inv_k*(E95-D95)</f>
        <v>1.73385708345548</v>
      </c>
      <c r="F96" s="8" t="n">
        <f aca="false">(1-lag)*F95+lag*E95-inv_k*(F95-E95)</f>
        <v>2.64491120310139</v>
      </c>
      <c r="G96" s="8" t="n">
        <f aca="false">(1-lag)*G95+lag*F95-inv_k*(G95-F95)</f>
        <v>3.47622983215678</v>
      </c>
      <c r="H96" s="8" t="n">
        <f aca="false">(1-lag)*H95+lag*G95-inv_k*(H95-G95)</f>
        <v>3.9104990644883</v>
      </c>
      <c r="I96" s="8" t="n">
        <f aca="false">(1-lag)*I95+lag*H95-inv_k*(I95-H95)</f>
        <v>4.17761852757642</v>
      </c>
    </row>
    <row r="97" customFormat="false" ht="17.15" hidden="false" customHeight="false" outlineLevel="0" collapsed="false">
      <c r="A97" s="0" t="s">
        <v>1339</v>
      </c>
      <c r="B97" s="0" t="s">
        <v>1229</v>
      </c>
      <c r="D97" s="8" t="n">
        <f aca="false">site_amzn_2024</f>
        <v>0</v>
      </c>
      <c r="E97" s="8" t="n">
        <f aca="false">site_amzn_2025</f>
        <v>1.38971599402093</v>
      </c>
      <c r="F97" s="8" t="n">
        <f aca="false">site_amzn_2026</f>
        <v>0.527</v>
      </c>
      <c r="G97" s="8" t="n">
        <f aca="false">site_amzn_2027</f>
        <v>0.364</v>
      </c>
      <c r="H97" s="8" t="n">
        <f aca="false">site_amzn_2028</f>
        <v>1.744</v>
      </c>
      <c r="I97" s="8" t="n">
        <f aca="false">site_amzn_2029</f>
        <v>0.0620000000000003</v>
      </c>
    </row>
    <row r="98" customFormat="false" ht="17.15" hidden="false" customHeight="false" outlineLevel="0" collapsed="false">
      <c r="A98" s="0" t="s">
        <v>1340</v>
      </c>
      <c r="B98" s="0" t="s">
        <v>1231</v>
      </c>
      <c r="D98" s="8" t="str">
        <f aca="false">IF(ISNUMBER(ai2_meta_2024),ai2_meta_2024/ai_sh*ai_sh_lo,"")</f>
        <v/>
      </c>
      <c r="E98" s="8" t="str">
        <f aca="false">IF(ISNUMBER(ai2_meta_2025),ai2_meta_2025/ai_sh*ai_sh_lo,"")</f>
        <v/>
      </c>
      <c r="F98" s="8" t="n">
        <f aca="false">IF(ISNUMBER(ai2_meta_2026),ai2_meta_2026/ai_sh*ai_sh_lo,"")</f>
        <v>105</v>
      </c>
      <c r="G98" s="8" t="n">
        <f aca="false">IF(ISNUMBER(ai2_meta_2027),ai2_meta_2027/ai_sh*ai_sh_lo,"")</f>
        <v>115.5</v>
      </c>
      <c r="H98" s="8" t="n">
        <f aca="false">IF(ISNUMBER(ai2_meta_2028),ai2_meta_2028/ai_sh*ai_sh_lo,"")</f>
        <v>127.05</v>
      </c>
      <c r="I98" s="8" t="n">
        <f aca="false">IF(ISNUMBER(ai2_meta_2029),ai2_meta_2029/ai_sh*ai_sh_lo,"")</f>
        <v>139.755</v>
      </c>
    </row>
    <row r="99" customFormat="false" ht="17.15" hidden="false" customHeight="false" outlineLevel="0" collapsed="false">
      <c r="A99" s="0" t="s">
        <v>1341</v>
      </c>
      <c r="B99" s="0" t="s">
        <v>1233</v>
      </c>
      <c r="D99" s="8" t="n">
        <f aca="false">IF(ISNUMBER(D98),(pit_meta_2024/(pit_meta_2024+pfac_meta_2024)*D98+pfac_meta_2024/(pit_meta_2024+pfac_meta_2024)*IF(AND(ISNUMBER(""),ISNUMBER("")),wb1*""+wb2*"",IF(ISNUMBER(""),"",D98)))/(pit_meta_2024+pfac_meta_2024),site_meta_2024)</f>
        <v>0</v>
      </c>
      <c r="E99" s="8" t="n">
        <f aca="false">IF(ISNUMBER(E98),(pit_meta_2025/(pit_meta_2025+pfac_meta_2025)*E98+pfac_meta_2025/(pit_meta_2025+pfac_meta_2025)*IF(AND(ISNUMBER(D98),ISNUMBER("")),wb1*D98+wb2*"",IF(ISNUMBER(D98),D98,E98)))/(pit_meta_2025+pfac_meta_2025),site_meta_2025)</f>
        <v>1.50812</v>
      </c>
      <c r="F99" s="8" t="n">
        <f aca="false">IF(ISNUMBER(F98),(pit_meta_2026/(pit_meta_2026+pfac_meta_2026)*F98+pfac_meta_2026/(pit_meta_2026+pfac_meta_2026)*IF(AND(ISNUMBER(E98),ISNUMBER(D98)),wb1*E98+wb2*D98,IF(ISNUMBER(E98),E98,F98)))/(pit_meta_2026+pfac_meta_2026),site_meta_2026)</f>
        <v>2.31879267904232</v>
      </c>
      <c r="G99" s="8" t="n">
        <f aca="false">IF(ISNUMBER(G98),(pit_meta_2027/(pit_meta_2027+pfac_meta_2027)*G98+pfac_meta_2027/(pit_meta_2027+pfac_meta_2027)*IF(AND(ISNUMBER(F98),ISNUMBER(E98)),wb1*F98+wb2*E98,IF(ISNUMBER(F98),F98,G98)))/(pit_meta_2027+pfac_meta_2027),site_meta_2027)</f>
        <v>2.31574577526777</v>
      </c>
      <c r="H99" s="8" t="n">
        <f aca="false">IF(ISNUMBER(H98),(pit_meta_2028/(pit_meta_2028+pfac_meta_2028)*H98+pfac_meta_2028/(pit_meta_2028+pfac_meta_2028)*IF(AND(ISNUMBER(G98),ISNUMBER(F98)),wb1*G98+wb2*F98,IF(ISNUMBER(G98),G98,H98)))/(pit_meta_2028+pfac_meta_2028),site_meta_2028)</f>
        <v>2.41448119992367</v>
      </c>
      <c r="I99" s="8" t="n">
        <f aca="false">IF(ISNUMBER(I98),(pit_meta_2029/(pit_meta_2029+pfac_meta_2029)*I98+pfac_meta_2029/(pit_meta_2029+pfac_meta_2029)*IF(AND(ISNUMBER(H98),ISNUMBER(G98)),wb1*H98+wb2*G98,IF(ISNUMBER(H98),H98,I98)))/(pit_meta_2029+pfac_meta_2029),site_meta_2029)</f>
        <v>2.65742492808478</v>
      </c>
    </row>
    <row r="100" customFormat="false" ht="17.15" hidden="false" customHeight="false" outlineLevel="0" collapsed="false">
      <c r="A100" s="0" t="s">
        <v>1342</v>
      </c>
      <c r="B100" s="0" t="s">
        <v>1235</v>
      </c>
      <c r="E100" s="8" t="n">
        <f aca="false">(1-lag)*E99+lag*D99-inv_k*(E99-D99)</f>
        <v>0.791763</v>
      </c>
      <c r="F100" s="8" t="n">
        <f aca="false">(1-lag)*F99+lag*E99-inv_k*(F99-E99)</f>
        <v>1.93372315649722</v>
      </c>
      <c r="G100" s="8" t="n">
        <f aca="false">(1-lag)*G99+lag*F99-inv_k*(G99-F99)</f>
        <v>2.31719305456068</v>
      </c>
      <c r="H100" s="8" t="n">
        <f aca="false">(1-lag)*H99+lag*G99-inv_k*(H99-G99)</f>
        <v>2.36758187321212</v>
      </c>
      <c r="I100" s="8" t="n">
        <f aca="false">(1-lag)*I99+lag*H99-inv_k*(I99-H99)</f>
        <v>2.54202665720825</v>
      </c>
    </row>
    <row r="101" customFormat="false" ht="17.15" hidden="false" customHeight="false" outlineLevel="0" collapsed="false">
      <c r="A101" s="0" t="s">
        <v>1343</v>
      </c>
      <c r="B101" s="0" t="s">
        <v>1237</v>
      </c>
      <c r="D101" s="8" t="n">
        <f aca="false">gcap_meta_2024*ai_sh_lo</f>
        <v>29.41875</v>
      </c>
      <c r="E101" s="8" t="n">
        <f aca="false">gcap_meta_2025*ai_sh_lo</f>
        <v>54.16125</v>
      </c>
      <c r="F101" s="8" t="n">
        <f aca="false">gcap_meta_2026*ai_sh_lo</f>
        <v>105</v>
      </c>
      <c r="G101" s="8" t="n">
        <f aca="false">gcap_meta_2027*ai_sh_lo</f>
        <v>154.2794085</v>
      </c>
      <c r="H101" s="8" t="n">
        <f aca="false">gcap_meta_2028*ai_sh_lo</f>
        <v>164.46244725</v>
      </c>
      <c r="I101" s="8" t="n">
        <f aca="false">gcap_meta_2029*ai_sh_lo</f>
        <v>146.09989725</v>
      </c>
    </row>
    <row r="102" customFormat="false" ht="17.15" hidden="false" customHeight="false" outlineLevel="0" collapsed="false">
      <c r="A102" s="0" t="s">
        <v>1344</v>
      </c>
      <c r="B102" s="0" t="s">
        <v>1233</v>
      </c>
      <c r="D102" s="8" t="n">
        <f aca="false">IF(ISNUMBER(D101),(pit_meta_2024/(pit_meta_2024+pfac_meta_2024)*D101+pfac_meta_2024/(pit_meta_2024+pfac_meta_2024)*IF(AND(ISNUMBER(""),ISNUMBER("")),wb1*""+wb2*"",IF(ISNUMBER(""),"",D101)))/(pit_meta_2024+pfac_meta_2024),site_meta_2024)</f>
        <v>0.721318002635548</v>
      </c>
      <c r="E102" s="8" t="n">
        <f aca="false">IF(ISNUMBER(E101),(pit_meta_2025/(pit_meta_2025+pfac_meta_2025)*E101+pfac_meta_2025/(pit_meta_2025+pfac_meta_2025)*IF(AND(ISNUMBER(D101),ISNUMBER("")),wb1*D101+wb2*"",IF(ISNUMBER(D101),D101,E101)))/(pit_meta_2025+pfac_meta_2025),site_meta_2025)</f>
        <v>1.17392315205136</v>
      </c>
      <c r="F102" s="8" t="n">
        <f aca="false">IF(ISNUMBER(F101),(pit_meta_2026/(pit_meta_2026+pfac_meta_2026)*F101+pfac_meta_2026/(pit_meta_2026+pfac_meta_2026)*IF(AND(ISNUMBER(E101),ISNUMBER(D101)),wb1*E101+wb2*D101,IF(ISNUMBER(E101),E101,F101)))/(pit_meta_2026+pfac_meta_2026),site_meta_2026)</f>
        <v>1.94217073273449</v>
      </c>
      <c r="G102" s="8" t="n">
        <f aca="false">IF(ISNUMBER(G101),(pit_meta_2027/(pit_meta_2027+pfac_meta_2027)*G101+pfac_meta_2027/(pit_meta_2027+pfac_meta_2027)*IF(AND(ISNUMBER(F101),ISNUMBER(E101)),wb1*F101+wb2*E101,IF(ISNUMBER(F101),F101,G101)))/(pit_meta_2027+pfac_meta_2027),site_meta_2027)</f>
        <v>2.78299536244594</v>
      </c>
      <c r="H102" s="8" t="n">
        <f aca="false">IF(ISNUMBER(H101),(pit_meta_2028/(pit_meta_2028+pfac_meta_2028)*H101+pfac_meta_2028/(pit_meta_2028+pfac_meta_2028)*IF(AND(ISNUMBER(G101),ISNUMBER(F101)),wb1*G101+wb2*F101,IF(ISNUMBER(G101),G101,H101)))/(pit_meta_2028+pfac_meta_2028),site_meta_2028)</f>
        <v>3.0642600603996</v>
      </c>
      <c r="I102" s="8" t="n">
        <f aca="false">IF(ISNUMBER(I101),(pit_meta_2029/(pit_meta_2029+pfac_meta_2029)*I101+pfac_meta_2029/(pit_meta_2029+pfac_meta_2029)*IF(AND(ISNUMBER(H101),ISNUMBER(G101)),wb1*H101+wb2*G101,IF(ISNUMBER(H101),H101,I101)))/(pit_meta_2029+pfac_meta_2029),site_meta_2029)</f>
        <v>2.93075597542194</v>
      </c>
    </row>
    <row r="103" customFormat="false" ht="17.15" hidden="false" customHeight="false" outlineLevel="0" collapsed="false">
      <c r="A103" s="0" t="s">
        <v>1345</v>
      </c>
      <c r="B103" s="0" t="s">
        <v>1235</v>
      </c>
      <c r="E103" s="8" t="n">
        <f aca="false">(1-lag)*E102+lag*D102-inv_k*(E102-D102)</f>
        <v>0.958935706078847</v>
      </c>
      <c r="F103" s="8" t="n">
        <f aca="false">(1-lag)*F102+lag*E102-inv_k*(F102-E102)</f>
        <v>1.57725313191</v>
      </c>
      <c r="G103" s="8" t="n">
        <f aca="false">(1-lag)*G102+lag*F102-inv_k*(G102-F102)</f>
        <v>2.383603663333</v>
      </c>
      <c r="H103" s="8" t="n">
        <f aca="false">(1-lag)*H102+lag*G102-inv_k*(H102-G102)</f>
        <v>2.93065932887161</v>
      </c>
      <c r="I103" s="8" t="n">
        <f aca="false">(1-lag)*I102+lag*H102-inv_k*(I102-H102)</f>
        <v>2.99417041578633</v>
      </c>
    </row>
    <row r="104" customFormat="false" ht="17.15" hidden="false" customHeight="false" outlineLevel="0" collapsed="false">
      <c r="A104" s="0" t="s">
        <v>1346</v>
      </c>
      <c r="B104" s="0" t="s">
        <v>1241</v>
      </c>
      <c r="D104" s="8" t="n">
        <f aca="false">site_meta_2024</f>
        <v>0</v>
      </c>
      <c r="E104" s="8" t="n">
        <f aca="false">site_meta_2025</f>
        <v>1.50812</v>
      </c>
      <c r="F104" s="8" t="n">
        <f aca="false">site_meta_2026</f>
        <v>0.676</v>
      </c>
      <c r="G104" s="8" t="n">
        <f aca="false">site_meta_2027</f>
        <v>0.615</v>
      </c>
      <c r="H104" s="8" t="n">
        <f aca="false">site_meta_2028</f>
        <v>2.99433333333333</v>
      </c>
      <c r="I104" s="8" t="n">
        <f aca="false">site_meta_2029</f>
        <v>0.968</v>
      </c>
    </row>
    <row r="105" customFormat="false" ht="17.15" hidden="false" customHeight="false" outlineLevel="0" collapsed="false">
      <c r="A105" s="0" t="s">
        <v>1347</v>
      </c>
      <c r="B105" s="0" t="s">
        <v>1243</v>
      </c>
      <c r="D105" s="8" t="str">
        <f aca="false">IF(ISNUMBER(ai2_orcl_2024),ai2_orcl_2024/ai_sh*ai_sh_lo,"")</f>
        <v/>
      </c>
      <c r="E105" s="8" t="n">
        <f aca="false">IF(ISNUMBER(ai2_orcl_2025),ai2_orcl_2025/ai_sh*ai_sh_lo,"")</f>
        <v>30.98225</v>
      </c>
      <c r="F105" s="8" t="n">
        <f aca="false">IF(ISNUMBER(ai2_orcl_2026),ai2_orcl_2026/ai_sh*ai_sh_lo,"")</f>
        <v>57.8634375</v>
      </c>
      <c r="G105" s="8" t="n">
        <f aca="false">IF(ISNUMBER(ai2_orcl_2027),ai2_orcl_2027/ai_sh*ai_sh_lo,"")</f>
        <v>73.077125</v>
      </c>
      <c r="H105" s="8" t="n">
        <f aca="false">IF(ISNUMBER(ai2_orcl_2028),ai2_orcl_2028/ai_sh*ai_sh_lo,"")</f>
        <v>68.671625</v>
      </c>
      <c r="I105" s="8" t="n">
        <f aca="false">IF(ISNUMBER(ai2_orcl_2029),ai2_orcl_2029/ai_sh*ai_sh_lo,"")</f>
        <v>67.3481</v>
      </c>
    </row>
    <row r="106" customFormat="false" ht="17.15" hidden="false" customHeight="false" outlineLevel="0" collapsed="false">
      <c r="A106" s="0" t="s">
        <v>1348</v>
      </c>
      <c r="B106" s="0" t="s">
        <v>1245</v>
      </c>
      <c r="D106" s="8" t="n">
        <f aca="false">IF(ISNUMBER(D105),(pit_orcl_2024/(pit_orcl_2024+pfac_orcl_2024)*D105+pfac_orcl_2024/(pit_orcl_2024+pfac_orcl_2024)*IF(AND(ISNUMBER(""),ISNUMBER("")),wb1*""+wb2*"",IF(ISNUMBER(""),"",D105)))/(pit_orcl_2024+pfac_orcl_2024),site_orcl_2024)</f>
        <v>0</v>
      </c>
      <c r="E106" s="8" t="n">
        <f aca="false">IF(ISNUMBER(E105),(pit_orcl_2025/(pit_orcl_2025+pfac_orcl_2025)*E105+pfac_orcl_2025/(pit_orcl_2025+pfac_orcl_2025)*IF(AND(ISNUMBER(D105),ISNUMBER("")),wb1*D105+wb2*"",IF(ISNUMBER(D105),D105,E105)))/(pit_orcl_2025+pfac_orcl_2025),site_orcl_2025)</f>
        <v>0.78156742786547</v>
      </c>
      <c r="F106" s="8" t="n">
        <f aca="false">IF(ISNUMBER(F105),(pit_orcl_2026/(pit_orcl_2026+pfac_orcl_2026)*F105+pfac_orcl_2026/(pit_orcl_2026+pfac_orcl_2026)*IF(AND(ISNUMBER(E105),ISNUMBER(D105)),wb1*E105+wb2*D105,IF(ISNUMBER(E105),E105,F105)))/(pit_orcl_2026+pfac_orcl_2026),site_orcl_2026)</f>
        <v>1.11767585240842</v>
      </c>
      <c r="G106" s="8" t="n">
        <f aca="false">IF(ISNUMBER(G105),(pit_orcl_2027/(pit_orcl_2027+pfac_orcl_2027)*G105+pfac_orcl_2027/(pit_orcl_2027+pfac_orcl_2027)*IF(AND(ISNUMBER(F105),ISNUMBER(E105)),wb1*F105+wb2*E105,IF(ISNUMBER(F105),F105,G105)))/(pit_orcl_2027+pfac_orcl_2027),site_orcl_2027)</f>
        <v>1.35261987317665</v>
      </c>
      <c r="H106" s="8" t="n">
        <f aca="false">IF(ISNUMBER(H105),(pit_orcl_2028/(pit_orcl_2028+pfac_orcl_2028)*H105+pfac_orcl_2028/(pit_orcl_2028+pfac_orcl_2028)*IF(AND(ISNUMBER(G105),ISNUMBER(F105)),wb1*G105+wb2*F105,IF(ISNUMBER(G105),G105,H105)))/(pit_orcl_2028+pfac_orcl_2028),site_orcl_2028)</f>
        <v>1.33257167346865</v>
      </c>
      <c r="I106" s="8" t="n">
        <f aca="false">IF(ISNUMBER(I105),(pit_orcl_2029/(pit_orcl_2029+pfac_orcl_2029)*I105+pfac_orcl_2029/(pit_orcl_2029+pfac_orcl_2029)*IF(AND(ISNUMBER(H105),ISNUMBER(G105)),wb1*H105+wb2*G105,IF(ISNUMBER(H105),H105,I105)))/(pit_orcl_2029+pfac_orcl_2029),site_orcl_2029)</f>
        <v>1.33885897817353</v>
      </c>
    </row>
    <row r="107" customFormat="false" ht="17.15" hidden="false" customHeight="false" outlineLevel="0" collapsed="false">
      <c r="A107" s="0" t="s">
        <v>1349</v>
      </c>
      <c r="B107" s="0" t="s">
        <v>1247</v>
      </c>
      <c r="E107" s="8" t="n">
        <f aca="false">(1-lag)*E106+lag*D106-inv_k*(E106-D106)</f>
        <v>0.410322899629372</v>
      </c>
      <c r="F107" s="8" t="n">
        <f aca="false">(1-lag)*F106+lag*E106-inv_k*(F106-E106)</f>
        <v>0.95802435075052</v>
      </c>
      <c r="G107" s="8" t="n">
        <f aca="false">(1-lag)*G106+lag*F106-inv_k*(G106-F106)</f>
        <v>1.24102146331174</v>
      </c>
      <c r="H107" s="8" t="n">
        <f aca="false">(1-lag)*H106+lag*G106-inv_k*(H106-G106)</f>
        <v>1.34209456832995</v>
      </c>
      <c r="I107" s="8" t="n">
        <f aca="false">(1-lag)*I106+lag*H106-inv_k*(I106-H106)</f>
        <v>1.33587250843871</v>
      </c>
    </row>
    <row r="108" customFormat="false" ht="17.15" hidden="false" customHeight="false" outlineLevel="0" collapsed="false">
      <c r="A108" s="0" t="s">
        <v>1350</v>
      </c>
      <c r="B108" s="0" t="s">
        <v>1249</v>
      </c>
      <c r="D108" s="8" t="str">
        <f aca="false">""</f>
        <v/>
      </c>
      <c r="E108" s="8" t="n">
        <f aca="false">(5/12*cap2_orcl_2025+7/12*gcap_orcl_2026)*ai_sh_lo</f>
        <v>30.98225</v>
      </c>
      <c r="F108" s="8" t="n">
        <f aca="false">(5/12*gcap_orcl_2026+7/12*gcap_orcl_2027)*ai_sh_lo</f>
        <v>57.8634375</v>
      </c>
      <c r="G108" s="8" t="n">
        <f aca="false">(5/12*gcap_orcl_2027+7/12*gcap_orcl_2028)*ai_sh_lo</f>
        <v>66.705167625</v>
      </c>
      <c r="H108" s="8" t="n">
        <f aca="false">(5/12*gcap_orcl_2028+7/12*gcap_orcl_2029)*ai_sh_lo</f>
        <v>43.6266606875</v>
      </c>
      <c r="I108" s="8" t="n">
        <f aca="false">(5/12*gcap_orcl_2029+7/12*gcap_orcl_2030)*ai_sh_lo</f>
        <v>20.631841875</v>
      </c>
    </row>
    <row r="109" customFormat="false" ht="17.15" hidden="false" customHeight="false" outlineLevel="0" collapsed="false">
      <c r="A109" s="0" t="s">
        <v>1351</v>
      </c>
      <c r="B109" s="0" t="s">
        <v>1245</v>
      </c>
      <c r="D109" s="8" t="n">
        <f aca="false">IF(ISNUMBER(D108),(pit_orcl_2024/(pit_orcl_2024+pfac_orcl_2024)*D108+pfac_orcl_2024/(pit_orcl_2024+pfac_orcl_2024)*IF(AND(ISNUMBER(""),ISNUMBER("")),wb1*""+wb2*"",IF(ISNUMBER(""),"",D108)))/(pit_orcl_2024+pfac_orcl_2024),site_orcl_2024)</f>
        <v>0</v>
      </c>
      <c r="E109" s="8" t="n">
        <f aca="false">IF(ISNUMBER(E108),(pit_orcl_2025/(pit_orcl_2025+pfac_orcl_2025)*E108+pfac_orcl_2025/(pit_orcl_2025+pfac_orcl_2025)*IF(AND(ISNUMBER(D108),ISNUMBER("")),wb1*D108+wb2*"",IF(ISNUMBER(D108),D108,E108)))/(pit_orcl_2025+pfac_orcl_2025),site_orcl_2025)</f>
        <v>0.78156742786547</v>
      </c>
      <c r="F109" s="8" t="n">
        <f aca="false">IF(ISNUMBER(F108),(pit_orcl_2026/(pit_orcl_2026+pfac_orcl_2026)*F108+pfac_orcl_2026/(pit_orcl_2026+pfac_orcl_2026)*IF(AND(ISNUMBER(E108),ISNUMBER(D108)),wb1*E108+wb2*D108,IF(ISNUMBER(E108),E108,F108)))/(pit_orcl_2026+pfac_orcl_2026),site_orcl_2026)</f>
        <v>1.11767585240842</v>
      </c>
      <c r="G109" s="8" t="n">
        <f aca="false">IF(ISNUMBER(G108),(pit_orcl_2027/(pit_orcl_2027+pfac_orcl_2027)*G108+pfac_orcl_2027/(pit_orcl_2027+pfac_orcl_2027)*IF(AND(ISNUMBER(F108),ISNUMBER(E108)),wb1*F108+wb2*E108,IF(ISNUMBER(F108),F108,G108)))/(pit_orcl_2027+pfac_orcl_2027),site_orcl_2027)</f>
        <v>1.25448602751483</v>
      </c>
      <c r="H109" s="8" t="n">
        <f aca="false">IF(ISNUMBER(H108),(pit_orcl_2028/(pit_orcl_2028+pfac_orcl_2028)*H108+pfac_orcl_2028/(pit_orcl_2028+pfac_orcl_2028)*IF(AND(ISNUMBER(G108),ISNUMBER(F108)),wb1*G108+wb2*F108,IF(ISNUMBER(G108),G108,H108)))/(pit_orcl_2028+pfac_orcl_2028),site_orcl_2028)</f>
        <v>0.943442234305373</v>
      </c>
      <c r="I109" s="8" t="n">
        <f aca="false">IF(ISNUMBER(I108),(pit_orcl_2029/(pit_orcl_2029+pfac_orcl_2029)*I108+pfac_orcl_2029/(pit_orcl_2029+pfac_orcl_2029)*IF(AND(ISNUMBER(H108),ISNUMBER(G108)),wb1*H108+wb2*G108,IF(ISNUMBER(H108),H108,I108)))/(pit_orcl_2029+pfac_orcl_2029),site_orcl_2029)</f>
        <v>0.566884894474369</v>
      </c>
    </row>
    <row r="110" customFormat="false" ht="17.15" hidden="false" customHeight="false" outlineLevel="0" collapsed="false">
      <c r="A110" s="0" t="s">
        <v>1352</v>
      </c>
      <c r="B110" s="0" t="s">
        <v>1247</v>
      </c>
      <c r="E110" s="8" t="n">
        <f aca="false">(1-lag)*E109+lag*D109-inv_k*(E109-D109)</f>
        <v>0.410322899629372</v>
      </c>
      <c r="F110" s="8" t="n">
        <f aca="false">(1-lag)*F109+lag*E109-inv_k*(F109-E109)</f>
        <v>0.95802435075052</v>
      </c>
      <c r="G110" s="8" t="n">
        <f aca="false">(1-lag)*G109+lag*F109-inv_k*(G109-F109)</f>
        <v>1.18950119433929</v>
      </c>
      <c r="H110" s="8" t="n">
        <f aca="false">(1-lag)*H109+lag*G109-inv_k*(H109-G109)</f>
        <v>1.09118803607986</v>
      </c>
      <c r="I110" s="8" t="n">
        <f aca="false">(1-lag)*I109+lag*H109-inv_k*(I109-H109)</f>
        <v>0.745749630894096</v>
      </c>
    </row>
    <row r="111" customFormat="false" ht="17.15" hidden="false" customHeight="false" outlineLevel="0" collapsed="false">
      <c r="A111" s="0" t="s">
        <v>1353</v>
      </c>
      <c r="B111" s="0" t="s">
        <v>1253</v>
      </c>
      <c r="D111" s="8" t="n">
        <f aca="false">site_orcl_2024</f>
        <v>0</v>
      </c>
      <c r="E111" s="8" t="n">
        <f aca="false">site_orcl_2025</f>
        <v>0.816405</v>
      </c>
      <c r="F111" s="8" t="n">
        <f aca="false">site_orcl_2026</f>
        <v>1.54613</v>
      </c>
      <c r="G111" s="8" t="n">
        <f aca="false">site_orcl_2027</f>
        <v>0.944166666666667</v>
      </c>
      <c r="H111" s="8" t="n">
        <f aca="false">site_orcl_2028</f>
        <v>4.91166666666667</v>
      </c>
      <c r="I111" s="8" t="n">
        <f aca="false">site_orcl_2029</f>
        <v>0</v>
      </c>
    </row>
    <row r="112" customFormat="false" ht="17.15" hidden="false" customHeight="false" outlineLevel="0" collapsed="false">
      <c r="A112" s="0" t="s">
        <v>1354</v>
      </c>
      <c r="B112" s="0" t="s">
        <v>1255</v>
      </c>
      <c r="D112" s="8" t="str">
        <f aca="false">IF(ISNUMBER(ai2_crwv_2024),ai2_crwv_2024/ai_sh*ai_sh_lo,"")</f>
        <v/>
      </c>
      <c r="E112" s="8" t="str">
        <f aca="false">IF(ISNUMBER(ai2_crwv_2025),ai2_crwv_2025/ai_sh*ai_sh_lo,"")</f>
        <v/>
      </c>
      <c r="F112" s="8" t="n">
        <f aca="false">IF(ISNUMBER(ai2_crwv_2026),ai2_crwv_2026/ai_sh*ai_sh_lo,"")</f>
        <v>27.75</v>
      </c>
      <c r="G112" s="8" t="n">
        <f aca="false">IF(ISNUMBER(ai2_crwv_2027),ai2_crwv_2027/ai_sh*ai_sh_lo,"")</f>
        <v>34.857</v>
      </c>
      <c r="H112" s="8" t="n">
        <f aca="false">IF(ISNUMBER(ai2_crwv_2028),ai2_crwv_2028/ai_sh*ai_sh_lo,"")</f>
        <v>37.59675</v>
      </c>
      <c r="I112" s="8" t="n">
        <f aca="false">IF(ISNUMBER(ai2_crwv_2029),ai2_crwv_2029/ai_sh*ai_sh_lo,"")</f>
        <v>41.356425</v>
      </c>
    </row>
    <row r="113" customFormat="false" ht="17.15" hidden="false" customHeight="false" outlineLevel="0" collapsed="false">
      <c r="A113" s="0" t="s">
        <v>1355</v>
      </c>
      <c r="B113" s="0" t="s">
        <v>1257</v>
      </c>
      <c r="D113" s="8" t="n">
        <f aca="false">IF(ISNUMBER(D112),(pit_crwv_2024/(pit_crwv_2024+pfac_crwv_2024)*D112+pfac_crwv_2024/(pit_crwv_2024+pfac_crwv_2024)*IF(AND(ISNUMBER(""),ISNUMBER("")),wb1*""+wb2*"",IF(ISNUMBER(""),"",D112)))/(pit_crwv_2024+pfac_crwv_2024),site_crwv_2024)</f>
        <v>0.29</v>
      </c>
      <c r="E113" s="8" t="n">
        <f aca="false">IF(ISNUMBER(E112),(pit_crwv_2025/(pit_crwv_2025+pfac_crwv_2025)*E112+pfac_crwv_2025/(pit_crwv_2025+pfac_crwv_2025)*IF(AND(ISNUMBER(D112),ISNUMBER("")),wb1*D112+wb2*"",IF(ISNUMBER(D112),D112,E112)))/(pit_crwv_2025+pfac_crwv_2025),site_crwv_2025)</f>
        <v>0.49</v>
      </c>
      <c r="F113" s="8" t="n">
        <f aca="false">IF(ISNUMBER(F112),(pit_crwv_2026/(pit_crwv_2026+pfac_crwv_2026)*F112+pfac_crwv_2026/(pit_crwv_2026+pfac_crwv_2026)*IF(AND(ISNUMBER(E112),ISNUMBER(D112)),wb1*E112+wb2*D112,IF(ISNUMBER(E112),E112,F112)))/(pit_crwv_2026+pfac_crwv_2026),site_crwv_2026)</f>
        <v>0.602160850501411</v>
      </c>
      <c r="G113" s="8" t="n">
        <f aca="false">IF(ISNUMBER(G112),(pit_crwv_2027/(pit_crwv_2027+pfac_crwv_2027)*G112+pfac_crwv_2027/(pit_crwv_2027+pfac_crwv_2027)*IF(AND(ISNUMBER(F112),ISNUMBER(E112)),wb1*F112+wb2*E112,IF(ISNUMBER(F112),F112,G112)))/(pit_crwv_2027+pfac_crwv_2027),site_crwv_2027)</f>
        <v>0.648725843301762</v>
      </c>
      <c r="H113" s="8" t="n">
        <f aca="false">IF(ISNUMBER(H112),(pit_crwv_2028/(pit_crwv_2028+pfac_crwv_2028)*H112+pfac_crwv_2028/(pit_crwv_2028+pfac_crwv_2028)*IF(AND(ISNUMBER(G112),ISNUMBER(F112)),wb1*G112+wb2*F112,IF(ISNUMBER(G112),G112,H112)))/(pit_crwv_2028+pfac_crwv_2028),site_crwv_2028)</f>
        <v>0.668860846948401</v>
      </c>
      <c r="I113" s="8" t="n">
        <f aca="false">IF(ISNUMBER(I112),(pit_crwv_2029/(pit_crwv_2029+pfac_crwv_2029)*I112+pfac_crwv_2029/(pit_crwv_2029+pfac_crwv_2029)*IF(AND(ISNUMBER(H112),ISNUMBER(G112)),wb1*H112+wb2*G112,IF(ISNUMBER(H112),H112,I112)))/(pit_crwv_2029+pfac_crwv_2029),site_crwv_2029)</f>
        <v>0.743536856784068</v>
      </c>
    </row>
    <row r="114" customFormat="false" ht="17.15" hidden="false" customHeight="false" outlineLevel="0" collapsed="false">
      <c r="A114" s="0" t="s">
        <v>1356</v>
      </c>
      <c r="B114" s="0" t="s">
        <v>1259</v>
      </c>
      <c r="E114" s="8" t="n">
        <f aca="false">(1-lag)*E113+lag*D113-inv_k*(E113-D113)</f>
        <v>0.395</v>
      </c>
      <c r="F114" s="8" t="n">
        <f aca="false">(1-lag)*F113+lag*E113-inv_k*(F113-E113)</f>
        <v>0.548884446513241</v>
      </c>
      <c r="G114" s="8" t="n">
        <f aca="false">(1-lag)*G113+lag*F113-inv_k*(G113-F113)</f>
        <v>0.626607471721595</v>
      </c>
      <c r="H114" s="8" t="n">
        <f aca="false">(1-lag)*H113+lag*G113-inv_k*(H113-G113)</f>
        <v>0.659296720216247</v>
      </c>
      <c r="I114" s="8" t="n">
        <f aca="false">(1-lag)*I113+lag*H113-inv_k*(I113-H113)</f>
        <v>0.708065752112126</v>
      </c>
    </row>
    <row r="115" customFormat="false" ht="17.15" hidden="false" customHeight="false" outlineLevel="0" collapsed="false">
      <c r="A115" s="0" t="s">
        <v>1357</v>
      </c>
      <c r="B115" s="0" t="s">
        <v>1261</v>
      </c>
      <c r="D115" s="8" t="str">
        <f aca="false">""</f>
        <v/>
      </c>
      <c r="E115" s="8" t="str">
        <f aca="false">""</f>
        <v/>
      </c>
      <c r="F115" s="8" t="n">
        <f aca="false">gcap_crwv_2026*ai_sh_lo</f>
        <v>24.7335</v>
      </c>
      <c r="G115" s="8" t="n">
        <f aca="false">gcap_crwv_2027*ai_sh_lo</f>
        <v>29.52228075</v>
      </c>
      <c r="H115" s="8" t="n">
        <f aca="false">gcap_crwv_2028*ai_sh_lo</f>
        <v>24.3841455</v>
      </c>
      <c r="I115" s="8" t="n">
        <f aca="false">gcap_crwv_2029*ai_sh_lo</f>
        <v>24.5250945</v>
      </c>
    </row>
    <row r="116" customFormat="false" ht="17.15" hidden="false" customHeight="false" outlineLevel="0" collapsed="false">
      <c r="A116" s="0" t="s">
        <v>1358</v>
      </c>
      <c r="B116" s="0" t="s">
        <v>1257</v>
      </c>
      <c r="D116" s="8" t="n">
        <f aca="false">IF(ISNUMBER(D115),(pit_crwv_2024/(pit_crwv_2024+pfac_crwv_2024)*D115+pfac_crwv_2024/(pit_crwv_2024+pfac_crwv_2024)*IF(AND(ISNUMBER(""),ISNUMBER("")),wb1*""+wb2*"",IF(ISNUMBER(""),"",D115)))/(pit_crwv_2024+pfac_crwv_2024),site_crwv_2024)</f>
        <v>0.29</v>
      </c>
      <c r="E116" s="8" t="n">
        <f aca="false">IF(ISNUMBER(E115),(pit_crwv_2025/(pit_crwv_2025+pfac_crwv_2025)*E115+pfac_crwv_2025/(pit_crwv_2025+pfac_crwv_2025)*IF(AND(ISNUMBER(D115),ISNUMBER("")),wb1*D115+wb2*"",IF(ISNUMBER(D115),D115,E115)))/(pit_crwv_2025+pfac_crwv_2025),site_crwv_2025)</f>
        <v>0.49</v>
      </c>
      <c r="F116" s="8" t="n">
        <f aca="false">IF(ISNUMBER(F115),(pit_crwv_2026/(pit_crwv_2026+pfac_crwv_2026)*F115+pfac_crwv_2026/(pit_crwv_2026+pfac_crwv_2026)*IF(AND(ISNUMBER(E115),ISNUMBER(D115)),wb1*E115+wb2*D115,IF(ISNUMBER(E115),E115,F115)))/(pit_crwv_2026+pfac_crwv_2026),site_crwv_2026)</f>
        <v>0.53670433859015</v>
      </c>
      <c r="G116" s="8" t="n">
        <f aca="false">IF(ISNUMBER(G115),(pit_crwv_2027/(pit_crwv_2027+pfac_crwv_2027)*G115+pfac_crwv_2027/(pit_crwv_2027+pfac_crwv_2027)*IF(AND(ISNUMBER(F115),ISNUMBER(E115)),wb1*F115+wb2*E115,IF(ISNUMBER(F115),F115,G115)))/(pit_crwv_2027+pfac_crwv_2027),site_crwv_2027)</f>
        <v>0.555432727528068</v>
      </c>
      <c r="H116" s="8" t="n">
        <f aca="false">IF(ISNUMBER(H115),(pit_crwv_2028/(pit_crwv_2028+pfac_crwv_2028)*H115+pfac_crwv_2028/(pit_crwv_2028+pfac_crwv_2028)*IF(AND(ISNUMBER(G115),ISNUMBER(F115)),wb1*G115+wb2*F115,IF(ISNUMBER(G115),G115,H115)))/(pit_crwv_2028+pfac_crwv_2028),site_crwv_2028)</f>
        <v>0.463456730207979</v>
      </c>
      <c r="I116" s="8" t="n">
        <f aca="false">IF(ISNUMBER(I115),(pit_crwv_2029/(pit_crwv_2029+pfac_crwv_2029)*I115+pfac_crwv_2029/(pit_crwv_2029+pfac_crwv_2029)*IF(AND(ISNUMBER(H115),ISNUMBER(G115)),wb1*H115+wb2*G115,IF(ISNUMBER(H115),H115,I115)))/(pit_crwv_2029+pfac_crwv_2029),site_crwv_2029)</f>
        <v>0.464695509416408</v>
      </c>
    </row>
    <row r="117" customFormat="false" ht="17.15" hidden="false" customHeight="false" outlineLevel="0" collapsed="false">
      <c r="A117" s="0" t="s">
        <v>1359</v>
      </c>
      <c r="B117" s="0" t="s">
        <v>1259</v>
      </c>
      <c r="E117" s="8" t="n">
        <f aca="false">(1-lag)*E116+lag*D116-inv_k*(E116-D116)</f>
        <v>0.395</v>
      </c>
      <c r="F117" s="8" t="n">
        <f aca="false">(1-lag)*F116+lag*E116-inv_k*(F116-E116)</f>
        <v>0.514519777759829</v>
      </c>
      <c r="G117" s="8" t="n">
        <f aca="false">(1-lag)*G116+lag*F116-inv_k*(G116-F116)</f>
        <v>0.546536742782557</v>
      </c>
      <c r="H117" s="8" t="n">
        <f aca="false">(1-lag)*H116+lag*G116-inv_k*(H116-G116)</f>
        <v>0.507145328935022</v>
      </c>
      <c r="I117" s="8" t="n">
        <f aca="false">(1-lag)*I116+lag*H116-inv_k*(I116-H116)</f>
        <v>0.464107089292404</v>
      </c>
    </row>
    <row r="118" customFormat="false" ht="17.15" hidden="false" customHeight="false" outlineLevel="0" collapsed="false">
      <c r="A118" s="0" t="s">
        <v>1360</v>
      </c>
      <c r="B118" s="0" t="s">
        <v>1265</v>
      </c>
      <c r="D118" s="8" t="n">
        <f aca="false">site_crwv_2024</f>
        <v>0.29</v>
      </c>
      <c r="E118" s="8" t="n">
        <f aca="false">site_crwv_2025</f>
        <v>0.49</v>
      </c>
      <c r="F118" s="8" t="n">
        <f aca="false">site_crwv_2026</f>
        <v>1</v>
      </c>
      <c r="G118" s="8" t="n">
        <f aca="false">site_crwv_2027</f>
        <v>1.5375</v>
      </c>
      <c r="H118" s="8" t="n">
        <f aca="false">site_crwv_2028</f>
        <v>1.5375</v>
      </c>
      <c r="I118" s="8" t="n">
        <f aca="false">site_crwv_2029</f>
        <v>1.5375</v>
      </c>
    </row>
    <row r="119" customFormat="false" ht="17.15" hidden="false" customHeight="false" outlineLevel="0" collapsed="false">
      <c r="A119" s="0" t="s">
        <v>1361</v>
      </c>
      <c r="B119" s="0" t="s">
        <v>1267</v>
      </c>
      <c r="D119" s="8" t="str">
        <f aca="false">IF(ISNUMBER(ai2_nbis_2024),ai2_nbis_2024/ai_sh*ai_sh_lo,"")</f>
        <v/>
      </c>
      <c r="E119" s="8" t="n">
        <f aca="false">IF(ISNUMBER(ai2_nbis_2025),ai2_nbis_2025/ai_sh*ai_sh_lo,"")</f>
        <v>3.0495</v>
      </c>
      <c r="F119" s="8" t="n">
        <f aca="false">IF(ISNUMBER(ai2_nbis_2026),ai2_nbis_2026/ai_sh*ai_sh_lo,"")</f>
        <v>16.875</v>
      </c>
      <c r="G119" s="8" t="n">
        <f aca="false">IF(ISNUMBER(ai2_nbis_2027),ai2_nbis_2027/ai_sh*ai_sh_lo,"")</f>
        <v>20.43225</v>
      </c>
      <c r="H119" s="8" t="n">
        <f aca="false">IF(ISNUMBER(ai2_nbis_2028),ai2_nbis_2028/ai_sh*ai_sh_lo,"")</f>
        <v>28.7925</v>
      </c>
      <c r="I119" s="8" t="n">
        <f aca="false">IF(ISNUMBER(ai2_nbis_2029),ai2_nbis_2029/ai_sh*ai_sh_lo,"")</f>
        <v>31.67175</v>
      </c>
    </row>
    <row r="120" customFormat="false" ht="17.15" hidden="false" customHeight="false" outlineLevel="0" collapsed="false">
      <c r="A120" s="0" t="s">
        <v>1362</v>
      </c>
      <c r="B120" s="0" t="s">
        <v>1269</v>
      </c>
      <c r="D120" s="8" t="n">
        <f aca="false">IF(ISNUMBER(D119),(pit_nbis_2024/(pit_nbis_2024+pfac_nbis_2024)*D119+pfac_nbis_2024/(pit_nbis_2024+pfac_nbis_2024)*IF(AND(ISNUMBER(""),ISNUMBER("")),wb1*""+wb2*"",IF(ISNUMBER(""),"",D119)))/(pit_nbis_2024+pfac_nbis_2024),site_nbis_2024)</f>
        <v>0</v>
      </c>
      <c r="E120" s="8" t="n">
        <f aca="false">IF(ISNUMBER(E119),(pit_nbis_2025/(pit_nbis_2025+pfac_nbis_2025)*E119+pfac_nbis_2025/(pit_nbis_2025+pfac_nbis_2025)*IF(AND(ISNUMBER(D119),ISNUMBER("")),wb1*D119+wb2*"",IF(ISNUMBER(D119),D119,E119)))/(pit_nbis_2025+pfac_nbis_2025),site_nbis_2025)</f>
        <v>0.0788410523019571</v>
      </c>
      <c r="F120" s="8" t="n">
        <f aca="false">IF(ISNUMBER(F119),(pit_nbis_2026/(pit_nbis_2026+pfac_nbis_2026)*F119+pfac_nbis_2026/(pit_nbis_2026+pfac_nbis_2026)*IF(AND(ISNUMBER(E119),ISNUMBER(D119)),wb1*E119+wb2*D119,IF(ISNUMBER(E119),E119,F119)))/(pit_nbis_2026+pfac_nbis_2026),site_nbis_2026)</f>
        <v>0.283697401464257</v>
      </c>
      <c r="G120" s="8" t="n">
        <f aca="false">IF(ISNUMBER(G119),(pit_nbis_2027/(pit_nbis_2027+pfac_nbis_2027)*G119+pfac_nbis_2027/(pit_nbis_2027+pfac_nbis_2027)*IF(AND(ISNUMBER(F119),ISNUMBER(E119)),wb1*F119+wb2*E119,IF(ISNUMBER(F119),F119,G119)))/(pit_nbis_2027+pfac_nbis_2027),site_nbis_2027)</f>
        <v>0.349570029288127</v>
      </c>
      <c r="H120" s="8" t="n">
        <f aca="false">IF(ISNUMBER(H119),(pit_nbis_2028/(pit_nbis_2028+pfac_nbis_2028)*H119+pfac_nbis_2028/(pit_nbis_2028+pfac_nbis_2028)*IF(AND(ISNUMBER(G119),ISNUMBER(F119)),wb1*G119+wb2*F119,IF(ISNUMBER(G119),G119,H119)))/(pit_nbis_2028+pfac_nbis_2028),site_nbis_2028)</f>
        <v>0.489119500720723</v>
      </c>
      <c r="I120" s="8" t="n">
        <f aca="false">IF(ISNUMBER(I119),(pit_nbis_2029/(pit_nbis_2029+pfac_nbis_2029)*I119+pfac_nbis_2029/(pit_nbis_2029+pfac_nbis_2029)*IF(AND(ISNUMBER(H119),ISNUMBER(G119)),wb1*H119+wb2*G119,IF(ISNUMBER(H119),H119,I119)))/(pit_nbis_2029+pfac_nbis_2029),site_nbis_2029)</f>
        <v>0.555815465068891</v>
      </c>
    </row>
    <row r="121" customFormat="false" ht="17.15" hidden="false" customHeight="false" outlineLevel="0" collapsed="false">
      <c r="A121" s="0" t="s">
        <v>1363</v>
      </c>
      <c r="B121" s="0" t="s">
        <v>1271</v>
      </c>
      <c r="E121" s="8" t="n">
        <f aca="false">(1-lag)*E120+lag*D120-inv_k*(E120-D120)</f>
        <v>0.0413915524585275</v>
      </c>
      <c r="F121" s="8" t="n">
        <f aca="false">(1-lag)*F120+lag*E120-inv_k*(F120-E120)</f>
        <v>0.186390635612164</v>
      </c>
      <c r="G121" s="8" t="n">
        <f aca="false">(1-lag)*G120+lag*F120-inv_k*(G120-F120)</f>
        <v>0.318280531071789</v>
      </c>
      <c r="H121" s="8" t="n">
        <f aca="false">(1-lag)*H120+lag*G120-inv_k*(H120-G120)</f>
        <v>0.42283350179024</v>
      </c>
      <c r="I121" s="8" t="n">
        <f aca="false">(1-lag)*I120+lag*H120-inv_k*(I120-H120)</f>
        <v>0.524134882003511</v>
      </c>
    </row>
    <row r="122" customFormat="false" ht="17.15" hidden="false" customHeight="false" outlineLevel="0" collapsed="false">
      <c r="A122" s="0" t="s">
        <v>1364</v>
      </c>
      <c r="B122" s="0" t="s">
        <v>1273</v>
      </c>
      <c r="D122" s="8" t="str">
        <f aca="false">""</f>
        <v/>
      </c>
      <c r="E122" s="8" t="str">
        <f aca="false">""</f>
        <v/>
      </c>
      <c r="F122" s="8" t="n">
        <f aca="false">gcap_nbis_2026*ai_sh_lo</f>
        <v>19.5346425</v>
      </c>
      <c r="G122" s="8" t="n">
        <f aca="false">gcap_nbis_2027*ai_sh_lo</f>
        <v>20.69807775</v>
      </c>
      <c r="H122" s="8" t="n">
        <f aca="false">gcap_nbis_2028*ai_sh_lo</f>
        <v>21.861513</v>
      </c>
      <c r="I122" s="8" t="n">
        <f aca="false">gcap_nbis_2029*ai_sh_lo</f>
        <v>21.861513</v>
      </c>
    </row>
    <row r="123" customFormat="false" ht="17.15" hidden="false" customHeight="false" outlineLevel="0" collapsed="false">
      <c r="A123" s="0" t="s">
        <v>1365</v>
      </c>
      <c r="B123" s="0" t="s">
        <v>1269</v>
      </c>
      <c r="D123" s="8" t="n">
        <f aca="false">IF(ISNUMBER(D122),(pit_nbis_2024/(pit_nbis_2024+pfac_nbis_2024)*D122+pfac_nbis_2024/(pit_nbis_2024+pfac_nbis_2024)*IF(AND(ISNUMBER(""),ISNUMBER("")),wb1*""+wb2*"",IF(ISNUMBER(""),"",D122)))/(pit_nbis_2024+pfac_nbis_2024),site_nbis_2024)</f>
        <v>0</v>
      </c>
      <c r="E123" s="8" t="n">
        <f aca="false">IF(ISNUMBER(E122),(pit_nbis_2025/(pit_nbis_2025+pfac_nbis_2025)*E122+pfac_nbis_2025/(pit_nbis_2025+pfac_nbis_2025)*IF(AND(ISNUMBER(D122),ISNUMBER("")),wb1*D122+wb2*"",IF(ISNUMBER(D122),D122,E122)))/(pit_nbis_2025+pfac_nbis_2025),site_nbis_2025)</f>
        <v>0</v>
      </c>
      <c r="F123" s="8" t="n">
        <f aca="false">IF(ISNUMBER(F122),(pit_nbis_2026/(pit_nbis_2026+pfac_nbis_2026)*F122+pfac_nbis_2026/(pit_nbis_2026+pfac_nbis_2026)*IF(AND(ISNUMBER(E122),ISNUMBER(D122)),wb1*E122+wb2*D122,IF(ISNUMBER(E122),E122,F122)))/(pit_nbis_2026+pfac_nbis_2026),site_nbis_2026)</f>
        <v>0.423891781695172</v>
      </c>
      <c r="G123" s="8" t="n">
        <f aca="false">IF(ISNUMBER(G122),(pit_nbis_2027/(pit_nbis_2027+pfac_nbis_2027)*G122+pfac_nbis_2027/(pit_nbis_2027+pfac_nbis_2027)*IF(AND(ISNUMBER(F122),ISNUMBER(E122)),wb1*F122+wb2*E122,IF(ISNUMBER(F122),F122,G122)))/(pit_nbis_2027+pfac_nbis_2027),site_nbis_2027)</f>
        <v>0.400096981589977</v>
      </c>
      <c r="H123" s="8" t="n">
        <f aca="false">IF(ISNUMBER(H122),(pit_nbis_2028/(pit_nbis_2028+pfac_nbis_2028)*H122+pfac_nbis_2028/(pit_nbis_2028+pfac_nbis_2028)*IF(AND(ISNUMBER(G122),ISNUMBER(F122)),wb1*G122+wb2*F122,IF(ISNUMBER(G122),G122,H122)))/(pit_nbis_2028+pfac_nbis_2028),site_nbis_2028)</f>
        <v>0.397241243965818</v>
      </c>
      <c r="I123" s="8" t="n">
        <f aca="false">IF(ISNUMBER(I122),(pit_nbis_2029/(pit_nbis_2029+pfac_nbis_2029)*I122+pfac_nbis_2029/(pit_nbis_2029+pfac_nbis_2029)*IF(AND(ISNUMBER(H122),ISNUMBER(G122)),wb1*H122+wb2*G122,IF(ISNUMBER(H122),H122,I122)))/(pit_nbis_2029+pfac_nbis_2029),site_nbis_2029)</f>
        <v>0.402295871482835</v>
      </c>
    </row>
    <row r="124" customFormat="false" ht="17.15" hidden="false" customHeight="false" outlineLevel="0" collapsed="false">
      <c r="A124" s="0" t="s">
        <v>1366</v>
      </c>
      <c r="B124" s="0" t="s">
        <v>1271</v>
      </c>
      <c r="E124" s="8" t="n">
        <f aca="false">(1-lag)*E123+lag*D123-inv_k*(E123-D123)</f>
        <v>0</v>
      </c>
      <c r="F124" s="8" t="n">
        <f aca="false">(1-lag)*F123+lag*E123-inv_k*(F123-E123)</f>
        <v>0.222543185389965</v>
      </c>
      <c r="G124" s="8" t="n">
        <f aca="false">(1-lag)*G123+lag*F123-inv_k*(G123-F123)</f>
        <v>0.411399511639945</v>
      </c>
      <c r="H124" s="8" t="n">
        <f aca="false">(1-lag)*H123+lag*G123-inv_k*(H123-G123)</f>
        <v>0.398597719337294</v>
      </c>
      <c r="I124" s="8" t="n">
        <f aca="false">(1-lag)*I123+lag*H123-inv_k*(I123-H123)</f>
        <v>0.399894923412252</v>
      </c>
    </row>
    <row r="125" customFormat="false" ht="17.15" hidden="false" customHeight="false" outlineLevel="0" collapsed="false">
      <c r="A125" s="0" t="s">
        <v>1367</v>
      </c>
      <c r="B125" s="0" t="s">
        <v>1277</v>
      </c>
      <c r="D125" s="8" t="n">
        <f aca="false">site_nbis_2024</f>
        <v>0</v>
      </c>
      <c r="E125" s="8" t="n">
        <f aca="false">site_nbis_2025</f>
        <v>0</v>
      </c>
      <c r="F125" s="8" t="n">
        <f aca="false">site_nbis_2026</f>
        <v>0.73</v>
      </c>
      <c r="G125" s="8" t="n">
        <f aca="false">site_nbis_2027</f>
        <v>0.403</v>
      </c>
      <c r="H125" s="8" t="n">
        <f aca="false">site_nbis_2028</f>
        <v>0</v>
      </c>
      <c r="I125" s="8" t="n">
        <f aca="false">site_nbis_2029</f>
        <v>0</v>
      </c>
    </row>
    <row r="126" customFormat="false" ht="17.15" hidden="false" customHeight="false" outlineLevel="0" collapsed="false">
      <c r="A126" s="0" t="s">
        <v>1368</v>
      </c>
      <c r="B126" s="0" t="s">
        <v>1279</v>
      </c>
      <c r="D126" s="8" t="str">
        <f aca="false">IF(ISNUMBER(gai_xai_2024),gai_xai_2024,"")</f>
        <v/>
      </c>
      <c r="E126" s="8" t="str">
        <f aca="false">IF(ISNUMBER(gai_xai_2025),gai_xai_2025,"")</f>
        <v/>
      </c>
      <c r="F126" s="8" t="n">
        <f aca="false">IF(ISNUMBER(gai_xai_2026),gai_xai_2026,"")</f>
        <v>74.058119</v>
      </c>
      <c r="G126" s="8" t="n">
        <f aca="false">IF(ISNUMBER(gai_xai_2027),gai_xai_2027,"")</f>
        <v>136.252477</v>
      </c>
      <c r="H126" s="8" t="n">
        <f aca="false">IF(ISNUMBER(gai_xai_2028),gai_xai_2028,"")</f>
        <v>144.12072</v>
      </c>
      <c r="I126" s="8" t="n">
        <f aca="false">IF(ISNUMBER(gai_xai_2029),gai_xai_2029,"")</f>
        <v>111.172527</v>
      </c>
    </row>
    <row r="127" customFormat="false" ht="17.15" hidden="false" customHeight="false" outlineLevel="0" collapsed="false">
      <c r="A127" s="0" t="s">
        <v>1369</v>
      </c>
      <c r="B127" s="0" t="s">
        <v>1281</v>
      </c>
      <c r="D127" s="8" t="n">
        <f aca="false">IF(ISNUMBER(D126),(pitN_2024/(pitN_2024+pfacN_2024)*D126+pfacN_2024/(pitN_2024+pfacN_2024)*IF(AND(ISNUMBER(""),ISNUMBER("")),wb1*""+wb2*"",IF(ISNUMBER(""),"",D126)))/(pitN_2024+pfacN_2024),site_xai_2024)</f>
        <v>0</v>
      </c>
      <c r="E127" s="8" t="n">
        <f aca="false">IF(ISNUMBER(E126),(pitN_2025/(pitN_2025+pfacN_2025)*E126+pfacN_2025/(pitN_2025+pfacN_2025)*IF(AND(ISNUMBER(D126),ISNUMBER("")),wb1*D126+wb2*"",IF(ISNUMBER(D126),D126,E126)))/(pitN_2025+pfacN_2025),site_xai_2025)</f>
        <v>0</v>
      </c>
      <c r="F127" s="8" t="n">
        <f aca="false">IF(ISNUMBER(F126),(pitN_2026/(pitN_2026+pfacN_2026)*F126+pfacN_2026/(pitN_2026+pfacN_2026)*IF(AND(ISNUMBER(E126),ISNUMBER(D126)),wb1*E126+wb2*D126,IF(ISNUMBER(E126),E126,F126)))/(pitN_2026+pfacN_2026),site_xai_2026)</f>
        <v>1.60702342066936</v>
      </c>
      <c r="G127" s="8" t="n">
        <f aca="false">IF(ISNUMBER(G126),(pitN_2027/(pitN_2027+pfacN_2027)*G126+pfacN_2027/(pitN_2027+pfacN_2027)*IF(AND(ISNUMBER(F126),ISNUMBER(E126)),wb1*F126+wb2*E126,IF(ISNUMBER(F126),F126,G126)))/(pitN_2027+pfacN_2027),site_xai_2027)</f>
        <v>2.36823509451502</v>
      </c>
      <c r="H127" s="8" t="n">
        <f aca="false">IF(ISNUMBER(H126),(pitN_2028/(pitN_2028+pfacN_2028)*H126+pfacN_2028/(pitN_2028+pfacN_2028)*IF(AND(ISNUMBER(G126),ISNUMBER(F126)),wb1*G126+wb2*F126,IF(ISNUMBER(G126),G126,H126)))/(pitN_2028+pfacN_2028),site_xai_2028)</f>
        <v>2.49948463520021</v>
      </c>
      <c r="I127" s="8" t="n">
        <f aca="false">IF(ISNUMBER(I126),(pitN_2029/(pitN_2029+pfacN_2029)*I126+pfacN_2029/(pitN_2029+pfacN_2029)*IF(AND(ISNUMBER(H126),ISNUMBER(G126)),wb1*H126+wb2*G126,IF(ISNUMBER(H126),H126,I126)))/(pitN_2029+pfacN_2029),site_xai_2029)</f>
        <v>2.18470428873966</v>
      </c>
    </row>
    <row r="128" customFormat="false" ht="17.15" hidden="false" customHeight="false" outlineLevel="0" collapsed="false">
      <c r="A128" s="0" t="s">
        <v>1370</v>
      </c>
      <c r="B128" s="0" t="s">
        <v>1283</v>
      </c>
      <c r="E128" s="8" t="n">
        <f aca="false">IF(ISNUMBER(gai_xai_2024),(1-lag)*E127+lag*D127-inv_k*(E127-D127),E127)</f>
        <v>0</v>
      </c>
      <c r="F128" s="8" t="n">
        <f aca="false">IF(ISNUMBER(gai_xai_2025),(1-lag)*F127+lag*E127-inv_k*(F127-E127),F127)</f>
        <v>1.60702342066936</v>
      </c>
      <c r="G128" s="8" t="n">
        <f aca="false">IF(ISNUMBER(gai_xai_2026),(1-lag)*G127+lag*F127-inv_k*(G127-F127),G127)</f>
        <v>2.00665954943833</v>
      </c>
      <c r="H128" s="8" t="n">
        <f aca="false">IF(ISNUMBER(gai_xai_2027),(1-lag)*H127+lag*G127-inv_k*(H127-G127),H127)</f>
        <v>2.43714110337474</v>
      </c>
      <c r="I128" s="8" t="n">
        <f aca="false">IF(ISNUMBER(gai_xai_2028),(1-lag)*I127+lag*H127-inv_k*(I127-H127),I127)</f>
        <v>2.33422495330842</v>
      </c>
    </row>
    <row r="129" customFormat="false" ht="17.15" hidden="false" customHeight="false" outlineLevel="0" collapsed="false">
      <c r="A129" s="0" t="s">
        <v>1371</v>
      </c>
      <c r="B129" s="0" t="s">
        <v>1285</v>
      </c>
      <c r="D129" s="8" t="n">
        <f aca="false">site_xai_2024</f>
        <v>0</v>
      </c>
      <c r="E129" s="8" t="n">
        <f aca="false">site_xai_2025</f>
        <v>0</v>
      </c>
      <c r="F129" s="8" t="n">
        <f aca="false">site_xai_2026</f>
        <v>1.4302</v>
      </c>
      <c r="G129" s="8" t="n">
        <f aca="false">site_xai_2027</f>
        <v>0.585</v>
      </c>
      <c r="H129" s="8" t="n">
        <f aca="false">site_xai_2028</f>
        <v>0</v>
      </c>
      <c r="I129" s="8" t="n">
        <f aca="false">site_xai_2029</f>
        <v>0</v>
      </c>
    </row>
    <row r="130" customFormat="false" ht="17.15" hidden="false" customHeight="false" outlineLevel="0" collapsed="false">
      <c r="A130" s="0" t="s">
        <v>1372</v>
      </c>
      <c r="B130" s="0" t="s">
        <v>1287</v>
      </c>
      <c r="D130" s="8" t="str">
        <f aca="false">IF(ISNUMBER(gai_oai_2024),gai_oai_2024,"")</f>
        <v/>
      </c>
      <c r="E130" s="8" t="str">
        <f aca="false">IF(ISNUMBER(gai_oai_2025),gai_oai_2025,"")</f>
        <v/>
      </c>
      <c r="F130" s="8" t="n">
        <f aca="false">IF(ISNUMBER(gai_oai_2026),gai_oai_2026,"")</f>
        <v>20</v>
      </c>
      <c r="G130" s="8" t="n">
        <f aca="false">IF(ISNUMBER(gai_oai_2027),gai_oai_2027,"")</f>
        <v>30</v>
      </c>
      <c r="H130" s="8" t="n">
        <f aca="false">IF(ISNUMBER(gai_oai_2028),gai_oai_2028,"")</f>
        <v>45</v>
      </c>
      <c r="I130" s="8" t="n">
        <f aca="false">IF(ISNUMBER(gai_oai_2029),gai_oai_2029,"")</f>
        <v>60</v>
      </c>
    </row>
    <row r="131" customFormat="false" ht="17.15" hidden="false" customHeight="false" outlineLevel="0" collapsed="false">
      <c r="A131" s="0" t="s">
        <v>1373</v>
      </c>
      <c r="B131" s="0" t="s">
        <v>1289</v>
      </c>
      <c r="D131" s="8" t="n">
        <f aca="false">IF(ISNUMBER(D130),(pitN_2024/(pitN_2024+pfacN_2024)*D130+pfacN_2024/(pitN_2024+pfacN_2024)*IF(AND(ISNUMBER(""),ISNUMBER("")),wb1*""+wb2*"",IF(ISNUMBER(""),"",D130)))/(pitN_2024+pfacN_2024),site_oai_2024)</f>
        <v>0</v>
      </c>
      <c r="E131" s="8" t="n">
        <f aca="false">IF(ISNUMBER(E130),(pitN_2025/(pitN_2025+pfacN_2025)*E130+pfacN_2025/(pitN_2025+pfacN_2025)*IF(AND(ISNUMBER(D130),ISNUMBER("")),wb1*D130+wb2*"",IF(ISNUMBER(D130),D130,E130)))/(pitN_2025+pfacN_2025),site_oai_2025)</f>
        <v>0</v>
      </c>
      <c r="F131" s="8" t="n">
        <f aca="false">IF(ISNUMBER(F130),(pitN_2026/(pitN_2026+pfacN_2026)*F130+pfacN_2026/(pitN_2026+pfacN_2026)*IF(AND(ISNUMBER(E130),ISNUMBER(D130)),wb1*E130+wb2*D130,IF(ISNUMBER(E130),E130,F130)))/(pitN_2026+pfacN_2026),site_oai_2026)</f>
        <v>0.433989802163179</v>
      </c>
      <c r="G131" s="8" t="n">
        <f aca="false">IF(ISNUMBER(G130),(pitN_2027/(pitN_2027+pfacN_2027)*G130+pfacN_2027/(pitN_2027+pfacN_2027)*IF(AND(ISNUMBER(F130),ISNUMBER(E130)),wb1*F130+wb2*E130,IF(ISNUMBER(F130),F130,G130)))/(pitN_2027+pfacN_2027),site_oai_2027)</f>
        <v>0.539423294291731</v>
      </c>
      <c r="H131" s="8" t="n">
        <f aca="false">IF(ISNUMBER(H130),(pitN_2028/(pitN_2028+pfacN_2028)*H130+pfacN_2028/(pitN_2028+pfacN_2028)*IF(AND(ISNUMBER(G130),ISNUMBER(F130)),wb1*G130+wb2*F130,IF(ISNUMBER(G130),G130,H130)))/(pitN_2028+pfacN_2028),site_oai_2028)</f>
        <v>0.74640146139489</v>
      </c>
      <c r="I131" s="8" t="n">
        <f aca="false">IF(ISNUMBER(I130),(pitN_2029/(pitN_2029+pfacN_2029)*I130+pfacN_2029/(pitN_2029+pfacN_2029)*IF(AND(ISNUMBER(H130),ISNUMBER(G130)),wb1*H130+wb2*G130,IF(ISNUMBER(H130),H130,I130)))/(pitN_2029+pfacN_2029),site_oai_2029)</f>
        <v>1.01330432937459</v>
      </c>
    </row>
    <row r="132" customFormat="false" ht="17.15" hidden="false" customHeight="false" outlineLevel="0" collapsed="false">
      <c r="A132" s="0" t="s">
        <v>1374</v>
      </c>
      <c r="B132" s="0" t="s">
        <v>1291</v>
      </c>
      <c r="E132" s="8" t="n">
        <f aca="false">IF(ISNUMBER(gai_oai_2024),(1-lag)*E131+lag*D131-inv_k*(E131-D131),E131)</f>
        <v>0</v>
      </c>
      <c r="F132" s="8" t="n">
        <f aca="false">IF(ISNUMBER(gai_oai_2025),(1-lag)*F131+lag*E131-inv_k*(F131-E131),F131)</f>
        <v>0.433989802163179</v>
      </c>
      <c r="G132" s="8" t="n">
        <f aca="false">IF(ISNUMBER(gai_oai_2026),(1-lag)*G131+lag*F131-inv_k*(G131-F131),G131)</f>
        <v>0.489342385530669</v>
      </c>
      <c r="H132" s="8" t="n">
        <f aca="false">IF(ISNUMBER(gai_oai_2027),(1-lag)*H131+lag*G131-inv_k*(H131-G131),H131)</f>
        <v>0.64808683202089</v>
      </c>
      <c r="I132" s="8" t="n">
        <f aca="false">IF(ISNUMBER(gai_oai_2028),(1-lag)*I131+lag*H131-inv_k*(I131-H131),I131)</f>
        <v>0.886525467084233</v>
      </c>
    </row>
    <row r="133" customFormat="false" ht="17.15" hidden="false" customHeight="false" outlineLevel="0" collapsed="false">
      <c r="A133" s="0" t="s">
        <v>1375</v>
      </c>
      <c r="B133" s="0" t="s">
        <v>1293</v>
      </c>
      <c r="D133" s="8" t="n">
        <f aca="false">site_oai_2024</f>
        <v>0</v>
      </c>
      <c r="E133" s="8" t="n">
        <f aca="false">site_oai_2025</f>
        <v>0</v>
      </c>
      <c r="F133" s="8" t="n">
        <f aca="false">site_oai_2026</f>
        <v>0</v>
      </c>
      <c r="G133" s="8" t="n">
        <f aca="false">site_oai_2027</f>
        <v>0.522</v>
      </c>
      <c r="H133" s="8" t="n">
        <f aca="false">site_oai_2028</f>
        <v>1.245</v>
      </c>
      <c r="I133" s="8" t="n">
        <f aca="false">site_oai_2029</f>
        <v>1.149</v>
      </c>
    </row>
    <row r="134" customFormat="false" ht="17.15" hidden="false" customHeight="false" outlineLevel="0" collapsed="false">
      <c r="A134" s="0" t="s">
        <v>1376</v>
      </c>
      <c r="B134" s="0" t="s">
        <v>1295</v>
      </c>
      <c r="D134" s="8" t="str">
        <f aca="false">IF(ISNUMBER(gai_ant_2024),gai_ant_2024,"")</f>
        <v/>
      </c>
      <c r="E134" s="8" t="str">
        <f aca="false">IF(ISNUMBER(gai_ant_2025),gai_ant_2025,"")</f>
        <v/>
      </c>
      <c r="F134" s="8" t="n">
        <f aca="false">IF(ISNUMBER(gai_ant_2026),gai_ant_2026,"")</f>
        <v>16.666667</v>
      </c>
      <c r="G134" s="8" t="n">
        <f aca="false">IF(ISNUMBER(gai_ant_2027),gai_ant_2027,"")</f>
        <v>16.666667</v>
      </c>
      <c r="H134" s="8" t="n">
        <f aca="false">IF(ISNUMBER(gai_ant_2028),gai_ant_2028,"")</f>
        <v>16.666667</v>
      </c>
      <c r="I134" s="8" t="n">
        <f aca="false">IF(ISNUMBER(gai_ant_2029),gai_ant_2029,"")</f>
        <v>0</v>
      </c>
    </row>
    <row r="135" customFormat="false" ht="17.15" hidden="false" customHeight="false" outlineLevel="0" collapsed="false">
      <c r="A135" s="0" t="s">
        <v>1377</v>
      </c>
      <c r="B135" s="0" t="s">
        <v>1297</v>
      </c>
      <c r="D135" s="8" t="n">
        <f aca="false">IF(ISNUMBER(D134),(pitN_2024/(pitN_2024+pfacN_2024)*D134+pfacN_2024/(pitN_2024+pfacN_2024)*IF(AND(ISNUMBER(""),ISNUMBER("")),wb1*""+wb2*"",IF(ISNUMBER(""),"",D134)))/(pitN_2024+pfacN_2024),site_ant_2024)</f>
        <v>0</v>
      </c>
      <c r="E135" s="8" t="n">
        <f aca="false">IF(ISNUMBER(E134),(pitN_2025/(pitN_2025+pfacN_2025)*E134+pfacN_2025/(pitN_2025+pfacN_2025)*IF(AND(ISNUMBER(D134),ISNUMBER("")),wb1*D134+wb2*"",IF(ISNUMBER(D134),D134,E134)))/(pitN_2025+pfacN_2025),site_ant_2025)</f>
        <v>0</v>
      </c>
      <c r="F135" s="8" t="n">
        <f aca="false">IF(ISNUMBER(F134),(pitN_2026/(pitN_2026+pfacN_2026)*F134+pfacN_2026/(pitN_2026+pfacN_2026)*IF(AND(ISNUMBER(E134),ISNUMBER(D134)),wb1*E134+wb2*D134,IF(ISNUMBER(E134),E134,F134)))/(pitN_2026+pfacN_2026),site_ant_2026)</f>
        <v>0.36165817570248</v>
      </c>
      <c r="G135" s="8" t="n">
        <f aca="false">IF(ISNUMBER(G134),(pitN_2027/(pitN_2027+pfacN_2027)*G134+pfacN_2027/(pitN_2027+pfacN_2027)*IF(AND(ISNUMBER(F134),ISNUMBER(E134)),wb1*F134+wb2*E134,IF(ISNUMBER(F134),F134,G134)))/(pitN_2027+pfacN_2027),site_ant_2027)</f>
        <v>0.326730833032632</v>
      </c>
      <c r="H135" s="8" t="n">
        <f aca="false">IF(ISNUMBER(H134),(pitN_2028/(pitN_2028+pfacN_2028)*H134+pfacN_2028/(pitN_2028+pfacN_2028)*IF(AND(ISNUMBER(G134),ISNUMBER(F134)),wb1*G134+wb2*F134,IF(ISNUMBER(G134),G134,H134)))/(pitN_2028+pfacN_2028),site_ant_2028)</f>
        <v>0.308627002270922</v>
      </c>
      <c r="I135" s="8" t="n">
        <f aca="false">IF(ISNUMBER(I134),(pitN_2029/(pitN_2029+pfacN_2029)*I134+pfacN_2029/(pitN_2029+pfacN_2029)*IF(AND(ISNUMBER(H134),ISNUMBER(G134)),wb1*H134+wb2*G134,IF(ISNUMBER(H134),H134,I134)))/(pitN_2029+pfacN_2029),site_ant_2029)</f>
        <v>0.0724095248404747</v>
      </c>
    </row>
    <row r="136" customFormat="false" ht="17.15" hidden="false" customHeight="false" outlineLevel="0" collapsed="false">
      <c r="A136" s="0" t="s">
        <v>1378</v>
      </c>
      <c r="B136" s="0" t="s">
        <v>1299</v>
      </c>
      <c r="E136" s="8" t="n">
        <f aca="false">IF(ISNUMBER(gai_ant_2024),(1-lag)*E135+lag*D135-inv_k*(E135-D135),E135)</f>
        <v>0</v>
      </c>
      <c r="F136" s="8" t="n">
        <f aca="false">IF(ISNUMBER(gai_ant_2025),(1-lag)*F135+lag*E135-inv_k*(F135-E135),F135)</f>
        <v>0.36165817570248</v>
      </c>
      <c r="G136" s="8" t="n">
        <f aca="false">IF(ISNUMBER(gai_ant_2026),(1-lag)*G135+lag*F135-inv_k*(G135-F135),G135)</f>
        <v>0.34332132080081</v>
      </c>
      <c r="H136" s="8" t="n">
        <f aca="false">IF(ISNUMBER(gai_ant_2027),(1-lag)*H135+lag*G135-inv_k*(H135-G135),H135)</f>
        <v>0.317226321882734</v>
      </c>
      <c r="I136" s="8" t="n">
        <f aca="false">IF(ISNUMBER(gai_ant_2028),(1-lag)*I135+lag*H135-inv_k*(I135-H135),I135)</f>
        <v>0.184612826619937</v>
      </c>
    </row>
    <row r="137" customFormat="false" ht="17.15" hidden="false" customHeight="false" outlineLevel="0" collapsed="false">
      <c r="A137" s="0" t="s">
        <v>1379</v>
      </c>
      <c r="B137" s="0" t="s">
        <v>1301</v>
      </c>
      <c r="D137" s="8" t="n">
        <f aca="false">site_ant_2024</f>
        <v>0</v>
      </c>
      <c r="E137" s="8" t="n">
        <f aca="false">site_ant_2025</f>
        <v>0</v>
      </c>
      <c r="F137" s="8" t="n">
        <f aca="false">site_ant_2026</f>
        <v>0</v>
      </c>
      <c r="G137" s="8" t="n">
        <f aca="false">site_ant_2027</f>
        <v>0</v>
      </c>
      <c r="H137" s="8" t="n">
        <f aca="false">site_ant_2028</f>
        <v>0</v>
      </c>
      <c r="I137" s="8" t="n">
        <f aca="false">site_ant_2029</f>
        <v>0</v>
      </c>
    </row>
    <row r="138" customFormat="false" ht="17.15" hidden="false" customHeight="false" outlineLevel="0" collapsed="false">
      <c r="A138" s="0" t="s">
        <v>1380</v>
      </c>
      <c r="B138" s="5" t="s">
        <v>1303</v>
      </c>
      <c r="D138" s="9" t="n">
        <f aca="false">D78+D85+D92+D99+D106+D113+D120</f>
        <v>2.73706130226548</v>
      </c>
      <c r="E138" s="9" t="n">
        <f aca="false">E78+E85+E92+E99+E106+E113+E120</f>
        <v>8.74445417847586</v>
      </c>
      <c r="F138" s="9" t="n">
        <f aca="false">F78+F85+F92+F99+F106+F113+F120</f>
        <v>13.4272313010138</v>
      </c>
      <c r="G138" s="9" t="n">
        <f aca="false">G78+G85+G92+G99+G106+G113+G120</f>
        <v>16.8494205610959</v>
      </c>
      <c r="H138" s="9" t="n">
        <f aca="false">H78+H85+H92+H99+H106+H113+H120</f>
        <v>18.8806577103889</v>
      </c>
      <c r="I138" s="9" t="n">
        <f aca="false">I78+I85+I92+I99+I106+I113+I120</f>
        <v>21.0899530357986</v>
      </c>
    </row>
    <row r="139" customFormat="false" ht="17.15" hidden="false" customHeight="false" outlineLevel="0" collapsed="false">
      <c r="A139" s="0" t="s">
        <v>1381</v>
      </c>
      <c r="B139" s="5" t="s">
        <v>1305</v>
      </c>
      <c r="D139" s="9" t="n">
        <f aca="false">D79+D86+D93+D100+D107+D114+D121</f>
        <v>0</v>
      </c>
      <c r="E139" s="9" t="n">
        <f aca="false">E79+E86+E93+E100+E107+E114+E121</f>
        <v>5.89094256227593</v>
      </c>
      <c r="F139" s="9" t="n">
        <f aca="false">F79+F86+F93+F100+F107+F114+F121</f>
        <v>11.2029121678083</v>
      </c>
      <c r="G139" s="9" t="n">
        <f aca="false">G79+G86+G93+G100+G107+G114+G121</f>
        <v>15.2238806625569</v>
      </c>
      <c r="H139" s="9" t="n">
        <f aca="false">H79+H86+H93+H100+H107+H114+H121</f>
        <v>17.9158200644747</v>
      </c>
      <c r="I139" s="9" t="n">
        <f aca="false">I79+I86+I93+I100+I107+I114+I121</f>
        <v>20.040537756229</v>
      </c>
    </row>
    <row r="140" customFormat="false" ht="17.15" hidden="false" customHeight="false" outlineLevel="0" collapsed="false">
      <c r="A140" s="0" t="s">
        <v>1382</v>
      </c>
      <c r="B140" s="5" t="s">
        <v>1307</v>
      </c>
      <c r="D140" s="9" t="n">
        <f aca="false">D81+D88+D95+D102+D109+D116+D123</f>
        <v>3.47191016752745</v>
      </c>
      <c r="E140" s="9" t="n">
        <f aca="false">E81+E88+E95+E102+E109+E116+E123</f>
        <v>8.40309179129412</v>
      </c>
      <c r="F140" s="9" t="n">
        <f aca="false">F81+F88+F95+F102+F109+F116+F123</f>
        <v>13.3462896702119</v>
      </c>
      <c r="G140" s="9" t="n">
        <f aca="false">G81+G88+G95+G102+G109+G116+G123</f>
        <v>17.0118896045001</v>
      </c>
      <c r="H140" s="9" t="n">
        <f aca="false">H81+H88+H95+H102+H109+H116+H123</f>
        <v>18.2805891910241</v>
      </c>
      <c r="I140" s="9" t="n">
        <f aca="false">I81+I88+I95+I102+I109+I116+I123</f>
        <v>17.9746630334338</v>
      </c>
    </row>
    <row r="141" customFormat="false" ht="17.15" hidden="false" customHeight="false" outlineLevel="0" collapsed="false">
      <c r="A141" s="0" t="s">
        <v>1383</v>
      </c>
      <c r="B141" s="5" t="s">
        <v>1309</v>
      </c>
      <c r="D141" s="9" t="n">
        <f aca="false">D82+D89+D96+D103+D110+D117+D124</f>
        <v>0</v>
      </c>
      <c r="E141" s="9" t="n">
        <f aca="false">E82+E89+E96+E103+E110+E117+E124</f>
        <v>6.06078052000495</v>
      </c>
      <c r="F141" s="9" t="n">
        <f aca="false">F82+F89+F96+F103+F110+F117+F124</f>
        <v>10.998270677726</v>
      </c>
      <c r="G141" s="9" t="n">
        <f aca="false">G82+G89+G96+G103+G110+G117+G124</f>
        <v>15.2707296357132</v>
      </c>
      <c r="H141" s="9" t="n">
        <f aca="false">H82+H89+H96+H103+H110+H117+H124</f>
        <v>17.6779568874252</v>
      </c>
      <c r="I141" s="9" t="n">
        <f aca="false">I82+I89+I96+I103+I110+I117+I124</f>
        <v>18.1199779582892</v>
      </c>
    </row>
    <row r="142" customFormat="false" ht="15" hidden="false" customHeight="false" outlineLevel="0" collapsed="false">
      <c r="A142" s="0" t="s">
        <v>1384</v>
      </c>
      <c r="B142" s="5" t="s">
        <v>1311</v>
      </c>
      <c r="D142" s="9" t="n">
        <f aca="false">D83+D90+D97+D104+D111+D118+D125</f>
        <v>1.61980834349181</v>
      </c>
      <c r="E142" s="9" t="n">
        <f aca="false">E83+E90+E97+E104+E111+E118+E125</f>
        <v>8.74912429484715</v>
      </c>
      <c r="F142" s="9" t="n">
        <f aca="false">F83+F90+F97+F104+F111+F118+F125</f>
        <v>6.54276412772586</v>
      </c>
      <c r="G142" s="9" t="n">
        <f aca="false">G83+G90+G97+G104+G111+G118+G125</f>
        <v>6.52966666666667</v>
      </c>
      <c r="H142" s="9" t="n">
        <f aca="false">H83+H90+H97+H104+H111+H118+H125</f>
        <v>13.6908333333333</v>
      </c>
      <c r="I142" s="9" t="n">
        <f aca="false">I83+I90+I97+I104+I111+I118+I125</f>
        <v>2.7115</v>
      </c>
    </row>
    <row r="143" customFormat="false" ht="15" hidden="false" customHeight="false" outlineLevel="0" collapsed="false">
      <c r="A143" s="0" t="s">
        <v>1385</v>
      </c>
      <c r="B143" s="5" t="s">
        <v>1313</v>
      </c>
      <c r="D143" s="9" t="n">
        <f aca="false">D127+D131+D135</f>
        <v>0</v>
      </c>
      <c r="E143" s="9" t="n">
        <f aca="false">E127+E131+E135</f>
        <v>0</v>
      </c>
      <c r="F143" s="9" t="n">
        <f aca="false">F127+F131+F135</f>
        <v>2.40267139853502</v>
      </c>
      <c r="G143" s="9" t="n">
        <f aca="false">G127+G131+G135</f>
        <v>3.23438922183938</v>
      </c>
      <c r="H143" s="9" t="n">
        <f aca="false">H127+H131+H135</f>
        <v>3.55451309886602</v>
      </c>
      <c r="I143" s="9" t="n">
        <f aca="false">I127+I131+I135</f>
        <v>3.27041814295472</v>
      </c>
    </row>
    <row r="144" customFormat="false" ht="15" hidden="false" customHeight="false" outlineLevel="0" collapsed="false">
      <c r="A144" s="0" t="s">
        <v>1386</v>
      </c>
      <c r="B144" s="5" t="s">
        <v>1315</v>
      </c>
      <c r="D144" s="9" t="n">
        <f aca="false">D128+D132+D136</f>
        <v>0</v>
      </c>
      <c r="E144" s="9" t="n">
        <f aca="false">E128+E132+E136</f>
        <v>0</v>
      </c>
      <c r="F144" s="9" t="n">
        <f aca="false">F128+F132+F136</f>
        <v>2.40267139853502</v>
      </c>
      <c r="G144" s="9" t="n">
        <f aca="false">G128+G132+G136</f>
        <v>2.83932325576981</v>
      </c>
      <c r="H144" s="9" t="n">
        <f aca="false">H128+H132+H136</f>
        <v>3.40245425727836</v>
      </c>
      <c r="I144" s="9" t="n">
        <f aca="false">I128+I132+I136</f>
        <v>3.40536324701259</v>
      </c>
    </row>
    <row r="145" customFormat="false" ht="15" hidden="false" customHeight="false" outlineLevel="0" collapsed="false">
      <c r="A145" s="0" t="s">
        <v>1387</v>
      </c>
      <c r="B145" s="5" t="s">
        <v>1317</v>
      </c>
      <c r="D145" s="9" t="n">
        <f aca="false">D129+D133+D137</f>
        <v>0</v>
      </c>
      <c r="E145" s="9" t="n">
        <f aca="false">E129+E133+E137</f>
        <v>0</v>
      </c>
      <c r="F145" s="9" t="n">
        <f aca="false">F129+F133+F137</f>
        <v>1.4302</v>
      </c>
      <c r="G145" s="9" t="n">
        <f aca="false">G129+G133+G137</f>
        <v>1.107</v>
      </c>
      <c r="H145" s="9" t="n">
        <f aca="false">H129+H133+H137</f>
        <v>1.245</v>
      </c>
      <c r="I145" s="9" t="n">
        <f aca="false">I129+I133+I137</f>
        <v>1.149</v>
      </c>
    </row>
    <row r="147" customFormat="false" ht="17.15" hidden="false" customHeight="false" outlineLevel="0" collapsed="false">
      <c r="A147" s="6" t="s">
        <v>1388</v>
      </c>
    </row>
    <row r="148" customFormat="false" ht="15" hidden="false" customHeight="false" outlineLevel="0" collapsed="false">
      <c r="A148" s="2" t="s">
        <v>1</v>
      </c>
      <c r="B148" s="2" t="s">
        <v>2</v>
      </c>
      <c r="C148" s="7" t="s">
        <v>1188</v>
      </c>
      <c r="D148" s="7" t="s">
        <v>1189</v>
      </c>
      <c r="E148" s="7" t="s">
        <v>1190</v>
      </c>
      <c r="F148" s="7" t="s">
        <v>1191</v>
      </c>
      <c r="G148" s="7" t="s">
        <v>1192</v>
      </c>
      <c r="H148" s="7" t="s">
        <v>1193</v>
      </c>
    </row>
    <row r="149" customFormat="false" ht="17.15" hidden="false" customHeight="false" outlineLevel="0" collapsed="false">
      <c r="A149" s="0" t="s">
        <v>1389</v>
      </c>
      <c r="B149" s="0" t="s">
        <v>1195</v>
      </c>
      <c r="D149" s="8" t="n">
        <f aca="false">IF(ISNUMBER(ai2_msft_2024),ai2_msft_2024/ai_sh*ai_sh_hi,"")</f>
        <v>51.7883</v>
      </c>
      <c r="E149" s="8" t="n">
        <f aca="false">IF(ISNUMBER(ai2_msft_2025),ai2_msft_2025/ai_sh*ai_sh_hi,"")</f>
        <v>85.737025</v>
      </c>
      <c r="F149" s="8" t="n">
        <f aca="false">IF(ISNUMBER(ai2_msft_2026),ai2_msft_2026/ai_sh*ai_sh_hi,"")</f>
        <v>146.668125</v>
      </c>
      <c r="G149" s="8" t="n">
        <f aca="false">IF(ISNUMBER(ai2_msft_2027),ai2_msft_2027/ai_sh*ai_sh_hi,"")</f>
        <v>194.56665</v>
      </c>
      <c r="H149" s="8" t="n">
        <f aca="false">IF(ISNUMBER(ai2_msft_2028),ai2_msft_2028/ai_sh*ai_sh_hi,"")</f>
        <v>222.281</v>
      </c>
      <c r="I149" s="8" t="n">
        <f aca="false">IF(ISNUMBER(ai2_msft_2029),ai2_msft_2029/ai_sh*ai_sh_hi,"")</f>
        <v>250.5450675</v>
      </c>
    </row>
    <row r="150" customFormat="false" ht="17.15" hidden="false" customHeight="false" outlineLevel="0" collapsed="false">
      <c r="A150" s="0" t="s">
        <v>1390</v>
      </c>
      <c r="B150" s="0" t="s">
        <v>1197</v>
      </c>
      <c r="D150" s="8" t="n">
        <f aca="false">IF(ISNUMBER(D149),(pit_msft_2024/(pit_msft_2024+pfac_msft_2024)*D149+pfac_msft_2024/(pit_msft_2024+pfac_msft_2024)*IF(AND(ISNUMBER(""),ISNUMBER("")),wb1*""+wb2*"",IF(ISNUMBER(""),"",D149)))/(pit_msft_2024+pfac_msft_2024),site_msft_2024)</f>
        <v>1.41518708111332</v>
      </c>
      <c r="E150" s="8" t="n">
        <f aca="false">IF(ISNUMBER(E149),(pit_msft_2025/(pit_msft_2025+pfac_msft_2025)*E149+pfac_msft_2025/(pit_msft_2025+pfac_msft_2025)*IF(AND(ISNUMBER(D149),ISNUMBER("")),wb1*D149+wb2*"",IF(ISNUMBER(D149),D149,E149)))/(pit_msft_2025+pfac_msft_2025),site_msft_2025)</f>
        <v>2.11697320448636</v>
      </c>
      <c r="F150" s="8" t="n">
        <f aca="false">IF(ISNUMBER(F149),(pit_msft_2026/(pit_msft_2026+pfac_msft_2026)*F149+pfac_msft_2026/(pit_msft_2026+pfac_msft_2026)*IF(AND(ISNUMBER(E149),ISNUMBER(D149)),wb1*E149+wb2*D149,IF(ISNUMBER(E149),E149,F149)))/(pit_msft_2026+pfac_msft_2026),site_msft_2026)</f>
        <v>3.0543168495587</v>
      </c>
      <c r="G150" s="8" t="n">
        <f aca="false">IF(ISNUMBER(G149),(pit_msft_2027/(pit_msft_2027+pfac_msft_2027)*G149+pfac_msft_2027/(pit_msft_2027+pfac_msft_2027)*IF(AND(ISNUMBER(F149),ISNUMBER(E149)),wb1*F149+wb2*E149,IF(ISNUMBER(F149),F149,G149)))/(pit_msft_2027+pfac_msft_2027),site_msft_2027)</f>
        <v>3.98382585985501</v>
      </c>
      <c r="H150" s="8" t="n">
        <f aca="false">IF(ISNUMBER(H149),(pit_msft_2028/(pit_msft_2028+pfac_msft_2028)*H149+pfac_msft_2028/(pit_msft_2028+pfac_msft_2028)*IF(AND(ISNUMBER(G149),ISNUMBER(F149)),wb1*G149+wb2*F149,IF(ISNUMBER(G149),G149,H149)))/(pit_msft_2028+pfac_msft_2028),site_msft_2028)</f>
        <v>4.54432920754728</v>
      </c>
      <c r="I150" s="8" t="n">
        <f aca="false">IF(ISNUMBER(I149),(pit_msft_2029/(pit_msft_2029+pfac_msft_2029)*I149+pfac_msft_2029/(pit_msft_2029+pfac_msft_2029)*IF(AND(ISNUMBER(H149),ISNUMBER(G149)),wb1*H149+wb2*G149,IF(ISNUMBER(H149),H149,I149)))/(pit_msft_2029+pfac_msft_2029),site_msft_2029)</f>
        <v>5.2131764103919</v>
      </c>
    </row>
    <row r="151" customFormat="false" ht="17.15" hidden="false" customHeight="false" outlineLevel="0" collapsed="false">
      <c r="A151" s="0" t="s">
        <v>1391</v>
      </c>
      <c r="B151" s="0" t="s">
        <v>1199</v>
      </c>
      <c r="E151" s="8" t="n">
        <f aca="false">(1-lag)*E150+lag*D150-inv_k*(E150-D150)</f>
        <v>1.78362479588417</v>
      </c>
      <c r="F151" s="8" t="n">
        <f aca="false">(1-lag)*F150+lag*E150-inv_k*(F150-E150)</f>
        <v>2.60907861814934</v>
      </c>
      <c r="G151" s="8" t="n">
        <f aca="false">(1-lag)*G150+lag*F150-inv_k*(G150-F150)</f>
        <v>3.54230907996426</v>
      </c>
      <c r="H151" s="8" t="n">
        <f aca="false">(1-lag)*H150+lag*G150-inv_k*(H150-G150)</f>
        <v>4.27809011739346</v>
      </c>
      <c r="I151" s="8" t="n">
        <f aca="false">(1-lag)*I150+lag*H150-inv_k*(I150-H150)</f>
        <v>4.89547398904071</v>
      </c>
    </row>
    <row r="152" customFormat="false" ht="17.15" hidden="false" customHeight="false" outlineLevel="0" collapsed="false">
      <c r="A152" s="0" t="s">
        <v>1392</v>
      </c>
      <c r="B152" s="0" t="s">
        <v>1201</v>
      </c>
      <c r="D152" s="8" t="str">
        <f aca="false">""</f>
        <v/>
      </c>
      <c r="E152" s="8" t="n">
        <f aca="false">(6/12*cap2_msft_2025+6/12*gcap_msft_2026)*ai_sh_hi</f>
        <v>99.679225</v>
      </c>
      <c r="F152" s="8" t="n">
        <f aca="false">(6/12*gcap_msft_2026+6/12*gcap_msft_2027)*ai_sh_hi</f>
        <v>166.0125</v>
      </c>
      <c r="G152" s="8" t="n">
        <f aca="false">(6/12*gcap_msft_2027+6/12*gcap_msft_2028)*ai_sh_hi</f>
        <v>207.814819425</v>
      </c>
      <c r="H152" s="8" t="n">
        <f aca="false">(6/12*gcap_msft_2028+6/12*gcap_msft_2029)*ai_sh_hi</f>
        <v>226.6564302</v>
      </c>
      <c r="I152" s="8" t="n">
        <f aca="false">(6/12*gcap_msft_2029+6/12*gcap_msft_2030)*ai_sh_hi</f>
        <v>220.8601686</v>
      </c>
    </row>
    <row r="153" customFormat="false" ht="17.15" hidden="false" customHeight="false" outlineLevel="0" collapsed="false">
      <c r="A153" s="0" t="s">
        <v>1393</v>
      </c>
      <c r="B153" s="0" t="s">
        <v>1197</v>
      </c>
      <c r="D153" s="8" t="n">
        <f aca="false">IF(ISNUMBER(D152),(pit_msft_2024/(pit_msft_2024+pfac_msft_2024)*D152+pfac_msft_2024/(pit_msft_2024+pfac_msft_2024)*IF(AND(ISNUMBER(""),ISNUMBER("")),wb1*""+wb2*"",IF(ISNUMBER(""),"",D152)))/(pit_msft_2024+pfac_msft_2024),site_msft_2024)</f>
        <v>0</v>
      </c>
      <c r="E153" s="8" t="n">
        <f aca="false">IF(ISNUMBER(E152),(pit_msft_2025/(pit_msft_2025+pfac_msft_2025)*E152+pfac_msft_2025/(pit_msft_2025+pfac_msft_2025)*IF(AND(ISNUMBER(D152),ISNUMBER("")),wb1*D152+wb2*"",IF(ISNUMBER(D152),D152,E152)))/(pit_msft_2025+pfac_msft_2025),site_msft_2025)</f>
        <v>2.81173663316736</v>
      </c>
      <c r="F153" s="8" t="n">
        <f aca="false">IF(ISNUMBER(F152),(pit_msft_2026/(pit_msft_2026+pfac_msft_2026)*F152+pfac_msft_2026/(pit_msft_2026+pfac_msft_2026)*IF(AND(ISNUMBER(E152),ISNUMBER(D152)),wb1*E152+wb2*D152,IF(ISNUMBER(E152),E152,F152)))/(pit_msft_2026+pfac_msft_2026),site_msft_2026)</f>
        <v>3.6015619404058</v>
      </c>
      <c r="G153" s="8" t="n">
        <f aca="false">IF(ISNUMBER(G152),(pit_msft_2027/(pit_msft_2027+pfac_msft_2027)*G152+pfac_msft_2027/(pit_msft_2027+pfac_msft_2027)*IF(AND(ISNUMBER(F152),ISNUMBER(E152)),wb1*F152+wb2*E152,IF(ISNUMBER(F152),F152,G152)))/(pit_msft_2027+pfac_msft_2027),site_msft_2027)</f>
        <v>4.30455447364948</v>
      </c>
      <c r="H153" s="8" t="n">
        <f aca="false">IF(ISNUMBER(H152),(pit_msft_2028/(pit_msft_2028+pfac_msft_2028)*H152+pfac_msft_2028/(pit_msft_2028+pfac_msft_2028)*IF(AND(ISNUMBER(G152),ISNUMBER(F152)),wb1*G152+wb2*F152,IF(ISNUMBER(G152),G152,H152)))/(pit_msft_2028+pfac_msft_2028),site_msft_2028)</f>
        <v>4.70017595096034</v>
      </c>
      <c r="I153" s="8" t="n">
        <f aca="false">IF(ISNUMBER(I152),(pit_msft_2029/(pit_msft_2029+pfac_msft_2029)*I152+pfac_msft_2029/(pit_msft_2029+pfac_msft_2029)*IF(AND(ISNUMBER(H152),ISNUMBER(G152)),wb1*H152+wb2*G152,IF(ISNUMBER(H152),H152,I152)))/(pit_msft_2029+pfac_msft_2029),site_msft_2029)</f>
        <v>4.76775856181925</v>
      </c>
    </row>
    <row r="154" customFormat="false" ht="17.15" hidden="false" customHeight="false" outlineLevel="0" collapsed="false">
      <c r="A154" s="0" t="s">
        <v>1394</v>
      </c>
      <c r="B154" s="0" t="s">
        <v>1199</v>
      </c>
      <c r="E154" s="8" t="n">
        <f aca="false">(1-lag)*E153+lag*D153-inv_k*(E153-D153)</f>
        <v>1.47616173241286</v>
      </c>
      <c r="F154" s="8" t="n">
        <f aca="false">(1-lag)*F153+lag*E153-inv_k*(F153-E153)</f>
        <v>3.22639491946754</v>
      </c>
      <c r="G154" s="8" t="n">
        <f aca="false">(1-lag)*G153+lag*F153-inv_k*(G153-F153)</f>
        <v>3.97063302035873</v>
      </c>
      <c r="H154" s="8" t="n">
        <f aca="false">(1-lag)*H153+lag*G153-inv_k*(H153-G153)</f>
        <v>4.51225574923768</v>
      </c>
      <c r="I154" s="8" t="n">
        <f aca="false">(1-lag)*I153+lag*H153-inv_k*(I153-H153)</f>
        <v>4.73565682166127</v>
      </c>
    </row>
    <row r="155" customFormat="false" ht="17.15" hidden="false" customHeight="false" outlineLevel="0" collapsed="false">
      <c r="A155" s="0" t="s">
        <v>1395</v>
      </c>
      <c r="B155" s="0" t="s">
        <v>1205</v>
      </c>
      <c r="D155" s="8" t="n">
        <f aca="false">site_msft_2024</f>
        <v>0</v>
      </c>
      <c r="E155" s="8" t="n">
        <f aca="false">site_msft_2025</f>
        <v>2.13527</v>
      </c>
      <c r="F155" s="8" t="n">
        <f aca="false">site_msft_2026</f>
        <v>0.770955</v>
      </c>
      <c r="G155" s="8" t="n">
        <f aca="false">site_msft_2027</f>
        <v>1.04</v>
      </c>
      <c r="H155" s="8" t="n">
        <f aca="false">site_msft_2028</f>
        <v>1.67</v>
      </c>
      <c r="I155" s="8" t="n">
        <f aca="false">site_msft_2029</f>
        <v>0.144</v>
      </c>
    </row>
    <row r="156" customFormat="false" ht="17.15" hidden="false" customHeight="false" outlineLevel="0" collapsed="false">
      <c r="A156" s="0" t="s">
        <v>1396</v>
      </c>
      <c r="B156" s="0" t="s">
        <v>1207</v>
      </c>
      <c r="D156" s="8" t="str">
        <f aca="false">IF(ISNUMBER(ai2_googl_2024),ai2_googl_2024/ai_sh*ai_sh_hi,"")</f>
        <v/>
      </c>
      <c r="E156" s="8" t="n">
        <f aca="false">IF(ISNUMBER(ai2_googl_2025),ai2_googl_2025/ai_sh*ai_sh_hi,"")</f>
        <v>86.87465</v>
      </c>
      <c r="F156" s="8" t="n">
        <f aca="false">IF(ISNUMBER(ai2_googl_2026),ai2_googl_2026/ai_sh*ai_sh_hi,"")</f>
        <v>190</v>
      </c>
      <c r="G156" s="8" t="n">
        <f aca="false">IF(ISNUMBER(ai2_googl_2027),ai2_googl_2027/ai_sh*ai_sh_hi,"")</f>
        <v>285.93005</v>
      </c>
      <c r="H156" s="8" t="n">
        <f aca="false">IF(ISNUMBER(ai2_googl_2028),ai2_googl_2028/ai_sh*ai_sh_hi,"")</f>
        <v>322.47845</v>
      </c>
      <c r="I156" s="8" t="n">
        <f aca="false">IF(ISNUMBER(ai2_googl_2029),ai2_googl_2029/ai_sh*ai_sh_hi,"")</f>
        <v>354.726295</v>
      </c>
    </row>
    <row r="157" customFormat="false" ht="17.15" hidden="false" customHeight="false" outlineLevel="0" collapsed="false">
      <c r="A157" s="0" t="s">
        <v>1397</v>
      </c>
      <c r="B157" s="0" t="s">
        <v>1209</v>
      </c>
      <c r="D157" s="8" t="n">
        <f aca="false">IF(ISNUMBER(D156),(pit_googl_2024/(pit_googl_2024+pfac_googl_2024)*D156+pfac_googl_2024/(pit_googl_2024+pfac_googl_2024)*IF(AND(ISNUMBER(""),ISNUMBER("")),wb1*""+wb2*"",IF(ISNUMBER(""),"",D156)))/(pit_googl_2024+pfac_googl_2024),site_googl_2024)</f>
        <v>1.32980834349181</v>
      </c>
      <c r="E157" s="8" t="n">
        <f aca="false">IF(ISNUMBER(E156),(pit_googl_2025/(pit_googl_2025+pfac_googl_2025)*E156+pfac_googl_2025/(pit_googl_2025+pfac_googl_2025)*IF(AND(ISNUMBER(D156),ISNUMBER("")),wb1*D156+wb2*"",IF(ISNUMBER(D156),D156,E156)))/(pit_googl_2025+pfac_googl_2025),site_googl_2025)</f>
        <v>2.41024837853925</v>
      </c>
      <c r="F157" s="8" t="n">
        <f aca="false">IF(ISNUMBER(F156),(pit_googl_2026/(pit_googl_2026+pfac_googl_2026)*F156+pfac_googl_2026/(pit_googl_2026+pfac_googl_2026)*IF(AND(ISNUMBER(E156),ISNUMBER(D156)),wb1*E156+wb2*D156,IF(ISNUMBER(E156),E156,F156)))/(pit_googl_2026+pfac_googl_2026),site_googl_2026)</f>
        <v>4.3116310121152</v>
      </c>
      <c r="G157" s="8" t="n">
        <f aca="false">IF(ISNUMBER(G156),(pit_googl_2027/(pit_googl_2027+pfac_googl_2027)*G156+pfac_googl_2027/(pit_googl_2027+pfac_googl_2027)*IF(AND(ISNUMBER(F156),ISNUMBER(E156)),wb1*F156+wb2*E156,IF(ISNUMBER(F156),F156,G156)))/(pit_googl_2027+pfac_googl_2027),site_googl_2027)</f>
        <v>6.36800161998706</v>
      </c>
      <c r="H157" s="8" t="n">
        <f aca="false">IF(ISNUMBER(H156),(pit_googl_2028/(pit_googl_2028+pfac_googl_2028)*H156+pfac_googl_2028/(pit_googl_2028+pfac_googl_2028)*IF(AND(ISNUMBER(G156),ISNUMBER(F156)),wb1*G156+wb2*F156,IF(ISNUMBER(G156),G156,H156)))/(pit_googl_2028+pfac_googl_2028),site_googl_2028)</f>
        <v>7.57409755033445</v>
      </c>
      <c r="I157" s="8" t="n">
        <f aca="false">IF(ISNUMBER(I156),(pit_googl_2029/(pit_googl_2029+pfac_googl_2029)*I156+pfac_googl_2029/(pit_googl_2029+pfac_googl_2029)*IF(AND(ISNUMBER(H156),ISNUMBER(G156)),wb1*H156+wb2*G156,IF(ISNUMBER(H156),H156,I156)))/(pit_googl_2029+pfac_googl_2029),site_googl_2029)</f>
        <v>8.59391895790533</v>
      </c>
    </row>
    <row r="158" customFormat="false" ht="17.15" hidden="false" customHeight="false" outlineLevel="0" collapsed="false">
      <c r="A158" s="0" t="s">
        <v>1398</v>
      </c>
      <c r="B158" s="0" t="s">
        <v>1211</v>
      </c>
      <c r="E158" s="8" t="n">
        <f aca="false">(1-lag)*E157+lag*D157-inv_k*(E157-D157)</f>
        <v>1.89703936189172</v>
      </c>
      <c r="F158" s="8" t="n">
        <f aca="false">(1-lag)*F157+lag*E157-inv_k*(F157-E157)</f>
        <v>3.40847426116662</v>
      </c>
      <c r="G158" s="8" t="n">
        <f aca="false">(1-lag)*G157+lag*F157-inv_k*(G157-F157)</f>
        <v>5.39122558124793</v>
      </c>
      <c r="H158" s="8" t="n">
        <f aca="false">(1-lag)*H157+lag*G157-inv_k*(H157-G157)</f>
        <v>7.00120198341944</v>
      </c>
      <c r="I158" s="8" t="n">
        <f aca="false">(1-lag)*I157+lag*H157-inv_k*(I157-H157)</f>
        <v>8.10950378930916</v>
      </c>
    </row>
    <row r="159" customFormat="false" ht="17.15" hidden="false" customHeight="false" outlineLevel="0" collapsed="false">
      <c r="A159" s="0" t="s">
        <v>1399</v>
      </c>
      <c r="B159" s="0" t="s">
        <v>1213</v>
      </c>
      <c r="D159" s="8" t="n">
        <f aca="false">gcap_googl_2024*ai_sh_hi</f>
        <v>49.90825</v>
      </c>
      <c r="E159" s="8" t="n">
        <f aca="false">gcap_googl_2025*ai_sh_hi</f>
        <v>86.87465</v>
      </c>
      <c r="F159" s="8" t="n">
        <f aca="false">gcap_googl_2026*ai_sh_hi</f>
        <v>190</v>
      </c>
      <c r="G159" s="8" t="n">
        <f aca="false">gcap_googl_2027*ai_sh_hi</f>
        <v>275.846883</v>
      </c>
      <c r="H159" s="8" t="n">
        <f aca="false">gcap_googl_2028*ai_sh_hi</f>
        <v>301.52889325</v>
      </c>
      <c r="I159" s="8" t="n">
        <f aca="false">gcap_googl_2029*ai_sh_hi</f>
        <v>277.9328284</v>
      </c>
    </row>
    <row r="160" customFormat="false" ht="17.15" hidden="false" customHeight="false" outlineLevel="0" collapsed="false">
      <c r="A160" s="0" t="s">
        <v>1400</v>
      </c>
      <c r="B160" s="0" t="s">
        <v>1209</v>
      </c>
      <c r="D160" s="8" t="n">
        <f aca="false">IF(ISNUMBER(D159),(pit_googl_2024/(pit_googl_2024+pfac_googl_2024)*D159+pfac_googl_2024/(pit_googl_2024+pfac_googl_2024)*IF(AND(ISNUMBER(""),ISNUMBER("")),wb1*""+wb2*"",IF(ISNUMBER(""),"",D159)))/(pit_googl_2024+pfac_googl_2024),site_googl_2024)</f>
        <v>1.37055468586415</v>
      </c>
      <c r="E160" s="8" t="n">
        <f aca="false">IF(ISNUMBER(E159),(pit_googl_2025/(pit_googl_2025+pfac_googl_2025)*E159+pfac_googl_2025/(pit_googl_2025+pfac_googl_2025)*IF(AND(ISNUMBER(D159),ISNUMBER("")),wb1*D159+wb2*"",IF(ISNUMBER(D159),D159,E159)))/(pit_googl_2025+pfac_googl_2025),site_googl_2025)</f>
        <v>2.13117506831858</v>
      </c>
      <c r="F160" s="8" t="n">
        <f aca="false">IF(ISNUMBER(F159),(pit_googl_2026/(pit_googl_2026+pfac_googl_2026)*F159+pfac_googl_2026/(pit_googl_2026+pfac_googl_2026)*IF(AND(ISNUMBER(E159),ISNUMBER(D159)),wb1*E159+wb2*D159,IF(ISNUMBER(E159),E159,F159)))/(pit_googl_2026+pfac_googl_2026),site_googl_2026)</f>
        <v>4.1852463991985</v>
      </c>
      <c r="G160" s="8" t="n">
        <f aca="false">IF(ISNUMBER(G159),(pit_googl_2027/(pit_googl_2027+pfac_googl_2027)*G159+pfac_googl_2027/(pit_googl_2027+pfac_googl_2027)*IF(AND(ISNUMBER(F159),ISNUMBER(E159)),wb1*F159+wb2*E159,IF(ISNUMBER(F159),F159,G159)))/(pit_googl_2027+pfac_googl_2027),site_googl_2027)</f>
        <v>6.17477323658432</v>
      </c>
      <c r="H160" s="8" t="n">
        <f aca="false">IF(ISNUMBER(H159),(pit_googl_2028/(pit_googl_2028+pfac_googl_2028)*H159+pfac_googl_2028/(pit_googl_2028+pfac_googl_2028)*IF(AND(ISNUMBER(G159),ISNUMBER(F159)),wb1*G159+wb2*F159,IF(ISNUMBER(G159),G159,H159)))/(pit_googl_2028+pfac_googl_2028),site_googl_2028)</f>
        <v>7.14646161718361</v>
      </c>
      <c r="I160" s="8" t="n">
        <f aca="false">IF(ISNUMBER(I159),(pit_googl_2029/(pit_googl_2029+pfac_googl_2029)*I159+pfac_googl_2029/(pit_googl_2029+pfac_googl_2029)*IF(AND(ISNUMBER(H159),ISNUMBER(G159)),wb1*H159+wb2*G159,IF(ISNUMBER(H159),H159,I159)))/(pit_googl_2029+pfac_googl_2029),site_googl_2029)</f>
        <v>7.04468808988879</v>
      </c>
    </row>
    <row r="161" customFormat="false" ht="17.15" hidden="false" customHeight="false" outlineLevel="0" collapsed="false">
      <c r="A161" s="0" t="s">
        <v>1401</v>
      </c>
      <c r="B161" s="0" t="s">
        <v>1211</v>
      </c>
      <c r="E161" s="8" t="n">
        <f aca="false">(1-lag)*E160+lag*D160-inv_k*(E160-D160)</f>
        <v>1.76988038665273</v>
      </c>
      <c r="F161" s="8" t="n">
        <f aca="false">(1-lag)*F160+lag*E160-inv_k*(F160-E160)</f>
        <v>3.20956251703054</v>
      </c>
      <c r="G161" s="8" t="n">
        <f aca="false">(1-lag)*G160+lag*F160-inv_k*(G160-F160)</f>
        <v>5.22974798882605</v>
      </c>
      <c r="H161" s="8" t="n">
        <f aca="false">(1-lag)*H160+lag*G160-inv_k*(H160-G160)</f>
        <v>6.68490963639895</v>
      </c>
      <c r="I161" s="8" t="n">
        <f aca="false">(1-lag)*I160+lag*H160-inv_k*(I160-H160)</f>
        <v>7.09303051535383</v>
      </c>
    </row>
    <row r="162" customFormat="false" ht="17.15" hidden="false" customHeight="false" outlineLevel="0" collapsed="false">
      <c r="A162" s="0" t="s">
        <v>1402</v>
      </c>
      <c r="B162" s="0" t="s">
        <v>1217</v>
      </c>
      <c r="D162" s="8" t="n">
        <f aca="false">site_googl_2024</f>
        <v>1.32980834349181</v>
      </c>
      <c r="E162" s="8" t="n">
        <f aca="false">site_googl_2025</f>
        <v>2.40961330082622</v>
      </c>
      <c r="F162" s="8" t="n">
        <f aca="false">site_googl_2026</f>
        <v>1.29267912772586</v>
      </c>
      <c r="G162" s="8" t="n">
        <f aca="false">site_googl_2027</f>
        <v>1.626</v>
      </c>
      <c r="H162" s="8" t="n">
        <f aca="false">site_googl_2028</f>
        <v>0.833333333333334</v>
      </c>
      <c r="I162" s="8" t="n">
        <f aca="false">site_googl_2029</f>
        <v>0</v>
      </c>
    </row>
    <row r="163" customFormat="false" ht="17.15" hidden="false" customHeight="false" outlineLevel="0" collapsed="false">
      <c r="A163" s="0" t="s">
        <v>1403</v>
      </c>
      <c r="B163" s="0" t="s">
        <v>1219</v>
      </c>
      <c r="D163" s="8" t="str">
        <f aca="false">IF(ISNUMBER(ai2_amzn_2024),ai2_amzn_2024/ai_amzn*ai_amzn_hi,"")</f>
        <v/>
      </c>
      <c r="E163" s="8" t="n">
        <f aca="false">IF(ISNUMBER(ai2_amzn_2025),ai2_amzn_2025/ai_amzn*ai_amzn_hi,"")</f>
        <v>96.24</v>
      </c>
      <c r="F163" s="8" t="n">
        <f aca="false">IF(ISNUMBER(ai2_amzn_2026),ai2_amzn_2026/ai_amzn*ai_amzn_hi,"")</f>
        <v>165</v>
      </c>
      <c r="G163" s="8" t="n">
        <f aca="false">IF(ISNUMBER(ai2_amzn_2027),ai2_amzn_2027/ai_amzn*ai_amzn_hi,"")</f>
        <v>206.29725</v>
      </c>
      <c r="H163" s="8" t="n">
        <f aca="false">IF(ISNUMBER(ai2_amzn_2028),ai2_amzn_2028/ai_amzn*ai_amzn_hi,"")</f>
        <v>219.69525</v>
      </c>
      <c r="I163" s="8" t="n">
        <f aca="false">IF(ISNUMBER(ai2_amzn_2029),ai2_amzn_2029/ai_amzn*ai_amzn_hi,"")</f>
        <v>241.664775</v>
      </c>
    </row>
    <row r="164" customFormat="false" ht="17.15" hidden="false" customHeight="false" outlineLevel="0" collapsed="false">
      <c r="A164" s="0" t="s">
        <v>1404</v>
      </c>
      <c r="B164" s="0" t="s">
        <v>1221</v>
      </c>
      <c r="D164" s="8" t="n">
        <f aca="false">IF(ISNUMBER(D163),(pit_amzn_2024/(pit_amzn_2024+pfac_amzn_2024)*D163+pfac_amzn_2024/(pit_amzn_2024+pfac_amzn_2024)*IF(AND(ISNUMBER(""),ISNUMBER("")),wb1*""+wb2*"",IF(ISNUMBER(""),"",D163)))/(pit_amzn_2024+pfac_amzn_2024),site_amzn_2024)</f>
        <v>0</v>
      </c>
      <c r="E164" s="8" t="n">
        <f aca="false">IF(ISNUMBER(E163),(pit_amzn_2025/(pit_amzn_2025+pfac_amzn_2025)*E163+pfac_amzn_2025/(pit_amzn_2025+pfac_amzn_2025)*IF(AND(ISNUMBER(D163),ISNUMBER("")),wb1*D163+wb2*"",IF(ISNUMBER(D163),D163,E163)))/(pit_amzn_2025+pfac_amzn_2025),site_amzn_2025)</f>
        <v>2.88975424489974</v>
      </c>
      <c r="F164" s="8" t="n">
        <f aca="false">IF(ISNUMBER(F163),(pit_amzn_2026/(pit_amzn_2026+pfac_amzn_2026)*F163+pfac_amzn_2026/(pit_amzn_2026+pfac_amzn_2026)*IF(AND(ISNUMBER(E163),ISNUMBER(D163)),wb1*E163+wb2*D163,IF(ISNUMBER(E163),E163,F163)))/(pit_amzn_2026+pfac_amzn_2026),site_amzn_2026)</f>
        <v>4.11210315192382</v>
      </c>
      <c r="G164" s="8" t="n">
        <f aca="false">IF(ISNUMBER(G163),(pit_amzn_2027/(pit_amzn_2027+pfac_amzn_2027)*G163+pfac_amzn_2027/(pit_amzn_2027+pfac_amzn_2027)*IF(AND(ISNUMBER(F163),ISNUMBER(E163)),wb1*F163+wb2*E163,IF(ISNUMBER(F163),F163,G163)))/(pit_amzn_2027+pfac_amzn_2027),site_amzn_2027)</f>
        <v>5.01282957654863</v>
      </c>
      <c r="H164" s="8" t="n">
        <f aca="false">IF(ISNUMBER(H163),(pit_amzn_2028/(pit_amzn_2028+pfac_amzn_2028)*H163+pfac_amzn_2028/(pit_amzn_2028+pfac_amzn_2028)*IF(AND(ISNUMBER(G163),ISNUMBER(F163)),wb1*G163+wb2*F163,IF(ISNUMBER(G163),G163,H163)))/(pit_amzn_2028+pfac_amzn_2028),site_amzn_2028)</f>
        <v>5.51055683743389</v>
      </c>
      <c r="I164" s="8" t="n">
        <f aca="false">IF(ISNUMBER(I163),(pit_amzn_2029/(pit_amzn_2029+pfac_amzn_2029)*I163+pfac_amzn_2029/(pit_amzn_2029+pfac_amzn_2029)*IF(AND(ISNUMBER(H163),ISNUMBER(G163)),wb1*H163+wb2*G163,IF(ISNUMBER(H163),H163,I163)))/(pit_amzn_2029+pfac_amzn_2029),site_amzn_2029)</f>
        <v>6.11747294878949</v>
      </c>
    </row>
    <row r="165" customFormat="false" ht="17.15" hidden="false" customHeight="false" outlineLevel="0" collapsed="false">
      <c r="A165" s="0" t="s">
        <v>1405</v>
      </c>
      <c r="B165" s="0" t="s">
        <v>1223</v>
      </c>
      <c r="E165" s="8" t="n">
        <f aca="false">(1-lag)*E164+lag*D164-inv_k*(E164-D164)</f>
        <v>1.51712097857236</v>
      </c>
      <c r="F165" s="8" t="n">
        <f aca="false">(1-lag)*F164+lag*E164-inv_k*(F164-E164)</f>
        <v>3.53148742108738</v>
      </c>
      <c r="G165" s="8" t="n">
        <f aca="false">(1-lag)*G164+lag*F164-inv_k*(G164-F164)</f>
        <v>4.58498452485184</v>
      </c>
      <c r="H165" s="8" t="n">
        <f aca="false">(1-lag)*H164+lag*G164-inv_k*(H164-G164)</f>
        <v>5.27413638851339</v>
      </c>
      <c r="I165" s="8" t="n">
        <f aca="false">(1-lag)*I164+lag*H164-inv_k*(I164-H164)</f>
        <v>5.82918779589558</v>
      </c>
    </row>
    <row r="166" customFormat="false" ht="17.15" hidden="false" customHeight="false" outlineLevel="0" collapsed="false">
      <c r="A166" s="0" t="s">
        <v>1406</v>
      </c>
      <c r="B166" s="0" t="s">
        <v>1225</v>
      </c>
      <c r="D166" s="8" t="n">
        <f aca="false">gcap_amzn_2024*ai_amzn_hi</f>
        <v>58.2435</v>
      </c>
      <c r="E166" s="8" t="n">
        <f aca="false">gcap_amzn_2025*ai_amzn_hi</f>
        <v>96.24</v>
      </c>
      <c r="F166" s="8" t="n">
        <f aca="false">gcap_amzn_2026*ai_amzn_hi</f>
        <v>165</v>
      </c>
      <c r="G166" s="8" t="n">
        <f aca="false">gcap_amzn_2027*ai_amzn_hi</f>
        <v>189.8100645</v>
      </c>
      <c r="H166" s="8" t="n">
        <f aca="false">gcap_amzn_2028*ai_amzn_hi</f>
        <v>200.228676</v>
      </c>
      <c r="I166" s="8" t="n">
        <f aca="false">gcap_amzn_2029*ai_amzn_hi</f>
        <v>208.8044175</v>
      </c>
    </row>
    <row r="167" customFormat="false" ht="17.15" hidden="false" customHeight="false" outlineLevel="0" collapsed="false">
      <c r="A167" s="0" t="s">
        <v>1407</v>
      </c>
      <c r="B167" s="0" t="s">
        <v>1221</v>
      </c>
      <c r="D167" s="8" t="n">
        <f aca="false">IF(ISNUMBER(D166),(pit_amzn_2024/(pit_amzn_2024+pfac_amzn_2024)*D166+pfac_amzn_2024/(pit_amzn_2024+pfac_amzn_2024)*IF(AND(ISNUMBER(""),ISNUMBER("")),wb1*""+wb2*"",IF(ISNUMBER(""),"",D166)))/(pit_amzn_2024+pfac_amzn_2024),site_amzn_2024)</f>
        <v>1.72321913453841</v>
      </c>
      <c r="E167" s="8" t="n">
        <f aca="false">IF(ISNUMBER(E166),(pit_amzn_2025/(pit_amzn_2025+pfac_amzn_2025)*E166+pfac_amzn_2025/(pit_amzn_2025+pfac_amzn_2025)*IF(AND(ISNUMBER(D166),ISNUMBER("")),wb1*D166+wb2*"",IF(ISNUMBER(D166),D166,E166)))/(pit_amzn_2025+pfac_amzn_2025),site_amzn_2025)</f>
        <v>2.56912812459733</v>
      </c>
      <c r="F167" s="8" t="n">
        <f aca="false">IF(ISNUMBER(F166),(pit_amzn_2026/(pit_amzn_2026+pfac_amzn_2026)*F166+pfac_amzn_2026/(pit_amzn_2026+pfac_amzn_2026)*IF(AND(ISNUMBER(E166),ISNUMBER(D166)),wb1*E166+wb2*D166,IF(ISNUMBER(E166),E166,F166)))/(pit_amzn_2026+pfac_amzn_2026),site_amzn_2026)</f>
        <v>3.97295837084382</v>
      </c>
      <c r="G167" s="8" t="n">
        <f aca="false">IF(ISNUMBER(G166),(pit_amzn_2027/(pit_amzn_2027+pfac_amzn_2027)*G166+pfac_amzn_2027/(pit_amzn_2027+pfac_amzn_2027)*IF(AND(ISNUMBER(F166),ISNUMBER(E166)),wb1*F166+wb2*E166,IF(ISNUMBER(F166),F166,G166)))/(pit_amzn_2027+pfac_amzn_2027),site_amzn_2027)</f>
        <v>4.68215631246697</v>
      </c>
      <c r="H167" s="8" t="n">
        <f aca="false">IF(ISNUMBER(H166),(pit_amzn_2028/(pit_amzn_2028+pfac_amzn_2028)*H166+pfac_amzn_2028/(pit_amzn_2028+pfac_amzn_2028)*IF(AND(ISNUMBER(G166),ISNUMBER(F166)),wb1*G166+wb2*F166,IF(ISNUMBER(G166),G166,H166)))/(pit_amzn_2028+pfac_amzn_2028),site_amzn_2028)</f>
        <v>5.07447539464488</v>
      </c>
      <c r="I167" s="8" t="n">
        <f aca="false">IF(ISNUMBER(I166),(pit_amzn_2029/(pit_amzn_2029+pfac_amzn_2029)*I166+pfac_amzn_2029/(pit_amzn_2029+pfac_amzn_2029)*IF(AND(ISNUMBER(H166),ISNUMBER(G166)),wb1*H166+wb2*G166,IF(ISNUMBER(H166),H166,I166)))/(pit_amzn_2029+pfac_amzn_2029),site_amzn_2029)</f>
        <v>5.35551875621753</v>
      </c>
    </row>
    <row r="168" customFormat="false" ht="17.15" hidden="false" customHeight="false" outlineLevel="0" collapsed="false">
      <c r="A168" s="0" t="s">
        <v>1408</v>
      </c>
      <c r="B168" s="0" t="s">
        <v>1223</v>
      </c>
      <c r="E168" s="8" t="n">
        <f aca="false">(1-lag)*E167+lag*D167-inv_k*(E167-D167)</f>
        <v>2.16732135431934</v>
      </c>
      <c r="F168" s="8" t="n">
        <f aca="false">(1-lag)*F167+lag*E167-inv_k*(F167-E167)</f>
        <v>3.30613900387673</v>
      </c>
      <c r="G168" s="8" t="n">
        <f aca="false">(1-lag)*G167+lag*F167-inv_k*(G167-F167)</f>
        <v>4.34528729019597</v>
      </c>
      <c r="H168" s="8" t="n">
        <f aca="false">(1-lag)*H167+lag*G167-inv_k*(H167-G167)</f>
        <v>4.88812383061037</v>
      </c>
      <c r="I168" s="8" t="n">
        <f aca="false">(1-lag)*I167+lag*H167-inv_k*(I167-H167)</f>
        <v>5.22202315947052</v>
      </c>
    </row>
    <row r="169" customFormat="false" ht="17.15" hidden="false" customHeight="false" outlineLevel="0" collapsed="false">
      <c r="A169" s="0" t="s">
        <v>1409</v>
      </c>
      <c r="B169" s="0" t="s">
        <v>1229</v>
      </c>
      <c r="D169" s="8" t="n">
        <f aca="false">site_amzn_2024</f>
        <v>0</v>
      </c>
      <c r="E169" s="8" t="n">
        <f aca="false">site_amzn_2025</f>
        <v>1.38971599402093</v>
      </c>
      <c r="F169" s="8" t="n">
        <f aca="false">site_amzn_2026</f>
        <v>0.527</v>
      </c>
      <c r="G169" s="8" t="n">
        <f aca="false">site_amzn_2027</f>
        <v>0.364</v>
      </c>
      <c r="H169" s="8" t="n">
        <f aca="false">site_amzn_2028</f>
        <v>1.744</v>
      </c>
      <c r="I169" s="8" t="n">
        <f aca="false">site_amzn_2029</f>
        <v>0.0620000000000003</v>
      </c>
    </row>
    <row r="170" customFormat="false" ht="17.15" hidden="false" customHeight="false" outlineLevel="0" collapsed="false">
      <c r="A170" s="0" t="s">
        <v>1410</v>
      </c>
      <c r="B170" s="0" t="s">
        <v>1231</v>
      </c>
      <c r="D170" s="8" t="str">
        <f aca="false">IF(ISNUMBER(ai2_meta_2024),ai2_meta_2024/ai_sh*ai_sh_hi,"")</f>
        <v/>
      </c>
      <c r="E170" s="8" t="str">
        <f aca="false">IF(ISNUMBER(ai2_meta_2025),ai2_meta_2025/ai_sh*ai_sh_hi,"")</f>
        <v/>
      </c>
      <c r="F170" s="8" t="n">
        <f aca="false">IF(ISNUMBER(ai2_meta_2026),ai2_meta_2026/ai_sh*ai_sh_hi,"")</f>
        <v>133</v>
      </c>
      <c r="G170" s="8" t="n">
        <f aca="false">IF(ISNUMBER(ai2_meta_2027),ai2_meta_2027/ai_sh*ai_sh_hi,"")</f>
        <v>146.3</v>
      </c>
      <c r="H170" s="8" t="n">
        <f aca="false">IF(ISNUMBER(ai2_meta_2028),ai2_meta_2028/ai_sh*ai_sh_hi,"")</f>
        <v>160.93</v>
      </c>
      <c r="I170" s="8" t="n">
        <f aca="false">IF(ISNUMBER(ai2_meta_2029),ai2_meta_2029/ai_sh*ai_sh_hi,"")</f>
        <v>177.023</v>
      </c>
    </row>
    <row r="171" customFormat="false" ht="17.15" hidden="false" customHeight="false" outlineLevel="0" collapsed="false">
      <c r="A171" s="0" t="s">
        <v>1411</v>
      </c>
      <c r="B171" s="0" t="s">
        <v>1233</v>
      </c>
      <c r="D171" s="8" t="n">
        <f aca="false">IF(ISNUMBER(D170),(pit_meta_2024/(pit_meta_2024+pfac_meta_2024)*D170+pfac_meta_2024/(pit_meta_2024+pfac_meta_2024)*IF(AND(ISNUMBER(""),ISNUMBER("")),wb1*""+wb2*"",IF(ISNUMBER(""),"",D170)))/(pit_meta_2024+pfac_meta_2024),site_meta_2024)</f>
        <v>0</v>
      </c>
      <c r="E171" s="8" t="n">
        <f aca="false">IF(ISNUMBER(E170),(pit_meta_2025/(pit_meta_2025+pfac_meta_2025)*E170+pfac_meta_2025/(pit_meta_2025+pfac_meta_2025)*IF(AND(ISNUMBER(D170),ISNUMBER("")),wb1*D170+wb2*"",IF(ISNUMBER(D170),D170,E170)))/(pit_meta_2025+pfac_meta_2025),site_meta_2025)</f>
        <v>1.50812</v>
      </c>
      <c r="F171" s="8" t="n">
        <f aca="false">IF(ISNUMBER(F170),(pit_meta_2026/(pit_meta_2026+pfac_meta_2026)*F170+pfac_meta_2026/(pit_meta_2026+pfac_meta_2026)*IF(AND(ISNUMBER(E170),ISNUMBER(D170)),wb1*E170+wb2*D170,IF(ISNUMBER(E170),E170,F170)))/(pit_meta_2026+pfac_meta_2026),site_meta_2026)</f>
        <v>2.93713739345361</v>
      </c>
      <c r="G171" s="8" t="n">
        <f aca="false">IF(ISNUMBER(G170),(pit_meta_2027/(pit_meta_2027+pfac_meta_2027)*G170+pfac_meta_2027/(pit_meta_2027+pfac_meta_2027)*IF(AND(ISNUMBER(F170),ISNUMBER(E170)),wb1*F170+wb2*E170,IF(ISNUMBER(F170),F170,G170)))/(pit_meta_2027+pfac_meta_2027),site_meta_2027)</f>
        <v>2.93327798200584</v>
      </c>
      <c r="H171" s="8" t="n">
        <f aca="false">IF(ISNUMBER(H170),(pit_meta_2028/(pit_meta_2028+pfac_meta_2028)*H170+pfac_meta_2028/(pit_meta_2028+pfac_meta_2028)*IF(AND(ISNUMBER(G170),ISNUMBER(F170)),wb1*G170+wb2*F170,IF(ISNUMBER(G170),G170,H170)))/(pit_meta_2028+pfac_meta_2028),site_meta_2028)</f>
        <v>3.05834285323664</v>
      </c>
      <c r="I171" s="8" t="n">
        <f aca="false">IF(ISNUMBER(I170),(pit_meta_2029/(pit_meta_2029+pfac_meta_2029)*I170+pfac_meta_2029/(pit_meta_2029+pfac_meta_2029)*IF(AND(ISNUMBER(H170),ISNUMBER(G170)),wb1*H170+wb2*G170,IF(ISNUMBER(H170),H170,I170)))/(pit_meta_2029+pfac_meta_2029),site_meta_2029)</f>
        <v>3.36607157557406</v>
      </c>
    </row>
    <row r="172" customFormat="false" ht="17.15" hidden="false" customHeight="false" outlineLevel="0" collapsed="false">
      <c r="A172" s="0" t="s">
        <v>1412</v>
      </c>
      <c r="B172" s="0" t="s">
        <v>1235</v>
      </c>
      <c r="E172" s="8" t="n">
        <f aca="false">(1-lag)*E171+lag*D171-inv_k*(E171-D171)</f>
        <v>0.791763</v>
      </c>
      <c r="F172" s="8" t="n">
        <f aca="false">(1-lag)*F171+lag*E171-inv_k*(F171-E171)</f>
        <v>2.25835413156314</v>
      </c>
      <c r="G172" s="8" t="n">
        <f aca="false">(1-lag)*G171+lag*F171-inv_k*(G171-F171)</f>
        <v>2.93511120244353</v>
      </c>
      <c r="H172" s="8" t="n">
        <f aca="false">(1-lag)*H171+lag*G171-inv_k*(H171-G171)</f>
        <v>2.99893703940201</v>
      </c>
      <c r="I172" s="8" t="n">
        <f aca="false">(1-lag)*I171+lag*H171-inv_k*(I171-H171)</f>
        <v>3.21990043246379</v>
      </c>
    </row>
    <row r="173" customFormat="false" ht="17.15" hidden="false" customHeight="false" outlineLevel="0" collapsed="false">
      <c r="A173" s="0" t="s">
        <v>1413</v>
      </c>
      <c r="B173" s="0" t="s">
        <v>1237</v>
      </c>
      <c r="D173" s="8" t="n">
        <f aca="false">gcap_meta_2024*ai_sh_hi</f>
        <v>37.26375</v>
      </c>
      <c r="E173" s="8" t="n">
        <f aca="false">gcap_meta_2025*ai_sh_hi</f>
        <v>68.60425</v>
      </c>
      <c r="F173" s="8" t="n">
        <f aca="false">gcap_meta_2026*ai_sh_hi</f>
        <v>133</v>
      </c>
      <c r="G173" s="8" t="n">
        <f aca="false">gcap_meta_2027*ai_sh_hi</f>
        <v>195.4205841</v>
      </c>
      <c r="H173" s="8" t="n">
        <f aca="false">gcap_meta_2028*ai_sh_hi</f>
        <v>208.31909985</v>
      </c>
      <c r="I173" s="8" t="n">
        <f aca="false">gcap_meta_2029*ai_sh_hi</f>
        <v>185.05986985</v>
      </c>
    </row>
    <row r="174" customFormat="false" ht="17.15" hidden="false" customHeight="false" outlineLevel="0" collapsed="false">
      <c r="A174" s="0" t="s">
        <v>1414</v>
      </c>
      <c r="B174" s="0" t="s">
        <v>1233</v>
      </c>
      <c r="D174" s="8" t="n">
        <f aca="false">IF(ISNUMBER(D173),(pit_meta_2024/(pit_meta_2024+pfac_meta_2024)*D173+pfac_meta_2024/(pit_meta_2024+pfac_meta_2024)*IF(AND(ISNUMBER(""),ISNUMBER("")),wb1*""+wb2*"",IF(ISNUMBER(""),"",D173)))/(pit_meta_2024+pfac_meta_2024),site_meta_2024)</f>
        <v>0.913669470005028</v>
      </c>
      <c r="E174" s="8" t="n">
        <f aca="false">IF(ISNUMBER(E173),(pit_meta_2025/(pit_meta_2025+pfac_meta_2025)*E173+pfac_meta_2025/(pit_meta_2025+pfac_meta_2025)*IF(AND(ISNUMBER(D173),ISNUMBER("")),wb1*D173+wb2*"",IF(ISNUMBER(D173),D173,E173)))/(pit_meta_2025+pfac_meta_2025),site_meta_2025)</f>
        <v>1.48696932593172</v>
      </c>
      <c r="F174" s="8" t="n">
        <f aca="false">IF(ISNUMBER(F173),(pit_meta_2026/(pit_meta_2026+pfac_meta_2026)*F173+pfac_meta_2026/(pit_meta_2026+pfac_meta_2026)*IF(AND(ISNUMBER(E173),ISNUMBER(D173)),wb1*E173+wb2*D173,IF(ISNUMBER(E173),E173,F173)))/(pit_meta_2026+pfac_meta_2026),site_meta_2026)</f>
        <v>2.46008292813035</v>
      </c>
      <c r="G174" s="8" t="n">
        <f aca="false">IF(ISNUMBER(G173),(pit_meta_2027/(pit_meta_2027+pfac_meta_2027)*G173+pfac_meta_2027/(pit_meta_2027+pfac_meta_2027)*IF(AND(ISNUMBER(F173),ISNUMBER(E173)),wb1*F173+wb2*E173,IF(ISNUMBER(F173),F173,G173)))/(pit_meta_2027+pfac_meta_2027),site_meta_2027)</f>
        <v>3.52512745909819</v>
      </c>
      <c r="H174" s="8" t="n">
        <f aca="false">IF(ISNUMBER(H173),(pit_meta_2028/(pit_meta_2028+pfac_meta_2028)*H173+pfac_meta_2028/(pit_meta_2028+pfac_meta_2028)*IF(AND(ISNUMBER(G173),ISNUMBER(F173)),wb1*G173+wb2*F173,IF(ISNUMBER(G173),G173,H173)))/(pit_meta_2028+pfac_meta_2028),site_meta_2028)</f>
        <v>3.88139607650616</v>
      </c>
      <c r="I174" s="8" t="n">
        <f aca="false">IF(ISNUMBER(I173),(pit_meta_2029/(pit_meta_2029+pfac_meta_2029)*I173+pfac_meta_2029/(pit_meta_2029+pfac_meta_2029)*IF(AND(ISNUMBER(H173),ISNUMBER(G173)),wb1*H173+wb2*G173,IF(ISNUMBER(H173),H173,I173)))/(pit_meta_2029+pfac_meta_2029),site_meta_2029)</f>
        <v>3.71229090220112</v>
      </c>
    </row>
    <row r="175" customFormat="false" ht="17.15" hidden="false" customHeight="false" outlineLevel="0" collapsed="false">
      <c r="A175" s="0" t="s">
        <v>1415</v>
      </c>
      <c r="B175" s="0" t="s">
        <v>1235</v>
      </c>
      <c r="E175" s="8" t="n">
        <f aca="false">(1-lag)*E174+lag*D174-inv_k*(E174-D174)</f>
        <v>1.21465189436654</v>
      </c>
      <c r="F175" s="8" t="n">
        <f aca="false">(1-lag)*F174+lag*E174-inv_k*(F174-E174)</f>
        <v>1.997853967086</v>
      </c>
      <c r="G175" s="8" t="n">
        <f aca="false">(1-lag)*G174+lag*F174-inv_k*(G174-F174)</f>
        <v>3.01923130688847</v>
      </c>
      <c r="H175" s="8" t="n">
        <f aca="false">(1-lag)*H174+lag*G174-inv_k*(H174-G174)</f>
        <v>3.71216848323737</v>
      </c>
      <c r="I175" s="8" t="n">
        <f aca="false">(1-lag)*I174+lag*H174-inv_k*(I174-H174)</f>
        <v>3.79261585999601</v>
      </c>
    </row>
    <row r="176" customFormat="false" ht="17.15" hidden="false" customHeight="false" outlineLevel="0" collapsed="false">
      <c r="A176" s="0" t="s">
        <v>1416</v>
      </c>
      <c r="B176" s="0" t="s">
        <v>1241</v>
      </c>
      <c r="D176" s="8" t="n">
        <f aca="false">site_meta_2024</f>
        <v>0</v>
      </c>
      <c r="E176" s="8" t="n">
        <f aca="false">site_meta_2025</f>
        <v>1.50812</v>
      </c>
      <c r="F176" s="8" t="n">
        <f aca="false">site_meta_2026</f>
        <v>0.676</v>
      </c>
      <c r="G176" s="8" t="n">
        <f aca="false">site_meta_2027</f>
        <v>0.615</v>
      </c>
      <c r="H176" s="8" t="n">
        <f aca="false">site_meta_2028</f>
        <v>2.99433333333333</v>
      </c>
      <c r="I176" s="8" t="n">
        <f aca="false">site_meta_2029</f>
        <v>0.968</v>
      </c>
    </row>
    <row r="177" customFormat="false" ht="17.15" hidden="false" customHeight="false" outlineLevel="0" collapsed="false">
      <c r="A177" s="0" t="s">
        <v>1417</v>
      </c>
      <c r="B177" s="0" t="s">
        <v>1243</v>
      </c>
      <c r="D177" s="8" t="str">
        <f aca="false">IF(ISNUMBER(ai2_orcl_2024),ai2_orcl_2024/ai_sh*ai_sh_hi,"")</f>
        <v/>
      </c>
      <c r="E177" s="8" t="n">
        <f aca="false">IF(ISNUMBER(ai2_orcl_2025),ai2_orcl_2025/ai_sh*ai_sh_hi,"")</f>
        <v>39.2441833333334</v>
      </c>
      <c r="F177" s="8" t="n">
        <f aca="false">IF(ISNUMBER(ai2_orcl_2026),ai2_orcl_2026/ai_sh*ai_sh_hi,"")</f>
        <v>73.2936875</v>
      </c>
      <c r="G177" s="8" t="n">
        <f aca="false">IF(ISNUMBER(ai2_orcl_2027),ai2_orcl_2027/ai_sh*ai_sh_hi,"")</f>
        <v>92.5643583333334</v>
      </c>
      <c r="H177" s="8" t="n">
        <f aca="false">IF(ISNUMBER(ai2_orcl_2028),ai2_orcl_2028/ai_sh*ai_sh_hi,"")</f>
        <v>86.9840583333334</v>
      </c>
      <c r="I177" s="8" t="n">
        <f aca="false">IF(ISNUMBER(ai2_orcl_2029),ai2_orcl_2029/ai_sh*ai_sh_hi,"")</f>
        <v>85.3075933333334</v>
      </c>
    </row>
    <row r="178" customFormat="false" ht="17.15" hidden="false" customHeight="false" outlineLevel="0" collapsed="false">
      <c r="A178" s="0" t="s">
        <v>1418</v>
      </c>
      <c r="B178" s="0" t="s">
        <v>1245</v>
      </c>
      <c r="D178" s="8" t="n">
        <f aca="false">IF(ISNUMBER(D177),(pit_orcl_2024/(pit_orcl_2024+pfac_orcl_2024)*D177+pfac_orcl_2024/(pit_orcl_2024+pfac_orcl_2024)*IF(AND(ISNUMBER(""),ISNUMBER("")),wb1*""+wb2*"",IF(ISNUMBER(""),"",D177)))/(pit_orcl_2024+pfac_orcl_2024),site_orcl_2024)</f>
        <v>0</v>
      </c>
      <c r="E178" s="8" t="n">
        <f aca="false">IF(ISNUMBER(E177),(pit_orcl_2025/(pit_orcl_2025+pfac_orcl_2025)*E177+pfac_orcl_2025/(pit_orcl_2025+pfac_orcl_2025)*IF(AND(ISNUMBER(D177),ISNUMBER("")),wb1*D177+wb2*"",IF(ISNUMBER(D177),D177,E177)))/(pit_orcl_2025+pfac_orcl_2025),site_orcl_2025)</f>
        <v>0.989985408629596</v>
      </c>
      <c r="F178" s="8" t="n">
        <f aca="false">IF(ISNUMBER(F177),(pit_orcl_2026/(pit_orcl_2026+pfac_orcl_2026)*F177+pfac_orcl_2026/(pit_orcl_2026+pfac_orcl_2026)*IF(AND(ISNUMBER(E177),ISNUMBER(D177)),wb1*E177+wb2*D177,IF(ISNUMBER(E177),E177,F177)))/(pit_orcl_2026+pfac_orcl_2026),site_orcl_2026)</f>
        <v>1.415722746384</v>
      </c>
      <c r="G178" s="8" t="n">
        <f aca="false">IF(ISNUMBER(G177),(pit_orcl_2027/(pit_orcl_2027+pfac_orcl_2027)*G177+pfac_orcl_2027/(pit_orcl_2027+pfac_orcl_2027)*IF(AND(ISNUMBER(F177),ISNUMBER(E177)),wb1*F177+wb2*E177,IF(ISNUMBER(F177),F177,G177)))/(pit_orcl_2027+pfac_orcl_2027),site_orcl_2027)</f>
        <v>1.71331850602376</v>
      </c>
      <c r="H178" s="8" t="n">
        <f aca="false">IF(ISNUMBER(H177),(pit_orcl_2028/(pit_orcl_2028+pfac_orcl_2028)*H177+pfac_orcl_2028/(pit_orcl_2028+pfac_orcl_2028)*IF(AND(ISNUMBER(G177),ISNUMBER(F177)),wb1*G177+wb2*F177,IF(ISNUMBER(G177),G177,H177)))/(pit_orcl_2028+pfac_orcl_2028),site_orcl_2028)</f>
        <v>1.68792411972696</v>
      </c>
      <c r="I178" s="8" t="n">
        <f aca="false">IF(ISNUMBER(I177),(pit_orcl_2029/(pit_orcl_2029+pfac_orcl_2029)*I177+pfac_orcl_2029/(pit_orcl_2029+pfac_orcl_2029)*IF(AND(ISNUMBER(H177),ISNUMBER(G177)),wb1*H177+wb2*G177,IF(ISNUMBER(H177),H177,I177)))/(pit_orcl_2029+pfac_orcl_2029),site_orcl_2029)</f>
        <v>1.6958880390198</v>
      </c>
    </row>
    <row r="179" customFormat="false" ht="17.15" hidden="false" customHeight="false" outlineLevel="0" collapsed="false">
      <c r="A179" s="0" t="s">
        <v>1419</v>
      </c>
      <c r="B179" s="0" t="s">
        <v>1247</v>
      </c>
      <c r="E179" s="8" t="n">
        <f aca="false">(1-lag)*E178+lag*D178-inv_k*(E178-D178)</f>
        <v>0.519742339530538</v>
      </c>
      <c r="F179" s="8" t="n">
        <f aca="false">(1-lag)*F178+lag*E178-inv_k*(F178-E178)</f>
        <v>1.21349751095066</v>
      </c>
      <c r="G179" s="8" t="n">
        <f aca="false">(1-lag)*G178+lag*F178-inv_k*(G178-F178)</f>
        <v>1.57196052019488</v>
      </c>
      <c r="H179" s="8" t="n">
        <f aca="false">(1-lag)*H178+lag*G178-inv_k*(H178-G178)</f>
        <v>1.69998645321794</v>
      </c>
      <c r="I179" s="8" t="n">
        <f aca="false">(1-lag)*I178+lag*H178-inv_k*(I178-H178)</f>
        <v>1.6921051773557</v>
      </c>
    </row>
    <row r="180" customFormat="false" ht="17.15" hidden="false" customHeight="false" outlineLevel="0" collapsed="false">
      <c r="A180" s="0" t="s">
        <v>1420</v>
      </c>
      <c r="B180" s="0" t="s">
        <v>1249</v>
      </c>
      <c r="D180" s="8" t="str">
        <f aca="false">""</f>
        <v/>
      </c>
      <c r="E180" s="8" t="n">
        <f aca="false">(5/12*cap2_orcl_2025+7/12*gcap_orcl_2026)*ai_sh_hi</f>
        <v>39.2441833333333</v>
      </c>
      <c r="F180" s="8" t="n">
        <f aca="false">(5/12*gcap_orcl_2026+7/12*gcap_orcl_2027)*ai_sh_hi</f>
        <v>73.2936875</v>
      </c>
      <c r="G180" s="8" t="n">
        <f aca="false">(5/12*gcap_orcl_2027+7/12*gcap_orcl_2028)*ai_sh_hi</f>
        <v>84.493212325</v>
      </c>
      <c r="H180" s="8" t="n">
        <f aca="false">(5/12*gcap_orcl_2028+7/12*gcap_orcl_2029)*ai_sh_hi</f>
        <v>55.2604368708333</v>
      </c>
      <c r="I180" s="8" t="n">
        <f aca="false">(5/12*gcap_orcl_2029+7/12*gcap_orcl_2030)*ai_sh_hi</f>
        <v>26.133666375</v>
      </c>
    </row>
    <row r="181" customFormat="false" ht="17.15" hidden="false" customHeight="false" outlineLevel="0" collapsed="false">
      <c r="A181" s="0" t="s">
        <v>1421</v>
      </c>
      <c r="B181" s="0" t="s">
        <v>1245</v>
      </c>
      <c r="D181" s="8" t="n">
        <f aca="false">IF(ISNUMBER(D180),(pit_orcl_2024/(pit_orcl_2024+pfac_orcl_2024)*D180+pfac_orcl_2024/(pit_orcl_2024+pfac_orcl_2024)*IF(AND(ISNUMBER(""),ISNUMBER("")),wb1*""+wb2*"",IF(ISNUMBER(""),"",D180)))/(pit_orcl_2024+pfac_orcl_2024),site_orcl_2024)</f>
        <v>0</v>
      </c>
      <c r="E181" s="8" t="n">
        <f aca="false">IF(ISNUMBER(E180),(pit_orcl_2025/(pit_orcl_2025+pfac_orcl_2025)*E180+pfac_orcl_2025/(pit_orcl_2025+pfac_orcl_2025)*IF(AND(ISNUMBER(D180),ISNUMBER("")),wb1*D180+wb2*"",IF(ISNUMBER(D180),D180,E180)))/(pit_orcl_2025+pfac_orcl_2025),site_orcl_2025)</f>
        <v>0.989985408629595</v>
      </c>
      <c r="F181" s="8" t="n">
        <f aca="false">IF(ISNUMBER(F180),(pit_orcl_2026/(pit_orcl_2026+pfac_orcl_2026)*F180+pfac_orcl_2026/(pit_orcl_2026+pfac_orcl_2026)*IF(AND(ISNUMBER(E180),ISNUMBER(D180)),wb1*E180+wb2*D180,IF(ISNUMBER(E180),E180,F180)))/(pit_orcl_2026+pfac_orcl_2026),site_orcl_2026)</f>
        <v>1.415722746384</v>
      </c>
      <c r="G181" s="8" t="n">
        <f aca="false">IF(ISNUMBER(G180),(pit_orcl_2027/(pit_orcl_2027+pfac_orcl_2027)*G180+pfac_orcl_2027/(pit_orcl_2027+pfac_orcl_2027)*IF(AND(ISNUMBER(F180),ISNUMBER(E180)),wb1*F180+wb2*E180,IF(ISNUMBER(F180),F180,G180)))/(pit_orcl_2027+pfac_orcl_2027),site_orcl_2027)</f>
        <v>1.58901563485212</v>
      </c>
      <c r="H181" s="8" t="n">
        <f aca="false">IF(ISNUMBER(H180),(pit_orcl_2028/(pit_orcl_2028+pfac_orcl_2028)*H180+pfac_orcl_2028/(pit_orcl_2028+pfac_orcl_2028)*IF(AND(ISNUMBER(G180),ISNUMBER(F180)),wb1*G180+wb2*F180,IF(ISNUMBER(G180),G180,H180)))/(pit_orcl_2028+pfac_orcl_2028),site_orcl_2028)</f>
        <v>1.19502683012014</v>
      </c>
      <c r="I181" s="8" t="n">
        <f aca="false">IF(ISNUMBER(I180),(pit_orcl_2029/(pit_orcl_2029+pfac_orcl_2029)*I180+pfac_orcl_2029/(pit_orcl_2029+pfac_orcl_2029)*IF(AND(ISNUMBER(H180),ISNUMBER(G180)),wb1*H180+wb2*G180,IF(ISNUMBER(H180),H180,I180)))/(pit_orcl_2029+pfac_orcl_2029),site_orcl_2029)</f>
        <v>0.718054199667534</v>
      </c>
    </row>
    <row r="182" customFormat="false" ht="17.15" hidden="false" customHeight="false" outlineLevel="0" collapsed="false">
      <c r="A182" s="0" t="s">
        <v>1422</v>
      </c>
      <c r="B182" s="0" t="s">
        <v>1247</v>
      </c>
      <c r="E182" s="8" t="n">
        <f aca="false">(1-lag)*E181+lag*D181-inv_k*(E181-D181)</f>
        <v>0.519742339530537</v>
      </c>
      <c r="F182" s="8" t="n">
        <f aca="false">(1-lag)*F181+lag*E181-inv_k*(F181-E181)</f>
        <v>1.21349751095066</v>
      </c>
      <c r="G182" s="8" t="n">
        <f aca="false">(1-lag)*G181+lag*F181-inv_k*(G181-F181)</f>
        <v>1.50670151282976</v>
      </c>
      <c r="H182" s="8" t="n">
        <f aca="false">(1-lag)*H181+lag*G181-inv_k*(H181-G181)</f>
        <v>1.38217151236783</v>
      </c>
      <c r="I182" s="8" t="n">
        <f aca="false">(1-lag)*I181+lag*H181-inv_k*(I181-H181)</f>
        <v>0.944616199132521</v>
      </c>
    </row>
    <row r="183" customFormat="false" ht="17.15" hidden="false" customHeight="false" outlineLevel="0" collapsed="false">
      <c r="A183" s="0" t="s">
        <v>1423</v>
      </c>
      <c r="B183" s="0" t="s">
        <v>1253</v>
      </c>
      <c r="D183" s="8" t="n">
        <f aca="false">site_orcl_2024</f>
        <v>0</v>
      </c>
      <c r="E183" s="8" t="n">
        <f aca="false">site_orcl_2025</f>
        <v>0.816405</v>
      </c>
      <c r="F183" s="8" t="n">
        <f aca="false">site_orcl_2026</f>
        <v>1.54613</v>
      </c>
      <c r="G183" s="8" t="n">
        <f aca="false">site_orcl_2027</f>
        <v>0.944166666666667</v>
      </c>
      <c r="H183" s="8" t="n">
        <f aca="false">site_orcl_2028</f>
        <v>4.91166666666667</v>
      </c>
      <c r="I183" s="8" t="n">
        <f aca="false">site_orcl_2029</f>
        <v>0</v>
      </c>
    </row>
    <row r="184" customFormat="false" ht="17.15" hidden="false" customHeight="false" outlineLevel="0" collapsed="false">
      <c r="A184" s="0" t="s">
        <v>1424</v>
      </c>
      <c r="B184" s="0" t="s">
        <v>1255</v>
      </c>
      <c r="D184" s="8" t="str">
        <f aca="false">IF(ISNUMBER(ai2_crwv_2024),ai2_crwv_2024/ai_sh*ai_sh_hi,"")</f>
        <v/>
      </c>
      <c r="E184" s="8" t="str">
        <f aca="false">IF(ISNUMBER(ai2_crwv_2025),ai2_crwv_2025/ai_sh*ai_sh_hi,"")</f>
        <v/>
      </c>
      <c r="F184" s="8" t="n">
        <f aca="false">IF(ISNUMBER(ai2_crwv_2026),ai2_crwv_2026/ai_sh*ai_sh_hi,"")</f>
        <v>35.15</v>
      </c>
      <c r="G184" s="8" t="n">
        <f aca="false">IF(ISNUMBER(ai2_crwv_2027),ai2_crwv_2027/ai_sh*ai_sh_hi,"")</f>
        <v>44.1522</v>
      </c>
      <c r="H184" s="8" t="n">
        <f aca="false">IF(ISNUMBER(ai2_crwv_2028),ai2_crwv_2028/ai_sh*ai_sh_hi,"")</f>
        <v>47.62255</v>
      </c>
      <c r="I184" s="8" t="n">
        <f aca="false">IF(ISNUMBER(ai2_crwv_2029),ai2_crwv_2029/ai_sh*ai_sh_hi,"")</f>
        <v>52.384805</v>
      </c>
    </row>
    <row r="185" customFormat="false" ht="17.15" hidden="false" customHeight="false" outlineLevel="0" collapsed="false">
      <c r="A185" s="0" t="s">
        <v>1425</v>
      </c>
      <c r="B185" s="0" t="s">
        <v>1257</v>
      </c>
      <c r="D185" s="8" t="n">
        <f aca="false">IF(ISNUMBER(D184),(pit_crwv_2024/(pit_crwv_2024+pfac_crwv_2024)*D184+pfac_crwv_2024/(pit_crwv_2024+pfac_crwv_2024)*IF(AND(ISNUMBER(""),ISNUMBER("")),wb1*""+wb2*"",IF(ISNUMBER(""),"",D184)))/(pit_crwv_2024+pfac_crwv_2024),site_crwv_2024)</f>
        <v>0.29</v>
      </c>
      <c r="E185" s="8" t="n">
        <f aca="false">IF(ISNUMBER(E184),(pit_crwv_2025/(pit_crwv_2025+pfac_crwv_2025)*E184+pfac_crwv_2025/(pit_crwv_2025+pfac_crwv_2025)*IF(AND(ISNUMBER(D184),ISNUMBER("")),wb1*D184+wb2*"",IF(ISNUMBER(D184),D184,E184)))/(pit_crwv_2025+pfac_crwv_2025),site_crwv_2025)</f>
        <v>0.49</v>
      </c>
      <c r="F185" s="8" t="n">
        <f aca="false">IF(ISNUMBER(F184),(pit_crwv_2026/(pit_crwv_2026+pfac_crwv_2026)*F184+pfac_crwv_2026/(pit_crwv_2026+pfac_crwv_2026)*IF(AND(ISNUMBER(E184),ISNUMBER(D184)),wb1*E184+wb2*D184,IF(ISNUMBER(E184),E184,F184)))/(pit_crwv_2026+pfac_crwv_2026),site_crwv_2026)</f>
        <v>0.762737077301788</v>
      </c>
      <c r="G185" s="8" t="n">
        <f aca="false">IF(ISNUMBER(G184),(pit_crwv_2027/(pit_crwv_2027+pfac_crwv_2027)*G184+pfac_crwv_2027/(pit_crwv_2027+pfac_crwv_2027)*IF(AND(ISNUMBER(F184),ISNUMBER(E184)),wb1*F184+wb2*E184,IF(ISNUMBER(F184),F184,G184)))/(pit_crwv_2027+pfac_crwv_2027),site_crwv_2027)</f>
        <v>0.821719401515565</v>
      </c>
      <c r="H185" s="8" t="n">
        <f aca="false">IF(ISNUMBER(H184),(pit_crwv_2028/(pit_crwv_2028+pfac_crwv_2028)*H184+pfac_crwv_2028/(pit_crwv_2028+pfac_crwv_2028)*IF(AND(ISNUMBER(G184),ISNUMBER(F184)),wb1*G184+wb2*F184,IF(ISNUMBER(G184),G184,H184)))/(pit_crwv_2028+pfac_crwv_2028),site_crwv_2028)</f>
        <v>0.847223739467975</v>
      </c>
      <c r="I185" s="8" t="n">
        <f aca="false">IF(ISNUMBER(I184),(pit_crwv_2029/(pit_crwv_2029+pfac_crwv_2029)*I184+pfac_crwv_2029/(pit_crwv_2029+pfac_crwv_2029)*IF(AND(ISNUMBER(H184),ISNUMBER(G184)),wb1*H184+wb2*G184,IF(ISNUMBER(H184),H184,I184)))/(pit_crwv_2029+pfac_crwv_2029),site_crwv_2029)</f>
        <v>0.941813351926486</v>
      </c>
    </row>
    <row r="186" customFormat="false" ht="17.15" hidden="false" customHeight="false" outlineLevel="0" collapsed="false">
      <c r="A186" s="0" t="s">
        <v>1426</v>
      </c>
      <c r="B186" s="0" t="s">
        <v>1259</v>
      </c>
      <c r="E186" s="8" t="n">
        <f aca="false">(1-lag)*E185+lag*D185-inv_k*(E185-D185)</f>
        <v>0.395</v>
      </c>
      <c r="F186" s="8" t="n">
        <f aca="false">(1-lag)*F185+lag*E185-inv_k*(F185-E185)</f>
        <v>0.633186965583439</v>
      </c>
      <c r="G186" s="8" t="n">
        <f aca="false">(1-lag)*G185+lag*F185-inv_k*(G185-F185)</f>
        <v>0.793702797514021</v>
      </c>
      <c r="H186" s="8" t="n">
        <f aca="false">(1-lag)*H185+lag*G185-inv_k*(H185-G185)</f>
        <v>0.83510917894058</v>
      </c>
      <c r="I186" s="8" t="n">
        <f aca="false">(1-lag)*I185+lag*H185-inv_k*(I185-H185)</f>
        <v>0.896883286008693</v>
      </c>
    </row>
    <row r="187" customFormat="false" ht="17.15" hidden="false" customHeight="false" outlineLevel="0" collapsed="false">
      <c r="A187" s="0" t="s">
        <v>1427</v>
      </c>
      <c r="B187" s="0" t="s">
        <v>1261</v>
      </c>
      <c r="D187" s="8" t="str">
        <f aca="false">""</f>
        <v/>
      </c>
      <c r="E187" s="8" t="str">
        <f aca="false">""</f>
        <v/>
      </c>
      <c r="F187" s="8" t="n">
        <f aca="false">gcap_crwv_2026*ai_sh_hi</f>
        <v>31.3291</v>
      </c>
      <c r="G187" s="8" t="n">
        <f aca="false">gcap_crwv_2027*ai_sh_hi</f>
        <v>37.39488895</v>
      </c>
      <c r="H187" s="8" t="n">
        <f aca="false">gcap_crwv_2028*ai_sh_hi</f>
        <v>30.8865843</v>
      </c>
      <c r="I187" s="8" t="n">
        <f aca="false">gcap_crwv_2029*ai_sh_hi</f>
        <v>31.0651197</v>
      </c>
    </row>
    <row r="188" customFormat="false" ht="17.15" hidden="false" customHeight="false" outlineLevel="0" collapsed="false">
      <c r="A188" s="0" t="s">
        <v>1428</v>
      </c>
      <c r="B188" s="0" t="s">
        <v>1257</v>
      </c>
      <c r="D188" s="8" t="n">
        <f aca="false">IF(ISNUMBER(D187),(pit_crwv_2024/(pit_crwv_2024+pfac_crwv_2024)*D187+pfac_crwv_2024/(pit_crwv_2024+pfac_crwv_2024)*IF(AND(ISNUMBER(""),ISNUMBER("")),wb1*""+wb2*"",IF(ISNUMBER(""),"",D187)))/(pit_crwv_2024+pfac_crwv_2024),site_crwv_2024)</f>
        <v>0.29</v>
      </c>
      <c r="E188" s="8" t="n">
        <f aca="false">IF(ISNUMBER(E187),(pit_crwv_2025/(pit_crwv_2025+pfac_crwv_2025)*E187+pfac_crwv_2025/(pit_crwv_2025+pfac_crwv_2025)*IF(AND(ISNUMBER(D187),ISNUMBER("")),wb1*D187+wb2*"",IF(ISNUMBER(D187),D187,E187)))/(pit_crwv_2025+pfac_crwv_2025),site_crwv_2025)</f>
        <v>0.49</v>
      </c>
      <c r="F188" s="8" t="n">
        <f aca="false">IF(ISNUMBER(F187),(pit_crwv_2026/(pit_crwv_2026+pfac_crwv_2026)*F187+pfac_crwv_2026/(pit_crwv_2026+pfac_crwv_2026)*IF(AND(ISNUMBER(E187),ISNUMBER(D187)),wb1*E187+wb2*D187,IF(ISNUMBER(E187),E187,F187)))/(pit_crwv_2026+pfac_crwv_2026),site_crwv_2026)</f>
        <v>0.679825495547523</v>
      </c>
      <c r="G188" s="8" t="n">
        <f aca="false">IF(ISNUMBER(G187),(pit_crwv_2027/(pit_crwv_2027+pfac_crwv_2027)*G187+pfac_crwv_2027/(pit_crwv_2027+pfac_crwv_2027)*IF(AND(ISNUMBER(F187),ISNUMBER(E187)),wb1*F187+wb2*E187,IF(ISNUMBER(F187),F187,G187)))/(pit_crwv_2027+pfac_crwv_2027),site_crwv_2027)</f>
        <v>0.703548121535553</v>
      </c>
      <c r="H188" s="8" t="n">
        <f aca="false">IF(ISNUMBER(H187),(pit_crwv_2028/(pit_crwv_2028+pfac_crwv_2028)*H187+pfac_crwv_2028/(pit_crwv_2028+pfac_crwv_2028)*IF(AND(ISNUMBER(G187),ISNUMBER(F187)),wb1*G187+wb2*F187,IF(ISNUMBER(G187),G187,H187)))/(pit_crwv_2028+pfac_crwv_2028),site_crwv_2028)</f>
        <v>0.587045191596774</v>
      </c>
      <c r="I188" s="8" t="n">
        <f aca="false">IF(ISNUMBER(I187),(pit_crwv_2029/(pit_crwv_2029+pfac_crwv_2029)*I187+pfac_crwv_2029/(pit_crwv_2029+pfac_crwv_2029)*IF(AND(ISNUMBER(H187),ISNUMBER(G187)),wb1*H187+wb2*G187,IF(ISNUMBER(H187),H187,I187)))/(pit_crwv_2029+pfac_crwv_2029),site_crwv_2029)</f>
        <v>0.58861431192745</v>
      </c>
    </row>
    <row r="189" customFormat="false" ht="17.15" hidden="false" customHeight="false" outlineLevel="0" collapsed="false">
      <c r="A189" s="0" t="s">
        <v>1429</v>
      </c>
      <c r="B189" s="0" t="s">
        <v>1259</v>
      </c>
      <c r="E189" s="8" t="n">
        <f aca="false">(1-lag)*E188+lag*D188-inv_k*(E188-D188)</f>
        <v>0.395</v>
      </c>
      <c r="F189" s="8" t="n">
        <f aca="false">(1-lag)*F188+lag*E188-inv_k*(F188-E188)</f>
        <v>0.58965838516245</v>
      </c>
      <c r="G189" s="8" t="n">
        <f aca="false">(1-lag)*G188+lag*F188-inv_k*(G188-F188)</f>
        <v>0.692279874191239</v>
      </c>
      <c r="H189" s="8" t="n">
        <f aca="false">(1-lag)*H188+lag*G188-inv_k*(H188-G188)</f>
        <v>0.642384083317694</v>
      </c>
      <c r="I189" s="8" t="n">
        <f aca="false">(1-lag)*I188+lag*H188-inv_k*(I188-H188)</f>
        <v>0.587868979770378</v>
      </c>
    </row>
    <row r="190" customFormat="false" ht="17.15" hidden="false" customHeight="false" outlineLevel="0" collapsed="false">
      <c r="A190" s="0" t="s">
        <v>1430</v>
      </c>
      <c r="B190" s="0" t="s">
        <v>1265</v>
      </c>
      <c r="D190" s="8" t="n">
        <f aca="false">site_crwv_2024</f>
        <v>0.29</v>
      </c>
      <c r="E190" s="8" t="n">
        <f aca="false">site_crwv_2025</f>
        <v>0.49</v>
      </c>
      <c r="F190" s="8" t="n">
        <f aca="false">site_crwv_2026</f>
        <v>1</v>
      </c>
      <c r="G190" s="8" t="n">
        <f aca="false">site_crwv_2027</f>
        <v>1.5375</v>
      </c>
      <c r="H190" s="8" t="n">
        <f aca="false">site_crwv_2028</f>
        <v>1.5375</v>
      </c>
      <c r="I190" s="8" t="n">
        <f aca="false">site_crwv_2029</f>
        <v>1.5375</v>
      </c>
    </row>
    <row r="191" customFormat="false" ht="17.15" hidden="false" customHeight="false" outlineLevel="0" collapsed="false">
      <c r="A191" s="0" t="s">
        <v>1431</v>
      </c>
      <c r="B191" s="0" t="s">
        <v>1267</v>
      </c>
      <c r="D191" s="8" t="str">
        <f aca="false">IF(ISNUMBER(ai2_nbis_2024),ai2_nbis_2024/ai_sh*ai_sh_hi,"")</f>
        <v/>
      </c>
      <c r="E191" s="8" t="n">
        <f aca="false">IF(ISNUMBER(ai2_nbis_2025),ai2_nbis_2025/ai_sh*ai_sh_hi,"")</f>
        <v>3.8627</v>
      </c>
      <c r="F191" s="8" t="n">
        <f aca="false">IF(ISNUMBER(ai2_nbis_2026),ai2_nbis_2026/ai_sh*ai_sh_hi,"")</f>
        <v>21.375</v>
      </c>
      <c r="G191" s="8" t="n">
        <f aca="false">IF(ISNUMBER(ai2_nbis_2027),ai2_nbis_2027/ai_sh*ai_sh_hi,"")</f>
        <v>25.88085</v>
      </c>
      <c r="H191" s="8" t="n">
        <f aca="false">IF(ISNUMBER(ai2_nbis_2028),ai2_nbis_2028/ai_sh*ai_sh_hi,"")</f>
        <v>36.4705</v>
      </c>
      <c r="I191" s="8" t="n">
        <f aca="false">IF(ISNUMBER(ai2_nbis_2029),ai2_nbis_2029/ai_sh*ai_sh_hi,"")</f>
        <v>40.11755</v>
      </c>
    </row>
    <row r="192" customFormat="false" ht="17.15" hidden="false" customHeight="false" outlineLevel="0" collapsed="false">
      <c r="A192" s="0" t="s">
        <v>1432</v>
      </c>
      <c r="B192" s="0" t="s">
        <v>1269</v>
      </c>
      <c r="D192" s="8" t="n">
        <f aca="false">IF(ISNUMBER(D191),(pit_nbis_2024/(pit_nbis_2024+pfac_nbis_2024)*D191+pfac_nbis_2024/(pit_nbis_2024+pfac_nbis_2024)*IF(AND(ISNUMBER(""),ISNUMBER("")),wb1*""+wb2*"",IF(ISNUMBER(""),"",D191)))/(pit_nbis_2024+pfac_nbis_2024),site_nbis_2024)</f>
        <v>0</v>
      </c>
      <c r="E192" s="8" t="n">
        <f aca="false">IF(ISNUMBER(E191),(pit_nbis_2025/(pit_nbis_2025+pfac_nbis_2025)*E191+pfac_nbis_2025/(pit_nbis_2025+pfac_nbis_2025)*IF(AND(ISNUMBER(D191),ISNUMBER("")),wb1*D191+wb2*"",IF(ISNUMBER(D191),D191,E191)))/(pit_nbis_2025+pfac_nbis_2025),site_nbis_2025)</f>
        <v>0.0998653329158123</v>
      </c>
      <c r="F192" s="8" t="n">
        <f aca="false">IF(ISNUMBER(F191),(pit_nbis_2026/(pit_nbis_2026+pfac_nbis_2026)*F191+pfac_nbis_2026/(pit_nbis_2026+pfac_nbis_2026)*IF(AND(ISNUMBER(E191),ISNUMBER(D191)),wb1*E191+wb2*D191,IF(ISNUMBER(E191),E191,F191)))/(pit_nbis_2026+pfac_nbis_2026),site_nbis_2026)</f>
        <v>0.359350041854725</v>
      </c>
      <c r="G192" s="8" t="n">
        <f aca="false">IF(ISNUMBER(G191),(pit_nbis_2027/(pit_nbis_2027+pfac_nbis_2027)*G191+pfac_nbis_2027/(pit_nbis_2027+pfac_nbis_2027)*IF(AND(ISNUMBER(F191),ISNUMBER(E191)),wb1*F191+wb2*E191,IF(ISNUMBER(F191),F191,G191)))/(pit_nbis_2027+pfac_nbis_2027),site_nbis_2027)</f>
        <v>0.442788703764961</v>
      </c>
      <c r="H192" s="8" t="n">
        <f aca="false">IF(ISNUMBER(H191),(pit_nbis_2028/(pit_nbis_2028+pfac_nbis_2028)*H191+pfac_nbis_2028/(pit_nbis_2028+pfac_nbis_2028)*IF(AND(ISNUMBER(G191),ISNUMBER(F191)),wb1*G191+wb2*F191,IF(ISNUMBER(G191),G191,H191)))/(pit_nbis_2028+pfac_nbis_2028),site_nbis_2028)</f>
        <v>0.619551367579582</v>
      </c>
      <c r="I192" s="8" t="n">
        <f aca="false">IF(ISNUMBER(I191),(pit_nbis_2029/(pit_nbis_2029+pfac_nbis_2029)*I191+pfac_nbis_2029/(pit_nbis_2029+pfac_nbis_2029)*IF(AND(ISNUMBER(H191),ISNUMBER(G191)),wb1*H191+wb2*G191,IF(ISNUMBER(H191),H191,I191)))/(pit_nbis_2029+pfac_nbis_2029),site_nbis_2029)</f>
        <v>0.704032922420596</v>
      </c>
    </row>
    <row r="193" customFormat="false" ht="17.15" hidden="false" customHeight="false" outlineLevel="0" collapsed="false">
      <c r="A193" s="0" t="s">
        <v>1433</v>
      </c>
      <c r="B193" s="0" t="s">
        <v>1271</v>
      </c>
      <c r="E193" s="8" t="n">
        <f aca="false">(1-lag)*E192+lag*D192-inv_k*(E192-D192)</f>
        <v>0.0524292997808015</v>
      </c>
      <c r="F193" s="8" t="n">
        <f aca="false">(1-lag)*F192+lag*E192-inv_k*(F192-E192)</f>
        <v>0.236094805108742</v>
      </c>
      <c r="G193" s="8" t="n">
        <f aca="false">(1-lag)*G192+lag*F192-inv_k*(G192-F192)</f>
        <v>0.403155339357599</v>
      </c>
      <c r="H193" s="8" t="n">
        <f aca="false">(1-lag)*H192+lag*G192-inv_k*(H192-G192)</f>
        <v>0.535589102267637</v>
      </c>
      <c r="I193" s="8" t="n">
        <f aca="false">(1-lag)*I192+lag*H192-inv_k*(I192-H192)</f>
        <v>0.663904183871114</v>
      </c>
    </row>
    <row r="194" customFormat="false" ht="17.15" hidden="false" customHeight="false" outlineLevel="0" collapsed="false">
      <c r="A194" s="0" t="s">
        <v>1434</v>
      </c>
      <c r="B194" s="0" t="s">
        <v>1273</v>
      </c>
      <c r="D194" s="8" t="str">
        <f aca="false">""</f>
        <v/>
      </c>
      <c r="E194" s="8" t="str">
        <f aca="false">""</f>
        <v/>
      </c>
      <c r="F194" s="8" t="n">
        <f aca="false">gcap_nbis_2026*ai_sh_hi</f>
        <v>24.7438805</v>
      </c>
      <c r="G194" s="8" t="n">
        <f aca="false">gcap_nbis_2027*ai_sh_hi</f>
        <v>26.21756515</v>
      </c>
      <c r="H194" s="8" t="n">
        <f aca="false">gcap_nbis_2028*ai_sh_hi</f>
        <v>27.6912498</v>
      </c>
      <c r="I194" s="8" t="n">
        <f aca="false">gcap_nbis_2029*ai_sh_hi</f>
        <v>27.6912498</v>
      </c>
    </row>
    <row r="195" customFormat="false" ht="17.15" hidden="false" customHeight="false" outlineLevel="0" collapsed="false">
      <c r="A195" s="0" t="s">
        <v>1435</v>
      </c>
      <c r="B195" s="0" t="s">
        <v>1269</v>
      </c>
      <c r="D195" s="8" t="n">
        <f aca="false">IF(ISNUMBER(D194),(pit_nbis_2024/(pit_nbis_2024+pfac_nbis_2024)*D194+pfac_nbis_2024/(pit_nbis_2024+pfac_nbis_2024)*IF(AND(ISNUMBER(""),ISNUMBER("")),wb1*""+wb2*"",IF(ISNUMBER(""),"",D194)))/(pit_nbis_2024+pfac_nbis_2024),site_nbis_2024)</f>
        <v>0</v>
      </c>
      <c r="E195" s="8" t="n">
        <f aca="false">IF(ISNUMBER(E194),(pit_nbis_2025/(pit_nbis_2025+pfac_nbis_2025)*E194+pfac_nbis_2025/(pit_nbis_2025+pfac_nbis_2025)*IF(AND(ISNUMBER(D194),ISNUMBER("")),wb1*D194+wb2*"",IF(ISNUMBER(D194),D194,E194)))/(pit_nbis_2025+pfac_nbis_2025),site_nbis_2025)</f>
        <v>0</v>
      </c>
      <c r="F195" s="8" t="n">
        <f aca="false">IF(ISNUMBER(F194),(pit_nbis_2026/(pit_nbis_2026+pfac_nbis_2026)*F194+pfac_nbis_2026/(pit_nbis_2026+pfac_nbis_2026)*IF(AND(ISNUMBER(E194),ISNUMBER(D194)),wb1*E194+wb2*D194,IF(ISNUMBER(E194),E194,F194)))/(pit_nbis_2026+pfac_nbis_2026),site_nbis_2026)</f>
        <v>0.536929590147218</v>
      </c>
      <c r="G195" s="8" t="n">
        <f aca="false">IF(ISNUMBER(G194),(pit_nbis_2027/(pit_nbis_2027+pfac_nbis_2027)*G194+pfac_nbis_2027/(pit_nbis_2027+pfac_nbis_2027)*IF(AND(ISNUMBER(F194),ISNUMBER(E194)),wb1*F194+wb2*E194,IF(ISNUMBER(F194),F194,G194)))/(pit_nbis_2027+pfac_nbis_2027),site_nbis_2027)</f>
        <v>0.506789510013971</v>
      </c>
      <c r="H195" s="8" t="n">
        <f aca="false">IF(ISNUMBER(H194),(pit_nbis_2028/(pit_nbis_2028+pfac_nbis_2028)*H194+pfac_nbis_2028/(pit_nbis_2028+pfac_nbis_2028)*IF(AND(ISNUMBER(G194),ISNUMBER(F194)),wb1*G194+wb2*F194,IF(ISNUMBER(G194),G194,H194)))/(pit_nbis_2028+pfac_nbis_2028),site_nbis_2028)</f>
        <v>0.503172242356703</v>
      </c>
      <c r="I195" s="8" t="n">
        <f aca="false">IF(ISNUMBER(I194),(pit_nbis_2029/(pit_nbis_2029+pfac_nbis_2029)*I194+pfac_nbis_2029/(pit_nbis_2029+pfac_nbis_2029)*IF(AND(ISNUMBER(H194),ISNUMBER(G194)),wb1*H194+wb2*G194,IF(ISNUMBER(H194),H194,I194)))/(pit_nbis_2029+pfac_nbis_2029),site_nbis_2029)</f>
        <v>0.509574770544924</v>
      </c>
    </row>
    <row r="196" customFormat="false" ht="17.15" hidden="false" customHeight="false" outlineLevel="0" collapsed="false">
      <c r="A196" s="0" t="s">
        <v>1436</v>
      </c>
      <c r="B196" s="0" t="s">
        <v>1271</v>
      </c>
      <c r="E196" s="8" t="n">
        <f aca="false">(1-lag)*E195+lag*D195-inv_k*(E195-D195)</f>
        <v>0</v>
      </c>
      <c r="F196" s="8" t="n">
        <f aca="false">(1-lag)*F195+lag*E195-inv_k*(F195-E195)</f>
        <v>0.281888034827289</v>
      </c>
      <c r="G196" s="8" t="n">
        <f aca="false">(1-lag)*G195+lag*F195-inv_k*(G195-F195)</f>
        <v>0.521106048077263</v>
      </c>
      <c r="H196" s="8" t="n">
        <f aca="false">(1-lag)*H195+lag*G195-inv_k*(H195-G195)</f>
        <v>0.504890444493905</v>
      </c>
      <c r="I196" s="8" t="n">
        <f aca="false">(1-lag)*I195+lag*H195-inv_k*(I195-H195)</f>
        <v>0.506533569655519</v>
      </c>
    </row>
    <row r="197" customFormat="false" ht="17.15" hidden="false" customHeight="false" outlineLevel="0" collapsed="false">
      <c r="A197" s="0" t="s">
        <v>1437</v>
      </c>
      <c r="B197" s="0" t="s">
        <v>1277</v>
      </c>
      <c r="D197" s="8" t="n">
        <f aca="false">site_nbis_2024</f>
        <v>0</v>
      </c>
      <c r="E197" s="8" t="n">
        <f aca="false">site_nbis_2025</f>
        <v>0</v>
      </c>
      <c r="F197" s="8" t="n">
        <f aca="false">site_nbis_2026</f>
        <v>0.73</v>
      </c>
      <c r="G197" s="8" t="n">
        <f aca="false">site_nbis_2027</f>
        <v>0.403</v>
      </c>
      <c r="H197" s="8" t="n">
        <f aca="false">site_nbis_2028</f>
        <v>0</v>
      </c>
      <c r="I197" s="8" t="n">
        <f aca="false">site_nbis_2029</f>
        <v>0</v>
      </c>
    </row>
    <row r="198" customFormat="false" ht="17.15" hidden="false" customHeight="false" outlineLevel="0" collapsed="false">
      <c r="A198" s="0" t="s">
        <v>1438</v>
      </c>
      <c r="B198" s="0" t="s">
        <v>1279</v>
      </c>
      <c r="D198" s="8" t="str">
        <f aca="false">IF(ISNUMBER(gai_xai_2024),gai_xai_2024,"")</f>
        <v/>
      </c>
      <c r="E198" s="8" t="str">
        <f aca="false">IF(ISNUMBER(gai_xai_2025),gai_xai_2025,"")</f>
        <v/>
      </c>
      <c r="F198" s="8" t="n">
        <f aca="false">IF(ISNUMBER(gai_xai_2026),gai_xai_2026,"")</f>
        <v>74.058119</v>
      </c>
      <c r="G198" s="8" t="n">
        <f aca="false">IF(ISNUMBER(gai_xai_2027),gai_xai_2027,"")</f>
        <v>136.252477</v>
      </c>
      <c r="H198" s="8" t="n">
        <f aca="false">IF(ISNUMBER(gai_xai_2028),gai_xai_2028,"")</f>
        <v>144.12072</v>
      </c>
      <c r="I198" s="8" t="n">
        <f aca="false">IF(ISNUMBER(gai_xai_2029),gai_xai_2029,"")</f>
        <v>111.172527</v>
      </c>
    </row>
    <row r="199" customFormat="false" ht="17.15" hidden="false" customHeight="false" outlineLevel="0" collapsed="false">
      <c r="A199" s="0" t="s">
        <v>1439</v>
      </c>
      <c r="B199" s="0" t="s">
        <v>1281</v>
      </c>
      <c r="D199" s="8" t="n">
        <f aca="false">IF(ISNUMBER(D198),(pitN_2024/(pitN_2024+pfacN_2024)*D198+pfacN_2024/(pitN_2024+pfacN_2024)*IF(AND(ISNUMBER(""),ISNUMBER("")),wb1*""+wb2*"",IF(ISNUMBER(""),"",D198)))/(pitN_2024+pfacN_2024),site_xai_2024)</f>
        <v>0</v>
      </c>
      <c r="E199" s="8" t="n">
        <f aca="false">IF(ISNUMBER(E198),(pitN_2025/(pitN_2025+pfacN_2025)*E198+pfacN_2025/(pitN_2025+pfacN_2025)*IF(AND(ISNUMBER(D198),ISNUMBER("")),wb1*D198+wb2*"",IF(ISNUMBER(D198),D198,E198)))/(pitN_2025+pfacN_2025),site_xai_2025)</f>
        <v>0</v>
      </c>
      <c r="F199" s="8" t="n">
        <f aca="false">IF(ISNUMBER(F198),(pitN_2026/(pitN_2026+pfacN_2026)*F198+pfacN_2026/(pitN_2026+pfacN_2026)*IF(AND(ISNUMBER(E198),ISNUMBER(D198)),wb1*E198+wb2*D198,IF(ISNUMBER(E198),E198,F198)))/(pitN_2026+pfacN_2026),site_xai_2026)</f>
        <v>1.60702342066936</v>
      </c>
      <c r="G199" s="8" t="n">
        <f aca="false">IF(ISNUMBER(G198),(pitN_2027/(pitN_2027+pfacN_2027)*G198+pfacN_2027/(pitN_2027+pfacN_2027)*IF(AND(ISNUMBER(F198),ISNUMBER(E198)),wb1*F198+wb2*E198,IF(ISNUMBER(F198),F198,G198)))/(pitN_2027+pfacN_2027),site_xai_2027)</f>
        <v>2.36823509451502</v>
      </c>
      <c r="H199" s="8" t="n">
        <f aca="false">IF(ISNUMBER(H198),(pitN_2028/(pitN_2028+pfacN_2028)*H198+pfacN_2028/(pitN_2028+pfacN_2028)*IF(AND(ISNUMBER(G198),ISNUMBER(F198)),wb1*G198+wb2*F198,IF(ISNUMBER(G198),G198,H198)))/(pitN_2028+pfacN_2028),site_xai_2028)</f>
        <v>2.49948463520021</v>
      </c>
      <c r="I199" s="8" t="n">
        <f aca="false">IF(ISNUMBER(I198),(pitN_2029/(pitN_2029+pfacN_2029)*I198+pfacN_2029/(pitN_2029+pfacN_2029)*IF(AND(ISNUMBER(H198),ISNUMBER(G198)),wb1*H198+wb2*G198,IF(ISNUMBER(H198),H198,I198)))/(pitN_2029+pfacN_2029),site_xai_2029)</f>
        <v>2.18470428873966</v>
      </c>
    </row>
    <row r="200" customFormat="false" ht="17.15" hidden="false" customHeight="false" outlineLevel="0" collapsed="false">
      <c r="A200" s="0" t="s">
        <v>1440</v>
      </c>
      <c r="B200" s="0" t="s">
        <v>1283</v>
      </c>
      <c r="E200" s="8" t="n">
        <f aca="false">IF(ISNUMBER(gai_xai_2024),(1-lag)*E199+lag*D199-inv_k*(E199-D199),E199)</f>
        <v>0</v>
      </c>
      <c r="F200" s="8" t="n">
        <f aca="false">IF(ISNUMBER(gai_xai_2025),(1-lag)*F199+lag*E199-inv_k*(F199-E199),F199)</f>
        <v>1.60702342066936</v>
      </c>
      <c r="G200" s="8" t="n">
        <f aca="false">IF(ISNUMBER(gai_xai_2026),(1-lag)*G199+lag*F199-inv_k*(G199-F199),G199)</f>
        <v>2.00665954943833</v>
      </c>
      <c r="H200" s="8" t="n">
        <f aca="false">IF(ISNUMBER(gai_xai_2027),(1-lag)*H199+lag*G199-inv_k*(H199-G199),H199)</f>
        <v>2.43714110337474</v>
      </c>
      <c r="I200" s="8" t="n">
        <f aca="false">IF(ISNUMBER(gai_xai_2028),(1-lag)*I199+lag*H199-inv_k*(I199-H199),I199)</f>
        <v>2.33422495330842</v>
      </c>
    </row>
    <row r="201" customFormat="false" ht="17.15" hidden="false" customHeight="false" outlineLevel="0" collapsed="false">
      <c r="A201" s="0" t="s">
        <v>1441</v>
      </c>
      <c r="B201" s="0" t="s">
        <v>1285</v>
      </c>
      <c r="D201" s="8" t="n">
        <f aca="false">site_xai_2024</f>
        <v>0</v>
      </c>
      <c r="E201" s="8" t="n">
        <f aca="false">site_xai_2025</f>
        <v>0</v>
      </c>
      <c r="F201" s="8" t="n">
        <f aca="false">site_xai_2026</f>
        <v>1.4302</v>
      </c>
      <c r="G201" s="8" t="n">
        <f aca="false">site_xai_2027</f>
        <v>0.585</v>
      </c>
      <c r="H201" s="8" t="n">
        <f aca="false">site_xai_2028</f>
        <v>0</v>
      </c>
      <c r="I201" s="8" t="n">
        <f aca="false">site_xai_2029</f>
        <v>0</v>
      </c>
    </row>
    <row r="202" customFormat="false" ht="17.15" hidden="false" customHeight="false" outlineLevel="0" collapsed="false">
      <c r="A202" s="0" t="s">
        <v>1442</v>
      </c>
      <c r="B202" s="0" t="s">
        <v>1287</v>
      </c>
      <c r="D202" s="8" t="str">
        <f aca="false">IF(ISNUMBER(gai_oai_2024),gai_oai_2024,"")</f>
        <v/>
      </c>
      <c r="E202" s="8" t="str">
        <f aca="false">IF(ISNUMBER(gai_oai_2025),gai_oai_2025,"")</f>
        <v/>
      </c>
      <c r="F202" s="8" t="n">
        <f aca="false">IF(ISNUMBER(gai_oai_2026),gai_oai_2026,"")</f>
        <v>20</v>
      </c>
      <c r="G202" s="8" t="n">
        <f aca="false">IF(ISNUMBER(gai_oai_2027),gai_oai_2027,"")</f>
        <v>30</v>
      </c>
      <c r="H202" s="8" t="n">
        <f aca="false">IF(ISNUMBER(gai_oai_2028),gai_oai_2028,"")</f>
        <v>45</v>
      </c>
      <c r="I202" s="8" t="n">
        <f aca="false">IF(ISNUMBER(gai_oai_2029),gai_oai_2029,"")</f>
        <v>60</v>
      </c>
    </row>
    <row r="203" customFormat="false" ht="17.15" hidden="false" customHeight="false" outlineLevel="0" collapsed="false">
      <c r="A203" s="0" t="s">
        <v>1443</v>
      </c>
      <c r="B203" s="0" t="s">
        <v>1289</v>
      </c>
      <c r="D203" s="8" t="n">
        <f aca="false">IF(ISNUMBER(D202),(pitN_2024/(pitN_2024+pfacN_2024)*D202+pfacN_2024/(pitN_2024+pfacN_2024)*IF(AND(ISNUMBER(""),ISNUMBER("")),wb1*""+wb2*"",IF(ISNUMBER(""),"",D202)))/(pitN_2024+pfacN_2024),site_oai_2024)</f>
        <v>0</v>
      </c>
      <c r="E203" s="8" t="n">
        <f aca="false">IF(ISNUMBER(E202),(pitN_2025/(pitN_2025+pfacN_2025)*E202+pfacN_2025/(pitN_2025+pfacN_2025)*IF(AND(ISNUMBER(D202),ISNUMBER("")),wb1*D202+wb2*"",IF(ISNUMBER(D202),D202,E202)))/(pitN_2025+pfacN_2025),site_oai_2025)</f>
        <v>0</v>
      </c>
      <c r="F203" s="8" t="n">
        <f aca="false">IF(ISNUMBER(F202),(pitN_2026/(pitN_2026+pfacN_2026)*F202+pfacN_2026/(pitN_2026+pfacN_2026)*IF(AND(ISNUMBER(E202),ISNUMBER(D202)),wb1*E202+wb2*D202,IF(ISNUMBER(E202),E202,F202)))/(pitN_2026+pfacN_2026),site_oai_2026)</f>
        <v>0.433989802163179</v>
      </c>
      <c r="G203" s="8" t="n">
        <f aca="false">IF(ISNUMBER(G202),(pitN_2027/(pitN_2027+pfacN_2027)*G202+pfacN_2027/(pitN_2027+pfacN_2027)*IF(AND(ISNUMBER(F202),ISNUMBER(E202)),wb1*F202+wb2*E202,IF(ISNUMBER(F202),F202,G202)))/(pitN_2027+pfacN_2027),site_oai_2027)</f>
        <v>0.539423294291731</v>
      </c>
      <c r="H203" s="8" t="n">
        <f aca="false">IF(ISNUMBER(H202),(pitN_2028/(pitN_2028+pfacN_2028)*H202+pfacN_2028/(pitN_2028+pfacN_2028)*IF(AND(ISNUMBER(G202),ISNUMBER(F202)),wb1*G202+wb2*F202,IF(ISNUMBER(G202),G202,H202)))/(pitN_2028+pfacN_2028),site_oai_2028)</f>
        <v>0.74640146139489</v>
      </c>
      <c r="I203" s="8" t="n">
        <f aca="false">IF(ISNUMBER(I202),(pitN_2029/(pitN_2029+pfacN_2029)*I202+pfacN_2029/(pitN_2029+pfacN_2029)*IF(AND(ISNUMBER(H202),ISNUMBER(G202)),wb1*H202+wb2*G202,IF(ISNUMBER(H202),H202,I202)))/(pitN_2029+pfacN_2029),site_oai_2029)</f>
        <v>1.01330432937459</v>
      </c>
    </row>
    <row r="204" customFormat="false" ht="17.15" hidden="false" customHeight="false" outlineLevel="0" collapsed="false">
      <c r="A204" s="0" t="s">
        <v>1444</v>
      </c>
      <c r="B204" s="0" t="s">
        <v>1291</v>
      </c>
      <c r="E204" s="8" t="n">
        <f aca="false">IF(ISNUMBER(gai_oai_2024),(1-lag)*E203+lag*D203-inv_k*(E203-D203),E203)</f>
        <v>0</v>
      </c>
      <c r="F204" s="8" t="n">
        <f aca="false">IF(ISNUMBER(gai_oai_2025),(1-lag)*F203+lag*E203-inv_k*(F203-E203),F203)</f>
        <v>0.433989802163179</v>
      </c>
      <c r="G204" s="8" t="n">
        <f aca="false">IF(ISNUMBER(gai_oai_2026),(1-lag)*G203+lag*F203-inv_k*(G203-F203),G203)</f>
        <v>0.489342385530669</v>
      </c>
      <c r="H204" s="8" t="n">
        <f aca="false">IF(ISNUMBER(gai_oai_2027),(1-lag)*H203+lag*G203-inv_k*(H203-G203),H203)</f>
        <v>0.64808683202089</v>
      </c>
      <c r="I204" s="8" t="n">
        <f aca="false">IF(ISNUMBER(gai_oai_2028),(1-lag)*I203+lag*H203-inv_k*(I203-H203),I203)</f>
        <v>0.886525467084233</v>
      </c>
    </row>
    <row r="205" customFormat="false" ht="17.15" hidden="false" customHeight="false" outlineLevel="0" collapsed="false">
      <c r="A205" s="0" t="s">
        <v>1445</v>
      </c>
      <c r="B205" s="0" t="s">
        <v>1293</v>
      </c>
      <c r="D205" s="8" t="n">
        <f aca="false">site_oai_2024</f>
        <v>0</v>
      </c>
      <c r="E205" s="8" t="n">
        <f aca="false">site_oai_2025</f>
        <v>0</v>
      </c>
      <c r="F205" s="8" t="n">
        <f aca="false">site_oai_2026</f>
        <v>0</v>
      </c>
      <c r="G205" s="8" t="n">
        <f aca="false">site_oai_2027</f>
        <v>0.522</v>
      </c>
      <c r="H205" s="8" t="n">
        <f aca="false">site_oai_2028</f>
        <v>1.245</v>
      </c>
      <c r="I205" s="8" t="n">
        <f aca="false">site_oai_2029</f>
        <v>1.149</v>
      </c>
    </row>
    <row r="206" customFormat="false" ht="17.15" hidden="false" customHeight="false" outlineLevel="0" collapsed="false">
      <c r="A206" s="0" t="s">
        <v>1446</v>
      </c>
      <c r="B206" s="0" t="s">
        <v>1295</v>
      </c>
      <c r="D206" s="8" t="str">
        <f aca="false">IF(ISNUMBER(gai_ant_2024),gai_ant_2024,"")</f>
        <v/>
      </c>
      <c r="E206" s="8" t="str">
        <f aca="false">IF(ISNUMBER(gai_ant_2025),gai_ant_2025,"")</f>
        <v/>
      </c>
      <c r="F206" s="8" t="n">
        <f aca="false">IF(ISNUMBER(gai_ant_2026),gai_ant_2026,"")</f>
        <v>16.666667</v>
      </c>
      <c r="G206" s="8" t="n">
        <f aca="false">IF(ISNUMBER(gai_ant_2027),gai_ant_2027,"")</f>
        <v>16.666667</v>
      </c>
      <c r="H206" s="8" t="n">
        <f aca="false">IF(ISNUMBER(gai_ant_2028),gai_ant_2028,"")</f>
        <v>16.666667</v>
      </c>
      <c r="I206" s="8" t="n">
        <f aca="false">IF(ISNUMBER(gai_ant_2029),gai_ant_2029,"")</f>
        <v>0</v>
      </c>
    </row>
    <row r="207" customFormat="false" ht="17.15" hidden="false" customHeight="false" outlineLevel="0" collapsed="false">
      <c r="A207" s="0" t="s">
        <v>1447</v>
      </c>
      <c r="B207" s="0" t="s">
        <v>1297</v>
      </c>
      <c r="D207" s="8" t="n">
        <f aca="false">IF(ISNUMBER(D206),(pitN_2024/(pitN_2024+pfacN_2024)*D206+pfacN_2024/(pitN_2024+pfacN_2024)*IF(AND(ISNUMBER(""),ISNUMBER("")),wb1*""+wb2*"",IF(ISNUMBER(""),"",D206)))/(pitN_2024+pfacN_2024),site_ant_2024)</f>
        <v>0</v>
      </c>
      <c r="E207" s="8" t="n">
        <f aca="false">IF(ISNUMBER(E206),(pitN_2025/(pitN_2025+pfacN_2025)*E206+pfacN_2025/(pitN_2025+pfacN_2025)*IF(AND(ISNUMBER(D206),ISNUMBER("")),wb1*D206+wb2*"",IF(ISNUMBER(D206),D206,E206)))/(pitN_2025+pfacN_2025),site_ant_2025)</f>
        <v>0</v>
      </c>
      <c r="F207" s="8" t="n">
        <f aca="false">IF(ISNUMBER(F206),(pitN_2026/(pitN_2026+pfacN_2026)*F206+pfacN_2026/(pitN_2026+pfacN_2026)*IF(AND(ISNUMBER(E206),ISNUMBER(D206)),wb1*E206+wb2*D206,IF(ISNUMBER(E206),E206,F206)))/(pitN_2026+pfacN_2026),site_ant_2026)</f>
        <v>0.36165817570248</v>
      </c>
      <c r="G207" s="8" t="n">
        <f aca="false">IF(ISNUMBER(G206),(pitN_2027/(pitN_2027+pfacN_2027)*G206+pfacN_2027/(pitN_2027+pfacN_2027)*IF(AND(ISNUMBER(F206),ISNUMBER(E206)),wb1*F206+wb2*E206,IF(ISNUMBER(F206),F206,G206)))/(pitN_2027+pfacN_2027),site_ant_2027)</f>
        <v>0.326730833032632</v>
      </c>
      <c r="H207" s="8" t="n">
        <f aca="false">IF(ISNUMBER(H206),(pitN_2028/(pitN_2028+pfacN_2028)*H206+pfacN_2028/(pitN_2028+pfacN_2028)*IF(AND(ISNUMBER(G206),ISNUMBER(F206)),wb1*G206+wb2*F206,IF(ISNUMBER(G206),G206,H206)))/(pitN_2028+pfacN_2028),site_ant_2028)</f>
        <v>0.308627002270922</v>
      </c>
      <c r="I207" s="8" t="n">
        <f aca="false">IF(ISNUMBER(I206),(pitN_2029/(pitN_2029+pfacN_2029)*I206+pfacN_2029/(pitN_2029+pfacN_2029)*IF(AND(ISNUMBER(H206),ISNUMBER(G206)),wb1*H206+wb2*G206,IF(ISNUMBER(H206),H206,I206)))/(pitN_2029+pfacN_2029),site_ant_2029)</f>
        <v>0.0724095248404747</v>
      </c>
    </row>
    <row r="208" customFormat="false" ht="17.15" hidden="false" customHeight="false" outlineLevel="0" collapsed="false">
      <c r="A208" s="0" t="s">
        <v>1448</v>
      </c>
      <c r="B208" s="0" t="s">
        <v>1299</v>
      </c>
      <c r="E208" s="8" t="n">
        <f aca="false">IF(ISNUMBER(gai_ant_2024),(1-lag)*E207+lag*D207-inv_k*(E207-D207),E207)</f>
        <v>0</v>
      </c>
      <c r="F208" s="8" t="n">
        <f aca="false">IF(ISNUMBER(gai_ant_2025),(1-lag)*F207+lag*E207-inv_k*(F207-E207),F207)</f>
        <v>0.36165817570248</v>
      </c>
      <c r="G208" s="8" t="n">
        <f aca="false">IF(ISNUMBER(gai_ant_2026),(1-lag)*G207+lag*F207-inv_k*(G207-F207),G207)</f>
        <v>0.34332132080081</v>
      </c>
      <c r="H208" s="8" t="n">
        <f aca="false">IF(ISNUMBER(gai_ant_2027),(1-lag)*H207+lag*G207-inv_k*(H207-G207),H207)</f>
        <v>0.317226321882734</v>
      </c>
      <c r="I208" s="8" t="n">
        <f aca="false">IF(ISNUMBER(gai_ant_2028),(1-lag)*I207+lag*H207-inv_k*(I207-H207),I207)</f>
        <v>0.184612826619937</v>
      </c>
    </row>
    <row r="209" customFormat="false" ht="17.15" hidden="false" customHeight="false" outlineLevel="0" collapsed="false">
      <c r="A209" s="0" t="s">
        <v>1449</v>
      </c>
      <c r="B209" s="0" t="s">
        <v>1301</v>
      </c>
      <c r="D209" s="8" t="n">
        <f aca="false">site_ant_2024</f>
        <v>0</v>
      </c>
      <c r="E209" s="8" t="n">
        <f aca="false">site_ant_2025</f>
        <v>0</v>
      </c>
      <c r="F209" s="8" t="n">
        <f aca="false">site_ant_2026</f>
        <v>0</v>
      </c>
      <c r="G209" s="8" t="n">
        <f aca="false">site_ant_2027</f>
        <v>0</v>
      </c>
      <c r="H209" s="8" t="n">
        <f aca="false">site_ant_2028</f>
        <v>0</v>
      </c>
      <c r="I209" s="8" t="n">
        <f aca="false">site_ant_2029</f>
        <v>0</v>
      </c>
    </row>
    <row r="210" customFormat="false" ht="17.15" hidden="false" customHeight="false" outlineLevel="0" collapsed="false">
      <c r="A210" s="0" t="s">
        <v>1450</v>
      </c>
      <c r="B210" s="5" t="s">
        <v>1303</v>
      </c>
      <c r="D210" s="9" t="n">
        <f aca="false">D150+D157+D164+D171+D178+D185+D192</f>
        <v>3.03499542460513</v>
      </c>
      <c r="E210" s="9" t="n">
        <f aca="false">E150+E157+E164+E171+E178+E185+E192</f>
        <v>10.5049465694708</v>
      </c>
      <c r="F210" s="9" t="n">
        <f aca="false">F150+F157+F164+F171+F178+F185+F192</f>
        <v>16.9529982725918</v>
      </c>
      <c r="G210" s="9" t="n">
        <f aca="false">G150+G157+G164+G171+G178+G185+G192</f>
        <v>21.2757616497008</v>
      </c>
      <c r="H210" s="9" t="n">
        <f aca="false">H150+H157+H164+H171+H178+H185+H192</f>
        <v>23.8420256753268</v>
      </c>
      <c r="I210" s="9" t="n">
        <f aca="false">I150+I157+I164+I171+I178+I185+I192</f>
        <v>26.6323742060277</v>
      </c>
    </row>
    <row r="211" customFormat="false" ht="17.15" hidden="false" customHeight="false" outlineLevel="0" collapsed="false">
      <c r="A211" s="0" t="s">
        <v>1451</v>
      </c>
      <c r="B211" s="5" t="s">
        <v>1305</v>
      </c>
      <c r="D211" s="9" t="n">
        <f aca="false">D151+D158+D165+D172+D179+D186+D193</f>
        <v>0</v>
      </c>
      <c r="E211" s="9" t="n">
        <f aca="false">E151+E158+E165+E172+E179+E186+E193</f>
        <v>6.95671977565958</v>
      </c>
      <c r="F211" s="9" t="n">
        <f aca="false">F151+F158+F165+F172+F179+F186+F193</f>
        <v>13.8901737136093</v>
      </c>
      <c r="G211" s="9" t="n">
        <f aca="false">G151+G158+G165+G172+G179+G186+G193</f>
        <v>19.2224490455741</v>
      </c>
      <c r="H211" s="9" t="n">
        <f aca="false">H151+H158+H165+H172+H179+H186+H193</f>
        <v>22.6230502631545</v>
      </c>
      <c r="I211" s="9" t="n">
        <f aca="false">I151+I158+I165+I172+I179+I186+I193</f>
        <v>25.3069586539447</v>
      </c>
    </row>
    <row r="212" customFormat="false" ht="17.15" hidden="false" customHeight="false" outlineLevel="0" collapsed="false">
      <c r="A212" s="0" t="s">
        <v>1452</v>
      </c>
      <c r="B212" s="5" t="s">
        <v>1307</v>
      </c>
      <c r="D212" s="9" t="n">
        <f aca="false">D153+D160+D167+D174+D181+D188+D195</f>
        <v>4.2974432904076</v>
      </c>
      <c r="E212" s="9" t="n">
        <f aca="false">E153+E160+E167+E174+E181+E188+E195</f>
        <v>10.4789945606446</v>
      </c>
      <c r="F212" s="9" t="n">
        <f aca="false">F153+F160+F167+F174+F181+F188+F195</f>
        <v>16.8523274706572</v>
      </c>
      <c r="G212" s="9" t="n">
        <f aca="false">G153+G160+G167+G174+G181+G188+G195</f>
        <v>21.4859647482006</v>
      </c>
      <c r="H212" s="9" t="n">
        <f aca="false">H153+H160+H167+H174+H181+H188+H195</f>
        <v>23.0877533033686</v>
      </c>
      <c r="I212" s="9" t="n">
        <f aca="false">I153+I160+I167+I174+I181+I188+I195</f>
        <v>22.6964995922666</v>
      </c>
    </row>
    <row r="213" customFormat="false" ht="17.15" hidden="false" customHeight="false" outlineLevel="0" collapsed="false">
      <c r="A213" s="0" t="s">
        <v>1453</v>
      </c>
      <c r="B213" s="5" t="s">
        <v>1309</v>
      </c>
      <c r="D213" s="9" t="n">
        <f aca="false">D154+D161+D168+D175+D182+D189+D196</f>
        <v>0</v>
      </c>
      <c r="E213" s="9" t="n">
        <f aca="false">E154+E161+E168+E175+E182+E189+E196</f>
        <v>7.54275770728201</v>
      </c>
      <c r="F213" s="9" t="n">
        <f aca="false">F154+F161+F168+F175+F182+F189+F196</f>
        <v>13.8249943384012</v>
      </c>
      <c r="G213" s="9" t="n">
        <f aca="false">G154+G161+G168+G175+G182+G189+G196</f>
        <v>19.2849870413675</v>
      </c>
      <c r="H213" s="9" t="n">
        <f aca="false">H154+H161+H168+H175+H182+H189+H196</f>
        <v>22.3269037396638</v>
      </c>
      <c r="I213" s="9" t="n">
        <f aca="false">I154+I161+I168+I175+I182+I189+I196</f>
        <v>22.88234510504</v>
      </c>
    </row>
    <row r="214" customFormat="false" ht="15" hidden="false" customHeight="false" outlineLevel="0" collapsed="false">
      <c r="A214" s="0" t="s">
        <v>1454</v>
      </c>
      <c r="B214" s="5" t="s">
        <v>1311</v>
      </c>
      <c r="D214" s="9" t="n">
        <f aca="false">D155+D162+D169+D176+D183+D190+D197</f>
        <v>1.61980834349181</v>
      </c>
      <c r="E214" s="9" t="n">
        <f aca="false">E155+E162+E169+E176+E183+E190+E197</f>
        <v>8.74912429484715</v>
      </c>
      <c r="F214" s="9" t="n">
        <f aca="false">F155+F162+F169+F176+F183+F190+F197</f>
        <v>6.54276412772586</v>
      </c>
      <c r="G214" s="9" t="n">
        <f aca="false">G155+G162+G169+G176+G183+G190+G197</f>
        <v>6.52966666666667</v>
      </c>
      <c r="H214" s="9" t="n">
        <f aca="false">H155+H162+H169+H176+H183+H190+H197</f>
        <v>13.6908333333333</v>
      </c>
      <c r="I214" s="9" t="n">
        <f aca="false">I155+I162+I169+I176+I183+I190+I197</f>
        <v>2.7115</v>
      </c>
    </row>
    <row r="215" customFormat="false" ht="15" hidden="false" customHeight="false" outlineLevel="0" collapsed="false">
      <c r="A215" s="0" t="s">
        <v>1455</v>
      </c>
      <c r="B215" s="5" t="s">
        <v>1313</v>
      </c>
      <c r="D215" s="9" t="n">
        <f aca="false">D199+D203+D207</f>
        <v>0</v>
      </c>
      <c r="E215" s="9" t="n">
        <f aca="false">E199+E203+E207</f>
        <v>0</v>
      </c>
      <c r="F215" s="9" t="n">
        <f aca="false">F199+F203+F207</f>
        <v>2.40267139853502</v>
      </c>
      <c r="G215" s="9" t="n">
        <f aca="false">G199+G203+G207</f>
        <v>3.23438922183938</v>
      </c>
      <c r="H215" s="9" t="n">
        <f aca="false">H199+H203+H207</f>
        <v>3.55451309886602</v>
      </c>
      <c r="I215" s="9" t="n">
        <f aca="false">I199+I203+I207</f>
        <v>3.27041814295472</v>
      </c>
    </row>
    <row r="216" customFormat="false" ht="15" hidden="false" customHeight="false" outlineLevel="0" collapsed="false">
      <c r="A216" s="0" t="s">
        <v>1456</v>
      </c>
      <c r="B216" s="5" t="s">
        <v>1315</v>
      </c>
      <c r="D216" s="9" t="n">
        <f aca="false">D200+D204+D208</f>
        <v>0</v>
      </c>
      <c r="E216" s="9" t="n">
        <f aca="false">E200+E204+E208</f>
        <v>0</v>
      </c>
      <c r="F216" s="9" t="n">
        <f aca="false">F200+F204+F208</f>
        <v>2.40267139853502</v>
      </c>
      <c r="G216" s="9" t="n">
        <f aca="false">G200+G204+G208</f>
        <v>2.83932325576981</v>
      </c>
      <c r="H216" s="9" t="n">
        <f aca="false">H200+H204+H208</f>
        <v>3.40245425727836</v>
      </c>
      <c r="I216" s="9" t="n">
        <f aca="false">I200+I204+I208</f>
        <v>3.40536324701259</v>
      </c>
    </row>
    <row r="217" customFormat="false" ht="15" hidden="false" customHeight="false" outlineLevel="0" collapsed="false">
      <c r="A217" s="0" t="s">
        <v>1457</v>
      </c>
      <c r="B217" s="5" t="s">
        <v>1317</v>
      </c>
      <c r="D217" s="9" t="n">
        <f aca="false">D201+D205+D209</f>
        <v>0</v>
      </c>
      <c r="E217" s="9" t="n">
        <f aca="false">E201+E205+E209</f>
        <v>0</v>
      </c>
      <c r="F217" s="9" t="n">
        <f aca="false">F201+F205+F209</f>
        <v>1.4302</v>
      </c>
      <c r="G217" s="9" t="n">
        <f aca="false">G201+G205+G209</f>
        <v>1.107</v>
      </c>
      <c r="H217" s="9" t="n">
        <f aca="false">H201+H205+H209</f>
        <v>1.245</v>
      </c>
      <c r="I217" s="9" t="n">
        <f aca="false">I201+I205+I209</f>
        <v>1.149</v>
      </c>
    </row>
    <row r="219" customFormat="false" ht="17.15" hidden="false" customHeight="false" outlineLevel="0" collapsed="false">
      <c r="A219" s="6" t="s">
        <v>1458</v>
      </c>
    </row>
    <row r="220" customFormat="false" ht="15" hidden="false" customHeight="false" outlineLevel="0" collapsed="false">
      <c r="A220" s="2" t="s">
        <v>1</v>
      </c>
      <c r="B220" s="2" t="s">
        <v>2</v>
      </c>
      <c r="C220" s="7" t="s">
        <v>1188</v>
      </c>
      <c r="D220" s="7" t="s">
        <v>1189</v>
      </c>
      <c r="E220" s="7" t="s">
        <v>1190</v>
      </c>
      <c r="F220" s="7" t="s">
        <v>1191</v>
      </c>
      <c r="G220" s="7" t="s">
        <v>1192</v>
      </c>
      <c r="H220" s="7" t="s">
        <v>1193</v>
      </c>
    </row>
    <row r="221" customFormat="false" ht="17.15" hidden="false" customHeight="false" outlineLevel="0" collapsed="false">
      <c r="A221" s="0" t="s">
        <v>1459</v>
      </c>
      <c r="B221" s="0" t="s">
        <v>1195</v>
      </c>
      <c r="D221" s="8" t="n">
        <f aca="false">IF(ISNUMBER(ai2_msft_2024),ai2_msft_2024,"")</f>
        <v>46.3369</v>
      </c>
      <c r="E221" s="8" t="n">
        <f aca="false">IF(ISNUMBER(ai2_msft_2025),ai2_msft_2025,"")</f>
        <v>76.712075</v>
      </c>
      <c r="F221" s="8" t="n">
        <f aca="false">IF(ISNUMBER(ai2_msft_2026),ai2_msft_2026,"")</f>
        <v>131.229375</v>
      </c>
      <c r="G221" s="8" t="n">
        <f aca="false">IF(ISNUMBER(ai2_msft_2027),ai2_msft_2027,"")</f>
        <v>174.08595</v>
      </c>
      <c r="H221" s="8" t="n">
        <f aca="false">IF(ISNUMBER(ai2_msft_2028),ai2_msft_2028,"")</f>
        <v>198.883</v>
      </c>
      <c r="I221" s="8" t="n">
        <f aca="false">IF(ISNUMBER(ai2_msft_2029),ai2_msft_2029,"")</f>
        <v>224.1719025</v>
      </c>
    </row>
    <row r="222" customFormat="false" ht="17.15" hidden="false" customHeight="false" outlineLevel="0" collapsed="false">
      <c r="A222" s="0" t="s">
        <v>1460</v>
      </c>
      <c r="B222" s="0" t="s">
        <v>1197</v>
      </c>
      <c r="D222" s="8" t="n">
        <f aca="false">IF(ISNUMBER(D221),(pit_msft_2024/(pit_msft_2024+pfac_msft_2024)*D221+pfac_msft_2024/(pit_msft_2024+pfac_msft_2024)*IF(AND(ISNUMBER(""),ISNUMBER("")),wb1_lo*""+wb2_lo*"",IF(ISNUMBER(""),"",D221)))/(pit_msft_2024+pfac_msft_2024),site_msft_2024)</f>
        <v>1.2662200199435</v>
      </c>
      <c r="E222" s="8" t="n">
        <f aca="false">IF(ISNUMBER(E221),(pit_msft_2025/(pit_msft_2025+pfac_msft_2025)*E221+pfac_msft_2025/(pit_msft_2025+pfac_msft_2025)*IF(AND(ISNUMBER(D221),ISNUMBER("")),wb1_lo*D221+wb2_lo*"",IF(ISNUMBER(D221),D221,E221)))/(pit_msft_2025+pfac_msft_2025),site_msft_2025)</f>
        <v>1.89413391980359</v>
      </c>
      <c r="F222" s="8" t="n">
        <f aca="false">IF(ISNUMBER(F221),(pit_msft_2026/(pit_msft_2026+pfac_msft_2026)*F221+pfac_msft_2026/(pit_msft_2026+pfac_msft_2026)*IF(AND(ISNUMBER(E221),ISNUMBER(D221)),wb1_lo*E221+wb2_lo*D221,IF(ISNUMBER(E221),E221,F221)))/(pit_msft_2026+pfac_msft_2026),site_msft_2026)</f>
        <v>2.83319556951971</v>
      </c>
      <c r="G222" s="8" t="n">
        <f aca="false">IF(ISNUMBER(G221),(pit_msft_2027/(pit_msft_2027+pfac_msft_2027)*G221+pfac_msft_2027/(pit_msft_2027+pfac_msft_2027)*IF(AND(ISNUMBER(F221),ISNUMBER(E221)),wb1_lo*F221+wb2_lo*E221,IF(ISNUMBER(F221),F221,G221)))/(pit_msft_2027+pfac_msft_2027),site_msft_2027)</f>
        <v>3.71891578944627</v>
      </c>
      <c r="H222" s="8" t="n">
        <f aca="false">IF(ISNUMBER(H221),(pit_msft_2028/(pit_msft_2028+pfac_msft_2028)*H221+pfac_msft_2028/(pit_msft_2028+pfac_msft_2028)*IF(AND(ISNUMBER(G221),ISNUMBER(F221)),wb1_lo*G221+wb2_lo*F221,IF(ISNUMBER(G221),G221,H221)))/(pit_msft_2028+pfac_msft_2028),site_msft_2028)</f>
        <v>4.17594597512608</v>
      </c>
      <c r="I222" s="8" t="n">
        <f aca="false">IF(ISNUMBER(I221),(pit_msft_2029/(pit_msft_2029+pfac_msft_2029)*I221+pfac_msft_2029/(pit_msft_2029+pfac_msft_2029)*IF(AND(ISNUMBER(H221),ISNUMBER(G221)),wb1_lo*H221+wb2_lo*G221,IF(ISNUMBER(H221),H221,I221)))/(pit_msft_2029+pfac_msft_2029),site_msft_2029)</f>
        <v>4.72815847521363</v>
      </c>
    </row>
    <row r="223" customFormat="false" ht="17.15" hidden="false" customHeight="false" outlineLevel="0" collapsed="false">
      <c r="A223" s="0" t="s">
        <v>1461</v>
      </c>
      <c r="B223" s="0" t="s">
        <v>1199</v>
      </c>
      <c r="E223" s="8" t="n">
        <f aca="false">(1-lag)*E222+lag*D222-inv_k*(E222-D222)</f>
        <v>1.59587481737004</v>
      </c>
      <c r="F223" s="8" t="n">
        <f aca="false">(1-lag)*F222+lag*E222-inv_k*(F222-E222)</f>
        <v>2.38714128590455</v>
      </c>
      <c r="G223" s="8" t="n">
        <f aca="false">(1-lag)*G222+lag*F222-inv_k*(G222-F222)</f>
        <v>3.29819868498116</v>
      </c>
      <c r="H223" s="8" t="n">
        <f aca="false">(1-lag)*H222+lag*G222-inv_k*(H222-G222)</f>
        <v>3.95885663692817</v>
      </c>
      <c r="I223" s="8" t="n">
        <f aca="false">(1-lag)*I222+lag*H222-inv_k*(I222-H222)</f>
        <v>4.46585753767205</v>
      </c>
    </row>
    <row r="224" customFormat="false" ht="17.15" hidden="false" customHeight="false" outlineLevel="0" collapsed="false">
      <c r="A224" s="0" t="s">
        <v>1462</v>
      </c>
      <c r="B224" s="0" t="s">
        <v>1201</v>
      </c>
      <c r="D224" s="8" t="str">
        <f aca="false">""</f>
        <v/>
      </c>
      <c r="E224" s="8" t="n">
        <f aca="false">(6/12*cap2_msft_2025+6/12*gcap_msft_2026)*ai_sh</f>
        <v>89.186675</v>
      </c>
      <c r="F224" s="8" t="n">
        <f aca="false">(6/12*gcap_msft_2026+6/12*gcap_msft_2027)*ai_sh</f>
        <v>148.5375</v>
      </c>
      <c r="G224" s="8" t="n">
        <f aca="false">(6/12*gcap_msft_2027+6/12*gcap_msft_2028)*ai_sh</f>
        <v>185.939575275</v>
      </c>
      <c r="H224" s="8" t="n">
        <f aca="false">(6/12*gcap_msft_2028+6/12*gcap_msft_2029)*ai_sh</f>
        <v>202.7978586</v>
      </c>
      <c r="I224" s="8" t="n">
        <f aca="false">(6/12*gcap_msft_2029+6/12*gcap_msft_2030)*ai_sh</f>
        <v>197.6117298</v>
      </c>
    </row>
    <row r="225" customFormat="false" ht="17.15" hidden="false" customHeight="false" outlineLevel="0" collapsed="false">
      <c r="A225" s="0" t="s">
        <v>1463</v>
      </c>
      <c r="B225" s="0" t="s">
        <v>1197</v>
      </c>
      <c r="D225" s="8" t="n">
        <f aca="false">IF(ISNUMBER(D224),(pit_msft_2024/(pit_msft_2024+pfac_msft_2024)*D224+pfac_msft_2024/(pit_msft_2024+pfac_msft_2024)*IF(AND(ISNUMBER(""),ISNUMBER("")),wb1_lo*""+wb2_lo*"",IF(ISNUMBER(""),"",D224)))/(pit_msft_2024+pfac_msft_2024),site_msft_2024)</f>
        <v>0</v>
      </c>
      <c r="E225" s="8" t="n">
        <f aca="false">IF(ISNUMBER(E224),(pit_msft_2025/(pit_msft_2025+pfac_msft_2025)*E224+pfac_msft_2025/(pit_msft_2025+pfac_msft_2025)*IF(AND(ISNUMBER(D224),ISNUMBER("")),wb1_lo*D224+wb2_lo*"",IF(ISNUMBER(D224),D224,E224)))/(pit_msft_2025+pfac_msft_2025),site_msft_2025)</f>
        <v>2.51576435599185</v>
      </c>
      <c r="F225" s="8" t="n">
        <f aca="false">IF(ISNUMBER(F224),(pit_msft_2026/(pit_msft_2026+pfac_msft_2026)*F224+pfac_msft_2026/(pit_msft_2026+pfac_msft_2026)*IF(AND(ISNUMBER(E224),ISNUMBER(D224)),wb1_lo*E224+wb2_lo*D224,IF(ISNUMBER(E224),E224,F224)))/(pit_msft_2026+pfac_msft_2026),site_msft_2026)</f>
        <v>3.22245015720519</v>
      </c>
      <c r="G225" s="8" t="n">
        <f aca="false">IF(ISNUMBER(G224),(pit_msft_2027/(pit_msft_2027+pfac_msft_2027)*G224+pfac_msft_2027/(pit_msft_2027+pfac_msft_2027)*IF(AND(ISNUMBER(F224),ISNUMBER(E224)),wb1_lo*F224+wb2_lo*E224,IF(ISNUMBER(F224),F224,G224)))/(pit_msft_2027+pfac_msft_2027),site_msft_2027)</f>
        <v>4.0195762087135</v>
      </c>
      <c r="H225" s="8" t="n">
        <f aca="false">IF(ISNUMBER(H224),(pit_msft_2028/(pit_msft_2028+pfac_msft_2028)*H224+pfac_msft_2028/(pit_msft_2028+pfac_msft_2028)*IF(AND(ISNUMBER(G224),ISNUMBER(F224)),wb1_lo*G224+wb2_lo*F224,IF(ISNUMBER(G224),G224,H224)))/(pit_msft_2028+pfac_msft_2028),site_msft_2028)</f>
        <v>4.3013919032836</v>
      </c>
      <c r="I225" s="8" t="n">
        <f aca="false">IF(ISNUMBER(I224),(pit_msft_2029/(pit_msft_2029+pfac_msft_2029)*I224+pfac_msft_2029/(pit_msft_2029+pfac_msft_2029)*IF(AND(ISNUMBER(H224),ISNUMBER(G224)),wb1_lo*H224+wb2_lo*G224,IF(ISNUMBER(H224),H224,I224)))/(pit_msft_2029+pfac_msft_2029),site_msft_2029)</f>
        <v>4.3092211857128</v>
      </c>
    </row>
    <row r="226" customFormat="false" ht="17.15" hidden="false" customHeight="false" outlineLevel="0" collapsed="false">
      <c r="A226" s="0" t="s">
        <v>1464</v>
      </c>
      <c r="B226" s="0" t="s">
        <v>1199</v>
      </c>
      <c r="E226" s="8" t="n">
        <f aca="false">(1-lag)*E225+lag*D225-inv_k*(E225-D225)</f>
        <v>1.32077628689572</v>
      </c>
      <c r="F226" s="8" t="n">
        <f aca="false">(1-lag)*F225+lag*E225-inv_k*(F225-E225)</f>
        <v>2.88677440162885</v>
      </c>
      <c r="G226" s="8" t="n">
        <f aca="false">(1-lag)*G225+lag*F225-inv_k*(G225-F225)</f>
        <v>3.64094133424705</v>
      </c>
      <c r="H226" s="8" t="n">
        <f aca="false">(1-lag)*H225+lag*G225-inv_k*(H225-G225)</f>
        <v>4.1675294483628</v>
      </c>
      <c r="I226" s="8" t="n">
        <f aca="false">(1-lag)*I225+lag*H225-inv_k*(I225-H225)</f>
        <v>4.30550227655893</v>
      </c>
    </row>
    <row r="227" customFormat="false" ht="17.15" hidden="false" customHeight="false" outlineLevel="0" collapsed="false">
      <c r="A227" s="0" t="s">
        <v>1465</v>
      </c>
      <c r="B227" s="0" t="s">
        <v>1205</v>
      </c>
      <c r="D227" s="8" t="n">
        <f aca="false">site_msft_2024</f>
        <v>0</v>
      </c>
      <c r="E227" s="8" t="n">
        <f aca="false">site_msft_2025</f>
        <v>2.13527</v>
      </c>
      <c r="F227" s="8" t="n">
        <f aca="false">site_msft_2026</f>
        <v>0.770955</v>
      </c>
      <c r="G227" s="8" t="n">
        <f aca="false">site_msft_2027</f>
        <v>1.04</v>
      </c>
      <c r="H227" s="8" t="n">
        <f aca="false">site_msft_2028</f>
        <v>1.67</v>
      </c>
      <c r="I227" s="8" t="n">
        <f aca="false">site_msft_2029</f>
        <v>0.144</v>
      </c>
    </row>
    <row r="228" customFormat="false" ht="17.15" hidden="false" customHeight="false" outlineLevel="0" collapsed="false">
      <c r="A228" s="0" t="s">
        <v>1466</v>
      </c>
      <c r="B228" s="0" t="s">
        <v>1207</v>
      </c>
      <c r="D228" s="8" t="str">
        <f aca="false">IF(ISNUMBER(ai2_googl_2024),ai2_googl_2024,"")</f>
        <v/>
      </c>
      <c r="E228" s="8" t="n">
        <f aca="false">IF(ISNUMBER(ai2_googl_2025),ai2_googl_2025,"")</f>
        <v>77.72995</v>
      </c>
      <c r="F228" s="8" t="n">
        <f aca="false">IF(ISNUMBER(ai2_googl_2026),ai2_googl_2026,"")</f>
        <v>170</v>
      </c>
      <c r="G228" s="8" t="n">
        <f aca="false">IF(ISNUMBER(ai2_googl_2027),ai2_googl_2027,"")</f>
        <v>255.83215</v>
      </c>
      <c r="H228" s="8" t="n">
        <f aca="false">IF(ISNUMBER(ai2_googl_2028),ai2_googl_2028,"")</f>
        <v>288.53335</v>
      </c>
      <c r="I228" s="8" t="n">
        <f aca="false">IF(ISNUMBER(ai2_googl_2029),ai2_googl_2029,"")</f>
        <v>317.386685</v>
      </c>
    </row>
    <row r="229" customFormat="false" ht="17.15" hidden="false" customHeight="false" outlineLevel="0" collapsed="false">
      <c r="A229" s="0" t="s">
        <v>1467</v>
      </c>
      <c r="B229" s="0" t="s">
        <v>1209</v>
      </c>
      <c r="D229" s="8" t="n">
        <f aca="false">IF(ISNUMBER(D228),(pit_googl_2024/(pit_googl_2024+pfac_googl_2024)*D228+pfac_googl_2024/(pit_googl_2024+pfac_googl_2024)*IF(AND(ISNUMBER(""),ISNUMBER("")),wb1_lo*""+wb2_lo*"",IF(ISNUMBER(""),"",D228)))/(pit_googl_2024+pfac_googl_2024),site_googl_2024)</f>
        <v>1.32980834349181</v>
      </c>
      <c r="E229" s="8" t="n">
        <f aca="false">IF(ISNUMBER(E228),(pit_googl_2025/(pit_googl_2025+pfac_googl_2025)*E228+pfac_googl_2025/(pit_googl_2025+pfac_googl_2025)*IF(AND(ISNUMBER(D228),ISNUMBER("")),wb1_lo*D228+wb2_lo*"",IF(ISNUMBER(D228),D228,E228)))/(pit_googl_2025+pfac_googl_2025),site_googl_2025)</f>
        <v>2.15653802290354</v>
      </c>
      <c r="F229" s="8" t="n">
        <f aca="false">IF(ISNUMBER(F228),(pit_googl_2026/(pit_googl_2026+pfac_googl_2026)*F228+pfac_googl_2026/(pit_googl_2026+pfac_googl_2026)*IF(AND(ISNUMBER(E228),ISNUMBER(D228)),wb1_lo*E228+wb2_lo*D228,IF(ISNUMBER(E228),E228,F228)))/(pit_googl_2026+pfac_googl_2026),site_googl_2026)</f>
        <v>3.85777511610307</v>
      </c>
      <c r="G229" s="8" t="n">
        <f aca="false">IF(ISNUMBER(G228),(pit_googl_2027/(pit_googl_2027+pfac_googl_2027)*G228+pfac_googl_2027/(pit_googl_2027+pfac_googl_2027)*IF(AND(ISNUMBER(F228),ISNUMBER(E228)),wb1_lo*F228+wb2_lo*E228,IF(ISNUMBER(F228),F228,G228)))/(pit_googl_2027+pfac_googl_2027),site_googl_2027)</f>
        <v>5.99381402276186</v>
      </c>
      <c r="H229" s="8" t="n">
        <f aca="false">IF(ISNUMBER(H228),(pit_googl_2028/(pit_googl_2028+pfac_googl_2028)*H228+pfac_googl_2028/(pit_googl_2028+pfac_googl_2028)*IF(AND(ISNUMBER(G228),ISNUMBER(F228)),wb1_lo*G228+wb2_lo*F228,IF(ISNUMBER(G228),G228,H228)))/(pit_googl_2028+pfac_googl_2028),site_googl_2028)</f>
        <v>7.04216238453379</v>
      </c>
      <c r="I229" s="8" t="n">
        <f aca="false">IF(ISNUMBER(I228),(pit_googl_2029/(pit_googl_2029+pfac_googl_2029)*I228+pfac_googl_2029/(pit_googl_2029+pfac_googl_2029)*IF(AND(ISNUMBER(H228),ISNUMBER(G228)),wb1_lo*H228+wb2_lo*G228,IF(ISNUMBER(H228),H228,I228)))/(pit_googl_2029+pfac_googl_2029),site_googl_2029)</f>
        <v>7.79038716194427</v>
      </c>
    </row>
    <row r="230" customFormat="false" ht="17.15" hidden="false" customHeight="false" outlineLevel="0" collapsed="false">
      <c r="A230" s="0" t="s">
        <v>1468</v>
      </c>
      <c r="B230" s="0" t="s">
        <v>1211</v>
      </c>
      <c r="E230" s="8" t="n">
        <f aca="false">(1-lag)*E229+lag*D229-inv_k*(E229-D229)</f>
        <v>1.76384142518297</v>
      </c>
      <c r="F230" s="8" t="n">
        <f aca="false">(1-lag)*F229+lag*E229-inv_k*(F229-E229)</f>
        <v>3.04968749683329</v>
      </c>
      <c r="G230" s="8" t="n">
        <f aca="false">(1-lag)*G229+lag*F229-inv_k*(G229-F229)</f>
        <v>4.97919554209894</v>
      </c>
      <c r="H230" s="8" t="n">
        <f aca="false">(1-lag)*H229+lag*G229-inv_k*(H229-G229)</f>
        <v>6.54419691269213</v>
      </c>
      <c r="I230" s="8" t="n">
        <f aca="false">(1-lag)*I229+lag*H229-inv_k*(I229-H229)</f>
        <v>7.43498039267429</v>
      </c>
    </row>
    <row r="231" customFormat="false" ht="17.15" hidden="false" customHeight="false" outlineLevel="0" collapsed="false">
      <c r="A231" s="0" t="s">
        <v>1469</v>
      </c>
      <c r="B231" s="0" t="s">
        <v>1213</v>
      </c>
      <c r="D231" s="8" t="n">
        <f aca="false">gcap_googl_2024*ai_sh</f>
        <v>44.65475</v>
      </c>
      <c r="E231" s="8" t="n">
        <f aca="false">gcap_googl_2025*ai_sh</f>
        <v>77.72995</v>
      </c>
      <c r="F231" s="8" t="n">
        <f aca="false">gcap_googl_2026*ai_sh</f>
        <v>170</v>
      </c>
      <c r="G231" s="8" t="n">
        <f aca="false">gcap_googl_2027*ai_sh</f>
        <v>246.810369</v>
      </c>
      <c r="H231" s="8" t="n">
        <f aca="false">gcap_googl_2028*ai_sh</f>
        <v>269.78900975</v>
      </c>
      <c r="I231" s="8" t="n">
        <f aca="false">gcap_googl_2029*ai_sh</f>
        <v>248.6767412</v>
      </c>
    </row>
    <row r="232" customFormat="false" ht="17.15" hidden="false" customHeight="false" outlineLevel="0" collapsed="false">
      <c r="A232" s="0" t="s">
        <v>1470</v>
      </c>
      <c r="B232" s="0" t="s">
        <v>1209</v>
      </c>
      <c r="D232" s="8" t="n">
        <f aca="false">IF(ISNUMBER(D231),(pit_googl_2024/(pit_googl_2024+pfac_googl_2024)*D231+pfac_googl_2024/(pit_googl_2024+pfac_googl_2024)*IF(AND(ISNUMBER(""),ISNUMBER("")),wb1_lo*""+wb2_lo*"",IF(ISNUMBER(""),"",D231)))/(pit_googl_2024+pfac_googl_2024),site_googl_2024)</f>
        <v>1.22628577156267</v>
      </c>
      <c r="E232" s="8" t="n">
        <f aca="false">IF(ISNUMBER(E231),(pit_googl_2025/(pit_googl_2025+pfac_googl_2025)*E231+pfac_googl_2025/(pit_googl_2025+pfac_googl_2025)*IF(AND(ISNUMBER(D231),ISNUMBER("")),wb1_lo*D231+wb2_lo*"",IF(ISNUMBER(D231),D231,E231)))/(pit_googl_2025+pfac_googl_2025),site_googl_2025)</f>
        <v>1.90684085060084</v>
      </c>
      <c r="F232" s="8" t="n">
        <f aca="false">IF(ISNUMBER(F231),(pit_googl_2026/(pit_googl_2026+pfac_googl_2026)*F231+pfac_googl_2026/(pit_googl_2026+pfac_googl_2026)*IF(AND(ISNUMBER(E231),ISNUMBER(D231)),wb1_lo*E231+wb2_lo*D231,IF(ISNUMBER(E231),E231,F231)))/(pit_googl_2026+pfac_googl_2026),site_googl_2026)</f>
        <v>3.85777511610307</v>
      </c>
      <c r="G232" s="8" t="n">
        <f aca="false">IF(ISNUMBER(G231),(pit_googl_2027/(pit_googl_2027+pfac_googl_2027)*G231+pfac_googl_2027/(pit_googl_2027+pfac_googl_2027)*IF(AND(ISNUMBER(F231),ISNUMBER(E231)),wb1_lo*F231+wb2_lo*E231,IF(ISNUMBER(F231),F231,G231)))/(pit_googl_2027+pfac_googl_2027),site_googl_2027)</f>
        <v>5.82092546919099</v>
      </c>
      <c r="H232" s="8" t="n">
        <f aca="false">IF(ISNUMBER(H231),(pit_googl_2028/(pit_googl_2028+pfac_googl_2028)*H231+pfac_googl_2028/(pit_googl_2028+pfac_googl_2028)*IF(AND(ISNUMBER(G231),ISNUMBER(F231)),wb1_lo*G231+wb2_lo*F231,IF(ISNUMBER(G231),G231,H231)))/(pit_googl_2028+pfac_googl_2028),site_googl_2028)</f>
        <v>6.63165116774394</v>
      </c>
      <c r="I232" s="8" t="n">
        <f aca="false">IF(ISNUMBER(I231),(pit_googl_2029/(pit_googl_2029+pfac_googl_2029)*I231+pfac_googl_2029/(pit_googl_2029+pfac_googl_2029)*IF(AND(ISNUMBER(H231),ISNUMBER(G231)),wb1_lo*H231+wb2_lo*G231,IF(ISNUMBER(H231),H231,I231)))/(pit_googl_2029+pfac_googl_2029),site_googl_2029)</f>
        <v>6.3741772756474</v>
      </c>
    </row>
    <row r="233" customFormat="false" ht="17.15" hidden="false" customHeight="false" outlineLevel="0" collapsed="false">
      <c r="A233" s="0" t="s">
        <v>1471</v>
      </c>
      <c r="B233" s="0" t="s">
        <v>1211</v>
      </c>
      <c r="E233" s="8" t="n">
        <f aca="false">(1-lag)*E232+lag*D232-inv_k*(E232-D232)</f>
        <v>1.58357718805771</v>
      </c>
      <c r="F233" s="8" t="n">
        <f aca="false">(1-lag)*F232+lag*E232-inv_k*(F232-E232)</f>
        <v>2.93108133998951</v>
      </c>
      <c r="G233" s="8" t="n">
        <f aca="false">(1-lag)*G232+lag*F232-inv_k*(G232-F232)</f>
        <v>4.88842905147423</v>
      </c>
      <c r="H233" s="8" t="n">
        <f aca="false">(1-lag)*H232+lag*G232-inv_k*(H232-G232)</f>
        <v>6.24655646093129</v>
      </c>
      <c r="I233" s="8" t="n">
        <f aca="false">(1-lag)*I232+lag*H232-inv_k*(I232-H232)</f>
        <v>6.49647737439326</v>
      </c>
    </row>
    <row r="234" customFormat="false" ht="17.15" hidden="false" customHeight="false" outlineLevel="0" collapsed="false">
      <c r="A234" s="0" t="s">
        <v>1472</v>
      </c>
      <c r="B234" s="0" t="s">
        <v>1217</v>
      </c>
      <c r="D234" s="8" t="n">
        <f aca="false">site_googl_2024</f>
        <v>1.32980834349181</v>
      </c>
      <c r="E234" s="8" t="n">
        <f aca="false">site_googl_2025</f>
        <v>2.40961330082622</v>
      </c>
      <c r="F234" s="8" t="n">
        <f aca="false">site_googl_2026</f>
        <v>1.29267912772586</v>
      </c>
      <c r="G234" s="8" t="n">
        <f aca="false">site_googl_2027</f>
        <v>1.626</v>
      </c>
      <c r="H234" s="8" t="n">
        <f aca="false">site_googl_2028</f>
        <v>0.833333333333334</v>
      </c>
      <c r="I234" s="8" t="n">
        <f aca="false">site_googl_2029</f>
        <v>0</v>
      </c>
    </row>
    <row r="235" customFormat="false" ht="17.15" hidden="false" customHeight="false" outlineLevel="0" collapsed="false">
      <c r="A235" s="0" t="s">
        <v>1473</v>
      </c>
      <c r="B235" s="0" t="s">
        <v>1219</v>
      </c>
      <c r="D235" s="8" t="str">
        <f aca="false">IF(ISNUMBER(ai2_amzn_2024),ai2_amzn_2024,"")</f>
        <v/>
      </c>
      <c r="E235" s="8" t="n">
        <f aca="false">IF(ISNUMBER(ai2_amzn_2025),ai2_amzn_2025,"")</f>
        <v>87.2576</v>
      </c>
      <c r="F235" s="8" t="n">
        <f aca="false">IF(ISNUMBER(ai2_amzn_2026),ai2_amzn_2026,"")</f>
        <v>149.6</v>
      </c>
      <c r="G235" s="8" t="n">
        <f aca="false">IF(ISNUMBER(ai2_amzn_2027),ai2_amzn_2027,"")</f>
        <v>187.04284</v>
      </c>
      <c r="H235" s="8" t="n">
        <f aca="false">IF(ISNUMBER(ai2_amzn_2028),ai2_amzn_2028,"")</f>
        <v>199.19036</v>
      </c>
      <c r="I235" s="8" t="n">
        <f aca="false">IF(ISNUMBER(ai2_amzn_2029),ai2_amzn_2029,"")</f>
        <v>219.109396</v>
      </c>
    </row>
    <row r="236" customFormat="false" ht="17.15" hidden="false" customHeight="false" outlineLevel="0" collapsed="false">
      <c r="A236" s="0" t="s">
        <v>1474</v>
      </c>
      <c r="B236" s="0" t="s">
        <v>1221</v>
      </c>
      <c r="D236" s="8" t="n">
        <f aca="false">IF(ISNUMBER(D235),(pit_amzn_2024/(pit_amzn_2024+pfac_amzn_2024)*D235+pfac_amzn_2024/(pit_amzn_2024+pfac_amzn_2024)*IF(AND(ISNUMBER(""),ISNUMBER("")),wb1_lo*""+wb2_lo*"",IF(ISNUMBER(""),"",D235)))/(pit_amzn_2024+pfac_amzn_2024),site_amzn_2024)</f>
        <v>0</v>
      </c>
      <c r="E236" s="8" t="n">
        <f aca="false">IF(ISNUMBER(E235),(pit_amzn_2025/(pit_amzn_2025+pfac_amzn_2025)*E235+pfac_amzn_2025/(pit_amzn_2025+pfac_amzn_2025)*IF(AND(ISNUMBER(D235),ISNUMBER("")),wb1_lo*D235+wb2_lo*"",IF(ISNUMBER(D235),D235,E235)))/(pit_amzn_2025+pfac_amzn_2025),site_amzn_2025)</f>
        <v>2.6200438487091</v>
      </c>
      <c r="F236" s="8" t="n">
        <f aca="false">IF(ISNUMBER(F235),(pit_amzn_2026/(pit_amzn_2026+pfac_amzn_2026)*F235+pfac_amzn_2026/(pit_amzn_2026+pfac_amzn_2026)*IF(AND(ISNUMBER(E235),ISNUMBER(D235)),wb1_lo*E235+wb2_lo*D235,IF(ISNUMBER(E235),E235,F235)))/(pit_amzn_2026+pfac_amzn_2026),site_amzn_2026)</f>
        <v>3.72830685774426</v>
      </c>
      <c r="G236" s="8" t="n">
        <f aca="false">IF(ISNUMBER(G235),(pit_amzn_2027/(pit_amzn_2027+pfac_amzn_2027)*G235+pfac_amzn_2027/(pit_amzn_2027+pfac_amzn_2027)*IF(AND(ISNUMBER(F235),ISNUMBER(E235)),wb1_lo*F235+wb2_lo*E235,IF(ISNUMBER(F235),F235,G235)))/(pit_amzn_2027+pfac_amzn_2027),site_amzn_2027)</f>
        <v>4.75383625682402</v>
      </c>
      <c r="H236" s="8" t="n">
        <f aca="false">IF(ISNUMBER(H235),(pit_amzn_2028/(pit_amzn_2028+pfac_amzn_2028)*H235+pfac_amzn_2028/(pit_amzn_2028+pfac_amzn_2028)*IF(AND(ISNUMBER(G235),ISNUMBER(F235)),wb1_lo*G235+wb2_lo*F235,IF(ISNUMBER(G235),G235,H235)))/(pit_amzn_2028+pfac_amzn_2028),site_amzn_2028)</f>
        <v>5.11531081756494</v>
      </c>
      <c r="I236" s="8" t="n">
        <f aca="false">IF(ISNUMBER(I235),(pit_amzn_2029/(pit_amzn_2029+pfac_amzn_2029)*I235+pfac_amzn_2029/(pit_amzn_2029+pfac_amzn_2029)*IF(AND(ISNUMBER(H235),ISNUMBER(G235)),wb1_lo*H235+wb2_lo*G235,IF(ISNUMBER(H235),H235,I235)))/(pit_amzn_2029+pfac_amzn_2029),site_amzn_2029)</f>
        <v>5.58513934379948</v>
      </c>
    </row>
    <row r="237" customFormat="false" ht="17.15" hidden="false" customHeight="false" outlineLevel="0" collapsed="false">
      <c r="A237" s="0" t="s">
        <v>1475</v>
      </c>
      <c r="B237" s="0" t="s">
        <v>1223</v>
      </c>
      <c r="E237" s="8" t="n">
        <f aca="false">(1-lag)*E236+lag*D236-inv_k*(E236-D236)</f>
        <v>1.37552302057228</v>
      </c>
      <c r="F237" s="8" t="n">
        <f aca="false">(1-lag)*F236+lag*E236-inv_k*(F236-E236)</f>
        <v>3.20188192845256</v>
      </c>
      <c r="G237" s="8" t="n">
        <f aca="false">(1-lag)*G236+lag*F236-inv_k*(G236-F236)</f>
        <v>4.26670979226113</v>
      </c>
      <c r="H237" s="8" t="n">
        <f aca="false">(1-lag)*H236+lag*G236-inv_k*(H236-G236)</f>
        <v>4.943610401213</v>
      </c>
      <c r="I237" s="8" t="n">
        <f aca="false">(1-lag)*I236+lag*H236-inv_k*(I236-H236)</f>
        <v>5.36197079383807</v>
      </c>
    </row>
    <row r="238" customFormat="false" ht="17.15" hidden="false" customHeight="false" outlineLevel="0" collapsed="false">
      <c r="A238" s="0" t="s">
        <v>1476</v>
      </c>
      <c r="B238" s="0" t="s">
        <v>1225</v>
      </c>
      <c r="D238" s="8" t="n">
        <f aca="false">gcap_amzn_2024*ai_amzn</f>
        <v>52.80744</v>
      </c>
      <c r="E238" s="8" t="n">
        <f aca="false">gcap_amzn_2025*ai_amzn</f>
        <v>87.2576</v>
      </c>
      <c r="F238" s="8" t="n">
        <f aca="false">gcap_amzn_2026*ai_amzn</f>
        <v>149.6</v>
      </c>
      <c r="G238" s="8" t="n">
        <f aca="false">gcap_amzn_2027*ai_amzn</f>
        <v>172.09445848</v>
      </c>
      <c r="H238" s="8" t="n">
        <f aca="false">gcap_amzn_2028*ai_amzn</f>
        <v>181.54066624</v>
      </c>
      <c r="I238" s="8" t="n">
        <f aca="false">gcap_amzn_2029*ai_amzn</f>
        <v>189.3160052</v>
      </c>
    </row>
    <row r="239" customFormat="false" ht="17.15" hidden="false" customHeight="false" outlineLevel="0" collapsed="false">
      <c r="A239" s="0" t="s">
        <v>1477</v>
      </c>
      <c r="B239" s="0" t="s">
        <v>1221</v>
      </c>
      <c r="D239" s="8" t="n">
        <f aca="false">IF(ISNUMBER(D238),(pit_amzn_2024/(pit_amzn_2024+pfac_amzn_2024)*D238+pfac_amzn_2024/(pit_amzn_2024+pfac_amzn_2024)*IF(AND(ISNUMBER(""),ISNUMBER("")),wb1_lo*""+wb2_lo*"",IF(ISNUMBER(""),"",D238)))/(pit_amzn_2024+pfac_amzn_2024),site_amzn_2024)</f>
        <v>1.56238534864816</v>
      </c>
      <c r="E239" s="8" t="n">
        <f aca="false">IF(ISNUMBER(E238),(pit_amzn_2025/(pit_amzn_2025+pfac_amzn_2025)*E238+pfac_amzn_2025/(pit_amzn_2025+pfac_amzn_2025)*IF(AND(ISNUMBER(D238),ISNUMBER("")),wb1_lo*D238+wb2_lo*"",IF(ISNUMBER(D238),D238,E238)))/(pit_amzn_2025+pfac_amzn_2025),site_amzn_2025)</f>
        <v>2.32934283296825</v>
      </c>
      <c r="F239" s="8" t="n">
        <f aca="false">IF(ISNUMBER(F238),(pit_amzn_2026/(pit_amzn_2026+pfac_amzn_2026)*F238+pfac_amzn_2026/(pit_amzn_2026+pfac_amzn_2026)*IF(AND(ISNUMBER(E238),ISNUMBER(D238)),wb1_lo*E238+wb2_lo*D238,IF(ISNUMBER(E238),E238,F238)))/(pit_amzn_2026+pfac_amzn_2026),site_amzn_2026)</f>
        <v>3.72830685774426</v>
      </c>
      <c r="G239" s="8" t="n">
        <f aca="false">IF(ISNUMBER(G238),(pit_amzn_2027/(pit_amzn_2027+pfac_amzn_2027)*G238+pfac_amzn_2027/(pit_amzn_2027+pfac_amzn_2027)*IF(AND(ISNUMBER(F238),ISNUMBER(E238)),wb1_lo*F238+wb2_lo*E238,IF(ISNUMBER(F238),F238,G238)))/(pit_amzn_2027+pfac_amzn_2027),site_amzn_2027)</f>
        <v>4.45402583072331</v>
      </c>
      <c r="H239" s="8" t="n">
        <f aca="false">IF(ISNUMBER(H238),(pit_amzn_2028/(pit_amzn_2028+pfac_amzn_2028)*H238+pfac_amzn_2028/(pit_amzn_2028+pfac_amzn_2028)*IF(AND(ISNUMBER(G238),ISNUMBER(F238)),wb1_lo*G238+wb2_lo*F238,IF(ISNUMBER(G238),G238,H238)))/(pit_amzn_2028+pfac_amzn_2028),site_amzn_2028)</f>
        <v>4.67239270473511</v>
      </c>
      <c r="I239" s="8" t="n">
        <f aca="false">IF(ISNUMBER(I238),(pit_amzn_2029/(pit_amzn_2029+pfac_amzn_2029)*I238+pfac_amzn_2029/(pit_amzn_2029+pfac_amzn_2029)*IF(AND(ISNUMBER(H238),ISNUMBER(G238)),wb1_lo*H238+wb2_lo*G238,IF(ISNUMBER(H238),H238,I238)))/(pit_amzn_2029+pfac_amzn_2029),site_amzn_2029)</f>
        <v>4.88571038643782</v>
      </c>
    </row>
    <row r="240" customFormat="false" ht="17.15" hidden="false" customHeight="false" outlineLevel="0" collapsed="false">
      <c r="A240" s="0" t="s">
        <v>1478</v>
      </c>
      <c r="B240" s="0" t="s">
        <v>1223</v>
      </c>
      <c r="E240" s="8" t="n">
        <f aca="false">(1-lag)*E239+lag*D239-inv_k*(E239-D239)</f>
        <v>1.96503802791621</v>
      </c>
      <c r="F240" s="8" t="n">
        <f aca="false">(1-lag)*F239+lag*E239-inv_k*(F239-E239)</f>
        <v>3.06379894597566</v>
      </c>
      <c r="G240" s="8" t="n">
        <f aca="false">(1-lag)*G239+lag*F239-inv_k*(G239-F239)</f>
        <v>4.10930931855826</v>
      </c>
      <c r="H240" s="8" t="n">
        <f aca="false">(1-lag)*H239+lag*G239-inv_k*(H239-G239)</f>
        <v>4.56866843957951</v>
      </c>
      <c r="I240" s="8" t="n">
        <f aca="false">(1-lag)*I239+lag*H239-inv_k*(I239-H239)</f>
        <v>4.78438448762904</v>
      </c>
    </row>
    <row r="241" customFormat="false" ht="17.15" hidden="false" customHeight="false" outlineLevel="0" collapsed="false">
      <c r="A241" s="0" t="s">
        <v>1479</v>
      </c>
      <c r="B241" s="0" t="s">
        <v>1229</v>
      </c>
      <c r="D241" s="8" t="n">
        <f aca="false">site_amzn_2024</f>
        <v>0</v>
      </c>
      <c r="E241" s="8" t="n">
        <f aca="false">site_amzn_2025</f>
        <v>1.38971599402093</v>
      </c>
      <c r="F241" s="8" t="n">
        <f aca="false">site_amzn_2026</f>
        <v>0.527</v>
      </c>
      <c r="G241" s="8" t="n">
        <f aca="false">site_amzn_2027</f>
        <v>0.364</v>
      </c>
      <c r="H241" s="8" t="n">
        <f aca="false">site_amzn_2028</f>
        <v>1.744</v>
      </c>
      <c r="I241" s="8" t="n">
        <f aca="false">site_amzn_2029</f>
        <v>0.0620000000000003</v>
      </c>
    </row>
    <row r="242" customFormat="false" ht="17.15" hidden="false" customHeight="false" outlineLevel="0" collapsed="false">
      <c r="A242" s="0" t="s">
        <v>1480</v>
      </c>
      <c r="B242" s="0" t="s">
        <v>1231</v>
      </c>
      <c r="D242" s="8" t="str">
        <f aca="false">IF(ISNUMBER(ai2_meta_2024),ai2_meta_2024,"")</f>
        <v/>
      </c>
      <c r="E242" s="8" t="str">
        <f aca="false">IF(ISNUMBER(ai2_meta_2025),ai2_meta_2025,"")</f>
        <v/>
      </c>
      <c r="F242" s="8" t="n">
        <f aca="false">IF(ISNUMBER(ai2_meta_2026),ai2_meta_2026,"")</f>
        <v>119</v>
      </c>
      <c r="G242" s="8" t="n">
        <f aca="false">IF(ISNUMBER(ai2_meta_2027),ai2_meta_2027,"")</f>
        <v>130.9</v>
      </c>
      <c r="H242" s="8" t="n">
        <f aca="false">IF(ISNUMBER(ai2_meta_2028),ai2_meta_2028,"")</f>
        <v>143.99</v>
      </c>
      <c r="I242" s="8" t="n">
        <f aca="false">IF(ISNUMBER(ai2_meta_2029),ai2_meta_2029,"")</f>
        <v>158.389</v>
      </c>
    </row>
    <row r="243" customFormat="false" ht="17.15" hidden="false" customHeight="false" outlineLevel="0" collapsed="false">
      <c r="A243" s="0" t="s">
        <v>1481</v>
      </c>
      <c r="B243" s="0" t="s">
        <v>1233</v>
      </c>
      <c r="D243" s="8" t="n">
        <f aca="false">IF(ISNUMBER(D242),(pit_meta_2024/(pit_meta_2024+pfac_meta_2024)*D242+pfac_meta_2024/(pit_meta_2024+pfac_meta_2024)*IF(AND(ISNUMBER(""),ISNUMBER("")),wb1_lo*""+wb2_lo*"",IF(ISNUMBER(""),"",D242)))/(pit_meta_2024+pfac_meta_2024),site_meta_2024)</f>
        <v>0</v>
      </c>
      <c r="E243" s="8" t="n">
        <f aca="false">IF(ISNUMBER(E242),(pit_meta_2025/(pit_meta_2025+pfac_meta_2025)*E242+pfac_meta_2025/(pit_meta_2025+pfac_meta_2025)*IF(AND(ISNUMBER(D242),ISNUMBER("")),wb1_lo*D242+wb2_lo*"",IF(ISNUMBER(D242),D242,E242)))/(pit_meta_2025+pfac_meta_2025),site_meta_2025)</f>
        <v>1.50812</v>
      </c>
      <c r="F243" s="8" t="n">
        <f aca="false">IF(ISNUMBER(F242),(pit_meta_2026/(pit_meta_2026+pfac_meta_2026)*F242+pfac_meta_2026/(pit_meta_2026+pfac_meta_2026)*IF(AND(ISNUMBER(E242),ISNUMBER(D242)),wb1_lo*E242+wb2_lo*D242,IF(ISNUMBER(E242),E242,F242)))/(pit_meta_2026+pfac_meta_2026),site_meta_2026)</f>
        <v>2.62796503624796</v>
      </c>
      <c r="G243" s="8" t="n">
        <f aca="false">IF(ISNUMBER(G242),(pit_meta_2027/(pit_meta_2027+pfac_meta_2027)*G242+pfac_meta_2027/(pit_meta_2027+pfac_meta_2027)*IF(AND(ISNUMBER(F242),ISNUMBER(E242)),wb1_lo*F242+wb2_lo*E242,IF(ISNUMBER(F242),F242,G242)))/(pit_meta_2027+pfac_meta_2027),site_meta_2027)</f>
        <v>2.62451187863681</v>
      </c>
      <c r="H243" s="8" t="n">
        <f aca="false">IF(ISNUMBER(H242),(pit_meta_2028/(pit_meta_2028+pfac_meta_2028)*H242+pfac_meta_2028/(pit_meta_2028+pfac_meta_2028)*IF(AND(ISNUMBER(G242),ISNUMBER(F242)),wb1_lo*G242+wb2_lo*F242,IF(ISNUMBER(G242),G242,H242)))/(pit_meta_2028+pfac_meta_2028),site_meta_2028)</f>
        <v>2.7642671514898</v>
      </c>
      <c r="I243" s="8" t="n">
        <f aca="false">IF(ISNUMBER(I242),(pit_meta_2029/(pit_meta_2029+pfac_meta_2029)*I242+pfac_meta_2029/(pit_meta_2029+pfac_meta_2029)*IF(AND(ISNUMBER(H242),ISNUMBER(G242)),wb1_lo*H242+wb2_lo*G242,IF(ISNUMBER(H242),H242,I242)))/(pit_meta_2029+pfac_meta_2029),site_meta_2029)</f>
        <v>3.04241143665279</v>
      </c>
    </row>
    <row r="244" customFormat="false" ht="17.15" hidden="false" customHeight="false" outlineLevel="0" collapsed="false">
      <c r="A244" s="0" t="s">
        <v>1482</v>
      </c>
      <c r="B244" s="0" t="s">
        <v>1235</v>
      </c>
      <c r="E244" s="8" t="n">
        <f aca="false">(1-lag)*E243+lag*D243-inv_k*(E243-D243)</f>
        <v>0.791763</v>
      </c>
      <c r="F244" s="8" t="n">
        <f aca="false">(1-lag)*F243+lag*E243-inv_k*(F243-E243)</f>
        <v>2.09603864403018</v>
      </c>
      <c r="G244" s="8" t="n">
        <f aca="false">(1-lag)*G243+lag*F243-inv_k*(G243-F243)</f>
        <v>2.62615212850211</v>
      </c>
      <c r="H244" s="8" t="n">
        <f aca="false">(1-lag)*H243+lag*G243-inv_k*(H243-G243)</f>
        <v>2.69788339688463</v>
      </c>
      <c r="I244" s="8" t="n">
        <f aca="false">(1-lag)*I243+lag*H243-inv_k*(I243-H243)</f>
        <v>2.91029290120037</v>
      </c>
    </row>
    <row r="245" customFormat="false" ht="17.15" hidden="false" customHeight="false" outlineLevel="0" collapsed="false">
      <c r="A245" s="0" t="s">
        <v>1483</v>
      </c>
      <c r="B245" s="0" t="s">
        <v>1237</v>
      </c>
      <c r="D245" s="8" t="n">
        <f aca="false">gcap_meta_2024*ai_sh</f>
        <v>33.34125</v>
      </c>
      <c r="E245" s="8" t="n">
        <f aca="false">gcap_meta_2025*ai_sh</f>
        <v>61.38275</v>
      </c>
      <c r="F245" s="8" t="n">
        <f aca="false">gcap_meta_2026*ai_sh</f>
        <v>119</v>
      </c>
      <c r="G245" s="8" t="n">
        <f aca="false">gcap_meta_2027*ai_sh</f>
        <v>174.8499963</v>
      </c>
      <c r="H245" s="8" t="n">
        <f aca="false">gcap_meta_2028*ai_sh</f>
        <v>186.39077355</v>
      </c>
      <c r="I245" s="8" t="n">
        <f aca="false">gcap_meta_2029*ai_sh</f>
        <v>165.57988355</v>
      </c>
    </row>
    <row r="246" customFormat="false" ht="17.15" hidden="false" customHeight="false" outlineLevel="0" collapsed="false">
      <c r="A246" s="0" t="s">
        <v>1484</v>
      </c>
      <c r="B246" s="0" t="s">
        <v>1233</v>
      </c>
      <c r="D246" s="8" t="n">
        <f aca="false">IF(ISNUMBER(D245),(pit_meta_2024/(pit_meta_2024+pfac_meta_2024)*D245+pfac_meta_2024/(pit_meta_2024+pfac_meta_2024)*IF(AND(ISNUMBER(""),ISNUMBER("")),wb1_lo*""+wb2_lo*"",IF(ISNUMBER(""),"",D245)))/(pit_meta_2024+pfac_meta_2024),site_meta_2024)</f>
        <v>0.817493736320288</v>
      </c>
      <c r="E246" s="8" t="n">
        <f aca="false">IF(ISNUMBER(E245),(pit_meta_2025/(pit_meta_2025+pfac_meta_2025)*E245+pfac_meta_2025/(pit_meta_2025+pfac_meta_2025)*IF(AND(ISNUMBER(D245),ISNUMBER("")),wb1_lo*D245+wb2_lo*"",IF(ISNUMBER(D245),D245,E245)))/(pit_meta_2025+pfac_meta_2025),site_meta_2025)</f>
        <v>1.33044623899154</v>
      </c>
      <c r="F246" s="8" t="n">
        <f aca="false">IF(ISNUMBER(F245),(pit_meta_2026/(pit_meta_2026+pfac_meta_2026)*F245+pfac_meta_2026/(pit_meta_2026+pfac_meta_2026)*IF(AND(ISNUMBER(E245),ISNUMBER(D245)),wb1_lo*E245+wb2_lo*D245,IF(ISNUMBER(E245),E245,F245)))/(pit_meta_2026+pfac_meta_2026),site_meta_2026)</f>
        <v>2.28466617790427</v>
      </c>
      <c r="G246" s="8" t="n">
        <f aca="false">IF(ISNUMBER(G245),(pit_meta_2027/(pit_meta_2027+pfac_meta_2027)*G245+pfac_meta_2027/(pit_meta_2027+pfac_meta_2027)*IF(AND(ISNUMBER(F245),ISNUMBER(E245)),wb1_lo*F245+wb2_lo*E245,IF(ISNUMBER(F245),F245,G245)))/(pit_meta_2027+pfac_meta_2027),site_meta_2027)</f>
        <v>3.30138115128194</v>
      </c>
      <c r="H246" s="8" t="n">
        <f aca="false">IF(ISNUMBER(H245),(pit_meta_2028/(pit_meta_2028+pfac_meta_2028)*H245+pfac_meta_2028/(pit_meta_2028+pfac_meta_2028)*IF(AND(ISNUMBER(G245),ISNUMBER(F245)),wb1_lo*G245+wb2_lo*F245,IF(ISNUMBER(G245),G245,H245)))/(pit_meta_2028+pfac_meta_2028),site_meta_2028)</f>
        <v>3.60355988552346</v>
      </c>
      <c r="I246" s="8" t="n">
        <f aca="false">IF(ISNUMBER(I245),(pit_meta_2029/(pit_meta_2029+pfac_meta_2029)*I245+pfac_meta_2029/(pit_meta_2029+pfac_meta_2029)*IF(AND(ISNUMBER(H245),ISNUMBER(G245)),wb1_lo*H245+wb2_lo*G245,IF(ISNUMBER(H245),H245,I245)))/(pit_meta_2029+pfac_meta_2029),site_meta_2029)</f>
        <v>3.34855758593315</v>
      </c>
    </row>
    <row r="247" customFormat="false" ht="17.15" hidden="false" customHeight="false" outlineLevel="0" collapsed="false">
      <c r="A247" s="0" t="s">
        <v>1485</v>
      </c>
      <c r="B247" s="0" t="s">
        <v>1235</v>
      </c>
      <c r="E247" s="8" t="n">
        <f aca="false">(1-lag)*E246+lag*D246-inv_k*(E246-D246)</f>
        <v>1.08679380022269</v>
      </c>
      <c r="F247" s="8" t="n">
        <f aca="false">(1-lag)*F246+lag*E246-inv_k*(F246-E246)</f>
        <v>1.83141170692072</v>
      </c>
      <c r="G247" s="8" t="n">
        <f aca="false">(1-lag)*G246+lag*F246-inv_k*(G246-F246)</f>
        <v>2.81844153892754</v>
      </c>
      <c r="H247" s="8" t="n">
        <f aca="false">(1-lag)*H246+lag*G246-inv_k*(H246-G246)</f>
        <v>3.46002498675874</v>
      </c>
      <c r="I247" s="8" t="n">
        <f aca="false">(1-lag)*I246+lag*H246-inv_k*(I246-H246)</f>
        <v>3.46968367823855</v>
      </c>
    </row>
    <row r="248" customFormat="false" ht="17.15" hidden="false" customHeight="false" outlineLevel="0" collapsed="false">
      <c r="A248" s="0" t="s">
        <v>1486</v>
      </c>
      <c r="B248" s="0" t="s">
        <v>1241</v>
      </c>
      <c r="D248" s="8" t="n">
        <f aca="false">site_meta_2024</f>
        <v>0</v>
      </c>
      <c r="E248" s="8" t="n">
        <f aca="false">site_meta_2025</f>
        <v>1.50812</v>
      </c>
      <c r="F248" s="8" t="n">
        <f aca="false">site_meta_2026</f>
        <v>0.676</v>
      </c>
      <c r="G248" s="8" t="n">
        <f aca="false">site_meta_2027</f>
        <v>0.615</v>
      </c>
      <c r="H248" s="8" t="n">
        <f aca="false">site_meta_2028</f>
        <v>2.99433333333333</v>
      </c>
      <c r="I248" s="8" t="n">
        <f aca="false">site_meta_2029</f>
        <v>0.968</v>
      </c>
    </row>
    <row r="249" customFormat="false" ht="17.15" hidden="false" customHeight="false" outlineLevel="0" collapsed="false">
      <c r="A249" s="0" t="s">
        <v>1487</v>
      </c>
      <c r="B249" s="0" t="s">
        <v>1243</v>
      </c>
      <c r="D249" s="8" t="str">
        <f aca="false">IF(ISNUMBER(ai2_orcl_2024),ai2_orcl_2024,"")</f>
        <v/>
      </c>
      <c r="E249" s="8" t="n">
        <f aca="false">IF(ISNUMBER(ai2_orcl_2025),ai2_orcl_2025,"")</f>
        <v>35.1132166666667</v>
      </c>
      <c r="F249" s="8" t="n">
        <f aca="false">IF(ISNUMBER(ai2_orcl_2026),ai2_orcl_2026,"")</f>
        <v>65.5785625</v>
      </c>
      <c r="G249" s="8" t="n">
        <f aca="false">IF(ISNUMBER(ai2_orcl_2027),ai2_orcl_2027,"")</f>
        <v>82.8207416666667</v>
      </c>
      <c r="H249" s="8" t="n">
        <f aca="false">IF(ISNUMBER(ai2_orcl_2028),ai2_orcl_2028,"")</f>
        <v>77.8278416666667</v>
      </c>
      <c r="I249" s="8" t="n">
        <f aca="false">IF(ISNUMBER(ai2_orcl_2029),ai2_orcl_2029,"")</f>
        <v>76.3278466666667</v>
      </c>
    </row>
    <row r="250" customFormat="false" ht="17.15" hidden="false" customHeight="false" outlineLevel="0" collapsed="false">
      <c r="A250" s="0" t="s">
        <v>1488</v>
      </c>
      <c r="B250" s="0" t="s">
        <v>1245</v>
      </c>
      <c r="D250" s="8" t="n">
        <f aca="false">IF(ISNUMBER(D249),(pit_orcl_2024/(pit_orcl_2024+pfac_orcl_2024)*D249+pfac_orcl_2024/(pit_orcl_2024+pfac_orcl_2024)*IF(AND(ISNUMBER(""),ISNUMBER("")),wb1_lo*""+wb2_lo*"",IF(ISNUMBER(""),"",D249)))/(pit_orcl_2024+pfac_orcl_2024),site_orcl_2024)</f>
        <v>0</v>
      </c>
      <c r="E250" s="8" t="n">
        <f aca="false">IF(ISNUMBER(E249),(pit_orcl_2025/(pit_orcl_2025+pfac_orcl_2025)*E249+pfac_orcl_2025/(pit_orcl_2025+pfac_orcl_2025)*IF(AND(ISNUMBER(D249),ISNUMBER("")),wb1_lo*D249+wb2_lo*"",IF(ISNUMBER(D249),D249,E249)))/(pit_orcl_2025+pfac_orcl_2025),site_orcl_2025)</f>
        <v>0.885776418247533</v>
      </c>
      <c r="F250" s="8" t="n">
        <f aca="false">IF(ISNUMBER(F249),(pit_orcl_2026/(pit_orcl_2026+pfac_orcl_2026)*F249+pfac_orcl_2026/(pit_orcl_2026+pfac_orcl_2026)*IF(AND(ISNUMBER(E249),ISNUMBER(D249)),wb1_lo*E249+wb2_lo*D249,IF(ISNUMBER(E249),E249,F249)))/(pit_orcl_2026+pfac_orcl_2026),site_orcl_2026)</f>
        <v>1.26669929939621</v>
      </c>
      <c r="G250" s="8" t="n">
        <f aca="false">IF(ISNUMBER(G249),(pit_orcl_2027/(pit_orcl_2027+pfac_orcl_2027)*G249+pfac_orcl_2027/(pit_orcl_2027+pfac_orcl_2027)*IF(AND(ISNUMBER(F249),ISNUMBER(E249)),wb1_lo*F249+wb2_lo*E249,IF(ISNUMBER(F249),F249,G249)))/(pit_orcl_2027+pfac_orcl_2027),site_orcl_2027)</f>
        <v>1.61086507742391</v>
      </c>
      <c r="H250" s="8" t="n">
        <f aca="false">IF(ISNUMBER(H249),(pit_orcl_2028/(pit_orcl_2028+pfac_orcl_2028)*H249+pfac_orcl_2028/(pit_orcl_2028+pfac_orcl_2028)*IF(AND(ISNUMBER(G249),ISNUMBER(F249)),wb1_lo*G249+wb2_lo*F249,IF(ISNUMBER(G249),G249,H249)))/(pit_orcl_2028+pfac_orcl_2028),site_orcl_2028)</f>
        <v>1.55060781713579</v>
      </c>
      <c r="I250" s="8" t="n">
        <f aca="false">IF(ISNUMBER(I249),(pit_orcl_2029/(pit_orcl_2029+pfac_orcl_2029)*I249+pfac_orcl_2029/(pit_orcl_2029+pfac_orcl_2029)*IF(AND(ISNUMBER(H249),ISNUMBER(G249)),wb1_lo*H249+wb2_lo*G249,IF(ISNUMBER(H249),H249,I249)))/(pit_orcl_2029+pfac_orcl_2029),site_orcl_2029)</f>
        <v>1.50567769381404</v>
      </c>
    </row>
    <row r="251" customFormat="false" ht="17.15" hidden="false" customHeight="false" outlineLevel="0" collapsed="false">
      <c r="A251" s="0" t="s">
        <v>1489</v>
      </c>
      <c r="B251" s="0" t="s">
        <v>1247</v>
      </c>
      <c r="E251" s="8" t="n">
        <f aca="false">(1-lag)*E250+lag*D250-inv_k*(E250-D250)</f>
        <v>0.465032619579955</v>
      </c>
      <c r="F251" s="8" t="n">
        <f aca="false">(1-lag)*F250+lag*E250-inv_k*(F250-E250)</f>
        <v>1.08576093085059</v>
      </c>
      <c r="G251" s="8" t="n">
        <f aca="false">(1-lag)*G250+lag*F250-inv_k*(G250-F250)</f>
        <v>1.44738633286075</v>
      </c>
      <c r="H251" s="8" t="n">
        <f aca="false">(1-lag)*H250+lag*G250-inv_k*(H250-G250)</f>
        <v>1.57923001577265</v>
      </c>
      <c r="I251" s="8" t="n">
        <f aca="false">(1-lag)*I250+lag*H250-inv_k*(I250-H250)</f>
        <v>1.52701950239187</v>
      </c>
    </row>
    <row r="252" customFormat="false" ht="17.15" hidden="false" customHeight="false" outlineLevel="0" collapsed="false">
      <c r="A252" s="0" t="s">
        <v>1490</v>
      </c>
      <c r="B252" s="0" t="s">
        <v>1249</v>
      </c>
      <c r="D252" s="8" t="str">
        <f aca="false">""</f>
        <v/>
      </c>
      <c r="E252" s="8" t="n">
        <f aca="false">(5/12*cap2_orcl_2025+7/12*gcap_orcl_2026)*ai_sh</f>
        <v>35.1132166666667</v>
      </c>
      <c r="F252" s="8" t="n">
        <f aca="false">(5/12*gcap_orcl_2026+7/12*gcap_orcl_2027)*ai_sh</f>
        <v>65.5785625</v>
      </c>
      <c r="G252" s="8" t="n">
        <f aca="false">(5/12*gcap_orcl_2027+7/12*gcap_orcl_2028)*ai_sh</f>
        <v>75.599189975</v>
      </c>
      <c r="H252" s="8" t="n">
        <f aca="false">(5/12*gcap_orcl_2028+7/12*gcap_orcl_2029)*ai_sh</f>
        <v>49.4435487791667</v>
      </c>
      <c r="I252" s="8" t="n">
        <f aca="false">(5/12*gcap_orcl_2029+7/12*gcap_orcl_2030)*ai_sh</f>
        <v>23.382754125</v>
      </c>
    </row>
    <row r="253" customFormat="false" ht="17.15" hidden="false" customHeight="false" outlineLevel="0" collapsed="false">
      <c r="A253" s="0" t="s">
        <v>1491</v>
      </c>
      <c r="B253" s="0" t="s">
        <v>1245</v>
      </c>
      <c r="D253" s="8" t="n">
        <f aca="false">IF(ISNUMBER(D252),(pit_orcl_2024/(pit_orcl_2024+pfac_orcl_2024)*D252+pfac_orcl_2024/(pit_orcl_2024+pfac_orcl_2024)*IF(AND(ISNUMBER(""),ISNUMBER("")),wb1_lo*""+wb2_lo*"",IF(ISNUMBER(""),"",D252)))/(pit_orcl_2024+pfac_orcl_2024),site_orcl_2024)</f>
        <v>0</v>
      </c>
      <c r="E253" s="8" t="n">
        <f aca="false">IF(ISNUMBER(E252),(pit_orcl_2025/(pit_orcl_2025+pfac_orcl_2025)*E252+pfac_orcl_2025/(pit_orcl_2025+pfac_orcl_2025)*IF(AND(ISNUMBER(D252),ISNUMBER("")),wb1_lo*D252+wb2_lo*"",IF(ISNUMBER(D252),D252,E252)))/(pit_orcl_2025+pfac_orcl_2025),site_orcl_2025)</f>
        <v>0.885776418247532</v>
      </c>
      <c r="F253" s="8" t="n">
        <f aca="false">IF(ISNUMBER(F252),(pit_orcl_2026/(pit_orcl_2026+pfac_orcl_2026)*F252+pfac_orcl_2026/(pit_orcl_2026+pfac_orcl_2026)*IF(AND(ISNUMBER(E252),ISNUMBER(D252)),wb1_lo*E252+wb2_lo*D252,IF(ISNUMBER(E252),E252,F252)))/(pit_orcl_2026+pfac_orcl_2026),site_orcl_2026)</f>
        <v>1.26669929939621</v>
      </c>
      <c r="G253" s="8" t="n">
        <f aca="false">IF(ISNUMBER(G252),(pit_orcl_2027/(pit_orcl_2027+pfac_orcl_2027)*G252+pfac_orcl_2027/(pit_orcl_2027+pfac_orcl_2027)*IF(AND(ISNUMBER(F252),ISNUMBER(E252)),wb1_lo*F252+wb2_lo*E252,IF(ISNUMBER(F252),F252,G252)))/(pit_orcl_2027+pfac_orcl_2027),site_orcl_2027)</f>
        <v>1.49964671900717</v>
      </c>
      <c r="H253" s="8" t="n">
        <f aca="false">IF(ISNUMBER(H252),(pit_orcl_2028/(pit_orcl_2028+pfac_orcl_2028)*H252+pfac_orcl_2028/(pit_orcl_2028+pfac_orcl_2028)*IF(AND(ISNUMBER(G252),ISNUMBER(F252)),wb1_lo*G252+wb2_lo*F252,IF(ISNUMBER(G252),G252,H252)))/(pit_orcl_2028+pfac_orcl_2028),site_orcl_2028)</f>
        <v>1.09269048431269</v>
      </c>
      <c r="I253" s="8" t="n">
        <f aca="false">IF(ISNUMBER(I252),(pit_orcl_2029/(pit_orcl_2029+pfac_orcl_2029)*I252+pfac_orcl_2029/(pit_orcl_2029+pfac_orcl_2029)*IF(AND(ISNUMBER(H252),ISNUMBER(G252)),wb1_lo*H252+wb2_lo*G252,IF(ISNUMBER(H252),H252,I252)))/(pit_orcl_2029+pfac_orcl_2029),site_orcl_2029)</f>
        <v>0.581200237662124</v>
      </c>
    </row>
    <row r="254" customFormat="false" ht="17.15" hidden="false" customHeight="false" outlineLevel="0" collapsed="false">
      <c r="A254" s="0" t="s">
        <v>1492</v>
      </c>
      <c r="B254" s="0" t="s">
        <v>1247</v>
      </c>
      <c r="E254" s="8" t="n">
        <f aca="false">(1-lag)*E253+lag*D253-inv_k*(E253-D253)</f>
        <v>0.465032619579954</v>
      </c>
      <c r="F254" s="8" t="n">
        <f aca="false">(1-lag)*F253+lag*E253-inv_k*(F253-E253)</f>
        <v>1.08576093085059</v>
      </c>
      <c r="G254" s="8" t="n">
        <f aca="false">(1-lag)*G253+lag*F253-inv_k*(G253-F253)</f>
        <v>1.38899669469197</v>
      </c>
      <c r="H254" s="8" t="n">
        <f aca="false">(1-lag)*H253+lag*G253-inv_k*(H253-G253)</f>
        <v>1.28599469579257</v>
      </c>
      <c r="I254" s="8" t="n">
        <f aca="false">(1-lag)*I253+lag*H253-inv_k*(I253-H253)</f>
        <v>0.824158104821142</v>
      </c>
    </row>
    <row r="255" customFormat="false" ht="17.15" hidden="false" customHeight="false" outlineLevel="0" collapsed="false">
      <c r="A255" s="0" t="s">
        <v>1493</v>
      </c>
      <c r="B255" s="0" t="s">
        <v>1253</v>
      </c>
      <c r="D255" s="8" t="n">
        <f aca="false">site_orcl_2024</f>
        <v>0</v>
      </c>
      <c r="E255" s="8" t="n">
        <f aca="false">site_orcl_2025</f>
        <v>0.816405</v>
      </c>
      <c r="F255" s="8" t="n">
        <f aca="false">site_orcl_2026</f>
        <v>1.54613</v>
      </c>
      <c r="G255" s="8" t="n">
        <f aca="false">site_orcl_2027</f>
        <v>0.944166666666667</v>
      </c>
      <c r="H255" s="8" t="n">
        <f aca="false">site_orcl_2028</f>
        <v>4.91166666666667</v>
      </c>
      <c r="I255" s="8" t="n">
        <f aca="false">site_orcl_2029</f>
        <v>0</v>
      </c>
    </row>
    <row r="256" customFormat="false" ht="17.15" hidden="false" customHeight="false" outlineLevel="0" collapsed="false">
      <c r="A256" s="0" t="s">
        <v>1494</v>
      </c>
      <c r="B256" s="0" t="s">
        <v>1255</v>
      </c>
      <c r="D256" s="8" t="str">
        <f aca="false">IF(ISNUMBER(ai2_crwv_2024),ai2_crwv_2024,"")</f>
        <v/>
      </c>
      <c r="E256" s="8" t="str">
        <f aca="false">IF(ISNUMBER(ai2_crwv_2025),ai2_crwv_2025,"")</f>
        <v/>
      </c>
      <c r="F256" s="8" t="n">
        <f aca="false">IF(ISNUMBER(ai2_crwv_2026),ai2_crwv_2026,"")</f>
        <v>31.45</v>
      </c>
      <c r="G256" s="8" t="n">
        <f aca="false">IF(ISNUMBER(ai2_crwv_2027),ai2_crwv_2027,"")</f>
        <v>39.5046</v>
      </c>
      <c r="H256" s="8" t="n">
        <f aca="false">IF(ISNUMBER(ai2_crwv_2028),ai2_crwv_2028,"")</f>
        <v>42.60965</v>
      </c>
      <c r="I256" s="8" t="n">
        <f aca="false">IF(ISNUMBER(ai2_crwv_2029),ai2_crwv_2029,"")</f>
        <v>46.870615</v>
      </c>
    </row>
    <row r="257" customFormat="false" ht="17.15" hidden="false" customHeight="false" outlineLevel="0" collapsed="false">
      <c r="A257" s="0" t="s">
        <v>1495</v>
      </c>
      <c r="B257" s="0" t="s">
        <v>1257</v>
      </c>
      <c r="D257" s="8" t="n">
        <f aca="false">IF(ISNUMBER(D256),(pit_crwv_2024/(pit_crwv_2024+pfac_crwv_2024)*D256+pfac_crwv_2024/(pit_crwv_2024+pfac_crwv_2024)*IF(AND(ISNUMBER(""),ISNUMBER("")),wb1_lo*""+wb2_lo*"",IF(ISNUMBER(""),"",D256)))/(pit_crwv_2024+pfac_crwv_2024),site_crwv_2024)</f>
        <v>0.29</v>
      </c>
      <c r="E257" s="8" t="n">
        <f aca="false">IF(ISNUMBER(E256),(pit_crwv_2025/(pit_crwv_2025+pfac_crwv_2025)*E256+pfac_crwv_2025/(pit_crwv_2025+pfac_crwv_2025)*IF(AND(ISNUMBER(D256),ISNUMBER("")),wb1_lo*D256+wb2_lo*"",IF(ISNUMBER(D256),D256,E256)))/(pit_crwv_2025+pfac_crwv_2025),site_crwv_2025)</f>
        <v>0.49</v>
      </c>
      <c r="F257" s="8" t="n">
        <f aca="false">IF(ISNUMBER(F256),(pit_crwv_2026/(pit_crwv_2026+pfac_crwv_2026)*F256+pfac_crwv_2026/(pit_crwv_2026+pfac_crwv_2026)*IF(AND(ISNUMBER(E256),ISNUMBER(D256)),wb1_lo*E256+wb2_lo*D256,IF(ISNUMBER(E256),E256,F256)))/(pit_crwv_2026+pfac_crwv_2026),site_crwv_2026)</f>
        <v>0.6824489639016</v>
      </c>
      <c r="G257" s="8" t="n">
        <f aca="false">IF(ISNUMBER(G256),(pit_crwv_2027/(pit_crwv_2027+pfac_crwv_2027)*G256+pfac_crwv_2027/(pit_crwv_2027+pfac_crwv_2027)*IF(AND(ISNUMBER(F256),ISNUMBER(E256)),wb1_lo*F256+wb2_lo*E256,IF(ISNUMBER(F256),F256,G256)))/(pit_crwv_2027+pfac_crwv_2027),site_crwv_2027)</f>
        <v>0.735222622408663</v>
      </c>
      <c r="H257" s="8" t="n">
        <f aca="false">IF(ISNUMBER(H256),(pit_crwv_2028/(pit_crwv_2028+pfac_crwv_2028)*H256+pfac_crwv_2028/(pit_crwv_2028+pfac_crwv_2028)*IF(AND(ISNUMBER(G256),ISNUMBER(F256)),wb1_lo*G256+wb2_lo*F256,IF(ISNUMBER(G256),G256,H256)))/(pit_crwv_2028+pfac_crwv_2028),site_crwv_2028)</f>
        <v>0.775539185621653</v>
      </c>
      <c r="I257" s="8" t="n">
        <f aca="false">IF(ISNUMBER(I256),(pit_crwv_2029/(pit_crwv_2029+pfac_crwv_2029)*I256+pfac_crwv_2029/(pit_crwv_2029+pfac_crwv_2029)*IF(AND(ISNUMBER(H256),ISNUMBER(G256)),wb1_lo*H256+wb2_lo*G256,IF(ISNUMBER(H256),H256,I256)))/(pit_crwv_2029+pfac_crwv_2029),site_crwv_2029)</f>
        <v>0.849420160073554</v>
      </c>
    </row>
    <row r="258" customFormat="false" ht="17.15" hidden="false" customHeight="false" outlineLevel="0" collapsed="false">
      <c r="A258" s="0" t="s">
        <v>1496</v>
      </c>
      <c r="B258" s="0" t="s">
        <v>1259</v>
      </c>
      <c r="E258" s="8" t="n">
        <f aca="false">(1-lag)*E257+lag*D257-inv_k*(E257-D257)</f>
        <v>0.395</v>
      </c>
      <c r="F258" s="8" t="n">
        <f aca="false">(1-lag)*F257+lag*E257-inv_k*(F257-E257)</f>
        <v>0.59103570604834</v>
      </c>
      <c r="G258" s="8" t="n">
        <f aca="false">(1-lag)*G257+lag*F257-inv_k*(G257-F257)</f>
        <v>0.710155134617808</v>
      </c>
      <c r="H258" s="8" t="n">
        <f aca="false">(1-lag)*H257+lag*G257-inv_k*(H257-G257)</f>
        <v>0.756388818095483</v>
      </c>
      <c r="I258" s="8" t="n">
        <f aca="false">(1-lag)*I257+lag*H257-inv_k*(I257-H257)</f>
        <v>0.814326697208901</v>
      </c>
    </row>
    <row r="259" customFormat="false" ht="17.15" hidden="false" customHeight="false" outlineLevel="0" collapsed="false">
      <c r="A259" s="0" t="s">
        <v>1497</v>
      </c>
      <c r="B259" s="0" t="s">
        <v>1261</v>
      </c>
      <c r="D259" s="8" t="str">
        <f aca="false">""</f>
        <v/>
      </c>
      <c r="E259" s="8" t="str">
        <f aca="false">""</f>
        <v/>
      </c>
      <c r="F259" s="8" t="n">
        <f aca="false">gcap_crwv_2026*ai_sh</f>
        <v>28.0313</v>
      </c>
      <c r="G259" s="8" t="n">
        <f aca="false">gcap_crwv_2027*ai_sh</f>
        <v>33.45858485</v>
      </c>
      <c r="H259" s="8" t="n">
        <f aca="false">gcap_crwv_2028*ai_sh</f>
        <v>27.6353649</v>
      </c>
      <c r="I259" s="8" t="n">
        <f aca="false">gcap_crwv_2029*ai_sh</f>
        <v>27.7951071</v>
      </c>
    </row>
    <row r="260" customFormat="false" ht="17.15" hidden="false" customHeight="false" outlineLevel="0" collapsed="false">
      <c r="A260" s="0" t="s">
        <v>1498</v>
      </c>
      <c r="B260" s="0" t="s">
        <v>1257</v>
      </c>
      <c r="D260" s="8" t="n">
        <f aca="false">IF(ISNUMBER(D259),(pit_crwv_2024/(pit_crwv_2024+pfac_crwv_2024)*D259+pfac_crwv_2024/(pit_crwv_2024+pfac_crwv_2024)*IF(AND(ISNUMBER(""),ISNUMBER("")),wb1_lo*""+wb2_lo*"",IF(ISNUMBER(""),"",D259)))/(pit_crwv_2024+pfac_crwv_2024),site_crwv_2024)</f>
        <v>0.29</v>
      </c>
      <c r="E260" s="8" t="n">
        <f aca="false">IF(ISNUMBER(E259),(pit_crwv_2025/(pit_crwv_2025+pfac_crwv_2025)*E259+pfac_crwv_2025/(pit_crwv_2025+pfac_crwv_2025)*IF(AND(ISNUMBER(D259),ISNUMBER("")),wb1_lo*D259+wb2_lo*"",IF(ISNUMBER(D259),D259,E259)))/(pit_crwv_2025+pfac_crwv_2025),site_crwv_2025)</f>
        <v>0.49</v>
      </c>
      <c r="F260" s="8" t="n">
        <f aca="false">IF(ISNUMBER(F259),(pit_crwv_2026/(pit_crwv_2026+pfac_crwv_2026)*F259+pfac_crwv_2026/(pit_crwv_2026+pfac_crwv_2026)*IF(AND(ISNUMBER(E259),ISNUMBER(D259)),wb1_lo*E259+wb2_lo*D259,IF(ISNUMBER(E259),E259,F259)))/(pit_crwv_2026+pfac_crwv_2026),site_crwv_2026)</f>
        <v>0.608264917068837</v>
      </c>
      <c r="G260" s="8" t="n">
        <f aca="false">IF(ISNUMBER(G259),(pit_crwv_2027/(pit_crwv_2027+pfac_crwv_2027)*G259+pfac_crwv_2027/(pit_crwv_2027+pfac_crwv_2027)*IF(AND(ISNUMBER(F259),ISNUMBER(E259)),wb1_lo*F259+wb2_lo*E259,IF(ISNUMBER(F259),F259,G259)))/(pit_crwv_2027+pfac_crwv_2027),site_crwv_2027)</f>
        <v>0.629490424531811</v>
      </c>
      <c r="H260" s="8" t="n">
        <f aca="false">IF(ISNUMBER(H259),(pit_crwv_2028/(pit_crwv_2028+pfac_crwv_2028)*H259+pfac_crwv_2028/(pit_crwv_2028+pfac_crwv_2028)*IF(AND(ISNUMBER(G259),ISNUMBER(F259)),wb1_lo*G259+wb2_lo*F259,IF(ISNUMBER(G259),G259,H259)))/(pit_crwv_2028+pfac_crwv_2028),site_crwv_2028)</f>
        <v>0.537040574181456</v>
      </c>
      <c r="I260" s="8" t="n">
        <f aca="false">IF(ISNUMBER(I259),(pit_crwv_2029/(pit_crwv_2029+pfac_crwv_2029)*I259+pfac_crwv_2029/(pit_crwv_2029+pfac_crwv_2029)*IF(AND(ISNUMBER(H259),ISNUMBER(G259)),wb1_lo*H259+wb2_lo*G259,IF(ISNUMBER(H259),H259,I259)))/(pit_crwv_2029+pfac_crwv_2029),site_crwv_2029)</f>
        <v>0.51400521323629</v>
      </c>
    </row>
    <row r="261" customFormat="false" ht="17.15" hidden="false" customHeight="false" outlineLevel="0" collapsed="false">
      <c r="A261" s="0" t="s">
        <v>1499</v>
      </c>
      <c r="B261" s="0" t="s">
        <v>1259</v>
      </c>
      <c r="E261" s="8" t="n">
        <f aca="false">(1-lag)*E260+lag*D260-inv_k*(E260-D260)</f>
        <v>0.395</v>
      </c>
      <c r="F261" s="8" t="n">
        <f aca="false">(1-lag)*F260+lag*E260-inv_k*(F260-E260)</f>
        <v>0.552089081461139</v>
      </c>
      <c r="G261" s="8" t="n">
        <f aca="false">(1-lag)*G260+lag*F260-inv_k*(G260-F260)</f>
        <v>0.619408308486898</v>
      </c>
      <c r="H261" s="8" t="n">
        <f aca="false">(1-lag)*H260+lag*G260-inv_k*(H260-G260)</f>
        <v>0.580954253097875</v>
      </c>
      <c r="I261" s="8" t="n">
        <f aca="false">(1-lag)*I260+lag*H260-inv_k*(I260-H260)</f>
        <v>0.524947009685244</v>
      </c>
    </row>
    <row r="262" customFormat="false" ht="17.15" hidden="false" customHeight="false" outlineLevel="0" collapsed="false">
      <c r="A262" s="0" t="s">
        <v>1500</v>
      </c>
      <c r="B262" s="0" t="s">
        <v>1265</v>
      </c>
      <c r="D262" s="8" t="n">
        <f aca="false">site_crwv_2024</f>
        <v>0.29</v>
      </c>
      <c r="E262" s="8" t="n">
        <f aca="false">site_crwv_2025</f>
        <v>0.49</v>
      </c>
      <c r="F262" s="8" t="n">
        <f aca="false">site_crwv_2026</f>
        <v>1</v>
      </c>
      <c r="G262" s="8" t="n">
        <f aca="false">site_crwv_2027</f>
        <v>1.5375</v>
      </c>
      <c r="H262" s="8" t="n">
        <f aca="false">site_crwv_2028</f>
        <v>1.5375</v>
      </c>
      <c r="I262" s="8" t="n">
        <f aca="false">site_crwv_2029</f>
        <v>1.5375</v>
      </c>
    </row>
    <row r="263" customFormat="false" ht="17.15" hidden="false" customHeight="false" outlineLevel="0" collapsed="false">
      <c r="A263" s="0" t="s">
        <v>1501</v>
      </c>
      <c r="B263" s="0" t="s">
        <v>1267</v>
      </c>
      <c r="D263" s="8" t="str">
        <f aca="false">IF(ISNUMBER(ai2_nbis_2024),ai2_nbis_2024,"")</f>
        <v/>
      </c>
      <c r="E263" s="8" t="n">
        <f aca="false">IF(ISNUMBER(ai2_nbis_2025),ai2_nbis_2025,"")</f>
        <v>3.4561</v>
      </c>
      <c r="F263" s="8" t="n">
        <f aca="false">IF(ISNUMBER(ai2_nbis_2026),ai2_nbis_2026,"")</f>
        <v>19.125</v>
      </c>
      <c r="G263" s="8" t="n">
        <f aca="false">IF(ISNUMBER(ai2_nbis_2027),ai2_nbis_2027,"")</f>
        <v>23.15655</v>
      </c>
      <c r="H263" s="8" t="n">
        <f aca="false">IF(ISNUMBER(ai2_nbis_2028),ai2_nbis_2028,"")</f>
        <v>32.6315</v>
      </c>
      <c r="I263" s="8" t="n">
        <f aca="false">IF(ISNUMBER(ai2_nbis_2029),ai2_nbis_2029,"")</f>
        <v>35.89465</v>
      </c>
    </row>
    <row r="264" customFormat="false" ht="17.15" hidden="false" customHeight="false" outlineLevel="0" collapsed="false">
      <c r="A264" s="0" t="s">
        <v>1502</v>
      </c>
      <c r="B264" s="0" t="s">
        <v>1269</v>
      </c>
      <c r="D264" s="8" t="n">
        <f aca="false">IF(ISNUMBER(D263),(pit_nbis_2024/(pit_nbis_2024+pfac_nbis_2024)*D263+pfac_nbis_2024/(pit_nbis_2024+pfac_nbis_2024)*IF(AND(ISNUMBER(""),ISNUMBER("")),wb1_lo*""+wb2_lo*"",IF(ISNUMBER(""),"",D263)))/(pit_nbis_2024+pfac_nbis_2024),site_nbis_2024)</f>
        <v>0</v>
      </c>
      <c r="E264" s="8" t="n">
        <f aca="false">IF(ISNUMBER(E263),(pit_nbis_2025/(pit_nbis_2025+pfac_nbis_2025)*E263+pfac_nbis_2025/(pit_nbis_2025+pfac_nbis_2025)*IF(AND(ISNUMBER(D263),ISNUMBER("")),wb1_lo*D263+wb2_lo*"",IF(ISNUMBER(D263),D263,E263)))/(pit_nbis_2025+pfac_nbis_2025),site_nbis_2025)</f>
        <v>0.0893531926088847</v>
      </c>
      <c r="F264" s="8" t="n">
        <f aca="false">IF(ISNUMBER(F263),(pit_nbis_2026/(pit_nbis_2026+pfac_nbis_2026)*F263+pfac_nbis_2026/(pit_nbis_2026+pfac_nbis_2026)*IF(AND(ISNUMBER(E263),ISNUMBER(D263)),wb1_lo*E263+wb2_lo*D263,IF(ISNUMBER(E263),E263,F263)))/(pit_nbis_2026+pfac_nbis_2026),site_nbis_2026)</f>
        <v>0.321523721659491</v>
      </c>
      <c r="G264" s="8" t="n">
        <f aca="false">IF(ISNUMBER(G263),(pit_nbis_2027/(pit_nbis_2027+pfac_nbis_2027)*G263+pfac_nbis_2027/(pit_nbis_2027+pfac_nbis_2027)*IF(AND(ISNUMBER(F263),ISNUMBER(E263)),wb1_lo*F263+wb2_lo*E263,IF(ISNUMBER(F263),F263,G263)))/(pit_nbis_2027+pfac_nbis_2027),site_nbis_2027)</f>
        <v>0.434327021988487</v>
      </c>
      <c r="H264" s="8" t="n">
        <f aca="false">IF(ISNUMBER(H263),(pit_nbis_2028/(pit_nbis_2028+pfac_nbis_2028)*H263+pfac_nbis_2028/(pit_nbis_2028+pfac_nbis_2028)*IF(AND(ISNUMBER(G263),ISNUMBER(F263)),wb1_lo*G263+wb2_lo*F263,IF(ISNUMBER(G263),G263,H263)))/(pit_nbis_2028+pfac_nbis_2028),site_nbis_2028)</f>
        <v>0.563093112571118</v>
      </c>
      <c r="I264" s="8" t="n">
        <f aca="false">IF(ISNUMBER(I263),(pit_nbis_2029/(pit_nbis_2029+pfac_nbis_2029)*I263+pfac_nbis_2029/(pit_nbis_2029+pfac_nbis_2029)*IF(AND(ISNUMBER(H263),ISNUMBER(G263)),wb1_lo*H263+wb2_lo*G263,IF(ISNUMBER(H263),H263,I263)))/(pit_nbis_2029+pfac_nbis_2029),site_nbis_2029)</f>
        <v>0.650506492154715</v>
      </c>
    </row>
    <row r="265" customFormat="false" ht="17.15" hidden="false" customHeight="false" outlineLevel="0" collapsed="false">
      <c r="A265" s="0" t="s">
        <v>1503</v>
      </c>
      <c r="B265" s="0" t="s">
        <v>1271</v>
      </c>
      <c r="E265" s="8" t="n">
        <f aca="false">(1-lag)*E264+lag*D264-inv_k*(E264-D264)</f>
        <v>0.0469104261196645</v>
      </c>
      <c r="F265" s="8" t="n">
        <f aca="false">(1-lag)*F264+lag*E264-inv_k*(F264-E264)</f>
        <v>0.211242720360453</v>
      </c>
      <c r="G265" s="8" t="n">
        <f aca="false">(1-lag)*G264+lag*F264-inv_k*(G264-F264)</f>
        <v>0.380745454332214</v>
      </c>
      <c r="H265" s="8" t="n">
        <f aca="false">(1-lag)*H264+lag*G264-inv_k*(H264-G264)</f>
        <v>0.501929219544368</v>
      </c>
      <c r="I265" s="8" t="n">
        <f aca="false">(1-lag)*I264+lag*H264-inv_k*(I264-H264)</f>
        <v>0.608985136852506</v>
      </c>
    </row>
    <row r="266" customFormat="false" ht="17.15" hidden="false" customHeight="false" outlineLevel="0" collapsed="false">
      <c r="A266" s="0" t="s">
        <v>1504</v>
      </c>
      <c r="B266" s="0" t="s">
        <v>1273</v>
      </c>
      <c r="D266" s="8" t="str">
        <f aca="false">""</f>
        <v/>
      </c>
      <c r="E266" s="8" t="str">
        <f aca="false">""</f>
        <v/>
      </c>
      <c r="F266" s="8" t="n">
        <f aca="false">gcap_nbis_2026*ai_sh</f>
        <v>22.1392615</v>
      </c>
      <c r="G266" s="8" t="n">
        <f aca="false">gcap_nbis_2027*ai_sh</f>
        <v>23.45782145</v>
      </c>
      <c r="H266" s="8" t="n">
        <f aca="false">gcap_nbis_2028*ai_sh</f>
        <v>24.7763814</v>
      </c>
      <c r="I266" s="8" t="n">
        <f aca="false">gcap_nbis_2029*ai_sh</f>
        <v>24.7763814</v>
      </c>
    </row>
    <row r="267" customFormat="false" ht="17.15" hidden="false" customHeight="false" outlineLevel="0" collapsed="false">
      <c r="A267" s="0" t="s">
        <v>1505</v>
      </c>
      <c r="B267" s="0" t="s">
        <v>1269</v>
      </c>
      <c r="D267" s="8" t="n">
        <f aca="false">IF(ISNUMBER(D266),(pit_nbis_2024/(pit_nbis_2024+pfac_nbis_2024)*D266+pfac_nbis_2024/(pit_nbis_2024+pfac_nbis_2024)*IF(AND(ISNUMBER(""),ISNUMBER("")),wb1_lo*""+wb2_lo*"",IF(ISNUMBER(""),"",D266)))/(pit_nbis_2024+pfac_nbis_2024),site_nbis_2024)</f>
        <v>0</v>
      </c>
      <c r="E267" s="8" t="n">
        <f aca="false">IF(ISNUMBER(E266),(pit_nbis_2025/(pit_nbis_2025+pfac_nbis_2025)*E266+pfac_nbis_2025/(pit_nbis_2025+pfac_nbis_2025)*IF(AND(ISNUMBER(D266),ISNUMBER("")),wb1_lo*D266+wb2_lo*"",IF(ISNUMBER(D266),D266,E266)))/(pit_nbis_2025+pfac_nbis_2025),site_nbis_2025)</f>
        <v>0</v>
      </c>
      <c r="F267" s="8" t="n">
        <f aca="false">IF(ISNUMBER(F266),(pit_nbis_2026/(pit_nbis_2026+pfac_nbis_2026)*F266+pfac_nbis_2026/(pit_nbis_2026+pfac_nbis_2026)*IF(AND(ISNUMBER(E266),ISNUMBER(D266)),wb1_lo*E266+wb2_lo*D266,IF(ISNUMBER(E266),E266,F266)))/(pit_nbis_2026+pfac_nbis_2026),site_nbis_2026)</f>
        <v>0.480410685921195</v>
      </c>
      <c r="G267" s="8" t="n">
        <f aca="false">IF(ISNUMBER(G266),(pit_nbis_2027/(pit_nbis_2027+pfac_nbis_2027)*G266+pfac_nbis_2027/(pit_nbis_2027+pfac_nbis_2027)*IF(AND(ISNUMBER(F266),ISNUMBER(E266)),wb1_lo*F266+wb2_lo*E266,IF(ISNUMBER(F266),F266,G266)))/(pit_nbis_2027+pfac_nbis_2027),site_nbis_2027)</f>
        <v>0.453443245801974</v>
      </c>
      <c r="H267" s="8" t="n">
        <f aca="false">IF(ISNUMBER(H266),(pit_nbis_2028/(pit_nbis_2028+pfac_nbis_2028)*H266+pfac_nbis_2028/(pit_nbis_2028+pfac_nbis_2028)*IF(AND(ISNUMBER(G266),ISNUMBER(F266)),wb1_lo*G266+wb2_lo*F266,IF(ISNUMBER(G266),G266,H266)))/(pit_nbis_2028+pfac_nbis_2028),site_nbis_2028)</f>
        <v>0.45307103208757</v>
      </c>
      <c r="I267" s="8" t="n">
        <f aca="false">IF(ISNUMBER(I266),(pit_nbis_2029/(pit_nbis_2029+pfac_nbis_2029)*I266+pfac_nbis_2029/(pit_nbis_2029+pfac_nbis_2029)*IF(AND(ISNUMBER(H266),ISNUMBER(G266)),wb1_lo*H266+wb2_lo*G266,IF(ISNUMBER(H266),H266,I266)))/(pit_nbis_2029+pfac_nbis_2029),site_nbis_2029)</f>
        <v>0.458799609940189</v>
      </c>
    </row>
    <row r="268" customFormat="false" ht="17.15" hidden="false" customHeight="false" outlineLevel="0" collapsed="false">
      <c r="A268" s="0" t="s">
        <v>1506</v>
      </c>
      <c r="B268" s="0" t="s">
        <v>1271</v>
      </c>
      <c r="E268" s="8" t="n">
        <f aca="false">(1-lag)*E267+lag*D267-inv_k*(E267-D267)</f>
        <v>0</v>
      </c>
      <c r="F268" s="8" t="n">
        <f aca="false">(1-lag)*F267+lag*E267-inv_k*(F267-E267)</f>
        <v>0.252215610108627</v>
      </c>
      <c r="G268" s="8" t="n">
        <f aca="false">(1-lag)*G267+lag*F267-inv_k*(G267-F267)</f>
        <v>0.466252779858604</v>
      </c>
      <c r="H268" s="8" t="n">
        <f aca="false">(1-lag)*H267+lag*G267-inv_k*(H267-G267)</f>
        <v>0.453247833601912</v>
      </c>
      <c r="I268" s="8" t="n">
        <f aca="false">(1-lag)*I267+lag*H267-inv_k*(I267-H267)</f>
        <v>0.456078535460195</v>
      </c>
    </row>
    <row r="269" customFormat="false" ht="17.15" hidden="false" customHeight="false" outlineLevel="0" collapsed="false">
      <c r="A269" s="0" t="s">
        <v>1507</v>
      </c>
      <c r="B269" s="0" t="s">
        <v>1277</v>
      </c>
      <c r="D269" s="8" t="n">
        <f aca="false">site_nbis_2024</f>
        <v>0</v>
      </c>
      <c r="E269" s="8" t="n">
        <f aca="false">site_nbis_2025</f>
        <v>0</v>
      </c>
      <c r="F269" s="8" t="n">
        <f aca="false">site_nbis_2026</f>
        <v>0.73</v>
      </c>
      <c r="G269" s="8" t="n">
        <f aca="false">site_nbis_2027</f>
        <v>0.403</v>
      </c>
      <c r="H269" s="8" t="n">
        <f aca="false">site_nbis_2028</f>
        <v>0</v>
      </c>
      <c r="I269" s="8" t="n">
        <f aca="false">site_nbis_2029</f>
        <v>0</v>
      </c>
    </row>
    <row r="270" customFormat="false" ht="17.15" hidden="false" customHeight="false" outlineLevel="0" collapsed="false">
      <c r="A270" s="0" t="s">
        <v>1508</v>
      </c>
      <c r="B270" s="0" t="s">
        <v>1279</v>
      </c>
      <c r="D270" s="8" t="str">
        <f aca="false">IF(ISNUMBER(gai_xai_2024),gai_xai_2024,"")</f>
        <v/>
      </c>
      <c r="E270" s="8" t="str">
        <f aca="false">IF(ISNUMBER(gai_xai_2025),gai_xai_2025,"")</f>
        <v/>
      </c>
      <c r="F270" s="8" t="n">
        <f aca="false">IF(ISNUMBER(gai_xai_2026),gai_xai_2026,"")</f>
        <v>74.058119</v>
      </c>
      <c r="G270" s="8" t="n">
        <f aca="false">IF(ISNUMBER(gai_xai_2027),gai_xai_2027,"")</f>
        <v>136.252477</v>
      </c>
      <c r="H270" s="8" t="n">
        <f aca="false">IF(ISNUMBER(gai_xai_2028),gai_xai_2028,"")</f>
        <v>144.12072</v>
      </c>
      <c r="I270" s="8" t="n">
        <f aca="false">IF(ISNUMBER(gai_xai_2029),gai_xai_2029,"")</f>
        <v>111.172527</v>
      </c>
    </row>
    <row r="271" customFormat="false" ht="17.15" hidden="false" customHeight="false" outlineLevel="0" collapsed="false">
      <c r="A271" s="0" t="s">
        <v>1509</v>
      </c>
      <c r="B271" s="0" t="s">
        <v>1281</v>
      </c>
      <c r="D271" s="8" t="n">
        <f aca="false">IF(ISNUMBER(D270),(pitN_2024/(pitN_2024+pfacN_2024)*D270+pfacN_2024/(pitN_2024+pfacN_2024)*IF(AND(ISNUMBER(""),ISNUMBER("")),wb1_lo*""+wb2_lo*"",IF(ISNUMBER(""),"",D270)))/(pitN_2024+pfacN_2024),site_xai_2024)</f>
        <v>0</v>
      </c>
      <c r="E271" s="8" t="n">
        <f aca="false">IF(ISNUMBER(E270),(pitN_2025/(pitN_2025+pfacN_2025)*E270+pfacN_2025/(pitN_2025+pfacN_2025)*IF(AND(ISNUMBER(D270),ISNUMBER("")),wb1_lo*D270+wb2_lo*"",IF(ISNUMBER(D270),D270,E270)))/(pitN_2025+pfacN_2025),site_xai_2025)</f>
        <v>0</v>
      </c>
      <c r="F271" s="8" t="n">
        <f aca="false">IF(ISNUMBER(F270),(pitN_2026/(pitN_2026+pfacN_2026)*F270+pfacN_2026/(pitN_2026+pfacN_2026)*IF(AND(ISNUMBER(E270),ISNUMBER(D270)),wb1_lo*E270+wb2_lo*D270,IF(ISNUMBER(E270),E270,F270)))/(pitN_2026+pfacN_2026),site_xai_2026)</f>
        <v>1.60702342066936</v>
      </c>
      <c r="G271" s="8" t="n">
        <f aca="false">IF(ISNUMBER(G270),(pitN_2027/(pitN_2027+pfacN_2027)*G270+pfacN_2027/(pitN_2027+pfacN_2027)*IF(AND(ISNUMBER(F270),ISNUMBER(E270)),wb1_lo*F270+wb2_lo*E270,IF(ISNUMBER(F270),F270,G270)))/(pitN_2027+pfacN_2027),site_xai_2027)</f>
        <v>2.36823509451502</v>
      </c>
      <c r="H271" s="8" t="n">
        <f aca="false">IF(ISNUMBER(H270),(pitN_2028/(pitN_2028+pfacN_2028)*H270+pfacN_2028/(pitN_2028+pfacN_2028)*IF(AND(ISNUMBER(G270),ISNUMBER(F270)),wb1_lo*G270+wb2_lo*F270,IF(ISNUMBER(G270),G270,H270)))/(pitN_2028+pfacN_2028),site_xai_2028)</f>
        <v>2.63458854981428</v>
      </c>
      <c r="I271" s="8" t="n">
        <f aca="false">IF(ISNUMBER(I270),(pitN_2029/(pitN_2029+pfacN_2029)*I270+pfacN_2029/(pitN_2029+pfacN_2029)*IF(AND(ISNUMBER(H270),ISNUMBER(G270)),wb1_lo*H270+wb2_lo*G270,IF(ISNUMBER(H270),H270,I270)))/(pitN_2029+pfacN_2029),site_xai_2029)</f>
        <v>2.2017963605066</v>
      </c>
    </row>
    <row r="272" customFormat="false" ht="17.15" hidden="false" customHeight="false" outlineLevel="0" collapsed="false">
      <c r="A272" s="0" t="s">
        <v>1510</v>
      </c>
      <c r="B272" s="0" t="s">
        <v>1283</v>
      </c>
      <c r="E272" s="8" t="n">
        <f aca="false">IF(ISNUMBER(gai_xai_2024),(1-lag)*E271+lag*D271-inv_k*(E271-D271),E271)</f>
        <v>0</v>
      </c>
      <c r="F272" s="8" t="n">
        <f aca="false">IF(ISNUMBER(gai_xai_2025),(1-lag)*F271+lag*E271-inv_k*(F271-E271),F271)</f>
        <v>1.60702342066936</v>
      </c>
      <c r="G272" s="8" t="n">
        <f aca="false">IF(ISNUMBER(gai_xai_2026),(1-lag)*G271+lag*F271-inv_k*(G271-F271),G271)</f>
        <v>2.00665954943833</v>
      </c>
      <c r="H272" s="8" t="n">
        <f aca="false">IF(ISNUMBER(gai_xai_2027),(1-lag)*H271+lag*G271-inv_k*(H271-G271),H271)</f>
        <v>2.50807065854713</v>
      </c>
      <c r="I272" s="8" t="n">
        <f aca="false">IF(ISNUMBER(gai_xai_2028),(1-lag)*I271+lag*H271-inv_k*(I271-H271),I271)</f>
        <v>2.40737265042775</v>
      </c>
    </row>
    <row r="273" customFormat="false" ht="17.15" hidden="false" customHeight="false" outlineLevel="0" collapsed="false">
      <c r="A273" s="0" t="s">
        <v>1511</v>
      </c>
      <c r="B273" s="0" t="s">
        <v>1285</v>
      </c>
      <c r="D273" s="8" t="n">
        <f aca="false">site_xai_2024</f>
        <v>0</v>
      </c>
      <c r="E273" s="8" t="n">
        <f aca="false">site_xai_2025</f>
        <v>0</v>
      </c>
      <c r="F273" s="8" t="n">
        <f aca="false">site_xai_2026</f>
        <v>1.4302</v>
      </c>
      <c r="G273" s="8" t="n">
        <f aca="false">site_xai_2027</f>
        <v>0.585</v>
      </c>
      <c r="H273" s="8" t="n">
        <f aca="false">site_xai_2028</f>
        <v>0</v>
      </c>
      <c r="I273" s="8" t="n">
        <f aca="false">site_xai_2029</f>
        <v>0</v>
      </c>
    </row>
    <row r="274" customFormat="false" ht="17.15" hidden="false" customHeight="false" outlineLevel="0" collapsed="false">
      <c r="A274" s="0" t="s">
        <v>1512</v>
      </c>
      <c r="B274" s="0" t="s">
        <v>1287</v>
      </c>
      <c r="D274" s="8" t="str">
        <f aca="false">IF(ISNUMBER(gai_oai_2024),gai_oai_2024,"")</f>
        <v/>
      </c>
      <c r="E274" s="8" t="str">
        <f aca="false">IF(ISNUMBER(gai_oai_2025),gai_oai_2025,"")</f>
        <v/>
      </c>
      <c r="F274" s="8" t="n">
        <f aca="false">IF(ISNUMBER(gai_oai_2026),gai_oai_2026,"")</f>
        <v>20</v>
      </c>
      <c r="G274" s="8" t="n">
        <f aca="false">IF(ISNUMBER(gai_oai_2027),gai_oai_2027,"")</f>
        <v>30</v>
      </c>
      <c r="H274" s="8" t="n">
        <f aca="false">IF(ISNUMBER(gai_oai_2028),gai_oai_2028,"")</f>
        <v>45</v>
      </c>
      <c r="I274" s="8" t="n">
        <f aca="false">IF(ISNUMBER(gai_oai_2029),gai_oai_2029,"")</f>
        <v>60</v>
      </c>
    </row>
    <row r="275" customFormat="false" ht="17.15" hidden="false" customHeight="false" outlineLevel="0" collapsed="false">
      <c r="A275" s="0" t="s">
        <v>1513</v>
      </c>
      <c r="B275" s="0" t="s">
        <v>1289</v>
      </c>
      <c r="D275" s="8" t="n">
        <f aca="false">IF(ISNUMBER(D274),(pitN_2024/(pitN_2024+pfacN_2024)*D274+pfacN_2024/(pitN_2024+pfacN_2024)*IF(AND(ISNUMBER(""),ISNUMBER("")),wb1_lo*""+wb2_lo*"",IF(ISNUMBER(""),"",D274)))/(pitN_2024+pfacN_2024),site_oai_2024)</f>
        <v>0</v>
      </c>
      <c r="E275" s="8" t="n">
        <f aca="false">IF(ISNUMBER(E274),(pitN_2025/(pitN_2025+pfacN_2025)*E274+pfacN_2025/(pitN_2025+pfacN_2025)*IF(AND(ISNUMBER(D274),ISNUMBER("")),wb1_lo*D274+wb2_lo*"",IF(ISNUMBER(D274),D274,E274)))/(pitN_2025+pfacN_2025),site_oai_2025)</f>
        <v>0</v>
      </c>
      <c r="F275" s="8" t="n">
        <f aca="false">IF(ISNUMBER(F274),(pitN_2026/(pitN_2026+pfacN_2026)*F274+pfacN_2026/(pitN_2026+pfacN_2026)*IF(AND(ISNUMBER(E274),ISNUMBER(D274)),wb1_lo*E274+wb2_lo*D274,IF(ISNUMBER(E274),E274,F274)))/(pitN_2026+pfacN_2026),site_oai_2026)</f>
        <v>0.433989802163179</v>
      </c>
      <c r="G275" s="8" t="n">
        <f aca="false">IF(ISNUMBER(G274),(pitN_2027/(pitN_2027+pfacN_2027)*G274+pfacN_2027/(pitN_2027+pfacN_2027)*IF(AND(ISNUMBER(F274),ISNUMBER(E274)),wb1_lo*F274+wb2_lo*E274,IF(ISNUMBER(F274),F274,G274)))/(pitN_2027+pfacN_2027),site_oai_2027)</f>
        <v>0.539423294291731</v>
      </c>
      <c r="H275" s="8" t="n">
        <f aca="false">IF(ISNUMBER(H274),(pitN_2028/(pitN_2028+pfacN_2028)*H274+pfacN_2028/(pitN_2028+pfacN_2028)*IF(AND(ISNUMBER(G274),ISNUMBER(F274)),wb1_lo*G274+wb2_lo*F274,IF(ISNUMBER(G274),G274,H274)))/(pitN_2028+pfacN_2028),site_oai_2028)</f>
        <v>0.768124318412575</v>
      </c>
      <c r="I275" s="8" t="n">
        <f aca="false">IF(ISNUMBER(I274),(pitN_2029/(pitN_2029+pfacN_2029)*I274+pfacN_2029/(pitN_2029+pfacN_2029)*IF(AND(ISNUMBER(H274),ISNUMBER(G274)),wb1_lo*H274+wb2_lo*G274,IF(ISNUMBER(H274),H274,I274)))/(pitN_2029+pfacN_2029),site_oai_2029)</f>
        <v>1.04588861490112</v>
      </c>
    </row>
    <row r="276" customFormat="false" ht="17.15" hidden="false" customHeight="false" outlineLevel="0" collapsed="false">
      <c r="A276" s="0" t="s">
        <v>1514</v>
      </c>
      <c r="B276" s="0" t="s">
        <v>1291</v>
      </c>
      <c r="E276" s="8" t="n">
        <f aca="false">IF(ISNUMBER(gai_oai_2024),(1-lag)*E275+lag*D275-inv_k*(E275-D275),E275)</f>
        <v>0</v>
      </c>
      <c r="F276" s="8" t="n">
        <f aca="false">IF(ISNUMBER(gai_oai_2025),(1-lag)*F275+lag*E275-inv_k*(F275-E275),F275)</f>
        <v>0.433989802163179</v>
      </c>
      <c r="G276" s="8" t="n">
        <f aca="false">IF(ISNUMBER(gai_oai_2026),(1-lag)*G275+lag*F275-inv_k*(G275-F275),G275)</f>
        <v>0.489342385530669</v>
      </c>
      <c r="H276" s="8" t="n">
        <f aca="false">IF(ISNUMBER(gai_oai_2027),(1-lag)*H275+lag*G275-inv_k*(H275-G275),H275)</f>
        <v>0.659491331955174</v>
      </c>
      <c r="I276" s="8" t="n">
        <f aca="false">IF(ISNUMBER(gai_oai_2028),(1-lag)*I275+lag*H275-inv_k*(I275-H275),I275)</f>
        <v>0.913950574069061</v>
      </c>
    </row>
    <row r="277" customFormat="false" ht="17.15" hidden="false" customHeight="false" outlineLevel="0" collapsed="false">
      <c r="A277" s="0" t="s">
        <v>1515</v>
      </c>
      <c r="B277" s="0" t="s">
        <v>1293</v>
      </c>
      <c r="D277" s="8" t="n">
        <f aca="false">site_oai_2024</f>
        <v>0</v>
      </c>
      <c r="E277" s="8" t="n">
        <f aca="false">site_oai_2025</f>
        <v>0</v>
      </c>
      <c r="F277" s="8" t="n">
        <f aca="false">site_oai_2026</f>
        <v>0</v>
      </c>
      <c r="G277" s="8" t="n">
        <f aca="false">site_oai_2027</f>
        <v>0.522</v>
      </c>
      <c r="H277" s="8" t="n">
        <f aca="false">site_oai_2028</f>
        <v>1.245</v>
      </c>
      <c r="I277" s="8" t="n">
        <f aca="false">site_oai_2029</f>
        <v>1.149</v>
      </c>
    </row>
    <row r="278" customFormat="false" ht="17.15" hidden="false" customHeight="false" outlineLevel="0" collapsed="false">
      <c r="A278" s="0" t="s">
        <v>1516</v>
      </c>
      <c r="B278" s="0" t="s">
        <v>1295</v>
      </c>
      <c r="D278" s="8" t="str">
        <f aca="false">IF(ISNUMBER(gai_ant_2024),gai_ant_2024,"")</f>
        <v/>
      </c>
      <c r="E278" s="8" t="str">
        <f aca="false">IF(ISNUMBER(gai_ant_2025),gai_ant_2025,"")</f>
        <v/>
      </c>
      <c r="F278" s="8" t="n">
        <f aca="false">IF(ISNUMBER(gai_ant_2026),gai_ant_2026,"")</f>
        <v>16.666667</v>
      </c>
      <c r="G278" s="8" t="n">
        <f aca="false">IF(ISNUMBER(gai_ant_2027),gai_ant_2027,"")</f>
        <v>16.666667</v>
      </c>
      <c r="H278" s="8" t="n">
        <f aca="false">IF(ISNUMBER(gai_ant_2028),gai_ant_2028,"")</f>
        <v>16.666667</v>
      </c>
      <c r="I278" s="8" t="n">
        <f aca="false">IF(ISNUMBER(gai_ant_2029),gai_ant_2029,"")</f>
        <v>0</v>
      </c>
    </row>
    <row r="279" customFormat="false" ht="17.15" hidden="false" customHeight="false" outlineLevel="0" collapsed="false">
      <c r="A279" s="0" t="s">
        <v>1517</v>
      </c>
      <c r="B279" s="0" t="s">
        <v>1297</v>
      </c>
      <c r="D279" s="8" t="n">
        <f aca="false">IF(ISNUMBER(D278),(pitN_2024/(pitN_2024+pfacN_2024)*D278+pfacN_2024/(pitN_2024+pfacN_2024)*IF(AND(ISNUMBER(""),ISNUMBER("")),wb1_lo*""+wb2_lo*"",IF(ISNUMBER(""),"",D278)))/(pitN_2024+pfacN_2024),site_ant_2024)</f>
        <v>0</v>
      </c>
      <c r="E279" s="8" t="n">
        <f aca="false">IF(ISNUMBER(E278),(pitN_2025/(pitN_2025+pfacN_2025)*E278+pfacN_2025/(pitN_2025+pfacN_2025)*IF(AND(ISNUMBER(D278),ISNUMBER("")),wb1_lo*D278+wb2_lo*"",IF(ISNUMBER(D278),D278,E278)))/(pitN_2025+pfacN_2025),site_ant_2025)</f>
        <v>0</v>
      </c>
      <c r="F279" s="8" t="n">
        <f aca="false">IF(ISNUMBER(F278),(pitN_2026/(pitN_2026+pfacN_2026)*F278+pfacN_2026/(pitN_2026+pfacN_2026)*IF(AND(ISNUMBER(E278),ISNUMBER(D278)),wb1_lo*E278+wb2_lo*D278,IF(ISNUMBER(E278),E278,F278)))/(pitN_2026+pfacN_2026),site_ant_2026)</f>
        <v>0.36165817570248</v>
      </c>
      <c r="G279" s="8" t="n">
        <f aca="false">IF(ISNUMBER(G278),(pitN_2027/(pitN_2027+pfacN_2027)*G278+pfacN_2027/(pitN_2027+pfacN_2027)*IF(AND(ISNUMBER(F278),ISNUMBER(E278)),wb1_lo*F278+wb2_lo*E278,IF(ISNUMBER(F278),F278,G278)))/(pitN_2027+pfacN_2027),site_ant_2027)</f>
        <v>0.326730833032632</v>
      </c>
      <c r="H279" s="8" t="n">
        <f aca="false">IF(ISNUMBER(H278),(pitN_2028/(pitN_2028+pfacN_2028)*H278+pfacN_2028/(pitN_2028+pfacN_2028)*IF(AND(ISNUMBER(G278),ISNUMBER(F278)),wb1_lo*G278+wb2_lo*F278,IF(ISNUMBER(G278),G278,H278)))/(pitN_2028+pfacN_2028),site_ant_2028)</f>
        <v>0.308627002270922</v>
      </c>
      <c r="I279" s="8" t="n">
        <f aca="false">IF(ISNUMBER(I278),(pitN_2029/(pitN_2029+pfacN_2029)*I278+pfacN_2029/(pitN_2029+pfacN_2029)*IF(AND(ISNUMBER(H278),ISNUMBER(G278)),wb1_lo*H278+wb2_lo*G278,IF(ISNUMBER(H278),H278,I278)))/(pitN_2029+pfacN_2029),site_ant_2029)</f>
        <v>0.0724095248404747</v>
      </c>
    </row>
    <row r="280" customFormat="false" ht="17.15" hidden="false" customHeight="false" outlineLevel="0" collapsed="false">
      <c r="A280" s="0" t="s">
        <v>1518</v>
      </c>
      <c r="B280" s="0" t="s">
        <v>1299</v>
      </c>
      <c r="E280" s="8" t="n">
        <f aca="false">IF(ISNUMBER(gai_ant_2024),(1-lag)*E279+lag*D279-inv_k*(E279-D279),E279)</f>
        <v>0</v>
      </c>
      <c r="F280" s="8" t="n">
        <f aca="false">IF(ISNUMBER(gai_ant_2025),(1-lag)*F279+lag*E279-inv_k*(F279-E279),F279)</f>
        <v>0.36165817570248</v>
      </c>
      <c r="G280" s="8" t="n">
        <f aca="false">IF(ISNUMBER(gai_ant_2026),(1-lag)*G279+lag*F279-inv_k*(G279-F279),G279)</f>
        <v>0.34332132080081</v>
      </c>
      <c r="H280" s="8" t="n">
        <f aca="false">IF(ISNUMBER(gai_ant_2027),(1-lag)*H279+lag*G279-inv_k*(H279-G279),H279)</f>
        <v>0.317226321882734</v>
      </c>
      <c r="I280" s="8" t="n">
        <f aca="false">IF(ISNUMBER(gai_ant_2028),(1-lag)*I279+lag*H279-inv_k*(I279-H279),I279)</f>
        <v>0.184612826619937</v>
      </c>
    </row>
    <row r="281" customFormat="false" ht="17.15" hidden="false" customHeight="false" outlineLevel="0" collapsed="false">
      <c r="A281" s="0" t="s">
        <v>1519</v>
      </c>
      <c r="B281" s="0" t="s">
        <v>1301</v>
      </c>
      <c r="D281" s="8" t="n">
        <f aca="false">site_ant_2024</f>
        <v>0</v>
      </c>
      <c r="E281" s="8" t="n">
        <f aca="false">site_ant_2025</f>
        <v>0</v>
      </c>
      <c r="F281" s="8" t="n">
        <f aca="false">site_ant_2026</f>
        <v>0</v>
      </c>
      <c r="G281" s="8" t="n">
        <f aca="false">site_ant_2027</f>
        <v>0</v>
      </c>
      <c r="H281" s="8" t="n">
        <f aca="false">site_ant_2028</f>
        <v>0</v>
      </c>
      <c r="I281" s="8" t="n">
        <f aca="false">site_ant_2029</f>
        <v>0</v>
      </c>
    </row>
    <row r="282" customFormat="false" ht="17.15" hidden="false" customHeight="false" outlineLevel="0" collapsed="false">
      <c r="A282" s="0" t="s">
        <v>1520</v>
      </c>
      <c r="B282" s="5" t="s">
        <v>1303</v>
      </c>
      <c r="D282" s="9" t="n">
        <f aca="false">D222+D229+D236+D243+D250+D257+D264</f>
        <v>2.88602836343531</v>
      </c>
      <c r="E282" s="9" t="n">
        <f aca="false">E222+E229+E236+E243+E250+E257+E264</f>
        <v>9.64396540227264</v>
      </c>
      <c r="F282" s="9" t="n">
        <f aca="false">F222+F229+F236+F243+F250+F257+F264</f>
        <v>15.3179145645723</v>
      </c>
      <c r="G282" s="9" t="n">
        <f aca="false">G222+G229+G236+G243+G250+G257+G264</f>
        <v>19.87149266949</v>
      </c>
      <c r="H282" s="9" t="n">
        <f aca="false">H222+H229+H236+H243+H250+H257+H264</f>
        <v>21.9869264440432</v>
      </c>
      <c r="I282" s="9" t="n">
        <f aca="false">I222+I229+I236+I243+I250+I257+I264</f>
        <v>24.1517007636525</v>
      </c>
    </row>
    <row r="283" customFormat="false" ht="17.15" hidden="false" customHeight="false" outlineLevel="0" collapsed="false">
      <c r="A283" s="0" t="s">
        <v>1521</v>
      </c>
      <c r="B283" s="5" t="s">
        <v>1305</v>
      </c>
      <c r="D283" s="9" t="n">
        <f aca="false">D223+D230+D237+D244+D251+D258+D265</f>
        <v>0</v>
      </c>
      <c r="E283" s="9" t="n">
        <f aca="false">E223+E230+E237+E244+E251+E258+E265</f>
        <v>6.43394530882491</v>
      </c>
      <c r="F283" s="9" t="n">
        <f aca="false">F223+F230+F237+F244+F251+F258+F265</f>
        <v>12.62278871248</v>
      </c>
      <c r="G283" s="9" t="n">
        <f aca="false">G223+G230+G237+G244+G251+G258+G265</f>
        <v>17.7085430696541</v>
      </c>
      <c r="H283" s="9" t="n">
        <f aca="false">H223+H230+H237+H244+H251+H258+H265</f>
        <v>20.9820954011304</v>
      </c>
      <c r="I283" s="9" t="n">
        <f aca="false">I223+I230+I237+I244+I251+I258+I265</f>
        <v>23.1234329618381</v>
      </c>
    </row>
    <row r="284" customFormat="false" ht="17.15" hidden="false" customHeight="false" outlineLevel="0" collapsed="false">
      <c r="A284" s="0" t="s">
        <v>1522</v>
      </c>
      <c r="B284" s="5" t="s">
        <v>1307</v>
      </c>
      <c r="D284" s="9" t="n">
        <f aca="false">D225+D232+D239+D246+D253+D260+D267</f>
        <v>3.89616485653111</v>
      </c>
      <c r="E284" s="9" t="n">
        <f aca="false">E225+E232+E239+E246+E253+E260+E267</f>
        <v>9.4581706968</v>
      </c>
      <c r="F284" s="9" t="n">
        <f aca="false">F225+F232+F239+F246+F253+F260+F267</f>
        <v>15.448573211343</v>
      </c>
      <c r="G284" s="9" t="n">
        <f aca="false">G225+G232+G239+G246+G253+G260+G267</f>
        <v>20.1784890492507</v>
      </c>
      <c r="H284" s="9" t="n">
        <f aca="false">H225+H232+H239+H246+H253+H260+H267</f>
        <v>21.2917977518678</v>
      </c>
      <c r="I284" s="9" t="n">
        <f aca="false">I225+I232+I239+I246+I253+I260+I267</f>
        <v>20.4716714945698</v>
      </c>
    </row>
    <row r="285" customFormat="false" ht="17.15" hidden="false" customHeight="false" outlineLevel="0" collapsed="false">
      <c r="A285" s="0" t="s">
        <v>1523</v>
      </c>
      <c r="B285" s="5" t="s">
        <v>1309</v>
      </c>
      <c r="D285" s="9" t="n">
        <f aca="false">D226+D233+D240+D247+D254+D261+D268</f>
        <v>0</v>
      </c>
      <c r="E285" s="9" t="n">
        <f aca="false">E226+E233+E240+E247+E254+E261+E268</f>
        <v>6.81621792267228</v>
      </c>
      <c r="F285" s="9" t="n">
        <f aca="false">F226+F233+F240+F247+F254+F261+F268</f>
        <v>12.6031320169351</v>
      </c>
      <c r="G285" s="9" t="n">
        <f aca="false">G226+G233+G240+G247+G254+G261+G268</f>
        <v>17.9317790262446</v>
      </c>
      <c r="H285" s="9" t="n">
        <f aca="false">H226+H233+H240+H247+H254+H261+H268</f>
        <v>20.7629761181247</v>
      </c>
      <c r="I285" s="9" t="n">
        <f aca="false">I226+I233+I240+I247+I254+I261+I268</f>
        <v>20.8612314667864</v>
      </c>
    </row>
    <row r="286" customFormat="false" ht="15" hidden="false" customHeight="false" outlineLevel="0" collapsed="false">
      <c r="A286" s="0" t="s">
        <v>1524</v>
      </c>
      <c r="B286" s="5" t="s">
        <v>1311</v>
      </c>
      <c r="D286" s="9" t="n">
        <f aca="false">D227+D234+D241+D248+D255+D262+D269</f>
        <v>1.61980834349181</v>
      </c>
      <c r="E286" s="9" t="n">
        <f aca="false">E227+E234+E241+E248+E255+E262+E269</f>
        <v>8.74912429484715</v>
      </c>
      <c r="F286" s="9" t="n">
        <f aca="false">F227+F234+F241+F248+F255+F262+F269</f>
        <v>6.54276412772586</v>
      </c>
      <c r="G286" s="9" t="n">
        <f aca="false">G227+G234+G241+G248+G255+G262+G269</f>
        <v>6.52966666666667</v>
      </c>
      <c r="H286" s="9" t="n">
        <f aca="false">H227+H234+H241+H248+H255+H262+H269</f>
        <v>13.6908333333333</v>
      </c>
      <c r="I286" s="9" t="n">
        <f aca="false">I227+I234+I241+I248+I255+I262+I269</f>
        <v>2.7115</v>
      </c>
    </row>
    <row r="287" customFormat="false" ht="15" hidden="false" customHeight="false" outlineLevel="0" collapsed="false">
      <c r="A287" s="0" t="s">
        <v>1525</v>
      </c>
      <c r="B287" s="5" t="s">
        <v>1313</v>
      </c>
      <c r="D287" s="9" t="n">
        <f aca="false">D271+D275+D279</f>
        <v>0</v>
      </c>
      <c r="E287" s="9" t="n">
        <f aca="false">E271+E275+E279</f>
        <v>0</v>
      </c>
      <c r="F287" s="9" t="n">
        <f aca="false">F271+F275+F279</f>
        <v>2.40267139853502</v>
      </c>
      <c r="G287" s="9" t="n">
        <f aca="false">G271+G275+G279</f>
        <v>3.23438922183938</v>
      </c>
      <c r="H287" s="9" t="n">
        <f aca="false">H271+H275+H279</f>
        <v>3.71133987049778</v>
      </c>
      <c r="I287" s="9" t="n">
        <f aca="false">I271+I275+I279</f>
        <v>3.32009450024819</v>
      </c>
    </row>
    <row r="288" customFormat="false" ht="15" hidden="false" customHeight="false" outlineLevel="0" collapsed="false">
      <c r="A288" s="0" t="s">
        <v>1526</v>
      </c>
      <c r="B288" s="5" t="s">
        <v>1315</v>
      </c>
      <c r="D288" s="9" t="n">
        <f aca="false">D272+D276+D280</f>
        <v>0</v>
      </c>
      <c r="E288" s="9" t="n">
        <f aca="false">E272+E276+E280</f>
        <v>0</v>
      </c>
      <c r="F288" s="9" t="n">
        <f aca="false">F272+F276+F280</f>
        <v>2.40267139853502</v>
      </c>
      <c r="G288" s="9" t="n">
        <f aca="false">G272+G276+G280</f>
        <v>2.83932325576981</v>
      </c>
      <c r="H288" s="9" t="n">
        <f aca="false">H272+H276+H280</f>
        <v>3.48478831238504</v>
      </c>
      <c r="I288" s="9" t="n">
        <f aca="false">I272+I276+I280</f>
        <v>3.50593605111674</v>
      </c>
    </row>
    <row r="289" customFormat="false" ht="15" hidden="false" customHeight="false" outlineLevel="0" collapsed="false">
      <c r="A289" s="0" t="s">
        <v>1527</v>
      </c>
      <c r="B289" s="5" t="s">
        <v>1317</v>
      </c>
      <c r="D289" s="9" t="n">
        <f aca="false">D273+D277+D281</f>
        <v>0</v>
      </c>
      <c r="E289" s="9" t="n">
        <f aca="false">E273+E277+E281</f>
        <v>0</v>
      </c>
      <c r="F289" s="9" t="n">
        <f aca="false">F273+F277+F281</f>
        <v>1.4302</v>
      </c>
      <c r="G289" s="9" t="n">
        <f aca="false">G273+G277+G281</f>
        <v>1.107</v>
      </c>
      <c r="H289" s="9" t="n">
        <f aca="false">H273+H277+H281</f>
        <v>1.245</v>
      </c>
      <c r="I289" s="9" t="n">
        <f aca="false">I273+I277+I281</f>
        <v>1.149</v>
      </c>
    </row>
    <row r="291" customFormat="false" ht="17.15" hidden="false" customHeight="false" outlineLevel="0" collapsed="false">
      <c r="A291" s="6" t="s">
        <v>1528</v>
      </c>
    </row>
    <row r="292" customFormat="false" ht="15" hidden="false" customHeight="false" outlineLevel="0" collapsed="false">
      <c r="A292" s="2" t="s">
        <v>1</v>
      </c>
      <c r="B292" s="2" t="s">
        <v>2</v>
      </c>
      <c r="C292" s="7" t="s">
        <v>1188</v>
      </c>
      <c r="D292" s="7" t="s">
        <v>1189</v>
      </c>
      <c r="E292" s="7" t="s">
        <v>1190</v>
      </c>
      <c r="F292" s="7" t="s">
        <v>1191</v>
      </c>
      <c r="G292" s="7" t="s">
        <v>1192</v>
      </c>
      <c r="H292" s="7" t="s">
        <v>1193</v>
      </c>
    </row>
    <row r="293" customFormat="false" ht="17.15" hidden="false" customHeight="false" outlineLevel="0" collapsed="false">
      <c r="A293" s="0" t="s">
        <v>1529</v>
      </c>
      <c r="B293" s="0" t="s">
        <v>1195</v>
      </c>
      <c r="D293" s="8" t="n">
        <f aca="false">IF(ISNUMBER(ai2_msft_2024),ai2_msft_2024,"")</f>
        <v>46.3369</v>
      </c>
      <c r="E293" s="8" t="n">
        <f aca="false">IF(ISNUMBER(ai2_msft_2025),ai2_msft_2025,"")</f>
        <v>76.712075</v>
      </c>
      <c r="F293" s="8" t="n">
        <f aca="false">IF(ISNUMBER(ai2_msft_2026),ai2_msft_2026,"")</f>
        <v>131.229375</v>
      </c>
      <c r="G293" s="8" t="n">
        <f aca="false">IF(ISNUMBER(ai2_msft_2027),ai2_msft_2027,"")</f>
        <v>174.08595</v>
      </c>
      <c r="H293" s="8" t="n">
        <f aca="false">IF(ISNUMBER(ai2_msft_2028),ai2_msft_2028,"")</f>
        <v>198.883</v>
      </c>
      <c r="I293" s="8" t="n">
        <f aca="false">IF(ISNUMBER(ai2_msft_2029),ai2_msft_2029,"")</f>
        <v>224.1719025</v>
      </c>
    </row>
    <row r="294" customFormat="false" ht="17.15" hidden="false" customHeight="false" outlineLevel="0" collapsed="false">
      <c r="A294" s="0" t="s">
        <v>1530</v>
      </c>
      <c r="B294" s="0" t="s">
        <v>1197</v>
      </c>
      <c r="D294" s="8" t="n">
        <f aca="false">IF(ISNUMBER(D293),(pit_msft_2024/(pit_msft_2024+pfac_msft_2024)*D293+pfac_msft_2024/(pit_msft_2024+pfac_msft_2024)*IF(AND(ISNUMBER(""),ISNUMBER("")),wb1_hi*""+wb2_hi*"",IF(ISNUMBER(""),"",D293)))/(pit_msft_2024+pfac_msft_2024),site_msft_2024)</f>
        <v>1.2662200199435</v>
      </c>
      <c r="E294" s="8" t="n">
        <f aca="false">IF(ISNUMBER(E293),(pit_msft_2025/(pit_msft_2025+pfac_msft_2025)*E293+pfac_msft_2025/(pit_msft_2025+pfac_msft_2025)*IF(AND(ISNUMBER(D293),ISNUMBER("")),wb1_hi*D293+wb2_hi*"",IF(ISNUMBER(D293),D293,E293)))/(pit_msft_2025+pfac_msft_2025),site_msft_2025)</f>
        <v>1.89413391980359</v>
      </c>
      <c r="F294" s="8" t="n">
        <f aca="false">IF(ISNUMBER(F293),(pit_msft_2026/(pit_msft_2026+pfac_msft_2026)*F293+pfac_msft_2026/(pit_msft_2026+pfac_msft_2026)*IF(AND(ISNUMBER(E293),ISNUMBER(D293)),wb1_hi*E293+wb2_hi*D293,IF(ISNUMBER(E293),E293,F293)))/(pit_msft_2026+pfac_msft_2026),site_msft_2026)</f>
        <v>2.63242405600638</v>
      </c>
      <c r="G294" s="8" t="n">
        <f aca="false">IF(ISNUMBER(G293),(pit_msft_2027/(pit_msft_2027+pfac_msft_2027)*G293+pfac_msft_2027/(pit_msft_2027+pfac_msft_2027)*IF(AND(ISNUMBER(F293),ISNUMBER(E293)),wb1_hi*F293+wb2_hi*E293,IF(ISNUMBER(F293),F293,G293)))/(pit_msft_2027+pfac_msft_2027),site_msft_2027)</f>
        <v>3.41003574924165</v>
      </c>
      <c r="H294" s="8" t="n">
        <f aca="false">IF(ISNUMBER(H293),(pit_msft_2028/(pit_msft_2028+pfac_msft_2028)*H293+pfac_msft_2028/(pit_msft_2028+pfac_msft_2028)*IF(AND(ISNUMBER(G293),ISNUMBER(F293)),wb1_hi*G293+wb2_hi*F293,IF(ISNUMBER(G293),G293,H293)))/(pit_msft_2028+pfac_msft_2028),site_msft_2028)</f>
        <v>3.95601155416906</v>
      </c>
      <c r="I294" s="8" t="n">
        <f aca="false">IF(ISNUMBER(I293),(pit_msft_2029/(pit_msft_2029+pfac_msft_2029)*I293+pfac_msft_2029/(pit_msft_2029+pfac_msft_2029)*IF(AND(ISNUMBER(H293),ISNUMBER(G293)),wb1_hi*H293+wb2_hi*G293,IF(ISNUMBER(H293),H293,I293)))/(pit_msft_2029+pfac_msft_2029),site_msft_2029)</f>
        <v>4.60068352232977</v>
      </c>
    </row>
    <row r="295" customFormat="false" ht="17.15" hidden="false" customHeight="false" outlineLevel="0" collapsed="false">
      <c r="A295" s="0" t="s">
        <v>1531</v>
      </c>
      <c r="B295" s="0" t="s">
        <v>1199</v>
      </c>
      <c r="E295" s="8" t="n">
        <f aca="false">(1-lag)*E294+lag*D294-inv_k*(E294-D294)</f>
        <v>1.59587481737004</v>
      </c>
      <c r="F295" s="8" t="n">
        <f aca="false">(1-lag)*F294+lag*E294-inv_k*(F294-E294)</f>
        <v>2.28173624131005</v>
      </c>
      <c r="G295" s="8" t="n">
        <f aca="false">(1-lag)*G294+lag*F294-inv_k*(G294-F294)</f>
        <v>3.04067019495489</v>
      </c>
      <c r="H295" s="8" t="n">
        <f aca="false">(1-lag)*H294+lag*G294-inv_k*(H294-G294)</f>
        <v>3.69667304682854</v>
      </c>
      <c r="I295" s="8" t="n">
        <f aca="false">(1-lag)*I294+lag*H294-inv_k*(I294-H294)</f>
        <v>4.29446433745343</v>
      </c>
    </row>
    <row r="296" customFormat="false" ht="17.15" hidden="false" customHeight="false" outlineLevel="0" collapsed="false">
      <c r="A296" s="0" t="s">
        <v>1532</v>
      </c>
      <c r="B296" s="0" t="s">
        <v>1201</v>
      </c>
      <c r="D296" s="8" t="str">
        <f aca="false">""</f>
        <v/>
      </c>
      <c r="E296" s="8" t="n">
        <f aca="false">(6/12*cap2_msft_2025+6/12*gcap_msft_2026)*ai_sh</f>
        <v>89.186675</v>
      </c>
      <c r="F296" s="8" t="n">
        <f aca="false">(6/12*gcap_msft_2026+6/12*gcap_msft_2027)*ai_sh</f>
        <v>148.5375</v>
      </c>
      <c r="G296" s="8" t="n">
        <f aca="false">(6/12*gcap_msft_2027+6/12*gcap_msft_2028)*ai_sh</f>
        <v>185.939575275</v>
      </c>
      <c r="H296" s="8" t="n">
        <f aca="false">(6/12*gcap_msft_2028+6/12*gcap_msft_2029)*ai_sh</f>
        <v>202.7978586</v>
      </c>
      <c r="I296" s="8" t="n">
        <f aca="false">(6/12*gcap_msft_2029+6/12*gcap_msft_2030)*ai_sh</f>
        <v>197.6117298</v>
      </c>
    </row>
    <row r="297" customFormat="false" ht="17.15" hidden="false" customHeight="false" outlineLevel="0" collapsed="false">
      <c r="A297" s="0" t="s">
        <v>1533</v>
      </c>
      <c r="B297" s="0" t="s">
        <v>1197</v>
      </c>
      <c r="D297" s="8" t="n">
        <f aca="false">IF(ISNUMBER(D296),(pit_msft_2024/(pit_msft_2024+pfac_msft_2024)*D296+pfac_msft_2024/(pit_msft_2024+pfac_msft_2024)*IF(AND(ISNUMBER(""),ISNUMBER("")),wb1_hi*""+wb2_hi*"",IF(ISNUMBER(""),"",D296)))/(pit_msft_2024+pfac_msft_2024),site_msft_2024)</f>
        <v>0</v>
      </c>
      <c r="E297" s="8" t="n">
        <f aca="false">IF(ISNUMBER(E296),(pit_msft_2025/(pit_msft_2025+pfac_msft_2025)*E296+pfac_msft_2025/(pit_msft_2025+pfac_msft_2025)*IF(AND(ISNUMBER(D296),ISNUMBER("")),wb1_hi*D296+wb2_hi*"",IF(ISNUMBER(D296),D296,E296)))/(pit_msft_2025+pfac_msft_2025),site_msft_2025)</f>
        <v>2.51576435599185</v>
      </c>
      <c r="F297" s="8" t="n">
        <f aca="false">IF(ISNUMBER(F296),(pit_msft_2026/(pit_msft_2026+pfac_msft_2026)*F296+pfac_msft_2026/(pit_msft_2026+pfac_msft_2026)*IF(AND(ISNUMBER(E296),ISNUMBER(D296)),wb1_hi*E296+wb2_hi*D296,IF(ISNUMBER(E296),E296,F296)))/(pit_msft_2026+pfac_msft_2026),site_msft_2026)</f>
        <v>3.22245015720519</v>
      </c>
      <c r="G297" s="8" t="n">
        <f aca="false">IF(ISNUMBER(G296),(pit_msft_2027/(pit_msft_2027+pfac_msft_2027)*G296+pfac_msft_2027/(pit_msft_2027+pfac_msft_2027)*IF(AND(ISNUMBER(F296),ISNUMBER(E296)),wb1_hi*F296+wb2_hi*E296,IF(ISNUMBER(F296),F296,G296)))/(pit_msft_2027+pfac_msft_2027),site_msft_2027)</f>
        <v>3.68331074413294</v>
      </c>
      <c r="H297" s="8" t="n">
        <f aca="false">IF(ISNUMBER(H296),(pit_msft_2028/(pit_msft_2028+pfac_msft_2028)*H296+pfac_msft_2028/(pit_msft_2028+pfac_msft_2028)*IF(AND(ISNUMBER(G296),ISNUMBER(F296)),wb1_hi*G296+wb2_hi*F296,IF(ISNUMBER(G296),G296,H296)))/(pit_msft_2028+pfac_msft_2028),site_msft_2028)</f>
        <v>4.10944927211911</v>
      </c>
      <c r="I297" s="8" t="n">
        <f aca="false">IF(ISNUMBER(I296),(pit_msft_2029/(pit_msft_2029+pfac_msft_2029)*I296+pfac_msft_2029/(pit_msft_2029+pfac_msft_2029)*IF(AND(ISNUMBER(H296),ISNUMBER(G296)),wb1_hi*H296+wb2_hi*G296,IF(ISNUMBER(H296),H296,I296)))/(pit_msft_2029+pfac_msft_2029),site_msft_2029)</f>
        <v>4.22255729333217</v>
      </c>
    </row>
    <row r="298" customFormat="false" ht="17.15" hidden="false" customHeight="false" outlineLevel="0" collapsed="false">
      <c r="A298" s="0" t="s">
        <v>1534</v>
      </c>
      <c r="B298" s="0" t="s">
        <v>1199</v>
      </c>
      <c r="E298" s="8" t="n">
        <f aca="false">(1-lag)*E297+lag*D297-inv_k*(E297-D297)</f>
        <v>1.32077628689572</v>
      </c>
      <c r="F298" s="8" t="n">
        <f aca="false">(1-lag)*F297+lag*E297-inv_k*(F297-E297)</f>
        <v>2.88677440162885</v>
      </c>
      <c r="G298" s="8" t="n">
        <f aca="false">(1-lag)*G297+lag*F297-inv_k*(G297-F297)</f>
        <v>3.46440196534226</v>
      </c>
      <c r="H298" s="8" t="n">
        <f aca="false">(1-lag)*H297+lag*G297-inv_k*(H297-G297)</f>
        <v>3.90703347132568</v>
      </c>
      <c r="I298" s="8" t="n">
        <f aca="false">(1-lag)*I297+lag*H297-inv_k*(I297-H297)</f>
        <v>4.16883098325597</v>
      </c>
    </row>
    <row r="299" customFormat="false" ht="17.15" hidden="false" customHeight="false" outlineLevel="0" collapsed="false">
      <c r="A299" s="0" t="s">
        <v>1535</v>
      </c>
      <c r="B299" s="0" t="s">
        <v>1205</v>
      </c>
      <c r="D299" s="8" t="n">
        <f aca="false">site_msft_2024</f>
        <v>0</v>
      </c>
      <c r="E299" s="8" t="n">
        <f aca="false">site_msft_2025</f>
        <v>2.13527</v>
      </c>
      <c r="F299" s="8" t="n">
        <f aca="false">site_msft_2026</f>
        <v>0.770955</v>
      </c>
      <c r="G299" s="8" t="n">
        <f aca="false">site_msft_2027</f>
        <v>1.04</v>
      </c>
      <c r="H299" s="8" t="n">
        <f aca="false">site_msft_2028</f>
        <v>1.67</v>
      </c>
      <c r="I299" s="8" t="n">
        <f aca="false">site_msft_2029</f>
        <v>0.144</v>
      </c>
    </row>
    <row r="300" customFormat="false" ht="17.15" hidden="false" customHeight="false" outlineLevel="0" collapsed="false">
      <c r="A300" s="0" t="s">
        <v>1536</v>
      </c>
      <c r="B300" s="0" t="s">
        <v>1207</v>
      </c>
      <c r="D300" s="8" t="str">
        <f aca="false">IF(ISNUMBER(ai2_googl_2024),ai2_googl_2024,"")</f>
        <v/>
      </c>
      <c r="E300" s="8" t="n">
        <f aca="false">IF(ISNUMBER(ai2_googl_2025),ai2_googl_2025,"")</f>
        <v>77.72995</v>
      </c>
      <c r="F300" s="8" t="n">
        <f aca="false">IF(ISNUMBER(ai2_googl_2026),ai2_googl_2026,"")</f>
        <v>170</v>
      </c>
      <c r="G300" s="8" t="n">
        <f aca="false">IF(ISNUMBER(ai2_googl_2027),ai2_googl_2027,"")</f>
        <v>255.83215</v>
      </c>
      <c r="H300" s="8" t="n">
        <f aca="false">IF(ISNUMBER(ai2_googl_2028),ai2_googl_2028,"")</f>
        <v>288.53335</v>
      </c>
      <c r="I300" s="8" t="n">
        <f aca="false">IF(ISNUMBER(ai2_googl_2029),ai2_googl_2029,"")</f>
        <v>317.386685</v>
      </c>
    </row>
    <row r="301" customFormat="false" ht="17.15" hidden="false" customHeight="false" outlineLevel="0" collapsed="false">
      <c r="A301" s="0" t="s">
        <v>1537</v>
      </c>
      <c r="B301" s="0" t="s">
        <v>1209</v>
      </c>
      <c r="D301" s="8" t="n">
        <f aca="false">IF(ISNUMBER(D300),(pit_googl_2024/(pit_googl_2024+pfac_googl_2024)*D300+pfac_googl_2024/(pit_googl_2024+pfac_googl_2024)*IF(AND(ISNUMBER(""),ISNUMBER("")),wb1_hi*""+wb2_hi*"",IF(ISNUMBER(""),"",D300)))/(pit_googl_2024+pfac_googl_2024),site_googl_2024)</f>
        <v>1.32980834349181</v>
      </c>
      <c r="E301" s="8" t="n">
        <f aca="false">IF(ISNUMBER(E300),(pit_googl_2025/(pit_googl_2025+pfac_googl_2025)*E300+pfac_googl_2025/(pit_googl_2025+pfac_googl_2025)*IF(AND(ISNUMBER(D300),ISNUMBER("")),wb1_hi*D300+wb2_hi*"",IF(ISNUMBER(D300),D300,E300)))/(pit_googl_2025+pfac_googl_2025),site_googl_2025)</f>
        <v>2.15653802290354</v>
      </c>
      <c r="F301" s="8" t="n">
        <f aca="false">IF(ISNUMBER(F300),(pit_googl_2026/(pit_googl_2026+pfac_googl_2026)*F300+pfac_googl_2026/(pit_googl_2026+pfac_googl_2026)*IF(AND(ISNUMBER(E300),ISNUMBER(D300)),wb1_hi*E300+wb2_hi*D300,IF(ISNUMBER(E300),E300,F300)))/(pit_googl_2026+pfac_googl_2026),site_googl_2026)</f>
        <v>3.85777511610307</v>
      </c>
      <c r="G301" s="8" t="n">
        <f aca="false">IF(ISNUMBER(G300),(pit_googl_2027/(pit_googl_2027+pfac_googl_2027)*G300+pfac_googl_2027/(pit_googl_2027+pfac_googl_2027)*IF(AND(ISNUMBER(F300),ISNUMBER(E300)),wb1_hi*F300+wb2_hi*E300,IF(ISNUMBER(F300),F300,G300)))/(pit_googl_2027+pfac_googl_2027),site_googl_2027)</f>
        <v>5.40155729721498</v>
      </c>
      <c r="H301" s="8" t="n">
        <f aca="false">IF(ISNUMBER(H300),(pit_googl_2028/(pit_googl_2028+pfac_googl_2028)*H300+pfac_googl_2028/(pit_googl_2028+pfac_googl_2028)*IF(AND(ISNUMBER(G300),ISNUMBER(F300)),wb1_hi*G300+wb2_hi*F300,IF(ISNUMBER(G300),G300,H300)))/(pit_googl_2028+pfac_googl_2028),site_googl_2028)</f>
        <v>6.51148586343311</v>
      </c>
      <c r="I301" s="8" t="n">
        <f aca="false">IF(ISNUMBER(I300),(pit_googl_2029/(pit_googl_2029+pfac_googl_2029)*I300+pfac_googl_2029/(pit_googl_2029+pfac_googl_2029)*IF(AND(ISNUMBER(H300),ISNUMBER(G300)),wb1_hi*H300+wb2_hi*G300,IF(ISNUMBER(H300),H300,I300)))/(pit_googl_2029+pfac_googl_2029),site_googl_2029)</f>
        <v>7.58820465746527</v>
      </c>
    </row>
    <row r="302" customFormat="false" ht="17.15" hidden="false" customHeight="false" outlineLevel="0" collapsed="false">
      <c r="A302" s="0" t="s">
        <v>1538</v>
      </c>
      <c r="B302" s="0" t="s">
        <v>1211</v>
      </c>
      <c r="E302" s="8" t="n">
        <f aca="false">(1-lag)*E301+lag*D301-inv_k*(E301-D301)</f>
        <v>1.76384142518297</v>
      </c>
      <c r="F302" s="8" t="n">
        <f aca="false">(1-lag)*F301+lag*E301-inv_k*(F301-E301)</f>
        <v>3.04968749683329</v>
      </c>
      <c r="G302" s="8" t="n">
        <f aca="false">(1-lag)*G301+lag*F301-inv_k*(G301-F301)</f>
        <v>4.66826076118682</v>
      </c>
      <c r="H302" s="8" t="n">
        <f aca="false">(1-lag)*H301+lag*G301-inv_k*(H301-G301)</f>
        <v>5.9842697944795</v>
      </c>
      <c r="I302" s="8" t="n">
        <f aca="false">(1-lag)*I301+lag*H301-inv_k*(I301-H301)</f>
        <v>7.0767632303</v>
      </c>
    </row>
    <row r="303" customFormat="false" ht="17.15" hidden="false" customHeight="false" outlineLevel="0" collapsed="false">
      <c r="A303" s="0" t="s">
        <v>1539</v>
      </c>
      <c r="B303" s="0" t="s">
        <v>1213</v>
      </c>
      <c r="D303" s="8" t="n">
        <f aca="false">gcap_googl_2024*ai_sh</f>
        <v>44.65475</v>
      </c>
      <c r="E303" s="8" t="n">
        <f aca="false">gcap_googl_2025*ai_sh</f>
        <v>77.72995</v>
      </c>
      <c r="F303" s="8" t="n">
        <f aca="false">gcap_googl_2026*ai_sh</f>
        <v>170</v>
      </c>
      <c r="G303" s="8" t="n">
        <f aca="false">gcap_googl_2027*ai_sh</f>
        <v>246.810369</v>
      </c>
      <c r="H303" s="8" t="n">
        <f aca="false">gcap_googl_2028*ai_sh</f>
        <v>269.78900975</v>
      </c>
      <c r="I303" s="8" t="n">
        <f aca="false">gcap_googl_2029*ai_sh</f>
        <v>248.6767412</v>
      </c>
    </row>
    <row r="304" customFormat="false" ht="17.15" hidden="false" customHeight="false" outlineLevel="0" collapsed="false">
      <c r="A304" s="0" t="s">
        <v>1540</v>
      </c>
      <c r="B304" s="0" t="s">
        <v>1209</v>
      </c>
      <c r="D304" s="8" t="n">
        <f aca="false">IF(ISNUMBER(D303),(pit_googl_2024/(pit_googl_2024+pfac_googl_2024)*D303+pfac_googl_2024/(pit_googl_2024+pfac_googl_2024)*IF(AND(ISNUMBER(""),ISNUMBER("")),wb1_hi*""+wb2_hi*"",IF(ISNUMBER(""),"",D303)))/(pit_googl_2024+pfac_googl_2024),site_googl_2024)</f>
        <v>1.22628577156267</v>
      </c>
      <c r="E304" s="8" t="n">
        <f aca="false">IF(ISNUMBER(E303),(pit_googl_2025/(pit_googl_2025+pfac_googl_2025)*E303+pfac_googl_2025/(pit_googl_2025+pfac_googl_2025)*IF(AND(ISNUMBER(D303),ISNUMBER("")),wb1_hi*D303+wb2_hi*"",IF(ISNUMBER(D303),D303,E303)))/(pit_googl_2025+pfac_googl_2025),site_googl_2025)</f>
        <v>1.90684085060084</v>
      </c>
      <c r="F304" s="8" t="n">
        <f aca="false">IF(ISNUMBER(F303),(pit_googl_2026/(pit_googl_2026+pfac_googl_2026)*F303+pfac_googl_2026/(pit_googl_2026+pfac_googl_2026)*IF(AND(ISNUMBER(E303),ISNUMBER(D303)),wb1_hi*E303+wb2_hi*D303,IF(ISNUMBER(E303),E303,F303)))/(pit_googl_2026+pfac_googl_2026),site_googl_2026)</f>
        <v>3.63161317719951</v>
      </c>
      <c r="G304" s="8" t="n">
        <f aca="false">IF(ISNUMBER(G303),(pit_googl_2027/(pit_googl_2027+pfac_googl_2027)*G303+pfac_googl_2027/(pit_googl_2027+pfac_googl_2027)*IF(AND(ISNUMBER(F303),ISNUMBER(E303)),wb1_hi*F303+wb2_hi*E303,IF(ISNUMBER(F303),F303,G303)))/(pit_googl_2027+pfac_googl_2027),site_googl_2027)</f>
        <v>5.2286687436441</v>
      </c>
      <c r="H304" s="8" t="n">
        <f aca="false">IF(ISNUMBER(H303),(pit_googl_2028/(pit_googl_2028+pfac_googl_2028)*H303+pfac_googl_2028/(pit_googl_2028+pfac_googl_2028)*IF(AND(ISNUMBER(G303),ISNUMBER(F303)),wb1_hi*G303+wb2_hi*F303,IF(ISNUMBER(G303),G303,H303)))/(pit_googl_2028+pfac_googl_2028),site_googl_2028)</f>
        <v>6.15675383142673</v>
      </c>
      <c r="I304" s="8" t="n">
        <f aca="false">IF(ISNUMBER(I303),(pit_googl_2029/(pit_googl_2029+pfac_googl_2029)*I303+pfac_googl_2029/(pit_googl_2029+pfac_googl_2029)*IF(AND(ISNUMBER(H303),ISNUMBER(G303)),wb1_hi*H303+wb2_hi*G303,IF(ISNUMBER(H303),H303,I303)))/(pit_googl_2029+pfac_googl_2029),site_googl_2029)</f>
        <v>6.23210667467991</v>
      </c>
    </row>
    <row r="305" customFormat="false" ht="17.15" hidden="false" customHeight="false" outlineLevel="0" collapsed="false">
      <c r="A305" s="0" t="s">
        <v>1541</v>
      </c>
      <c r="B305" s="0" t="s">
        <v>1211</v>
      </c>
      <c r="E305" s="8" t="n">
        <f aca="false">(1-lag)*E304+lag*D304-inv_k*(E304-D304)</f>
        <v>1.58357718805771</v>
      </c>
      <c r="F305" s="8" t="n">
        <f aca="false">(1-lag)*F304+lag*E304-inv_k*(F304-E304)</f>
        <v>2.81234632206514</v>
      </c>
      <c r="G305" s="8" t="n">
        <f aca="false">(1-lag)*G304+lag*F304-inv_k*(G304-F304)</f>
        <v>4.47006734958292</v>
      </c>
      <c r="H305" s="8" t="n">
        <f aca="false">(1-lag)*H304+lag*G304-inv_k*(H304-G304)</f>
        <v>5.71591341472998</v>
      </c>
      <c r="I305" s="8" t="n">
        <f aca="false">(1-lag)*I304+lag*H304-inv_k*(I304-H304)</f>
        <v>6.19631407413465</v>
      </c>
    </row>
    <row r="306" customFormat="false" ht="17.15" hidden="false" customHeight="false" outlineLevel="0" collapsed="false">
      <c r="A306" s="0" t="s">
        <v>1542</v>
      </c>
      <c r="B306" s="0" t="s">
        <v>1217</v>
      </c>
      <c r="D306" s="8" t="n">
        <f aca="false">site_googl_2024</f>
        <v>1.32980834349181</v>
      </c>
      <c r="E306" s="8" t="n">
        <f aca="false">site_googl_2025</f>
        <v>2.40961330082622</v>
      </c>
      <c r="F306" s="8" t="n">
        <f aca="false">site_googl_2026</f>
        <v>1.29267912772586</v>
      </c>
      <c r="G306" s="8" t="n">
        <f aca="false">site_googl_2027</f>
        <v>1.626</v>
      </c>
      <c r="H306" s="8" t="n">
        <f aca="false">site_googl_2028</f>
        <v>0.833333333333334</v>
      </c>
      <c r="I306" s="8" t="n">
        <f aca="false">site_googl_2029</f>
        <v>0</v>
      </c>
    </row>
    <row r="307" customFormat="false" ht="17.15" hidden="false" customHeight="false" outlineLevel="0" collapsed="false">
      <c r="A307" s="0" t="s">
        <v>1543</v>
      </c>
      <c r="B307" s="0" t="s">
        <v>1219</v>
      </c>
      <c r="D307" s="8" t="str">
        <f aca="false">IF(ISNUMBER(ai2_amzn_2024),ai2_amzn_2024,"")</f>
        <v/>
      </c>
      <c r="E307" s="8" t="n">
        <f aca="false">IF(ISNUMBER(ai2_amzn_2025),ai2_amzn_2025,"")</f>
        <v>87.2576</v>
      </c>
      <c r="F307" s="8" t="n">
        <f aca="false">IF(ISNUMBER(ai2_amzn_2026),ai2_amzn_2026,"")</f>
        <v>149.6</v>
      </c>
      <c r="G307" s="8" t="n">
        <f aca="false">IF(ISNUMBER(ai2_amzn_2027),ai2_amzn_2027,"")</f>
        <v>187.04284</v>
      </c>
      <c r="H307" s="8" t="n">
        <f aca="false">IF(ISNUMBER(ai2_amzn_2028),ai2_amzn_2028,"")</f>
        <v>199.19036</v>
      </c>
      <c r="I307" s="8" t="n">
        <f aca="false">IF(ISNUMBER(ai2_amzn_2029),ai2_amzn_2029,"")</f>
        <v>219.109396</v>
      </c>
    </row>
    <row r="308" customFormat="false" ht="17.15" hidden="false" customHeight="false" outlineLevel="0" collapsed="false">
      <c r="A308" s="0" t="s">
        <v>1544</v>
      </c>
      <c r="B308" s="0" t="s">
        <v>1221</v>
      </c>
      <c r="D308" s="8" t="n">
        <f aca="false">IF(ISNUMBER(D307),(pit_amzn_2024/(pit_amzn_2024+pfac_amzn_2024)*D307+pfac_amzn_2024/(pit_amzn_2024+pfac_amzn_2024)*IF(AND(ISNUMBER(""),ISNUMBER("")),wb1_hi*""+wb2_hi*"",IF(ISNUMBER(""),"",D307)))/(pit_amzn_2024+pfac_amzn_2024),site_amzn_2024)</f>
        <v>0</v>
      </c>
      <c r="E308" s="8" t="n">
        <f aca="false">IF(ISNUMBER(E307),(pit_amzn_2025/(pit_amzn_2025+pfac_amzn_2025)*E307+pfac_amzn_2025/(pit_amzn_2025+pfac_amzn_2025)*IF(AND(ISNUMBER(D307),ISNUMBER("")),wb1_hi*D307+wb2_hi*"",IF(ISNUMBER(D307),D307,E307)))/(pit_amzn_2025+pfac_amzn_2025),site_amzn_2025)</f>
        <v>2.6200438487091</v>
      </c>
      <c r="F308" s="8" t="n">
        <f aca="false">IF(ISNUMBER(F307),(pit_amzn_2026/(pit_amzn_2026+pfac_amzn_2026)*F307+pfac_amzn_2026/(pit_amzn_2026+pfac_amzn_2026)*IF(AND(ISNUMBER(E307),ISNUMBER(D307)),wb1_hi*E307+wb2_hi*D307,IF(ISNUMBER(E307),E307,F307)))/(pit_amzn_2026+pfac_amzn_2026),site_amzn_2026)</f>
        <v>3.72830685774426</v>
      </c>
      <c r="G308" s="8" t="n">
        <f aca="false">IF(ISNUMBER(G307),(pit_amzn_2027/(pit_amzn_2027+pfac_amzn_2027)*G307+pfac_amzn_2027/(pit_amzn_2027+pfac_amzn_2027)*IF(AND(ISNUMBER(F307),ISNUMBER(E307)),wb1_hi*F307+wb2_hi*E307,IF(ISNUMBER(F307),F307,G307)))/(pit_amzn_2027+pfac_amzn_2027),site_amzn_2027)</f>
        <v>4.33609470865083</v>
      </c>
      <c r="H308" s="8" t="n">
        <f aca="false">IF(ISNUMBER(H307),(pit_amzn_2028/(pit_amzn_2028+pfac_amzn_2028)*H307+pfac_amzn_2028/(pit_amzn_2028+pfac_amzn_2028)*IF(AND(ISNUMBER(G307),ISNUMBER(F307)),wb1_hi*G307+wb2_hi*F307,IF(ISNUMBER(G307),G307,H307)))/(pit_amzn_2028+pfac_amzn_2028),site_amzn_2028)</f>
        <v>4.87716558098185</v>
      </c>
      <c r="I308" s="8" t="n">
        <f aca="false">IF(ISNUMBER(I307),(pit_amzn_2029/(pit_amzn_2029+pfac_amzn_2029)*I307+pfac_amzn_2029/(pit_amzn_2029+pfac_amzn_2029)*IF(AND(ISNUMBER(H307),ISNUMBER(G307)),wb1_hi*H307+wb2_hi*G307,IF(ISNUMBER(H307),H307,I307)))/(pit_amzn_2029+pfac_amzn_2029),site_amzn_2029)</f>
        <v>5.50787827000546</v>
      </c>
    </row>
    <row r="309" customFormat="false" ht="17.15" hidden="false" customHeight="false" outlineLevel="0" collapsed="false">
      <c r="A309" s="0" t="s">
        <v>1545</v>
      </c>
      <c r="B309" s="0" t="s">
        <v>1223</v>
      </c>
      <c r="E309" s="8" t="n">
        <f aca="false">(1-lag)*E308+lag*D308-inv_k*(E308-D308)</f>
        <v>1.37552302057228</v>
      </c>
      <c r="F309" s="8" t="n">
        <f aca="false">(1-lag)*F308+lag*E308-inv_k*(F308-E308)</f>
        <v>3.20188192845256</v>
      </c>
      <c r="G309" s="8" t="n">
        <f aca="false">(1-lag)*G308+lag*F308-inv_k*(G308-F308)</f>
        <v>4.04739547947021</v>
      </c>
      <c r="H309" s="8" t="n">
        <f aca="false">(1-lag)*H308+lag*G308-inv_k*(H308-G308)</f>
        <v>4.62015691662462</v>
      </c>
      <c r="I309" s="8" t="n">
        <f aca="false">(1-lag)*I308+lag*H308-inv_k*(I308-H308)</f>
        <v>5.20828974271925</v>
      </c>
    </row>
    <row r="310" customFormat="false" ht="17.15" hidden="false" customHeight="false" outlineLevel="0" collapsed="false">
      <c r="A310" s="0" t="s">
        <v>1546</v>
      </c>
      <c r="B310" s="0" t="s">
        <v>1225</v>
      </c>
      <c r="D310" s="8" t="n">
        <f aca="false">gcap_amzn_2024*ai_amzn</f>
        <v>52.80744</v>
      </c>
      <c r="E310" s="8" t="n">
        <f aca="false">gcap_amzn_2025*ai_amzn</f>
        <v>87.2576</v>
      </c>
      <c r="F310" s="8" t="n">
        <f aca="false">gcap_amzn_2026*ai_amzn</f>
        <v>149.6</v>
      </c>
      <c r="G310" s="8" t="n">
        <f aca="false">gcap_amzn_2027*ai_amzn</f>
        <v>172.09445848</v>
      </c>
      <c r="H310" s="8" t="n">
        <f aca="false">gcap_amzn_2028*ai_amzn</f>
        <v>181.54066624</v>
      </c>
      <c r="I310" s="8" t="n">
        <f aca="false">gcap_amzn_2029*ai_amzn</f>
        <v>189.3160052</v>
      </c>
    </row>
    <row r="311" customFormat="false" ht="17.15" hidden="false" customHeight="false" outlineLevel="0" collapsed="false">
      <c r="A311" s="0" t="s">
        <v>1547</v>
      </c>
      <c r="B311" s="0" t="s">
        <v>1221</v>
      </c>
      <c r="D311" s="8" t="n">
        <f aca="false">IF(ISNUMBER(D310),(pit_amzn_2024/(pit_amzn_2024+pfac_amzn_2024)*D310+pfac_amzn_2024/(pit_amzn_2024+pfac_amzn_2024)*IF(AND(ISNUMBER(""),ISNUMBER("")),wb1_hi*""+wb2_hi*"",IF(ISNUMBER(""),"",D310)))/(pit_amzn_2024+pfac_amzn_2024),site_amzn_2024)</f>
        <v>1.56238534864816</v>
      </c>
      <c r="E311" s="8" t="n">
        <f aca="false">IF(ISNUMBER(E310),(pit_amzn_2025/(pit_amzn_2025+pfac_amzn_2025)*E310+pfac_amzn_2025/(pit_amzn_2025+pfac_amzn_2025)*IF(AND(ISNUMBER(D310),ISNUMBER("")),wb1_hi*D310+wb2_hi*"",IF(ISNUMBER(D310),D310,E310)))/(pit_amzn_2025+pfac_amzn_2025),site_amzn_2025)</f>
        <v>2.32934283296825</v>
      </c>
      <c r="F311" s="8" t="n">
        <f aca="false">IF(ISNUMBER(F310),(pit_amzn_2026/(pit_amzn_2026+pfac_amzn_2026)*F310+pfac_amzn_2026/(pit_amzn_2026+pfac_amzn_2026)*IF(AND(ISNUMBER(E310),ISNUMBER(D310)),wb1_hi*E310+wb2_hi*D310,IF(ISNUMBER(E310),E310,F310)))/(pit_amzn_2026+pfac_amzn_2026),site_amzn_2026)</f>
        <v>3.47599098805252</v>
      </c>
      <c r="G311" s="8" t="n">
        <f aca="false">IF(ISNUMBER(G310),(pit_amzn_2027/(pit_amzn_2027+pfac_amzn_2027)*G310+pfac_amzn_2027/(pit_amzn_2027+pfac_amzn_2027)*IF(AND(ISNUMBER(F310),ISNUMBER(E310)),wb1_hi*F310+wb2_hi*E310,IF(ISNUMBER(F310),F310,G310)))/(pit_amzn_2027+pfac_amzn_2027),site_amzn_2027)</f>
        <v>4.03628428255013</v>
      </c>
      <c r="H311" s="8" t="n">
        <f aca="false">IF(ISNUMBER(H310),(pit_amzn_2028/(pit_amzn_2028+pfac_amzn_2028)*H310+pfac_amzn_2028/(pit_amzn_2028+pfac_amzn_2028)*IF(AND(ISNUMBER(G310),ISNUMBER(F310)),wb1_hi*G310+wb2_hi*F310,IF(ISNUMBER(G310),G310,H310)))/(pit_amzn_2028+pfac_amzn_2028),site_amzn_2028)</f>
        <v>4.52932267755427</v>
      </c>
      <c r="I311" s="8" t="n">
        <f aca="false">IF(ISNUMBER(I310),(pit_amzn_2029/(pit_amzn_2029+pfac_amzn_2029)*I310+pfac_amzn_2029/(pit_amzn_2029+pfac_amzn_2029)*IF(AND(ISNUMBER(H310),ISNUMBER(G310)),wb1_hi*H310+wb2_hi*G310,IF(ISNUMBER(H310),H310,I310)))/(pit_amzn_2029+pfac_amzn_2029),site_amzn_2029)</f>
        <v>4.8256302915033</v>
      </c>
    </row>
    <row r="312" customFormat="false" ht="17.15" hidden="false" customHeight="false" outlineLevel="0" collapsed="false">
      <c r="A312" s="0" t="s">
        <v>1548</v>
      </c>
      <c r="B312" s="0" t="s">
        <v>1223</v>
      </c>
      <c r="E312" s="8" t="n">
        <f aca="false">(1-lag)*E311+lag*D311-inv_k*(E311-D311)</f>
        <v>1.96503802791621</v>
      </c>
      <c r="F312" s="8" t="n">
        <f aca="false">(1-lag)*F311+lag*E311-inv_k*(F311-E311)</f>
        <v>2.93133311438749</v>
      </c>
      <c r="G312" s="8" t="n">
        <f aca="false">(1-lag)*G311+lag*F311-inv_k*(G311-F311)</f>
        <v>3.77014496766376</v>
      </c>
      <c r="H312" s="8" t="n">
        <f aca="false">(1-lag)*H311+lag*G311-inv_k*(H311-G311)</f>
        <v>4.2951294399273</v>
      </c>
      <c r="I312" s="8" t="n">
        <f aca="false">(1-lag)*I311+lag*H311-inv_k*(I311-H311)</f>
        <v>4.68488417487751</v>
      </c>
    </row>
    <row r="313" customFormat="false" ht="17.15" hidden="false" customHeight="false" outlineLevel="0" collapsed="false">
      <c r="A313" s="0" t="s">
        <v>1549</v>
      </c>
      <c r="B313" s="0" t="s">
        <v>1229</v>
      </c>
      <c r="D313" s="8" t="n">
        <f aca="false">site_amzn_2024</f>
        <v>0</v>
      </c>
      <c r="E313" s="8" t="n">
        <f aca="false">site_amzn_2025</f>
        <v>1.38971599402093</v>
      </c>
      <c r="F313" s="8" t="n">
        <f aca="false">site_amzn_2026</f>
        <v>0.527</v>
      </c>
      <c r="G313" s="8" t="n">
        <f aca="false">site_amzn_2027</f>
        <v>0.364</v>
      </c>
      <c r="H313" s="8" t="n">
        <f aca="false">site_amzn_2028</f>
        <v>1.744</v>
      </c>
      <c r="I313" s="8" t="n">
        <f aca="false">site_amzn_2029</f>
        <v>0.0620000000000003</v>
      </c>
    </row>
    <row r="314" customFormat="false" ht="17.15" hidden="false" customHeight="false" outlineLevel="0" collapsed="false">
      <c r="A314" s="0" t="s">
        <v>1550</v>
      </c>
      <c r="B314" s="0" t="s">
        <v>1231</v>
      </c>
      <c r="D314" s="8" t="str">
        <f aca="false">IF(ISNUMBER(ai2_meta_2024),ai2_meta_2024,"")</f>
        <v/>
      </c>
      <c r="E314" s="8" t="str">
        <f aca="false">IF(ISNUMBER(ai2_meta_2025),ai2_meta_2025,"")</f>
        <v/>
      </c>
      <c r="F314" s="8" t="n">
        <f aca="false">IF(ISNUMBER(ai2_meta_2026),ai2_meta_2026,"")</f>
        <v>119</v>
      </c>
      <c r="G314" s="8" t="n">
        <f aca="false">IF(ISNUMBER(ai2_meta_2027),ai2_meta_2027,"")</f>
        <v>130.9</v>
      </c>
      <c r="H314" s="8" t="n">
        <f aca="false">IF(ISNUMBER(ai2_meta_2028),ai2_meta_2028,"")</f>
        <v>143.99</v>
      </c>
      <c r="I314" s="8" t="n">
        <f aca="false">IF(ISNUMBER(ai2_meta_2029),ai2_meta_2029,"")</f>
        <v>158.389</v>
      </c>
    </row>
    <row r="315" customFormat="false" ht="17.15" hidden="false" customHeight="false" outlineLevel="0" collapsed="false">
      <c r="A315" s="0" t="s">
        <v>1551</v>
      </c>
      <c r="B315" s="0" t="s">
        <v>1233</v>
      </c>
      <c r="D315" s="8" t="n">
        <f aca="false">IF(ISNUMBER(D314),(pit_meta_2024/(pit_meta_2024+pfac_meta_2024)*D314+pfac_meta_2024/(pit_meta_2024+pfac_meta_2024)*IF(AND(ISNUMBER(""),ISNUMBER("")),wb1_hi*""+wb2_hi*"",IF(ISNUMBER(""),"",D314)))/(pit_meta_2024+pfac_meta_2024),site_meta_2024)</f>
        <v>0</v>
      </c>
      <c r="E315" s="8" t="n">
        <f aca="false">IF(ISNUMBER(E314),(pit_meta_2025/(pit_meta_2025+pfac_meta_2025)*E314+pfac_meta_2025/(pit_meta_2025+pfac_meta_2025)*IF(AND(ISNUMBER(D314),ISNUMBER("")),wb1_hi*D314+wb2_hi*"",IF(ISNUMBER(D314),D314,E314)))/(pit_meta_2025+pfac_meta_2025),site_meta_2025)</f>
        <v>1.50812</v>
      </c>
      <c r="F315" s="8" t="n">
        <f aca="false">IF(ISNUMBER(F314),(pit_meta_2026/(pit_meta_2026+pfac_meta_2026)*F314+pfac_meta_2026/(pit_meta_2026+pfac_meta_2026)*IF(AND(ISNUMBER(E314),ISNUMBER(D314)),wb1_hi*E314+wb2_hi*D314,IF(ISNUMBER(E314),E314,F314)))/(pit_meta_2026+pfac_meta_2026),site_meta_2026)</f>
        <v>2.62796503624796</v>
      </c>
      <c r="G315" s="8" t="n">
        <f aca="false">IF(ISNUMBER(G314),(pit_meta_2027/(pit_meta_2027+pfac_meta_2027)*G314+pfac_meta_2027/(pit_meta_2027+pfac_meta_2027)*IF(AND(ISNUMBER(F314),ISNUMBER(E314)),wb1_hi*F314+wb2_hi*E314,IF(ISNUMBER(F314),F314,G314)))/(pit_meta_2027+pfac_meta_2027),site_meta_2027)</f>
        <v>2.62451187863681</v>
      </c>
      <c r="H315" s="8" t="n">
        <f aca="false">IF(ISNUMBER(H314),(pit_meta_2028/(pit_meta_2028+pfac_meta_2028)*H314+pfac_meta_2028/(pit_meta_2028+pfac_meta_2028)*IF(AND(ISNUMBER(G314),ISNUMBER(F314)),wb1_hi*G314+wb2_hi*F314,IF(ISNUMBER(G314),G314,H314)))/(pit_meta_2028+pfac_meta_2028),site_meta_2028)</f>
        <v>2.70855690167051</v>
      </c>
      <c r="I315" s="8" t="n">
        <f aca="false">IF(ISNUMBER(I314),(pit_meta_2029/(pit_meta_2029+pfac_meta_2029)*I314+pfac_meta_2029/(pit_meta_2029+pfac_meta_2029)*IF(AND(ISNUMBER(H314),ISNUMBER(G314)),wb1_hi*H314+wb2_hi*G314,IF(ISNUMBER(H314),H314,I314)))/(pit_meta_2029+pfac_meta_2029),site_meta_2029)</f>
        <v>2.98108506700605</v>
      </c>
    </row>
    <row r="316" customFormat="false" ht="17.15" hidden="false" customHeight="false" outlineLevel="0" collapsed="false">
      <c r="A316" s="0" t="s">
        <v>1552</v>
      </c>
      <c r="B316" s="0" t="s">
        <v>1235</v>
      </c>
      <c r="E316" s="8" t="n">
        <f aca="false">(1-lag)*E315+lag*D315-inv_k*(E315-D315)</f>
        <v>0.791763</v>
      </c>
      <c r="F316" s="8" t="n">
        <f aca="false">(1-lag)*F315+lag*E315-inv_k*(F315-E315)</f>
        <v>2.09603864403018</v>
      </c>
      <c r="G316" s="8" t="n">
        <f aca="false">(1-lag)*G315+lag*F315-inv_k*(G315-F315)</f>
        <v>2.62615212850211</v>
      </c>
      <c r="H316" s="8" t="n">
        <f aca="false">(1-lag)*H315+lag*G315-inv_k*(H315-G315)</f>
        <v>2.6686355157295</v>
      </c>
      <c r="I316" s="8" t="n">
        <f aca="false">(1-lag)*I315+lag*H315-inv_k*(I315-H315)</f>
        <v>2.85163418847167</v>
      </c>
    </row>
    <row r="317" customFormat="false" ht="17.15" hidden="false" customHeight="false" outlineLevel="0" collapsed="false">
      <c r="A317" s="0" t="s">
        <v>1553</v>
      </c>
      <c r="B317" s="0" t="s">
        <v>1237</v>
      </c>
      <c r="D317" s="8" t="n">
        <f aca="false">gcap_meta_2024*ai_sh</f>
        <v>33.34125</v>
      </c>
      <c r="E317" s="8" t="n">
        <f aca="false">gcap_meta_2025*ai_sh</f>
        <v>61.38275</v>
      </c>
      <c r="F317" s="8" t="n">
        <f aca="false">gcap_meta_2026*ai_sh</f>
        <v>119</v>
      </c>
      <c r="G317" s="8" t="n">
        <f aca="false">gcap_meta_2027*ai_sh</f>
        <v>174.8499963</v>
      </c>
      <c r="H317" s="8" t="n">
        <f aca="false">gcap_meta_2028*ai_sh</f>
        <v>186.39077355</v>
      </c>
      <c r="I317" s="8" t="n">
        <f aca="false">gcap_meta_2029*ai_sh</f>
        <v>165.57988355</v>
      </c>
    </row>
    <row r="318" customFormat="false" ht="17.15" hidden="false" customHeight="false" outlineLevel="0" collapsed="false">
      <c r="A318" s="0" t="s">
        <v>1554</v>
      </c>
      <c r="B318" s="0" t="s">
        <v>1233</v>
      </c>
      <c r="D318" s="8" t="n">
        <f aca="false">IF(ISNUMBER(D317),(pit_meta_2024/(pit_meta_2024+pfac_meta_2024)*D317+pfac_meta_2024/(pit_meta_2024+pfac_meta_2024)*IF(AND(ISNUMBER(""),ISNUMBER("")),wb1_hi*""+wb2_hi*"",IF(ISNUMBER(""),"",D317)))/(pit_meta_2024+pfac_meta_2024),site_meta_2024)</f>
        <v>0.817493736320288</v>
      </c>
      <c r="E318" s="8" t="n">
        <f aca="false">IF(ISNUMBER(E317),(pit_meta_2025/(pit_meta_2025+pfac_meta_2025)*E317+pfac_meta_2025/(pit_meta_2025+pfac_meta_2025)*IF(AND(ISNUMBER(D317),ISNUMBER("")),wb1_hi*D317+wb2_hi*"",IF(ISNUMBER(D317),D317,E317)))/(pit_meta_2025+pfac_meta_2025),site_meta_2025)</f>
        <v>1.33044623899154</v>
      </c>
      <c r="F318" s="8" t="n">
        <f aca="false">IF(ISNUMBER(F317),(pit_meta_2026/(pit_meta_2026+pfac_meta_2026)*F317+pfac_meta_2026/(pit_meta_2026+pfac_meta_2026)*IF(AND(ISNUMBER(E317),ISNUMBER(D317)),wb1_hi*E317+wb2_hi*D317,IF(ISNUMBER(E317),E317,F317)))/(pit_meta_2026+pfac_meta_2026),site_meta_2026)</f>
        <v>2.11758748296057</v>
      </c>
      <c r="G318" s="8" t="n">
        <f aca="false">IF(ISNUMBER(G317),(pit_meta_2027/(pit_meta_2027+pfac_meta_2027)*G317+pfac_meta_2027/(pit_meta_2027+pfac_meta_2027)*IF(AND(ISNUMBER(F317),ISNUMBER(E317)),wb1_hi*F317+wb2_hi*E317,IF(ISNUMBER(F317),F317,G317)))/(pit_meta_2027+pfac_meta_2027),site_meta_2027)</f>
        <v>3.0067416702622</v>
      </c>
      <c r="H318" s="8" t="n">
        <f aca="false">IF(ISNUMBER(H317),(pit_meta_2028/(pit_meta_2028+pfac_meta_2028)*H317+pfac_meta_2028/(pit_meta_2028+pfac_meta_2028)*IF(AND(ISNUMBER(G317),ISNUMBER(F317)),wb1_hi*G317+wb2_hi*F317,IF(ISNUMBER(G317),G317,H317)))/(pit_meta_2028+pfac_meta_2028),site_meta_2028)</f>
        <v>3.3420962513823</v>
      </c>
      <c r="I318" s="8" t="n">
        <f aca="false">IF(ISNUMBER(I317),(pit_meta_2029/(pit_meta_2029+pfac_meta_2029)*I317+pfac_meta_2029/(pit_meta_2029+pfac_meta_2029)*IF(AND(ISNUMBER(H317),ISNUMBER(G317)),wb1_hi*H317+wb2_hi*G317,IF(ISNUMBER(H317),H317,I317)))/(pit_meta_2029+pfac_meta_2029),site_meta_2029)</f>
        <v>3.2944892916899</v>
      </c>
    </row>
    <row r="319" customFormat="false" ht="17.15" hidden="false" customHeight="false" outlineLevel="0" collapsed="false">
      <c r="A319" s="0" t="s">
        <v>1555</v>
      </c>
      <c r="B319" s="0" t="s">
        <v>1235</v>
      </c>
      <c r="E319" s="8" t="n">
        <f aca="false">(1-lag)*E318+lag*D318-inv_k*(E318-D318)</f>
        <v>1.08679380022269</v>
      </c>
      <c r="F319" s="8" t="n">
        <f aca="false">(1-lag)*F318+lag*E318-inv_k*(F318-E318)</f>
        <v>1.74369539207528</v>
      </c>
      <c r="G319" s="8" t="n">
        <f aca="false">(1-lag)*G318+lag*F318-inv_k*(G318-F318)</f>
        <v>2.58439343129392</v>
      </c>
      <c r="H319" s="8" t="n">
        <f aca="false">(1-lag)*H318+lag*G318-inv_k*(H318-G318)</f>
        <v>3.18280282535025</v>
      </c>
      <c r="I319" s="8" t="n">
        <f aca="false">(1-lag)*I318+lag*H318-inv_k*(I318-H318)</f>
        <v>3.31710259754379</v>
      </c>
    </row>
    <row r="320" customFormat="false" ht="17.15" hidden="false" customHeight="false" outlineLevel="0" collapsed="false">
      <c r="A320" s="0" t="s">
        <v>1556</v>
      </c>
      <c r="B320" s="0" t="s">
        <v>1241</v>
      </c>
      <c r="D320" s="8" t="n">
        <f aca="false">site_meta_2024</f>
        <v>0</v>
      </c>
      <c r="E320" s="8" t="n">
        <f aca="false">site_meta_2025</f>
        <v>1.50812</v>
      </c>
      <c r="F320" s="8" t="n">
        <f aca="false">site_meta_2026</f>
        <v>0.676</v>
      </c>
      <c r="G320" s="8" t="n">
        <f aca="false">site_meta_2027</f>
        <v>0.615</v>
      </c>
      <c r="H320" s="8" t="n">
        <f aca="false">site_meta_2028</f>
        <v>2.99433333333333</v>
      </c>
      <c r="I320" s="8" t="n">
        <f aca="false">site_meta_2029</f>
        <v>0.968</v>
      </c>
    </row>
    <row r="321" customFormat="false" ht="17.15" hidden="false" customHeight="false" outlineLevel="0" collapsed="false">
      <c r="A321" s="0" t="s">
        <v>1557</v>
      </c>
      <c r="B321" s="0" t="s">
        <v>1243</v>
      </c>
      <c r="D321" s="8" t="str">
        <f aca="false">IF(ISNUMBER(ai2_orcl_2024),ai2_orcl_2024,"")</f>
        <v/>
      </c>
      <c r="E321" s="8" t="n">
        <f aca="false">IF(ISNUMBER(ai2_orcl_2025),ai2_orcl_2025,"")</f>
        <v>35.1132166666667</v>
      </c>
      <c r="F321" s="8" t="n">
        <f aca="false">IF(ISNUMBER(ai2_orcl_2026),ai2_orcl_2026,"")</f>
        <v>65.5785625</v>
      </c>
      <c r="G321" s="8" t="n">
        <f aca="false">IF(ISNUMBER(ai2_orcl_2027),ai2_orcl_2027,"")</f>
        <v>82.8207416666667</v>
      </c>
      <c r="H321" s="8" t="n">
        <f aca="false">IF(ISNUMBER(ai2_orcl_2028),ai2_orcl_2028,"")</f>
        <v>77.8278416666667</v>
      </c>
      <c r="I321" s="8" t="n">
        <f aca="false">IF(ISNUMBER(ai2_orcl_2029),ai2_orcl_2029,"")</f>
        <v>76.3278466666667</v>
      </c>
    </row>
    <row r="322" customFormat="false" ht="17.15" hidden="false" customHeight="false" outlineLevel="0" collapsed="false">
      <c r="A322" s="0" t="s">
        <v>1558</v>
      </c>
      <c r="B322" s="0" t="s">
        <v>1245</v>
      </c>
      <c r="D322" s="8" t="n">
        <f aca="false">IF(ISNUMBER(D321),(pit_orcl_2024/(pit_orcl_2024+pfac_orcl_2024)*D321+pfac_orcl_2024/(pit_orcl_2024+pfac_orcl_2024)*IF(AND(ISNUMBER(""),ISNUMBER("")),wb1_hi*""+wb2_hi*"",IF(ISNUMBER(""),"",D321)))/(pit_orcl_2024+pfac_orcl_2024),site_orcl_2024)</f>
        <v>0</v>
      </c>
      <c r="E322" s="8" t="n">
        <f aca="false">IF(ISNUMBER(E321),(pit_orcl_2025/(pit_orcl_2025+pfac_orcl_2025)*E321+pfac_orcl_2025/(pit_orcl_2025+pfac_orcl_2025)*IF(AND(ISNUMBER(D321),ISNUMBER("")),wb1_hi*D321+wb2_hi*"",IF(ISNUMBER(D321),D321,E321)))/(pit_orcl_2025+pfac_orcl_2025),site_orcl_2025)</f>
        <v>0.885776418247533</v>
      </c>
      <c r="F322" s="8" t="n">
        <f aca="false">IF(ISNUMBER(F321),(pit_orcl_2026/(pit_orcl_2026+pfac_orcl_2026)*F321+pfac_orcl_2026/(pit_orcl_2026+pfac_orcl_2026)*IF(AND(ISNUMBER(E321),ISNUMBER(D321)),wb1_hi*E321+wb2_hi*D321,IF(ISNUMBER(E321),E321,F321)))/(pit_orcl_2026+pfac_orcl_2026),site_orcl_2026)</f>
        <v>1.26669929939621</v>
      </c>
      <c r="G322" s="8" t="n">
        <f aca="false">IF(ISNUMBER(G321),(pit_orcl_2027/(pit_orcl_2027+pfac_orcl_2027)*G321+pfac_orcl_2027/(pit_orcl_2027+pfac_orcl_2027)*IF(AND(ISNUMBER(F321),ISNUMBER(E321)),wb1_hi*F321+wb2_hi*E321,IF(ISNUMBER(F321),F321,G321)))/(pit_orcl_2027+pfac_orcl_2027),site_orcl_2027)</f>
        <v>1.45507330177651</v>
      </c>
      <c r="H322" s="8" t="n">
        <f aca="false">IF(ISNUMBER(H321),(pit_orcl_2028/(pit_orcl_2028+pfac_orcl_2028)*H321+pfac_orcl_2028/(pit_orcl_2028+pfac_orcl_2028)*IF(AND(ISNUMBER(G321),ISNUMBER(F321)),wb1_hi*G321+wb2_hi*F321,IF(ISNUMBER(G321),G321,H321)))/(pit_orcl_2028+pfac_orcl_2028),site_orcl_2028)</f>
        <v>1.46988797605982</v>
      </c>
      <c r="I322" s="8" t="n">
        <f aca="false">IF(ISNUMBER(I321),(pit_orcl_2029/(pit_orcl_2029+pfac_orcl_2029)*I321+pfac_orcl_2029/(pit_orcl_2029+pfac_orcl_2029)*IF(AND(ISNUMBER(H321),ISNUMBER(G321)),wb1_hi*H321+wb2_hi*G321,IF(ISNUMBER(H321),H321,I321)))/(pit_orcl_2029+pfac_orcl_2029),site_orcl_2029)</f>
        <v>1.52906932337929</v>
      </c>
    </row>
    <row r="323" customFormat="false" ht="17.15" hidden="false" customHeight="false" outlineLevel="0" collapsed="false">
      <c r="A323" s="0" t="s">
        <v>1559</v>
      </c>
      <c r="B323" s="0" t="s">
        <v>1247</v>
      </c>
      <c r="E323" s="8" t="n">
        <f aca="false">(1-lag)*E322+lag*D322-inv_k*(E322-D322)</f>
        <v>0.465032619579955</v>
      </c>
      <c r="F323" s="8" t="n">
        <f aca="false">(1-lag)*F322+lag*E322-inv_k*(F322-E322)</f>
        <v>1.08576093085059</v>
      </c>
      <c r="G323" s="8" t="n">
        <f aca="false">(1-lag)*G322+lag*F322-inv_k*(G322-F322)</f>
        <v>1.36559565064587</v>
      </c>
      <c r="H323" s="8" t="n">
        <f aca="false">(1-lag)*H322+lag*G322-inv_k*(H322-G322)</f>
        <v>1.46285100577525</v>
      </c>
      <c r="I323" s="8" t="n">
        <f aca="false">(1-lag)*I322+lag*H322-inv_k*(I322-H322)</f>
        <v>1.50095818340254</v>
      </c>
    </row>
    <row r="324" customFormat="false" ht="17.15" hidden="false" customHeight="false" outlineLevel="0" collapsed="false">
      <c r="A324" s="0" t="s">
        <v>1560</v>
      </c>
      <c r="B324" s="0" t="s">
        <v>1249</v>
      </c>
      <c r="D324" s="8" t="str">
        <f aca="false">""</f>
        <v/>
      </c>
      <c r="E324" s="8" t="n">
        <f aca="false">(5/12*cap2_orcl_2025+7/12*gcap_orcl_2026)*ai_sh</f>
        <v>35.1132166666667</v>
      </c>
      <c r="F324" s="8" t="n">
        <f aca="false">(5/12*gcap_orcl_2026+7/12*gcap_orcl_2027)*ai_sh</f>
        <v>65.5785625</v>
      </c>
      <c r="G324" s="8" t="n">
        <f aca="false">(5/12*gcap_orcl_2027+7/12*gcap_orcl_2028)*ai_sh</f>
        <v>75.599189975</v>
      </c>
      <c r="H324" s="8" t="n">
        <f aca="false">(5/12*gcap_orcl_2028+7/12*gcap_orcl_2029)*ai_sh</f>
        <v>49.4435487791667</v>
      </c>
      <c r="I324" s="8" t="n">
        <f aca="false">(5/12*gcap_orcl_2029+7/12*gcap_orcl_2030)*ai_sh</f>
        <v>23.382754125</v>
      </c>
    </row>
    <row r="325" customFormat="false" ht="17.15" hidden="false" customHeight="false" outlineLevel="0" collapsed="false">
      <c r="A325" s="0" t="s">
        <v>1561</v>
      </c>
      <c r="B325" s="0" t="s">
        <v>1245</v>
      </c>
      <c r="D325" s="8" t="n">
        <f aca="false">IF(ISNUMBER(D324),(pit_orcl_2024/(pit_orcl_2024+pfac_orcl_2024)*D324+pfac_orcl_2024/(pit_orcl_2024+pfac_orcl_2024)*IF(AND(ISNUMBER(""),ISNUMBER("")),wb1_hi*""+wb2_hi*"",IF(ISNUMBER(""),"",D324)))/(pit_orcl_2024+pfac_orcl_2024),site_orcl_2024)</f>
        <v>0</v>
      </c>
      <c r="E325" s="8" t="n">
        <f aca="false">IF(ISNUMBER(E324),(pit_orcl_2025/(pit_orcl_2025+pfac_orcl_2025)*E324+pfac_orcl_2025/(pit_orcl_2025+pfac_orcl_2025)*IF(AND(ISNUMBER(D324),ISNUMBER("")),wb1_hi*D324+wb2_hi*"",IF(ISNUMBER(D324),D324,E324)))/(pit_orcl_2025+pfac_orcl_2025),site_orcl_2025)</f>
        <v>0.885776418247532</v>
      </c>
      <c r="F325" s="8" t="n">
        <f aca="false">IF(ISNUMBER(F324),(pit_orcl_2026/(pit_orcl_2026+pfac_orcl_2026)*F324+pfac_orcl_2026/(pit_orcl_2026+pfac_orcl_2026)*IF(AND(ISNUMBER(E324),ISNUMBER(D324)),wb1_hi*E324+wb2_hi*D324,IF(ISNUMBER(E324),E324,F324)))/(pit_orcl_2026+pfac_orcl_2026),site_orcl_2026)</f>
        <v>1.26669929939621</v>
      </c>
      <c r="G325" s="8" t="n">
        <f aca="false">IF(ISNUMBER(G324),(pit_orcl_2027/(pit_orcl_2027+pfac_orcl_2027)*G324+pfac_orcl_2027/(pit_orcl_2027+pfac_orcl_2027)*IF(AND(ISNUMBER(F324),ISNUMBER(E324)),wb1_hi*F324+wb2_hi*E324,IF(ISNUMBER(F324),F324,G324)))/(pit_orcl_2027+pfac_orcl_2027),site_orcl_2027)</f>
        <v>1.34385494335977</v>
      </c>
      <c r="H325" s="8" t="n">
        <f aca="false">IF(ISNUMBER(H324),(pit_orcl_2028/(pit_orcl_2028+pfac_orcl_2028)*H324+pfac_orcl_2028/(pit_orcl_2028+pfac_orcl_2028)*IF(AND(ISNUMBER(G324),ISNUMBER(F324)),wb1_hi*G324+wb2_hi*F324,IF(ISNUMBER(G324),G324,H324)))/(pit_orcl_2028+pfac_orcl_2028),site_orcl_2028)</f>
        <v>1.04577858011282</v>
      </c>
      <c r="I325" s="8" t="n">
        <f aca="false">IF(ISNUMBER(I324),(pit_orcl_2029/(pit_orcl_2029+pfac_orcl_2029)*I324+pfac_orcl_2029/(pit_orcl_2029+pfac_orcl_2029)*IF(AND(ISNUMBER(H324),ISNUMBER(G324)),wb1_hi*H324+wb2_hi*G324,IF(ISNUMBER(H324),H324,I324)))/(pit_orcl_2029+pfac_orcl_2029),site_orcl_2029)</f>
        <v>0.703738856479779</v>
      </c>
    </row>
    <row r="326" customFormat="false" ht="17.15" hidden="false" customHeight="false" outlineLevel="0" collapsed="false">
      <c r="A326" s="0" t="s">
        <v>1562</v>
      </c>
      <c r="B326" s="0" t="s">
        <v>1247</v>
      </c>
      <c r="E326" s="8" t="n">
        <f aca="false">(1-lag)*E325+lag*D325-inv_k*(E325-D325)</f>
        <v>0.465032619579954</v>
      </c>
      <c r="F326" s="8" t="n">
        <f aca="false">(1-lag)*F325+lag*E325-inv_k*(F325-E325)</f>
        <v>1.08576093085059</v>
      </c>
      <c r="G326" s="8" t="n">
        <f aca="false">(1-lag)*G325+lag*F325-inv_k*(G325-F325)</f>
        <v>1.30720601247708</v>
      </c>
      <c r="H326" s="8" t="n">
        <f aca="false">(1-lag)*H325+lag*G325-inv_k*(H325-G325)</f>
        <v>1.18736485265512</v>
      </c>
      <c r="I326" s="8" t="n">
        <f aca="false">(1-lag)*I325+lag*H325-inv_k*(I325-H325)</f>
        <v>0.866207725205476</v>
      </c>
    </row>
    <row r="327" customFormat="false" ht="17.15" hidden="false" customHeight="false" outlineLevel="0" collapsed="false">
      <c r="A327" s="0" t="s">
        <v>1563</v>
      </c>
      <c r="B327" s="0" t="s">
        <v>1253</v>
      </c>
      <c r="D327" s="8" t="n">
        <f aca="false">site_orcl_2024</f>
        <v>0</v>
      </c>
      <c r="E327" s="8" t="n">
        <f aca="false">site_orcl_2025</f>
        <v>0.816405</v>
      </c>
      <c r="F327" s="8" t="n">
        <f aca="false">site_orcl_2026</f>
        <v>1.54613</v>
      </c>
      <c r="G327" s="8" t="n">
        <f aca="false">site_orcl_2027</f>
        <v>0.944166666666667</v>
      </c>
      <c r="H327" s="8" t="n">
        <f aca="false">site_orcl_2028</f>
        <v>4.91166666666667</v>
      </c>
      <c r="I327" s="8" t="n">
        <f aca="false">site_orcl_2029</f>
        <v>0</v>
      </c>
    </row>
    <row r="328" customFormat="false" ht="17.15" hidden="false" customHeight="false" outlineLevel="0" collapsed="false">
      <c r="A328" s="0" t="s">
        <v>1564</v>
      </c>
      <c r="B328" s="0" t="s">
        <v>1255</v>
      </c>
      <c r="D328" s="8" t="str">
        <f aca="false">IF(ISNUMBER(ai2_crwv_2024),ai2_crwv_2024,"")</f>
        <v/>
      </c>
      <c r="E328" s="8" t="str">
        <f aca="false">IF(ISNUMBER(ai2_crwv_2025),ai2_crwv_2025,"")</f>
        <v/>
      </c>
      <c r="F328" s="8" t="n">
        <f aca="false">IF(ISNUMBER(ai2_crwv_2026),ai2_crwv_2026,"")</f>
        <v>31.45</v>
      </c>
      <c r="G328" s="8" t="n">
        <f aca="false">IF(ISNUMBER(ai2_crwv_2027),ai2_crwv_2027,"")</f>
        <v>39.5046</v>
      </c>
      <c r="H328" s="8" t="n">
        <f aca="false">IF(ISNUMBER(ai2_crwv_2028),ai2_crwv_2028,"")</f>
        <v>42.60965</v>
      </c>
      <c r="I328" s="8" t="n">
        <f aca="false">IF(ISNUMBER(ai2_crwv_2029),ai2_crwv_2029,"")</f>
        <v>46.870615</v>
      </c>
    </row>
    <row r="329" customFormat="false" ht="17.15" hidden="false" customHeight="false" outlineLevel="0" collapsed="false">
      <c r="A329" s="0" t="s">
        <v>1565</v>
      </c>
      <c r="B329" s="0" t="s">
        <v>1257</v>
      </c>
      <c r="D329" s="8" t="n">
        <f aca="false">IF(ISNUMBER(D328),(pit_crwv_2024/(pit_crwv_2024+pfac_crwv_2024)*D328+pfac_crwv_2024/(pit_crwv_2024+pfac_crwv_2024)*IF(AND(ISNUMBER(""),ISNUMBER("")),wb1_hi*""+wb2_hi*"",IF(ISNUMBER(""),"",D328)))/(pit_crwv_2024+pfac_crwv_2024),site_crwv_2024)</f>
        <v>0.29</v>
      </c>
      <c r="E329" s="8" t="n">
        <f aca="false">IF(ISNUMBER(E328),(pit_crwv_2025/(pit_crwv_2025+pfac_crwv_2025)*E328+pfac_crwv_2025/(pit_crwv_2025+pfac_crwv_2025)*IF(AND(ISNUMBER(D328),ISNUMBER("")),wb1_hi*D328+wb2_hi*"",IF(ISNUMBER(D328),D328,E328)))/(pit_crwv_2025+pfac_crwv_2025),site_crwv_2025)</f>
        <v>0.49</v>
      </c>
      <c r="F329" s="8" t="n">
        <f aca="false">IF(ISNUMBER(F328),(pit_crwv_2026/(pit_crwv_2026+pfac_crwv_2026)*F328+pfac_crwv_2026/(pit_crwv_2026+pfac_crwv_2026)*IF(AND(ISNUMBER(E328),ISNUMBER(D328)),wb1_hi*E328+wb2_hi*D328,IF(ISNUMBER(E328),E328,F328)))/(pit_crwv_2026+pfac_crwv_2026),site_crwv_2026)</f>
        <v>0.6824489639016</v>
      </c>
      <c r="G329" s="8" t="n">
        <f aca="false">IF(ISNUMBER(G328),(pit_crwv_2027/(pit_crwv_2027+pfac_crwv_2027)*G328+pfac_crwv_2027/(pit_crwv_2027+pfac_crwv_2027)*IF(AND(ISNUMBER(F328),ISNUMBER(E328)),wb1_hi*F328+wb2_hi*E328,IF(ISNUMBER(F328),F328,G328)))/(pit_crwv_2027+pfac_crwv_2027),site_crwv_2027)</f>
        <v>0.735222622408663</v>
      </c>
      <c r="H329" s="8" t="n">
        <f aca="false">IF(ISNUMBER(H328),(pit_crwv_2028/(pit_crwv_2028+pfac_crwv_2028)*H328+pfac_crwv_2028/(pit_crwv_2028+pfac_crwv_2028)*IF(AND(ISNUMBER(G328),ISNUMBER(F328)),wb1_hi*G328+wb2_hi*F328,IF(ISNUMBER(G328),G328,H328)))/(pit_crwv_2028+pfac_crwv_2028),site_crwv_2028)</f>
        <v>0.740545400794723</v>
      </c>
      <c r="I329" s="8" t="n">
        <f aca="false">IF(ISNUMBER(I328),(pit_crwv_2029/(pit_crwv_2029+pfac_crwv_2029)*I328+pfac_crwv_2029/(pit_crwv_2029+pfac_crwv_2029)*IF(AND(ISNUMBER(H328),ISNUMBER(G328)),wb1_hi*H328+wb2_hi*G328,IF(ISNUMBER(H328),H328,I328)))/(pit_crwv_2029+pfac_crwv_2029),site_crwv_2029)</f>
        <v>0.835930048637001</v>
      </c>
    </row>
    <row r="330" customFormat="false" ht="17.15" hidden="false" customHeight="false" outlineLevel="0" collapsed="false">
      <c r="A330" s="0" t="s">
        <v>1566</v>
      </c>
      <c r="B330" s="0" t="s">
        <v>1259</v>
      </c>
      <c r="E330" s="8" t="n">
        <f aca="false">(1-lag)*E329+lag*D329-inv_k*(E329-D329)</f>
        <v>0.395</v>
      </c>
      <c r="F330" s="8" t="n">
        <f aca="false">(1-lag)*F329+lag*E329-inv_k*(F329-E329)</f>
        <v>0.59103570604834</v>
      </c>
      <c r="G330" s="8" t="n">
        <f aca="false">(1-lag)*G329+lag*F329-inv_k*(G329-F329)</f>
        <v>0.710155134617808</v>
      </c>
      <c r="H330" s="8" t="n">
        <f aca="false">(1-lag)*H329+lag*G329-inv_k*(H329-G329)</f>
        <v>0.738017081061345</v>
      </c>
      <c r="I330" s="8" t="n">
        <f aca="false">(1-lag)*I329+lag*H329-inv_k*(I329-H329)</f>
        <v>0.790622340911919</v>
      </c>
    </row>
    <row r="331" customFormat="false" ht="17.15" hidden="false" customHeight="false" outlineLevel="0" collapsed="false">
      <c r="A331" s="0" t="s">
        <v>1567</v>
      </c>
      <c r="B331" s="0" t="s">
        <v>1261</v>
      </c>
      <c r="D331" s="8" t="str">
        <f aca="false">""</f>
        <v/>
      </c>
      <c r="E331" s="8" t="str">
        <f aca="false">""</f>
        <v/>
      </c>
      <c r="F331" s="8" t="n">
        <f aca="false">gcap_crwv_2026*ai_sh</f>
        <v>28.0313</v>
      </c>
      <c r="G331" s="8" t="n">
        <f aca="false">gcap_crwv_2027*ai_sh</f>
        <v>33.45858485</v>
      </c>
      <c r="H331" s="8" t="n">
        <f aca="false">gcap_crwv_2028*ai_sh</f>
        <v>27.6353649</v>
      </c>
      <c r="I331" s="8" t="n">
        <f aca="false">gcap_crwv_2029*ai_sh</f>
        <v>27.7951071</v>
      </c>
    </row>
    <row r="332" customFormat="false" ht="17.15" hidden="false" customHeight="false" outlineLevel="0" collapsed="false">
      <c r="A332" s="0" t="s">
        <v>1568</v>
      </c>
      <c r="B332" s="0" t="s">
        <v>1257</v>
      </c>
      <c r="D332" s="8" t="n">
        <f aca="false">IF(ISNUMBER(D331),(pit_crwv_2024/(pit_crwv_2024+pfac_crwv_2024)*D331+pfac_crwv_2024/(pit_crwv_2024+pfac_crwv_2024)*IF(AND(ISNUMBER(""),ISNUMBER("")),wb1_hi*""+wb2_hi*"",IF(ISNUMBER(""),"",D331)))/(pit_crwv_2024+pfac_crwv_2024),site_crwv_2024)</f>
        <v>0.29</v>
      </c>
      <c r="E332" s="8" t="n">
        <f aca="false">IF(ISNUMBER(E331),(pit_crwv_2025/(pit_crwv_2025+pfac_crwv_2025)*E331+pfac_crwv_2025/(pit_crwv_2025+pfac_crwv_2025)*IF(AND(ISNUMBER(D331),ISNUMBER("")),wb1_hi*D331+wb2_hi*"",IF(ISNUMBER(D331),D331,E331)))/(pit_crwv_2025+pfac_crwv_2025),site_crwv_2025)</f>
        <v>0.49</v>
      </c>
      <c r="F332" s="8" t="n">
        <f aca="false">IF(ISNUMBER(F331),(pit_crwv_2026/(pit_crwv_2026+pfac_crwv_2026)*F331+pfac_crwv_2026/(pit_crwv_2026+pfac_crwv_2026)*IF(AND(ISNUMBER(E331),ISNUMBER(D331)),wb1_hi*E331+wb2_hi*D331,IF(ISNUMBER(E331),E331,F331)))/(pit_crwv_2026+pfac_crwv_2026),site_crwv_2026)</f>
        <v>0.608264917068837</v>
      </c>
      <c r="G332" s="8" t="n">
        <f aca="false">IF(ISNUMBER(G331),(pit_crwv_2027/(pit_crwv_2027+pfac_crwv_2027)*G331+pfac_crwv_2027/(pit_crwv_2027+pfac_crwv_2027)*IF(AND(ISNUMBER(F331),ISNUMBER(E331)),wb1_hi*F331+wb2_hi*E331,IF(ISNUMBER(F331),F331,G331)))/(pit_crwv_2027+pfac_crwv_2027),site_crwv_2027)</f>
        <v>0.629490424531811</v>
      </c>
      <c r="H332" s="8" t="n">
        <f aca="false">IF(ISNUMBER(H331),(pit_crwv_2028/(pit_crwv_2028+pfac_crwv_2028)*H331+pfac_crwv_2028/(pit_crwv_2028+pfac_crwv_2028)*IF(AND(ISNUMBER(G331),ISNUMBER(F331)),wb1_hi*G331+wb2_hi*F331,IF(ISNUMBER(G331),G331,H331)))/(pit_crwv_2028+pfac_crwv_2028),site_crwv_2028)</f>
        <v>0.513461347623296</v>
      </c>
      <c r="I332" s="8" t="n">
        <f aca="false">IF(ISNUMBER(I331),(pit_crwv_2029/(pit_crwv_2029+pfac_crwv_2029)*I331+pfac_crwv_2029/(pit_crwv_2029+pfac_crwv_2029)*IF(AND(ISNUMBER(H331),ISNUMBER(G331)),wb1_hi*H331+wb2_hi*G331,IF(ISNUMBER(H331),H331,I331)))/(pit_crwv_2029+pfac_crwv_2029),site_crwv_2029)</f>
        <v>0.539304608107567</v>
      </c>
    </row>
    <row r="333" customFormat="false" ht="17.15" hidden="false" customHeight="false" outlineLevel="0" collapsed="false">
      <c r="A333" s="0" t="s">
        <v>1569</v>
      </c>
      <c r="B333" s="0" t="s">
        <v>1259</v>
      </c>
      <c r="E333" s="8" t="n">
        <f aca="false">(1-lag)*E332+lag*D332-inv_k*(E332-D332)</f>
        <v>0.395</v>
      </c>
      <c r="F333" s="8" t="n">
        <f aca="false">(1-lag)*F332+lag*E332-inv_k*(F332-E332)</f>
        <v>0.552089081461139</v>
      </c>
      <c r="G333" s="8" t="n">
        <f aca="false">(1-lag)*G332+lag*F332-inv_k*(G332-F332)</f>
        <v>0.619408308486898</v>
      </c>
      <c r="H333" s="8" t="n">
        <f aca="false">(1-lag)*H332+lag*G332-inv_k*(H332-G332)</f>
        <v>0.568575159154841</v>
      </c>
      <c r="I333" s="8" t="n">
        <f aca="false">(1-lag)*I332+lag*H332-inv_k*(I332-H332)</f>
        <v>0.527029059377538</v>
      </c>
    </row>
    <row r="334" customFormat="false" ht="17.15" hidden="false" customHeight="false" outlineLevel="0" collapsed="false">
      <c r="A334" s="0" t="s">
        <v>1570</v>
      </c>
      <c r="B334" s="0" t="s">
        <v>1265</v>
      </c>
      <c r="D334" s="8" t="n">
        <f aca="false">site_crwv_2024</f>
        <v>0.29</v>
      </c>
      <c r="E334" s="8" t="n">
        <f aca="false">site_crwv_2025</f>
        <v>0.49</v>
      </c>
      <c r="F334" s="8" t="n">
        <f aca="false">site_crwv_2026</f>
        <v>1</v>
      </c>
      <c r="G334" s="8" t="n">
        <f aca="false">site_crwv_2027</f>
        <v>1.5375</v>
      </c>
      <c r="H334" s="8" t="n">
        <f aca="false">site_crwv_2028</f>
        <v>1.5375</v>
      </c>
      <c r="I334" s="8" t="n">
        <f aca="false">site_crwv_2029</f>
        <v>1.5375</v>
      </c>
    </row>
    <row r="335" customFormat="false" ht="17.15" hidden="false" customHeight="false" outlineLevel="0" collapsed="false">
      <c r="A335" s="0" t="s">
        <v>1571</v>
      </c>
      <c r="B335" s="0" t="s">
        <v>1267</v>
      </c>
      <c r="D335" s="8" t="str">
        <f aca="false">IF(ISNUMBER(ai2_nbis_2024),ai2_nbis_2024,"")</f>
        <v/>
      </c>
      <c r="E335" s="8" t="n">
        <f aca="false">IF(ISNUMBER(ai2_nbis_2025),ai2_nbis_2025,"")</f>
        <v>3.4561</v>
      </c>
      <c r="F335" s="8" t="n">
        <f aca="false">IF(ISNUMBER(ai2_nbis_2026),ai2_nbis_2026,"")</f>
        <v>19.125</v>
      </c>
      <c r="G335" s="8" t="n">
        <f aca="false">IF(ISNUMBER(ai2_nbis_2027),ai2_nbis_2027,"")</f>
        <v>23.15655</v>
      </c>
      <c r="H335" s="8" t="n">
        <f aca="false">IF(ISNUMBER(ai2_nbis_2028),ai2_nbis_2028,"")</f>
        <v>32.6315</v>
      </c>
      <c r="I335" s="8" t="n">
        <f aca="false">IF(ISNUMBER(ai2_nbis_2029),ai2_nbis_2029,"")</f>
        <v>35.89465</v>
      </c>
    </row>
    <row r="336" customFormat="false" ht="17.15" hidden="false" customHeight="false" outlineLevel="0" collapsed="false">
      <c r="A336" s="0" t="s">
        <v>1572</v>
      </c>
      <c r="B336" s="0" t="s">
        <v>1269</v>
      </c>
      <c r="D336" s="8" t="n">
        <f aca="false">IF(ISNUMBER(D335),(pit_nbis_2024/(pit_nbis_2024+pfac_nbis_2024)*D335+pfac_nbis_2024/(pit_nbis_2024+pfac_nbis_2024)*IF(AND(ISNUMBER(""),ISNUMBER("")),wb1_hi*""+wb2_hi*"",IF(ISNUMBER(""),"",D335)))/(pit_nbis_2024+pfac_nbis_2024),site_nbis_2024)</f>
        <v>0</v>
      </c>
      <c r="E336" s="8" t="n">
        <f aca="false">IF(ISNUMBER(E335),(pit_nbis_2025/(pit_nbis_2025+pfac_nbis_2025)*E335+pfac_nbis_2025/(pit_nbis_2025+pfac_nbis_2025)*IF(AND(ISNUMBER(D335),ISNUMBER("")),wb1_hi*D335+wb2_hi*"",IF(ISNUMBER(D335),D335,E335)))/(pit_nbis_2025+pfac_nbis_2025),site_nbis_2025)</f>
        <v>0.0893531926088847</v>
      </c>
      <c r="F336" s="8" t="n">
        <f aca="false">IF(ISNUMBER(F335),(pit_nbis_2026/(pit_nbis_2026+pfac_nbis_2026)*F335+pfac_nbis_2026/(pit_nbis_2026+pfac_nbis_2026)*IF(AND(ISNUMBER(E335),ISNUMBER(D335)),wb1_hi*E335+wb2_hi*D335,IF(ISNUMBER(E335),E335,F335)))/(pit_nbis_2026+pfac_nbis_2026),site_nbis_2026)</f>
        <v>0.321523721659491</v>
      </c>
      <c r="G336" s="8" t="n">
        <f aca="false">IF(ISNUMBER(G335),(pit_nbis_2027/(pit_nbis_2027+pfac_nbis_2027)*G335+pfac_nbis_2027/(pit_nbis_2027+pfac_nbis_2027)*IF(AND(ISNUMBER(F335),ISNUMBER(E335)),wb1_hi*F335+wb2_hi*E335,IF(ISNUMBER(F335),F335,G335)))/(pit_nbis_2027+pfac_nbis_2027),site_nbis_2027)</f>
        <v>0.358031711064601</v>
      </c>
      <c r="H336" s="8" t="n">
        <f aca="false">IF(ISNUMBER(H335),(pit_nbis_2028/(pit_nbis_2028+pfac_nbis_2028)*H335+pfac_nbis_2028/(pit_nbis_2028+pfac_nbis_2028)*IF(AND(ISNUMBER(G335),ISNUMBER(F335)),wb1_hi*G335+wb2_hi*F335,IF(ISNUMBER(G335),G335,H335)))/(pit_nbis_2028+pfac_nbis_2028),site_nbis_2028)</f>
        <v>0.545577755729188</v>
      </c>
      <c r="I336" s="8" t="n">
        <f aca="false">IF(ISNUMBER(I335),(pit_nbis_2029/(pit_nbis_2029+pfac_nbis_2029)*I335+pfac_nbis_2029/(pit_nbis_2029+pfac_nbis_2029)*IF(AND(ISNUMBER(H335),ISNUMBER(G335)),wb1_hi*H335+wb2_hi*G335,IF(ISNUMBER(H335),H335,I335)))/(pit_nbis_2029+pfac_nbis_2029),site_nbis_2029)</f>
        <v>0.609341895334772</v>
      </c>
    </row>
    <row r="337" customFormat="false" ht="17.15" hidden="false" customHeight="false" outlineLevel="0" collapsed="false">
      <c r="A337" s="0" t="s">
        <v>1573</v>
      </c>
      <c r="B337" s="0" t="s">
        <v>1271</v>
      </c>
      <c r="E337" s="8" t="n">
        <f aca="false">(1-lag)*E336+lag*D336-inv_k*(E336-D336)</f>
        <v>0.0469104261196645</v>
      </c>
      <c r="F337" s="8" t="n">
        <f aca="false">(1-lag)*F336+lag*E336-inv_k*(F336-E336)</f>
        <v>0.211242720360453</v>
      </c>
      <c r="G337" s="8" t="n">
        <f aca="false">(1-lag)*G336+lag*F336-inv_k*(G336-F336)</f>
        <v>0.340690416097174</v>
      </c>
      <c r="H337" s="8" t="n">
        <f aca="false">(1-lag)*H336+lag*G336-inv_k*(H336-G336)</f>
        <v>0.456493384513509</v>
      </c>
      <c r="I337" s="8" t="n">
        <f aca="false">(1-lag)*I336+lag*H336-inv_k*(I336-H336)</f>
        <v>0.579053929022119</v>
      </c>
    </row>
    <row r="338" customFormat="false" ht="17.15" hidden="false" customHeight="false" outlineLevel="0" collapsed="false">
      <c r="A338" s="0" t="s">
        <v>1574</v>
      </c>
      <c r="B338" s="0" t="s">
        <v>1273</v>
      </c>
      <c r="D338" s="8" t="str">
        <f aca="false">""</f>
        <v/>
      </c>
      <c r="E338" s="8" t="str">
        <f aca="false">""</f>
        <v/>
      </c>
      <c r="F338" s="8" t="n">
        <f aca="false">gcap_nbis_2026*ai_sh</f>
        <v>22.1392615</v>
      </c>
      <c r="G338" s="8" t="n">
        <f aca="false">gcap_nbis_2027*ai_sh</f>
        <v>23.45782145</v>
      </c>
      <c r="H338" s="8" t="n">
        <f aca="false">gcap_nbis_2028*ai_sh</f>
        <v>24.7763814</v>
      </c>
      <c r="I338" s="8" t="n">
        <f aca="false">gcap_nbis_2029*ai_sh</f>
        <v>24.7763814</v>
      </c>
    </row>
    <row r="339" customFormat="false" ht="17.15" hidden="false" customHeight="false" outlineLevel="0" collapsed="false">
      <c r="A339" s="0" t="s">
        <v>1575</v>
      </c>
      <c r="B339" s="0" t="s">
        <v>1269</v>
      </c>
      <c r="D339" s="8" t="n">
        <f aca="false">IF(ISNUMBER(D338),(pit_nbis_2024/(pit_nbis_2024+pfac_nbis_2024)*D338+pfac_nbis_2024/(pit_nbis_2024+pfac_nbis_2024)*IF(AND(ISNUMBER(""),ISNUMBER("")),wb1_hi*""+wb2_hi*"",IF(ISNUMBER(""),"",D338)))/(pit_nbis_2024+pfac_nbis_2024),site_nbis_2024)</f>
        <v>0</v>
      </c>
      <c r="E339" s="8" t="n">
        <f aca="false">IF(ISNUMBER(E338),(pit_nbis_2025/(pit_nbis_2025+pfac_nbis_2025)*E338+pfac_nbis_2025/(pit_nbis_2025+pfac_nbis_2025)*IF(AND(ISNUMBER(D338),ISNUMBER("")),wb1_hi*D338+wb2_hi*"",IF(ISNUMBER(D338),D338,E338)))/(pit_nbis_2025+pfac_nbis_2025),site_nbis_2025)</f>
        <v>0</v>
      </c>
      <c r="F339" s="8" t="n">
        <f aca="false">IF(ISNUMBER(F338),(pit_nbis_2026/(pit_nbis_2026+pfac_nbis_2026)*F338+pfac_nbis_2026/(pit_nbis_2026+pfac_nbis_2026)*IF(AND(ISNUMBER(E338),ISNUMBER(D338)),wb1_hi*E338+wb2_hi*D338,IF(ISNUMBER(E338),E338,F338)))/(pit_nbis_2026+pfac_nbis_2026),site_nbis_2026)</f>
        <v>0.480410685921195</v>
      </c>
      <c r="G339" s="8" t="n">
        <f aca="false">IF(ISNUMBER(G338),(pit_nbis_2027/(pit_nbis_2027+pfac_nbis_2027)*G338+pfac_nbis_2027/(pit_nbis_2027+pfac_nbis_2027)*IF(AND(ISNUMBER(F338),ISNUMBER(E338)),wb1_hi*F338+wb2_hi*E338,IF(ISNUMBER(F338),F338,G338)))/(pit_nbis_2027+pfac_nbis_2027),site_nbis_2027)</f>
        <v>0.453443245801974</v>
      </c>
      <c r="H339" s="8" t="n">
        <f aca="false">IF(ISNUMBER(H338),(pit_nbis_2028/(pit_nbis_2028+pfac_nbis_2028)*H338+pfac_nbis_2028/(pit_nbis_2028+pfac_nbis_2028)*IF(AND(ISNUMBER(G338),ISNUMBER(F338)),wb1_hi*G338+wb2_hi*F338,IF(ISNUMBER(G338),G338,H338)))/(pit_nbis_2028+pfac_nbis_2028),site_nbis_2028)</f>
        <v>0.447342454234951</v>
      </c>
      <c r="I339" s="8" t="n">
        <f aca="false">IF(ISNUMBER(I338),(pit_nbis_2029/(pit_nbis_2029+pfac_nbis_2029)*I338+pfac_nbis_2029/(pit_nbis_2029+pfac_nbis_2029)*IF(AND(ISNUMBER(H338),ISNUMBER(G338)),wb1_hi*H338+wb2_hi*G338,IF(ISNUMBER(H338),H338,I338)))/(pit_nbis_2029+pfac_nbis_2029),site_nbis_2029)</f>
        <v>0.45307103208757</v>
      </c>
    </row>
    <row r="340" customFormat="false" ht="17.15" hidden="false" customHeight="false" outlineLevel="0" collapsed="false">
      <c r="A340" s="0" t="s">
        <v>1576</v>
      </c>
      <c r="B340" s="0" t="s">
        <v>1271</v>
      </c>
      <c r="E340" s="8" t="n">
        <f aca="false">(1-lag)*E339+lag*D339-inv_k*(E339-D339)</f>
        <v>0</v>
      </c>
      <c r="F340" s="8" t="n">
        <f aca="false">(1-lag)*F339+lag*E339-inv_k*(F339-E339)</f>
        <v>0.252215610108627</v>
      </c>
      <c r="G340" s="8" t="n">
        <f aca="false">(1-lag)*G339+lag*F339-inv_k*(G339-F339)</f>
        <v>0.466252779858604</v>
      </c>
      <c r="H340" s="8" t="n">
        <f aca="false">(1-lag)*H339+lag*G339-inv_k*(H339-G339)</f>
        <v>0.450240330229287</v>
      </c>
      <c r="I340" s="8" t="n">
        <f aca="false">(1-lag)*I339+lag*H339-inv_k*(I339-H339)</f>
        <v>0.450349957607576</v>
      </c>
    </row>
    <row r="341" customFormat="false" ht="17.15" hidden="false" customHeight="false" outlineLevel="0" collapsed="false">
      <c r="A341" s="0" t="s">
        <v>1577</v>
      </c>
      <c r="B341" s="0" t="s">
        <v>1277</v>
      </c>
      <c r="D341" s="8" t="n">
        <f aca="false">site_nbis_2024</f>
        <v>0</v>
      </c>
      <c r="E341" s="8" t="n">
        <f aca="false">site_nbis_2025</f>
        <v>0</v>
      </c>
      <c r="F341" s="8" t="n">
        <f aca="false">site_nbis_2026</f>
        <v>0.73</v>
      </c>
      <c r="G341" s="8" t="n">
        <f aca="false">site_nbis_2027</f>
        <v>0.403</v>
      </c>
      <c r="H341" s="8" t="n">
        <f aca="false">site_nbis_2028</f>
        <v>0</v>
      </c>
      <c r="I341" s="8" t="n">
        <f aca="false">site_nbis_2029</f>
        <v>0</v>
      </c>
    </row>
    <row r="342" customFormat="false" ht="17.15" hidden="false" customHeight="false" outlineLevel="0" collapsed="false">
      <c r="A342" s="0" t="s">
        <v>1578</v>
      </c>
      <c r="B342" s="0" t="s">
        <v>1279</v>
      </c>
      <c r="D342" s="8" t="str">
        <f aca="false">IF(ISNUMBER(gai_xai_2024),gai_xai_2024,"")</f>
        <v/>
      </c>
      <c r="E342" s="8" t="str">
        <f aca="false">IF(ISNUMBER(gai_xai_2025),gai_xai_2025,"")</f>
        <v/>
      </c>
      <c r="F342" s="8" t="n">
        <f aca="false">IF(ISNUMBER(gai_xai_2026),gai_xai_2026,"")</f>
        <v>74.058119</v>
      </c>
      <c r="G342" s="8" t="n">
        <f aca="false">IF(ISNUMBER(gai_xai_2027),gai_xai_2027,"")</f>
        <v>136.252477</v>
      </c>
      <c r="H342" s="8" t="n">
        <f aca="false">IF(ISNUMBER(gai_xai_2028),gai_xai_2028,"")</f>
        <v>144.12072</v>
      </c>
      <c r="I342" s="8" t="n">
        <f aca="false">IF(ISNUMBER(gai_xai_2029),gai_xai_2029,"")</f>
        <v>111.172527</v>
      </c>
    </row>
    <row r="343" customFormat="false" ht="17.15" hidden="false" customHeight="false" outlineLevel="0" collapsed="false">
      <c r="A343" s="0" t="s">
        <v>1579</v>
      </c>
      <c r="B343" s="0" t="s">
        <v>1281</v>
      </c>
      <c r="D343" s="8" t="n">
        <f aca="false">IF(ISNUMBER(D342),(pitN_2024/(pitN_2024+pfacN_2024)*D342+pfacN_2024/(pitN_2024+pfacN_2024)*IF(AND(ISNUMBER(""),ISNUMBER("")),wb1_hi*""+wb2_hi*"",IF(ISNUMBER(""),"",D342)))/(pitN_2024+pfacN_2024),site_xai_2024)</f>
        <v>0</v>
      </c>
      <c r="E343" s="8" t="n">
        <f aca="false">IF(ISNUMBER(E342),(pitN_2025/(pitN_2025+pfacN_2025)*E342+pfacN_2025/(pitN_2025+pfacN_2025)*IF(AND(ISNUMBER(D342),ISNUMBER("")),wb1_hi*D342+wb2_hi*"",IF(ISNUMBER(D342),D342,E342)))/(pitN_2025+pfacN_2025),site_xai_2025)</f>
        <v>0</v>
      </c>
      <c r="F343" s="8" t="n">
        <f aca="false">IF(ISNUMBER(F342),(pitN_2026/(pitN_2026+pfacN_2026)*F342+pfacN_2026/(pitN_2026+pfacN_2026)*IF(AND(ISNUMBER(E342),ISNUMBER(D342)),wb1_hi*E342+wb2_hi*D342,IF(ISNUMBER(E342),E342,F342)))/(pitN_2026+pfacN_2026),site_xai_2026)</f>
        <v>1.60702342066936</v>
      </c>
      <c r="G343" s="8" t="n">
        <f aca="false">IF(ISNUMBER(G342),(pitN_2027/(pitN_2027+pfacN_2027)*G342+pfacN_2027/(pitN_2027+pfacN_2027)*IF(AND(ISNUMBER(F342),ISNUMBER(E342)),wb1_hi*F342+wb2_hi*E342,IF(ISNUMBER(F342),F342,G342)))/(pitN_2027+pfacN_2027),site_xai_2027)</f>
        <v>2.36823509451502</v>
      </c>
      <c r="H343" s="8" t="n">
        <f aca="false">IF(ISNUMBER(H342),(pitN_2028/(pitN_2028+pfacN_2028)*H342+pfacN_2028/(pitN_2028+pfacN_2028)*IF(AND(ISNUMBER(G342),ISNUMBER(F342)),wb1_hi*G342+wb2_hi*F342,IF(ISNUMBER(G342),G342,H342)))/(pitN_2028+pfacN_2028),site_xai_2028)</f>
        <v>2.36438072058613</v>
      </c>
      <c r="I343" s="8" t="n">
        <f aca="false">IF(ISNUMBER(I342),(pitN_2029/(pitN_2029+pfacN_2029)*I342+pfacN_2029/(pitN_2029+pfacN_2029)*IF(AND(ISNUMBER(H342),ISNUMBER(G342)),wb1_hi*H342+wb2_hi*G342,IF(ISNUMBER(H342),H342,I342)))/(pitN_2029+pfacN_2029),site_xai_2029)</f>
        <v>2.16761221697271</v>
      </c>
    </row>
    <row r="344" customFormat="false" ht="17.15" hidden="false" customHeight="false" outlineLevel="0" collapsed="false">
      <c r="A344" s="0" t="s">
        <v>1580</v>
      </c>
      <c r="B344" s="0" t="s">
        <v>1283</v>
      </c>
      <c r="E344" s="8" t="n">
        <f aca="false">IF(ISNUMBER(gai_xai_2024),(1-lag)*E343+lag*D343-inv_k*(E343-D343),E343)</f>
        <v>0</v>
      </c>
      <c r="F344" s="8" t="n">
        <f aca="false">IF(ISNUMBER(gai_xai_2025),(1-lag)*F343+lag*E343-inv_k*(F343-E343),F343)</f>
        <v>1.60702342066936</v>
      </c>
      <c r="G344" s="8" t="n">
        <f aca="false">IF(ISNUMBER(gai_xai_2026),(1-lag)*G343+lag*F343-inv_k*(G343-F343),G343)</f>
        <v>2.00665954943833</v>
      </c>
      <c r="H344" s="8" t="n">
        <f aca="false">IF(ISNUMBER(gai_xai_2027),(1-lag)*H343+lag*G343-inv_k*(H343-G343),H343)</f>
        <v>2.36621154820235</v>
      </c>
      <c r="I344" s="8" t="n">
        <f aca="false">IF(ISNUMBER(gai_xai_2028),(1-lag)*I343+lag*H343-inv_k*(I343-H343),I343)</f>
        <v>2.26107725618909</v>
      </c>
    </row>
    <row r="345" customFormat="false" ht="17.15" hidden="false" customHeight="false" outlineLevel="0" collapsed="false">
      <c r="A345" s="0" t="s">
        <v>1581</v>
      </c>
      <c r="B345" s="0" t="s">
        <v>1285</v>
      </c>
      <c r="D345" s="8" t="n">
        <f aca="false">site_xai_2024</f>
        <v>0</v>
      </c>
      <c r="E345" s="8" t="n">
        <f aca="false">site_xai_2025</f>
        <v>0</v>
      </c>
      <c r="F345" s="8" t="n">
        <f aca="false">site_xai_2026</f>
        <v>1.4302</v>
      </c>
      <c r="G345" s="8" t="n">
        <f aca="false">site_xai_2027</f>
        <v>0.585</v>
      </c>
      <c r="H345" s="8" t="n">
        <f aca="false">site_xai_2028</f>
        <v>0</v>
      </c>
      <c r="I345" s="8" t="n">
        <f aca="false">site_xai_2029</f>
        <v>0</v>
      </c>
    </row>
    <row r="346" customFormat="false" ht="17.15" hidden="false" customHeight="false" outlineLevel="0" collapsed="false">
      <c r="A346" s="0" t="s">
        <v>1582</v>
      </c>
      <c r="B346" s="0" t="s">
        <v>1287</v>
      </c>
      <c r="D346" s="8" t="str">
        <f aca="false">IF(ISNUMBER(gai_oai_2024),gai_oai_2024,"")</f>
        <v/>
      </c>
      <c r="E346" s="8" t="str">
        <f aca="false">IF(ISNUMBER(gai_oai_2025),gai_oai_2025,"")</f>
        <v/>
      </c>
      <c r="F346" s="8" t="n">
        <f aca="false">IF(ISNUMBER(gai_oai_2026),gai_oai_2026,"")</f>
        <v>20</v>
      </c>
      <c r="G346" s="8" t="n">
        <f aca="false">IF(ISNUMBER(gai_oai_2027),gai_oai_2027,"")</f>
        <v>30</v>
      </c>
      <c r="H346" s="8" t="n">
        <f aca="false">IF(ISNUMBER(gai_oai_2028),gai_oai_2028,"")</f>
        <v>45</v>
      </c>
      <c r="I346" s="8" t="n">
        <f aca="false">IF(ISNUMBER(gai_oai_2029),gai_oai_2029,"")</f>
        <v>60</v>
      </c>
    </row>
    <row r="347" customFormat="false" ht="17.15" hidden="false" customHeight="false" outlineLevel="0" collapsed="false">
      <c r="A347" s="0" t="s">
        <v>1583</v>
      </c>
      <c r="B347" s="0" t="s">
        <v>1289</v>
      </c>
      <c r="D347" s="8" t="n">
        <f aca="false">IF(ISNUMBER(D346),(pitN_2024/(pitN_2024+pfacN_2024)*D346+pfacN_2024/(pitN_2024+pfacN_2024)*IF(AND(ISNUMBER(""),ISNUMBER("")),wb1_hi*""+wb2_hi*"",IF(ISNUMBER(""),"",D346)))/(pitN_2024+pfacN_2024),site_oai_2024)</f>
        <v>0</v>
      </c>
      <c r="E347" s="8" t="n">
        <f aca="false">IF(ISNUMBER(E346),(pitN_2025/(pitN_2025+pfacN_2025)*E346+pfacN_2025/(pitN_2025+pfacN_2025)*IF(AND(ISNUMBER(D346),ISNUMBER("")),wb1_hi*D346+wb2_hi*"",IF(ISNUMBER(D346),D346,E346)))/(pitN_2025+pfacN_2025),site_oai_2025)</f>
        <v>0</v>
      </c>
      <c r="F347" s="8" t="n">
        <f aca="false">IF(ISNUMBER(F346),(pitN_2026/(pitN_2026+pfacN_2026)*F346+pfacN_2026/(pitN_2026+pfacN_2026)*IF(AND(ISNUMBER(E346),ISNUMBER(D346)),wb1_hi*E346+wb2_hi*D346,IF(ISNUMBER(E346),E346,F346)))/(pitN_2026+pfacN_2026),site_oai_2026)</f>
        <v>0.433989802163179</v>
      </c>
      <c r="G347" s="8" t="n">
        <f aca="false">IF(ISNUMBER(G346),(pitN_2027/(pitN_2027+pfacN_2027)*G346+pfacN_2027/(pitN_2027+pfacN_2027)*IF(AND(ISNUMBER(F346),ISNUMBER(E346)),wb1_hi*F346+wb2_hi*E346,IF(ISNUMBER(F346),F346,G346)))/(pitN_2027+pfacN_2027),site_oai_2027)</f>
        <v>0.539423294291731</v>
      </c>
      <c r="H347" s="8" t="n">
        <f aca="false">IF(ISNUMBER(H346),(pitN_2028/(pitN_2028+pfacN_2028)*H346+pfacN_2028/(pitN_2028+pfacN_2028)*IF(AND(ISNUMBER(G346),ISNUMBER(F346)),wb1_hi*G346+wb2_hi*F346,IF(ISNUMBER(G346),G346,H346)))/(pitN_2028+pfacN_2028),site_oai_2028)</f>
        <v>0.724678604377205</v>
      </c>
      <c r="I347" s="8" t="n">
        <f aca="false">IF(ISNUMBER(I346),(pitN_2029/(pitN_2029+pfacN_2029)*I346+pfacN_2029/(pitN_2029+pfacN_2029)*IF(AND(ISNUMBER(H346),ISNUMBER(G346)),wb1_hi*H346+wb2_hi*G346,IF(ISNUMBER(H346),H346,I346)))/(pitN_2029+pfacN_2029),site_oai_2029)</f>
        <v>0.980720043848063</v>
      </c>
    </row>
    <row r="348" customFormat="false" ht="17.15" hidden="false" customHeight="false" outlineLevel="0" collapsed="false">
      <c r="A348" s="0" t="s">
        <v>1584</v>
      </c>
      <c r="B348" s="0" t="s">
        <v>1291</v>
      </c>
      <c r="E348" s="8" t="n">
        <f aca="false">IF(ISNUMBER(gai_oai_2024),(1-lag)*E347+lag*D347-inv_k*(E347-D347),E347)</f>
        <v>0</v>
      </c>
      <c r="F348" s="8" t="n">
        <f aca="false">IF(ISNUMBER(gai_oai_2025),(1-lag)*F347+lag*E347-inv_k*(F347-E347),F347)</f>
        <v>0.433989802163179</v>
      </c>
      <c r="G348" s="8" t="n">
        <f aca="false">IF(ISNUMBER(gai_oai_2026),(1-lag)*G347+lag*F347-inv_k*(G347-F347),G347)</f>
        <v>0.489342385530669</v>
      </c>
      <c r="H348" s="8" t="n">
        <f aca="false">IF(ISNUMBER(gai_oai_2027),(1-lag)*H347+lag*G347-inv_k*(H347-G347),H347)</f>
        <v>0.636682332086605</v>
      </c>
      <c r="I348" s="8" t="n">
        <f aca="false">IF(ISNUMBER(gai_oai_2028),(1-lag)*I347+lag*H347-inv_k*(I347-H347),I347)</f>
        <v>0.859100360099406</v>
      </c>
    </row>
    <row r="349" customFormat="false" ht="17.15" hidden="false" customHeight="false" outlineLevel="0" collapsed="false">
      <c r="A349" s="0" t="s">
        <v>1585</v>
      </c>
      <c r="B349" s="0" t="s">
        <v>1293</v>
      </c>
      <c r="D349" s="8" t="n">
        <f aca="false">site_oai_2024</f>
        <v>0</v>
      </c>
      <c r="E349" s="8" t="n">
        <f aca="false">site_oai_2025</f>
        <v>0</v>
      </c>
      <c r="F349" s="8" t="n">
        <f aca="false">site_oai_2026</f>
        <v>0</v>
      </c>
      <c r="G349" s="8" t="n">
        <f aca="false">site_oai_2027</f>
        <v>0.522</v>
      </c>
      <c r="H349" s="8" t="n">
        <f aca="false">site_oai_2028</f>
        <v>1.245</v>
      </c>
      <c r="I349" s="8" t="n">
        <f aca="false">site_oai_2029</f>
        <v>1.149</v>
      </c>
    </row>
    <row r="350" customFormat="false" ht="17.15" hidden="false" customHeight="false" outlineLevel="0" collapsed="false">
      <c r="A350" s="0" t="s">
        <v>1586</v>
      </c>
      <c r="B350" s="0" t="s">
        <v>1295</v>
      </c>
      <c r="D350" s="8" t="str">
        <f aca="false">IF(ISNUMBER(gai_ant_2024),gai_ant_2024,"")</f>
        <v/>
      </c>
      <c r="E350" s="8" t="str">
        <f aca="false">IF(ISNUMBER(gai_ant_2025),gai_ant_2025,"")</f>
        <v/>
      </c>
      <c r="F350" s="8" t="n">
        <f aca="false">IF(ISNUMBER(gai_ant_2026),gai_ant_2026,"")</f>
        <v>16.666667</v>
      </c>
      <c r="G350" s="8" t="n">
        <f aca="false">IF(ISNUMBER(gai_ant_2027),gai_ant_2027,"")</f>
        <v>16.666667</v>
      </c>
      <c r="H350" s="8" t="n">
        <f aca="false">IF(ISNUMBER(gai_ant_2028),gai_ant_2028,"")</f>
        <v>16.666667</v>
      </c>
      <c r="I350" s="8" t="n">
        <f aca="false">IF(ISNUMBER(gai_ant_2029),gai_ant_2029,"")</f>
        <v>0</v>
      </c>
    </row>
    <row r="351" customFormat="false" ht="17.15" hidden="false" customHeight="false" outlineLevel="0" collapsed="false">
      <c r="A351" s="0" t="s">
        <v>1587</v>
      </c>
      <c r="B351" s="0" t="s">
        <v>1297</v>
      </c>
      <c r="D351" s="8" t="n">
        <f aca="false">IF(ISNUMBER(D350),(pitN_2024/(pitN_2024+pfacN_2024)*D350+pfacN_2024/(pitN_2024+pfacN_2024)*IF(AND(ISNUMBER(""),ISNUMBER("")),wb1_hi*""+wb2_hi*"",IF(ISNUMBER(""),"",D350)))/(pitN_2024+pfacN_2024),site_ant_2024)</f>
        <v>0</v>
      </c>
      <c r="E351" s="8" t="n">
        <f aca="false">IF(ISNUMBER(E350),(pitN_2025/(pitN_2025+pfacN_2025)*E350+pfacN_2025/(pitN_2025+pfacN_2025)*IF(AND(ISNUMBER(D350),ISNUMBER("")),wb1_hi*D350+wb2_hi*"",IF(ISNUMBER(D350),D350,E350)))/(pitN_2025+pfacN_2025),site_ant_2025)</f>
        <v>0</v>
      </c>
      <c r="F351" s="8" t="n">
        <f aca="false">IF(ISNUMBER(F350),(pitN_2026/(pitN_2026+pfacN_2026)*F350+pfacN_2026/(pitN_2026+pfacN_2026)*IF(AND(ISNUMBER(E350),ISNUMBER(D350)),wb1_hi*E350+wb2_hi*D350,IF(ISNUMBER(E350),E350,F350)))/(pitN_2026+pfacN_2026),site_ant_2026)</f>
        <v>0.36165817570248</v>
      </c>
      <c r="G351" s="8" t="n">
        <f aca="false">IF(ISNUMBER(G350),(pitN_2027/(pitN_2027+pfacN_2027)*G350+pfacN_2027/(pitN_2027+pfacN_2027)*IF(AND(ISNUMBER(F350),ISNUMBER(E350)),wb1_hi*F350+wb2_hi*E350,IF(ISNUMBER(F350),F350,G350)))/(pitN_2027+pfacN_2027),site_ant_2027)</f>
        <v>0.326730833032632</v>
      </c>
      <c r="H351" s="8" t="n">
        <f aca="false">IF(ISNUMBER(H350),(pitN_2028/(pitN_2028+pfacN_2028)*H350+pfacN_2028/(pitN_2028+pfacN_2028)*IF(AND(ISNUMBER(G350),ISNUMBER(F350)),wb1_hi*G350+wb2_hi*F350,IF(ISNUMBER(G350),G350,H350)))/(pitN_2028+pfacN_2028),site_ant_2028)</f>
        <v>0.308627002270922</v>
      </c>
      <c r="I351" s="8" t="n">
        <f aca="false">IF(ISNUMBER(I350),(pitN_2029/(pitN_2029+pfacN_2029)*I350+pfacN_2029/(pitN_2029+pfacN_2029)*IF(AND(ISNUMBER(H350),ISNUMBER(G350)),wb1_hi*H350+wb2_hi*G350,IF(ISNUMBER(H350),H350,I350)))/(pitN_2029+pfacN_2029),site_ant_2029)</f>
        <v>0.0724095248404747</v>
      </c>
    </row>
    <row r="352" customFormat="false" ht="17.15" hidden="false" customHeight="false" outlineLevel="0" collapsed="false">
      <c r="A352" s="0" t="s">
        <v>1588</v>
      </c>
      <c r="B352" s="0" t="s">
        <v>1299</v>
      </c>
      <c r="E352" s="8" t="n">
        <f aca="false">IF(ISNUMBER(gai_ant_2024),(1-lag)*E351+lag*D351-inv_k*(E351-D351),E351)</f>
        <v>0</v>
      </c>
      <c r="F352" s="8" t="n">
        <f aca="false">IF(ISNUMBER(gai_ant_2025),(1-lag)*F351+lag*E351-inv_k*(F351-E351),F351)</f>
        <v>0.36165817570248</v>
      </c>
      <c r="G352" s="8" t="n">
        <f aca="false">IF(ISNUMBER(gai_ant_2026),(1-lag)*G351+lag*F351-inv_k*(G351-F351),G351)</f>
        <v>0.34332132080081</v>
      </c>
      <c r="H352" s="8" t="n">
        <f aca="false">IF(ISNUMBER(gai_ant_2027),(1-lag)*H351+lag*G351-inv_k*(H351-G351),H351)</f>
        <v>0.317226321882734</v>
      </c>
      <c r="I352" s="8" t="n">
        <f aca="false">IF(ISNUMBER(gai_ant_2028),(1-lag)*I351+lag*H351-inv_k*(I351-H351),I351)</f>
        <v>0.184612826619937</v>
      </c>
    </row>
    <row r="353" customFormat="false" ht="17.15" hidden="false" customHeight="false" outlineLevel="0" collapsed="false">
      <c r="A353" s="0" t="s">
        <v>1589</v>
      </c>
      <c r="B353" s="0" t="s">
        <v>1301</v>
      </c>
      <c r="D353" s="8" t="n">
        <f aca="false">site_ant_2024</f>
        <v>0</v>
      </c>
      <c r="E353" s="8" t="n">
        <f aca="false">site_ant_2025</f>
        <v>0</v>
      </c>
      <c r="F353" s="8" t="n">
        <f aca="false">site_ant_2026</f>
        <v>0</v>
      </c>
      <c r="G353" s="8" t="n">
        <f aca="false">site_ant_2027</f>
        <v>0</v>
      </c>
      <c r="H353" s="8" t="n">
        <f aca="false">site_ant_2028</f>
        <v>0</v>
      </c>
      <c r="I353" s="8" t="n">
        <f aca="false">site_ant_2029</f>
        <v>0</v>
      </c>
    </row>
    <row r="354" customFormat="false" ht="17.15" hidden="false" customHeight="false" outlineLevel="0" collapsed="false">
      <c r="A354" s="0" t="s">
        <v>1590</v>
      </c>
      <c r="B354" s="5" t="s">
        <v>1303</v>
      </c>
      <c r="D354" s="9" t="n">
        <f aca="false">D294+D301+D308+D315+D322+D329+D336</f>
        <v>2.88602836343531</v>
      </c>
      <c r="E354" s="9" t="n">
        <f aca="false">E294+E301+E308+E315+E322+E329+E336</f>
        <v>9.64396540227264</v>
      </c>
      <c r="F354" s="9" t="n">
        <f aca="false">F294+F301+F308+F315+F322+F329+F336</f>
        <v>15.117143051059</v>
      </c>
      <c r="G354" s="9" t="n">
        <f aca="false">G294+G301+G308+G315+G322+G329+G336</f>
        <v>18.320527268994</v>
      </c>
      <c r="H354" s="9" t="n">
        <f aca="false">H294+H301+H308+H315+H322+H329+H336</f>
        <v>20.8092310328383</v>
      </c>
      <c r="I354" s="9" t="n">
        <f aca="false">I294+I301+I308+I315+I322+I329+I336</f>
        <v>23.6521927841576</v>
      </c>
    </row>
    <row r="355" customFormat="false" ht="17.15" hidden="false" customHeight="false" outlineLevel="0" collapsed="false">
      <c r="A355" s="0" t="s">
        <v>1591</v>
      </c>
      <c r="B355" s="5" t="s">
        <v>1305</v>
      </c>
      <c r="D355" s="9" t="n">
        <f aca="false">D295+D302+D309+D316+D323+D330+D337</f>
        <v>0</v>
      </c>
      <c r="E355" s="9" t="n">
        <f aca="false">E295+E302+E309+E316+E323+E330+E337</f>
        <v>6.43394530882491</v>
      </c>
      <c r="F355" s="9" t="n">
        <f aca="false">F295+F302+F309+F316+F323+F330+F337</f>
        <v>12.5173836678855</v>
      </c>
      <c r="G355" s="9" t="n">
        <f aca="false">G295+G302+G309+G316+G323+G330+G337</f>
        <v>16.7989197654749</v>
      </c>
      <c r="H355" s="9" t="n">
        <f aca="false">H295+H302+H309+H316+H323+H330+H337</f>
        <v>19.6270967450123</v>
      </c>
      <c r="I355" s="9" t="n">
        <f aca="false">I295+I302+I309+I316+I323+I330+I337</f>
        <v>22.3017859522809</v>
      </c>
    </row>
    <row r="356" customFormat="false" ht="17.15" hidden="false" customHeight="false" outlineLevel="0" collapsed="false">
      <c r="A356" s="0" t="s">
        <v>1592</v>
      </c>
      <c r="B356" s="5" t="s">
        <v>1307</v>
      </c>
      <c r="D356" s="9" t="n">
        <f aca="false">D297+D304+D311+D318+D325+D332+D339</f>
        <v>3.89616485653111</v>
      </c>
      <c r="E356" s="9" t="n">
        <f aca="false">E297+E304+E311+E318+E325+E332+E339</f>
        <v>9.4581706968</v>
      </c>
      <c r="F356" s="9" t="n">
        <f aca="false">F297+F304+F311+F318+F325+F332+F339</f>
        <v>14.803016707804</v>
      </c>
      <c r="G356" s="9" t="n">
        <f aca="false">G297+G304+G311+G318+G325+G332+G339</f>
        <v>18.3817940542829</v>
      </c>
      <c r="H356" s="9" t="n">
        <f aca="false">H297+H304+H311+H318+H325+H332+H339</f>
        <v>20.1442044144535</v>
      </c>
      <c r="I356" s="9" t="n">
        <f aca="false">I297+I304+I311+I318+I325+I332+I339</f>
        <v>20.2708980478802</v>
      </c>
    </row>
    <row r="357" customFormat="false" ht="17.15" hidden="false" customHeight="false" outlineLevel="0" collapsed="false">
      <c r="A357" s="0" t="s">
        <v>1593</v>
      </c>
      <c r="B357" s="5" t="s">
        <v>1309</v>
      </c>
      <c r="D357" s="9" t="n">
        <f aca="false">D298+D305+D312+D319+D326+D333+D340</f>
        <v>0</v>
      </c>
      <c r="E357" s="9" t="n">
        <f aca="false">E298+E305+E312+E319+E326+E333+E340</f>
        <v>6.81621792267228</v>
      </c>
      <c r="F357" s="9" t="n">
        <f aca="false">F298+F305+F312+F319+F326+F333+F340</f>
        <v>12.2642148525771</v>
      </c>
      <c r="G357" s="9" t="n">
        <f aca="false">G298+G305+G312+G319+G326+G333+G340</f>
        <v>16.6818748147055</v>
      </c>
      <c r="H357" s="9" t="n">
        <f aca="false">H298+H305+H312+H319+H326+H333+H340</f>
        <v>19.3070594933725</v>
      </c>
      <c r="I357" s="9" t="n">
        <f aca="false">I298+I305+I312+I319+I326+I333+I340</f>
        <v>20.2107185720025</v>
      </c>
    </row>
    <row r="358" customFormat="false" ht="15" hidden="false" customHeight="false" outlineLevel="0" collapsed="false">
      <c r="A358" s="0" t="s">
        <v>1594</v>
      </c>
      <c r="B358" s="5" t="s">
        <v>1311</v>
      </c>
      <c r="D358" s="9" t="n">
        <f aca="false">D299+D306+D313+D320+D327+D334+D341</f>
        <v>1.61980834349181</v>
      </c>
      <c r="E358" s="9" t="n">
        <f aca="false">E299+E306+E313+E320+E327+E334+E341</f>
        <v>8.74912429484715</v>
      </c>
      <c r="F358" s="9" t="n">
        <f aca="false">F299+F306+F313+F320+F327+F334+F341</f>
        <v>6.54276412772586</v>
      </c>
      <c r="G358" s="9" t="n">
        <f aca="false">G299+G306+G313+G320+G327+G334+G341</f>
        <v>6.52966666666667</v>
      </c>
      <c r="H358" s="9" t="n">
        <f aca="false">H299+H306+H313+H320+H327+H334+H341</f>
        <v>13.6908333333333</v>
      </c>
      <c r="I358" s="9" t="n">
        <f aca="false">I299+I306+I313+I320+I327+I334+I341</f>
        <v>2.7115</v>
      </c>
    </row>
    <row r="359" customFormat="false" ht="15" hidden="false" customHeight="false" outlineLevel="0" collapsed="false">
      <c r="A359" s="0" t="s">
        <v>1595</v>
      </c>
      <c r="B359" s="5" t="s">
        <v>1313</v>
      </c>
      <c r="D359" s="9" t="n">
        <f aca="false">D343+D347+D351</f>
        <v>0</v>
      </c>
      <c r="E359" s="9" t="n">
        <f aca="false">E343+E347+E351</f>
        <v>0</v>
      </c>
      <c r="F359" s="9" t="n">
        <f aca="false">F343+F347+F351</f>
        <v>2.40267139853502</v>
      </c>
      <c r="G359" s="9" t="n">
        <f aca="false">G343+G347+G351</f>
        <v>3.23438922183938</v>
      </c>
      <c r="H359" s="9" t="n">
        <f aca="false">H343+H347+H351</f>
        <v>3.39768632723426</v>
      </c>
      <c r="I359" s="9" t="n">
        <f aca="false">I343+I347+I351</f>
        <v>3.22074178566125</v>
      </c>
    </row>
    <row r="360" customFormat="false" ht="15" hidden="false" customHeight="false" outlineLevel="0" collapsed="false">
      <c r="A360" s="0" t="s">
        <v>1596</v>
      </c>
      <c r="B360" s="5" t="s">
        <v>1315</v>
      </c>
      <c r="D360" s="9" t="n">
        <f aca="false">D344+D348+D352</f>
        <v>0</v>
      </c>
      <c r="E360" s="9" t="n">
        <f aca="false">E344+E348+E352</f>
        <v>0</v>
      </c>
      <c r="F360" s="9" t="n">
        <f aca="false">F344+F348+F352</f>
        <v>2.40267139853502</v>
      </c>
      <c r="G360" s="9" t="n">
        <f aca="false">G344+G348+G352</f>
        <v>2.83932325576981</v>
      </c>
      <c r="H360" s="9" t="n">
        <f aca="false">H344+H348+H352</f>
        <v>3.32012020217169</v>
      </c>
      <c r="I360" s="9" t="n">
        <f aca="false">I344+I348+I352</f>
        <v>3.30479044290843</v>
      </c>
    </row>
    <row r="361" customFormat="false" ht="15" hidden="false" customHeight="false" outlineLevel="0" collapsed="false">
      <c r="A361" s="0" t="s">
        <v>1597</v>
      </c>
      <c r="B361" s="5" t="s">
        <v>1317</v>
      </c>
      <c r="D361" s="9" t="n">
        <f aca="false">D345+D349+D353</f>
        <v>0</v>
      </c>
      <c r="E361" s="9" t="n">
        <f aca="false">E345+E349+E353</f>
        <v>0</v>
      </c>
      <c r="F361" s="9" t="n">
        <f aca="false">F345+F349+F353</f>
        <v>1.4302</v>
      </c>
      <c r="G361" s="9" t="n">
        <f aca="false">G345+G349+G353</f>
        <v>1.107</v>
      </c>
      <c r="H361" s="9" t="n">
        <f aca="false">H345+H349+H353</f>
        <v>1.245</v>
      </c>
      <c r="I361" s="9" t="n">
        <f aca="false">I345+I349+I353</f>
        <v>1.149</v>
      </c>
    </row>
    <row r="363" customFormat="false" ht="17.15" hidden="false" customHeight="false" outlineLevel="0" collapsed="false">
      <c r="A363" s="6" t="s">
        <v>1598</v>
      </c>
    </row>
    <row r="364" customFormat="false" ht="15" hidden="false" customHeight="false" outlineLevel="0" collapsed="false">
      <c r="A364" s="2" t="s">
        <v>1</v>
      </c>
      <c r="B364" s="2" t="s">
        <v>2</v>
      </c>
      <c r="C364" s="7" t="s">
        <v>1188</v>
      </c>
      <c r="D364" s="7" t="s">
        <v>1189</v>
      </c>
      <c r="E364" s="7" t="s">
        <v>1190</v>
      </c>
      <c r="F364" s="7" t="s">
        <v>1191</v>
      </c>
      <c r="G364" s="7" t="s">
        <v>1192</v>
      </c>
      <c r="H364" s="7" t="s">
        <v>1193</v>
      </c>
    </row>
    <row r="365" customFormat="false" ht="17.15" hidden="false" customHeight="false" outlineLevel="0" collapsed="false">
      <c r="A365" s="0" t="s">
        <v>1599</v>
      </c>
      <c r="B365" s="0" t="s">
        <v>1195</v>
      </c>
      <c r="D365" s="8" t="n">
        <f aca="false">IF(ISNUMBER(ai2_msft_2024),ai2_msft_2024,"")</f>
        <v>46.3369</v>
      </c>
      <c r="E365" s="8" t="n">
        <f aca="false">IF(ISNUMBER(ai2_msft_2025),ai2_msft_2025,"")</f>
        <v>76.712075</v>
      </c>
      <c r="F365" s="8" t="n">
        <f aca="false">IF(ISNUMBER(ai2_msft_2026),ai2_msft_2026,"")</f>
        <v>131.229375</v>
      </c>
      <c r="G365" s="8" t="n">
        <f aca="false">IF(ISNUMBER(ai2_msft_2027),ai2_msft_2027,"")</f>
        <v>174.08595</v>
      </c>
      <c r="H365" s="8" t="n">
        <f aca="false">IF(ISNUMBER(ai2_msft_2028),ai2_msft_2028,"")</f>
        <v>198.883</v>
      </c>
      <c r="I365" s="8" t="n">
        <f aca="false">IF(ISNUMBER(ai2_msft_2029),ai2_msft_2029,"")</f>
        <v>224.1719025</v>
      </c>
    </row>
    <row r="366" customFormat="false" ht="17.15" hidden="false" customHeight="false" outlineLevel="0" collapsed="false">
      <c r="A366" s="0" t="s">
        <v>1600</v>
      </c>
      <c r="B366" s="0" t="s">
        <v>1197</v>
      </c>
      <c r="D366" s="8" t="n">
        <f aca="false">IF(ISNUMBER(D365),(pit_msft_2024/(pit_msft_2024+pfac_msft_2024)*D365+pfac_msft_2024/(pit_msft_2024+pfac_msft_2024)*IF(AND(ISNUMBER(""),ISNUMBER("")),wb1*""+wb2*"",IF(ISNUMBER(""),"",D365)))/(pit_msft_2024+pfac_msft_2024),site_msft_2024)</f>
        <v>1.2662200199435</v>
      </c>
      <c r="E366" s="8" t="n">
        <f aca="false">IF(ISNUMBER(E365),(pit_msft_2025/(pit_msft_2025+pfac_msft_2025)*E365+pfac_msft_2025/(pit_msft_2025+pfac_msft_2025)*IF(AND(ISNUMBER(D365),ISNUMBER("")),wb1*D365+wb2*"",IF(ISNUMBER(D365),D365,E365)))/(pit_msft_2025+pfac_msft_2025),site_msft_2025)</f>
        <v>1.89413391980359</v>
      </c>
      <c r="F366" s="8" t="n">
        <f aca="false">IF(ISNUMBER(F365),(pit_msft_2026/(pit_msft_2026+pfac_msft_2026)*F365+pfac_msft_2026/(pit_msft_2026+pfac_msft_2026)*IF(AND(ISNUMBER(E365),ISNUMBER(D365)),wb1*E365+wb2*D365,IF(ISNUMBER(E365),E365,F365)))/(pit_msft_2026+pfac_msft_2026),site_msft_2026)</f>
        <v>2.73280981276305</v>
      </c>
      <c r="G366" s="8" t="n">
        <f aca="false">IF(ISNUMBER(G365),(pit_msft_2027/(pit_msft_2027+pfac_msft_2027)*G365+pfac_msft_2027/(pit_msft_2027+pfac_msft_2027)*IF(AND(ISNUMBER(F365),ISNUMBER(E365)),wb1*F365+wb2*E365,IF(ISNUMBER(F365),F365,G365)))/(pit_msft_2027+pfac_msft_2027),site_msft_2027)</f>
        <v>3.56447576934396</v>
      </c>
      <c r="H366" s="8" t="n">
        <f aca="false">IF(ISNUMBER(H365),(pit_msft_2028/(pit_msft_2028+pfac_msft_2028)*H365+pfac_msft_2028/(pit_msft_2028+pfac_msft_2028)*IF(AND(ISNUMBER(G365),ISNUMBER(F365)),wb1*G365+wb2*F365,IF(ISNUMBER(G365),G365,H365)))/(pit_msft_2028+pfac_msft_2028),site_msft_2028)</f>
        <v>4.06597876464757</v>
      </c>
      <c r="I366" s="8" t="n">
        <f aca="false">IF(ISNUMBER(I365),(pit_msft_2029/(pit_msft_2029+pfac_msft_2029)*I365+pfac_msft_2029/(pit_msft_2029+pfac_msft_2029)*IF(AND(ISNUMBER(H365),ISNUMBER(G365)),wb1*H365+wb2*G365,IF(ISNUMBER(H365),H365,I365)))/(pit_msft_2029+pfac_msft_2029),site_msft_2029)</f>
        <v>4.6644209987717</v>
      </c>
    </row>
    <row r="367" customFormat="false" ht="17.15" hidden="false" customHeight="false" outlineLevel="0" collapsed="false">
      <c r="A367" s="0" t="s">
        <v>1601</v>
      </c>
      <c r="B367" s="0" t="s">
        <v>1199</v>
      </c>
      <c r="E367" s="8" t="n">
        <f aca="false">(1-lag_lo)*E366+lag_lo*D366-inv_k*(E366-D366)</f>
        <v>1.67436405485255</v>
      </c>
      <c r="F367" s="8" t="n">
        <f aca="false">(1-lag_lo)*F366+lag_lo*E366-inv_k*(F366-E366)</f>
        <v>2.43927325022723</v>
      </c>
      <c r="G367" s="8" t="n">
        <f aca="false">(1-lag_lo)*G366+lag_lo*F366-inv_k*(G366-F366)</f>
        <v>3.27339268454064</v>
      </c>
      <c r="H367" s="8" t="n">
        <f aca="false">(1-lag_lo)*H366+lag_lo*G366-inv_k*(H366-G366)</f>
        <v>3.89045271629131</v>
      </c>
      <c r="I367" s="8" t="n">
        <f aca="false">(1-lag_lo)*I366+lag_lo*H366-inv_k*(I366-H366)</f>
        <v>4.45496621682826</v>
      </c>
    </row>
    <row r="368" customFormat="false" ht="17.15" hidden="false" customHeight="false" outlineLevel="0" collapsed="false">
      <c r="A368" s="0" t="s">
        <v>1602</v>
      </c>
      <c r="B368" s="0" t="s">
        <v>1201</v>
      </c>
      <c r="D368" s="8" t="str">
        <f aca="false">""</f>
        <v/>
      </c>
      <c r="E368" s="8" t="n">
        <f aca="false">(6/12*cap2_msft_2025+6/12*gcap_msft_2026)*ai_sh</f>
        <v>89.186675</v>
      </c>
      <c r="F368" s="8" t="n">
        <f aca="false">(6/12*gcap_msft_2026+6/12*gcap_msft_2027)*ai_sh</f>
        <v>148.5375</v>
      </c>
      <c r="G368" s="8" t="n">
        <f aca="false">(6/12*gcap_msft_2027+6/12*gcap_msft_2028)*ai_sh</f>
        <v>185.939575275</v>
      </c>
      <c r="H368" s="8" t="n">
        <f aca="false">(6/12*gcap_msft_2028+6/12*gcap_msft_2029)*ai_sh</f>
        <v>202.7978586</v>
      </c>
      <c r="I368" s="8" t="n">
        <f aca="false">(6/12*gcap_msft_2029+6/12*gcap_msft_2030)*ai_sh</f>
        <v>197.6117298</v>
      </c>
    </row>
    <row r="369" customFormat="false" ht="17.15" hidden="false" customHeight="false" outlineLevel="0" collapsed="false">
      <c r="A369" s="0" t="s">
        <v>1603</v>
      </c>
      <c r="B369" s="0" t="s">
        <v>1197</v>
      </c>
      <c r="D369" s="8" t="n">
        <f aca="false">IF(ISNUMBER(D368),(pit_msft_2024/(pit_msft_2024+pfac_msft_2024)*D368+pfac_msft_2024/(pit_msft_2024+pfac_msft_2024)*IF(AND(ISNUMBER(""),ISNUMBER("")),wb1*""+wb2*"",IF(ISNUMBER(""),"",D368)))/(pit_msft_2024+pfac_msft_2024),site_msft_2024)</f>
        <v>0</v>
      </c>
      <c r="E369" s="8" t="n">
        <f aca="false">IF(ISNUMBER(E368),(pit_msft_2025/(pit_msft_2025+pfac_msft_2025)*E368+pfac_msft_2025/(pit_msft_2025+pfac_msft_2025)*IF(AND(ISNUMBER(D368),ISNUMBER("")),wb1*D368+wb2*"",IF(ISNUMBER(D368),D368,E368)))/(pit_msft_2025+pfac_msft_2025),site_msft_2025)</f>
        <v>2.51576435599185</v>
      </c>
      <c r="F369" s="8" t="n">
        <f aca="false">IF(ISNUMBER(F368),(pit_msft_2026/(pit_msft_2026+pfac_msft_2026)*F368+pfac_msft_2026/(pit_msft_2026+pfac_msft_2026)*IF(AND(ISNUMBER(E368),ISNUMBER(D368)),wb1*E368+wb2*D368,IF(ISNUMBER(E368),E368,F368)))/(pit_msft_2026+pfac_msft_2026),site_msft_2026)</f>
        <v>3.22245015720519</v>
      </c>
      <c r="G369" s="8" t="n">
        <f aca="false">IF(ISNUMBER(G368),(pit_msft_2027/(pit_msft_2027+pfac_msft_2027)*G368+pfac_msft_2027/(pit_msft_2027+pfac_msft_2027)*IF(AND(ISNUMBER(F368),ISNUMBER(E368)),wb1*F368+wb2*E368,IF(ISNUMBER(F368),F368,G368)))/(pit_msft_2027+pfac_msft_2027),site_msft_2027)</f>
        <v>3.85144347642322</v>
      </c>
      <c r="H369" s="8" t="n">
        <f aca="false">IF(ISNUMBER(H368),(pit_msft_2028/(pit_msft_2028+pfac_msft_2028)*H368+pfac_msft_2028/(pit_msft_2028+pfac_msft_2028)*IF(AND(ISNUMBER(G368),ISNUMBER(F368)),wb1*G368+wb2*F368,IF(ISNUMBER(G368),G368,H368)))/(pit_msft_2028+pfac_msft_2028),site_msft_2028)</f>
        <v>4.20542058770135</v>
      </c>
      <c r="I369" s="8" t="n">
        <f aca="false">IF(ISNUMBER(I368),(pit_msft_2029/(pit_msft_2029+pfac_msft_2029)*I368+pfac_msft_2029/(pit_msft_2029+pfac_msft_2029)*IF(AND(ISNUMBER(H368),ISNUMBER(G368)),wb1*H368+wb2*G368,IF(ISNUMBER(H368),H368,I368)))/(pit_msft_2029+pfac_msft_2029),site_msft_2029)</f>
        <v>4.26588923952249</v>
      </c>
    </row>
    <row r="370" customFormat="false" ht="17.15" hidden="false" customHeight="false" outlineLevel="0" collapsed="false">
      <c r="A370" s="0" t="s">
        <v>1604</v>
      </c>
      <c r="B370" s="0" t="s">
        <v>1199</v>
      </c>
      <c r="E370" s="8" t="n">
        <f aca="false">(1-lag_lo)*E369+lag_lo*D369-inv_k*(E369-D369)</f>
        <v>1.6352468313947</v>
      </c>
      <c r="F370" s="8" t="n">
        <f aca="false">(1-lag_lo)*F369+lag_lo*E369-inv_k*(F369-E369)</f>
        <v>2.97511012678052</v>
      </c>
      <c r="G370" s="8" t="n">
        <f aca="false">(1-lag_lo)*G369+lag_lo*F369-inv_k*(G369-F369)</f>
        <v>3.63129581469691</v>
      </c>
      <c r="H370" s="8" t="n">
        <f aca="false">(1-lag_lo)*H369+lag_lo*G369-inv_k*(H369-G369)</f>
        <v>4.08152859875401</v>
      </c>
      <c r="I370" s="8" t="n">
        <f aca="false">(1-lag_lo)*I369+lag_lo*H369-inv_k*(I369-H369)</f>
        <v>4.24472521138509</v>
      </c>
    </row>
    <row r="371" customFormat="false" ht="17.15" hidden="false" customHeight="false" outlineLevel="0" collapsed="false">
      <c r="A371" s="0" t="s">
        <v>1605</v>
      </c>
      <c r="B371" s="0" t="s">
        <v>1205</v>
      </c>
      <c r="D371" s="8" t="n">
        <f aca="false">site_msft_2024</f>
        <v>0</v>
      </c>
      <c r="E371" s="8" t="n">
        <f aca="false">site_msft_2025</f>
        <v>2.13527</v>
      </c>
      <c r="F371" s="8" t="n">
        <f aca="false">site_msft_2026</f>
        <v>0.770955</v>
      </c>
      <c r="G371" s="8" t="n">
        <f aca="false">site_msft_2027</f>
        <v>1.04</v>
      </c>
      <c r="H371" s="8" t="n">
        <f aca="false">site_msft_2028</f>
        <v>1.67</v>
      </c>
      <c r="I371" s="8" t="n">
        <f aca="false">site_msft_2029</f>
        <v>0.144</v>
      </c>
    </row>
    <row r="372" customFormat="false" ht="17.15" hidden="false" customHeight="false" outlineLevel="0" collapsed="false">
      <c r="A372" s="0" t="s">
        <v>1606</v>
      </c>
      <c r="B372" s="0" t="s">
        <v>1207</v>
      </c>
      <c r="D372" s="8" t="str">
        <f aca="false">IF(ISNUMBER(ai2_googl_2024),ai2_googl_2024,"")</f>
        <v/>
      </c>
      <c r="E372" s="8" t="n">
        <f aca="false">IF(ISNUMBER(ai2_googl_2025),ai2_googl_2025,"")</f>
        <v>77.72995</v>
      </c>
      <c r="F372" s="8" t="n">
        <f aca="false">IF(ISNUMBER(ai2_googl_2026),ai2_googl_2026,"")</f>
        <v>170</v>
      </c>
      <c r="G372" s="8" t="n">
        <f aca="false">IF(ISNUMBER(ai2_googl_2027),ai2_googl_2027,"")</f>
        <v>255.83215</v>
      </c>
      <c r="H372" s="8" t="n">
        <f aca="false">IF(ISNUMBER(ai2_googl_2028),ai2_googl_2028,"")</f>
        <v>288.53335</v>
      </c>
      <c r="I372" s="8" t="n">
        <f aca="false">IF(ISNUMBER(ai2_googl_2029),ai2_googl_2029,"")</f>
        <v>317.386685</v>
      </c>
    </row>
    <row r="373" customFormat="false" ht="17.15" hidden="false" customHeight="false" outlineLevel="0" collapsed="false">
      <c r="A373" s="0" t="s">
        <v>1607</v>
      </c>
      <c r="B373" s="0" t="s">
        <v>1209</v>
      </c>
      <c r="D373" s="8" t="n">
        <f aca="false">IF(ISNUMBER(D372),(pit_googl_2024/(pit_googl_2024+pfac_googl_2024)*D372+pfac_googl_2024/(pit_googl_2024+pfac_googl_2024)*IF(AND(ISNUMBER(""),ISNUMBER("")),wb1*""+wb2*"",IF(ISNUMBER(""),"",D372)))/(pit_googl_2024+pfac_googl_2024),site_googl_2024)</f>
        <v>1.32980834349181</v>
      </c>
      <c r="E373" s="8" t="n">
        <f aca="false">IF(ISNUMBER(E372),(pit_googl_2025/(pit_googl_2025+pfac_googl_2025)*E372+pfac_googl_2025/(pit_googl_2025+pfac_googl_2025)*IF(AND(ISNUMBER(D372),ISNUMBER("")),wb1*D372+wb2*"",IF(ISNUMBER(D372),D372,E372)))/(pit_googl_2025+pfac_googl_2025),site_googl_2025)</f>
        <v>2.15653802290354</v>
      </c>
      <c r="F373" s="8" t="n">
        <f aca="false">IF(ISNUMBER(F372),(pit_googl_2026/(pit_googl_2026+pfac_googl_2026)*F372+pfac_googl_2026/(pit_googl_2026+pfac_googl_2026)*IF(AND(ISNUMBER(E372),ISNUMBER(D372)),wb1*E372+wb2*D372,IF(ISNUMBER(E372),E372,F372)))/(pit_googl_2026+pfac_googl_2026),site_googl_2026)</f>
        <v>3.85777511610307</v>
      </c>
      <c r="G373" s="8" t="n">
        <f aca="false">IF(ISNUMBER(G372),(pit_googl_2027/(pit_googl_2027+pfac_googl_2027)*G372+pfac_googl_2027/(pit_googl_2027+pfac_googl_2027)*IF(AND(ISNUMBER(F372),ISNUMBER(E372)),wb1*F372+wb2*E372,IF(ISNUMBER(F372),F372,G372)))/(pit_googl_2027+pfac_googl_2027),site_googl_2027)</f>
        <v>5.69768565998842</v>
      </c>
      <c r="H373" s="8" t="n">
        <f aca="false">IF(ISNUMBER(H372),(pit_googl_2028/(pit_googl_2028+pfac_googl_2028)*H372+pfac_googl_2028/(pit_googl_2028+pfac_googl_2028)*IF(AND(ISNUMBER(G372),ISNUMBER(F372)),wb1*G372+wb2*F372,IF(ISNUMBER(G372),G372,H372)))/(pit_googl_2028+pfac_googl_2028),site_googl_2028)</f>
        <v>6.77682412398345</v>
      </c>
      <c r="I373" s="8" t="n">
        <f aca="false">IF(ISNUMBER(I372),(pit_googl_2029/(pit_googl_2029+pfac_googl_2029)*I372+pfac_googl_2029/(pit_googl_2029+pfac_googl_2029)*IF(AND(ISNUMBER(H372),ISNUMBER(G372)),wb1*H372+wb2*G372,IF(ISNUMBER(H372),H372,I372)))/(pit_googl_2029+pfac_googl_2029),site_googl_2029)</f>
        <v>7.68929590970477</v>
      </c>
    </row>
    <row r="374" customFormat="false" ht="17.15" hidden="false" customHeight="false" outlineLevel="0" collapsed="false">
      <c r="A374" s="0" t="s">
        <v>1608</v>
      </c>
      <c r="B374" s="0" t="s">
        <v>1211</v>
      </c>
      <c r="E374" s="8" t="n">
        <f aca="false">(1-lag_lo)*E373+lag_lo*D373-inv_k*(E373-D373)</f>
        <v>1.86718263510943</v>
      </c>
      <c r="F374" s="8" t="n">
        <f aca="false">(1-lag_lo)*F373+lag_lo*E373-inv_k*(F373-E373)</f>
        <v>3.26234213348324</v>
      </c>
      <c r="G374" s="8" t="n">
        <f aca="false">(1-lag_lo)*G373+lag_lo*F373-inv_k*(G373-F373)</f>
        <v>5.05371696962855</v>
      </c>
      <c r="H374" s="8" t="n">
        <f aca="false">(1-lag_lo)*H373+lag_lo*G373-inv_k*(H373-G373)</f>
        <v>6.39912566158519</v>
      </c>
      <c r="I374" s="8" t="n">
        <f aca="false">(1-lag_lo)*I373+lag_lo*H373-inv_k*(I373-H373)</f>
        <v>7.36993078470231</v>
      </c>
    </row>
    <row r="375" customFormat="false" ht="17.15" hidden="false" customHeight="false" outlineLevel="0" collapsed="false">
      <c r="A375" s="0" t="s">
        <v>1609</v>
      </c>
      <c r="B375" s="0" t="s">
        <v>1213</v>
      </c>
      <c r="D375" s="8" t="n">
        <f aca="false">gcap_googl_2024*ai_sh</f>
        <v>44.65475</v>
      </c>
      <c r="E375" s="8" t="n">
        <f aca="false">gcap_googl_2025*ai_sh</f>
        <v>77.72995</v>
      </c>
      <c r="F375" s="8" t="n">
        <f aca="false">gcap_googl_2026*ai_sh</f>
        <v>170</v>
      </c>
      <c r="G375" s="8" t="n">
        <f aca="false">gcap_googl_2027*ai_sh</f>
        <v>246.810369</v>
      </c>
      <c r="H375" s="8" t="n">
        <f aca="false">gcap_googl_2028*ai_sh</f>
        <v>269.78900975</v>
      </c>
      <c r="I375" s="8" t="n">
        <f aca="false">gcap_googl_2029*ai_sh</f>
        <v>248.6767412</v>
      </c>
    </row>
    <row r="376" customFormat="false" ht="17.15" hidden="false" customHeight="false" outlineLevel="0" collapsed="false">
      <c r="A376" s="0" t="s">
        <v>1610</v>
      </c>
      <c r="B376" s="0" t="s">
        <v>1209</v>
      </c>
      <c r="D376" s="8" t="n">
        <f aca="false">IF(ISNUMBER(D375),(pit_googl_2024/(pit_googl_2024+pfac_googl_2024)*D375+pfac_googl_2024/(pit_googl_2024+pfac_googl_2024)*IF(AND(ISNUMBER(""),ISNUMBER("")),wb1*""+wb2*"",IF(ISNUMBER(""),"",D375)))/(pit_googl_2024+pfac_googl_2024),site_googl_2024)</f>
        <v>1.22628577156267</v>
      </c>
      <c r="E376" s="8" t="n">
        <f aca="false">IF(ISNUMBER(E375),(pit_googl_2025/(pit_googl_2025+pfac_googl_2025)*E375+pfac_googl_2025/(pit_googl_2025+pfac_googl_2025)*IF(AND(ISNUMBER(D375),ISNUMBER("")),wb1*D375+wb2*"",IF(ISNUMBER(D375),D375,E375)))/(pit_googl_2025+pfac_googl_2025),site_googl_2025)</f>
        <v>1.90684085060084</v>
      </c>
      <c r="F376" s="8" t="n">
        <f aca="false">IF(ISNUMBER(F375),(pit_googl_2026/(pit_googl_2026+pfac_googl_2026)*F375+pfac_googl_2026/(pit_googl_2026+pfac_googl_2026)*IF(AND(ISNUMBER(E375),ISNUMBER(D375)),wb1*E375+wb2*D375,IF(ISNUMBER(E375),E375,F375)))/(pit_googl_2026+pfac_googl_2026),site_googl_2026)</f>
        <v>3.74469414665129</v>
      </c>
      <c r="G376" s="8" t="n">
        <f aca="false">IF(ISNUMBER(G375),(pit_googl_2027/(pit_googl_2027+pfac_googl_2027)*G375+pfac_googl_2027/(pit_googl_2027+pfac_googl_2027)*IF(AND(ISNUMBER(F375),ISNUMBER(E375)),wb1*F375+wb2*E375,IF(ISNUMBER(F375),F375,G375)))/(pit_googl_2027+pfac_googl_2027),site_googl_2027)</f>
        <v>5.52479710641755</v>
      </c>
      <c r="H376" s="8" t="n">
        <f aca="false">IF(ISNUMBER(H375),(pit_googl_2028/(pit_googl_2028+pfac_googl_2028)*H375+pfac_googl_2028/(pit_googl_2028+pfac_googl_2028)*IF(AND(ISNUMBER(G375),ISNUMBER(F375)),wb1*G375+wb2*F375,IF(ISNUMBER(G375),G375,H375)))/(pit_googl_2028+pfac_googl_2028),site_googl_2028)</f>
        <v>6.39420249958533</v>
      </c>
      <c r="I376" s="8" t="n">
        <f aca="false">IF(ISNUMBER(I375),(pit_googl_2029/(pit_googl_2029+pfac_googl_2029)*I375+pfac_googl_2029/(pit_googl_2029+pfac_googl_2029)*IF(AND(ISNUMBER(H375),ISNUMBER(G375)),wb1*H375+wb2*G375,IF(ISNUMBER(H375),H375,I375)))/(pit_googl_2029+pfac_googl_2029),site_googl_2029)</f>
        <v>6.30314197516365</v>
      </c>
    </row>
    <row r="377" customFormat="false" ht="17.15" hidden="false" customHeight="false" outlineLevel="0" collapsed="false">
      <c r="A377" s="0" t="s">
        <v>1611</v>
      </c>
      <c r="B377" s="0" t="s">
        <v>1211</v>
      </c>
      <c r="E377" s="8" t="n">
        <f aca="false">(1-lag_lo)*E376+lag_lo*D376-inv_k*(E376-D376)</f>
        <v>1.66864657293748</v>
      </c>
      <c r="F377" s="8" t="n">
        <f aca="false">(1-lag_lo)*F376+lag_lo*E376-inv_k*(F376-E376)</f>
        <v>3.10144549303363</v>
      </c>
      <c r="G377" s="8" t="n">
        <f aca="false">(1-lag_lo)*G376+lag_lo*F376-inv_k*(G376-F376)</f>
        <v>4.90176107049936</v>
      </c>
      <c r="H377" s="8" t="n">
        <f aca="false">(1-lag_lo)*H376+lag_lo*G376-inv_k*(H376-G376)</f>
        <v>6.08991061197661</v>
      </c>
      <c r="I377" s="8" t="n">
        <f aca="false">(1-lag_lo)*I376+lag_lo*H376-inv_k*(I376-H376)</f>
        <v>6.33501315871124</v>
      </c>
    </row>
    <row r="378" customFormat="false" ht="17.15" hidden="false" customHeight="false" outlineLevel="0" collapsed="false">
      <c r="A378" s="0" t="s">
        <v>1612</v>
      </c>
      <c r="B378" s="0" t="s">
        <v>1217</v>
      </c>
      <c r="D378" s="8" t="n">
        <f aca="false">site_googl_2024</f>
        <v>1.32980834349181</v>
      </c>
      <c r="E378" s="8" t="n">
        <f aca="false">site_googl_2025</f>
        <v>2.40961330082622</v>
      </c>
      <c r="F378" s="8" t="n">
        <f aca="false">site_googl_2026</f>
        <v>1.29267912772586</v>
      </c>
      <c r="G378" s="8" t="n">
        <f aca="false">site_googl_2027</f>
        <v>1.626</v>
      </c>
      <c r="H378" s="8" t="n">
        <f aca="false">site_googl_2028</f>
        <v>0.833333333333334</v>
      </c>
      <c r="I378" s="8" t="n">
        <f aca="false">site_googl_2029</f>
        <v>0</v>
      </c>
    </row>
    <row r="379" customFormat="false" ht="17.15" hidden="false" customHeight="false" outlineLevel="0" collapsed="false">
      <c r="A379" s="0" t="s">
        <v>1613</v>
      </c>
      <c r="B379" s="0" t="s">
        <v>1219</v>
      </c>
      <c r="D379" s="8" t="str">
        <f aca="false">IF(ISNUMBER(ai2_amzn_2024),ai2_amzn_2024,"")</f>
        <v/>
      </c>
      <c r="E379" s="8" t="n">
        <f aca="false">IF(ISNUMBER(ai2_amzn_2025),ai2_amzn_2025,"")</f>
        <v>87.2576</v>
      </c>
      <c r="F379" s="8" t="n">
        <f aca="false">IF(ISNUMBER(ai2_amzn_2026),ai2_amzn_2026,"")</f>
        <v>149.6</v>
      </c>
      <c r="G379" s="8" t="n">
        <f aca="false">IF(ISNUMBER(ai2_amzn_2027),ai2_amzn_2027,"")</f>
        <v>187.04284</v>
      </c>
      <c r="H379" s="8" t="n">
        <f aca="false">IF(ISNUMBER(ai2_amzn_2028),ai2_amzn_2028,"")</f>
        <v>199.19036</v>
      </c>
      <c r="I379" s="8" t="n">
        <f aca="false">IF(ISNUMBER(ai2_amzn_2029),ai2_amzn_2029,"")</f>
        <v>219.109396</v>
      </c>
    </row>
    <row r="380" customFormat="false" ht="17.15" hidden="false" customHeight="false" outlineLevel="0" collapsed="false">
      <c r="A380" s="0" t="s">
        <v>1614</v>
      </c>
      <c r="B380" s="0" t="s">
        <v>1221</v>
      </c>
      <c r="D380" s="8" t="n">
        <f aca="false">IF(ISNUMBER(D379),(pit_amzn_2024/(pit_amzn_2024+pfac_amzn_2024)*D379+pfac_amzn_2024/(pit_amzn_2024+pfac_amzn_2024)*IF(AND(ISNUMBER(""),ISNUMBER("")),wb1*""+wb2*"",IF(ISNUMBER(""),"",D379)))/(pit_amzn_2024+pfac_amzn_2024),site_amzn_2024)</f>
        <v>0</v>
      </c>
      <c r="E380" s="8" t="n">
        <f aca="false">IF(ISNUMBER(E379),(pit_amzn_2025/(pit_amzn_2025+pfac_amzn_2025)*E379+pfac_amzn_2025/(pit_amzn_2025+pfac_amzn_2025)*IF(AND(ISNUMBER(D379),ISNUMBER("")),wb1*D379+wb2*"",IF(ISNUMBER(D379),D379,E379)))/(pit_amzn_2025+pfac_amzn_2025),site_amzn_2025)</f>
        <v>2.6200438487091</v>
      </c>
      <c r="F380" s="8" t="n">
        <f aca="false">IF(ISNUMBER(F379),(pit_amzn_2026/(pit_amzn_2026+pfac_amzn_2026)*F379+pfac_amzn_2026/(pit_amzn_2026+pfac_amzn_2026)*IF(AND(ISNUMBER(E379),ISNUMBER(D379)),wb1*E379+wb2*D379,IF(ISNUMBER(E379),E379,F379)))/(pit_amzn_2026+pfac_amzn_2026),site_amzn_2026)</f>
        <v>3.72830685774426</v>
      </c>
      <c r="G380" s="8" t="n">
        <f aca="false">IF(ISNUMBER(G379),(pit_amzn_2027/(pit_amzn_2027+pfac_amzn_2027)*G379+pfac_amzn_2027/(pit_amzn_2027+pfac_amzn_2027)*IF(AND(ISNUMBER(F379),ISNUMBER(E379)),wb1*F379+wb2*E379,IF(ISNUMBER(F379),F379,G379)))/(pit_amzn_2027+pfac_amzn_2027),site_amzn_2027)</f>
        <v>4.54496548273742</v>
      </c>
      <c r="H380" s="8" t="n">
        <f aca="false">IF(ISNUMBER(H379),(pit_amzn_2028/(pit_amzn_2028+pfac_amzn_2028)*H379+pfac_amzn_2028/(pit_amzn_2028+pfac_amzn_2028)*IF(AND(ISNUMBER(G379),ISNUMBER(F379)),wb1*G379+wb2*F379,IF(ISNUMBER(G379),G379,H379)))/(pit_amzn_2028+pfac_amzn_2028),site_amzn_2028)</f>
        <v>4.99623819927339</v>
      </c>
      <c r="I380" s="8" t="n">
        <f aca="false">IF(ISNUMBER(I379),(pit_amzn_2029/(pit_amzn_2029+pfac_amzn_2029)*I379+pfac_amzn_2029/(pit_amzn_2029+pfac_amzn_2029)*IF(AND(ISNUMBER(H379),ISNUMBER(G379)),wb1*H379+wb2*G379,IF(ISNUMBER(H379),H379,I379)))/(pit_amzn_2029+pfac_amzn_2029),site_amzn_2029)</f>
        <v>5.54650880690247</v>
      </c>
    </row>
    <row r="381" customFormat="false" ht="17.15" hidden="false" customHeight="false" outlineLevel="0" collapsed="false">
      <c r="A381" s="0" t="s">
        <v>1615</v>
      </c>
      <c r="B381" s="0" t="s">
        <v>1223</v>
      </c>
      <c r="E381" s="8" t="n">
        <f aca="false">(1-lag_lo)*E380+lag_lo*D380-inv_k*(E380-D380)</f>
        <v>1.70302850166091</v>
      </c>
      <c r="F381" s="8" t="n">
        <f aca="false">(1-lag_lo)*F380+lag_lo*E380-inv_k*(F380-E380)</f>
        <v>3.34041480458196</v>
      </c>
      <c r="G381" s="8" t="n">
        <f aca="false">(1-lag_lo)*G380+lag_lo*F380-inv_k*(G380-F380)</f>
        <v>4.25913496398982</v>
      </c>
      <c r="H381" s="8" t="n">
        <f aca="false">(1-lag_lo)*H380+lag_lo*G380-inv_k*(H380-G380)</f>
        <v>4.8382927484858</v>
      </c>
      <c r="I381" s="8" t="n">
        <f aca="false">(1-lag_lo)*I380+lag_lo*H380-inv_k*(I380-H380)</f>
        <v>5.35391409423229</v>
      </c>
    </row>
    <row r="382" customFormat="false" ht="17.15" hidden="false" customHeight="false" outlineLevel="0" collapsed="false">
      <c r="A382" s="0" t="s">
        <v>1616</v>
      </c>
      <c r="B382" s="0" t="s">
        <v>1225</v>
      </c>
      <c r="D382" s="8" t="n">
        <f aca="false">gcap_amzn_2024*ai_amzn</f>
        <v>52.80744</v>
      </c>
      <c r="E382" s="8" t="n">
        <f aca="false">gcap_amzn_2025*ai_amzn</f>
        <v>87.2576</v>
      </c>
      <c r="F382" s="8" t="n">
        <f aca="false">gcap_amzn_2026*ai_amzn</f>
        <v>149.6</v>
      </c>
      <c r="G382" s="8" t="n">
        <f aca="false">gcap_amzn_2027*ai_amzn</f>
        <v>172.09445848</v>
      </c>
      <c r="H382" s="8" t="n">
        <f aca="false">gcap_amzn_2028*ai_amzn</f>
        <v>181.54066624</v>
      </c>
      <c r="I382" s="8" t="n">
        <f aca="false">gcap_amzn_2029*ai_amzn</f>
        <v>189.3160052</v>
      </c>
    </row>
    <row r="383" customFormat="false" ht="17.15" hidden="false" customHeight="false" outlineLevel="0" collapsed="false">
      <c r="A383" s="0" t="s">
        <v>1617</v>
      </c>
      <c r="B383" s="0" t="s">
        <v>1221</v>
      </c>
      <c r="D383" s="8" t="n">
        <f aca="false">IF(ISNUMBER(D382),(pit_amzn_2024/(pit_amzn_2024+pfac_amzn_2024)*D382+pfac_amzn_2024/(pit_amzn_2024+pfac_amzn_2024)*IF(AND(ISNUMBER(""),ISNUMBER("")),wb1*""+wb2*"",IF(ISNUMBER(""),"",D382)))/(pit_amzn_2024+pfac_amzn_2024),site_amzn_2024)</f>
        <v>1.56238534864816</v>
      </c>
      <c r="E383" s="8" t="n">
        <f aca="false">IF(ISNUMBER(E382),(pit_amzn_2025/(pit_amzn_2025+pfac_amzn_2025)*E382+pfac_amzn_2025/(pit_amzn_2025+pfac_amzn_2025)*IF(AND(ISNUMBER(D382),ISNUMBER("")),wb1*D382+wb2*"",IF(ISNUMBER(D382),D382,E382)))/(pit_amzn_2025+pfac_amzn_2025),site_amzn_2025)</f>
        <v>2.32934283296825</v>
      </c>
      <c r="F383" s="8" t="n">
        <f aca="false">IF(ISNUMBER(F382),(pit_amzn_2026/(pit_amzn_2026+pfac_amzn_2026)*F382+pfac_amzn_2026/(pit_amzn_2026+pfac_amzn_2026)*IF(AND(ISNUMBER(E382),ISNUMBER(D382)),wb1*E382+wb2*D382,IF(ISNUMBER(E382),E382,F382)))/(pit_amzn_2026+pfac_amzn_2026),site_amzn_2026)</f>
        <v>3.60214892289839</v>
      </c>
      <c r="G383" s="8" t="n">
        <f aca="false">IF(ISNUMBER(G382),(pit_amzn_2027/(pit_amzn_2027+pfac_amzn_2027)*G382+pfac_amzn_2027/(pit_amzn_2027+pfac_amzn_2027)*IF(AND(ISNUMBER(F382),ISNUMBER(E382)),wb1*F382+wb2*E382,IF(ISNUMBER(F382),F382,G382)))/(pit_amzn_2027+pfac_amzn_2027),site_amzn_2027)</f>
        <v>4.24515505663672</v>
      </c>
      <c r="H383" s="8" t="n">
        <f aca="false">IF(ISNUMBER(H382),(pit_amzn_2028/(pit_amzn_2028+pfac_amzn_2028)*H382+pfac_amzn_2028/(pit_amzn_2028+pfac_amzn_2028)*IF(AND(ISNUMBER(G382),ISNUMBER(F382)),wb1*G382+wb2*F382,IF(ISNUMBER(G382),G382,H382)))/(pit_amzn_2028+pfac_amzn_2028),site_amzn_2028)</f>
        <v>4.60085769114469</v>
      </c>
      <c r="I383" s="8" t="n">
        <f aca="false">IF(ISNUMBER(I382),(pit_amzn_2029/(pit_amzn_2029+pfac_amzn_2029)*I382+pfac_amzn_2029/(pit_amzn_2029+pfac_amzn_2029)*IF(AND(ISNUMBER(H382),ISNUMBER(G382)),wb1*H382+wb2*G382,IF(ISNUMBER(H382),H382,I382)))/(pit_amzn_2029+pfac_amzn_2029),site_amzn_2029)</f>
        <v>4.85567033897056</v>
      </c>
    </row>
    <row r="384" customFormat="false" ht="17.15" hidden="false" customHeight="false" outlineLevel="0" collapsed="false">
      <c r="A384" s="0" t="s">
        <v>1618</v>
      </c>
      <c r="B384" s="0" t="s">
        <v>1223</v>
      </c>
      <c r="E384" s="8" t="n">
        <f aca="false">(1-lag_lo)*E383+lag_lo*D383-inv_k*(E383-D383)</f>
        <v>2.06090771345622</v>
      </c>
      <c r="F384" s="8" t="n">
        <f aca="false">(1-lag_lo)*F383+lag_lo*E383-inv_k*(F383-E383)</f>
        <v>3.15666679142284</v>
      </c>
      <c r="G384" s="8" t="n">
        <f aca="false">(1-lag_lo)*G383+lag_lo*F383-inv_k*(G383-F383)</f>
        <v>4.02010290982831</v>
      </c>
      <c r="H384" s="8" t="n">
        <f aca="false">(1-lag_lo)*H383+lag_lo*G383-inv_k*(H383-G383)</f>
        <v>4.4763617690669</v>
      </c>
      <c r="I384" s="8" t="n">
        <f aca="false">(1-lag_lo)*I383+lag_lo*H383-inv_k*(I383-H383)</f>
        <v>4.76648591223151</v>
      </c>
    </row>
    <row r="385" customFormat="false" ht="17.15" hidden="false" customHeight="false" outlineLevel="0" collapsed="false">
      <c r="A385" s="0" t="s">
        <v>1619</v>
      </c>
      <c r="B385" s="0" t="s">
        <v>1229</v>
      </c>
      <c r="D385" s="8" t="n">
        <f aca="false">site_amzn_2024</f>
        <v>0</v>
      </c>
      <c r="E385" s="8" t="n">
        <f aca="false">site_amzn_2025</f>
        <v>1.38971599402093</v>
      </c>
      <c r="F385" s="8" t="n">
        <f aca="false">site_amzn_2026</f>
        <v>0.527</v>
      </c>
      <c r="G385" s="8" t="n">
        <f aca="false">site_amzn_2027</f>
        <v>0.364</v>
      </c>
      <c r="H385" s="8" t="n">
        <f aca="false">site_amzn_2028</f>
        <v>1.744</v>
      </c>
      <c r="I385" s="8" t="n">
        <f aca="false">site_amzn_2029</f>
        <v>0.0620000000000003</v>
      </c>
    </row>
    <row r="386" customFormat="false" ht="17.15" hidden="false" customHeight="false" outlineLevel="0" collapsed="false">
      <c r="A386" s="0" t="s">
        <v>1620</v>
      </c>
      <c r="B386" s="0" t="s">
        <v>1231</v>
      </c>
      <c r="D386" s="8" t="str">
        <f aca="false">IF(ISNUMBER(ai2_meta_2024),ai2_meta_2024,"")</f>
        <v/>
      </c>
      <c r="E386" s="8" t="str">
        <f aca="false">IF(ISNUMBER(ai2_meta_2025),ai2_meta_2025,"")</f>
        <v/>
      </c>
      <c r="F386" s="8" t="n">
        <f aca="false">IF(ISNUMBER(ai2_meta_2026),ai2_meta_2026,"")</f>
        <v>119</v>
      </c>
      <c r="G386" s="8" t="n">
        <f aca="false">IF(ISNUMBER(ai2_meta_2027),ai2_meta_2027,"")</f>
        <v>130.9</v>
      </c>
      <c r="H386" s="8" t="n">
        <f aca="false">IF(ISNUMBER(ai2_meta_2028),ai2_meta_2028,"")</f>
        <v>143.99</v>
      </c>
      <c r="I386" s="8" t="n">
        <f aca="false">IF(ISNUMBER(ai2_meta_2029),ai2_meta_2029,"")</f>
        <v>158.389</v>
      </c>
    </row>
    <row r="387" customFormat="false" ht="17.15" hidden="false" customHeight="false" outlineLevel="0" collapsed="false">
      <c r="A387" s="0" t="s">
        <v>1621</v>
      </c>
      <c r="B387" s="0" t="s">
        <v>1233</v>
      </c>
      <c r="D387" s="8" t="n">
        <f aca="false">IF(ISNUMBER(D386),(pit_meta_2024/(pit_meta_2024+pfac_meta_2024)*D386+pfac_meta_2024/(pit_meta_2024+pfac_meta_2024)*IF(AND(ISNUMBER(""),ISNUMBER("")),wb1*""+wb2*"",IF(ISNUMBER(""),"",D386)))/(pit_meta_2024+pfac_meta_2024),site_meta_2024)</f>
        <v>0</v>
      </c>
      <c r="E387" s="8" t="n">
        <f aca="false">IF(ISNUMBER(E386),(pit_meta_2025/(pit_meta_2025+pfac_meta_2025)*E386+pfac_meta_2025/(pit_meta_2025+pfac_meta_2025)*IF(AND(ISNUMBER(D386),ISNUMBER("")),wb1*D386+wb2*"",IF(ISNUMBER(D386),D386,E386)))/(pit_meta_2025+pfac_meta_2025),site_meta_2025)</f>
        <v>1.50812</v>
      </c>
      <c r="F387" s="8" t="n">
        <f aca="false">IF(ISNUMBER(F386),(pit_meta_2026/(pit_meta_2026+pfac_meta_2026)*F386+pfac_meta_2026/(pit_meta_2026+pfac_meta_2026)*IF(AND(ISNUMBER(E386),ISNUMBER(D386)),wb1*E386+wb2*D386,IF(ISNUMBER(E386),E386,F386)))/(pit_meta_2026+pfac_meta_2026),site_meta_2026)</f>
        <v>2.62796503624796</v>
      </c>
      <c r="G387" s="8" t="n">
        <f aca="false">IF(ISNUMBER(G386),(pit_meta_2027/(pit_meta_2027+pfac_meta_2027)*G386+pfac_meta_2027/(pit_meta_2027+pfac_meta_2027)*IF(AND(ISNUMBER(F386),ISNUMBER(E386)),wb1*F386+wb2*E386,IF(ISNUMBER(F386),F386,G386)))/(pit_meta_2027+pfac_meta_2027),site_meta_2027)</f>
        <v>2.62451187863681</v>
      </c>
      <c r="H387" s="8" t="n">
        <f aca="false">IF(ISNUMBER(H386),(pit_meta_2028/(pit_meta_2028+pfac_meta_2028)*H386+pfac_meta_2028/(pit_meta_2028+pfac_meta_2028)*IF(AND(ISNUMBER(G386),ISNUMBER(F386)),wb1*G386+wb2*F386,IF(ISNUMBER(G386),G386,H386)))/(pit_meta_2028+pfac_meta_2028),site_meta_2028)</f>
        <v>2.73641202658015</v>
      </c>
      <c r="I387" s="8" t="n">
        <f aca="false">IF(ISNUMBER(I386),(pit_meta_2029/(pit_meta_2029+pfac_meta_2029)*I386+pfac_meta_2029/(pit_meta_2029+pfac_meta_2029)*IF(AND(ISNUMBER(H386),ISNUMBER(G386)),wb1*H386+wb2*G386,IF(ISNUMBER(H386),H386,I386)))/(pit_meta_2029+pfac_meta_2029),site_meta_2029)</f>
        <v>3.01174825182942</v>
      </c>
    </row>
    <row r="388" customFormat="false" ht="17.15" hidden="false" customHeight="false" outlineLevel="0" collapsed="false">
      <c r="A388" s="0" t="s">
        <v>1622</v>
      </c>
      <c r="B388" s="0" t="s">
        <v>1235</v>
      </c>
      <c r="E388" s="8" t="n">
        <f aca="false">(1-lag_lo)*E387+lag_lo*D387-inv_k*(E387-D387)</f>
        <v>0.980278</v>
      </c>
      <c r="F388" s="8" t="n">
        <f aca="false">(1-lag_lo)*F387+lag_lo*E387-inv_k*(F387-E387)</f>
        <v>2.23601927356118</v>
      </c>
      <c r="G388" s="8" t="n">
        <f aca="false">(1-lag_lo)*G387+lag_lo*F387-inv_k*(G387-F387)</f>
        <v>2.62572048380071</v>
      </c>
      <c r="H388" s="8" t="n">
        <f aca="false">(1-lag_lo)*H387+lag_lo*G387-inv_k*(H387-G387)</f>
        <v>2.69724697479998</v>
      </c>
      <c r="I388" s="8" t="n">
        <f aca="false">(1-lag_lo)*I387+lag_lo*H387-inv_k*(I387-H387)</f>
        <v>2.91538057299218</v>
      </c>
    </row>
    <row r="389" customFormat="false" ht="17.15" hidden="false" customHeight="false" outlineLevel="0" collapsed="false">
      <c r="A389" s="0" t="s">
        <v>1623</v>
      </c>
      <c r="B389" s="0" t="s">
        <v>1237</v>
      </c>
      <c r="D389" s="8" t="n">
        <f aca="false">gcap_meta_2024*ai_sh</f>
        <v>33.34125</v>
      </c>
      <c r="E389" s="8" t="n">
        <f aca="false">gcap_meta_2025*ai_sh</f>
        <v>61.38275</v>
      </c>
      <c r="F389" s="8" t="n">
        <f aca="false">gcap_meta_2026*ai_sh</f>
        <v>119</v>
      </c>
      <c r="G389" s="8" t="n">
        <f aca="false">gcap_meta_2027*ai_sh</f>
        <v>174.8499963</v>
      </c>
      <c r="H389" s="8" t="n">
        <f aca="false">gcap_meta_2028*ai_sh</f>
        <v>186.39077355</v>
      </c>
      <c r="I389" s="8" t="n">
        <f aca="false">gcap_meta_2029*ai_sh</f>
        <v>165.57988355</v>
      </c>
    </row>
    <row r="390" customFormat="false" ht="17.15" hidden="false" customHeight="false" outlineLevel="0" collapsed="false">
      <c r="A390" s="0" t="s">
        <v>1624</v>
      </c>
      <c r="B390" s="0" t="s">
        <v>1233</v>
      </c>
      <c r="D390" s="8" t="n">
        <f aca="false">IF(ISNUMBER(D389),(pit_meta_2024/(pit_meta_2024+pfac_meta_2024)*D389+pfac_meta_2024/(pit_meta_2024+pfac_meta_2024)*IF(AND(ISNUMBER(""),ISNUMBER("")),wb1*""+wb2*"",IF(ISNUMBER(""),"",D389)))/(pit_meta_2024+pfac_meta_2024),site_meta_2024)</f>
        <v>0.817493736320288</v>
      </c>
      <c r="E390" s="8" t="n">
        <f aca="false">IF(ISNUMBER(E389),(pit_meta_2025/(pit_meta_2025+pfac_meta_2025)*E389+pfac_meta_2025/(pit_meta_2025+pfac_meta_2025)*IF(AND(ISNUMBER(D389),ISNUMBER("")),wb1*D389+wb2*"",IF(ISNUMBER(D389),D389,E389)))/(pit_meta_2025+pfac_meta_2025),site_meta_2025)</f>
        <v>1.33044623899154</v>
      </c>
      <c r="F390" s="8" t="n">
        <f aca="false">IF(ISNUMBER(F389),(pit_meta_2026/(pit_meta_2026+pfac_meta_2026)*F389+pfac_meta_2026/(pit_meta_2026+pfac_meta_2026)*IF(AND(ISNUMBER(E389),ISNUMBER(D389)),wb1*E389+wb2*D389,IF(ISNUMBER(E389),E389,F389)))/(pit_meta_2026+pfac_meta_2026),site_meta_2026)</f>
        <v>2.20112683043242</v>
      </c>
      <c r="G390" s="8" t="n">
        <f aca="false">IF(ISNUMBER(G389),(pit_meta_2027/(pit_meta_2027+pfac_meta_2027)*G389+pfac_meta_2027/(pit_meta_2027+pfac_meta_2027)*IF(AND(ISNUMBER(F389),ISNUMBER(E389)),wb1*F389+wb2*E389,IF(ISNUMBER(F389),F389,G389)))/(pit_meta_2027+pfac_meta_2027),site_meta_2027)</f>
        <v>3.15406141077207</v>
      </c>
      <c r="H390" s="8" t="n">
        <f aca="false">IF(ISNUMBER(H389),(pit_meta_2028/(pit_meta_2028+pfac_meta_2028)*H389+pfac_meta_2028/(pit_meta_2028+pfac_meta_2028)*IF(AND(ISNUMBER(G389),ISNUMBER(F389)),wb1*G389+wb2*F389,IF(ISNUMBER(G389),G389,H389)))/(pit_meta_2028+pfac_meta_2028),site_meta_2028)</f>
        <v>3.47282806845288</v>
      </c>
      <c r="I390" s="8" t="n">
        <f aca="false">IF(ISNUMBER(I389),(pit_meta_2029/(pit_meta_2029+pfac_meta_2029)*I389+pfac_meta_2029/(pit_meta_2029+pfac_meta_2029)*IF(AND(ISNUMBER(H389),ISNUMBER(G389)),wb1*H389+wb2*G389,IF(ISNUMBER(H389),H389,I389)))/(pit_meta_2029+pfac_meta_2029),site_meta_2029)</f>
        <v>3.32152343881153</v>
      </c>
    </row>
    <row r="391" customFormat="false" ht="17.15" hidden="false" customHeight="false" outlineLevel="0" collapsed="false">
      <c r="A391" s="0" t="s">
        <v>1625</v>
      </c>
      <c r="B391" s="0" t="s">
        <v>1235</v>
      </c>
      <c r="E391" s="8" t="n">
        <f aca="false">(1-lag_lo)*E390+lag_lo*D390-inv_k*(E390-D390)</f>
        <v>1.1509128630566</v>
      </c>
      <c r="F391" s="8" t="n">
        <f aca="false">(1-lag_lo)*F390+lag_lo*E390-inv_k*(F390-E390)</f>
        <v>1.89638862342811</v>
      </c>
      <c r="G391" s="8" t="n">
        <f aca="false">(1-lag_lo)*G390+lag_lo*F390-inv_k*(G390-F390)</f>
        <v>2.82053430765319</v>
      </c>
      <c r="H391" s="8" t="n">
        <f aca="false">(1-lag_lo)*H390+lag_lo*G390-inv_k*(H390-G390)</f>
        <v>3.3612597382646</v>
      </c>
      <c r="I391" s="8" t="n">
        <f aca="false">(1-lag_lo)*I390+lag_lo*H390-inv_k*(I390-H390)</f>
        <v>3.374480059186</v>
      </c>
    </row>
    <row r="392" customFormat="false" ht="17.15" hidden="false" customHeight="false" outlineLevel="0" collapsed="false">
      <c r="A392" s="0" t="s">
        <v>1626</v>
      </c>
      <c r="B392" s="0" t="s">
        <v>1241</v>
      </c>
      <c r="D392" s="8" t="n">
        <f aca="false">site_meta_2024</f>
        <v>0</v>
      </c>
      <c r="E392" s="8" t="n">
        <f aca="false">site_meta_2025</f>
        <v>1.50812</v>
      </c>
      <c r="F392" s="8" t="n">
        <f aca="false">site_meta_2026</f>
        <v>0.676</v>
      </c>
      <c r="G392" s="8" t="n">
        <f aca="false">site_meta_2027</f>
        <v>0.615</v>
      </c>
      <c r="H392" s="8" t="n">
        <f aca="false">site_meta_2028</f>
        <v>2.99433333333333</v>
      </c>
      <c r="I392" s="8" t="n">
        <f aca="false">site_meta_2029</f>
        <v>0.968</v>
      </c>
    </row>
    <row r="393" customFormat="false" ht="17.15" hidden="false" customHeight="false" outlineLevel="0" collapsed="false">
      <c r="A393" s="0" t="s">
        <v>1627</v>
      </c>
      <c r="B393" s="0" t="s">
        <v>1243</v>
      </c>
      <c r="D393" s="8" t="str">
        <f aca="false">IF(ISNUMBER(ai2_orcl_2024),ai2_orcl_2024,"")</f>
        <v/>
      </c>
      <c r="E393" s="8" t="n">
        <f aca="false">IF(ISNUMBER(ai2_orcl_2025),ai2_orcl_2025,"")</f>
        <v>35.1132166666667</v>
      </c>
      <c r="F393" s="8" t="n">
        <f aca="false">IF(ISNUMBER(ai2_orcl_2026),ai2_orcl_2026,"")</f>
        <v>65.5785625</v>
      </c>
      <c r="G393" s="8" t="n">
        <f aca="false">IF(ISNUMBER(ai2_orcl_2027),ai2_orcl_2027,"")</f>
        <v>82.8207416666667</v>
      </c>
      <c r="H393" s="8" t="n">
        <f aca="false">IF(ISNUMBER(ai2_orcl_2028),ai2_orcl_2028,"")</f>
        <v>77.8278416666667</v>
      </c>
      <c r="I393" s="8" t="n">
        <f aca="false">IF(ISNUMBER(ai2_orcl_2029),ai2_orcl_2029,"")</f>
        <v>76.3278466666667</v>
      </c>
    </row>
    <row r="394" customFormat="false" ht="17.15" hidden="false" customHeight="false" outlineLevel="0" collapsed="false">
      <c r="A394" s="0" t="s">
        <v>1628</v>
      </c>
      <c r="B394" s="0" t="s">
        <v>1245</v>
      </c>
      <c r="D394" s="8" t="n">
        <f aca="false">IF(ISNUMBER(D393),(pit_orcl_2024/(pit_orcl_2024+pfac_orcl_2024)*D393+pfac_orcl_2024/(pit_orcl_2024+pfac_orcl_2024)*IF(AND(ISNUMBER(""),ISNUMBER("")),wb1*""+wb2*"",IF(ISNUMBER(""),"",D393)))/(pit_orcl_2024+pfac_orcl_2024),site_orcl_2024)</f>
        <v>0</v>
      </c>
      <c r="E394" s="8" t="n">
        <f aca="false">IF(ISNUMBER(E393),(pit_orcl_2025/(pit_orcl_2025+pfac_orcl_2025)*E393+pfac_orcl_2025/(pit_orcl_2025+pfac_orcl_2025)*IF(AND(ISNUMBER(D393),ISNUMBER("")),wb1*D393+wb2*"",IF(ISNUMBER(D393),D393,E393)))/(pit_orcl_2025+pfac_orcl_2025),site_orcl_2025)</f>
        <v>0.885776418247533</v>
      </c>
      <c r="F394" s="8" t="n">
        <f aca="false">IF(ISNUMBER(F393),(pit_orcl_2026/(pit_orcl_2026+pfac_orcl_2026)*F393+pfac_orcl_2026/(pit_orcl_2026+pfac_orcl_2026)*IF(AND(ISNUMBER(E393),ISNUMBER(D393)),wb1*E393+wb2*D393,IF(ISNUMBER(E393),E393,F393)))/(pit_orcl_2026+pfac_orcl_2026),site_orcl_2026)</f>
        <v>1.26669929939621</v>
      </c>
      <c r="G394" s="8" t="n">
        <f aca="false">IF(ISNUMBER(G393),(pit_orcl_2027/(pit_orcl_2027+pfac_orcl_2027)*G393+pfac_orcl_2027/(pit_orcl_2027+pfac_orcl_2027)*IF(AND(ISNUMBER(F393),ISNUMBER(E393)),wb1*F393+wb2*E393,IF(ISNUMBER(F393),F393,G393)))/(pit_orcl_2027+pfac_orcl_2027),site_orcl_2027)</f>
        <v>1.53296918960021</v>
      </c>
      <c r="H394" s="8" t="n">
        <f aca="false">IF(ISNUMBER(H393),(pit_orcl_2028/(pit_orcl_2028+pfac_orcl_2028)*H393+pfac_orcl_2028/(pit_orcl_2028+pfac_orcl_2028)*IF(AND(ISNUMBER(G393),ISNUMBER(F393)),wb1*G393+wb2*F393,IF(ISNUMBER(G393),G393,H393)))/(pit_orcl_2028+pfac_orcl_2028),site_orcl_2028)</f>
        <v>1.51024789659781</v>
      </c>
      <c r="I394" s="8" t="n">
        <f aca="false">IF(ISNUMBER(I393),(pit_orcl_2029/(pit_orcl_2029+pfac_orcl_2029)*I393+pfac_orcl_2029/(pit_orcl_2029+pfac_orcl_2029)*IF(AND(ISNUMBER(H393),ISNUMBER(G393)),wb1*H393+wb2*G393,IF(ISNUMBER(H393),H393,I393)))/(pit_orcl_2029+pfac_orcl_2029),site_orcl_2029)</f>
        <v>1.51737350859667</v>
      </c>
    </row>
    <row r="395" customFormat="false" ht="17.15" hidden="false" customHeight="false" outlineLevel="0" collapsed="false">
      <c r="A395" s="0" t="s">
        <v>1629</v>
      </c>
      <c r="B395" s="0" t="s">
        <v>1247</v>
      </c>
      <c r="E395" s="8" t="n">
        <f aca="false">(1-lag_lo)*E394+lag_lo*D394-inv_k*(E394-D394)</f>
        <v>0.575754671860897</v>
      </c>
      <c r="F395" s="8" t="n">
        <f aca="false">(1-lag_lo)*F394+lag_lo*E394-inv_k*(F394-E394)</f>
        <v>1.13337629099417</v>
      </c>
      <c r="G395" s="8" t="n">
        <f aca="false">(1-lag_lo)*G394+lag_lo*F394-inv_k*(G394-F394)</f>
        <v>1.43977472802881</v>
      </c>
      <c r="H395" s="8" t="n">
        <f aca="false">(1-lag_lo)*H394+lag_lo*G394-inv_k*(H394-G394)</f>
        <v>1.51820034914865</v>
      </c>
      <c r="I395" s="8" t="n">
        <f aca="false">(1-lag_lo)*I394+lag_lo*H394-inv_k*(I394-H394)</f>
        <v>1.51487954439707</v>
      </c>
    </row>
    <row r="396" customFormat="false" ht="17.15" hidden="false" customHeight="false" outlineLevel="0" collapsed="false">
      <c r="A396" s="0" t="s">
        <v>1630</v>
      </c>
      <c r="B396" s="0" t="s">
        <v>1249</v>
      </c>
      <c r="D396" s="8" t="str">
        <f aca="false">""</f>
        <v/>
      </c>
      <c r="E396" s="8" t="n">
        <f aca="false">(5/12*cap2_orcl_2025+7/12*gcap_orcl_2026)*ai_sh</f>
        <v>35.1132166666667</v>
      </c>
      <c r="F396" s="8" t="n">
        <f aca="false">(5/12*gcap_orcl_2026+7/12*gcap_orcl_2027)*ai_sh</f>
        <v>65.5785625</v>
      </c>
      <c r="G396" s="8" t="n">
        <f aca="false">(5/12*gcap_orcl_2027+7/12*gcap_orcl_2028)*ai_sh</f>
        <v>75.599189975</v>
      </c>
      <c r="H396" s="8" t="n">
        <f aca="false">(5/12*gcap_orcl_2028+7/12*gcap_orcl_2029)*ai_sh</f>
        <v>49.4435487791667</v>
      </c>
      <c r="I396" s="8" t="n">
        <f aca="false">(5/12*gcap_orcl_2029+7/12*gcap_orcl_2030)*ai_sh</f>
        <v>23.382754125</v>
      </c>
    </row>
    <row r="397" customFormat="false" ht="17.15" hidden="false" customHeight="false" outlineLevel="0" collapsed="false">
      <c r="A397" s="0" t="s">
        <v>1631</v>
      </c>
      <c r="B397" s="0" t="s">
        <v>1245</v>
      </c>
      <c r="D397" s="8" t="n">
        <f aca="false">IF(ISNUMBER(D396),(pit_orcl_2024/(pit_orcl_2024+pfac_orcl_2024)*D396+pfac_orcl_2024/(pit_orcl_2024+pfac_orcl_2024)*IF(AND(ISNUMBER(""),ISNUMBER("")),wb1*""+wb2*"",IF(ISNUMBER(""),"",D396)))/(pit_orcl_2024+pfac_orcl_2024),site_orcl_2024)</f>
        <v>0</v>
      </c>
      <c r="E397" s="8" t="n">
        <f aca="false">IF(ISNUMBER(E396),(pit_orcl_2025/(pit_orcl_2025+pfac_orcl_2025)*E396+pfac_orcl_2025/(pit_orcl_2025+pfac_orcl_2025)*IF(AND(ISNUMBER(D396),ISNUMBER("")),wb1*D396+wb2*"",IF(ISNUMBER(D396),D396,E396)))/(pit_orcl_2025+pfac_orcl_2025),site_orcl_2025)</f>
        <v>0.885776418247532</v>
      </c>
      <c r="F397" s="8" t="n">
        <f aca="false">IF(ISNUMBER(F396),(pit_orcl_2026/(pit_orcl_2026+pfac_orcl_2026)*F396+pfac_orcl_2026/(pit_orcl_2026+pfac_orcl_2026)*IF(AND(ISNUMBER(E396),ISNUMBER(D396)),wb1*E396+wb2*D396,IF(ISNUMBER(E396),E396,F396)))/(pit_orcl_2026+pfac_orcl_2026),site_orcl_2026)</f>
        <v>1.26669929939621</v>
      </c>
      <c r="G397" s="8" t="n">
        <f aca="false">IF(ISNUMBER(G396),(pit_orcl_2027/(pit_orcl_2027+pfac_orcl_2027)*G396+pfac_orcl_2027/(pit_orcl_2027+pfac_orcl_2027)*IF(AND(ISNUMBER(F396),ISNUMBER(E396)),wb1*F396+wb2*E396,IF(ISNUMBER(F396),F396,G396)))/(pit_orcl_2027+pfac_orcl_2027),site_orcl_2027)</f>
        <v>1.42175083118347</v>
      </c>
      <c r="H397" s="8" t="n">
        <f aca="false">IF(ISNUMBER(H396),(pit_orcl_2028/(pit_orcl_2028+pfac_orcl_2028)*H396+pfac_orcl_2028/(pit_orcl_2028+pfac_orcl_2028)*IF(AND(ISNUMBER(G396),ISNUMBER(F396)),wb1*G396+wb2*F396,IF(ISNUMBER(G396),G396,H396)))/(pit_orcl_2028+pfac_orcl_2028),site_orcl_2028)</f>
        <v>1.06923453221276</v>
      </c>
      <c r="I397" s="8" t="n">
        <f aca="false">IF(ISNUMBER(I396),(pit_orcl_2029/(pit_orcl_2029+pfac_orcl_2029)*I396+pfac_orcl_2029/(pit_orcl_2029+pfac_orcl_2029)*IF(AND(ISNUMBER(H396),ISNUMBER(G396)),wb1*H396+wb2*G396,IF(ISNUMBER(H396),H396,I396)))/(pit_orcl_2029+pfac_orcl_2029),site_orcl_2029)</f>
        <v>0.642469547070952</v>
      </c>
    </row>
    <row r="398" customFormat="false" ht="17.15" hidden="false" customHeight="false" outlineLevel="0" collapsed="false">
      <c r="A398" s="0" t="s">
        <v>1632</v>
      </c>
      <c r="B398" s="0" t="s">
        <v>1247</v>
      </c>
      <c r="E398" s="8" t="n">
        <f aca="false">(1-lag_lo)*E397+lag_lo*D397-inv_k*(E397-D397)</f>
        <v>0.575754671860896</v>
      </c>
      <c r="F398" s="8" t="n">
        <f aca="false">(1-lag_lo)*F397+lag_lo*E397-inv_k*(F397-E397)</f>
        <v>1.13337629099417</v>
      </c>
      <c r="G398" s="8" t="n">
        <f aca="false">(1-lag_lo)*G397+lag_lo*F397-inv_k*(G397-F397)</f>
        <v>1.36748279505793</v>
      </c>
      <c r="H398" s="8" t="n">
        <f aca="false">(1-lag_lo)*H397+lag_lo*G397-inv_k*(H397-G397)</f>
        <v>1.19261523685251</v>
      </c>
      <c r="I398" s="8" t="n">
        <f aca="false">(1-lag_lo)*I397+lag_lo*H397-inv_k*(I397-H397)</f>
        <v>0.791837291870583</v>
      </c>
    </row>
    <row r="399" customFormat="false" ht="17.15" hidden="false" customHeight="false" outlineLevel="0" collapsed="false">
      <c r="A399" s="0" t="s">
        <v>1633</v>
      </c>
      <c r="B399" s="0" t="s">
        <v>1253</v>
      </c>
      <c r="D399" s="8" t="n">
        <f aca="false">site_orcl_2024</f>
        <v>0</v>
      </c>
      <c r="E399" s="8" t="n">
        <f aca="false">site_orcl_2025</f>
        <v>0.816405</v>
      </c>
      <c r="F399" s="8" t="n">
        <f aca="false">site_orcl_2026</f>
        <v>1.54613</v>
      </c>
      <c r="G399" s="8" t="n">
        <f aca="false">site_orcl_2027</f>
        <v>0.944166666666667</v>
      </c>
      <c r="H399" s="8" t="n">
        <f aca="false">site_orcl_2028</f>
        <v>4.91166666666667</v>
      </c>
      <c r="I399" s="8" t="n">
        <f aca="false">site_orcl_2029</f>
        <v>0</v>
      </c>
    </row>
    <row r="400" customFormat="false" ht="17.15" hidden="false" customHeight="false" outlineLevel="0" collapsed="false">
      <c r="A400" s="0" t="s">
        <v>1634</v>
      </c>
      <c r="B400" s="0" t="s">
        <v>1255</v>
      </c>
      <c r="D400" s="8" t="str">
        <f aca="false">IF(ISNUMBER(ai2_crwv_2024),ai2_crwv_2024,"")</f>
        <v/>
      </c>
      <c r="E400" s="8" t="str">
        <f aca="false">IF(ISNUMBER(ai2_crwv_2025),ai2_crwv_2025,"")</f>
        <v/>
      </c>
      <c r="F400" s="8" t="n">
        <f aca="false">IF(ISNUMBER(ai2_crwv_2026),ai2_crwv_2026,"")</f>
        <v>31.45</v>
      </c>
      <c r="G400" s="8" t="n">
        <f aca="false">IF(ISNUMBER(ai2_crwv_2027),ai2_crwv_2027,"")</f>
        <v>39.5046</v>
      </c>
      <c r="H400" s="8" t="n">
        <f aca="false">IF(ISNUMBER(ai2_crwv_2028),ai2_crwv_2028,"")</f>
        <v>42.60965</v>
      </c>
      <c r="I400" s="8" t="n">
        <f aca="false">IF(ISNUMBER(ai2_crwv_2029),ai2_crwv_2029,"")</f>
        <v>46.870615</v>
      </c>
    </row>
    <row r="401" customFormat="false" ht="17.15" hidden="false" customHeight="false" outlineLevel="0" collapsed="false">
      <c r="A401" s="0" t="s">
        <v>1635</v>
      </c>
      <c r="B401" s="0" t="s">
        <v>1257</v>
      </c>
      <c r="D401" s="8" t="n">
        <f aca="false">IF(ISNUMBER(D400),(pit_crwv_2024/(pit_crwv_2024+pfac_crwv_2024)*D400+pfac_crwv_2024/(pit_crwv_2024+pfac_crwv_2024)*IF(AND(ISNUMBER(""),ISNUMBER("")),wb1*""+wb2*"",IF(ISNUMBER(""),"",D400)))/(pit_crwv_2024+pfac_crwv_2024),site_crwv_2024)</f>
        <v>0.29</v>
      </c>
      <c r="E401" s="8" t="n">
        <f aca="false">IF(ISNUMBER(E400),(pit_crwv_2025/(pit_crwv_2025+pfac_crwv_2025)*E400+pfac_crwv_2025/(pit_crwv_2025+pfac_crwv_2025)*IF(AND(ISNUMBER(D400),ISNUMBER("")),wb1*D400+wb2*"",IF(ISNUMBER(D400),D400,E400)))/(pit_crwv_2025+pfac_crwv_2025),site_crwv_2025)</f>
        <v>0.49</v>
      </c>
      <c r="F401" s="8" t="n">
        <f aca="false">IF(ISNUMBER(F400),(pit_crwv_2026/(pit_crwv_2026+pfac_crwv_2026)*F400+pfac_crwv_2026/(pit_crwv_2026+pfac_crwv_2026)*IF(AND(ISNUMBER(E400),ISNUMBER(D400)),wb1*E400+wb2*D400,IF(ISNUMBER(E400),E400,F400)))/(pit_crwv_2026+pfac_crwv_2026),site_crwv_2026)</f>
        <v>0.6824489639016</v>
      </c>
      <c r="G401" s="8" t="n">
        <f aca="false">IF(ISNUMBER(G400),(pit_crwv_2027/(pit_crwv_2027+pfac_crwv_2027)*G400+pfac_crwv_2027/(pit_crwv_2027+pfac_crwv_2027)*IF(AND(ISNUMBER(F400),ISNUMBER(E400)),wb1*F400+wb2*E400,IF(ISNUMBER(F400),F400,G400)))/(pit_crwv_2027+pfac_crwv_2027),site_crwv_2027)</f>
        <v>0.735222622408663</v>
      </c>
      <c r="H401" s="8" t="n">
        <f aca="false">IF(ISNUMBER(H400),(pit_crwv_2028/(pit_crwv_2028+pfac_crwv_2028)*H400+pfac_crwv_2028/(pit_crwv_2028+pfac_crwv_2028)*IF(AND(ISNUMBER(G400),ISNUMBER(F400)),wb1*G400+wb2*F400,IF(ISNUMBER(G400),G400,H400)))/(pit_crwv_2028+pfac_crwv_2028),site_crwv_2028)</f>
        <v>0.758042293208188</v>
      </c>
      <c r="I401" s="8" t="n">
        <f aca="false">IF(ISNUMBER(I400),(pit_crwv_2029/(pit_crwv_2029+pfac_crwv_2029)*I400+pfac_crwv_2029/(pit_crwv_2029+pfac_crwv_2029)*IF(AND(ISNUMBER(H400),ISNUMBER(G400)),wb1*H400+wb2*G400,IF(ISNUMBER(H400),H400,I400)))/(pit_crwv_2029+pfac_crwv_2029),site_crwv_2029)</f>
        <v>0.842675104355277</v>
      </c>
    </row>
    <row r="402" customFormat="false" ht="17.15" hidden="false" customHeight="false" outlineLevel="0" collapsed="false">
      <c r="A402" s="0" t="s">
        <v>1636</v>
      </c>
      <c r="B402" s="0" t="s">
        <v>1259</v>
      </c>
      <c r="E402" s="8" t="n">
        <f aca="false">(1-lag_lo)*E401+lag_lo*D401-inv_k*(E401-D401)</f>
        <v>0.42</v>
      </c>
      <c r="F402" s="8" t="n">
        <f aca="false">(1-lag_lo)*F401+lag_lo*E401-inv_k*(F401-E401)</f>
        <v>0.61509182653604</v>
      </c>
      <c r="G402" s="8" t="n">
        <f aca="false">(1-lag_lo)*G401+lag_lo*F401-inv_k*(G401-F401)</f>
        <v>0.716751841931191</v>
      </c>
      <c r="H402" s="8" t="n">
        <f aca="false">(1-lag_lo)*H401+lag_lo*G401-inv_k*(H401-G401)</f>
        <v>0.750055408428354</v>
      </c>
      <c r="I402" s="8" t="n">
        <f aca="false">(1-lag_lo)*I401+lag_lo*H401-inv_k*(I401-H401)</f>
        <v>0.813053620453796</v>
      </c>
    </row>
    <row r="403" customFormat="false" ht="17.15" hidden="false" customHeight="false" outlineLevel="0" collapsed="false">
      <c r="A403" s="0" t="s">
        <v>1637</v>
      </c>
      <c r="B403" s="0" t="s">
        <v>1261</v>
      </c>
      <c r="D403" s="8" t="str">
        <f aca="false">""</f>
        <v/>
      </c>
      <c r="E403" s="8" t="str">
        <f aca="false">""</f>
        <v/>
      </c>
      <c r="F403" s="8" t="n">
        <f aca="false">gcap_crwv_2026*ai_sh</f>
        <v>28.0313</v>
      </c>
      <c r="G403" s="8" t="n">
        <f aca="false">gcap_crwv_2027*ai_sh</f>
        <v>33.45858485</v>
      </c>
      <c r="H403" s="8" t="n">
        <f aca="false">gcap_crwv_2028*ai_sh</f>
        <v>27.6353649</v>
      </c>
      <c r="I403" s="8" t="n">
        <f aca="false">gcap_crwv_2029*ai_sh</f>
        <v>27.7951071</v>
      </c>
    </row>
    <row r="404" customFormat="false" ht="17.15" hidden="false" customHeight="false" outlineLevel="0" collapsed="false">
      <c r="A404" s="0" t="s">
        <v>1638</v>
      </c>
      <c r="B404" s="0" t="s">
        <v>1257</v>
      </c>
      <c r="D404" s="8" t="n">
        <f aca="false">IF(ISNUMBER(D403),(pit_crwv_2024/(pit_crwv_2024+pfac_crwv_2024)*D403+pfac_crwv_2024/(pit_crwv_2024+pfac_crwv_2024)*IF(AND(ISNUMBER(""),ISNUMBER("")),wb1*""+wb2*"",IF(ISNUMBER(""),"",D403)))/(pit_crwv_2024+pfac_crwv_2024),site_crwv_2024)</f>
        <v>0.29</v>
      </c>
      <c r="E404" s="8" t="n">
        <f aca="false">IF(ISNUMBER(E403),(pit_crwv_2025/(pit_crwv_2025+pfac_crwv_2025)*E403+pfac_crwv_2025/(pit_crwv_2025+pfac_crwv_2025)*IF(AND(ISNUMBER(D403),ISNUMBER("")),wb1*D403+wb2*"",IF(ISNUMBER(D403),D403,E403)))/(pit_crwv_2025+pfac_crwv_2025),site_crwv_2025)</f>
        <v>0.49</v>
      </c>
      <c r="F404" s="8" t="n">
        <f aca="false">IF(ISNUMBER(F403),(pit_crwv_2026/(pit_crwv_2026+pfac_crwv_2026)*F403+pfac_crwv_2026/(pit_crwv_2026+pfac_crwv_2026)*IF(AND(ISNUMBER(E403),ISNUMBER(D403)),wb1*E403+wb2*D403,IF(ISNUMBER(E403),E403,F403)))/(pit_crwv_2026+pfac_crwv_2026),site_crwv_2026)</f>
        <v>0.608264917068837</v>
      </c>
      <c r="G404" s="8" t="n">
        <f aca="false">IF(ISNUMBER(G403),(pit_crwv_2027/(pit_crwv_2027+pfac_crwv_2027)*G403+pfac_crwv_2027/(pit_crwv_2027+pfac_crwv_2027)*IF(AND(ISNUMBER(F403),ISNUMBER(E403)),wb1*F403+wb2*E403,IF(ISNUMBER(F403),F403,G403)))/(pit_crwv_2027+pfac_crwv_2027),site_crwv_2027)</f>
        <v>0.629490424531811</v>
      </c>
      <c r="H404" s="8" t="n">
        <f aca="false">IF(ISNUMBER(H403),(pit_crwv_2028/(pit_crwv_2028+pfac_crwv_2028)*H403+pfac_crwv_2028/(pit_crwv_2028+pfac_crwv_2028)*IF(AND(ISNUMBER(G403),ISNUMBER(F403)),wb1*G403+wb2*F403,IF(ISNUMBER(G403),G403,H403)))/(pit_crwv_2028+pfac_crwv_2028),site_crwv_2028)</f>
        <v>0.525250960902376</v>
      </c>
      <c r="I404" s="8" t="n">
        <f aca="false">IF(ISNUMBER(I403),(pit_crwv_2029/(pit_crwv_2029+pfac_crwv_2029)*I403+pfac_crwv_2029/(pit_crwv_2029+pfac_crwv_2029)*IF(AND(ISNUMBER(H403),ISNUMBER(G403)),wb1*H403+wb2*G403,IF(ISNUMBER(H403),H403,I403)))/(pit_crwv_2029+pfac_crwv_2029),site_crwv_2029)</f>
        <v>0.526654910671929</v>
      </c>
    </row>
    <row r="405" customFormat="false" ht="17.15" hidden="false" customHeight="false" outlineLevel="0" collapsed="false">
      <c r="A405" s="0" t="s">
        <v>1639</v>
      </c>
      <c r="B405" s="0" t="s">
        <v>1259</v>
      </c>
      <c r="E405" s="8" t="n">
        <f aca="false">(1-lag_lo)*E404+lag_lo*D404-inv_k*(E404-D404)</f>
        <v>0.42</v>
      </c>
      <c r="F405" s="8" t="n">
        <f aca="false">(1-lag_lo)*F404+lag_lo*E404-inv_k*(F404-E404)</f>
        <v>0.566872196094744</v>
      </c>
      <c r="G405" s="8" t="n">
        <f aca="false">(1-lag_lo)*G404+lag_lo*F404-inv_k*(G404-F404)</f>
        <v>0.62206149691977</v>
      </c>
      <c r="H405" s="8" t="n">
        <f aca="false">(1-lag_lo)*H404+lag_lo*G404-inv_k*(H404-G404)</f>
        <v>0.561734773172678</v>
      </c>
      <c r="I405" s="8" t="n">
        <f aca="false">(1-lag_lo)*I404+lag_lo*H404-inv_k*(I404-H404)</f>
        <v>0.526163528252585</v>
      </c>
    </row>
    <row r="406" customFormat="false" ht="17.15" hidden="false" customHeight="false" outlineLevel="0" collapsed="false">
      <c r="A406" s="0" t="s">
        <v>1640</v>
      </c>
      <c r="B406" s="0" t="s">
        <v>1265</v>
      </c>
      <c r="D406" s="8" t="n">
        <f aca="false">site_crwv_2024</f>
        <v>0.29</v>
      </c>
      <c r="E406" s="8" t="n">
        <f aca="false">site_crwv_2025</f>
        <v>0.49</v>
      </c>
      <c r="F406" s="8" t="n">
        <f aca="false">site_crwv_2026</f>
        <v>1</v>
      </c>
      <c r="G406" s="8" t="n">
        <f aca="false">site_crwv_2027</f>
        <v>1.5375</v>
      </c>
      <c r="H406" s="8" t="n">
        <f aca="false">site_crwv_2028</f>
        <v>1.5375</v>
      </c>
      <c r="I406" s="8" t="n">
        <f aca="false">site_crwv_2029</f>
        <v>1.5375</v>
      </c>
    </row>
    <row r="407" customFormat="false" ht="17.15" hidden="false" customHeight="false" outlineLevel="0" collapsed="false">
      <c r="A407" s="0" t="s">
        <v>1641</v>
      </c>
      <c r="B407" s="0" t="s">
        <v>1267</v>
      </c>
      <c r="D407" s="8" t="str">
        <f aca="false">IF(ISNUMBER(ai2_nbis_2024),ai2_nbis_2024,"")</f>
        <v/>
      </c>
      <c r="E407" s="8" t="n">
        <f aca="false">IF(ISNUMBER(ai2_nbis_2025),ai2_nbis_2025,"")</f>
        <v>3.4561</v>
      </c>
      <c r="F407" s="8" t="n">
        <f aca="false">IF(ISNUMBER(ai2_nbis_2026),ai2_nbis_2026,"")</f>
        <v>19.125</v>
      </c>
      <c r="G407" s="8" t="n">
        <f aca="false">IF(ISNUMBER(ai2_nbis_2027),ai2_nbis_2027,"")</f>
        <v>23.15655</v>
      </c>
      <c r="H407" s="8" t="n">
        <f aca="false">IF(ISNUMBER(ai2_nbis_2028),ai2_nbis_2028,"")</f>
        <v>32.6315</v>
      </c>
      <c r="I407" s="8" t="n">
        <f aca="false">IF(ISNUMBER(ai2_nbis_2029),ai2_nbis_2029,"")</f>
        <v>35.89465</v>
      </c>
    </row>
    <row r="408" customFormat="false" ht="17.15" hidden="false" customHeight="false" outlineLevel="0" collapsed="false">
      <c r="A408" s="0" t="s">
        <v>1642</v>
      </c>
      <c r="B408" s="0" t="s">
        <v>1269</v>
      </c>
      <c r="D408" s="8" t="n">
        <f aca="false">IF(ISNUMBER(D407),(pit_nbis_2024/(pit_nbis_2024+pfac_nbis_2024)*D407+pfac_nbis_2024/(pit_nbis_2024+pfac_nbis_2024)*IF(AND(ISNUMBER(""),ISNUMBER("")),wb1*""+wb2*"",IF(ISNUMBER(""),"",D407)))/(pit_nbis_2024+pfac_nbis_2024),site_nbis_2024)</f>
        <v>0</v>
      </c>
      <c r="E408" s="8" t="n">
        <f aca="false">IF(ISNUMBER(E407),(pit_nbis_2025/(pit_nbis_2025+pfac_nbis_2025)*E407+pfac_nbis_2025/(pit_nbis_2025+pfac_nbis_2025)*IF(AND(ISNUMBER(D407),ISNUMBER("")),wb1*D407+wb2*"",IF(ISNUMBER(D407),D407,E407)))/(pit_nbis_2025+pfac_nbis_2025),site_nbis_2025)</f>
        <v>0.0893531926088847</v>
      </c>
      <c r="F408" s="8" t="n">
        <f aca="false">IF(ISNUMBER(F407),(pit_nbis_2026/(pit_nbis_2026+pfac_nbis_2026)*F407+pfac_nbis_2026/(pit_nbis_2026+pfac_nbis_2026)*IF(AND(ISNUMBER(E407),ISNUMBER(D407)),wb1*E407+wb2*D407,IF(ISNUMBER(E407),E407,F407)))/(pit_nbis_2026+pfac_nbis_2026),site_nbis_2026)</f>
        <v>0.321523721659491</v>
      </c>
      <c r="G408" s="8" t="n">
        <f aca="false">IF(ISNUMBER(G407),(pit_nbis_2027/(pit_nbis_2027+pfac_nbis_2027)*G407+pfac_nbis_2027/(pit_nbis_2027+pfac_nbis_2027)*IF(AND(ISNUMBER(F407),ISNUMBER(E407)),wb1*F407+wb2*E407,IF(ISNUMBER(F407),F407,G407)))/(pit_nbis_2027+pfac_nbis_2027),site_nbis_2027)</f>
        <v>0.396179366526544</v>
      </c>
      <c r="H408" s="8" t="n">
        <f aca="false">IF(ISNUMBER(H407),(pit_nbis_2028/(pit_nbis_2028+pfac_nbis_2028)*H407+pfac_nbis_2028/(pit_nbis_2028+pfac_nbis_2028)*IF(AND(ISNUMBER(G407),ISNUMBER(F407)),wb1*G407+wb2*F407,IF(ISNUMBER(G407),G407,H407)))/(pit_nbis_2028+pfac_nbis_2028),site_nbis_2028)</f>
        <v>0.554335434150153</v>
      </c>
      <c r="I408" s="8" t="n">
        <f aca="false">IF(ISNUMBER(I407),(pit_nbis_2029/(pit_nbis_2029+pfac_nbis_2029)*I407+pfac_nbis_2029/(pit_nbis_2029+pfac_nbis_2029)*IF(AND(ISNUMBER(H407),ISNUMBER(G407)),wb1*H407+wb2*G407,IF(ISNUMBER(H407),H407,I407)))/(pit_nbis_2029+pfac_nbis_2029),site_nbis_2029)</f>
        <v>0.629924193744744</v>
      </c>
    </row>
    <row r="409" customFormat="false" ht="17.15" hidden="false" customHeight="false" outlineLevel="0" collapsed="false">
      <c r="A409" s="0" t="s">
        <v>1643</v>
      </c>
      <c r="B409" s="0" t="s">
        <v>1271</v>
      </c>
      <c r="E409" s="8" t="n">
        <f aca="false">(1-lag_lo)*E408+lag_lo*D408-inv_k*(E408-D408)</f>
        <v>0.058079575195775</v>
      </c>
      <c r="F409" s="8" t="n">
        <f aca="false">(1-lag_lo)*F408+lag_lo*E408-inv_k*(F408-E408)</f>
        <v>0.240264036491779</v>
      </c>
      <c r="G409" s="8" t="n">
        <f aca="false">(1-lag_lo)*G408+lag_lo*F408-inv_k*(G408-F408)</f>
        <v>0.370049890823075</v>
      </c>
      <c r="H409" s="8" t="n">
        <f aca="false">(1-lag_lo)*H408+lag_lo*G408-inv_k*(H408-G408)</f>
        <v>0.49898081048189</v>
      </c>
      <c r="I409" s="8" t="n">
        <f aca="false">(1-lag_lo)*I408+lag_lo*H408-inv_k*(I408-H408)</f>
        <v>0.603468127886637</v>
      </c>
    </row>
    <row r="410" customFormat="false" ht="17.15" hidden="false" customHeight="false" outlineLevel="0" collapsed="false">
      <c r="A410" s="0" t="s">
        <v>1644</v>
      </c>
      <c r="B410" s="0" t="s">
        <v>1273</v>
      </c>
      <c r="D410" s="8" t="str">
        <f aca="false">""</f>
        <v/>
      </c>
      <c r="E410" s="8" t="str">
        <f aca="false">""</f>
        <v/>
      </c>
      <c r="F410" s="8" t="n">
        <f aca="false">gcap_nbis_2026*ai_sh</f>
        <v>22.1392615</v>
      </c>
      <c r="G410" s="8" t="n">
        <f aca="false">gcap_nbis_2027*ai_sh</f>
        <v>23.45782145</v>
      </c>
      <c r="H410" s="8" t="n">
        <f aca="false">gcap_nbis_2028*ai_sh</f>
        <v>24.7763814</v>
      </c>
      <c r="I410" s="8" t="n">
        <f aca="false">gcap_nbis_2029*ai_sh</f>
        <v>24.7763814</v>
      </c>
    </row>
    <row r="411" customFormat="false" ht="17.15" hidden="false" customHeight="false" outlineLevel="0" collapsed="false">
      <c r="A411" s="0" t="s">
        <v>1645</v>
      </c>
      <c r="B411" s="0" t="s">
        <v>1269</v>
      </c>
      <c r="D411" s="8" t="n">
        <f aca="false">IF(ISNUMBER(D410),(pit_nbis_2024/(pit_nbis_2024+pfac_nbis_2024)*D410+pfac_nbis_2024/(pit_nbis_2024+pfac_nbis_2024)*IF(AND(ISNUMBER(""),ISNUMBER("")),wb1*""+wb2*"",IF(ISNUMBER(""),"",D410)))/(pit_nbis_2024+pfac_nbis_2024),site_nbis_2024)</f>
        <v>0</v>
      </c>
      <c r="E411" s="8" t="n">
        <f aca="false">IF(ISNUMBER(E410),(pit_nbis_2025/(pit_nbis_2025+pfac_nbis_2025)*E410+pfac_nbis_2025/(pit_nbis_2025+pfac_nbis_2025)*IF(AND(ISNUMBER(D410),ISNUMBER("")),wb1*D410+wb2*"",IF(ISNUMBER(D410),D410,E410)))/(pit_nbis_2025+pfac_nbis_2025),site_nbis_2025)</f>
        <v>0</v>
      </c>
      <c r="F411" s="8" t="n">
        <f aca="false">IF(ISNUMBER(F410),(pit_nbis_2026/(pit_nbis_2026+pfac_nbis_2026)*F410+pfac_nbis_2026/(pit_nbis_2026+pfac_nbis_2026)*IF(AND(ISNUMBER(E410),ISNUMBER(D410)),wb1*E410+wb2*D410,IF(ISNUMBER(E410),E410,F410)))/(pit_nbis_2026+pfac_nbis_2026),site_nbis_2026)</f>
        <v>0.480410685921195</v>
      </c>
      <c r="G411" s="8" t="n">
        <f aca="false">IF(ISNUMBER(G410),(pit_nbis_2027/(pit_nbis_2027+pfac_nbis_2027)*G410+pfac_nbis_2027/(pit_nbis_2027+pfac_nbis_2027)*IF(AND(ISNUMBER(F410),ISNUMBER(E410)),wb1*F410+wb2*E410,IF(ISNUMBER(F410),F410,G410)))/(pit_nbis_2027+pfac_nbis_2027),site_nbis_2027)</f>
        <v>0.453443245801974</v>
      </c>
      <c r="H411" s="8" t="n">
        <f aca="false">IF(ISNUMBER(H410),(pit_nbis_2028/(pit_nbis_2028+pfac_nbis_2028)*H410+pfac_nbis_2028/(pit_nbis_2028+pfac_nbis_2028)*IF(AND(ISNUMBER(G410),ISNUMBER(F410)),wb1*G410+wb2*F410,IF(ISNUMBER(G410),G410,H410)))/(pit_nbis_2028+pfac_nbis_2028),site_nbis_2028)</f>
        <v>0.450206743161261</v>
      </c>
      <c r="I411" s="8" t="n">
        <f aca="false">IF(ISNUMBER(I410),(pit_nbis_2029/(pit_nbis_2029+pfac_nbis_2029)*I410+pfac_nbis_2029/(pit_nbis_2029+pfac_nbis_2029)*IF(AND(ISNUMBER(H410),ISNUMBER(G410)),wb1*H410+wb2*G410,IF(ISNUMBER(H410),H410,I410)))/(pit_nbis_2029+pfac_nbis_2029),site_nbis_2029)</f>
        <v>0.45593532101388</v>
      </c>
    </row>
    <row r="412" customFormat="false" ht="17.15" hidden="false" customHeight="false" outlineLevel="0" collapsed="false">
      <c r="A412" s="0" t="s">
        <v>1646</v>
      </c>
      <c r="B412" s="0" t="s">
        <v>1271</v>
      </c>
      <c r="E412" s="8" t="n">
        <f aca="false">(1-lag_lo)*E411+lag_lo*D411-inv_k*(E411-D411)</f>
        <v>0</v>
      </c>
      <c r="F412" s="8" t="n">
        <f aca="false">(1-lag_lo)*F411+lag_lo*E411-inv_k*(F411-E411)</f>
        <v>0.312266945848777</v>
      </c>
      <c r="G412" s="8" t="n">
        <f aca="false">(1-lag_lo)*G411+lag_lo*F411-inv_k*(G411-F411)</f>
        <v>0.462881849843701</v>
      </c>
      <c r="H412" s="8" t="n">
        <f aca="false">(1-lag_lo)*H411+lag_lo*G411-inv_k*(H411-G411)</f>
        <v>0.45133951908551</v>
      </c>
      <c r="I412" s="8" t="n">
        <f aca="false">(1-lag_lo)*I411+lag_lo*H411-inv_k*(I411-H411)</f>
        <v>0.453930318765463</v>
      </c>
    </row>
    <row r="413" customFormat="false" ht="17.15" hidden="false" customHeight="false" outlineLevel="0" collapsed="false">
      <c r="A413" s="0" t="s">
        <v>1647</v>
      </c>
      <c r="B413" s="0" t="s">
        <v>1277</v>
      </c>
      <c r="D413" s="8" t="n">
        <f aca="false">site_nbis_2024</f>
        <v>0</v>
      </c>
      <c r="E413" s="8" t="n">
        <f aca="false">site_nbis_2025</f>
        <v>0</v>
      </c>
      <c r="F413" s="8" t="n">
        <f aca="false">site_nbis_2026</f>
        <v>0.73</v>
      </c>
      <c r="G413" s="8" t="n">
        <f aca="false">site_nbis_2027</f>
        <v>0.403</v>
      </c>
      <c r="H413" s="8" t="n">
        <f aca="false">site_nbis_2028</f>
        <v>0</v>
      </c>
      <c r="I413" s="8" t="n">
        <f aca="false">site_nbis_2029</f>
        <v>0</v>
      </c>
    </row>
    <row r="414" customFormat="false" ht="17.15" hidden="false" customHeight="false" outlineLevel="0" collapsed="false">
      <c r="A414" s="0" t="s">
        <v>1648</v>
      </c>
      <c r="B414" s="0" t="s">
        <v>1279</v>
      </c>
      <c r="D414" s="8" t="str">
        <f aca="false">IF(ISNUMBER(gai_xai_2024),gai_xai_2024,"")</f>
        <v/>
      </c>
      <c r="E414" s="8" t="str">
        <f aca="false">IF(ISNUMBER(gai_xai_2025),gai_xai_2025,"")</f>
        <v/>
      </c>
      <c r="F414" s="8" t="n">
        <f aca="false">IF(ISNUMBER(gai_xai_2026),gai_xai_2026,"")</f>
        <v>74.058119</v>
      </c>
      <c r="G414" s="8" t="n">
        <f aca="false">IF(ISNUMBER(gai_xai_2027),gai_xai_2027,"")</f>
        <v>136.252477</v>
      </c>
      <c r="H414" s="8" t="n">
        <f aca="false">IF(ISNUMBER(gai_xai_2028),gai_xai_2028,"")</f>
        <v>144.12072</v>
      </c>
      <c r="I414" s="8" t="n">
        <f aca="false">IF(ISNUMBER(gai_xai_2029),gai_xai_2029,"")</f>
        <v>111.172527</v>
      </c>
    </row>
    <row r="415" customFormat="false" ht="17.15" hidden="false" customHeight="false" outlineLevel="0" collapsed="false">
      <c r="A415" s="0" t="s">
        <v>1649</v>
      </c>
      <c r="B415" s="0" t="s">
        <v>1281</v>
      </c>
      <c r="D415" s="8" t="n">
        <f aca="false">IF(ISNUMBER(D414),(pitN_2024/(pitN_2024+pfacN_2024)*D414+pfacN_2024/(pitN_2024+pfacN_2024)*IF(AND(ISNUMBER(""),ISNUMBER("")),wb1*""+wb2*"",IF(ISNUMBER(""),"",D414)))/(pitN_2024+pfacN_2024),site_xai_2024)</f>
        <v>0</v>
      </c>
      <c r="E415" s="8" t="n">
        <f aca="false">IF(ISNUMBER(E414),(pitN_2025/(pitN_2025+pfacN_2025)*E414+pfacN_2025/(pitN_2025+pfacN_2025)*IF(AND(ISNUMBER(D414),ISNUMBER("")),wb1*D414+wb2*"",IF(ISNUMBER(D414),D414,E414)))/(pitN_2025+pfacN_2025),site_xai_2025)</f>
        <v>0</v>
      </c>
      <c r="F415" s="8" t="n">
        <f aca="false">IF(ISNUMBER(F414),(pitN_2026/(pitN_2026+pfacN_2026)*F414+pfacN_2026/(pitN_2026+pfacN_2026)*IF(AND(ISNUMBER(E414),ISNUMBER(D414)),wb1*E414+wb2*D414,IF(ISNUMBER(E414),E414,F414)))/(pitN_2026+pfacN_2026),site_xai_2026)</f>
        <v>1.60702342066936</v>
      </c>
      <c r="G415" s="8" t="n">
        <f aca="false">IF(ISNUMBER(G414),(pitN_2027/(pitN_2027+pfacN_2027)*G414+pfacN_2027/(pitN_2027+pfacN_2027)*IF(AND(ISNUMBER(F414),ISNUMBER(E414)),wb1*F414+wb2*E414,IF(ISNUMBER(F414),F414,G414)))/(pitN_2027+pfacN_2027),site_xai_2027)</f>
        <v>2.36823509451502</v>
      </c>
      <c r="H415" s="8" t="n">
        <f aca="false">IF(ISNUMBER(H414),(pitN_2028/(pitN_2028+pfacN_2028)*H414+pfacN_2028/(pitN_2028+pfacN_2028)*IF(AND(ISNUMBER(G414),ISNUMBER(F414)),wb1*G414+wb2*F414,IF(ISNUMBER(G414),G414,H414)))/(pitN_2028+pfacN_2028),site_xai_2028)</f>
        <v>2.49948463520021</v>
      </c>
      <c r="I415" s="8" t="n">
        <f aca="false">IF(ISNUMBER(I414),(pitN_2029/(pitN_2029+pfacN_2029)*I414+pfacN_2029/(pitN_2029+pfacN_2029)*IF(AND(ISNUMBER(H414),ISNUMBER(G414)),wb1*H414+wb2*G414,IF(ISNUMBER(H414),H414,I414)))/(pitN_2029+pfacN_2029),site_xai_2029)</f>
        <v>2.18470428873966</v>
      </c>
    </row>
    <row r="416" customFormat="false" ht="17.15" hidden="false" customHeight="false" outlineLevel="0" collapsed="false">
      <c r="A416" s="0" t="s">
        <v>1650</v>
      </c>
      <c r="B416" s="0" t="s">
        <v>1283</v>
      </c>
      <c r="E416" s="8" t="n">
        <f aca="false">IF(ISNUMBER(gai_xai_2024),(1-lag_lo)*E415+lag_lo*D415-inv_k*(E415-D415),E415)</f>
        <v>0</v>
      </c>
      <c r="F416" s="8" t="n">
        <f aca="false">IF(ISNUMBER(gai_xai_2025),(1-lag_lo)*F415+lag_lo*E415-inv_k*(F415-E415),F415)</f>
        <v>1.60702342066936</v>
      </c>
      <c r="G416" s="8" t="n">
        <f aca="false">IF(ISNUMBER(gai_xai_2026),(1-lag_lo)*G415+lag_lo*F415-inv_k*(G415-F415),G415)</f>
        <v>2.10181100866904</v>
      </c>
      <c r="H416" s="8" t="n">
        <f aca="false">IF(ISNUMBER(gai_xai_2027),(1-lag_lo)*H415+lag_lo*G415-inv_k*(H415-G415),H415)</f>
        <v>2.45354729596039</v>
      </c>
      <c r="I416" s="8" t="n">
        <f aca="false">IF(ISNUMBER(gai_xai_2028),(1-lag_lo)*I415+lag_lo*H415-inv_k*(I415-H415),I415)</f>
        <v>2.29487741000085</v>
      </c>
    </row>
    <row r="417" customFormat="false" ht="17.15" hidden="false" customHeight="false" outlineLevel="0" collapsed="false">
      <c r="A417" s="0" t="s">
        <v>1651</v>
      </c>
      <c r="B417" s="0" t="s">
        <v>1285</v>
      </c>
      <c r="D417" s="8" t="n">
        <f aca="false">site_xai_2024</f>
        <v>0</v>
      </c>
      <c r="E417" s="8" t="n">
        <f aca="false">site_xai_2025</f>
        <v>0</v>
      </c>
      <c r="F417" s="8" t="n">
        <f aca="false">site_xai_2026</f>
        <v>1.4302</v>
      </c>
      <c r="G417" s="8" t="n">
        <f aca="false">site_xai_2027</f>
        <v>0.585</v>
      </c>
      <c r="H417" s="8" t="n">
        <f aca="false">site_xai_2028</f>
        <v>0</v>
      </c>
      <c r="I417" s="8" t="n">
        <f aca="false">site_xai_2029</f>
        <v>0</v>
      </c>
    </row>
    <row r="418" customFormat="false" ht="17.15" hidden="false" customHeight="false" outlineLevel="0" collapsed="false">
      <c r="A418" s="0" t="s">
        <v>1652</v>
      </c>
      <c r="B418" s="0" t="s">
        <v>1287</v>
      </c>
      <c r="D418" s="8" t="str">
        <f aca="false">IF(ISNUMBER(gai_oai_2024),gai_oai_2024,"")</f>
        <v/>
      </c>
      <c r="E418" s="8" t="str">
        <f aca="false">IF(ISNUMBER(gai_oai_2025),gai_oai_2025,"")</f>
        <v/>
      </c>
      <c r="F418" s="8" t="n">
        <f aca="false">IF(ISNUMBER(gai_oai_2026),gai_oai_2026,"")</f>
        <v>20</v>
      </c>
      <c r="G418" s="8" t="n">
        <f aca="false">IF(ISNUMBER(gai_oai_2027),gai_oai_2027,"")</f>
        <v>30</v>
      </c>
      <c r="H418" s="8" t="n">
        <f aca="false">IF(ISNUMBER(gai_oai_2028),gai_oai_2028,"")</f>
        <v>45</v>
      </c>
      <c r="I418" s="8" t="n">
        <f aca="false">IF(ISNUMBER(gai_oai_2029),gai_oai_2029,"")</f>
        <v>60</v>
      </c>
    </row>
    <row r="419" customFormat="false" ht="17.15" hidden="false" customHeight="false" outlineLevel="0" collapsed="false">
      <c r="A419" s="0" t="s">
        <v>1653</v>
      </c>
      <c r="B419" s="0" t="s">
        <v>1289</v>
      </c>
      <c r="D419" s="8" t="n">
        <f aca="false">IF(ISNUMBER(D418),(pitN_2024/(pitN_2024+pfacN_2024)*D418+pfacN_2024/(pitN_2024+pfacN_2024)*IF(AND(ISNUMBER(""),ISNUMBER("")),wb1*""+wb2*"",IF(ISNUMBER(""),"",D418)))/(pitN_2024+pfacN_2024),site_oai_2024)</f>
        <v>0</v>
      </c>
      <c r="E419" s="8" t="n">
        <f aca="false">IF(ISNUMBER(E418),(pitN_2025/(pitN_2025+pfacN_2025)*E418+pfacN_2025/(pitN_2025+pfacN_2025)*IF(AND(ISNUMBER(D418),ISNUMBER("")),wb1*D418+wb2*"",IF(ISNUMBER(D418),D418,E418)))/(pitN_2025+pfacN_2025),site_oai_2025)</f>
        <v>0</v>
      </c>
      <c r="F419" s="8" t="n">
        <f aca="false">IF(ISNUMBER(F418),(pitN_2026/(pitN_2026+pfacN_2026)*F418+pfacN_2026/(pitN_2026+pfacN_2026)*IF(AND(ISNUMBER(E418),ISNUMBER(D418)),wb1*E418+wb2*D418,IF(ISNUMBER(E418),E418,F418)))/(pitN_2026+pfacN_2026),site_oai_2026)</f>
        <v>0.433989802163179</v>
      </c>
      <c r="G419" s="8" t="n">
        <f aca="false">IF(ISNUMBER(G418),(pitN_2027/(pitN_2027+pfacN_2027)*G418+pfacN_2027/(pitN_2027+pfacN_2027)*IF(AND(ISNUMBER(F418),ISNUMBER(E418)),wb1*F418+wb2*E418,IF(ISNUMBER(F418),F418,G418)))/(pitN_2027+pfacN_2027),site_oai_2027)</f>
        <v>0.539423294291731</v>
      </c>
      <c r="H419" s="8" t="n">
        <f aca="false">IF(ISNUMBER(H418),(pitN_2028/(pitN_2028+pfacN_2028)*H418+pfacN_2028/(pitN_2028+pfacN_2028)*IF(AND(ISNUMBER(G418),ISNUMBER(F418)),wb1*G418+wb2*F418,IF(ISNUMBER(G418),G418,H418)))/(pitN_2028+pfacN_2028),site_oai_2028)</f>
        <v>0.74640146139489</v>
      </c>
      <c r="I419" s="8" t="n">
        <f aca="false">IF(ISNUMBER(I418),(pitN_2029/(pitN_2029+pfacN_2029)*I418+pfacN_2029/(pitN_2029+pfacN_2029)*IF(AND(ISNUMBER(H418),ISNUMBER(G418)),wb1*H418+wb2*G418,IF(ISNUMBER(H418),H418,I418)))/(pitN_2029+pfacN_2029),site_oai_2029)</f>
        <v>1.01330432937459</v>
      </c>
    </row>
    <row r="420" customFormat="false" ht="17.15" hidden="false" customHeight="false" outlineLevel="0" collapsed="false">
      <c r="A420" s="0" t="s">
        <v>1654</v>
      </c>
      <c r="B420" s="0" t="s">
        <v>1291</v>
      </c>
      <c r="E420" s="8" t="n">
        <f aca="false">IF(ISNUMBER(gai_oai_2024),(1-lag_lo)*E419+lag_lo*D419-inv_k*(E419-D419),E419)</f>
        <v>0</v>
      </c>
      <c r="F420" s="8" t="n">
        <f aca="false">IF(ISNUMBER(gai_oai_2025),(1-lag_lo)*F419+lag_lo*E419-inv_k*(F419-E419),F419)</f>
        <v>0.433989802163179</v>
      </c>
      <c r="G420" s="8" t="n">
        <f aca="false">IF(ISNUMBER(gai_oai_2026),(1-lag_lo)*G419+lag_lo*F419-inv_k*(G419-F419),G419)</f>
        <v>0.502521572046738</v>
      </c>
      <c r="H420" s="8" t="n">
        <f aca="false">IF(ISNUMBER(gai_oai_2027),(1-lag_lo)*H419+lag_lo*G419-inv_k*(H419-G419),H419)</f>
        <v>0.673959102908785</v>
      </c>
      <c r="I420" s="8" t="n">
        <f aca="false">IF(ISNUMBER(gai_oai_2028),(1-lag_lo)*I419+lag_lo*H419-inv_k*(I419-H419),I419)</f>
        <v>0.919888325581696</v>
      </c>
    </row>
    <row r="421" customFormat="false" ht="17.15" hidden="false" customHeight="false" outlineLevel="0" collapsed="false">
      <c r="A421" s="0" t="s">
        <v>1655</v>
      </c>
      <c r="B421" s="0" t="s">
        <v>1293</v>
      </c>
      <c r="D421" s="8" t="n">
        <f aca="false">site_oai_2024</f>
        <v>0</v>
      </c>
      <c r="E421" s="8" t="n">
        <f aca="false">site_oai_2025</f>
        <v>0</v>
      </c>
      <c r="F421" s="8" t="n">
        <f aca="false">site_oai_2026</f>
        <v>0</v>
      </c>
      <c r="G421" s="8" t="n">
        <f aca="false">site_oai_2027</f>
        <v>0.522</v>
      </c>
      <c r="H421" s="8" t="n">
        <f aca="false">site_oai_2028</f>
        <v>1.245</v>
      </c>
      <c r="I421" s="8" t="n">
        <f aca="false">site_oai_2029</f>
        <v>1.149</v>
      </c>
    </row>
    <row r="422" customFormat="false" ht="17.15" hidden="false" customHeight="false" outlineLevel="0" collapsed="false">
      <c r="A422" s="0" t="s">
        <v>1656</v>
      </c>
      <c r="B422" s="0" t="s">
        <v>1295</v>
      </c>
      <c r="D422" s="8" t="str">
        <f aca="false">IF(ISNUMBER(gai_ant_2024),gai_ant_2024,"")</f>
        <v/>
      </c>
      <c r="E422" s="8" t="str">
        <f aca="false">IF(ISNUMBER(gai_ant_2025),gai_ant_2025,"")</f>
        <v/>
      </c>
      <c r="F422" s="8" t="n">
        <f aca="false">IF(ISNUMBER(gai_ant_2026),gai_ant_2026,"")</f>
        <v>16.666667</v>
      </c>
      <c r="G422" s="8" t="n">
        <f aca="false">IF(ISNUMBER(gai_ant_2027),gai_ant_2027,"")</f>
        <v>16.666667</v>
      </c>
      <c r="H422" s="8" t="n">
        <f aca="false">IF(ISNUMBER(gai_ant_2028),gai_ant_2028,"")</f>
        <v>16.666667</v>
      </c>
      <c r="I422" s="8" t="n">
        <f aca="false">IF(ISNUMBER(gai_ant_2029),gai_ant_2029,"")</f>
        <v>0</v>
      </c>
    </row>
    <row r="423" customFormat="false" ht="17.15" hidden="false" customHeight="false" outlineLevel="0" collapsed="false">
      <c r="A423" s="0" t="s">
        <v>1657</v>
      </c>
      <c r="B423" s="0" t="s">
        <v>1297</v>
      </c>
      <c r="D423" s="8" t="n">
        <f aca="false">IF(ISNUMBER(D422),(pitN_2024/(pitN_2024+pfacN_2024)*D422+pfacN_2024/(pitN_2024+pfacN_2024)*IF(AND(ISNUMBER(""),ISNUMBER("")),wb1*""+wb2*"",IF(ISNUMBER(""),"",D422)))/(pitN_2024+pfacN_2024),site_ant_2024)</f>
        <v>0</v>
      </c>
      <c r="E423" s="8" t="n">
        <f aca="false">IF(ISNUMBER(E422),(pitN_2025/(pitN_2025+pfacN_2025)*E422+pfacN_2025/(pitN_2025+pfacN_2025)*IF(AND(ISNUMBER(D422),ISNUMBER("")),wb1*D422+wb2*"",IF(ISNUMBER(D422),D422,E422)))/(pitN_2025+pfacN_2025),site_ant_2025)</f>
        <v>0</v>
      </c>
      <c r="F423" s="8" t="n">
        <f aca="false">IF(ISNUMBER(F422),(pitN_2026/(pitN_2026+pfacN_2026)*F422+pfacN_2026/(pitN_2026+pfacN_2026)*IF(AND(ISNUMBER(E422),ISNUMBER(D422)),wb1*E422+wb2*D422,IF(ISNUMBER(E422),E422,F422)))/(pitN_2026+pfacN_2026),site_ant_2026)</f>
        <v>0.36165817570248</v>
      </c>
      <c r="G423" s="8" t="n">
        <f aca="false">IF(ISNUMBER(G422),(pitN_2027/(pitN_2027+pfacN_2027)*G422+pfacN_2027/(pitN_2027+pfacN_2027)*IF(AND(ISNUMBER(F422),ISNUMBER(E422)),wb1*F422+wb2*E422,IF(ISNUMBER(F422),F422,G422)))/(pitN_2027+pfacN_2027),site_ant_2027)</f>
        <v>0.326730833032632</v>
      </c>
      <c r="H423" s="8" t="n">
        <f aca="false">IF(ISNUMBER(H422),(pitN_2028/(pitN_2028+pfacN_2028)*H422+pfacN_2028/(pitN_2028+pfacN_2028)*IF(AND(ISNUMBER(G422),ISNUMBER(F422)),wb1*G422+wb2*F422,IF(ISNUMBER(G422),G422,H422)))/(pitN_2028+pfacN_2028),site_ant_2028)</f>
        <v>0.308627002270922</v>
      </c>
      <c r="I423" s="8" t="n">
        <f aca="false">IF(ISNUMBER(I422),(pitN_2029/(pitN_2029+pfacN_2029)*I422+pfacN_2029/(pitN_2029+pfacN_2029)*IF(AND(ISNUMBER(H422),ISNUMBER(G422)),wb1*H422+wb2*G422,IF(ISNUMBER(H422),H422,I422)))/(pitN_2029+pfacN_2029),site_ant_2029)</f>
        <v>0.0724095248404747</v>
      </c>
    </row>
    <row r="424" customFormat="false" ht="17.15" hidden="false" customHeight="false" outlineLevel="0" collapsed="false">
      <c r="A424" s="0" t="s">
        <v>1658</v>
      </c>
      <c r="B424" s="0" t="s">
        <v>1299</v>
      </c>
      <c r="E424" s="8" t="n">
        <f aca="false">IF(ISNUMBER(gai_ant_2024),(1-lag_lo)*E423+lag_lo*D423-inv_k*(E423-D423),E423)</f>
        <v>0</v>
      </c>
      <c r="F424" s="8" t="n">
        <f aca="false">IF(ISNUMBER(gai_ant_2025),(1-lag_lo)*F423+lag_lo*E423-inv_k*(F423-E423),F423)</f>
        <v>0.36165817570248</v>
      </c>
      <c r="G424" s="8" t="n">
        <f aca="false">IF(ISNUMBER(gai_ant_2026),(1-lag_lo)*G423+lag_lo*F423-inv_k*(G423-F423),G423)</f>
        <v>0.338955402967079</v>
      </c>
      <c r="H424" s="8" t="n">
        <f aca="false">IF(ISNUMBER(gai_ant_2027),(1-lag_lo)*H423+lag_lo*G423-inv_k*(H423-G423),H423)</f>
        <v>0.314963343037521</v>
      </c>
      <c r="I424" s="8" t="n">
        <f aca="false">IF(ISNUMBER(gai_ant_2028),(1-lag_lo)*I423+lag_lo*H423-inv_k*(I423-H423),I423)</f>
        <v>0.155085641941131</v>
      </c>
    </row>
    <row r="425" customFormat="false" ht="17.15" hidden="false" customHeight="false" outlineLevel="0" collapsed="false">
      <c r="A425" s="0" t="s">
        <v>1659</v>
      </c>
      <c r="B425" s="0" t="s">
        <v>1301</v>
      </c>
      <c r="D425" s="8" t="n">
        <f aca="false">site_ant_2024</f>
        <v>0</v>
      </c>
      <c r="E425" s="8" t="n">
        <f aca="false">site_ant_2025</f>
        <v>0</v>
      </c>
      <c r="F425" s="8" t="n">
        <f aca="false">site_ant_2026</f>
        <v>0</v>
      </c>
      <c r="G425" s="8" t="n">
        <f aca="false">site_ant_2027</f>
        <v>0</v>
      </c>
      <c r="H425" s="8" t="n">
        <f aca="false">site_ant_2028</f>
        <v>0</v>
      </c>
      <c r="I425" s="8" t="n">
        <f aca="false">site_ant_2029</f>
        <v>0</v>
      </c>
    </row>
    <row r="426" customFormat="false" ht="17.15" hidden="false" customHeight="false" outlineLevel="0" collapsed="false">
      <c r="A426" s="0" t="s">
        <v>1660</v>
      </c>
      <c r="B426" s="5" t="s">
        <v>1303</v>
      </c>
      <c r="D426" s="9" t="n">
        <f aca="false">D366+D373+D380+D387+D394+D401+D408</f>
        <v>2.88602836343531</v>
      </c>
      <c r="E426" s="9" t="n">
        <f aca="false">E366+E373+E380+E387+E394+E401+E408</f>
        <v>9.64396540227264</v>
      </c>
      <c r="F426" s="9" t="n">
        <f aca="false">F366+F373+F380+F387+F394+F401+F408</f>
        <v>15.2175288078156</v>
      </c>
      <c r="G426" s="9" t="n">
        <f aca="false">G366+G373+G380+G387+G394+G401+G408</f>
        <v>19.096009969242</v>
      </c>
      <c r="H426" s="9" t="n">
        <f aca="false">H366+H373+H380+H387+H394+H401+H408</f>
        <v>21.3980787384407</v>
      </c>
      <c r="I426" s="9" t="n">
        <f aca="false">I366+I373+I380+I387+I394+I401+I408</f>
        <v>23.901946773905</v>
      </c>
    </row>
    <row r="427" customFormat="false" ht="17.15" hidden="false" customHeight="false" outlineLevel="0" collapsed="false">
      <c r="A427" s="0" t="s">
        <v>1661</v>
      </c>
      <c r="B427" s="5" t="s">
        <v>1305</v>
      </c>
      <c r="D427" s="9" t="n">
        <f aca="false">D367+D374+D381+D388+D395+D402+D409</f>
        <v>0</v>
      </c>
      <c r="E427" s="9" t="n">
        <f aca="false">E367+E374+E381+E388+E395+E402+E409</f>
        <v>7.27868743867957</v>
      </c>
      <c r="F427" s="9" t="n">
        <f aca="false">F367+F374+F381+F388+F395+F402+F409</f>
        <v>13.2667816158756</v>
      </c>
      <c r="G427" s="9" t="n">
        <f aca="false">G367+G374+G381+G388+G395+G402+G409</f>
        <v>17.7385415627428</v>
      </c>
      <c r="H427" s="9" t="n">
        <f aca="false">H367+H374+H381+H388+H395+H402+H409</f>
        <v>20.5923546692212</v>
      </c>
      <c r="I427" s="9" t="n">
        <f aca="false">I367+I374+I381+I388+I395+I402+I409</f>
        <v>23.0255929614925</v>
      </c>
    </row>
    <row r="428" customFormat="false" ht="17.15" hidden="false" customHeight="false" outlineLevel="0" collapsed="false">
      <c r="A428" s="0" t="s">
        <v>1662</v>
      </c>
      <c r="B428" s="5" t="s">
        <v>1307</v>
      </c>
      <c r="D428" s="9" t="n">
        <f aca="false">D369+D376+D383+D390+D397+D404+D411</f>
        <v>3.89616485653111</v>
      </c>
      <c r="E428" s="9" t="n">
        <f aca="false">E369+E376+E383+E390+E397+E404+E411</f>
        <v>9.4581706968</v>
      </c>
      <c r="F428" s="9" t="n">
        <f aca="false">F369+F376+F383+F390+F397+F404+F411</f>
        <v>15.1257949595735</v>
      </c>
      <c r="G428" s="9" t="n">
        <f aca="false">G369+G376+G383+G390+G397+G404+G411</f>
        <v>19.2801415517668</v>
      </c>
      <c r="H428" s="9" t="n">
        <f aca="false">H369+H376+H383+H390+H397+H404+H411</f>
        <v>20.7180010831606</v>
      </c>
      <c r="I428" s="9" t="n">
        <f aca="false">I369+I376+I383+I390+I397+I404+I411</f>
        <v>20.371284771225</v>
      </c>
    </row>
    <row r="429" customFormat="false" ht="17.15" hidden="false" customHeight="false" outlineLevel="0" collapsed="false">
      <c r="A429" s="0" t="s">
        <v>1663</v>
      </c>
      <c r="B429" s="5" t="s">
        <v>1309</v>
      </c>
      <c r="D429" s="9" t="n">
        <f aca="false">D370+D377+D384+D391+D398+D405+D412</f>
        <v>0</v>
      </c>
      <c r="E429" s="9" t="n">
        <f aca="false">E370+E377+E384+E391+E398+E405+E412</f>
        <v>7.51146865270589</v>
      </c>
      <c r="F429" s="9" t="n">
        <f aca="false">F370+F377+F384+F391+F398+F405+F412</f>
        <v>13.1421264676028</v>
      </c>
      <c r="G429" s="9" t="n">
        <f aca="false">G370+G377+G384+G391+G398+G405+G412</f>
        <v>17.8261202444992</v>
      </c>
      <c r="H429" s="9" t="n">
        <f aca="false">H370+H377+H384+H391+H398+H405+H412</f>
        <v>20.2147502471728</v>
      </c>
      <c r="I429" s="9" t="n">
        <f aca="false">I370+I377+I384+I391+I398+I405+I412</f>
        <v>20.4926354804025</v>
      </c>
    </row>
    <row r="430" customFormat="false" ht="15" hidden="false" customHeight="false" outlineLevel="0" collapsed="false">
      <c r="A430" s="0" t="s">
        <v>1664</v>
      </c>
      <c r="B430" s="5" t="s">
        <v>1311</v>
      </c>
      <c r="D430" s="9" t="n">
        <f aca="false">D371+D378+D385+D392+D399+D406+D413</f>
        <v>1.61980834349181</v>
      </c>
      <c r="E430" s="9" t="n">
        <f aca="false">E371+E378+E385+E392+E399+E406+E413</f>
        <v>8.74912429484715</v>
      </c>
      <c r="F430" s="9" t="n">
        <f aca="false">F371+F378+F385+F392+F399+F406+F413</f>
        <v>6.54276412772586</v>
      </c>
      <c r="G430" s="9" t="n">
        <f aca="false">G371+G378+G385+G392+G399+G406+G413</f>
        <v>6.52966666666667</v>
      </c>
      <c r="H430" s="9" t="n">
        <f aca="false">H371+H378+H385+H392+H399+H406+H413</f>
        <v>13.6908333333333</v>
      </c>
      <c r="I430" s="9" t="n">
        <f aca="false">I371+I378+I385+I392+I399+I406+I413</f>
        <v>2.7115</v>
      </c>
    </row>
    <row r="431" customFormat="false" ht="15" hidden="false" customHeight="false" outlineLevel="0" collapsed="false">
      <c r="A431" s="0" t="s">
        <v>1665</v>
      </c>
      <c r="B431" s="5" t="s">
        <v>1313</v>
      </c>
      <c r="D431" s="9" t="n">
        <f aca="false">D415+D419+D423</f>
        <v>0</v>
      </c>
      <c r="E431" s="9" t="n">
        <f aca="false">E415+E419+E423</f>
        <v>0</v>
      </c>
      <c r="F431" s="9" t="n">
        <f aca="false">F415+F419+F423</f>
        <v>2.40267139853502</v>
      </c>
      <c r="G431" s="9" t="n">
        <f aca="false">G415+G419+G423</f>
        <v>3.23438922183938</v>
      </c>
      <c r="H431" s="9" t="n">
        <f aca="false">H415+H419+H423</f>
        <v>3.55451309886602</v>
      </c>
      <c r="I431" s="9" t="n">
        <f aca="false">I415+I419+I423</f>
        <v>3.27041814295472</v>
      </c>
    </row>
    <row r="432" customFormat="false" ht="15" hidden="false" customHeight="false" outlineLevel="0" collapsed="false">
      <c r="A432" s="0" t="s">
        <v>1666</v>
      </c>
      <c r="B432" s="5" t="s">
        <v>1315</v>
      </c>
      <c r="D432" s="9" t="n">
        <f aca="false">D416+D420+D424</f>
        <v>0</v>
      </c>
      <c r="E432" s="9" t="n">
        <f aca="false">E416+E420+E424</f>
        <v>0</v>
      </c>
      <c r="F432" s="9" t="n">
        <f aca="false">F416+F420+F424</f>
        <v>2.40267139853502</v>
      </c>
      <c r="G432" s="9" t="n">
        <f aca="false">G416+G420+G424</f>
        <v>2.94328798368285</v>
      </c>
      <c r="H432" s="9" t="n">
        <f aca="false">H416+H420+H424</f>
        <v>3.44246974190669</v>
      </c>
      <c r="I432" s="9" t="n">
        <f aca="false">I416+I420+I424</f>
        <v>3.36985137752368</v>
      </c>
    </row>
    <row r="433" customFormat="false" ht="15" hidden="false" customHeight="false" outlineLevel="0" collapsed="false">
      <c r="A433" s="0" t="s">
        <v>1667</v>
      </c>
      <c r="B433" s="5" t="s">
        <v>1317</v>
      </c>
      <c r="D433" s="9" t="n">
        <f aca="false">D417+D421+D425</f>
        <v>0</v>
      </c>
      <c r="E433" s="9" t="n">
        <f aca="false">E417+E421+E425</f>
        <v>0</v>
      </c>
      <c r="F433" s="9" t="n">
        <f aca="false">F417+F421+F425</f>
        <v>1.4302</v>
      </c>
      <c r="G433" s="9" t="n">
        <f aca="false">G417+G421+G425</f>
        <v>1.107</v>
      </c>
      <c r="H433" s="9" t="n">
        <f aca="false">H417+H421+H425</f>
        <v>1.245</v>
      </c>
      <c r="I433" s="9" t="n">
        <f aca="false">I417+I421+I425</f>
        <v>1.149</v>
      </c>
    </row>
    <row r="435" customFormat="false" ht="17.15" hidden="false" customHeight="false" outlineLevel="0" collapsed="false">
      <c r="A435" s="6" t="s">
        <v>1668</v>
      </c>
    </row>
    <row r="436" customFormat="false" ht="15" hidden="false" customHeight="false" outlineLevel="0" collapsed="false">
      <c r="A436" s="2" t="s">
        <v>1</v>
      </c>
      <c r="B436" s="2" t="s">
        <v>2</v>
      </c>
      <c r="C436" s="7" t="s">
        <v>1188</v>
      </c>
      <c r="D436" s="7" t="s">
        <v>1189</v>
      </c>
      <c r="E436" s="7" t="s">
        <v>1190</v>
      </c>
      <c r="F436" s="7" t="s">
        <v>1191</v>
      </c>
      <c r="G436" s="7" t="s">
        <v>1192</v>
      </c>
      <c r="H436" s="7" t="s">
        <v>1193</v>
      </c>
    </row>
    <row r="437" customFormat="false" ht="17.15" hidden="false" customHeight="false" outlineLevel="0" collapsed="false">
      <c r="A437" s="0" t="s">
        <v>1669</v>
      </c>
      <c r="B437" s="0" t="s">
        <v>1195</v>
      </c>
      <c r="D437" s="8" t="n">
        <f aca="false">IF(ISNUMBER(ai2_msft_2024),ai2_msft_2024,"")</f>
        <v>46.3369</v>
      </c>
      <c r="E437" s="8" t="n">
        <f aca="false">IF(ISNUMBER(ai2_msft_2025),ai2_msft_2025,"")</f>
        <v>76.712075</v>
      </c>
      <c r="F437" s="8" t="n">
        <f aca="false">IF(ISNUMBER(ai2_msft_2026),ai2_msft_2026,"")</f>
        <v>131.229375</v>
      </c>
      <c r="G437" s="8" t="n">
        <f aca="false">IF(ISNUMBER(ai2_msft_2027),ai2_msft_2027,"")</f>
        <v>174.08595</v>
      </c>
      <c r="H437" s="8" t="n">
        <f aca="false">IF(ISNUMBER(ai2_msft_2028),ai2_msft_2028,"")</f>
        <v>198.883</v>
      </c>
      <c r="I437" s="8" t="n">
        <f aca="false">IF(ISNUMBER(ai2_msft_2029),ai2_msft_2029,"")</f>
        <v>224.1719025</v>
      </c>
    </row>
    <row r="438" customFormat="false" ht="17.15" hidden="false" customHeight="false" outlineLevel="0" collapsed="false">
      <c r="A438" s="0" t="s">
        <v>1670</v>
      </c>
      <c r="B438" s="0" t="s">
        <v>1197</v>
      </c>
      <c r="D438" s="8" t="n">
        <f aca="false">IF(ISNUMBER(D437),(pit_msft_2024/(pit_msft_2024+pfac_msft_2024)*D437+pfac_msft_2024/(pit_msft_2024+pfac_msft_2024)*IF(AND(ISNUMBER(""),ISNUMBER("")),wb1*""+wb2*"",IF(ISNUMBER(""),"",D437)))/(pit_msft_2024+pfac_msft_2024),site_msft_2024)</f>
        <v>1.2662200199435</v>
      </c>
      <c r="E438" s="8" t="n">
        <f aca="false">IF(ISNUMBER(E437),(pit_msft_2025/(pit_msft_2025+pfac_msft_2025)*E437+pfac_msft_2025/(pit_msft_2025+pfac_msft_2025)*IF(AND(ISNUMBER(D437),ISNUMBER("")),wb1*D437+wb2*"",IF(ISNUMBER(D437),D437,E437)))/(pit_msft_2025+pfac_msft_2025),site_msft_2025)</f>
        <v>1.89413391980359</v>
      </c>
      <c r="F438" s="8" t="n">
        <f aca="false">IF(ISNUMBER(F437),(pit_msft_2026/(pit_msft_2026+pfac_msft_2026)*F437+pfac_msft_2026/(pit_msft_2026+pfac_msft_2026)*IF(AND(ISNUMBER(E437),ISNUMBER(D437)),wb1*E437+wb2*D437,IF(ISNUMBER(E437),E437,F437)))/(pit_msft_2026+pfac_msft_2026),site_msft_2026)</f>
        <v>2.73280981276305</v>
      </c>
      <c r="G438" s="8" t="n">
        <f aca="false">IF(ISNUMBER(G437),(pit_msft_2027/(pit_msft_2027+pfac_msft_2027)*G437+pfac_msft_2027/(pit_msft_2027+pfac_msft_2027)*IF(AND(ISNUMBER(F437),ISNUMBER(E437)),wb1*F437+wb2*E437,IF(ISNUMBER(F437),F437,G437)))/(pit_msft_2027+pfac_msft_2027),site_msft_2027)</f>
        <v>3.56447576934396</v>
      </c>
      <c r="H438" s="8" t="n">
        <f aca="false">IF(ISNUMBER(H437),(pit_msft_2028/(pit_msft_2028+pfac_msft_2028)*H437+pfac_msft_2028/(pit_msft_2028+pfac_msft_2028)*IF(AND(ISNUMBER(G437),ISNUMBER(F437)),wb1*G437+wb2*F437,IF(ISNUMBER(G437),G437,H437)))/(pit_msft_2028+pfac_msft_2028),site_msft_2028)</f>
        <v>4.06597876464757</v>
      </c>
      <c r="I438" s="8" t="n">
        <f aca="false">IF(ISNUMBER(I437),(pit_msft_2029/(pit_msft_2029+pfac_msft_2029)*I437+pfac_msft_2029/(pit_msft_2029+pfac_msft_2029)*IF(AND(ISNUMBER(H437),ISNUMBER(G437)),wb1*H437+wb2*G437,IF(ISNUMBER(H437),H437,I437)))/(pit_msft_2029+pfac_msft_2029),site_msft_2029)</f>
        <v>4.6644209987717</v>
      </c>
    </row>
    <row r="439" customFormat="false" ht="17.15" hidden="false" customHeight="false" outlineLevel="0" collapsed="false">
      <c r="A439" s="0" t="s">
        <v>1671</v>
      </c>
      <c r="B439" s="0" t="s">
        <v>1199</v>
      </c>
      <c r="E439" s="8" t="n">
        <f aca="false">(1-lag_hi)*E438+lag_hi*D438-inv_k*(E438-D438)</f>
        <v>1.51738557988753</v>
      </c>
      <c r="F439" s="8" t="n">
        <f aca="false">(1-lag_hi)*F438+lag_hi*E438-inv_k*(F438-E438)</f>
        <v>2.22960427698737</v>
      </c>
      <c r="G439" s="8" t="n">
        <f aca="false">(1-lag_hi)*G438+lag_hi*F438-inv_k*(G438-F438)</f>
        <v>3.06547619539541</v>
      </c>
      <c r="H439" s="8" t="n">
        <f aca="false">(1-lag_hi)*H438+lag_hi*G438-inv_k*(H438-G438)</f>
        <v>3.7650769674654</v>
      </c>
      <c r="I439" s="8" t="n">
        <f aca="false">(1-lag_hi)*I438+lag_hi*H438-inv_k*(I438-H438)</f>
        <v>4.30535565829722</v>
      </c>
    </row>
    <row r="440" customFormat="false" ht="17.15" hidden="false" customHeight="false" outlineLevel="0" collapsed="false">
      <c r="A440" s="0" t="s">
        <v>1672</v>
      </c>
      <c r="B440" s="0" t="s">
        <v>1201</v>
      </c>
      <c r="D440" s="8" t="str">
        <f aca="false">""</f>
        <v/>
      </c>
      <c r="E440" s="8" t="n">
        <f aca="false">(6/12*cap2_msft_2025+6/12*gcap_msft_2026)*ai_sh</f>
        <v>89.186675</v>
      </c>
      <c r="F440" s="8" t="n">
        <f aca="false">(6/12*gcap_msft_2026+6/12*gcap_msft_2027)*ai_sh</f>
        <v>148.5375</v>
      </c>
      <c r="G440" s="8" t="n">
        <f aca="false">(6/12*gcap_msft_2027+6/12*gcap_msft_2028)*ai_sh</f>
        <v>185.939575275</v>
      </c>
      <c r="H440" s="8" t="n">
        <f aca="false">(6/12*gcap_msft_2028+6/12*gcap_msft_2029)*ai_sh</f>
        <v>202.7978586</v>
      </c>
      <c r="I440" s="8" t="n">
        <f aca="false">(6/12*gcap_msft_2029+6/12*gcap_msft_2030)*ai_sh</f>
        <v>197.6117298</v>
      </c>
    </row>
    <row r="441" customFormat="false" ht="17.15" hidden="false" customHeight="false" outlineLevel="0" collapsed="false">
      <c r="A441" s="0" t="s">
        <v>1673</v>
      </c>
      <c r="B441" s="0" t="s">
        <v>1197</v>
      </c>
      <c r="D441" s="8" t="n">
        <f aca="false">IF(ISNUMBER(D440),(pit_msft_2024/(pit_msft_2024+pfac_msft_2024)*D440+pfac_msft_2024/(pit_msft_2024+pfac_msft_2024)*IF(AND(ISNUMBER(""),ISNUMBER("")),wb1*""+wb2*"",IF(ISNUMBER(""),"",D440)))/(pit_msft_2024+pfac_msft_2024),site_msft_2024)</f>
        <v>0</v>
      </c>
      <c r="E441" s="8" t="n">
        <f aca="false">IF(ISNUMBER(E440),(pit_msft_2025/(pit_msft_2025+pfac_msft_2025)*E440+pfac_msft_2025/(pit_msft_2025+pfac_msft_2025)*IF(AND(ISNUMBER(D440),ISNUMBER("")),wb1*D440+wb2*"",IF(ISNUMBER(D440),D440,E440)))/(pit_msft_2025+pfac_msft_2025),site_msft_2025)</f>
        <v>2.51576435599185</v>
      </c>
      <c r="F441" s="8" t="n">
        <f aca="false">IF(ISNUMBER(F440),(pit_msft_2026/(pit_msft_2026+pfac_msft_2026)*F440+pfac_msft_2026/(pit_msft_2026+pfac_msft_2026)*IF(AND(ISNUMBER(E440),ISNUMBER(D440)),wb1*E440+wb2*D440,IF(ISNUMBER(E440),E440,F440)))/(pit_msft_2026+pfac_msft_2026),site_msft_2026)</f>
        <v>3.22245015720519</v>
      </c>
      <c r="G441" s="8" t="n">
        <f aca="false">IF(ISNUMBER(G440),(pit_msft_2027/(pit_msft_2027+pfac_msft_2027)*G440+pfac_msft_2027/(pit_msft_2027+pfac_msft_2027)*IF(AND(ISNUMBER(F440),ISNUMBER(E440)),wb1*F440+wb2*E440,IF(ISNUMBER(F440),F440,G440)))/(pit_msft_2027+pfac_msft_2027),site_msft_2027)</f>
        <v>3.85144347642322</v>
      </c>
      <c r="H441" s="8" t="n">
        <f aca="false">IF(ISNUMBER(H440),(pit_msft_2028/(pit_msft_2028+pfac_msft_2028)*H440+pfac_msft_2028/(pit_msft_2028+pfac_msft_2028)*IF(AND(ISNUMBER(G440),ISNUMBER(F440)),wb1*G440+wb2*F440,IF(ISNUMBER(G440),G440,H440)))/(pit_msft_2028+pfac_msft_2028),site_msft_2028)</f>
        <v>4.20542058770135</v>
      </c>
      <c r="I441" s="8" t="n">
        <f aca="false">IF(ISNUMBER(I440),(pit_msft_2029/(pit_msft_2029+pfac_msft_2029)*I440+pfac_msft_2029/(pit_msft_2029+pfac_msft_2029)*IF(AND(ISNUMBER(H440),ISNUMBER(G440)),wb1*H440+wb2*G440,IF(ISNUMBER(H440),H440,I440)))/(pit_msft_2029+pfac_msft_2029),site_msft_2029)</f>
        <v>4.26588923952249</v>
      </c>
    </row>
    <row r="442" customFormat="false" ht="17.15" hidden="false" customHeight="false" outlineLevel="0" collapsed="false">
      <c r="A442" s="0" t="s">
        <v>1674</v>
      </c>
      <c r="B442" s="0" t="s">
        <v>1199</v>
      </c>
      <c r="E442" s="8" t="n">
        <f aca="false">(1-lag_hi)*E441+lag_hi*D441-inv_k*(E441-D441)</f>
        <v>1.00630574239674</v>
      </c>
      <c r="F442" s="8" t="n">
        <f aca="false">(1-lag_hi)*F441+lag_hi*E441-inv_k*(F441-E441)</f>
        <v>2.79843867647718</v>
      </c>
      <c r="G442" s="8" t="n">
        <f aca="false">(1-lag_hi)*G441+lag_hi*F441-inv_k*(G441-F441)</f>
        <v>3.4740474848924</v>
      </c>
      <c r="H442" s="8" t="n">
        <f aca="false">(1-lag_hi)*H441+lag_hi*G441-inv_k*(H441-G441)</f>
        <v>3.99303432093447</v>
      </c>
      <c r="I442" s="8" t="n">
        <f aca="false">(1-lag_hi)*I441+lag_hi*H441-inv_k*(I441-H441)</f>
        <v>4.22960804842981</v>
      </c>
    </row>
    <row r="443" customFormat="false" ht="17.15" hidden="false" customHeight="false" outlineLevel="0" collapsed="false">
      <c r="A443" s="0" t="s">
        <v>1675</v>
      </c>
      <c r="B443" s="0" t="s">
        <v>1205</v>
      </c>
      <c r="D443" s="8" t="n">
        <f aca="false">site_msft_2024</f>
        <v>0</v>
      </c>
      <c r="E443" s="8" t="n">
        <f aca="false">site_msft_2025</f>
        <v>2.13527</v>
      </c>
      <c r="F443" s="8" t="n">
        <f aca="false">site_msft_2026</f>
        <v>0.770955</v>
      </c>
      <c r="G443" s="8" t="n">
        <f aca="false">site_msft_2027</f>
        <v>1.04</v>
      </c>
      <c r="H443" s="8" t="n">
        <f aca="false">site_msft_2028</f>
        <v>1.67</v>
      </c>
      <c r="I443" s="8" t="n">
        <f aca="false">site_msft_2029</f>
        <v>0.144</v>
      </c>
    </row>
    <row r="444" customFormat="false" ht="17.15" hidden="false" customHeight="false" outlineLevel="0" collapsed="false">
      <c r="A444" s="0" t="s">
        <v>1676</v>
      </c>
      <c r="B444" s="0" t="s">
        <v>1207</v>
      </c>
      <c r="D444" s="8" t="str">
        <f aca="false">IF(ISNUMBER(ai2_googl_2024),ai2_googl_2024,"")</f>
        <v/>
      </c>
      <c r="E444" s="8" t="n">
        <f aca="false">IF(ISNUMBER(ai2_googl_2025),ai2_googl_2025,"")</f>
        <v>77.72995</v>
      </c>
      <c r="F444" s="8" t="n">
        <f aca="false">IF(ISNUMBER(ai2_googl_2026),ai2_googl_2026,"")</f>
        <v>170</v>
      </c>
      <c r="G444" s="8" t="n">
        <f aca="false">IF(ISNUMBER(ai2_googl_2027),ai2_googl_2027,"")</f>
        <v>255.83215</v>
      </c>
      <c r="H444" s="8" t="n">
        <f aca="false">IF(ISNUMBER(ai2_googl_2028),ai2_googl_2028,"")</f>
        <v>288.53335</v>
      </c>
      <c r="I444" s="8" t="n">
        <f aca="false">IF(ISNUMBER(ai2_googl_2029),ai2_googl_2029,"")</f>
        <v>317.386685</v>
      </c>
    </row>
    <row r="445" customFormat="false" ht="17.15" hidden="false" customHeight="false" outlineLevel="0" collapsed="false">
      <c r="A445" s="0" t="s">
        <v>1677</v>
      </c>
      <c r="B445" s="0" t="s">
        <v>1209</v>
      </c>
      <c r="D445" s="8" t="n">
        <f aca="false">IF(ISNUMBER(D444),(pit_googl_2024/(pit_googl_2024+pfac_googl_2024)*D444+pfac_googl_2024/(pit_googl_2024+pfac_googl_2024)*IF(AND(ISNUMBER(""),ISNUMBER("")),wb1*""+wb2*"",IF(ISNUMBER(""),"",D444)))/(pit_googl_2024+pfac_googl_2024),site_googl_2024)</f>
        <v>1.32980834349181</v>
      </c>
      <c r="E445" s="8" t="n">
        <f aca="false">IF(ISNUMBER(E444),(pit_googl_2025/(pit_googl_2025+pfac_googl_2025)*E444+pfac_googl_2025/(pit_googl_2025+pfac_googl_2025)*IF(AND(ISNUMBER(D444),ISNUMBER("")),wb1*D444+wb2*"",IF(ISNUMBER(D444),D444,E444)))/(pit_googl_2025+pfac_googl_2025),site_googl_2025)</f>
        <v>2.15653802290354</v>
      </c>
      <c r="F445" s="8" t="n">
        <f aca="false">IF(ISNUMBER(F444),(pit_googl_2026/(pit_googl_2026+pfac_googl_2026)*F444+pfac_googl_2026/(pit_googl_2026+pfac_googl_2026)*IF(AND(ISNUMBER(E444),ISNUMBER(D444)),wb1*E444+wb2*D444,IF(ISNUMBER(E444),E444,F444)))/(pit_googl_2026+pfac_googl_2026),site_googl_2026)</f>
        <v>3.85777511610307</v>
      </c>
      <c r="G445" s="8" t="n">
        <f aca="false">IF(ISNUMBER(G444),(pit_googl_2027/(pit_googl_2027+pfac_googl_2027)*G444+pfac_googl_2027/(pit_googl_2027+pfac_googl_2027)*IF(AND(ISNUMBER(F444),ISNUMBER(E444)),wb1*F444+wb2*E444,IF(ISNUMBER(F444),F444,G444)))/(pit_googl_2027+pfac_googl_2027),site_googl_2027)</f>
        <v>5.69768565998842</v>
      </c>
      <c r="H445" s="8" t="n">
        <f aca="false">IF(ISNUMBER(H444),(pit_googl_2028/(pit_googl_2028+pfac_googl_2028)*H444+pfac_googl_2028/(pit_googl_2028+pfac_googl_2028)*IF(AND(ISNUMBER(G444),ISNUMBER(F444)),wb1*G444+wb2*F444,IF(ISNUMBER(G444),G444,H444)))/(pit_googl_2028+pfac_googl_2028),site_googl_2028)</f>
        <v>6.77682412398345</v>
      </c>
      <c r="I445" s="8" t="n">
        <f aca="false">IF(ISNUMBER(I444),(pit_googl_2029/(pit_googl_2029+pfac_googl_2029)*I444+pfac_googl_2029/(pit_googl_2029+pfac_googl_2029)*IF(AND(ISNUMBER(H444),ISNUMBER(G444)),wb1*H444+wb2*G444,IF(ISNUMBER(H444),H444,I444)))/(pit_googl_2029+pfac_googl_2029),site_googl_2029)</f>
        <v>7.68929590970477</v>
      </c>
    </row>
    <row r="446" customFormat="false" ht="17.15" hidden="false" customHeight="false" outlineLevel="0" collapsed="false">
      <c r="A446" s="0" t="s">
        <v>1678</v>
      </c>
      <c r="B446" s="0" t="s">
        <v>1211</v>
      </c>
      <c r="E446" s="8" t="n">
        <f aca="false">(1-lag_hi)*E445+lag_hi*D445-inv_k*(E445-D445)</f>
        <v>1.6605002152565</v>
      </c>
      <c r="F446" s="8" t="n">
        <f aca="false">(1-lag_hi)*F445+lag_hi*E445-inv_k*(F445-E445)</f>
        <v>2.83703286018335</v>
      </c>
      <c r="G446" s="8" t="n">
        <f aca="false">(1-lag_hi)*G445+lag_hi*F445-inv_k*(G445-F445)</f>
        <v>4.59373933365721</v>
      </c>
      <c r="H446" s="8" t="n">
        <f aca="false">(1-lag_hi)*H445+lag_hi*G445-inv_k*(H445-G445)</f>
        <v>6.12934104558643</v>
      </c>
      <c r="I446" s="8" t="n">
        <f aca="false">(1-lag_hi)*I445+lag_hi*H445-inv_k*(I445-H445)</f>
        <v>7.14181283827198</v>
      </c>
    </row>
    <row r="447" customFormat="false" ht="17.15" hidden="false" customHeight="false" outlineLevel="0" collapsed="false">
      <c r="A447" s="0" t="s">
        <v>1679</v>
      </c>
      <c r="B447" s="0" t="s">
        <v>1213</v>
      </c>
      <c r="D447" s="8" t="n">
        <f aca="false">gcap_googl_2024*ai_sh</f>
        <v>44.65475</v>
      </c>
      <c r="E447" s="8" t="n">
        <f aca="false">gcap_googl_2025*ai_sh</f>
        <v>77.72995</v>
      </c>
      <c r="F447" s="8" t="n">
        <f aca="false">gcap_googl_2026*ai_sh</f>
        <v>170</v>
      </c>
      <c r="G447" s="8" t="n">
        <f aca="false">gcap_googl_2027*ai_sh</f>
        <v>246.810369</v>
      </c>
      <c r="H447" s="8" t="n">
        <f aca="false">gcap_googl_2028*ai_sh</f>
        <v>269.78900975</v>
      </c>
      <c r="I447" s="8" t="n">
        <f aca="false">gcap_googl_2029*ai_sh</f>
        <v>248.6767412</v>
      </c>
    </row>
    <row r="448" customFormat="false" ht="17.15" hidden="false" customHeight="false" outlineLevel="0" collapsed="false">
      <c r="A448" s="0" t="s">
        <v>1680</v>
      </c>
      <c r="B448" s="0" t="s">
        <v>1209</v>
      </c>
      <c r="D448" s="8" t="n">
        <f aca="false">IF(ISNUMBER(D447),(pit_googl_2024/(pit_googl_2024+pfac_googl_2024)*D447+pfac_googl_2024/(pit_googl_2024+pfac_googl_2024)*IF(AND(ISNUMBER(""),ISNUMBER("")),wb1*""+wb2*"",IF(ISNUMBER(""),"",D447)))/(pit_googl_2024+pfac_googl_2024),site_googl_2024)</f>
        <v>1.22628577156267</v>
      </c>
      <c r="E448" s="8" t="n">
        <f aca="false">IF(ISNUMBER(E447),(pit_googl_2025/(pit_googl_2025+pfac_googl_2025)*E447+pfac_googl_2025/(pit_googl_2025+pfac_googl_2025)*IF(AND(ISNUMBER(D447),ISNUMBER("")),wb1*D447+wb2*"",IF(ISNUMBER(D447),D447,E447)))/(pit_googl_2025+pfac_googl_2025),site_googl_2025)</f>
        <v>1.90684085060084</v>
      </c>
      <c r="F448" s="8" t="n">
        <f aca="false">IF(ISNUMBER(F447),(pit_googl_2026/(pit_googl_2026+pfac_googl_2026)*F447+pfac_googl_2026/(pit_googl_2026+pfac_googl_2026)*IF(AND(ISNUMBER(E447),ISNUMBER(D447)),wb1*E447+wb2*D447,IF(ISNUMBER(E447),E447,F447)))/(pit_googl_2026+pfac_googl_2026),site_googl_2026)</f>
        <v>3.74469414665129</v>
      </c>
      <c r="G448" s="8" t="n">
        <f aca="false">IF(ISNUMBER(G447),(pit_googl_2027/(pit_googl_2027+pfac_googl_2027)*G447+pfac_googl_2027/(pit_googl_2027+pfac_googl_2027)*IF(AND(ISNUMBER(F447),ISNUMBER(E447)),wb1*F447+wb2*E447,IF(ISNUMBER(F447),F447,G447)))/(pit_googl_2027+pfac_googl_2027),site_googl_2027)</f>
        <v>5.52479710641755</v>
      </c>
      <c r="H448" s="8" t="n">
        <f aca="false">IF(ISNUMBER(H447),(pit_googl_2028/(pit_googl_2028+pfac_googl_2028)*H447+pfac_googl_2028/(pit_googl_2028+pfac_googl_2028)*IF(AND(ISNUMBER(G447),ISNUMBER(F447)),wb1*G447+wb2*F447,IF(ISNUMBER(G447),G447,H447)))/(pit_googl_2028+pfac_googl_2028),site_googl_2028)</f>
        <v>6.39420249958533</v>
      </c>
      <c r="I448" s="8" t="n">
        <f aca="false">IF(ISNUMBER(I447),(pit_googl_2029/(pit_googl_2029+pfac_googl_2029)*I447+pfac_googl_2029/(pit_googl_2029+pfac_googl_2029)*IF(AND(ISNUMBER(H447),ISNUMBER(G447)),wb1*H447+wb2*G447,IF(ISNUMBER(H447),H447,I447)))/(pit_googl_2029+pfac_googl_2029),site_googl_2029)</f>
        <v>6.30314197516365</v>
      </c>
    </row>
    <row r="449" customFormat="false" ht="17.15" hidden="false" customHeight="false" outlineLevel="0" collapsed="false">
      <c r="A449" s="0" t="s">
        <v>1681</v>
      </c>
      <c r="B449" s="0" t="s">
        <v>1211</v>
      </c>
      <c r="E449" s="8" t="n">
        <f aca="false">(1-lag_hi)*E448+lag_hi*D448-inv_k*(E448-D448)</f>
        <v>1.49850780317793</v>
      </c>
      <c r="F449" s="8" t="n">
        <f aca="false">(1-lag_hi)*F448+lag_hi*E448-inv_k*(F448-E448)</f>
        <v>2.64198216902102</v>
      </c>
      <c r="G449" s="8" t="n">
        <f aca="false">(1-lag_hi)*G448+lag_hi*F448-inv_k*(G448-F448)</f>
        <v>4.45673533055779</v>
      </c>
      <c r="H449" s="8" t="n">
        <f aca="false">(1-lag_hi)*H448+lag_hi*G448-inv_k*(H448-G448)</f>
        <v>5.87255926368466</v>
      </c>
      <c r="I449" s="8" t="n">
        <f aca="false">(1-lag_hi)*I448+lag_hi*H448-inv_k*(I448-H448)</f>
        <v>6.35777828981666</v>
      </c>
    </row>
    <row r="450" customFormat="false" ht="17.15" hidden="false" customHeight="false" outlineLevel="0" collapsed="false">
      <c r="A450" s="0" t="s">
        <v>1682</v>
      </c>
      <c r="B450" s="0" t="s">
        <v>1217</v>
      </c>
      <c r="D450" s="8" t="n">
        <f aca="false">site_googl_2024</f>
        <v>1.32980834349181</v>
      </c>
      <c r="E450" s="8" t="n">
        <f aca="false">site_googl_2025</f>
        <v>2.40961330082622</v>
      </c>
      <c r="F450" s="8" t="n">
        <f aca="false">site_googl_2026</f>
        <v>1.29267912772586</v>
      </c>
      <c r="G450" s="8" t="n">
        <f aca="false">site_googl_2027</f>
        <v>1.626</v>
      </c>
      <c r="H450" s="8" t="n">
        <f aca="false">site_googl_2028</f>
        <v>0.833333333333334</v>
      </c>
      <c r="I450" s="8" t="n">
        <f aca="false">site_googl_2029</f>
        <v>0</v>
      </c>
    </row>
    <row r="451" customFormat="false" ht="17.15" hidden="false" customHeight="false" outlineLevel="0" collapsed="false">
      <c r="A451" s="0" t="s">
        <v>1683</v>
      </c>
      <c r="B451" s="0" t="s">
        <v>1219</v>
      </c>
      <c r="D451" s="8" t="str">
        <f aca="false">IF(ISNUMBER(ai2_amzn_2024),ai2_amzn_2024,"")</f>
        <v/>
      </c>
      <c r="E451" s="8" t="n">
        <f aca="false">IF(ISNUMBER(ai2_amzn_2025),ai2_amzn_2025,"")</f>
        <v>87.2576</v>
      </c>
      <c r="F451" s="8" t="n">
        <f aca="false">IF(ISNUMBER(ai2_amzn_2026),ai2_amzn_2026,"")</f>
        <v>149.6</v>
      </c>
      <c r="G451" s="8" t="n">
        <f aca="false">IF(ISNUMBER(ai2_amzn_2027),ai2_amzn_2027,"")</f>
        <v>187.04284</v>
      </c>
      <c r="H451" s="8" t="n">
        <f aca="false">IF(ISNUMBER(ai2_amzn_2028),ai2_amzn_2028,"")</f>
        <v>199.19036</v>
      </c>
      <c r="I451" s="8" t="n">
        <f aca="false">IF(ISNUMBER(ai2_amzn_2029),ai2_amzn_2029,"")</f>
        <v>219.109396</v>
      </c>
    </row>
    <row r="452" customFormat="false" ht="17.15" hidden="false" customHeight="false" outlineLevel="0" collapsed="false">
      <c r="A452" s="0" t="s">
        <v>1684</v>
      </c>
      <c r="B452" s="0" t="s">
        <v>1221</v>
      </c>
      <c r="D452" s="8" t="n">
        <f aca="false">IF(ISNUMBER(D451),(pit_amzn_2024/(pit_amzn_2024+pfac_amzn_2024)*D451+pfac_amzn_2024/(pit_amzn_2024+pfac_amzn_2024)*IF(AND(ISNUMBER(""),ISNUMBER("")),wb1*""+wb2*"",IF(ISNUMBER(""),"",D451)))/(pit_amzn_2024+pfac_amzn_2024),site_amzn_2024)</f>
        <v>0</v>
      </c>
      <c r="E452" s="8" t="n">
        <f aca="false">IF(ISNUMBER(E451),(pit_amzn_2025/(pit_amzn_2025+pfac_amzn_2025)*E451+pfac_amzn_2025/(pit_amzn_2025+pfac_amzn_2025)*IF(AND(ISNUMBER(D451),ISNUMBER("")),wb1*D451+wb2*"",IF(ISNUMBER(D451),D451,E451)))/(pit_amzn_2025+pfac_amzn_2025),site_amzn_2025)</f>
        <v>2.6200438487091</v>
      </c>
      <c r="F452" s="8" t="n">
        <f aca="false">IF(ISNUMBER(F451),(pit_amzn_2026/(pit_amzn_2026+pfac_amzn_2026)*F451+pfac_amzn_2026/(pit_amzn_2026+pfac_amzn_2026)*IF(AND(ISNUMBER(E451),ISNUMBER(D451)),wb1*E451+wb2*D451,IF(ISNUMBER(E451),E451,F451)))/(pit_amzn_2026+pfac_amzn_2026),site_amzn_2026)</f>
        <v>3.72830685774426</v>
      </c>
      <c r="G452" s="8" t="n">
        <f aca="false">IF(ISNUMBER(G451),(pit_amzn_2027/(pit_amzn_2027+pfac_amzn_2027)*G451+pfac_amzn_2027/(pit_amzn_2027+pfac_amzn_2027)*IF(AND(ISNUMBER(F451),ISNUMBER(E451)),wb1*F451+wb2*E451,IF(ISNUMBER(F451),F451,G451)))/(pit_amzn_2027+pfac_amzn_2027),site_amzn_2027)</f>
        <v>4.54496548273742</v>
      </c>
      <c r="H452" s="8" t="n">
        <f aca="false">IF(ISNUMBER(H451),(pit_amzn_2028/(pit_amzn_2028+pfac_amzn_2028)*H451+pfac_amzn_2028/(pit_amzn_2028+pfac_amzn_2028)*IF(AND(ISNUMBER(G451),ISNUMBER(F451)),wb1*G451+wb2*F451,IF(ISNUMBER(G451),G451,H451)))/(pit_amzn_2028+pfac_amzn_2028),site_amzn_2028)</f>
        <v>4.99623819927339</v>
      </c>
      <c r="I452" s="8" t="n">
        <f aca="false">IF(ISNUMBER(I451),(pit_amzn_2029/(pit_amzn_2029+pfac_amzn_2029)*I451+pfac_amzn_2029/(pit_amzn_2029+pfac_amzn_2029)*IF(AND(ISNUMBER(H451),ISNUMBER(G451)),wb1*H451+wb2*G451,IF(ISNUMBER(H451),H451,I451)))/(pit_amzn_2029+pfac_amzn_2029),site_amzn_2029)</f>
        <v>5.54650880690247</v>
      </c>
    </row>
    <row r="453" customFormat="false" ht="17.15" hidden="false" customHeight="false" outlineLevel="0" collapsed="false">
      <c r="A453" s="0" t="s">
        <v>1685</v>
      </c>
      <c r="B453" s="0" t="s">
        <v>1223</v>
      </c>
      <c r="E453" s="8" t="n">
        <f aca="false">(1-lag_hi)*E452+lag_hi*D452-inv_k*(E452-D452)</f>
        <v>1.04801753948364</v>
      </c>
      <c r="F453" s="8" t="n">
        <f aca="false">(1-lag_hi)*F452+lag_hi*E452-inv_k*(F452-E452)</f>
        <v>3.06334905232316</v>
      </c>
      <c r="G453" s="8" t="n">
        <f aca="false">(1-lag_hi)*G452+lag_hi*F452-inv_k*(G452-F452)</f>
        <v>4.05497030774153</v>
      </c>
      <c r="H453" s="8" t="n">
        <f aca="false">(1-lag_hi)*H452+lag_hi*G452-inv_k*(H452-G452)</f>
        <v>4.72547456935181</v>
      </c>
      <c r="I453" s="8" t="n">
        <f aca="false">(1-lag_hi)*I452+lag_hi*H452-inv_k*(I452-H452)</f>
        <v>5.21634644232502</v>
      </c>
    </row>
    <row r="454" customFormat="false" ht="17.15" hidden="false" customHeight="false" outlineLevel="0" collapsed="false">
      <c r="A454" s="0" t="s">
        <v>1686</v>
      </c>
      <c r="B454" s="0" t="s">
        <v>1225</v>
      </c>
      <c r="D454" s="8" t="n">
        <f aca="false">gcap_amzn_2024*ai_amzn</f>
        <v>52.80744</v>
      </c>
      <c r="E454" s="8" t="n">
        <f aca="false">gcap_amzn_2025*ai_amzn</f>
        <v>87.2576</v>
      </c>
      <c r="F454" s="8" t="n">
        <f aca="false">gcap_amzn_2026*ai_amzn</f>
        <v>149.6</v>
      </c>
      <c r="G454" s="8" t="n">
        <f aca="false">gcap_amzn_2027*ai_amzn</f>
        <v>172.09445848</v>
      </c>
      <c r="H454" s="8" t="n">
        <f aca="false">gcap_amzn_2028*ai_amzn</f>
        <v>181.54066624</v>
      </c>
      <c r="I454" s="8" t="n">
        <f aca="false">gcap_amzn_2029*ai_amzn</f>
        <v>189.3160052</v>
      </c>
    </row>
    <row r="455" customFormat="false" ht="17.15" hidden="false" customHeight="false" outlineLevel="0" collapsed="false">
      <c r="A455" s="0" t="s">
        <v>1687</v>
      </c>
      <c r="B455" s="0" t="s">
        <v>1221</v>
      </c>
      <c r="D455" s="8" t="n">
        <f aca="false">IF(ISNUMBER(D454),(pit_amzn_2024/(pit_amzn_2024+pfac_amzn_2024)*D454+pfac_amzn_2024/(pit_amzn_2024+pfac_amzn_2024)*IF(AND(ISNUMBER(""),ISNUMBER("")),wb1*""+wb2*"",IF(ISNUMBER(""),"",D454)))/(pit_amzn_2024+pfac_amzn_2024),site_amzn_2024)</f>
        <v>1.56238534864816</v>
      </c>
      <c r="E455" s="8" t="n">
        <f aca="false">IF(ISNUMBER(E454),(pit_amzn_2025/(pit_amzn_2025+pfac_amzn_2025)*E454+pfac_amzn_2025/(pit_amzn_2025+pfac_amzn_2025)*IF(AND(ISNUMBER(D454),ISNUMBER("")),wb1*D454+wb2*"",IF(ISNUMBER(D454),D454,E454)))/(pit_amzn_2025+pfac_amzn_2025),site_amzn_2025)</f>
        <v>2.32934283296825</v>
      </c>
      <c r="F455" s="8" t="n">
        <f aca="false">IF(ISNUMBER(F454),(pit_amzn_2026/(pit_amzn_2026+pfac_amzn_2026)*F454+pfac_amzn_2026/(pit_amzn_2026+pfac_amzn_2026)*IF(AND(ISNUMBER(E454),ISNUMBER(D454)),wb1*E454+wb2*D454,IF(ISNUMBER(E454),E454,F454)))/(pit_amzn_2026+pfac_amzn_2026),site_amzn_2026)</f>
        <v>3.60214892289839</v>
      </c>
      <c r="G455" s="8" t="n">
        <f aca="false">IF(ISNUMBER(G454),(pit_amzn_2027/(pit_amzn_2027+pfac_amzn_2027)*G454+pfac_amzn_2027/(pit_amzn_2027+pfac_amzn_2027)*IF(AND(ISNUMBER(F454),ISNUMBER(E454)),wb1*F454+wb2*E454,IF(ISNUMBER(F454),F454,G454)))/(pit_amzn_2027+pfac_amzn_2027),site_amzn_2027)</f>
        <v>4.24515505663672</v>
      </c>
      <c r="H455" s="8" t="n">
        <f aca="false">IF(ISNUMBER(H454),(pit_amzn_2028/(pit_amzn_2028+pfac_amzn_2028)*H454+pfac_amzn_2028/(pit_amzn_2028+pfac_amzn_2028)*IF(AND(ISNUMBER(G454),ISNUMBER(F454)),wb1*G454+wb2*F454,IF(ISNUMBER(G454),G454,H454)))/(pit_amzn_2028+pfac_amzn_2028),site_amzn_2028)</f>
        <v>4.60085769114469</v>
      </c>
      <c r="I455" s="8" t="n">
        <f aca="false">IF(ISNUMBER(I454),(pit_amzn_2029/(pit_amzn_2029+pfac_amzn_2029)*I454+pfac_amzn_2029/(pit_amzn_2029+pfac_amzn_2029)*IF(AND(ISNUMBER(H454),ISNUMBER(G454)),wb1*H454+wb2*G454,IF(ISNUMBER(H454),H454,I454)))/(pit_amzn_2029+pfac_amzn_2029),site_amzn_2029)</f>
        <v>4.85567033897056</v>
      </c>
    </row>
    <row r="456" customFormat="false" ht="17.15" hidden="false" customHeight="false" outlineLevel="0" collapsed="false">
      <c r="A456" s="0" t="s">
        <v>1688</v>
      </c>
      <c r="B456" s="0" t="s">
        <v>1223</v>
      </c>
      <c r="E456" s="8" t="n">
        <f aca="false">(1-lag_hi)*E455+lag_hi*D455-inv_k*(E455-D455)</f>
        <v>1.8691683423762</v>
      </c>
      <c r="F456" s="8" t="n">
        <f aca="false">(1-lag_hi)*F455+lag_hi*E455-inv_k*(F455-E455)</f>
        <v>2.83846526894031</v>
      </c>
      <c r="G456" s="8" t="n">
        <f aca="false">(1-lag_hi)*G455+lag_hi*F455-inv_k*(G455-F455)</f>
        <v>3.85935137639372</v>
      </c>
      <c r="H456" s="8" t="n">
        <f aca="false">(1-lag_hi)*H455+lag_hi*G455-inv_k*(H455-G455)</f>
        <v>4.38743611043991</v>
      </c>
      <c r="I456" s="8" t="n">
        <f aca="false">(1-lag_hi)*I455+lag_hi*H455-inv_k*(I455-H455)</f>
        <v>4.70278275027504</v>
      </c>
    </row>
    <row r="457" customFormat="false" ht="17.15" hidden="false" customHeight="false" outlineLevel="0" collapsed="false">
      <c r="A457" s="0" t="s">
        <v>1689</v>
      </c>
      <c r="B457" s="0" t="s">
        <v>1229</v>
      </c>
      <c r="D457" s="8" t="n">
        <f aca="false">site_amzn_2024</f>
        <v>0</v>
      </c>
      <c r="E457" s="8" t="n">
        <f aca="false">site_amzn_2025</f>
        <v>1.38971599402093</v>
      </c>
      <c r="F457" s="8" t="n">
        <f aca="false">site_amzn_2026</f>
        <v>0.527</v>
      </c>
      <c r="G457" s="8" t="n">
        <f aca="false">site_amzn_2027</f>
        <v>0.364</v>
      </c>
      <c r="H457" s="8" t="n">
        <f aca="false">site_amzn_2028</f>
        <v>1.744</v>
      </c>
      <c r="I457" s="8" t="n">
        <f aca="false">site_amzn_2029</f>
        <v>0.0620000000000003</v>
      </c>
    </row>
    <row r="458" customFormat="false" ht="17.15" hidden="false" customHeight="false" outlineLevel="0" collapsed="false">
      <c r="A458" s="0" t="s">
        <v>1690</v>
      </c>
      <c r="B458" s="0" t="s">
        <v>1231</v>
      </c>
      <c r="D458" s="8" t="str">
        <f aca="false">IF(ISNUMBER(ai2_meta_2024),ai2_meta_2024,"")</f>
        <v/>
      </c>
      <c r="E458" s="8" t="str">
        <f aca="false">IF(ISNUMBER(ai2_meta_2025),ai2_meta_2025,"")</f>
        <v/>
      </c>
      <c r="F458" s="8" t="n">
        <f aca="false">IF(ISNUMBER(ai2_meta_2026),ai2_meta_2026,"")</f>
        <v>119</v>
      </c>
      <c r="G458" s="8" t="n">
        <f aca="false">IF(ISNUMBER(ai2_meta_2027),ai2_meta_2027,"")</f>
        <v>130.9</v>
      </c>
      <c r="H458" s="8" t="n">
        <f aca="false">IF(ISNUMBER(ai2_meta_2028),ai2_meta_2028,"")</f>
        <v>143.99</v>
      </c>
      <c r="I458" s="8" t="n">
        <f aca="false">IF(ISNUMBER(ai2_meta_2029),ai2_meta_2029,"")</f>
        <v>158.389</v>
      </c>
    </row>
    <row r="459" customFormat="false" ht="17.15" hidden="false" customHeight="false" outlineLevel="0" collapsed="false">
      <c r="A459" s="0" t="s">
        <v>1691</v>
      </c>
      <c r="B459" s="0" t="s">
        <v>1233</v>
      </c>
      <c r="D459" s="8" t="n">
        <f aca="false">IF(ISNUMBER(D458),(pit_meta_2024/(pit_meta_2024+pfac_meta_2024)*D458+pfac_meta_2024/(pit_meta_2024+pfac_meta_2024)*IF(AND(ISNUMBER(""),ISNUMBER("")),wb1*""+wb2*"",IF(ISNUMBER(""),"",D458)))/(pit_meta_2024+pfac_meta_2024),site_meta_2024)</f>
        <v>0</v>
      </c>
      <c r="E459" s="8" t="n">
        <f aca="false">IF(ISNUMBER(E458),(pit_meta_2025/(pit_meta_2025+pfac_meta_2025)*E458+pfac_meta_2025/(pit_meta_2025+pfac_meta_2025)*IF(AND(ISNUMBER(D458),ISNUMBER("")),wb1*D458+wb2*"",IF(ISNUMBER(D458),D458,E458)))/(pit_meta_2025+pfac_meta_2025),site_meta_2025)</f>
        <v>1.50812</v>
      </c>
      <c r="F459" s="8" t="n">
        <f aca="false">IF(ISNUMBER(F458),(pit_meta_2026/(pit_meta_2026+pfac_meta_2026)*F458+pfac_meta_2026/(pit_meta_2026+pfac_meta_2026)*IF(AND(ISNUMBER(E458),ISNUMBER(D458)),wb1*E458+wb2*D458,IF(ISNUMBER(E458),E458,F458)))/(pit_meta_2026+pfac_meta_2026),site_meta_2026)</f>
        <v>2.62796503624796</v>
      </c>
      <c r="G459" s="8" t="n">
        <f aca="false">IF(ISNUMBER(G458),(pit_meta_2027/(pit_meta_2027+pfac_meta_2027)*G458+pfac_meta_2027/(pit_meta_2027+pfac_meta_2027)*IF(AND(ISNUMBER(F458),ISNUMBER(E458)),wb1*F458+wb2*E458,IF(ISNUMBER(F458),F458,G458)))/(pit_meta_2027+pfac_meta_2027),site_meta_2027)</f>
        <v>2.62451187863681</v>
      </c>
      <c r="H459" s="8" t="n">
        <f aca="false">IF(ISNUMBER(H458),(pit_meta_2028/(pit_meta_2028+pfac_meta_2028)*H458+pfac_meta_2028/(pit_meta_2028+pfac_meta_2028)*IF(AND(ISNUMBER(G458),ISNUMBER(F458)),wb1*G458+wb2*F458,IF(ISNUMBER(G458),G458,H458)))/(pit_meta_2028+pfac_meta_2028),site_meta_2028)</f>
        <v>2.73641202658015</v>
      </c>
      <c r="I459" s="8" t="n">
        <f aca="false">IF(ISNUMBER(I458),(pit_meta_2029/(pit_meta_2029+pfac_meta_2029)*I458+pfac_meta_2029/(pit_meta_2029+pfac_meta_2029)*IF(AND(ISNUMBER(H458),ISNUMBER(G458)),wb1*H458+wb2*G458,IF(ISNUMBER(H458),H458,I458)))/(pit_meta_2029+pfac_meta_2029),site_meta_2029)</f>
        <v>3.01174825182942</v>
      </c>
    </row>
    <row r="460" customFormat="false" ht="17.15" hidden="false" customHeight="false" outlineLevel="0" collapsed="false">
      <c r="A460" s="0" t="s">
        <v>1692</v>
      </c>
      <c r="B460" s="0" t="s">
        <v>1235</v>
      </c>
      <c r="E460" s="8" t="n">
        <f aca="false">(1-lag_hi)*E459+lag_hi*D459-inv_k*(E459-D459)</f>
        <v>0.603248</v>
      </c>
      <c r="F460" s="8" t="n">
        <f aca="false">(1-lag_hi)*F459+lag_hi*E459-inv_k*(F459-E459)</f>
        <v>1.95605801449919</v>
      </c>
      <c r="G460" s="8" t="n">
        <f aca="false">(1-lag_hi)*G459+lag_hi*F459-inv_k*(G459-F459)</f>
        <v>2.6265837732035</v>
      </c>
      <c r="H460" s="8" t="n">
        <f aca="false">(1-lag_hi)*H459+lag_hi*G459-inv_k*(H459-G459)</f>
        <v>2.66927193781415</v>
      </c>
      <c r="I460" s="8" t="n">
        <f aca="false">(1-lag_hi)*I459+lag_hi*H459-inv_k*(I459-H459)</f>
        <v>2.84654651667986</v>
      </c>
    </row>
    <row r="461" customFormat="false" ht="17.15" hidden="false" customHeight="false" outlineLevel="0" collapsed="false">
      <c r="A461" s="0" t="s">
        <v>1693</v>
      </c>
      <c r="B461" s="0" t="s">
        <v>1237</v>
      </c>
      <c r="D461" s="8" t="n">
        <f aca="false">gcap_meta_2024*ai_sh</f>
        <v>33.34125</v>
      </c>
      <c r="E461" s="8" t="n">
        <f aca="false">gcap_meta_2025*ai_sh</f>
        <v>61.38275</v>
      </c>
      <c r="F461" s="8" t="n">
        <f aca="false">gcap_meta_2026*ai_sh</f>
        <v>119</v>
      </c>
      <c r="G461" s="8" t="n">
        <f aca="false">gcap_meta_2027*ai_sh</f>
        <v>174.8499963</v>
      </c>
      <c r="H461" s="8" t="n">
        <f aca="false">gcap_meta_2028*ai_sh</f>
        <v>186.39077355</v>
      </c>
      <c r="I461" s="8" t="n">
        <f aca="false">gcap_meta_2029*ai_sh</f>
        <v>165.57988355</v>
      </c>
    </row>
    <row r="462" customFormat="false" ht="17.15" hidden="false" customHeight="false" outlineLevel="0" collapsed="false">
      <c r="A462" s="0" t="s">
        <v>1694</v>
      </c>
      <c r="B462" s="0" t="s">
        <v>1233</v>
      </c>
      <c r="D462" s="8" t="n">
        <f aca="false">IF(ISNUMBER(D461),(pit_meta_2024/(pit_meta_2024+pfac_meta_2024)*D461+pfac_meta_2024/(pit_meta_2024+pfac_meta_2024)*IF(AND(ISNUMBER(""),ISNUMBER("")),wb1*""+wb2*"",IF(ISNUMBER(""),"",D461)))/(pit_meta_2024+pfac_meta_2024),site_meta_2024)</f>
        <v>0.817493736320288</v>
      </c>
      <c r="E462" s="8" t="n">
        <f aca="false">IF(ISNUMBER(E461),(pit_meta_2025/(pit_meta_2025+pfac_meta_2025)*E461+pfac_meta_2025/(pit_meta_2025+pfac_meta_2025)*IF(AND(ISNUMBER(D461),ISNUMBER("")),wb1*D461+wb2*"",IF(ISNUMBER(D461),D461,E461)))/(pit_meta_2025+pfac_meta_2025),site_meta_2025)</f>
        <v>1.33044623899154</v>
      </c>
      <c r="F462" s="8" t="n">
        <f aca="false">IF(ISNUMBER(F461),(pit_meta_2026/(pit_meta_2026+pfac_meta_2026)*F461+pfac_meta_2026/(pit_meta_2026+pfac_meta_2026)*IF(AND(ISNUMBER(E461),ISNUMBER(D461)),wb1*E461+wb2*D461,IF(ISNUMBER(E461),E461,F461)))/(pit_meta_2026+pfac_meta_2026),site_meta_2026)</f>
        <v>2.20112683043242</v>
      </c>
      <c r="G462" s="8" t="n">
        <f aca="false">IF(ISNUMBER(G461),(pit_meta_2027/(pit_meta_2027+pfac_meta_2027)*G461+pfac_meta_2027/(pit_meta_2027+pfac_meta_2027)*IF(AND(ISNUMBER(F461),ISNUMBER(E461)),wb1*F461+wb2*E461,IF(ISNUMBER(F461),F461,G461)))/(pit_meta_2027+pfac_meta_2027),site_meta_2027)</f>
        <v>3.15406141077207</v>
      </c>
      <c r="H462" s="8" t="n">
        <f aca="false">IF(ISNUMBER(H461),(pit_meta_2028/(pit_meta_2028+pfac_meta_2028)*H461+pfac_meta_2028/(pit_meta_2028+pfac_meta_2028)*IF(AND(ISNUMBER(G461),ISNUMBER(F461)),wb1*G461+wb2*F461,IF(ISNUMBER(G461),G461,H461)))/(pit_meta_2028+pfac_meta_2028),site_meta_2028)</f>
        <v>3.47282806845288</v>
      </c>
      <c r="I462" s="8" t="n">
        <f aca="false">IF(ISNUMBER(I461),(pit_meta_2029/(pit_meta_2029+pfac_meta_2029)*I461+pfac_meta_2029/(pit_meta_2029+pfac_meta_2029)*IF(AND(ISNUMBER(H461),ISNUMBER(G461)),wb1*H461+wb2*G461,IF(ISNUMBER(H461),H461,I461)))/(pit_meta_2029+pfac_meta_2029),site_meta_2029)</f>
        <v>3.32152343881153</v>
      </c>
    </row>
    <row r="463" customFormat="false" ht="17.15" hidden="false" customHeight="false" outlineLevel="0" collapsed="false">
      <c r="A463" s="0" t="s">
        <v>1695</v>
      </c>
      <c r="B463" s="0" t="s">
        <v>1235</v>
      </c>
      <c r="E463" s="8" t="n">
        <f aca="false">(1-lag_hi)*E462+lag_hi*D462-inv_k*(E462-D462)</f>
        <v>1.02267473738879</v>
      </c>
      <c r="F463" s="8" t="n">
        <f aca="false">(1-lag_hi)*F462+lag_hi*E462-inv_k*(F462-E462)</f>
        <v>1.67871847556789</v>
      </c>
      <c r="G463" s="8" t="n">
        <f aca="false">(1-lag_hi)*G462+lag_hi*F462-inv_k*(G462-F462)</f>
        <v>2.58230066256828</v>
      </c>
      <c r="H463" s="8" t="n">
        <f aca="false">(1-lag_hi)*H462+lag_hi*G462-inv_k*(H462-G462)</f>
        <v>3.28156807384439</v>
      </c>
      <c r="I463" s="8" t="n">
        <f aca="false">(1-lag_hi)*I462+lag_hi*H462-inv_k*(I462-H462)</f>
        <v>3.41230621659634</v>
      </c>
    </row>
    <row r="464" customFormat="false" ht="17.15" hidden="false" customHeight="false" outlineLevel="0" collapsed="false">
      <c r="A464" s="0" t="s">
        <v>1696</v>
      </c>
      <c r="B464" s="0" t="s">
        <v>1241</v>
      </c>
      <c r="D464" s="8" t="n">
        <f aca="false">site_meta_2024</f>
        <v>0</v>
      </c>
      <c r="E464" s="8" t="n">
        <f aca="false">site_meta_2025</f>
        <v>1.50812</v>
      </c>
      <c r="F464" s="8" t="n">
        <f aca="false">site_meta_2026</f>
        <v>0.676</v>
      </c>
      <c r="G464" s="8" t="n">
        <f aca="false">site_meta_2027</f>
        <v>0.615</v>
      </c>
      <c r="H464" s="8" t="n">
        <f aca="false">site_meta_2028</f>
        <v>2.99433333333333</v>
      </c>
      <c r="I464" s="8" t="n">
        <f aca="false">site_meta_2029</f>
        <v>0.968</v>
      </c>
    </row>
    <row r="465" customFormat="false" ht="17.15" hidden="false" customHeight="false" outlineLevel="0" collapsed="false">
      <c r="A465" s="0" t="s">
        <v>1697</v>
      </c>
      <c r="B465" s="0" t="s">
        <v>1243</v>
      </c>
      <c r="D465" s="8" t="str">
        <f aca="false">IF(ISNUMBER(ai2_orcl_2024),ai2_orcl_2024,"")</f>
        <v/>
      </c>
      <c r="E465" s="8" t="n">
        <f aca="false">IF(ISNUMBER(ai2_orcl_2025),ai2_orcl_2025,"")</f>
        <v>35.1132166666667</v>
      </c>
      <c r="F465" s="8" t="n">
        <f aca="false">IF(ISNUMBER(ai2_orcl_2026),ai2_orcl_2026,"")</f>
        <v>65.5785625</v>
      </c>
      <c r="G465" s="8" t="n">
        <f aca="false">IF(ISNUMBER(ai2_orcl_2027),ai2_orcl_2027,"")</f>
        <v>82.8207416666667</v>
      </c>
      <c r="H465" s="8" t="n">
        <f aca="false">IF(ISNUMBER(ai2_orcl_2028),ai2_orcl_2028,"")</f>
        <v>77.8278416666667</v>
      </c>
      <c r="I465" s="8" t="n">
        <f aca="false">IF(ISNUMBER(ai2_orcl_2029),ai2_orcl_2029,"")</f>
        <v>76.3278466666667</v>
      </c>
    </row>
    <row r="466" customFormat="false" ht="17.15" hidden="false" customHeight="false" outlineLevel="0" collapsed="false">
      <c r="A466" s="0" t="s">
        <v>1698</v>
      </c>
      <c r="B466" s="0" t="s">
        <v>1245</v>
      </c>
      <c r="D466" s="8" t="n">
        <f aca="false">IF(ISNUMBER(D465),(pit_orcl_2024/(pit_orcl_2024+pfac_orcl_2024)*D465+pfac_orcl_2024/(pit_orcl_2024+pfac_orcl_2024)*IF(AND(ISNUMBER(""),ISNUMBER("")),wb1*""+wb2*"",IF(ISNUMBER(""),"",D465)))/(pit_orcl_2024+pfac_orcl_2024),site_orcl_2024)</f>
        <v>0</v>
      </c>
      <c r="E466" s="8" t="n">
        <f aca="false">IF(ISNUMBER(E465),(pit_orcl_2025/(pit_orcl_2025+pfac_orcl_2025)*E465+pfac_orcl_2025/(pit_orcl_2025+pfac_orcl_2025)*IF(AND(ISNUMBER(D465),ISNUMBER("")),wb1*D465+wb2*"",IF(ISNUMBER(D465),D465,E465)))/(pit_orcl_2025+pfac_orcl_2025),site_orcl_2025)</f>
        <v>0.885776418247533</v>
      </c>
      <c r="F466" s="8" t="n">
        <f aca="false">IF(ISNUMBER(F465),(pit_orcl_2026/(pit_orcl_2026+pfac_orcl_2026)*F465+pfac_orcl_2026/(pit_orcl_2026+pfac_orcl_2026)*IF(AND(ISNUMBER(E465),ISNUMBER(D465)),wb1*E465+wb2*D465,IF(ISNUMBER(E465),E465,F465)))/(pit_orcl_2026+pfac_orcl_2026),site_orcl_2026)</f>
        <v>1.26669929939621</v>
      </c>
      <c r="G466" s="8" t="n">
        <f aca="false">IF(ISNUMBER(G465),(pit_orcl_2027/(pit_orcl_2027+pfac_orcl_2027)*G465+pfac_orcl_2027/(pit_orcl_2027+pfac_orcl_2027)*IF(AND(ISNUMBER(F465),ISNUMBER(E465)),wb1*F465+wb2*E465,IF(ISNUMBER(F465),F465,G465)))/(pit_orcl_2027+pfac_orcl_2027),site_orcl_2027)</f>
        <v>1.53296918960021</v>
      </c>
      <c r="H466" s="8" t="n">
        <f aca="false">IF(ISNUMBER(H465),(pit_orcl_2028/(pit_orcl_2028+pfac_orcl_2028)*H465+pfac_orcl_2028/(pit_orcl_2028+pfac_orcl_2028)*IF(AND(ISNUMBER(G465),ISNUMBER(F465)),wb1*G465+wb2*F465,IF(ISNUMBER(G465),G465,H465)))/(pit_orcl_2028+pfac_orcl_2028),site_orcl_2028)</f>
        <v>1.51024789659781</v>
      </c>
      <c r="I466" s="8" t="n">
        <f aca="false">IF(ISNUMBER(I465),(pit_orcl_2029/(pit_orcl_2029+pfac_orcl_2029)*I465+pfac_orcl_2029/(pit_orcl_2029+pfac_orcl_2029)*IF(AND(ISNUMBER(H465),ISNUMBER(G465)),wb1*H465+wb2*G465,IF(ISNUMBER(H465),H465,I465)))/(pit_orcl_2029+pfac_orcl_2029),site_orcl_2029)</f>
        <v>1.51737350859667</v>
      </c>
    </row>
    <row r="467" customFormat="false" ht="17.15" hidden="false" customHeight="false" outlineLevel="0" collapsed="false">
      <c r="A467" s="0" t="s">
        <v>1699</v>
      </c>
      <c r="B467" s="0" t="s">
        <v>1247</v>
      </c>
      <c r="E467" s="8" t="n">
        <f aca="false">(1-lag_hi)*E466+lag_hi*D466-inv_k*(E466-D466)</f>
        <v>0.354310567299013</v>
      </c>
      <c r="F467" s="8" t="n">
        <f aca="false">(1-lag_hi)*F466+lag_hi*E466-inv_k*(F466-E466)</f>
        <v>1.038145570707</v>
      </c>
      <c r="G467" s="8" t="n">
        <f aca="false">(1-lag_hi)*G466+lag_hi*F466-inv_k*(G466-F466)</f>
        <v>1.37320725547781</v>
      </c>
      <c r="H467" s="8" t="n">
        <f aca="false">(1-lag_hi)*H466+lag_hi*G466-inv_k*(H466-G466)</f>
        <v>1.52388067239925</v>
      </c>
      <c r="I467" s="8" t="n">
        <f aca="false">(1-lag_hi)*I466+lag_hi*H466-inv_k*(I466-H466)</f>
        <v>1.51309814139735</v>
      </c>
    </row>
    <row r="468" customFormat="false" ht="17.15" hidden="false" customHeight="false" outlineLevel="0" collapsed="false">
      <c r="A468" s="0" t="s">
        <v>1700</v>
      </c>
      <c r="B468" s="0" t="s">
        <v>1249</v>
      </c>
      <c r="D468" s="8" t="str">
        <f aca="false">""</f>
        <v/>
      </c>
      <c r="E468" s="8" t="n">
        <f aca="false">(5/12*cap2_orcl_2025+7/12*gcap_orcl_2026)*ai_sh</f>
        <v>35.1132166666667</v>
      </c>
      <c r="F468" s="8" t="n">
        <f aca="false">(5/12*gcap_orcl_2026+7/12*gcap_orcl_2027)*ai_sh</f>
        <v>65.5785625</v>
      </c>
      <c r="G468" s="8" t="n">
        <f aca="false">(5/12*gcap_orcl_2027+7/12*gcap_orcl_2028)*ai_sh</f>
        <v>75.599189975</v>
      </c>
      <c r="H468" s="8" t="n">
        <f aca="false">(5/12*gcap_orcl_2028+7/12*gcap_orcl_2029)*ai_sh</f>
        <v>49.4435487791667</v>
      </c>
      <c r="I468" s="8" t="n">
        <f aca="false">(5/12*gcap_orcl_2029+7/12*gcap_orcl_2030)*ai_sh</f>
        <v>23.382754125</v>
      </c>
    </row>
    <row r="469" customFormat="false" ht="17.15" hidden="false" customHeight="false" outlineLevel="0" collapsed="false">
      <c r="A469" s="0" t="s">
        <v>1701</v>
      </c>
      <c r="B469" s="0" t="s">
        <v>1245</v>
      </c>
      <c r="D469" s="8" t="n">
        <f aca="false">IF(ISNUMBER(D468),(pit_orcl_2024/(pit_orcl_2024+pfac_orcl_2024)*D468+pfac_orcl_2024/(pit_orcl_2024+pfac_orcl_2024)*IF(AND(ISNUMBER(""),ISNUMBER("")),wb1*""+wb2*"",IF(ISNUMBER(""),"",D468)))/(pit_orcl_2024+pfac_orcl_2024),site_orcl_2024)</f>
        <v>0</v>
      </c>
      <c r="E469" s="8" t="n">
        <f aca="false">IF(ISNUMBER(E468),(pit_orcl_2025/(pit_orcl_2025+pfac_orcl_2025)*E468+pfac_orcl_2025/(pit_orcl_2025+pfac_orcl_2025)*IF(AND(ISNUMBER(D468),ISNUMBER("")),wb1*D468+wb2*"",IF(ISNUMBER(D468),D468,E468)))/(pit_orcl_2025+pfac_orcl_2025),site_orcl_2025)</f>
        <v>0.885776418247532</v>
      </c>
      <c r="F469" s="8" t="n">
        <f aca="false">IF(ISNUMBER(F468),(pit_orcl_2026/(pit_orcl_2026+pfac_orcl_2026)*F468+pfac_orcl_2026/(pit_orcl_2026+pfac_orcl_2026)*IF(AND(ISNUMBER(E468),ISNUMBER(D468)),wb1*E468+wb2*D468,IF(ISNUMBER(E468),E468,F468)))/(pit_orcl_2026+pfac_orcl_2026),site_orcl_2026)</f>
        <v>1.26669929939621</v>
      </c>
      <c r="G469" s="8" t="n">
        <f aca="false">IF(ISNUMBER(G468),(pit_orcl_2027/(pit_orcl_2027+pfac_orcl_2027)*G468+pfac_orcl_2027/(pit_orcl_2027+pfac_orcl_2027)*IF(AND(ISNUMBER(F468),ISNUMBER(E468)),wb1*F468+wb2*E468,IF(ISNUMBER(F468),F468,G468)))/(pit_orcl_2027+pfac_orcl_2027),site_orcl_2027)</f>
        <v>1.42175083118347</v>
      </c>
      <c r="H469" s="8" t="n">
        <f aca="false">IF(ISNUMBER(H468),(pit_orcl_2028/(pit_orcl_2028+pfac_orcl_2028)*H468+pfac_orcl_2028/(pit_orcl_2028+pfac_orcl_2028)*IF(AND(ISNUMBER(G468),ISNUMBER(F468)),wb1*G468+wb2*F468,IF(ISNUMBER(G468),G468,H468)))/(pit_orcl_2028+pfac_orcl_2028),site_orcl_2028)</f>
        <v>1.06923453221276</v>
      </c>
      <c r="I469" s="8" t="n">
        <f aca="false">IF(ISNUMBER(I468),(pit_orcl_2029/(pit_orcl_2029+pfac_orcl_2029)*I468+pfac_orcl_2029/(pit_orcl_2029+pfac_orcl_2029)*IF(AND(ISNUMBER(H468),ISNUMBER(G468)),wb1*H468+wb2*G468,IF(ISNUMBER(H468),H468,I468)))/(pit_orcl_2029+pfac_orcl_2029),site_orcl_2029)</f>
        <v>0.642469547070952</v>
      </c>
    </row>
    <row r="470" customFormat="false" ht="17.15" hidden="false" customHeight="false" outlineLevel="0" collapsed="false">
      <c r="A470" s="0" t="s">
        <v>1702</v>
      </c>
      <c r="B470" s="0" t="s">
        <v>1247</v>
      </c>
      <c r="E470" s="8" t="n">
        <f aca="false">(1-lag_hi)*E469+lag_hi*D469-inv_k*(E469-D469)</f>
        <v>0.354310567299013</v>
      </c>
      <c r="F470" s="8" t="n">
        <f aca="false">(1-lag_hi)*F469+lag_hi*E469-inv_k*(F469-E469)</f>
        <v>1.038145570707</v>
      </c>
      <c r="G470" s="8" t="n">
        <f aca="false">(1-lag_hi)*G469+lag_hi*F469-inv_k*(G469-F469)</f>
        <v>1.32871991211112</v>
      </c>
      <c r="H470" s="8" t="n">
        <f aca="false">(1-lag_hi)*H469+lag_hi*G469-inv_k*(H469-G469)</f>
        <v>1.28074431159519</v>
      </c>
      <c r="I470" s="8" t="n">
        <f aca="false">(1-lag_hi)*I469+lag_hi*H469-inv_k*(I469-H469)</f>
        <v>0.898528538156034</v>
      </c>
    </row>
    <row r="471" customFormat="false" ht="17.15" hidden="false" customHeight="false" outlineLevel="0" collapsed="false">
      <c r="A471" s="0" t="s">
        <v>1703</v>
      </c>
      <c r="B471" s="0" t="s">
        <v>1253</v>
      </c>
      <c r="D471" s="8" t="n">
        <f aca="false">site_orcl_2024</f>
        <v>0</v>
      </c>
      <c r="E471" s="8" t="n">
        <f aca="false">site_orcl_2025</f>
        <v>0.816405</v>
      </c>
      <c r="F471" s="8" t="n">
        <f aca="false">site_orcl_2026</f>
        <v>1.54613</v>
      </c>
      <c r="G471" s="8" t="n">
        <f aca="false">site_orcl_2027</f>
        <v>0.944166666666667</v>
      </c>
      <c r="H471" s="8" t="n">
        <f aca="false">site_orcl_2028</f>
        <v>4.91166666666667</v>
      </c>
      <c r="I471" s="8" t="n">
        <f aca="false">site_orcl_2029</f>
        <v>0</v>
      </c>
    </row>
    <row r="472" customFormat="false" ht="17.15" hidden="false" customHeight="false" outlineLevel="0" collapsed="false">
      <c r="A472" s="0" t="s">
        <v>1704</v>
      </c>
      <c r="B472" s="0" t="s">
        <v>1255</v>
      </c>
      <c r="D472" s="8" t="str">
        <f aca="false">IF(ISNUMBER(ai2_crwv_2024),ai2_crwv_2024,"")</f>
        <v/>
      </c>
      <c r="E472" s="8" t="str">
        <f aca="false">IF(ISNUMBER(ai2_crwv_2025),ai2_crwv_2025,"")</f>
        <v/>
      </c>
      <c r="F472" s="8" t="n">
        <f aca="false">IF(ISNUMBER(ai2_crwv_2026),ai2_crwv_2026,"")</f>
        <v>31.45</v>
      </c>
      <c r="G472" s="8" t="n">
        <f aca="false">IF(ISNUMBER(ai2_crwv_2027),ai2_crwv_2027,"")</f>
        <v>39.5046</v>
      </c>
      <c r="H472" s="8" t="n">
        <f aca="false">IF(ISNUMBER(ai2_crwv_2028),ai2_crwv_2028,"")</f>
        <v>42.60965</v>
      </c>
      <c r="I472" s="8" t="n">
        <f aca="false">IF(ISNUMBER(ai2_crwv_2029),ai2_crwv_2029,"")</f>
        <v>46.870615</v>
      </c>
    </row>
    <row r="473" customFormat="false" ht="17.15" hidden="false" customHeight="false" outlineLevel="0" collapsed="false">
      <c r="A473" s="0" t="s">
        <v>1705</v>
      </c>
      <c r="B473" s="0" t="s">
        <v>1257</v>
      </c>
      <c r="D473" s="8" t="n">
        <f aca="false">IF(ISNUMBER(D472),(pit_crwv_2024/(pit_crwv_2024+pfac_crwv_2024)*D472+pfac_crwv_2024/(pit_crwv_2024+pfac_crwv_2024)*IF(AND(ISNUMBER(""),ISNUMBER("")),wb1*""+wb2*"",IF(ISNUMBER(""),"",D472)))/(pit_crwv_2024+pfac_crwv_2024),site_crwv_2024)</f>
        <v>0.29</v>
      </c>
      <c r="E473" s="8" t="n">
        <f aca="false">IF(ISNUMBER(E472),(pit_crwv_2025/(pit_crwv_2025+pfac_crwv_2025)*E472+pfac_crwv_2025/(pit_crwv_2025+pfac_crwv_2025)*IF(AND(ISNUMBER(D472),ISNUMBER("")),wb1*D472+wb2*"",IF(ISNUMBER(D472),D472,E472)))/(pit_crwv_2025+pfac_crwv_2025),site_crwv_2025)</f>
        <v>0.49</v>
      </c>
      <c r="F473" s="8" t="n">
        <f aca="false">IF(ISNUMBER(F472),(pit_crwv_2026/(pit_crwv_2026+pfac_crwv_2026)*F472+pfac_crwv_2026/(pit_crwv_2026+pfac_crwv_2026)*IF(AND(ISNUMBER(E472),ISNUMBER(D472)),wb1*E472+wb2*D472,IF(ISNUMBER(E472),E472,F472)))/(pit_crwv_2026+pfac_crwv_2026),site_crwv_2026)</f>
        <v>0.6824489639016</v>
      </c>
      <c r="G473" s="8" t="n">
        <f aca="false">IF(ISNUMBER(G472),(pit_crwv_2027/(pit_crwv_2027+pfac_crwv_2027)*G472+pfac_crwv_2027/(pit_crwv_2027+pfac_crwv_2027)*IF(AND(ISNUMBER(F472),ISNUMBER(E472)),wb1*F472+wb2*E472,IF(ISNUMBER(F472),F472,G472)))/(pit_crwv_2027+pfac_crwv_2027),site_crwv_2027)</f>
        <v>0.735222622408663</v>
      </c>
      <c r="H473" s="8" t="n">
        <f aca="false">IF(ISNUMBER(H472),(pit_crwv_2028/(pit_crwv_2028+pfac_crwv_2028)*H472+pfac_crwv_2028/(pit_crwv_2028+pfac_crwv_2028)*IF(AND(ISNUMBER(G472),ISNUMBER(F472)),wb1*G472+wb2*F472,IF(ISNUMBER(G472),G472,H472)))/(pit_crwv_2028+pfac_crwv_2028),site_crwv_2028)</f>
        <v>0.758042293208188</v>
      </c>
      <c r="I473" s="8" t="n">
        <f aca="false">IF(ISNUMBER(I472),(pit_crwv_2029/(pit_crwv_2029+pfac_crwv_2029)*I472+pfac_crwv_2029/(pit_crwv_2029+pfac_crwv_2029)*IF(AND(ISNUMBER(H472),ISNUMBER(G472)),wb1*H472+wb2*G472,IF(ISNUMBER(H472),H472,I472)))/(pit_crwv_2029+pfac_crwv_2029),site_crwv_2029)</f>
        <v>0.842675104355277</v>
      </c>
    </row>
    <row r="474" customFormat="false" ht="17.15" hidden="false" customHeight="false" outlineLevel="0" collapsed="false">
      <c r="A474" s="0" t="s">
        <v>1706</v>
      </c>
      <c r="B474" s="0" t="s">
        <v>1259</v>
      </c>
      <c r="E474" s="8" t="n">
        <f aca="false">(1-lag_hi)*E473+lag_hi*D473-inv_k*(E473-D473)</f>
        <v>0.37</v>
      </c>
      <c r="F474" s="8" t="n">
        <f aca="false">(1-lag_hi)*F473+lag_hi*E473-inv_k*(F473-E473)</f>
        <v>0.56697958556064</v>
      </c>
      <c r="G474" s="8" t="n">
        <f aca="false">(1-lag_hi)*G473+lag_hi*F473-inv_k*(G473-F473)</f>
        <v>0.703558427304425</v>
      </c>
      <c r="H474" s="8" t="n">
        <f aca="false">(1-lag_hi)*H473+lag_hi*G473-inv_k*(H473-G473)</f>
        <v>0.744350490728473</v>
      </c>
      <c r="I474" s="8" t="n">
        <f aca="false">(1-lag_hi)*I473+lag_hi*H473-inv_k*(I473-H473)</f>
        <v>0.791895417667023</v>
      </c>
    </row>
    <row r="475" customFormat="false" ht="17.15" hidden="false" customHeight="false" outlineLevel="0" collapsed="false">
      <c r="A475" s="0" t="s">
        <v>1707</v>
      </c>
      <c r="B475" s="0" t="s">
        <v>1261</v>
      </c>
      <c r="D475" s="8" t="str">
        <f aca="false">""</f>
        <v/>
      </c>
      <c r="E475" s="8" t="str">
        <f aca="false">""</f>
        <v/>
      </c>
      <c r="F475" s="8" t="n">
        <f aca="false">gcap_crwv_2026*ai_sh</f>
        <v>28.0313</v>
      </c>
      <c r="G475" s="8" t="n">
        <f aca="false">gcap_crwv_2027*ai_sh</f>
        <v>33.45858485</v>
      </c>
      <c r="H475" s="8" t="n">
        <f aca="false">gcap_crwv_2028*ai_sh</f>
        <v>27.6353649</v>
      </c>
      <c r="I475" s="8" t="n">
        <f aca="false">gcap_crwv_2029*ai_sh</f>
        <v>27.7951071</v>
      </c>
    </row>
    <row r="476" customFormat="false" ht="17.15" hidden="false" customHeight="false" outlineLevel="0" collapsed="false">
      <c r="A476" s="0" t="s">
        <v>1708</v>
      </c>
      <c r="B476" s="0" t="s">
        <v>1257</v>
      </c>
      <c r="D476" s="8" t="n">
        <f aca="false">IF(ISNUMBER(D475),(pit_crwv_2024/(pit_crwv_2024+pfac_crwv_2024)*D475+pfac_crwv_2024/(pit_crwv_2024+pfac_crwv_2024)*IF(AND(ISNUMBER(""),ISNUMBER("")),wb1*""+wb2*"",IF(ISNUMBER(""),"",D475)))/(pit_crwv_2024+pfac_crwv_2024),site_crwv_2024)</f>
        <v>0.29</v>
      </c>
      <c r="E476" s="8" t="n">
        <f aca="false">IF(ISNUMBER(E475),(pit_crwv_2025/(pit_crwv_2025+pfac_crwv_2025)*E475+pfac_crwv_2025/(pit_crwv_2025+pfac_crwv_2025)*IF(AND(ISNUMBER(D475),ISNUMBER("")),wb1*D475+wb2*"",IF(ISNUMBER(D475),D475,E475)))/(pit_crwv_2025+pfac_crwv_2025),site_crwv_2025)</f>
        <v>0.49</v>
      </c>
      <c r="F476" s="8" t="n">
        <f aca="false">IF(ISNUMBER(F475),(pit_crwv_2026/(pit_crwv_2026+pfac_crwv_2026)*F475+pfac_crwv_2026/(pit_crwv_2026+pfac_crwv_2026)*IF(AND(ISNUMBER(E475),ISNUMBER(D475)),wb1*E475+wb2*D475,IF(ISNUMBER(E475),E475,F475)))/(pit_crwv_2026+pfac_crwv_2026),site_crwv_2026)</f>
        <v>0.608264917068837</v>
      </c>
      <c r="G476" s="8" t="n">
        <f aca="false">IF(ISNUMBER(G475),(pit_crwv_2027/(pit_crwv_2027+pfac_crwv_2027)*G475+pfac_crwv_2027/(pit_crwv_2027+pfac_crwv_2027)*IF(AND(ISNUMBER(F475),ISNUMBER(E475)),wb1*F475+wb2*E475,IF(ISNUMBER(F475),F475,G475)))/(pit_crwv_2027+pfac_crwv_2027),site_crwv_2027)</f>
        <v>0.629490424531811</v>
      </c>
      <c r="H476" s="8" t="n">
        <f aca="false">IF(ISNUMBER(H475),(pit_crwv_2028/(pit_crwv_2028+pfac_crwv_2028)*H475+pfac_crwv_2028/(pit_crwv_2028+pfac_crwv_2028)*IF(AND(ISNUMBER(G475),ISNUMBER(F475)),wb1*G475+wb2*F475,IF(ISNUMBER(G475),G475,H475)))/(pit_crwv_2028+pfac_crwv_2028),site_crwv_2028)</f>
        <v>0.525250960902376</v>
      </c>
      <c r="I476" s="8" t="n">
        <f aca="false">IF(ISNUMBER(I475),(pit_crwv_2029/(pit_crwv_2029+pfac_crwv_2029)*I475+pfac_crwv_2029/(pit_crwv_2029+pfac_crwv_2029)*IF(AND(ISNUMBER(H475),ISNUMBER(G475)),wb1*H475+wb2*G475,IF(ISNUMBER(H475),H475,I475)))/(pit_crwv_2029+pfac_crwv_2029),site_crwv_2029)</f>
        <v>0.526654910671929</v>
      </c>
    </row>
    <row r="477" customFormat="false" ht="17.15" hidden="false" customHeight="false" outlineLevel="0" collapsed="false">
      <c r="A477" s="0" t="s">
        <v>1709</v>
      </c>
      <c r="B477" s="0" t="s">
        <v>1259</v>
      </c>
      <c r="E477" s="8" t="n">
        <f aca="false">(1-lag_hi)*E476+lag_hi*D476-inv_k*(E476-D476)</f>
        <v>0.37</v>
      </c>
      <c r="F477" s="8" t="n">
        <f aca="false">(1-lag_hi)*F476+lag_hi*E476-inv_k*(F476-E476)</f>
        <v>0.537305966827535</v>
      </c>
      <c r="G477" s="8" t="n">
        <f aca="false">(1-lag_hi)*G476+lag_hi*F476-inv_k*(G476-F476)</f>
        <v>0.616755120054026</v>
      </c>
      <c r="H477" s="8" t="n">
        <f aca="false">(1-lag_hi)*H476+lag_hi*G476-inv_k*(H476-G476)</f>
        <v>0.587794639080037</v>
      </c>
      <c r="I477" s="8" t="n">
        <f aca="false">(1-lag_hi)*I476+lag_hi*H476-inv_k*(I476-H476)</f>
        <v>0.525812540810197</v>
      </c>
    </row>
    <row r="478" customFormat="false" ht="17.15" hidden="false" customHeight="false" outlineLevel="0" collapsed="false">
      <c r="A478" s="0" t="s">
        <v>1710</v>
      </c>
      <c r="B478" s="0" t="s">
        <v>1265</v>
      </c>
      <c r="D478" s="8" t="n">
        <f aca="false">site_crwv_2024</f>
        <v>0.29</v>
      </c>
      <c r="E478" s="8" t="n">
        <f aca="false">site_crwv_2025</f>
        <v>0.49</v>
      </c>
      <c r="F478" s="8" t="n">
        <f aca="false">site_crwv_2026</f>
        <v>1</v>
      </c>
      <c r="G478" s="8" t="n">
        <f aca="false">site_crwv_2027</f>
        <v>1.5375</v>
      </c>
      <c r="H478" s="8" t="n">
        <f aca="false">site_crwv_2028</f>
        <v>1.5375</v>
      </c>
      <c r="I478" s="8" t="n">
        <f aca="false">site_crwv_2029</f>
        <v>1.5375</v>
      </c>
    </row>
    <row r="479" customFormat="false" ht="17.15" hidden="false" customHeight="false" outlineLevel="0" collapsed="false">
      <c r="A479" s="0" t="s">
        <v>1711</v>
      </c>
      <c r="B479" s="0" t="s">
        <v>1267</v>
      </c>
      <c r="D479" s="8" t="str">
        <f aca="false">IF(ISNUMBER(ai2_nbis_2024),ai2_nbis_2024,"")</f>
        <v/>
      </c>
      <c r="E479" s="8" t="n">
        <f aca="false">IF(ISNUMBER(ai2_nbis_2025),ai2_nbis_2025,"")</f>
        <v>3.4561</v>
      </c>
      <c r="F479" s="8" t="n">
        <f aca="false">IF(ISNUMBER(ai2_nbis_2026),ai2_nbis_2026,"")</f>
        <v>19.125</v>
      </c>
      <c r="G479" s="8" t="n">
        <f aca="false">IF(ISNUMBER(ai2_nbis_2027),ai2_nbis_2027,"")</f>
        <v>23.15655</v>
      </c>
      <c r="H479" s="8" t="n">
        <f aca="false">IF(ISNUMBER(ai2_nbis_2028),ai2_nbis_2028,"")</f>
        <v>32.6315</v>
      </c>
      <c r="I479" s="8" t="n">
        <f aca="false">IF(ISNUMBER(ai2_nbis_2029),ai2_nbis_2029,"")</f>
        <v>35.89465</v>
      </c>
    </row>
    <row r="480" customFormat="false" ht="17.15" hidden="false" customHeight="false" outlineLevel="0" collapsed="false">
      <c r="A480" s="0" t="s">
        <v>1712</v>
      </c>
      <c r="B480" s="0" t="s">
        <v>1269</v>
      </c>
      <c r="D480" s="8" t="n">
        <f aca="false">IF(ISNUMBER(D479),(pit_nbis_2024/(pit_nbis_2024+pfac_nbis_2024)*D479+pfac_nbis_2024/(pit_nbis_2024+pfac_nbis_2024)*IF(AND(ISNUMBER(""),ISNUMBER("")),wb1*""+wb2*"",IF(ISNUMBER(""),"",D479)))/(pit_nbis_2024+pfac_nbis_2024),site_nbis_2024)</f>
        <v>0</v>
      </c>
      <c r="E480" s="8" t="n">
        <f aca="false">IF(ISNUMBER(E479),(pit_nbis_2025/(pit_nbis_2025+pfac_nbis_2025)*E479+pfac_nbis_2025/(pit_nbis_2025+pfac_nbis_2025)*IF(AND(ISNUMBER(D479),ISNUMBER("")),wb1*D479+wb2*"",IF(ISNUMBER(D479),D479,E479)))/(pit_nbis_2025+pfac_nbis_2025),site_nbis_2025)</f>
        <v>0.0893531926088847</v>
      </c>
      <c r="F480" s="8" t="n">
        <f aca="false">IF(ISNUMBER(F479),(pit_nbis_2026/(pit_nbis_2026+pfac_nbis_2026)*F479+pfac_nbis_2026/(pit_nbis_2026+pfac_nbis_2026)*IF(AND(ISNUMBER(E479),ISNUMBER(D479)),wb1*E479+wb2*D479,IF(ISNUMBER(E479),E479,F479)))/(pit_nbis_2026+pfac_nbis_2026),site_nbis_2026)</f>
        <v>0.321523721659491</v>
      </c>
      <c r="G480" s="8" t="n">
        <f aca="false">IF(ISNUMBER(G479),(pit_nbis_2027/(pit_nbis_2027+pfac_nbis_2027)*G479+pfac_nbis_2027/(pit_nbis_2027+pfac_nbis_2027)*IF(AND(ISNUMBER(F479),ISNUMBER(E479)),wb1*F479+wb2*E479,IF(ISNUMBER(F479),F479,G479)))/(pit_nbis_2027+pfac_nbis_2027),site_nbis_2027)</f>
        <v>0.396179366526544</v>
      </c>
      <c r="H480" s="8" t="n">
        <f aca="false">IF(ISNUMBER(H479),(pit_nbis_2028/(pit_nbis_2028+pfac_nbis_2028)*H479+pfac_nbis_2028/(pit_nbis_2028+pfac_nbis_2028)*IF(AND(ISNUMBER(G479),ISNUMBER(F479)),wb1*G479+wb2*F479,IF(ISNUMBER(G479),G479,H479)))/(pit_nbis_2028+pfac_nbis_2028),site_nbis_2028)</f>
        <v>0.554335434150153</v>
      </c>
      <c r="I480" s="8" t="n">
        <f aca="false">IF(ISNUMBER(I479),(pit_nbis_2029/(pit_nbis_2029+pfac_nbis_2029)*I479+pfac_nbis_2029/(pit_nbis_2029+pfac_nbis_2029)*IF(AND(ISNUMBER(H479),ISNUMBER(G479)),wb1*H479+wb2*G479,IF(ISNUMBER(H479),H479,I479)))/(pit_nbis_2029+pfac_nbis_2029),site_nbis_2029)</f>
        <v>0.629924193744744</v>
      </c>
    </row>
    <row r="481" customFormat="false" ht="17.15" hidden="false" customHeight="false" outlineLevel="0" collapsed="false">
      <c r="A481" s="0" t="s">
        <v>1713</v>
      </c>
      <c r="B481" s="0" t="s">
        <v>1271</v>
      </c>
      <c r="E481" s="8" t="n">
        <f aca="false">(1-lag_hi)*E480+lag_hi*D480-inv_k*(E480-D480)</f>
        <v>0.0357412770435539</v>
      </c>
      <c r="F481" s="8" t="n">
        <f aca="false">(1-lag_hi)*F480+lag_hi*E480-inv_k*(F480-E480)</f>
        <v>0.182221404229127</v>
      </c>
      <c r="G481" s="8" t="n">
        <f aca="false">(1-lag_hi)*G480+lag_hi*F480-inv_k*(G480-F480)</f>
        <v>0.351385979606312</v>
      </c>
      <c r="H481" s="8" t="n">
        <f aca="false">(1-lag_hi)*H480+lag_hi*G480-inv_k*(H480-G480)</f>
        <v>0.459441793575988</v>
      </c>
      <c r="I481" s="8" t="n">
        <f aca="false">(1-lag_hi)*I480+lag_hi*H480-inv_k*(I480-H480)</f>
        <v>0.584570937987989</v>
      </c>
    </row>
    <row r="482" customFormat="false" ht="17.15" hidden="false" customHeight="false" outlineLevel="0" collapsed="false">
      <c r="A482" s="0" t="s">
        <v>1714</v>
      </c>
      <c r="B482" s="0" t="s">
        <v>1273</v>
      </c>
      <c r="D482" s="8" t="str">
        <f aca="false">""</f>
        <v/>
      </c>
      <c r="E482" s="8" t="str">
        <f aca="false">""</f>
        <v/>
      </c>
      <c r="F482" s="8" t="n">
        <f aca="false">gcap_nbis_2026*ai_sh</f>
        <v>22.1392615</v>
      </c>
      <c r="G482" s="8" t="n">
        <f aca="false">gcap_nbis_2027*ai_sh</f>
        <v>23.45782145</v>
      </c>
      <c r="H482" s="8" t="n">
        <f aca="false">gcap_nbis_2028*ai_sh</f>
        <v>24.7763814</v>
      </c>
      <c r="I482" s="8" t="n">
        <f aca="false">gcap_nbis_2029*ai_sh</f>
        <v>24.7763814</v>
      </c>
    </row>
    <row r="483" customFormat="false" ht="17.15" hidden="false" customHeight="false" outlineLevel="0" collapsed="false">
      <c r="A483" s="0" t="s">
        <v>1715</v>
      </c>
      <c r="B483" s="0" t="s">
        <v>1269</v>
      </c>
      <c r="D483" s="8" t="n">
        <f aca="false">IF(ISNUMBER(D482),(pit_nbis_2024/(pit_nbis_2024+pfac_nbis_2024)*D482+pfac_nbis_2024/(pit_nbis_2024+pfac_nbis_2024)*IF(AND(ISNUMBER(""),ISNUMBER("")),wb1*""+wb2*"",IF(ISNUMBER(""),"",D482)))/(pit_nbis_2024+pfac_nbis_2024),site_nbis_2024)</f>
        <v>0</v>
      </c>
      <c r="E483" s="8" t="n">
        <f aca="false">IF(ISNUMBER(E482),(pit_nbis_2025/(pit_nbis_2025+pfac_nbis_2025)*E482+pfac_nbis_2025/(pit_nbis_2025+pfac_nbis_2025)*IF(AND(ISNUMBER(D482),ISNUMBER("")),wb1*D482+wb2*"",IF(ISNUMBER(D482),D482,E482)))/(pit_nbis_2025+pfac_nbis_2025),site_nbis_2025)</f>
        <v>0</v>
      </c>
      <c r="F483" s="8" t="n">
        <f aca="false">IF(ISNUMBER(F482),(pit_nbis_2026/(pit_nbis_2026+pfac_nbis_2026)*F482+pfac_nbis_2026/(pit_nbis_2026+pfac_nbis_2026)*IF(AND(ISNUMBER(E482),ISNUMBER(D482)),wb1*E482+wb2*D482,IF(ISNUMBER(E482),E482,F482)))/(pit_nbis_2026+pfac_nbis_2026),site_nbis_2026)</f>
        <v>0.480410685921195</v>
      </c>
      <c r="G483" s="8" t="n">
        <f aca="false">IF(ISNUMBER(G482),(pit_nbis_2027/(pit_nbis_2027+pfac_nbis_2027)*G482+pfac_nbis_2027/(pit_nbis_2027+pfac_nbis_2027)*IF(AND(ISNUMBER(F482),ISNUMBER(E482)),wb1*F482+wb2*E482,IF(ISNUMBER(F482),F482,G482)))/(pit_nbis_2027+pfac_nbis_2027),site_nbis_2027)</f>
        <v>0.453443245801974</v>
      </c>
      <c r="H483" s="8" t="n">
        <f aca="false">IF(ISNUMBER(H482),(pit_nbis_2028/(pit_nbis_2028+pfac_nbis_2028)*H482+pfac_nbis_2028/(pit_nbis_2028+pfac_nbis_2028)*IF(AND(ISNUMBER(G482),ISNUMBER(F482)),wb1*G482+wb2*F482,IF(ISNUMBER(G482),G482,H482)))/(pit_nbis_2028+pfac_nbis_2028),site_nbis_2028)</f>
        <v>0.450206743161261</v>
      </c>
      <c r="I483" s="8" t="n">
        <f aca="false">IF(ISNUMBER(I482),(pit_nbis_2029/(pit_nbis_2029+pfac_nbis_2029)*I482+pfac_nbis_2029/(pit_nbis_2029+pfac_nbis_2029)*IF(AND(ISNUMBER(H482),ISNUMBER(G482)),wb1*H482+wb2*G482,IF(ISNUMBER(H482),H482,I482)))/(pit_nbis_2029+pfac_nbis_2029),site_nbis_2029)</f>
        <v>0.45593532101388</v>
      </c>
    </row>
    <row r="484" customFormat="false" ht="17.15" hidden="false" customHeight="false" outlineLevel="0" collapsed="false">
      <c r="A484" s="0" t="s">
        <v>1716</v>
      </c>
      <c r="B484" s="0" t="s">
        <v>1271</v>
      </c>
      <c r="E484" s="8" t="n">
        <f aca="false">(1-lag_hi)*E483+lag_hi*D483-inv_k*(E483-D483)</f>
        <v>0</v>
      </c>
      <c r="F484" s="8" t="n">
        <f aca="false">(1-lag_hi)*F483+lag_hi*E483-inv_k*(F483-E483)</f>
        <v>0.192164274368478</v>
      </c>
      <c r="G484" s="8" t="n">
        <f aca="false">(1-lag_hi)*G483+lag_hi*F483-inv_k*(G483-F483)</f>
        <v>0.469623709873506</v>
      </c>
      <c r="H484" s="8" t="n">
        <f aca="false">(1-lag_hi)*H483+lag_hi*G483-inv_k*(H483-G483)</f>
        <v>0.452148644745689</v>
      </c>
      <c r="I484" s="8" t="n">
        <f aca="false">(1-lag_hi)*I483+lag_hi*H483-inv_k*(I483-H483)</f>
        <v>0.452498174302308</v>
      </c>
    </row>
    <row r="485" customFormat="false" ht="17.15" hidden="false" customHeight="false" outlineLevel="0" collapsed="false">
      <c r="A485" s="0" t="s">
        <v>1717</v>
      </c>
      <c r="B485" s="0" t="s">
        <v>1277</v>
      </c>
      <c r="D485" s="8" t="n">
        <f aca="false">site_nbis_2024</f>
        <v>0</v>
      </c>
      <c r="E485" s="8" t="n">
        <f aca="false">site_nbis_2025</f>
        <v>0</v>
      </c>
      <c r="F485" s="8" t="n">
        <f aca="false">site_nbis_2026</f>
        <v>0.73</v>
      </c>
      <c r="G485" s="8" t="n">
        <f aca="false">site_nbis_2027</f>
        <v>0.403</v>
      </c>
      <c r="H485" s="8" t="n">
        <f aca="false">site_nbis_2028</f>
        <v>0</v>
      </c>
      <c r="I485" s="8" t="n">
        <f aca="false">site_nbis_2029</f>
        <v>0</v>
      </c>
    </row>
    <row r="486" customFormat="false" ht="17.15" hidden="false" customHeight="false" outlineLevel="0" collapsed="false">
      <c r="A486" s="0" t="s">
        <v>1718</v>
      </c>
      <c r="B486" s="0" t="s">
        <v>1279</v>
      </c>
      <c r="D486" s="8" t="str">
        <f aca="false">IF(ISNUMBER(gai_xai_2024),gai_xai_2024,"")</f>
        <v/>
      </c>
      <c r="E486" s="8" t="str">
        <f aca="false">IF(ISNUMBER(gai_xai_2025),gai_xai_2025,"")</f>
        <v/>
      </c>
      <c r="F486" s="8" t="n">
        <f aca="false">IF(ISNUMBER(gai_xai_2026),gai_xai_2026,"")</f>
        <v>74.058119</v>
      </c>
      <c r="G486" s="8" t="n">
        <f aca="false">IF(ISNUMBER(gai_xai_2027),gai_xai_2027,"")</f>
        <v>136.252477</v>
      </c>
      <c r="H486" s="8" t="n">
        <f aca="false">IF(ISNUMBER(gai_xai_2028),gai_xai_2028,"")</f>
        <v>144.12072</v>
      </c>
      <c r="I486" s="8" t="n">
        <f aca="false">IF(ISNUMBER(gai_xai_2029),gai_xai_2029,"")</f>
        <v>111.172527</v>
      </c>
    </row>
    <row r="487" customFormat="false" ht="17.15" hidden="false" customHeight="false" outlineLevel="0" collapsed="false">
      <c r="A487" s="0" t="s">
        <v>1719</v>
      </c>
      <c r="B487" s="0" t="s">
        <v>1281</v>
      </c>
      <c r="D487" s="8" t="n">
        <f aca="false">IF(ISNUMBER(D486),(pitN_2024/(pitN_2024+pfacN_2024)*D486+pfacN_2024/(pitN_2024+pfacN_2024)*IF(AND(ISNUMBER(""),ISNUMBER("")),wb1*""+wb2*"",IF(ISNUMBER(""),"",D486)))/(pitN_2024+pfacN_2024),site_xai_2024)</f>
        <v>0</v>
      </c>
      <c r="E487" s="8" t="n">
        <f aca="false">IF(ISNUMBER(E486),(pitN_2025/(pitN_2025+pfacN_2025)*E486+pfacN_2025/(pitN_2025+pfacN_2025)*IF(AND(ISNUMBER(D486),ISNUMBER("")),wb1*D486+wb2*"",IF(ISNUMBER(D486),D486,E486)))/(pitN_2025+pfacN_2025),site_xai_2025)</f>
        <v>0</v>
      </c>
      <c r="F487" s="8" t="n">
        <f aca="false">IF(ISNUMBER(F486),(pitN_2026/(pitN_2026+pfacN_2026)*F486+pfacN_2026/(pitN_2026+pfacN_2026)*IF(AND(ISNUMBER(E486),ISNUMBER(D486)),wb1*E486+wb2*D486,IF(ISNUMBER(E486),E486,F486)))/(pitN_2026+pfacN_2026),site_xai_2026)</f>
        <v>1.60702342066936</v>
      </c>
      <c r="G487" s="8" t="n">
        <f aca="false">IF(ISNUMBER(G486),(pitN_2027/(pitN_2027+pfacN_2027)*G486+pfacN_2027/(pitN_2027+pfacN_2027)*IF(AND(ISNUMBER(F486),ISNUMBER(E486)),wb1*F486+wb2*E486,IF(ISNUMBER(F486),F486,G486)))/(pitN_2027+pfacN_2027),site_xai_2027)</f>
        <v>2.36823509451502</v>
      </c>
      <c r="H487" s="8" t="n">
        <f aca="false">IF(ISNUMBER(H486),(pitN_2028/(pitN_2028+pfacN_2028)*H486+pfacN_2028/(pitN_2028+pfacN_2028)*IF(AND(ISNUMBER(G486),ISNUMBER(F486)),wb1*G486+wb2*F486,IF(ISNUMBER(G486),G486,H486)))/(pitN_2028+pfacN_2028),site_xai_2028)</f>
        <v>2.49948463520021</v>
      </c>
      <c r="I487" s="8" t="n">
        <f aca="false">IF(ISNUMBER(I486),(pitN_2029/(pitN_2029+pfacN_2029)*I486+pfacN_2029/(pitN_2029+pfacN_2029)*IF(AND(ISNUMBER(H486),ISNUMBER(G486)),wb1*H486+wb2*G486,IF(ISNUMBER(H486),H486,I486)))/(pitN_2029+pfacN_2029),site_xai_2029)</f>
        <v>2.18470428873966</v>
      </c>
    </row>
    <row r="488" customFormat="false" ht="17.15" hidden="false" customHeight="false" outlineLevel="0" collapsed="false">
      <c r="A488" s="0" t="s">
        <v>1720</v>
      </c>
      <c r="B488" s="0" t="s">
        <v>1283</v>
      </c>
      <c r="E488" s="8" t="n">
        <f aca="false">IF(ISNUMBER(gai_xai_2024),(1-lag_hi)*E487+lag_hi*D487-inv_k*(E487-D487),E487)</f>
        <v>0</v>
      </c>
      <c r="F488" s="8" t="n">
        <f aca="false">IF(ISNUMBER(gai_xai_2025),(1-lag_hi)*F487+lag_hi*E487-inv_k*(F487-E487),F487)</f>
        <v>1.60702342066936</v>
      </c>
      <c r="G488" s="8" t="n">
        <f aca="false">IF(ISNUMBER(gai_xai_2026),(1-lag_hi)*G487+lag_hi*F487-inv_k*(G487-F487),G487)</f>
        <v>1.91150809020762</v>
      </c>
      <c r="H488" s="8" t="n">
        <f aca="false">IF(ISNUMBER(gai_xai_2027),(1-lag_hi)*H487+lag_hi*G487-inv_k*(H487-G487),H487)</f>
        <v>2.42073491078909</v>
      </c>
      <c r="I488" s="8" t="n">
        <f aca="false">IF(ISNUMBER(gai_xai_2028),(1-lag_hi)*I487+lag_hi*H487-inv_k*(I487-H487),I487)</f>
        <v>2.37357249661599</v>
      </c>
    </row>
    <row r="489" customFormat="false" ht="17.15" hidden="false" customHeight="false" outlineLevel="0" collapsed="false">
      <c r="A489" s="0" t="s">
        <v>1721</v>
      </c>
      <c r="B489" s="0" t="s">
        <v>1285</v>
      </c>
      <c r="D489" s="8" t="n">
        <f aca="false">site_xai_2024</f>
        <v>0</v>
      </c>
      <c r="E489" s="8" t="n">
        <f aca="false">site_xai_2025</f>
        <v>0</v>
      </c>
      <c r="F489" s="8" t="n">
        <f aca="false">site_xai_2026</f>
        <v>1.4302</v>
      </c>
      <c r="G489" s="8" t="n">
        <f aca="false">site_xai_2027</f>
        <v>0.585</v>
      </c>
      <c r="H489" s="8" t="n">
        <f aca="false">site_xai_2028</f>
        <v>0</v>
      </c>
      <c r="I489" s="8" t="n">
        <f aca="false">site_xai_2029</f>
        <v>0</v>
      </c>
    </row>
    <row r="490" customFormat="false" ht="17.15" hidden="false" customHeight="false" outlineLevel="0" collapsed="false">
      <c r="A490" s="0" t="s">
        <v>1722</v>
      </c>
      <c r="B490" s="0" t="s">
        <v>1287</v>
      </c>
      <c r="D490" s="8" t="str">
        <f aca="false">IF(ISNUMBER(gai_oai_2024),gai_oai_2024,"")</f>
        <v/>
      </c>
      <c r="E490" s="8" t="str">
        <f aca="false">IF(ISNUMBER(gai_oai_2025),gai_oai_2025,"")</f>
        <v/>
      </c>
      <c r="F490" s="8" t="n">
        <f aca="false">IF(ISNUMBER(gai_oai_2026),gai_oai_2026,"")</f>
        <v>20</v>
      </c>
      <c r="G490" s="8" t="n">
        <f aca="false">IF(ISNUMBER(gai_oai_2027),gai_oai_2027,"")</f>
        <v>30</v>
      </c>
      <c r="H490" s="8" t="n">
        <f aca="false">IF(ISNUMBER(gai_oai_2028),gai_oai_2028,"")</f>
        <v>45</v>
      </c>
      <c r="I490" s="8" t="n">
        <f aca="false">IF(ISNUMBER(gai_oai_2029),gai_oai_2029,"")</f>
        <v>60</v>
      </c>
    </row>
    <row r="491" customFormat="false" ht="17.15" hidden="false" customHeight="false" outlineLevel="0" collapsed="false">
      <c r="A491" s="0" t="s">
        <v>1723</v>
      </c>
      <c r="B491" s="0" t="s">
        <v>1289</v>
      </c>
      <c r="D491" s="8" t="n">
        <f aca="false">IF(ISNUMBER(D490),(pitN_2024/(pitN_2024+pfacN_2024)*D490+pfacN_2024/(pitN_2024+pfacN_2024)*IF(AND(ISNUMBER(""),ISNUMBER("")),wb1*""+wb2*"",IF(ISNUMBER(""),"",D490)))/(pitN_2024+pfacN_2024),site_oai_2024)</f>
        <v>0</v>
      </c>
      <c r="E491" s="8" t="n">
        <f aca="false">IF(ISNUMBER(E490),(pitN_2025/(pitN_2025+pfacN_2025)*E490+pfacN_2025/(pitN_2025+pfacN_2025)*IF(AND(ISNUMBER(D490),ISNUMBER("")),wb1*D490+wb2*"",IF(ISNUMBER(D490),D490,E490)))/(pitN_2025+pfacN_2025),site_oai_2025)</f>
        <v>0</v>
      </c>
      <c r="F491" s="8" t="n">
        <f aca="false">IF(ISNUMBER(F490),(pitN_2026/(pitN_2026+pfacN_2026)*F490+pfacN_2026/(pitN_2026+pfacN_2026)*IF(AND(ISNUMBER(E490),ISNUMBER(D490)),wb1*E490+wb2*D490,IF(ISNUMBER(E490),E490,F490)))/(pitN_2026+pfacN_2026),site_oai_2026)</f>
        <v>0.433989802163179</v>
      </c>
      <c r="G491" s="8" t="n">
        <f aca="false">IF(ISNUMBER(G490),(pitN_2027/(pitN_2027+pfacN_2027)*G490+pfacN_2027/(pitN_2027+pfacN_2027)*IF(AND(ISNUMBER(F490),ISNUMBER(E490)),wb1*F490+wb2*E490,IF(ISNUMBER(F490),F490,G490)))/(pitN_2027+pfacN_2027),site_oai_2027)</f>
        <v>0.539423294291731</v>
      </c>
      <c r="H491" s="8" t="n">
        <f aca="false">IF(ISNUMBER(H490),(pitN_2028/(pitN_2028+pfacN_2028)*H490+pfacN_2028/(pitN_2028+pfacN_2028)*IF(AND(ISNUMBER(G490),ISNUMBER(F490)),wb1*G490+wb2*F490,IF(ISNUMBER(G490),G490,H490)))/(pitN_2028+pfacN_2028),site_oai_2028)</f>
        <v>0.74640146139489</v>
      </c>
      <c r="I491" s="8" t="n">
        <f aca="false">IF(ISNUMBER(I490),(pitN_2029/(pitN_2029+pfacN_2029)*I490+pfacN_2029/(pitN_2029+pfacN_2029)*IF(AND(ISNUMBER(H490),ISNUMBER(G490)),wb1*H490+wb2*G490,IF(ISNUMBER(H490),H490,I490)))/(pitN_2029+pfacN_2029),site_oai_2029)</f>
        <v>1.01330432937459</v>
      </c>
    </row>
    <row r="492" customFormat="false" ht="17.15" hidden="false" customHeight="false" outlineLevel="0" collapsed="false">
      <c r="A492" s="0" t="s">
        <v>1724</v>
      </c>
      <c r="B492" s="0" t="s">
        <v>1291</v>
      </c>
      <c r="E492" s="8" t="n">
        <f aca="false">IF(ISNUMBER(gai_oai_2024),(1-lag_hi)*E491+lag_hi*D491-inv_k*(E491-D491),E491)</f>
        <v>0</v>
      </c>
      <c r="F492" s="8" t="n">
        <f aca="false">IF(ISNUMBER(gai_oai_2025),(1-lag_hi)*F491+lag_hi*E491-inv_k*(F491-E491),F491)</f>
        <v>0.433989802163179</v>
      </c>
      <c r="G492" s="8" t="n">
        <f aca="false">IF(ISNUMBER(gai_oai_2026),(1-lag_hi)*G491+lag_hi*F491-inv_k*(G491-F491),G491)</f>
        <v>0.4761631990146</v>
      </c>
      <c r="H492" s="8" t="n">
        <f aca="false">IF(ISNUMBER(gai_oai_2027),(1-lag_hi)*H491+lag_hi*G491-inv_k*(H491-G491),H491)</f>
        <v>0.622214561132995</v>
      </c>
      <c r="I492" s="8" t="n">
        <f aca="false">IF(ISNUMBER(gai_oai_2028),(1-lag_hi)*I491+lag_hi*H491-inv_k*(I491-H491),I491)</f>
        <v>0.853162608586771</v>
      </c>
    </row>
    <row r="493" customFormat="false" ht="17.15" hidden="false" customHeight="false" outlineLevel="0" collapsed="false">
      <c r="A493" s="0" t="s">
        <v>1725</v>
      </c>
      <c r="B493" s="0" t="s">
        <v>1293</v>
      </c>
      <c r="D493" s="8" t="n">
        <f aca="false">site_oai_2024</f>
        <v>0</v>
      </c>
      <c r="E493" s="8" t="n">
        <f aca="false">site_oai_2025</f>
        <v>0</v>
      </c>
      <c r="F493" s="8" t="n">
        <f aca="false">site_oai_2026</f>
        <v>0</v>
      </c>
      <c r="G493" s="8" t="n">
        <f aca="false">site_oai_2027</f>
        <v>0.522</v>
      </c>
      <c r="H493" s="8" t="n">
        <f aca="false">site_oai_2028</f>
        <v>1.245</v>
      </c>
      <c r="I493" s="8" t="n">
        <f aca="false">site_oai_2029</f>
        <v>1.149</v>
      </c>
    </row>
    <row r="494" customFormat="false" ht="17.15" hidden="false" customHeight="false" outlineLevel="0" collapsed="false">
      <c r="A494" s="0" t="s">
        <v>1726</v>
      </c>
      <c r="B494" s="0" t="s">
        <v>1295</v>
      </c>
      <c r="D494" s="8" t="str">
        <f aca="false">IF(ISNUMBER(gai_ant_2024),gai_ant_2024,"")</f>
        <v/>
      </c>
      <c r="E494" s="8" t="str">
        <f aca="false">IF(ISNUMBER(gai_ant_2025),gai_ant_2025,"")</f>
        <v/>
      </c>
      <c r="F494" s="8" t="n">
        <f aca="false">IF(ISNUMBER(gai_ant_2026),gai_ant_2026,"")</f>
        <v>16.666667</v>
      </c>
      <c r="G494" s="8" t="n">
        <f aca="false">IF(ISNUMBER(gai_ant_2027),gai_ant_2027,"")</f>
        <v>16.666667</v>
      </c>
      <c r="H494" s="8" t="n">
        <f aca="false">IF(ISNUMBER(gai_ant_2028),gai_ant_2028,"")</f>
        <v>16.666667</v>
      </c>
      <c r="I494" s="8" t="n">
        <f aca="false">IF(ISNUMBER(gai_ant_2029),gai_ant_2029,"")</f>
        <v>0</v>
      </c>
    </row>
    <row r="495" customFormat="false" ht="17.15" hidden="false" customHeight="false" outlineLevel="0" collapsed="false">
      <c r="A495" s="0" t="s">
        <v>1727</v>
      </c>
      <c r="B495" s="0" t="s">
        <v>1297</v>
      </c>
      <c r="D495" s="8" t="n">
        <f aca="false">IF(ISNUMBER(D494),(pitN_2024/(pitN_2024+pfacN_2024)*D494+pfacN_2024/(pitN_2024+pfacN_2024)*IF(AND(ISNUMBER(""),ISNUMBER("")),wb1*""+wb2*"",IF(ISNUMBER(""),"",D494)))/(pitN_2024+pfacN_2024),site_ant_2024)</f>
        <v>0</v>
      </c>
      <c r="E495" s="8" t="n">
        <f aca="false">IF(ISNUMBER(E494),(pitN_2025/(pitN_2025+pfacN_2025)*E494+pfacN_2025/(pitN_2025+pfacN_2025)*IF(AND(ISNUMBER(D494),ISNUMBER("")),wb1*D494+wb2*"",IF(ISNUMBER(D494),D494,E494)))/(pitN_2025+pfacN_2025),site_ant_2025)</f>
        <v>0</v>
      </c>
      <c r="F495" s="8" t="n">
        <f aca="false">IF(ISNUMBER(F494),(pitN_2026/(pitN_2026+pfacN_2026)*F494+pfacN_2026/(pitN_2026+pfacN_2026)*IF(AND(ISNUMBER(E494),ISNUMBER(D494)),wb1*E494+wb2*D494,IF(ISNUMBER(E494),E494,F494)))/(pitN_2026+pfacN_2026),site_ant_2026)</f>
        <v>0.36165817570248</v>
      </c>
      <c r="G495" s="8" t="n">
        <f aca="false">IF(ISNUMBER(G494),(pitN_2027/(pitN_2027+pfacN_2027)*G494+pfacN_2027/(pitN_2027+pfacN_2027)*IF(AND(ISNUMBER(F494),ISNUMBER(E494)),wb1*F494+wb2*E494,IF(ISNUMBER(F494),F494,G494)))/(pitN_2027+pfacN_2027),site_ant_2027)</f>
        <v>0.326730833032632</v>
      </c>
      <c r="H495" s="8" t="n">
        <f aca="false">IF(ISNUMBER(H494),(pitN_2028/(pitN_2028+pfacN_2028)*H494+pfacN_2028/(pitN_2028+pfacN_2028)*IF(AND(ISNUMBER(G494),ISNUMBER(F494)),wb1*G494+wb2*F494,IF(ISNUMBER(G494),G494,H494)))/(pitN_2028+pfacN_2028),site_ant_2028)</f>
        <v>0.308627002270922</v>
      </c>
      <c r="I495" s="8" t="n">
        <f aca="false">IF(ISNUMBER(I494),(pitN_2029/(pitN_2029+pfacN_2029)*I494+pfacN_2029/(pitN_2029+pfacN_2029)*IF(AND(ISNUMBER(H494),ISNUMBER(G494)),wb1*H494+wb2*G494,IF(ISNUMBER(H494),H494,I494)))/(pitN_2029+pfacN_2029),site_ant_2029)</f>
        <v>0.0724095248404747</v>
      </c>
    </row>
    <row r="496" customFormat="false" ht="17.15" hidden="false" customHeight="false" outlineLevel="0" collapsed="false">
      <c r="A496" s="0" t="s">
        <v>1728</v>
      </c>
      <c r="B496" s="0" t="s">
        <v>1299</v>
      </c>
      <c r="E496" s="8" t="n">
        <f aca="false">IF(ISNUMBER(gai_ant_2024),(1-lag_hi)*E495+lag_hi*D495-inv_k*(E495-D495),E495)</f>
        <v>0</v>
      </c>
      <c r="F496" s="8" t="n">
        <f aca="false">IF(ISNUMBER(gai_ant_2025),(1-lag_hi)*F495+lag_hi*E495-inv_k*(F495-E495),F495)</f>
        <v>0.36165817570248</v>
      </c>
      <c r="G496" s="8" t="n">
        <f aca="false">IF(ISNUMBER(gai_ant_2026),(1-lag_hi)*G495+lag_hi*F495-inv_k*(G495-F495),G495)</f>
        <v>0.347687238634541</v>
      </c>
      <c r="H496" s="8" t="n">
        <f aca="false">IF(ISNUMBER(gai_ant_2027),(1-lag_hi)*H495+lag_hi*G495-inv_k*(H495-G495),H495)</f>
        <v>0.319489300727948</v>
      </c>
      <c r="I496" s="8" t="n">
        <f aca="false">IF(ISNUMBER(gai_ant_2028),(1-lag_hi)*I495+lag_hi*H495-inv_k*(I495-H495),I495)</f>
        <v>0.214140011298743</v>
      </c>
    </row>
    <row r="497" customFormat="false" ht="17.15" hidden="false" customHeight="false" outlineLevel="0" collapsed="false">
      <c r="A497" s="0" t="s">
        <v>1729</v>
      </c>
      <c r="B497" s="0" t="s">
        <v>1301</v>
      </c>
      <c r="D497" s="8" t="n">
        <f aca="false">site_ant_2024</f>
        <v>0</v>
      </c>
      <c r="E497" s="8" t="n">
        <f aca="false">site_ant_2025</f>
        <v>0</v>
      </c>
      <c r="F497" s="8" t="n">
        <f aca="false">site_ant_2026</f>
        <v>0</v>
      </c>
      <c r="G497" s="8" t="n">
        <f aca="false">site_ant_2027</f>
        <v>0</v>
      </c>
      <c r="H497" s="8" t="n">
        <f aca="false">site_ant_2028</f>
        <v>0</v>
      </c>
      <c r="I497" s="8" t="n">
        <f aca="false">site_ant_2029</f>
        <v>0</v>
      </c>
    </row>
    <row r="498" customFormat="false" ht="17.15" hidden="false" customHeight="false" outlineLevel="0" collapsed="false">
      <c r="A498" s="0" t="s">
        <v>1730</v>
      </c>
      <c r="B498" s="5" t="s">
        <v>1303</v>
      </c>
      <c r="D498" s="9" t="n">
        <f aca="false">D438+D445+D452+D459+D466+D473+D480</f>
        <v>2.88602836343531</v>
      </c>
      <c r="E498" s="9" t="n">
        <f aca="false">E438+E445+E452+E459+E466+E473+E480</f>
        <v>9.64396540227264</v>
      </c>
      <c r="F498" s="9" t="n">
        <f aca="false">F438+F445+F452+F459+F466+F473+F480</f>
        <v>15.2175288078156</v>
      </c>
      <c r="G498" s="9" t="n">
        <f aca="false">G438+G445+G452+G459+G466+G473+G480</f>
        <v>19.096009969242</v>
      </c>
      <c r="H498" s="9" t="n">
        <f aca="false">H438+H445+H452+H459+H466+H473+H480</f>
        <v>21.3980787384407</v>
      </c>
      <c r="I498" s="9" t="n">
        <f aca="false">I438+I445+I452+I459+I466+I473+I480</f>
        <v>23.901946773905</v>
      </c>
    </row>
    <row r="499" customFormat="false" ht="17.15" hidden="false" customHeight="false" outlineLevel="0" collapsed="false">
      <c r="A499" s="0" t="s">
        <v>1731</v>
      </c>
      <c r="B499" s="5" t="s">
        <v>1305</v>
      </c>
      <c r="D499" s="9" t="n">
        <f aca="false">D439+D446+D453+D460+D467+D474+D481</f>
        <v>0</v>
      </c>
      <c r="E499" s="9" t="n">
        <f aca="false">E439+E446+E453+E460+E467+E474+E481</f>
        <v>5.58920317897024</v>
      </c>
      <c r="F499" s="9" t="n">
        <f aca="false">F439+F446+F453+F460+F467+F474+F481</f>
        <v>11.8733907644898</v>
      </c>
      <c r="G499" s="9" t="n">
        <f aca="false">G439+G446+G453+G460+G467+G474+G481</f>
        <v>16.7689212723862</v>
      </c>
      <c r="H499" s="9" t="n">
        <f aca="false">H439+H446+H453+H460+H467+H474+H481</f>
        <v>20.0168374769215</v>
      </c>
      <c r="I499" s="9" t="n">
        <f aca="false">I439+I446+I453+I460+I467+I474+I481</f>
        <v>22.3996259526265</v>
      </c>
    </row>
    <row r="500" customFormat="false" ht="17.15" hidden="false" customHeight="false" outlineLevel="0" collapsed="false">
      <c r="A500" s="0" t="s">
        <v>1732</v>
      </c>
      <c r="B500" s="5" t="s">
        <v>1307</v>
      </c>
      <c r="D500" s="9" t="n">
        <f aca="false">D441+D448+D455+D462+D469+D476+D483</f>
        <v>3.89616485653111</v>
      </c>
      <c r="E500" s="9" t="n">
        <f aca="false">E441+E448+E455+E462+E469+E476+E483</f>
        <v>9.4581706968</v>
      </c>
      <c r="F500" s="9" t="n">
        <f aca="false">F441+F448+F455+F462+F469+F476+F483</f>
        <v>15.1257949595735</v>
      </c>
      <c r="G500" s="9" t="n">
        <f aca="false">G441+G448+G455+G462+G469+G476+G483</f>
        <v>19.2801415517668</v>
      </c>
      <c r="H500" s="9" t="n">
        <f aca="false">H441+H448+H455+H462+H469+H476+H483</f>
        <v>20.7180010831606</v>
      </c>
      <c r="I500" s="9" t="n">
        <f aca="false">I441+I448+I455+I462+I469+I476+I483</f>
        <v>20.371284771225</v>
      </c>
    </row>
    <row r="501" customFormat="false" ht="17.15" hidden="false" customHeight="false" outlineLevel="0" collapsed="false">
      <c r="A501" s="0" t="s">
        <v>1733</v>
      </c>
      <c r="B501" s="5" t="s">
        <v>1309</v>
      </c>
      <c r="D501" s="9" t="n">
        <f aca="false">D442+D449+D456+D463+D470+D477+D484</f>
        <v>0</v>
      </c>
      <c r="E501" s="9" t="n">
        <f aca="false">E442+E449+E456+E463+E470+E477+E484</f>
        <v>6.12096719263867</v>
      </c>
      <c r="F501" s="9" t="n">
        <f aca="false">F442+F449+F456+F463+F470+F477+F484</f>
        <v>11.7252204019094</v>
      </c>
      <c r="G501" s="9" t="n">
        <f aca="false">G442+G449+G456+G463+G470+G477+G484</f>
        <v>16.7875335964508</v>
      </c>
      <c r="H501" s="9" t="n">
        <f aca="false">H442+H449+H456+H463+H470+H477+H484</f>
        <v>19.8552853643243</v>
      </c>
      <c r="I501" s="9" t="n">
        <f aca="false">I442+I449+I456+I463+I470+I477+I484</f>
        <v>20.5793145583864</v>
      </c>
    </row>
    <row r="502" customFormat="false" ht="15" hidden="false" customHeight="false" outlineLevel="0" collapsed="false">
      <c r="A502" s="0" t="s">
        <v>1734</v>
      </c>
      <c r="B502" s="5" t="s">
        <v>1311</v>
      </c>
      <c r="D502" s="9" t="n">
        <f aca="false">D443+D450+D457+D464+D471+D478+D485</f>
        <v>1.61980834349181</v>
      </c>
      <c r="E502" s="9" t="n">
        <f aca="false">E443+E450+E457+E464+E471+E478+E485</f>
        <v>8.74912429484715</v>
      </c>
      <c r="F502" s="9" t="n">
        <f aca="false">F443+F450+F457+F464+F471+F478+F485</f>
        <v>6.54276412772586</v>
      </c>
      <c r="G502" s="9" t="n">
        <f aca="false">G443+G450+G457+G464+G471+G478+G485</f>
        <v>6.52966666666667</v>
      </c>
      <c r="H502" s="9" t="n">
        <f aca="false">H443+H450+H457+H464+H471+H478+H485</f>
        <v>13.6908333333333</v>
      </c>
      <c r="I502" s="9" t="n">
        <f aca="false">I443+I450+I457+I464+I471+I478+I485</f>
        <v>2.7115</v>
      </c>
    </row>
    <row r="503" customFormat="false" ht="15" hidden="false" customHeight="false" outlineLevel="0" collapsed="false">
      <c r="A503" s="0" t="s">
        <v>1735</v>
      </c>
      <c r="B503" s="5" t="s">
        <v>1313</v>
      </c>
      <c r="D503" s="9" t="n">
        <f aca="false">D487+D491+D495</f>
        <v>0</v>
      </c>
      <c r="E503" s="9" t="n">
        <f aca="false">E487+E491+E495</f>
        <v>0</v>
      </c>
      <c r="F503" s="9" t="n">
        <f aca="false">F487+F491+F495</f>
        <v>2.40267139853502</v>
      </c>
      <c r="G503" s="9" t="n">
        <f aca="false">G487+G491+G495</f>
        <v>3.23438922183938</v>
      </c>
      <c r="H503" s="9" t="n">
        <f aca="false">H487+H491+H495</f>
        <v>3.55451309886602</v>
      </c>
      <c r="I503" s="9" t="n">
        <f aca="false">I487+I491+I495</f>
        <v>3.27041814295472</v>
      </c>
    </row>
    <row r="504" customFormat="false" ht="15" hidden="false" customHeight="false" outlineLevel="0" collapsed="false">
      <c r="A504" s="0" t="s">
        <v>1736</v>
      </c>
      <c r="B504" s="5" t="s">
        <v>1315</v>
      </c>
      <c r="D504" s="9" t="n">
        <f aca="false">D488+D492+D496</f>
        <v>0</v>
      </c>
      <c r="E504" s="9" t="n">
        <f aca="false">E488+E492+E496</f>
        <v>0</v>
      </c>
      <c r="F504" s="9" t="n">
        <f aca="false">F488+F492+F496</f>
        <v>2.40267139853502</v>
      </c>
      <c r="G504" s="9" t="n">
        <f aca="false">G488+G492+G496</f>
        <v>2.73535852785676</v>
      </c>
      <c r="H504" s="9" t="n">
        <f aca="false">H488+H492+H496</f>
        <v>3.36243877265003</v>
      </c>
      <c r="I504" s="9" t="n">
        <f aca="false">I488+I492+I496</f>
        <v>3.4408751165015</v>
      </c>
    </row>
    <row r="505" customFormat="false" ht="15" hidden="false" customHeight="false" outlineLevel="0" collapsed="false">
      <c r="A505" s="0" t="s">
        <v>1737</v>
      </c>
      <c r="B505" s="5" t="s">
        <v>1317</v>
      </c>
      <c r="D505" s="9" t="n">
        <f aca="false">D489+D493+D497</f>
        <v>0</v>
      </c>
      <c r="E505" s="9" t="n">
        <f aca="false">E489+E493+E497</f>
        <v>0</v>
      </c>
      <c r="F505" s="9" t="n">
        <f aca="false">F489+F493+F497</f>
        <v>1.4302</v>
      </c>
      <c r="G505" s="9" t="n">
        <f aca="false">G489+G493+G497</f>
        <v>1.107</v>
      </c>
      <c r="H505" s="9" t="n">
        <f aca="false">H489+H493+H497</f>
        <v>1.245</v>
      </c>
      <c r="I505" s="9" t="n">
        <f aca="false">I489+I493+I497</f>
        <v>1.149</v>
      </c>
    </row>
    <row r="507" customFormat="false" ht="15" hidden="false" customHeight="false" outlineLevel="0" collapsed="false">
      <c r="A507" s="6" t="s">
        <v>1738</v>
      </c>
    </row>
    <row r="508" customFormat="false" ht="15" hidden="false" customHeight="false" outlineLevel="0" collapsed="false">
      <c r="A508" s="2" t="s">
        <v>1</v>
      </c>
      <c r="B508" s="2" t="s">
        <v>2</v>
      </c>
      <c r="C508" s="7" t="s">
        <v>1188</v>
      </c>
      <c r="D508" s="7" t="s">
        <v>1189</v>
      </c>
      <c r="E508" s="7" t="s">
        <v>1190</v>
      </c>
      <c r="F508" s="7" t="s">
        <v>1191</v>
      </c>
      <c r="G508" s="7" t="s">
        <v>1192</v>
      </c>
      <c r="H508" s="7" t="s">
        <v>1193</v>
      </c>
    </row>
    <row r="509" customFormat="false" ht="17.15" hidden="false" customHeight="false" outlineLevel="0" collapsed="false">
      <c r="A509" s="0" t="s">
        <v>1739</v>
      </c>
      <c r="B509" s="0" t="s">
        <v>1195</v>
      </c>
      <c r="D509" s="8" t="n">
        <f aca="false">IF(ISNUMBER(ai2_msft_2024),ai2_msft_2024,"")</f>
        <v>46.3369</v>
      </c>
      <c r="E509" s="8" t="n">
        <f aca="false">IF(ISNUMBER(ai2_msft_2025),ai2_msft_2025,"")</f>
        <v>76.712075</v>
      </c>
      <c r="F509" s="8" t="n">
        <f aca="false">IF(ISNUMBER(ai2_msft_2026),ai2_msft_2026,"")</f>
        <v>131.229375</v>
      </c>
      <c r="G509" s="8" t="n">
        <f aca="false">IF(ISNUMBER(ai2_msft_2027),ai2_msft_2027,"")</f>
        <v>174.08595</v>
      </c>
      <c r="H509" s="8" t="n">
        <f aca="false">IF(ISNUMBER(ai2_msft_2028),ai2_msft_2028,"")</f>
        <v>198.883</v>
      </c>
      <c r="I509" s="8" t="n">
        <f aca="false">IF(ISNUMBER(ai2_msft_2029),ai2_msft_2029,"")</f>
        <v>224.1719025</v>
      </c>
    </row>
    <row r="510" customFormat="false" ht="17.15" hidden="false" customHeight="false" outlineLevel="0" collapsed="false">
      <c r="A510" s="0" t="s">
        <v>1740</v>
      </c>
      <c r="B510" s="0" t="s">
        <v>1197</v>
      </c>
      <c r="D510" s="8" t="n">
        <f aca="false">IF(ISNUMBER(D509),(pit_msft_2024/(pit_msft_2024+pfac_msft_2024)*D509+pfac_msft_2024/(pit_msft_2024+pfac_msft_2024)*IF(AND(ISNUMBER(""),ISNUMBER("")),wb1*""+wb2*"",IF(ISNUMBER(""),"",D509)))/(pit_msft_2024+pfac_msft_2024),site_msft_2024)</f>
        <v>1.2662200199435</v>
      </c>
      <c r="E510" s="8" t="n">
        <f aca="false">IF(ISNUMBER(E509),(pit_msft_2025/(pit_msft_2025+pfac_msft_2025)*E509+pfac_msft_2025/(pit_msft_2025+pfac_msft_2025)*IF(AND(ISNUMBER(D509),ISNUMBER("")),wb1*D509+wb2*"",IF(ISNUMBER(D509),D509,E509)))/(pit_msft_2025+pfac_msft_2025),site_msft_2025)</f>
        <v>1.89413391980359</v>
      </c>
      <c r="F510" s="8" t="n">
        <f aca="false">IF(ISNUMBER(F509),(pit_msft_2026/(pit_msft_2026+pfac_msft_2026)*F509+pfac_msft_2026/(pit_msft_2026+pfac_msft_2026)*IF(AND(ISNUMBER(E509),ISNUMBER(D509)),wb1*E509+wb2*D509,IF(ISNUMBER(E509),E509,F509)))/(pit_msft_2026+pfac_msft_2026),site_msft_2026)</f>
        <v>2.73280981276305</v>
      </c>
      <c r="G510" s="8" t="n">
        <f aca="false">IF(ISNUMBER(G509),(pit_msft_2027/(pit_msft_2027+pfac_msft_2027)*G509+pfac_msft_2027/(pit_msft_2027+pfac_msft_2027)*IF(AND(ISNUMBER(F509),ISNUMBER(E509)),wb1*F509+wb2*E509,IF(ISNUMBER(F509),F509,G509)))/(pit_msft_2027+pfac_msft_2027),site_msft_2027)</f>
        <v>3.56447576934396</v>
      </c>
      <c r="H510" s="8" t="n">
        <f aca="false">IF(ISNUMBER(H509),(pit_msft_2028/(pit_msft_2028+pfac_msft_2028)*H509+pfac_msft_2028/(pit_msft_2028+pfac_msft_2028)*IF(AND(ISNUMBER(G509),ISNUMBER(F509)),wb1*G509+wb2*F509,IF(ISNUMBER(G509),G509,H509)))/(pit_msft_2028+pfac_msft_2028),site_msft_2028)</f>
        <v>4.06597876464757</v>
      </c>
      <c r="I510" s="8" t="n">
        <f aca="false">IF(ISNUMBER(I509),(pit_msft_2029/(pit_msft_2029+pfac_msft_2029)*I509+pfac_msft_2029/(pit_msft_2029+pfac_msft_2029)*IF(AND(ISNUMBER(H509),ISNUMBER(G509)),wb1*H509+wb2*G509,IF(ISNUMBER(H509),H509,I509)))/(pit_msft_2029+pfac_msft_2029),site_msft_2029)</f>
        <v>4.6644209987717</v>
      </c>
    </row>
    <row r="511" customFormat="false" ht="17.15" hidden="false" customHeight="false" outlineLevel="0" collapsed="false">
      <c r="A511" s="0" t="s">
        <v>1741</v>
      </c>
      <c r="B511" s="0" t="s">
        <v>1199</v>
      </c>
      <c r="E511" s="8" t="n">
        <f aca="false">(1-lag)*E510+lag*D510-inv_k_lo*(E510-D510)</f>
        <v>1.62727051236305</v>
      </c>
      <c r="F511" s="8" t="n">
        <f aca="false">(1-lag)*F510+lag*E510-inv_k_lo*(F510-E510)</f>
        <v>2.37637255825527</v>
      </c>
      <c r="G511" s="8" t="n">
        <f aca="false">(1-lag)*G510+lag*F510-inv_k_lo*(G510-F510)</f>
        <v>3.21101773779707</v>
      </c>
      <c r="H511" s="8" t="n">
        <f aca="false">(1-lag)*H510+lag*G510-inv_k_lo*(H510-G510)</f>
        <v>3.85283999164354</v>
      </c>
      <c r="I511" s="8" t="n">
        <f aca="false">(1-lag)*I510+lag*H510-inv_k_lo*(I510-H510)</f>
        <v>4.41008304926895</v>
      </c>
    </row>
    <row r="512" customFormat="false" ht="17.15" hidden="false" customHeight="false" outlineLevel="0" collapsed="false">
      <c r="A512" s="0" t="s">
        <v>1742</v>
      </c>
      <c r="B512" s="0" t="s">
        <v>1201</v>
      </c>
      <c r="D512" s="8" t="str">
        <f aca="false">""</f>
        <v/>
      </c>
      <c r="E512" s="8" t="n">
        <f aca="false">(6/12*cap2_msft_2025+6/12*gcap_msft_2026)*ai_sh</f>
        <v>89.186675</v>
      </c>
      <c r="F512" s="8" t="n">
        <f aca="false">(6/12*gcap_msft_2026+6/12*gcap_msft_2027)*ai_sh</f>
        <v>148.5375</v>
      </c>
      <c r="G512" s="8" t="n">
        <f aca="false">(6/12*gcap_msft_2027+6/12*gcap_msft_2028)*ai_sh</f>
        <v>185.939575275</v>
      </c>
      <c r="H512" s="8" t="n">
        <f aca="false">(6/12*gcap_msft_2028+6/12*gcap_msft_2029)*ai_sh</f>
        <v>202.7978586</v>
      </c>
      <c r="I512" s="8" t="n">
        <f aca="false">(6/12*gcap_msft_2029+6/12*gcap_msft_2030)*ai_sh</f>
        <v>197.6117298</v>
      </c>
    </row>
    <row r="513" customFormat="false" ht="17.15" hidden="false" customHeight="false" outlineLevel="0" collapsed="false">
      <c r="A513" s="0" t="s">
        <v>1743</v>
      </c>
      <c r="B513" s="0" t="s">
        <v>1197</v>
      </c>
      <c r="D513" s="8" t="n">
        <f aca="false">IF(ISNUMBER(D512),(pit_msft_2024/(pit_msft_2024+pfac_msft_2024)*D512+pfac_msft_2024/(pit_msft_2024+pfac_msft_2024)*IF(AND(ISNUMBER(""),ISNUMBER("")),wb1*""+wb2*"",IF(ISNUMBER(""),"",D512)))/(pit_msft_2024+pfac_msft_2024),site_msft_2024)</f>
        <v>0</v>
      </c>
      <c r="E513" s="8" t="n">
        <f aca="false">IF(ISNUMBER(E512),(pit_msft_2025/(pit_msft_2025+pfac_msft_2025)*E512+pfac_msft_2025/(pit_msft_2025+pfac_msft_2025)*IF(AND(ISNUMBER(D512),ISNUMBER("")),wb1*D512+wb2*"",IF(ISNUMBER(D512),D512,E512)))/(pit_msft_2025+pfac_msft_2025),site_msft_2025)</f>
        <v>2.51576435599185</v>
      </c>
      <c r="F513" s="8" t="n">
        <f aca="false">IF(ISNUMBER(F512),(pit_msft_2026/(pit_msft_2026+pfac_msft_2026)*F512+pfac_msft_2026/(pit_msft_2026+pfac_msft_2026)*IF(AND(ISNUMBER(E512),ISNUMBER(D512)),wb1*E512+wb2*D512,IF(ISNUMBER(E512),E512,F512)))/(pit_msft_2026+pfac_msft_2026),site_msft_2026)</f>
        <v>3.22245015720519</v>
      </c>
      <c r="G513" s="8" t="n">
        <f aca="false">IF(ISNUMBER(G512),(pit_msft_2027/(pit_msft_2027+pfac_msft_2027)*G512+pfac_msft_2027/(pit_msft_2027+pfac_msft_2027)*IF(AND(ISNUMBER(F512),ISNUMBER(E512)),wb1*F512+wb2*E512,IF(ISNUMBER(F512),F512,G512)))/(pit_msft_2027+pfac_msft_2027),site_msft_2027)</f>
        <v>3.85144347642322</v>
      </c>
      <c r="H513" s="8" t="n">
        <f aca="false">IF(ISNUMBER(H512),(pit_msft_2028/(pit_msft_2028+pfac_msft_2028)*H512+pfac_msft_2028/(pit_msft_2028+pfac_msft_2028)*IF(AND(ISNUMBER(G512),ISNUMBER(F512)),wb1*G512+wb2*F512,IF(ISNUMBER(G512),G512,H512)))/(pit_msft_2028+pfac_msft_2028),site_msft_2028)</f>
        <v>4.20542058770135</v>
      </c>
      <c r="I513" s="8" t="n">
        <f aca="false">IF(ISNUMBER(I512),(pit_msft_2029/(pit_msft_2029+pfac_msft_2029)*I512+pfac_msft_2029/(pit_msft_2029+pfac_msft_2029)*IF(AND(ISNUMBER(H512),ISNUMBER(G512)),wb1*H512+wb2*G512,IF(ISNUMBER(H512),H512,I512)))/(pit_msft_2029+pfac_msft_2029),site_msft_2029)</f>
        <v>4.26588923952249</v>
      </c>
    </row>
    <row r="514" customFormat="false" ht="17.15" hidden="false" customHeight="false" outlineLevel="0" collapsed="false">
      <c r="A514" s="0" t="s">
        <v>1744</v>
      </c>
      <c r="B514" s="0" t="s">
        <v>1199</v>
      </c>
      <c r="E514" s="8" t="n">
        <f aca="false">(1-lag)*E513+lag*D513-inv_k_lo*(E513-D513)</f>
        <v>1.44656450469531</v>
      </c>
      <c r="F514" s="8" t="n">
        <f aca="false">(1-lag)*F513+lag*E513-inv_k_lo*(F513-E513)</f>
        <v>2.92210869168952</v>
      </c>
      <c r="G514" s="8" t="n">
        <f aca="false">(1-lag)*G513+lag*F513-inv_k_lo*(G513-F513)</f>
        <v>3.58412131575556</v>
      </c>
      <c r="H514" s="8" t="n">
        <f aca="false">(1-lag)*H513+lag*G513-inv_k_lo*(H513-G513)</f>
        <v>4.05498031540815</v>
      </c>
      <c r="I514" s="8" t="n">
        <f aca="false">(1-lag)*I513+lag*H513-inv_k_lo*(I513-H513)</f>
        <v>4.2401900624985</v>
      </c>
    </row>
    <row r="515" customFormat="false" ht="17.15" hidden="false" customHeight="false" outlineLevel="0" collapsed="false">
      <c r="A515" s="0" t="s">
        <v>1745</v>
      </c>
      <c r="B515" s="0" t="s">
        <v>1205</v>
      </c>
      <c r="D515" s="8" t="n">
        <f aca="false">site_msft_2024</f>
        <v>0</v>
      </c>
      <c r="E515" s="8" t="n">
        <f aca="false">site_msft_2025</f>
        <v>2.13527</v>
      </c>
      <c r="F515" s="8" t="n">
        <f aca="false">site_msft_2026</f>
        <v>0.770955</v>
      </c>
      <c r="G515" s="8" t="n">
        <f aca="false">site_msft_2027</f>
        <v>1.04</v>
      </c>
      <c r="H515" s="8" t="n">
        <f aca="false">site_msft_2028</f>
        <v>1.67</v>
      </c>
      <c r="I515" s="8" t="n">
        <f aca="false">site_msft_2029</f>
        <v>0.144</v>
      </c>
    </row>
    <row r="516" customFormat="false" ht="17.15" hidden="false" customHeight="false" outlineLevel="0" collapsed="false">
      <c r="A516" s="0" t="s">
        <v>1746</v>
      </c>
      <c r="B516" s="0" t="s">
        <v>1207</v>
      </c>
      <c r="D516" s="8" t="str">
        <f aca="false">IF(ISNUMBER(ai2_googl_2024),ai2_googl_2024,"")</f>
        <v/>
      </c>
      <c r="E516" s="8" t="n">
        <f aca="false">IF(ISNUMBER(ai2_googl_2025),ai2_googl_2025,"")</f>
        <v>77.72995</v>
      </c>
      <c r="F516" s="8" t="n">
        <f aca="false">IF(ISNUMBER(ai2_googl_2026),ai2_googl_2026,"")</f>
        <v>170</v>
      </c>
      <c r="G516" s="8" t="n">
        <f aca="false">IF(ISNUMBER(ai2_googl_2027),ai2_googl_2027,"")</f>
        <v>255.83215</v>
      </c>
      <c r="H516" s="8" t="n">
        <f aca="false">IF(ISNUMBER(ai2_googl_2028),ai2_googl_2028,"")</f>
        <v>288.53335</v>
      </c>
      <c r="I516" s="8" t="n">
        <f aca="false">IF(ISNUMBER(ai2_googl_2029),ai2_googl_2029,"")</f>
        <v>317.386685</v>
      </c>
    </row>
    <row r="517" customFormat="false" ht="17.15" hidden="false" customHeight="false" outlineLevel="0" collapsed="false">
      <c r="A517" s="0" t="s">
        <v>1747</v>
      </c>
      <c r="B517" s="0" t="s">
        <v>1209</v>
      </c>
      <c r="D517" s="8" t="n">
        <f aca="false">IF(ISNUMBER(D516),(pit_googl_2024/(pit_googl_2024+pfac_googl_2024)*D516+pfac_googl_2024/(pit_googl_2024+pfac_googl_2024)*IF(AND(ISNUMBER(""),ISNUMBER("")),wb1*""+wb2*"",IF(ISNUMBER(""),"",D516)))/(pit_googl_2024+pfac_googl_2024),site_googl_2024)</f>
        <v>1.32980834349181</v>
      </c>
      <c r="E517" s="8" t="n">
        <f aca="false">IF(ISNUMBER(E516),(pit_googl_2025/(pit_googl_2025+pfac_googl_2025)*E516+pfac_googl_2025/(pit_googl_2025+pfac_googl_2025)*IF(AND(ISNUMBER(D516),ISNUMBER("")),wb1*D516+wb2*"",IF(ISNUMBER(D516),D516,E516)))/(pit_googl_2025+pfac_googl_2025),site_googl_2025)</f>
        <v>2.15653802290354</v>
      </c>
      <c r="F517" s="8" t="n">
        <f aca="false">IF(ISNUMBER(F516),(pit_googl_2026/(pit_googl_2026+pfac_googl_2026)*F516+pfac_googl_2026/(pit_googl_2026+pfac_googl_2026)*IF(AND(ISNUMBER(E516),ISNUMBER(D516)),wb1*E516+wb2*D516,IF(ISNUMBER(E516),E516,F516)))/(pit_googl_2026+pfac_googl_2026),site_googl_2026)</f>
        <v>3.85777511610307</v>
      </c>
      <c r="G517" s="8" t="n">
        <f aca="false">IF(ISNUMBER(G516),(pit_googl_2027/(pit_googl_2027+pfac_googl_2027)*G516+pfac_googl_2027/(pit_googl_2027+pfac_googl_2027)*IF(AND(ISNUMBER(F516),ISNUMBER(E516)),wb1*F516+wb2*E516,IF(ISNUMBER(F516),F516,G516)))/(pit_googl_2027+pfac_googl_2027),site_googl_2027)</f>
        <v>5.69768565998842</v>
      </c>
      <c r="H517" s="8" t="n">
        <f aca="false">IF(ISNUMBER(H516),(pit_googl_2028/(pit_googl_2028+pfac_googl_2028)*H516+pfac_googl_2028/(pit_googl_2028+pfac_googl_2028)*IF(AND(ISNUMBER(G516),ISNUMBER(F516)),wb1*G516+wb2*F516,IF(ISNUMBER(G516),G516,H516)))/(pit_googl_2028+pfac_googl_2028),site_googl_2028)</f>
        <v>6.77682412398345</v>
      </c>
      <c r="I517" s="8" t="n">
        <f aca="false">IF(ISNUMBER(I516),(pit_googl_2029/(pit_googl_2029+pfac_googl_2029)*I516+pfac_googl_2029/(pit_googl_2029+pfac_googl_2029)*IF(AND(ISNUMBER(H516),ISNUMBER(G516)),wb1*H516+wb2*G516,IF(ISNUMBER(H516),H516,I516)))/(pit_googl_2029+pfac_googl_2029),site_googl_2029)</f>
        <v>7.68929590970477</v>
      </c>
    </row>
    <row r="518" customFormat="false" ht="17.15" hidden="false" customHeight="false" outlineLevel="0" collapsed="false">
      <c r="A518" s="0" t="s">
        <v>1748</v>
      </c>
      <c r="B518" s="0" t="s">
        <v>1211</v>
      </c>
      <c r="E518" s="8" t="n">
        <f aca="false">(1-lag)*E517+lag*D517-inv_k_lo*(E517-D517)</f>
        <v>1.80517790915355</v>
      </c>
      <c r="F518" s="8" t="n">
        <f aca="false">(1-lag)*F517+lag*E517-inv_k_lo*(F517-E517)</f>
        <v>3.13474935149327</v>
      </c>
      <c r="G518" s="8" t="n">
        <f aca="false">(1-lag)*G517+lag*F517-inv_k_lo*(G517-F517)</f>
        <v>4.91572367883715</v>
      </c>
      <c r="H518" s="8" t="n">
        <f aca="false">(1-lag)*H517+lag*G517-inv_k_lo*(H517-G517)</f>
        <v>6.31819027678556</v>
      </c>
      <c r="I518" s="8" t="n">
        <f aca="false">(1-lag)*I517+lag*H517-inv_k_lo*(I517-H517)</f>
        <v>7.30149540077321</v>
      </c>
    </row>
    <row r="519" customFormat="false" ht="17.15" hidden="false" customHeight="false" outlineLevel="0" collapsed="false">
      <c r="A519" s="0" t="s">
        <v>1749</v>
      </c>
      <c r="B519" s="0" t="s">
        <v>1213</v>
      </c>
      <c r="D519" s="8" t="n">
        <f aca="false">gcap_googl_2024*ai_sh</f>
        <v>44.65475</v>
      </c>
      <c r="E519" s="8" t="n">
        <f aca="false">gcap_googl_2025*ai_sh</f>
        <v>77.72995</v>
      </c>
      <c r="F519" s="8" t="n">
        <f aca="false">gcap_googl_2026*ai_sh</f>
        <v>170</v>
      </c>
      <c r="G519" s="8" t="n">
        <f aca="false">gcap_googl_2027*ai_sh</f>
        <v>246.810369</v>
      </c>
      <c r="H519" s="8" t="n">
        <f aca="false">gcap_googl_2028*ai_sh</f>
        <v>269.78900975</v>
      </c>
      <c r="I519" s="8" t="n">
        <f aca="false">gcap_googl_2029*ai_sh</f>
        <v>248.6767412</v>
      </c>
    </row>
    <row r="520" customFormat="false" ht="17.15" hidden="false" customHeight="false" outlineLevel="0" collapsed="false">
      <c r="A520" s="0" t="s">
        <v>1750</v>
      </c>
      <c r="B520" s="0" t="s">
        <v>1209</v>
      </c>
      <c r="D520" s="8" t="n">
        <f aca="false">IF(ISNUMBER(D519),(pit_googl_2024/(pit_googl_2024+pfac_googl_2024)*D519+pfac_googl_2024/(pit_googl_2024+pfac_googl_2024)*IF(AND(ISNUMBER(""),ISNUMBER("")),wb1*""+wb2*"",IF(ISNUMBER(""),"",D519)))/(pit_googl_2024+pfac_googl_2024),site_googl_2024)</f>
        <v>1.22628577156267</v>
      </c>
      <c r="E520" s="8" t="n">
        <f aca="false">IF(ISNUMBER(E519),(pit_googl_2025/(pit_googl_2025+pfac_googl_2025)*E519+pfac_googl_2025/(pit_googl_2025+pfac_googl_2025)*IF(AND(ISNUMBER(D519),ISNUMBER("")),wb1*D519+wb2*"",IF(ISNUMBER(D519),D519,E519)))/(pit_googl_2025+pfac_googl_2025),site_googl_2025)</f>
        <v>1.90684085060084</v>
      </c>
      <c r="F520" s="8" t="n">
        <f aca="false">IF(ISNUMBER(F519),(pit_googl_2026/(pit_googl_2026+pfac_googl_2026)*F519+pfac_googl_2026/(pit_googl_2026+pfac_googl_2026)*IF(AND(ISNUMBER(E519),ISNUMBER(D519)),wb1*E519+wb2*D519,IF(ISNUMBER(E519),E519,F519)))/(pit_googl_2026+pfac_googl_2026),site_googl_2026)</f>
        <v>3.74469414665129</v>
      </c>
      <c r="G520" s="8" t="n">
        <f aca="false">IF(ISNUMBER(G519),(pit_googl_2027/(pit_googl_2027+pfac_googl_2027)*G519+pfac_googl_2027/(pit_googl_2027+pfac_googl_2027)*IF(AND(ISNUMBER(F519),ISNUMBER(E519)),wb1*F519+wb2*E519,IF(ISNUMBER(F519),F519,G519)))/(pit_googl_2027+pfac_googl_2027),site_googl_2027)</f>
        <v>5.52479710641755</v>
      </c>
      <c r="H520" s="8" t="n">
        <f aca="false">IF(ISNUMBER(H519),(pit_googl_2028/(pit_googl_2028+pfac_googl_2028)*H519+pfac_googl_2028/(pit_googl_2028+pfac_googl_2028)*IF(AND(ISNUMBER(G519),ISNUMBER(F519)),wb1*G519+wb2*F519,IF(ISNUMBER(G519),G519,H519)))/(pit_googl_2028+pfac_googl_2028),site_googl_2028)</f>
        <v>6.39420249958533</v>
      </c>
      <c r="I520" s="8" t="n">
        <f aca="false">IF(ISNUMBER(I519),(pit_googl_2029/(pit_googl_2029+pfac_googl_2029)*I519+pfac_googl_2029/(pit_googl_2029+pfac_googl_2029)*IF(AND(ISNUMBER(H519),ISNUMBER(G519)),wb1*H519+wb2*G519,IF(ISNUMBER(H519),H519,I519)))/(pit_googl_2029+pfac_googl_2029),site_googl_2029)</f>
        <v>6.30314197516365</v>
      </c>
    </row>
    <row r="521" customFormat="false" ht="17.15" hidden="false" customHeight="false" outlineLevel="0" collapsed="false">
      <c r="A521" s="0" t="s">
        <v>1751</v>
      </c>
      <c r="B521" s="0" t="s">
        <v>1211</v>
      </c>
      <c r="E521" s="8" t="n">
        <f aca="false">(1-lag)*E520+lag*D520-inv_k_lo*(E520-D520)</f>
        <v>1.61760494200961</v>
      </c>
      <c r="F521" s="8" t="n">
        <f aca="false">(1-lag)*F520+lag*E520-inv_k_lo*(F520-E520)</f>
        <v>2.96360649582985</v>
      </c>
      <c r="G521" s="8" t="n">
        <f aca="false">(1-lag)*G520+lag*F520-inv_k_lo*(G520-F520)</f>
        <v>4.76825334851689</v>
      </c>
      <c r="H521" s="8" t="n">
        <f aca="false">(1-lag)*H520+lag*G520-inv_k_lo*(H520-G520)</f>
        <v>6.02470520748902</v>
      </c>
      <c r="I521" s="8" t="n">
        <f aca="false">(1-lag)*I520+lag*H520-inv_k_lo*(I520-H520)</f>
        <v>6.34184269804287</v>
      </c>
    </row>
    <row r="522" customFormat="false" ht="17.15" hidden="false" customHeight="false" outlineLevel="0" collapsed="false">
      <c r="A522" s="0" t="s">
        <v>1752</v>
      </c>
      <c r="B522" s="0" t="s">
        <v>1217</v>
      </c>
      <c r="D522" s="8" t="n">
        <f aca="false">site_googl_2024</f>
        <v>1.32980834349181</v>
      </c>
      <c r="E522" s="8" t="n">
        <f aca="false">site_googl_2025</f>
        <v>2.40961330082622</v>
      </c>
      <c r="F522" s="8" t="n">
        <f aca="false">site_googl_2026</f>
        <v>1.29267912772586</v>
      </c>
      <c r="G522" s="8" t="n">
        <f aca="false">site_googl_2027</f>
        <v>1.626</v>
      </c>
      <c r="H522" s="8" t="n">
        <f aca="false">site_googl_2028</f>
        <v>0.833333333333334</v>
      </c>
      <c r="I522" s="8" t="n">
        <f aca="false">site_googl_2029</f>
        <v>0</v>
      </c>
    </row>
    <row r="523" customFormat="false" ht="17.15" hidden="false" customHeight="false" outlineLevel="0" collapsed="false">
      <c r="A523" s="0" t="s">
        <v>1753</v>
      </c>
      <c r="B523" s="0" t="s">
        <v>1219</v>
      </c>
      <c r="D523" s="8" t="str">
        <f aca="false">IF(ISNUMBER(ai2_amzn_2024),ai2_amzn_2024,"")</f>
        <v/>
      </c>
      <c r="E523" s="8" t="n">
        <f aca="false">IF(ISNUMBER(ai2_amzn_2025),ai2_amzn_2025,"")</f>
        <v>87.2576</v>
      </c>
      <c r="F523" s="8" t="n">
        <f aca="false">IF(ISNUMBER(ai2_amzn_2026),ai2_amzn_2026,"")</f>
        <v>149.6</v>
      </c>
      <c r="G523" s="8" t="n">
        <f aca="false">IF(ISNUMBER(ai2_amzn_2027),ai2_amzn_2027,"")</f>
        <v>187.04284</v>
      </c>
      <c r="H523" s="8" t="n">
        <f aca="false">IF(ISNUMBER(ai2_amzn_2028),ai2_amzn_2028,"")</f>
        <v>199.19036</v>
      </c>
      <c r="I523" s="8" t="n">
        <f aca="false">IF(ISNUMBER(ai2_amzn_2029),ai2_amzn_2029,"")</f>
        <v>219.109396</v>
      </c>
    </row>
    <row r="524" customFormat="false" ht="17.15" hidden="false" customHeight="false" outlineLevel="0" collapsed="false">
      <c r="A524" s="0" t="s">
        <v>1754</v>
      </c>
      <c r="B524" s="0" t="s">
        <v>1221</v>
      </c>
      <c r="D524" s="8" t="n">
        <f aca="false">IF(ISNUMBER(D523),(pit_amzn_2024/(pit_amzn_2024+pfac_amzn_2024)*D523+pfac_amzn_2024/(pit_amzn_2024+pfac_amzn_2024)*IF(AND(ISNUMBER(""),ISNUMBER("")),wb1*""+wb2*"",IF(ISNUMBER(""),"",D523)))/(pit_amzn_2024+pfac_amzn_2024),site_amzn_2024)</f>
        <v>0</v>
      </c>
      <c r="E524" s="8" t="n">
        <f aca="false">IF(ISNUMBER(E523),(pit_amzn_2025/(pit_amzn_2025+pfac_amzn_2025)*E523+pfac_amzn_2025/(pit_amzn_2025+pfac_amzn_2025)*IF(AND(ISNUMBER(D523),ISNUMBER("")),wb1*D523+wb2*"",IF(ISNUMBER(D523),D523,E523)))/(pit_amzn_2025+pfac_amzn_2025),site_amzn_2025)</f>
        <v>2.6200438487091</v>
      </c>
      <c r="F524" s="8" t="n">
        <f aca="false">IF(ISNUMBER(F523),(pit_amzn_2026/(pit_amzn_2026+pfac_amzn_2026)*F523+pfac_amzn_2026/(pit_amzn_2026+pfac_amzn_2026)*IF(AND(ISNUMBER(E523),ISNUMBER(D523)),wb1*E523+wb2*D523,IF(ISNUMBER(E523),E523,F523)))/(pit_amzn_2026+pfac_amzn_2026),site_amzn_2026)</f>
        <v>3.72830685774426</v>
      </c>
      <c r="G524" s="8" t="n">
        <f aca="false">IF(ISNUMBER(G523),(pit_amzn_2027/(pit_amzn_2027+pfac_amzn_2027)*G523+pfac_amzn_2027/(pit_amzn_2027+pfac_amzn_2027)*IF(AND(ISNUMBER(F523),ISNUMBER(E523)),wb1*F523+wb2*E523,IF(ISNUMBER(F523),F523,G523)))/(pit_amzn_2027+pfac_amzn_2027),site_amzn_2027)</f>
        <v>4.54496548273742</v>
      </c>
      <c r="H524" s="8" t="n">
        <f aca="false">IF(ISNUMBER(H523),(pit_amzn_2028/(pit_amzn_2028+pfac_amzn_2028)*H523+pfac_amzn_2028/(pit_amzn_2028+pfac_amzn_2028)*IF(AND(ISNUMBER(G523),ISNUMBER(F523)),wb1*G523+wb2*F523,IF(ISNUMBER(G523),G523,H523)))/(pit_amzn_2028+pfac_amzn_2028),site_amzn_2028)</f>
        <v>4.99623819927339</v>
      </c>
      <c r="I524" s="8" t="n">
        <f aca="false">IF(ISNUMBER(I523),(pit_amzn_2029/(pit_amzn_2029+pfac_amzn_2029)*I523+pfac_amzn_2029/(pit_amzn_2029+pfac_amzn_2029)*IF(AND(ISNUMBER(H523),ISNUMBER(G523)),wb1*H523+wb2*G523,IF(ISNUMBER(H523),H523,I523)))/(pit_amzn_2029+pfac_amzn_2029),site_amzn_2029)</f>
        <v>5.54650880690247</v>
      </c>
    </row>
    <row r="525" customFormat="false" ht="17.15" hidden="false" customHeight="false" outlineLevel="0" collapsed="false">
      <c r="A525" s="0" t="s">
        <v>1755</v>
      </c>
      <c r="B525" s="0" t="s">
        <v>1223</v>
      </c>
      <c r="E525" s="8" t="n">
        <f aca="false">(1-lag)*E524+lag*D524-inv_k_lo*(E524-D524)</f>
        <v>1.50652521300773</v>
      </c>
      <c r="F525" s="8" t="n">
        <f aca="false">(1-lag)*F524+lag*E524-inv_k_lo*(F524-E524)</f>
        <v>3.25729507890432</v>
      </c>
      <c r="G525" s="8" t="n">
        <f aca="false">(1-lag)*G524+lag*F524-inv_k_lo*(G524-F524)</f>
        <v>4.19788556711533</v>
      </c>
      <c r="H525" s="8" t="n">
        <f aca="false">(1-lag)*H524+lag*G524-inv_k_lo*(H524-G524)</f>
        <v>4.80444729474561</v>
      </c>
      <c r="I525" s="8" t="n">
        <f aca="false">(1-lag)*I524+lag*H524-inv_k_lo*(I524-H524)</f>
        <v>5.31264379866011</v>
      </c>
    </row>
    <row r="526" customFormat="false" ht="17.15" hidden="false" customHeight="false" outlineLevel="0" collapsed="false">
      <c r="A526" s="0" t="s">
        <v>1756</v>
      </c>
      <c r="B526" s="0" t="s">
        <v>1225</v>
      </c>
      <c r="D526" s="8" t="n">
        <f aca="false">gcap_amzn_2024*ai_amzn</f>
        <v>52.80744</v>
      </c>
      <c r="E526" s="8" t="n">
        <f aca="false">gcap_amzn_2025*ai_amzn</f>
        <v>87.2576</v>
      </c>
      <c r="F526" s="8" t="n">
        <f aca="false">gcap_amzn_2026*ai_amzn</f>
        <v>149.6</v>
      </c>
      <c r="G526" s="8" t="n">
        <f aca="false">gcap_amzn_2027*ai_amzn</f>
        <v>172.09445848</v>
      </c>
      <c r="H526" s="8" t="n">
        <f aca="false">gcap_amzn_2028*ai_amzn</f>
        <v>181.54066624</v>
      </c>
      <c r="I526" s="8" t="n">
        <f aca="false">gcap_amzn_2029*ai_amzn</f>
        <v>189.3160052</v>
      </c>
    </row>
    <row r="527" customFormat="false" ht="17.15" hidden="false" customHeight="false" outlineLevel="0" collapsed="false">
      <c r="A527" s="0" t="s">
        <v>1757</v>
      </c>
      <c r="B527" s="0" t="s">
        <v>1221</v>
      </c>
      <c r="D527" s="8" t="n">
        <f aca="false">IF(ISNUMBER(D526),(pit_amzn_2024/(pit_amzn_2024+pfac_amzn_2024)*D526+pfac_amzn_2024/(pit_amzn_2024+pfac_amzn_2024)*IF(AND(ISNUMBER(""),ISNUMBER("")),wb1*""+wb2*"",IF(ISNUMBER(""),"",D526)))/(pit_amzn_2024+pfac_amzn_2024),site_amzn_2024)</f>
        <v>1.56238534864816</v>
      </c>
      <c r="E527" s="8" t="n">
        <f aca="false">IF(ISNUMBER(E526),(pit_amzn_2025/(pit_amzn_2025+pfac_amzn_2025)*E526+pfac_amzn_2025/(pit_amzn_2025+pfac_amzn_2025)*IF(AND(ISNUMBER(D526),ISNUMBER("")),wb1*D526+wb2*"",IF(ISNUMBER(D526),D526,E526)))/(pit_amzn_2025+pfac_amzn_2025),site_amzn_2025)</f>
        <v>2.32934283296825</v>
      </c>
      <c r="F527" s="8" t="n">
        <f aca="false">IF(ISNUMBER(F526),(pit_amzn_2026/(pit_amzn_2026+pfac_amzn_2026)*F526+pfac_amzn_2026/(pit_amzn_2026+pfac_amzn_2026)*IF(AND(ISNUMBER(E526),ISNUMBER(D526)),wb1*E526+wb2*D526,IF(ISNUMBER(E526),E526,F526)))/(pit_amzn_2026+pfac_amzn_2026),site_amzn_2026)</f>
        <v>3.60214892289839</v>
      </c>
      <c r="G527" s="8" t="n">
        <f aca="false">IF(ISNUMBER(G526),(pit_amzn_2027/(pit_amzn_2027+pfac_amzn_2027)*G526+pfac_amzn_2027/(pit_amzn_2027+pfac_amzn_2027)*IF(AND(ISNUMBER(F526),ISNUMBER(E526)),wb1*F526+wb2*E526,IF(ISNUMBER(F526),F526,G526)))/(pit_amzn_2027+pfac_amzn_2027),site_amzn_2027)</f>
        <v>4.24515505663672</v>
      </c>
      <c r="H527" s="8" t="n">
        <f aca="false">IF(ISNUMBER(H526),(pit_amzn_2028/(pit_amzn_2028+pfac_amzn_2028)*H526+pfac_amzn_2028/(pit_amzn_2028+pfac_amzn_2028)*IF(AND(ISNUMBER(G526),ISNUMBER(F526)),wb1*G526+wb2*F526,IF(ISNUMBER(G526),G526,H526)))/(pit_amzn_2028+pfac_amzn_2028),site_amzn_2028)</f>
        <v>4.60085769114469</v>
      </c>
      <c r="I527" s="8" t="n">
        <f aca="false">IF(ISNUMBER(I526),(pit_amzn_2029/(pit_amzn_2029+pfac_amzn_2029)*I526+pfac_amzn_2029/(pit_amzn_2029+pfac_amzn_2029)*IF(AND(ISNUMBER(H526),ISNUMBER(G526)),wb1*H526+wb2*G526,IF(ISNUMBER(H526),H526,I526)))/(pit_amzn_2029+pfac_amzn_2029),site_amzn_2029)</f>
        <v>4.85567033897056</v>
      </c>
    </row>
    <row r="528" customFormat="false" ht="17.15" hidden="false" customHeight="false" outlineLevel="0" collapsed="false">
      <c r="A528" s="0" t="s">
        <v>1758</v>
      </c>
      <c r="B528" s="0" t="s">
        <v>1223</v>
      </c>
      <c r="E528" s="8" t="n">
        <f aca="false">(1-lag)*E527+lag*D527-inv_k_lo*(E527-D527)</f>
        <v>2.00338590213221</v>
      </c>
      <c r="F528" s="8" t="n">
        <f aca="false">(1-lag)*F527+lag*E527-inv_k_lo*(F527-E527)</f>
        <v>3.06120633467808</v>
      </c>
      <c r="G528" s="8" t="n">
        <f aca="false">(1-lag)*G527+lag*F527-inv_k_lo*(G527-F527)</f>
        <v>3.97187744979793</v>
      </c>
      <c r="H528" s="8" t="n">
        <f aca="false">(1-lag)*H527+lag*G527-inv_k_lo*(H527-G527)</f>
        <v>4.4496840714788</v>
      </c>
      <c r="I528" s="8" t="n">
        <f aca="false">(1-lag)*I527+lag*H527-inv_k_lo*(I527-H527)</f>
        <v>4.74737496364457</v>
      </c>
    </row>
    <row r="529" customFormat="false" ht="17.15" hidden="false" customHeight="false" outlineLevel="0" collapsed="false">
      <c r="A529" s="0" t="s">
        <v>1759</v>
      </c>
      <c r="B529" s="0" t="s">
        <v>1229</v>
      </c>
      <c r="D529" s="8" t="n">
        <f aca="false">site_amzn_2024</f>
        <v>0</v>
      </c>
      <c r="E529" s="8" t="n">
        <f aca="false">site_amzn_2025</f>
        <v>1.38971599402093</v>
      </c>
      <c r="F529" s="8" t="n">
        <f aca="false">site_amzn_2026</f>
        <v>0.527</v>
      </c>
      <c r="G529" s="8" t="n">
        <f aca="false">site_amzn_2027</f>
        <v>0.364</v>
      </c>
      <c r="H529" s="8" t="n">
        <f aca="false">site_amzn_2028</f>
        <v>1.744</v>
      </c>
      <c r="I529" s="8" t="n">
        <f aca="false">site_amzn_2029</f>
        <v>0.0620000000000003</v>
      </c>
    </row>
    <row r="530" customFormat="false" ht="17.15" hidden="false" customHeight="false" outlineLevel="0" collapsed="false">
      <c r="A530" s="0" t="s">
        <v>1760</v>
      </c>
      <c r="B530" s="0" t="s">
        <v>1231</v>
      </c>
      <c r="D530" s="8" t="str">
        <f aca="false">IF(ISNUMBER(ai2_meta_2024),ai2_meta_2024,"")</f>
        <v/>
      </c>
      <c r="E530" s="8" t="str">
        <f aca="false">IF(ISNUMBER(ai2_meta_2025),ai2_meta_2025,"")</f>
        <v/>
      </c>
      <c r="F530" s="8" t="n">
        <f aca="false">IF(ISNUMBER(ai2_meta_2026),ai2_meta_2026,"")</f>
        <v>119</v>
      </c>
      <c r="G530" s="8" t="n">
        <f aca="false">IF(ISNUMBER(ai2_meta_2027),ai2_meta_2027,"")</f>
        <v>130.9</v>
      </c>
      <c r="H530" s="8" t="n">
        <f aca="false">IF(ISNUMBER(ai2_meta_2028),ai2_meta_2028,"")</f>
        <v>143.99</v>
      </c>
      <c r="I530" s="8" t="n">
        <f aca="false">IF(ISNUMBER(ai2_meta_2029),ai2_meta_2029,"")</f>
        <v>158.389</v>
      </c>
    </row>
    <row r="531" customFormat="false" ht="17.15" hidden="false" customHeight="false" outlineLevel="0" collapsed="false">
      <c r="A531" s="0" t="s">
        <v>1761</v>
      </c>
      <c r="B531" s="0" t="s">
        <v>1233</v>
      </c>
      <c r="D531" s="8" t="n">
        <f aca="false">IF(ISNUMBER(D530),(pit_meta_2024/(pit_meta_2024+pfac_meta_2024)*D530+pfac_meta_2024/(pit_meta_2024+pfac_meta_2024)*IF(AND(ISNUMBER(""),ISNUMBER("")),wb1*""+wb2*"",IF(ISNUMBER(""),"",D530)))/(pit_meta_2024+pfac_meta_2024),site_meta_2024)</f>
        <v>0</v>
      </c>
      <c r="E531" s="8" t="n">
        <f aca="false">IF(ISNUMBER(E530),(pit_meta_2025/(pit_meta_2025+pfac_meta_2025)*E530+pfac_meta_2025/(pit_meta_2025+pfac_meta_2025)*IF(AND(ISNUMBER(D530),ISNUMBER("")),wb1*D530+wb2*"",IF(ISNUMBER(D530),D530,E530)))/(pit_meta_2025+pfac_meta_2025),site_meta_2025)</f>
        <v>1.50812</v>
      </c>
      <c r="F531" s="8" t="n">
        <f aca="false">IF(ISNUMBER(F530),(pit_meta_2026/(pit_meta_2026+pfac_meta_2026)*F530+pfac_meta_2026/(pit_meta_2026+pfac_meta_2026)*IF(AND(ISNUMBER(E530),ISNUMBER(D530)),wb1*E530+wb2*D530,IF(ISNUMBER(E530),E530,F530)))/(pit_meta_2026+pfac_meta_2026),site_meta_2026)</f>
        <v>2.62796503624796</v>
      </c>
      <c r="G531" s="8" t="n">
        <f aca="false">IF(ISNUMBER(G530),(pit_meta_2027/(pit_meta_2027+pfac_meta_2027)*G530+pfac_meta_2027/(pit_meta_2027+pfac_meta_2027)*IF(AND(ISNUMBER(F530),ISNUMBER(E530)),wb1*F530+wb2*E530,IF(ISNUMBER(F530),F530,G530)))/(pit_meta_2027+pfac_meta_2027),site_meta_2027)</f>
        <v>2.62451187863681</v>
      </c>
      <c r="H531" s="8" t="n">
        <f aca="false">IF(ISNUMBER(H530),(pit_meta_2028/(pit_meta_2028+pfac_meta_2028)*H530+pfac_meta_2028/(pit_meta_2028+pfac_meta_2028)*IF(AND(ISNUMBER(G530),ISNUMBER(F530)),wb1*G530+wb2*F530,IF(ISNUMBER(G530),G530,H530)))/(pit_meta_2028+pfac_meta_2028),site_meta_2028)</f>
        <v>2.73641202658015</v>
      </c>
      <c r="I531" s="8" t="n">
        <f aca="false">IF(ISNUMBER(I530),(pit_meta_2029/(pit_meta_2029+pfac_meta_2029)*I530+pfac_meta_2029/(pit_meta_2029+pfac_meta_2029)*IF(AND(ISNUMBER(H530),ISNUMBER(G530)),wb1*H530+wb2*G530,IF(ISNUMBER(H530),H530,I530)))/(pit_meta_2029+pfac_meta_2029),site_meta_2029)</f>
        <v>3.01174825182942</v>
      </c>
    </row>
    <row r="532" customFormat="false" ht="17.15" hidden="false" customHeight="false" outlineLevel="0" collapsed="false">
      <c r="A532" s="0" t="s">
        <v>1762</v>
      </c>
      <c r="B532" s="0" t="s">
        <v>1235</v>
      </c>
      <c r="E532" s="8" t="n">
        <f aca="false">(1-lag)*E531+lag*D531-inv_k_lo*(E531-D531)</f>
        <v>0.867169</v>
      </c>
      <c r="F532" s="8" t="n">
        <f aca="false">(1-lag)*F531+lag*E531-inv_k_lo*(F531-E531)</f>
        <v>2.15203089584258</v>
      </c>
      <c r="G532" s="8" t="n">
        <f aca="false">(1-lag)*G531+lag*F531-inv_k_lo*(G531-F531)</f>
        <v>2.62597947062155</v>
      </c>
      <c r="H532" s="8" t="n">
        <f aca="false">(1-lag)*H531+lag*G531-inv_k_lo*(H531-G531)</f>
        <v>2.68885446370423</v>
      </c>
      <c r="I532" s="8" t="n">
        <f aca="false">(1-lag)*I531+lag*H531-inv_k_lo*(I531-H531)</f>
        <v>2.89473035609848</v>
      </c>
    </row>
    <row r="533" customFormat="false" ht="17.15" hidden="false" customHeight="false" outlineLevel="0" collapsed="false">
      <c r="A533" s="0" t="s">
        <v>1763</v>
      </c>
      <c r="B533" s="0" t="s">
        <v>1237</v>
      </c>
      <c r="D533" s="8" t="n">
        <f aca="false">gcap_meta_2024*ai_sh</f>
        <v>33.34125</v>
      </c>
      <c r="E533" s="8" t="n">
        <f aca="false">gcap_meta_2025*ai_sh</f>
        <v>61.38275</v>
      </c>
      <c r="F533" s="8" t="n">
        <f aca="false">gcap_meta_2026*ai_sh</f>
        <v>119</v>
      </c>
      <c r="G533" s="8" t="n">
        <f aca="false">gcap_meta_2027*ai_sh</f>
        <v>174.8499963</v>
      </c>
      <c r="H533" s="8" t="n">
        <f aca="false">gcap_meta_2028*ai_sh</f>
        <v>186.39077355</v>
      </c>
      <c r="I533" s="8" t="n">
        <f aca="false">gcap_meta_2029*ai_sh</f>
        <v>165.57988355</v>
      </c>
    </row>
    <row r="534" customFormat="false" ht="17.15" hidden="false" customHeight="false" outlineLevel="0" collapsed="false">
      <c r="A534" s="0" t="s">
        <v>1764</v>
      </c>
      <c r="B534" s="0" t="s">
        <v>1233</v>
      </c>
      <c r="D534" s="8" t="n">
        <f aca="false">IF(ISNUMBER(D533),(pit_meta_2024/(pit_meta_2024+pfac_meta_2024)*D533+pfac_meta_2024/(pit_meta_2024+pfac_meta_2024)*IF(AND(ISNUMBER(""),ISNUMBER("")),wb1*""+wb2*"",IF(ISNUMBER(""),"",D533)))/(pit_meta_2024+pfac_meta_2024),site_meta_2024)</f>
        <v>0.817493736320288</v>
      </c>
      <c r="E534" s="8" t="n">
        <f aca="false">IF(ISNUMBER(E533),(pit_meta_2025/(pit_meta_2025+pfac_meta_2025)*E533+pfac_meta_2025/(pit_meta_2025+pfac_meta_2025)*IF(AND(ISNUMBER(D533),ISNUMBER("")),wb1*D533+wb2*"",IF(ISNUMBER(D533),D533,E533)))/(pit_meta_2025+pfac_meta_2025),site_meta_2025)</f>
        <v>1.33044623899154</v>
      </c>
      <c r="F534" s="8" t="n">
        <f aca="false">IF(ISNUMBER(F533),(pit_meta_2026/(pit_meta_2026+pfac_meta_2026)*F533+pfac_meta_2026/(pit_meta_2026+pfac_meta_2026)*IF(AND(ISNUMBER(E533),ISNUMBER(D533)),wb1*E533+wb2*D533,IF(ISNUMBER(E533),E533,F533)))/(pit_meta_2026+pfac_meta_2026),site_meta_2026)</f>
        <v>2.20112683043242</v>
      </c>
      <c r="G534" s="8" t="n">
        <f aca="false">IF(ISNUMBER(G533),(pit_meta_2027/(pit_meta_2027+pfac_meta_2027)*G533+pfac_meta_2027/(pit_meta_2027+pfac_meta_2027)*IF(AND(ISNUMBER(F533),ISNUMBER(E533)),wb1*F533+wb2*E533,IF(ISNUMBER(F533),F533,G533)))/(pit_meta_2027+pfac_meta_2027),site_meta_2027)</f>
        <v>3.15406141077207</v>
      </c>
      <c r="H534" s="8" t="n">
        <f aca="false">IF(ISNUMBER(H533),(pit_meta_2028/(pit_meta_2028+pfac_meta_2028)*H533+pfac_meta_2028/(pit_meta_2028+pfac_meta_2028)*IF(AND(ISNUMBER(G533),ISNUMBER(F533)),wb1*G533+wb2*F533,IF(ISNUMBER(G533),G533,H533)))/(pit_meta_2028+pfac_meta_2028),site_meta_2028)</f>
        <v>3.47282806845288</v>
      </c>
      <c r="I534" s="8" t="n">
        <f aca="false">IF(ISNUMBER(I533),(pit_meta_2029/(pit_meta_2029+pfac_meta_2029)*I533+pfac_meta_2029/(pit_meta_2029+pfac_meta_2029)*IF(AND(ISNUMBER(H533),ISNUMBER(G533)),wb1*H533+wb2*G533,IF(ISNUMBER(H533),H533,I533)))/(pit_meta_2029+pfac_meta_2029),site_meta_2029)</f>
        <v>3.32152343881153</v>
      </c>
    </row>
    <row r="535" customFormat="false" ht="17.15" hidden="false" customHeight="false" outlineLevel="0" collapsed="false">
      <c r="A535" s="0" t="s">
        <v>1765</v>
      </c>
      <c r="B535" s="0" t="s">
        <v>1235</v>
      </c>
      <c r="E535" s="8" t="n">
        <f aca="false">(1-lag)*E534+lag*D534-inv_k_lo*(E534-D534)</f>
        <v>1.11244142535626</v>
      </c>
      <c r="F535" s="8" t="n">
        <f aca="false">(1-lag)*F534+lag*E534-inv_k_lo*(F534-E534)</f>
        <v>1.83108757907004</v>
      </c>
      <c r="G535" s="8" t="n">
        <f aca="false">(1-lag)*G534+lag*F534-inv_k_lo*(G534-F534)</f>
        <v>2.74906421412772</v>
      </c>
      <c r="H535" s="8" t="n">
        <f aca="false">(1-lag)*H534+lag*G534-inv_k_lo*(H534-G534)</f>
        <v>3.33735223893853</v>
      </c>
      <c r="I535" s="8" t="n">
        <f aca="false">(1-lag)*I534+lag*H534-inv_k_lo*(I534-H534)</f>
        <v>3.3858279064091</v>
      </c>
    </row>
    <row r="536" customFormat="false" ht="17.15" hidden="false" customHeight="false" outlineLevel="0" collapsed="false">
      <c r="A536" s="0" t="s">
        <v>1766</v>
      </c>
      <c r="B536" s="0" t="s">
        <v>1241</v>
      </c>
      <c r="D536" s="8" t="n">
        <f aca="false">site_meta_2024</f>
        <v>0</v>
      </c>
      <c r="E536" s="8" t="n">
        <f aca="false">site_meta_2025</f>
        <v>1.50812</v>
      </c>
      <c r="F536" s="8" t="n">
        <f aca="false">site_meta_2026</f>
        <v>0.676</v>
      </c>
      <c r="G536" s="8" t="n">
        <f aca="false">site_meta_2027</f>
        <v>0.615</v>
      </c>
      <c r="H536" s="8" t="n">
        <f aca="false">site_meta_2028</f>
        <v>2.99433333333333</v>
      </c>
      <c r="I536" s="8" t="n">
        <f aca="false">site_meta_2029</f>
        <v>0.968</v>
      </c>
    </row>
    <row r="537" customFormat="false" ht="17.15" hidden="false" customHeight="false" outlineLevel="0" collapsed="false">
      <c r="A537" s="0" t="s">
        <v>1767</v>
      </c>
      <c r="B537" s="0" t="s">
        <v>1243</v>
      </c>
      <c r="D537" s="8" t="str">
        <f aca="false">IF(ISNUMBER(ai2_orcl_2024),ai2_orcl_2024,"")</f>
        <v/>
      </c>
      <c r="E537" s="8" t="n">
        <f aca="false">IF(ISNUMBER(ai2_orcl_2025),ai2_orcl_2025,"")</f>
        <v>35.1132166666667</v>
      </c>
      <c r="F537" s="8" t="n">
        <f aca="false">IF(ISNUMBER(ai2_orcl_2026),ai2_orcl_2026,"")</f>
        <v>65.5785625</v>
      </c>
      <c r="G537" s="8" t="n">
        <f aca="false">IF(ISNUMBER(ai2_orcl_2027),ai2_orcl_2027,"")</f>
        <v>82.8207416666667</v>
      </c>
      <c r="H537" s="8" t="n">
        <f aca="false">IF(ISNUMBER(ai2_orcl_2028),ai2_orcl_2028,"")</f>
        <v>77.8278416666667</v>
      </c>
      <c r="I537" s="8" t="n">
        <f aca="false">IF(ISNUMBER(ai2_orcl_2029),ai2_orcl_2029,"")</f>
        <v>76.3278466666667</v>
      </c>
    </row>
    <row r="538" customFormat="false" ht="17.15" hidden="false" customHeight="false" outlineLevel="0" collapsed="false">
      <c r="A538" s="0" t="s">
        <v>1768</v>
      </c>
      <c r="B538" s="0" t="s">
        <v>1245</v>
      </c>
      <c r="D538" s="8" t="n">
        <f aca="false">IF(ISNUMBER(D537),(pit_orcl_2024/(pit_orcl_2024+pfac_orcl_2024)*D537+pfac_orcl_2024/(pit_orcl_2024+pfac_orcl_2024)*IF(AND(ISNUMBER(""),ISNUMBER("")),wb1*""+wb2*"",IF(ISNUMBER(""),"",D537)))/(pit_orcl_2024+pfac_orcl_2024),site_orcl_2024)</f>
        <v>0</v>
      </c>
      <c r="E538" s="8" t="n">
        <f aca="false">IF(ISNUMBER(E537),(pit_orcl_2025/(pit_orcl_2025+pfac_orcl_2025)*E537+pfac_orcl_2025/(pit_orcl_2025+pfac_orcl_2025)*IF(AND(ISNUMBER(D537),ISNUMBER("")),wb1*D537+wb2*"",IF(ISNUMBER(D537),D537,E537)))/(pit_orcl_2025+pfac_orcl_2025),site_orcl_2025)</f>
        <v>0.885776418247533</v>
      </c>
      <c r="F538" s="8" t="n">
        <f aca="false">IF(ISNUMBER(F537),(pit_orcl_2026/(pit_orcl_2026+pfac_orcl_2026)*F537+pfac_orcl_2026/(pit_orcl_2026+pfac_orcl_2026)*IF(AND(ISNUMBER(E537),ISNUMBER(D537)),wb1*E537+wb2*D537,IF(ISNUMBER(E537),E537,F537)))/(pit_orcl_2026+pfac_orcl_2026),site_orcl_2026)</f>
        <v>1.26669929939621</v>
      </c>
      <c r="G538" s="8" t="n">
        <f aca="false">IF(ISNUMBER(G537),(pit_orcl_2027/(pit_orcl_2027+pfac_orcl_2027)*G537+pfac_orcl_2027/(pit_orcl_2027+pfac_orcl_2027)*IF(AND(ISNUMBER(F537),ISNUMBER(E537)),wb1*F537+wb2*E537,IF(ISNUMBER(F537),F537,G537)))/(pit_orcl_2027+pfac_orcl_2027),site_orcl_2027)</f>
        <v>1.53296918960021</v>
      </c>
      <c r="H538" s="8" t="n">
        <f aca="false">IF(ISNUMBER(H537),(pit_orcl_2028/(pit_orcl_2028+pfac_orcl_2028)*H537+pfac_orcl_2028/(pit_orcl_2028+pfac_orcl_2028)*IF(AND(ISNUMBER(G537),ISNUMBER(F537)),wb1*G537+wb2*F537,IF(ISNUMBER(G537),G537,H537)))/(pit_orcl_2028+pfac_orcl_2028),site_orcl_2028)</f>
        <v>1.51024789659781</v>
      </c>
      <c r="I538" s="8" t="n">
        <f aca="false">IF(ISNUMBER(I537),(pit_orcl_2029/(pit_orcl_2029+pfac_orcl_2029)*I537+pfac_orcl_2029/(pit_orcl_2029+pfac_orcl_2029)*IF(AND(ISNUMBER(H537),ISNUMBER(G537)),wb1*H537+wb2*G537,IF(ISNUMBER(H537),H537,I537)))/(pit_orcl_2029+pfac_orcl_2029),site_orcl_2029)</f>
        <v>1.51737350859667</v>
      </c>
    </row>
    <row r="539" customFormat="false" ht="17.15" hidden="false" customHeight="false" outlineLevel="0" collapsed="false">
      <c r="A539" s="0" t="s">
        <v>1769</v>
      </c>
      <c r="B539" s="0" t="s">
        <v>1247</v>
      </c>
      <c r="E539" s="8" t="n">
        <f aca="false">(1-lag)*E538+lag*D538-inv_k_lo*(E538-D538)</f>
        <v>0.509321440492332</v>
      </c>
      <c r="F539" s="8" t="n">
        <f aca="false">(1-lag)*F538+lag*E538-inv_k_lo*(F538-E538)</f>
        <v>1.10480707490802</v>
      </c>
      <c r="G539" s="8" t="n">
        <f aca="false">(1-lag)*G538+lag*F538-inv_k_lo*(G538-F538)</f>
        <v>1.41980448626351</v>
      </c>
      <c r="H539" s="8" t="n">
        <f aca="false">(1-lag)*H538+lag*G538-inv_k_lo*(H538-G538)</f>
        <v>1.51990444612383</v>
      </c>
      <c r="I539" s="8" t="n">
        <f aca="false">(1-lag)*I538+lag*H538-inv_k_lo*(I538-H538)</f>
        <v>1.51434512349715</v>
      </c>
    </row>
    <row r="540" customFormat="false" ht="17.15" hidden="false" customHeight="false" outlineLevel="0" collapsed="false">
      <c r="A540" s="0" t="s">
        <v>1770</v>
      </c>
      <c r="B540" s="0" t="s">
        <v>1249</v>
      </c>
      <c r="D540" s="8" t="str">
        <f aca="false">""</f>
        <v/>
      </c>
      <c r="E540" s="8" t="n">
        <f aca="false">(5/12*cap2_orcl_2025+7/12*gcap_orcl_2026)*ai_sh</f>
        <v>35.1132166666667</v>
      </c>
      <c r="F540" s="8" t="n">
        <f aca="false">(5/12*gcap_orcl_2026+7/12*gcap_orcl_2027)*ai_sh</f>
        <v>65.5785625</v>
      </c>
      <c r="G540" s="8" t="n">
        <f aca="false">(5/12*gcap_orcl_2027+7/12*gcap_orcl_2028)*ai_sh</f>
        <v>75.599189975</v>
      </c>
      <c r="H540" s="8" t="n">
        <f aca="false">(5/12*gcap_orcl_2028+7/12*gcap_orcl_2029)*ai_sh</f>
        <v>49.4435487791667</v>
      </c>
      <c r="I540" s="8" t="n">
        <f aca="false">(5/12*gcap_orcl_2029+7/12*gcap_orcl_2030)*ai_sh</f>
        <v>23.382754125</v>
      </c>
    </row>
    <row r="541" customFormat="false" ht="17.15" hidden="false" customHeight="false" outlineLevel="0" collapsed="false">
      <c r="A541" s="0" t="s">
        <v>1771</v>
      </c>
      <c r="B541" s="0" t="s">
        <v>1245</v>
      </c>
      <c r="D541" s="8" t="n">
        <f aca="false">IF(ISNUMBER(D540),(pit_orcl_2024/(pit_orcl_2024+pfac_orcl_2024)*D540+pfac_orcl_2024/(pit_orcl_2024+pfac_orcl_2024)*IF(AND(ISNUMBER(""),ISNUMBER("")),wb1*""+wb2*"",IF(ISNUMBER(""),"",D540)))/(pit_orcl_2024+pfac_orcl_2024),site_orcl_2024)</f>
        <v>0</v>
      </c>
      <c r="E541" s="8" t="n">
        <f aca="false">IF(ISNUMBER(E540),(pit_orcl_2025/(pit_orcl_2025+pfac_orcl_2025)*E540+pfac_orcl_2025/(pit_orcl_2025+pfac_orcl_2025)*IF(AND(ISNUMBER(D540),ISNUMBER("")),wb1*D540+wb2*"",IF(ISNUMBER(D540),D540,E540)))/(pit_orcl_2025+pfac_orcl_2025),site_orcl_2025)</f>
        <v>0.885776418247532</v>
      </c>
      <c r="F541" s="8" t="n">
        <f aca="false">IF(ISNUMBER(F540),(pit_orcl_2026/(pit_orcl_2026+pfac_orcl_2026)*F540+pfac_orcl_2026/(pit_orcl_2026+pfac_orcl_2026)*IF(AND(ISNUMBER(E540),ISNUMBER(D540)),wb1*E540+wb2*D540,IF(ISNUMBER(E540),E540,F540)))/(pit_orcl_2026+pfac_orcl_2026),site_orcl_2026)</f>
        <v>1.26669929939621</v>
      </c>
      <c r="G541" s="8" t="n">
        <f aca="false">IF(ISNUMBER(G540),(pit_orcl_2027/(pit_orcl_2027+pfac_orcl_2027)*G540+pfac_orcl_2027/(pit_orcl_2027+pfac_orcl_2027)*IF(AND(ISNUMBER(F540),ISNUMBER(E540)),wb1*F540+wb2*E540,IF(ISNUMBER(F540),F540,G540)))/(pit_orcl_2027+pfac_orcl_2027),site_orcl_2027)</f>
        <v>1.42175083118347</v>
      </c>
      <c r="H541" s="8" t="n">
        <f aca="false">IF(ISNUMBER(H540),(pit_orcl_2028/(pit_orcl_2028+pfac_orcl_2028)*H540+pfac_orcl_2028/(pit_orcl_2028+pfac_orcl_2028)*IF(AND(ISNUMBER(G540),ISNUMBER(F540)),wb1*G540+wb2*F540,IF(ISNUMBER(G540),G540,H540)))/(pit_orcl_2028+pfac_orcl_2028),site_orcl_2028)</f>
        <v>1.06923453221276</v>
      </c>
      <c r="I541" s="8" t="n">
        <f aca="false">IF(ISNUMBER(I540),(pit_orcl_2029/(pit_orcl_2029+pfac_orcl_2029)*I540+pfac_orcl_2029/(pit_orcl_2029+pfac_orcl_2029)*IF(AND(ISNUMBER(H540),ISNUMBER(G540)),wb1*H540+wb2*G540,IF(ISNUMBER(H540),H540,I540)))/(pit_orcl_2029+pfac_orcl_2029),site_orcl_2029)</f>
        <v>0.642469547070952</v>
      </c>
    </row>
    <row r="542" customFormat="false" ht="17.15" hidden="false" customHeight="false" outlineLevel="0" collapsed="false">
      <c r="A542" s="0" t="s">
        <v>1772</v>
      </c>
      <c r="B542" s="0" t="s">
        <v>1247</v>
      </c>
      <c r="E542" s="8" t="n">
        <f aca="false">(1-lag)*E541+lag*D541-inv_k_lo*(E541-D541)</f>
        <v>0.509321440492331</v>
      </c>
      <c r="F542" s="8" t="n">
        <f aca="false">(1-lag)*F541+lag*E541-inv_k_lo*(F541-E541)</f>
        <v>1.10480707490802</v>
      </c>
      <c r="G542" s="8" t="n">
        <f aca="false">(1-lag)*G541+lag*F541-inv_k_lo*(G541-F541)</f>
        <v>1.35585393017389</v>
      </c>
      <c r="H542" s="8" t="n">
        <f aca="false">(1-lag)*H541+lag*G541-inv_k_lo*(H541-G541)</f>
        <v>1.21905395927531</v>
      </c>
      <c r="I542" s="8" t="n">
        <f aca="false">(1-lag)*I541+lag*H541-inv_k_lo*(I541-H541)</f>
        <v>0.823844665756218</v>
      </c>
    </row>
    <row r="543" customFormat="false" ht="17.15" hidden="false" customHeight="false" outlineLevel="0" collapsed="false">
      <c r="A543" s="0" t="s">
        <v>1773</v>
      </c>
      <c r="B543" s="0" t="s">
        <v>1253</v>
      </c>
      <c r="D543" s="8" t="n">
        <f aca="false">site_orcl_2024</f>
        <v>0</v>
      </c>
      <c r="E543" s="8" t="n">
        <f aca="false">site_orcl_2025</f>
        <v>0.816405</v>
      </c>
      <c r="F543" s="8" t="n">
        <f aca="false">site_orcl_2026</f>
        <v>1.54613</v>
      </c>
      <c r="G543" s="8" t="n">
        <f aca="false">site_orcl_2027</f>
        <v>0.944166666666667</v>
      </c>
      <c r="H543" s="8" t="n">
        <f aca="false">site_orcl_2028</f>
        <v>4.91166666666667</v>
      </c>
      <c r="I543" s="8" t="n">
        <f aca="false">site_orcl_2029</f>
        <v>0</v>
      </c>
    </row>
    <row r="544" customFormat="false" ht="17.15" hidden="false" customHeight="false" outlineLevel="0" collapsed="false">
      <c r="A544" s="0" t="s">
        <v>1774</v>
      </c>
      <c r="B544" s="0" t="s">
        <v>1255</v>
      </c>
      <c r="D544" s="8" t="str">
        <f aca="false">IF(ISNUMBER(ai2_crwv_2024),ai2_crwv_2024,"")</f>
        <v/>
      </c>
      <c r="E544" s="8" t="str">
        <f aca="false">IF(ISNUMBER(ai2_crwv_2025),ai2_crwv_2025,"")</f>
        <v/>
      </c>
      <c r="F544" s="8" t="n">
        <f aca="false">IF(ISNUMBER(ai2_crwv_2026),ai2_crwv_2026,"")</f>
        <v>31.45</v>
      </c>
      <c r="G544" s="8" t="n">
        <f aca="false">IF(ISNUMBER(ai2_crwv_2027),ai2_crwv_2027,"")</f>
        <v>39.5046</v>
      </c>
      <c r="H544" s="8" t="n">
        <f aca="false">IF(ISNUMBER(ai2_crwv_2028),ai2_crwv_2028,"")</f>
        <v>42.60965</v>
      </c>
      <c r="I544" s="8" t="n">
        <f aca="false">IF(ISNUMBER(ai2_crwv_2029),ai2_crwv_2029,"")</f>
        <v>46.870615</v>
      </c>
    </row>
    <row r="545" customFormat="false" ht="17.15" hidden="false" customHeight="false" outlineLevel="0" collapsed="false">
      <c r="A545" s="0" t="s">
        <v>1775</v>
      </c>
      <c r="B545" s="0" t="s">
        <v>1257</v>
      </c>
      <c r="D545" s="8" t="n">
        <f aca="false">IF(ISNUMBER(D544),(pit_crwv_2024/(pit_crwv_2024+pfac_crwv_2024)*D544+pfac_crwv_2024/(pit_crwv_2024+pfac_crwv_2024)*IF(AND(ISNUMBER(""),ISNUMBER("")),wb1*""+wb2*"",IF(ISNUMBER(""),"",D544)))/(pit_crwv_2024+pfac_crwv_2024),site_crwv_2024)</f>
        <v>0.29</v>
      </c>
      <c r="E545" s="8" t="n">
        <f aca="false">IF(ISNUMBER(E544),(pit_crwv_2025/(pit_crwv_2025+pfac_crwv_2025)*E544+pfac_crwv_2025/(pit_crwv_2025+pfac_crwv_2025)*IF(AND(ISNUMBER(D544),ISNUMBER("")),wb1*D544+wb2*"",IF(ISNUMBER(D544),D544,E544)))/(pit_crwv_2025+pfac_crwv_2025),site_crwv_2025)</f>
        <v>0.49</v>
      </c>
      <c r="F545" s="8" t="n">
        <f aca="false">IF(ISNUMBER(F544),(pit_crwv_2026/(pit_crwv_2026+pfac_crwv_2026)*F544+pfac_crwv_2026/(pit_crwv_2026+pfac_crwv_2026)*IF(AND(ISNUMBER(E544),ISNUMBER(D544)),wb1*E544+wb2*D544,IF(ISNUMBER(E544),E544,F544)))/(pit_crwv_2026+pfac_crwv_2026),site_crwv_2026)</f>
        <v>0.6824489639016</v>
      </c>
      <c r="G545" s="8" t="n">
        <f aca="false">IF(ISNUMBER(G544),(pit_crwv_2027/(pit_crwv_2027+pfac_crwv_2027)*G544+pfac_crwv_2027/(pit_crwv_2027+pfac_crwv_2027)*IF(AND(ISNUMBER(F544),ISNUMBER(E544)),wb1*F544+wb2*E544,IF(ISNUMBER(F544),F544,G544)))/(pit_crwv_2027+pfac_crwv_2027),site_crwv_2027)</f>
        <v>0.735222622408663</v>
      </c>
      <c r="H545" s="8" t="n">
        <f aca="false">IF(ISNUMBER(H544),(pit_crwv_2028/(pit_crwv_2028+pfac_crwv_2028)*H544+pfac_crwv_2028/(pit_crwv_2028+pfac_crwv_2028)*IF(AND(ISNUMBER(G544),ISNUMBER(F544)),wb1*G544+wb2*F544,IF(ISNUMBER(G544),G544,H544)))/(pit_crwv_2028+pfac_crwv_2028),site_crwv_2028)</f>
        <v>0.758042293208188</v>
      </c>
      <c r="I545" s="8" t="n">
        <f aca="false">IF(ISNUMBER(I544),(pit_crwv_2029/(pit_crwv_2029+pfac_crwv_2029)*I544+pfac_crwv_2029/(pit_crwv_2029+pfac_crwv_2029)*IF(AND(ISNUMBER(H544),ISNUMBER(G544)),wb1*H544+wb2*G544,IF(ISNUMBER(H544),H544,I544)))/(pit_crwv_2029+pfac_crwv_2029),site_crwv_2029)</f>
        <v>0.842675104355277</v>
      </c>
    </row>
    <row r="546" customFormat="false" ht="17.15" hidden="false" customHeight="false" outlineLevel="0" collapsed="false">
      <c r="A546" s="0" t="s">
        <v>1776</v>
      </c>
      <c r="B546" s="0" t="s">
        <v>1259</v>
      </c>
      <c r="E546" s="8" t="n">
        <f aca="false">(1-lag)*E545+lag*D545-inv_k_lo*(E545-D545)</f>
        <v>0.405</v>
      </c>
      <c r="F546" s="8" t="n">
        <f aca="false">(1-lag)*F545+lag*E545-inv_k_lo*(F545-E545)</f>
        <v>0.60065815424342</v>
      </c>
      <c r="G546" s="8" t="n">
        <f aca="false">(1-lag)*G545+lag*F545-inv_k_lo*(G545-F545)</f>
        <v>0.712793817543161</v>
      </c>
      <c r="H546" s="8" t="n">
        <f aca="false">(1-lag)*H545+lag*G545-inv_k_lo*(H545-G545)</f>
        <v>0.74834393311839</v>
      </c>
      <c r="I546" s="8" t="n">
        <f aca="false">(1-lag)*I545+lag*H545-inv_k_lo*(I545-H545)</f>
        <v>0.806706159617764</v>
      </c>
    </row>
    <row r="547" customFormat="false" ht="17.15" hidden="false" customHeight="false" outlineLevel="0" collapsed="false">
      <c r="A547" s="0" t="s">
        <v>1777</v>
      </c>
      <c r="B547" s="0" t="s">
        <v>1261</v>
      </c>
      <c r="D547" s="8" t="str">
        <f aca="false">""</f>
        <v/>
      </c>
      <c r="E547" s="8" t="str">
        <f aca="false">""</f>
        <v/>
      </c>
      <c r="F547" s="8" t="n">
        <f aca="false">gcap_crwv_2026*ai_sh</f>
        <v>28.0313</v>
      </c>
      <c r="G547" s="8" t="n">
        <f aca="false">gcap_crwv_2027*ai_sh</f>
        <v>33.45858485</v>
      </c>
      <c r="H547" s="8" t="n">
        <f aca="false">gcap_crwv_2028*ai_sh</f>
        <v>27.6353649</v>
      </c>
      <c r="I547" s="8" t="n">
        <f aca="false">gcap_crwv_2029*ai_sh</f>
        <v>27.7951071</v>
      </c>
    </row>
    <row r="548" customFormat="false" ht="17.15" hidden="false" customHeight="false" outlineLevel="0" collapsed="false">
      <c r="A548" s="0" t="s">
        <v>1778</v>
      </c>
      <c r="B548" s="0" t="s">
        <v>1257</v>
      </c>
      <c r="D548" s="8" t="n">
        <f aca="false">IF(ISNUMBER(D547),(pit_crwv_2024/(pit_crwv_2024+pfac_crwv_2024)*D547+pfac_crwv_2024/(pit_crwv_2024+pfac_crwv_2024)*IF(AND(ISNUMBER(""),ISNUMBER("")),wb1*""+wb2*"",IF(ISNUMBER(""),"",D547)))/(pit_crwv_2024+pfac_crwv_2024),site_crwv_2024)</f>
        <v>0.29</v>
      </c>
      <c r="E548" s="8" t="n">
        <f aca="false">IF(ISNUMBER(E547),(pit_crwv_2025/(pit_crwv_2025+pfac_crwv_2025)*E547+pfac_crwv_2025/(pit_crwv_2025+pfac_crwv_2025)*IF(AND(ISNUMBER(D547),ISNUMBER("")),wb1*D547+wb2*"",IF(ISNUMBER(D547),D547,E547)))/(pit_crwv_2025+pfac_crwv_2025),site_crwv_2025)</f>
        <v>0.49</v>
      </c>
      <c r="F548" s="8" t="n">
        <f aca="false">IF(ISNUMBER(F547),(pit_crwv_2026/(pit_crwv_2026+pfac_crwv_2026)*F547+pfac_crwv_2026/(pit_crwv_2026+pfac_crwv_2026)*IF(AND(ISNUMBER(E547),ISNUMBER(D547)),wb1*E547+wb2*D547,IF(ISNUMBER(E547),E547,F547)))/(pit_crwv_2026+pfac_crwv_2026),site_crwv_2026)</f>
        <v>0.608264917068837</v>
      </c>
      <c r="G548" s="8" t="n">
        <f aca="false">IF(ISNUMBER(G547),(pit_crwv_2027/(pit_crwv_2027+pfac_crwv_2027)*G547+pfac_crwv_2027/(pit_crwv_2027+pfac_crwv_2027)*IF(AND(ISNUMBER(F547),ISNUMBER(E547)),wb1*F547+wb2*E547,IF(ISNUMBER(F547),F547,G547)))/(pit_crwv_2027+pfac_crwv_2027),site_crwv_2027)</f>
        <v>0.629490424531811</v>
      </c>
      <c r="H548" s="8" t="n">
        <f aca="false">IF(ISNUMBER(H547),(pit_crwv_2028/(pit_crwv_2028+pfac_crwv_2028)*H547+pfac_crwv_2028/(pit_crwv_2028+pfac_crwv_2028)*IF(AND(ISNUMBER(G547),ISNUMBER(F547)),wb1*G547+wb2*F547,IF(ISNUMBER(G547),G547,H547)))/(pit_crwv_2028+pfac_crwv_2028),site_crwv_2028)</f>
        <v>0.525250960902376</v>
      </c>
      <c r="I548" s="8" t="n">
        <f aca="false">IF(ISNUMBER(I547),(pit_crwv_2029/(pit_crwv_2029+pfac_crwv_2029)*I547+pfac_crwv_2029/(pit_crwv_2029+pfac_crwv_2029)*IF(AND(ISNUMBER(H547),ISNUMBER(G547)),wb1*H547+wb2*G547,IF(ISNUMBER(H547),H547,I547)))/(pit_crwv_2029+pfac_crwv_2029),site_crwv_2029)</f>
        <v>0.526654910671929</v>
      </c>
    </row>
    <row r="549" customFormat="false" ht="17.15" hidden="false" customHeight="false" outlineLevel="0" collapsed="false">
      <c r="A549" s="0" t="s">
        <v>1779</v>
      </c>
      <c r="B549" s="0" t="s">
        <v>1259</v>
      </c>
      <c r="E549" s="8" t="n">
        <f aca="false">(1-lag)*E548+lag*D548-inv_k_lo*(E548-D548)</f>
        <v>0.405</v>
      </c>
      <c r="F549" s="8" t="n">
        <f aca="false">(1-lag)*F548+lag*E548-inv_k_lo*(F548-E548)</f>
        <v>0.558002327314581</v>
      </c>
      <c r="G549" s="8" t="n">
        <f aca="false">(1-lag)*G548+lag*F548-inv_k_lo*(G548-F548)</f>
        <v>0.620469583860047</v>
      </c>
      <c r="H549" s="8" t="n">
        <f aca="false">(1-lag)*H548+lag*G548-inv_k_lo*(H548-G548)</f>
        <v>0.569552732944886</v>
      </c>
      <c r="I549" s="8" t="n">
        <f aca="false">(1-lag)*I548+lag*H548-inv_k_lo*(I548-H548)</f>
        <v>0.526058232019869</v>
      </c>
    </row>
    <row r="550" customFormat="false" ht="17.15" hidden="false" customHeight="false" outlineLevel="0" collapsed="false">
      <c r="A550" s="0" t="s">
        <v>1780</v>
      </c>
      <c r="B550" s="0" t="s">
        <v>1265</v>
      </c>
      <c r="D550" s="8" t="n">
        <f aca="false">site_crwv_2024</f>
        <v>0.29</v>
      </c>
      <c r="E550" s="8" t="n">
        <f aca="false">site_crwv_2025</f>
        <v>0.49</v>
      </c>
      <c r="F550" s="8" t="n">
        <f aca="false">site_crwv_2026</f>
        <v>1</v>
      </c>
      <c r="G550" s="8" t="n">
        <f aca="false">site_crwv_2027</f>
        <v>1.5375</v>
      </c>
      <c r="H550" s="8" t="n">
        <f aca="false">site_crwv_2028</f>
        <v>1.5375</v>
      </c>
      <c r="I550" s="8" t="n">
        <f aca="false">site_crwv_2029</f>
        <v>1.5375</v>
      </c>
    </row>
    <row r="551" customFormat="false" ht="17.15" hidden="false" customHeight="false" outlineLevel="0" collapsed="false">
      <c r="A551" s="0" t="s">
        <v>1781</v>
      </c>
      <c r="B551" s="0" t="s">
        <v>1267</v>
      </c>
      <c r="D551" s="8" t="str">
        <f aca="false">IF(ISNUMBER(ai2_nbis_2024),ai2_nbis_2024,"")</f>
        <v/>
      </c>
      <c r="E551" s="8" t="n">
        <f aca="false">IF(ISNUMBER(ai2_nbis_2025),ai2_nbis_2025,"")</f>
        <v>3.4561</v>
      </c>
      <c r="F551" s="8" t="n">
        <f aca="false">IF(ISNUMBER(ai2_nbis_2026),ai2_nbis_2026,"")</f>
        <v>19.125</v>
      </c>
      <c r="G551" s="8" t="n">
        <f aca="false">IF(ISNUMBER(ai2_nbis_2027),ai2_nbis_2027,"")</f>
        <v>23.15655</v>
      </c>
      <c r="H551" s="8" t="n">
        <f aca="false">IF(ISNUMBER(ai2_nbis_2028),ai2_nbis_2028,"")</f>
        <v>32.6315</v>
      </c>
      <c r="I551" s="8" t="n">
        <f aca="false">IF(ISNUMBER(ai2_nbis_2029),ai2_nbis_2029,"")</f>
        <v>35.89465</v>
      </c>
    </row>
    <row r="552" customFormat="false" ht="17.15" hidden="false" customHeight="false" outlineLevel="0" collapsed="false">
      <c r="A552" s="0" t="s">
        <v>1782</v>
      </c>
      <c r="B552" s="0" t="s">
        <v>1269</v>
      </c>
      <c r="D552" s="8" t="n">
        <f aca="false">IF(ISNUMBER(D551),(pit_nbis_2024/(pit_nbis_2024+pfac_nbis_2024)*D551+pfac_nbis_2024/(pit_nbis_2024+pfac_nbis_2024)*IF(AND(ISNUMBER(""),ISNUMBER("")),wb1*""+wb2*"",IF(ISNUMBER(""),"",D551)))/(pit_nbis_2024+pfac_nbis_2024),site_nbis_2024)</f>
        <v>0</v>
      </c>
      <c r="E552" s="8" t="n">
        <f aca="false">IF(ISNUMBER(E551),(pit_nbis_2025/(pit_nbis_2025+pfac_nbis_2025)*E551+pfac_nbis_2025/(pit_nbis_2025+pfac_nbis_2025)*IF(AND(ISNUMBER(D551),ISNUMBER("")),wb1*D551+wb2*"",IF(ISNUMBER(D551),D551,E551)))/(pit_nbis_2025+pfac_nbis_2025),site_nbis_2025)</f>
        <v>0.0893531926088847</v>
      </c>
      <c r="F552" s="8" t="n">
        <f aca="false">IF(ISNUMBER(F551),(pit_nbis_2026/(pit_nbis_2026+pfac_nbis_2026)*F551+pfac_nbis_2026/(pit_nbis_2026+pfac_nbis_2026)*IF(AND(ISNUMBER(E551),ISNUMBER(D551)),wb1*E551+wb2*D551,IF(ISNUMBER(E551),E551,F551)))/(pit_nbis_2026+pfac_nbis_2026),site_nbis_2026)</f>
        <v>0.321523721659491</v>
      </c>
      <c r="G552" s="8" t="n">
        <f aca="false">IF(ISNUMBER(G551),(pit_nbis_2027/(pit_nbis_2027+pfac_nbis_2027)*G551+pfac_nbis_2027/(pit_nbis_2027+pfac_nbis_2027)*IF(AND(ISNUMBER(F551),ISNUMBER(E551)),wb1*F551+wb2*E551,IF(ISNUMBER(F551),F551,G551)))/(pit_nbis_2027+pfac_nbis_2027),site_nbis_2027)</f>
        <v>0.396179366526544</v>
      </c>
      <c r="H552" s="8" t="n">
        <f aca="false">IF(ISNUMBER(H551),(pit_nbis_2028/(pit_nbis_2028+pfac_nbis_2028)*H551+pfac_nbis_2028/(pit_nbis_2028+pfac_nbis_2028)*IF(AND(ISNUMBER(G551),ISNUMBER(F551)),wb1*G551+wb2*F551,IF(ISNUMBER(G551),G551,H551)))/(pit_nbis_2028+pfac_nbis_2028),site_nbis_2028)</f>
        <v>0.554335434150153</v>
      </c>
      <c r="I552" s="8" t="n">
        <f aca="false">IF(ISNUMBER(I551),(pit_nbis_2029/(pit_nbis_2029+pfac_nbis_2029)*I551+pfac_nbis_2029/(pit_nbis_2029+pfac_nbis_2029)*IF(AND(ISNUMBER(H551),ISNUMBER(G551)),wb1*H551+wb2*G551,IF(ISNUMBER(H551),H551,I551)))/(pit_nbis_2029+pfac_nbis_2029),site_nbis_2029)</f>
        <v>0.629924193744744</v>
      </c>
    </row>
    <row r="553" customFormat="false" ht="17.15" hidden="false" customHeight="false" outlineLevel="0" collapsed="false">
      <c r="A553" s="0" t="s">
        <v>1783</v>
      </c>
      <c r="B553" s="0" t="s">
        <v>1271</v>
      </c>
      <c r="E553" s="8" t="n">
        <f aca="false">(1-lag)*E552+lag*D552-inv_k_lo*(E552-D552)</f>
        <v>0.0513780857501087</v>
      </c>
      <c r="F553" s="8" t="n">
        <f aca="false">(1-lag)*F552+lag*E552-inv_k_lo*(F552-E552)</f>
        <v>0.222851246812983</v>
      </c>
      <c r="G553" s="8" t="n">
        <f aca="false">(1-lag)*G552+lag*F552-inv_k_lo*(G552-F552)</f>
        <v>0.364450717458046</v>
      </c>
      <c r="H553" s="8" t="n">
        <f aca="false">(1-lag)*H552+lag*G552-inv_k_lo*(H552-G552)</f>
        <v>0.487119105410119</v>
      </c>
      <c r="I553" s="8" t="n">
        <f aca="false">(1-lag)*I552+lag*H552-inv_k_lo*(I552-H552)</f>
        <v>0.597798970917042</v>
      </c>
    </row>
    <row r="554" customFormat="false" ht="17.15" hidden="false" customHeight="false" outlineLevel="0" collapsed="false">
      <c r="A554" s="0" t="s">
        <v>1784</v>
      </c>
      <c r="B554" s="0" t="s">
        <v>1273</v>
      </c>
      <c r="D554" s="8" t="str">
        <f aca="false">""</f>
        <v/>
      </c>
      <c r="E554" s="8" t="str">
        <f aca="false">""</f>
        <v/>
      </c>
      <c r="F554" s="8" t="n">
        <f aca="false">gcap_nbis_2026*ai_sh</f>
        <v>22.1392615</v>
      </c>
      <c r="G554" s="8" t="n">
        <f aca="false">gcap_nbis_2027*ai_sh</f>
        <v>23.45782145</v>
      </c>
      <c r="H554" s="8" t="n">
        <f aca="false">gcap_nbis_2028*ai_sh</f>
        <v>24.7763814</v>
      </c>
      <c r="I554" s="8" t="n">
        <f aca="false">gcap_nbis_2029*ai_sh</f>
        <v>24.7763814</v>
      </c>
    </row>
    <row r="555" customFormat="false" ht="17.15" hidden="false" customHeight="false" outlineLevel="0" collapsed="false">
      <c r="A555" s="0" t="s">
        <v>1785</v>
      </c>
      <c r="B555" s="0" t="s">
        <v>1269</v>
      </c>
      <c r="D555" s="8" t="n">
        <f aca="false">IF(ISNUMBER(D554),(pit_nbis_2024/(pit_nbis_2024+pfac_nbis_2024)*D554+pfac_nbis_2024/(pit_nbis_2024+pfac_nbis_2024)*IF(AND(ISNUMBER(""),ISNUMBER("")),wb1*""+wb2*"",IF(ISNUMBER(""),"",D554)))/(pit_nbis_2024+pfac_nbis_2024),site_nbis_2024)</f>
        <v>0</v>
      </c>
      <c r="E555" s="8" t="n">
        <f aca="false">IF(ISNUMBER(E554),(pit_nbis_2025/(pit_nbis_2025+pfac_nbis_2025)*E554+pfac_nbis_2025/(pit_nbis_2025+pfac_nbis_2025)*IF(AND(ISNUMBER(D554),ISNUMBER("")),wb1*D554+wb2*"",IF(ISNUMBER(D554),D554,E554)))/(pit_nbis_2025+pfac_nbis_2025),site_nbis_2025)</f>
        <v>0</v>
      </c>
      <c r="F555" s="8" t="n">
        <f aca="false">IF(ISNUMBER(F554),(pit_nbis_2026/(pit_nbis_2026+pfac_nbis_2026)*F554+pfac_nbis_2026/(pit_nbis_2026+pfac_nbis_2026)*IF(AND(ISNUMBER(E554),ISNUMBER(D554)),wb1*E554+wb2*D554,IF(ISNUMBER(E554),E554,F554)))/(pit_nbis_2026+pfac_nbis_2026),site_nbis_2026)</f>
        <v>0.480410685921195</v>
      </c>
      <c r="G555" s="8" t="n">
        <f aca="false">IF(ISNUMBER(G554),(pit_nbis_2027/(pit_nbis_2027+pfac_nbis_2027)*G554+pfac_nbis_2027/(pit_nbis_2027+pfac_nbis_2027)*IF(AND(ISNUMBER(F554),ISNUMBER(E554)),wb1*F554+wb2*E554,IF(ISNUMBER(F554),F554,G554)))/(pit_nbis_2027+pfac_nbis_2027),site_nbis_2027)</f>
        <v>0.453443245801974</v>
      </c>
      <c r="H555" s="8" t="n">
        <f aca="false">IF(ISNUMBER(H554),(pit_nbis_2028/(pit_nbis_2028+pfac_nbis_2028)*H554+pfac_nbis_2028/(pit_nbis_2028+pfac_nbis_2028)*IF(AND(ISNUMBER(G554),ISNUMBER(F554)),wb1*G554+wb2*F554,IF(ISNUMBER(G554),G554,H554)))/(pit_nbis_2028+pfac_nbis_2028),site_nbis_2028)</f>
        <v>0.450206743161261</v>
      </c>
      <c r="I555" s="8" t="n">
        <f aca="false">IF(ISNUMBER(I554),(pit_nbis_2029/(pit_nbis_2029+pfac_nbis_2029)*I554+pfac_nbis_2029/(pit_nbis_2029+pfac_nbis_2029)*IF(AND(ISNUMBER(H554),ISNUMBER(G554)),wb1*H554+wb2*G554,IF(ISNUMBER(H554),H554,I554)))/(pit_nbis_2029+pfac_nbis_2029),site_nbis_2029)</f>
        <v>0.45593532101388</v>
      </c>
    </row>
    <row r="556" customFormat="false" ht="17.15" hidden="false" customHeight="false" outlineLevel="0" collapsed="false">
      <c r="A556" s="0" t="s">
        <v>1786</v>
      </c>
      <c r="B556" s="0" t="s">
        <v>1271</v>
      </c>
      <c r="E556" s="8" t="n">
        <f aca="false">(1-lag)*E555+lag*D555-inv_k_lo*(E555-D555)</f>
        <v>0</v>
      </c>
      <c r="F556" s="8" t="n">
        <f aca="false">(1-lag)*F555+lag*E555-inv_k_lo*(F555-E555)</f>
        <v>0.276236144404687</v>
      </c>
      <c r="G556" s="8" t="n">
        <f aca="false">(1-lag)*G555+lag*F555-inv_k_lo*(G555-F555)</f>
        <v>0.464904407852643</v>
      </c>
      <c r="H556" s="8" t="n">
        <f aca="false">(1-lag)*H555+lag*G555-inv_k_lo*(H555-G555)</f>
        <v>0.451582256783564</v>
      </c>
      <c r="I556" s="8" t="n">
        <f aca="false">(1-lag)*I555+lag*H555-inv_k_lo*(I555-H555)</f>
        <v>0.453500675426517</v>
      </c>
    </row>
    <row r="557" customFormat="false" ht="17.15" hidden="false" customHeight="false" outlineLevel="0" collapsed="false">
      <c r="A557" s="0" t="s">
        <v>1787</v>
      </c>
      <c r="B557" s="0" t="s">
        <v>1277</v>
      </c>
      <c r="D557" s="8" t="n">
        <f aca="false">site_nbis_2024</f>
        <v>0</v>
      </c>
      <c r="E557" s="8" t="n">
        <f aca="false">site_nbis_2025</f>
        <v>0</v>
      </c>
      <c r="F557" s="8" t="n">
        <f aca="false">site_nbis_2026</f>
        <v>0.73</v>
      </c>
      <c r="G557" s="8" t="n">
        <f aca="false">site_nbis_2027</f>
        <v>0.403</v>
      </c>
      <c r="H557" s="8" t="n">
        <f aca="false">site_nbis_2028</f>
        <v>0</v>
      </c>
      <c r="I557" s="8" t="n">
        <f aca="false">site_nbis_2029</f>
        <v>0</v>
      </c>
    </row>
    <row r="558" customFormat="false" ht="17.15" hidden="false" customHeight="false" outlineLevel="0" collapsed="false">
      <c r="A558" s="0" t="s">
        <v>1788</v>
      </c>
      <c r="B558" s="0" t="s">
        <v>1279</v>
      </c>
      <c r="D558" s="8" t="str">
        <f aca="false">IF(ISNUMBER(gai_xai_2024),gai_xai_2024,"")</f>
        <v/>
      </c>
      <c r="E558" s="8" t="str">
        <f aca="false">IF(ISNUMBER(gai_xai_2025),gai_xai_2025,"")</f>
        <v/>
      </c>
      <c r="F558" s="8" t="n">
        <f aca="false">IF(ISNUMBER(gai_xai_2026),gai_xai_2026,"")</f>
        <v>74.058119</v>
      </c>
      <c r="G558" s="8" t="n">
        <f aca="false">IF(ISNUMBER(gai_xai_2027),gai_xai_2027,"")</f>
        <v>136.252477</v>
      </c>
      <c r="H558" s="8" t="n">
        <f aca="false">IF(ISNUMBER(gai_xai_2028),gai_xai_2028,"")</f>
        <v>144.12072</v>
      </c>
      <c r="I558" s="8" t="n">
        <f aca="false">IF(ISNUMBER(gai_xai_2029),gai_xai_2029,"")</f>
        <v>111.172527</v>
      </c>
    </row>
    <row r="559" customFormat="false" ht="17.15" hidden="false" customHeight="false" outlineLevel="0" collapsed="false">
      <c r="A559" s="0" t="s">
        <v>1789</v>
      </c>
      <c r="B559" s="0" t="s">
        <v>1281</v>
      </c>
      <c r="D559" s="8" t="n">
        <f aca="false">IF(ISNUMBER(D558),(pitN_2024/(pitN_2024+pfacN_2024)*D558+pfacN_2024/(pitN_2024+pfacN_2024)*IF(AND(ISNUMBER(""),ISNUMBER("")),wb1*""+wb2*"",IF(ISNUMBER(""),"",D558)))/(pitN_2024+pfacN_2024),site_xai_2024)</f>
        <v>0</v>
      </c>
      <c r="E559" s="8" t="n">
        <f aca="false">IF(ISNUMBER(E558),(pitN_2025/(pitN_2025+pfacN_2025)*E558+pfacN_2025/(pitN_2025+pfacN_2025)*IF(AND(ISNUMBER(D558),ISNUMBER("")),wb1*D558+wb2*"",IF(ISNUMBER(D558),D558,E558)))/(pitN_2025+pfacN_2025),site_xai_2025)</f>
        <v>0</v>
      </c>
      <c r="F559" s="8" t="n">
        <f aca="false">IF(ISNUMBER(F558),(pitN_2026/(pitN_2026+pfacN_2026)*F558+pfacN_2026/(pitN_2026+pfacN_2026)*IF(AND(ISNUMBER(E558),ISNUMBER(D558)),wb1*E558+wb2*D558,IF(ISNUMBER(E558),E558,F558)))/(pitN_2026+pfacN_2026),site_xai_2026)</f>
        <v>1.60702342066936</v>
      </c>
      <c r="G559" s="8" t="n">
        <f aca="false">IF(ISNUMBER(G558),(pitN_2027/(pitN_2027+pfacN_2027)*G558+pfacN_2027/(pitN_2027+pfacN_2027)*IF(AND(ISNUMBER(F558),ISNUMBER(E558)),wb1*F558+wb2*E558,IF(ISNUMBER(F558),F558,G558)))/(pitN_2027+pfacN_2027),site_xai_2027)</f>
        <v>2.36823509451502</v>
      </c>
      <c r="H559" s="8" t="n">
        <f aca="false">IF(ISNUMBER(H558),(pitN_2028/(pitN_2028+pfacN_2028)*H558+pfacN_2028/(pitN_2028+pfacN_2028)*IF(AND(ISNUMBER(G558),ISNUMBER(F558)),wb1*G558+wb2*F558,IF(ISNUMBER(G558),G558,H558)))/(pitN_2028+pfacN_2028),site_xai_2028)</f>
        <v>2.49948463520021</v>
      </c>
      <c r="I559" s="8" t="n">
        <f aca="false">IF(ISNUMBER(I558),(pitN_2029/(pitN_2029+pfacN_2029)*I558+pfacN_2029/(pitN_2029+pfacN_2029)*IF(AND(ISNUMBER(H558),ISNUMBER(G558)),wb1*H558+wb2*G558,IF(ISNUMBER(H558),H558,I558)))/(pitN_2029+pfacN_2029),site_xai_2029)</f>
        <v>2.18470428873966</v>
      </c>
    </row>
    <row r="560" customFormat="false" ht="17.15" hidden="false" customHeight="false" outlineLevel="0" collapsed="false">
      <c r="A560" s="0" t="s">
        <v>1790</v>
      </c>
      <c r="B560" s="0" t="s">
        <v>1283</v>
      </c>
      <c r="E560" s="8" t="n">
        <f aca="false">IF(ISNUMBER(gai_xai_2024),(1-lag)*E559+lag*D559-inv_k_lo*(E559-D559),E559)</f>
        <v>0</v>
      </c>
      <c r="F560" s="8" t="n">
        <f aca="false">IF(ISNUMBER(gai_xai_2025),(1-lag)*F559+lag*E559-inv_k_lo*(F559-E559),F559)</f>
        <v>1.60702342066936</v>
      </c>
      <c r="G560" s="8" t="n">
        <f aca="false">IF(ISNUMBER(gai_xai_2026),(1-lag)*G559+lag*F559-inv_k_lo*(G559-F559),G559)</f>
        <v>2.04472013313061</v>
      </c>
      <c r="H560" s="8" t="n">
        <f aca="false">IF(ISNUMBER(gai_xai_2027),(1-lag)*H559+lag*G559-inv_k_lo*(H559-G559),H559)</f>
        <v>2.443703580409</v>
      </c>
      <c r="I560" s="8" t="n">
        <f aca="false">IF(ISNUMBER(gai_xai_2028),(1-lag)*I559+lag*H559-inv_k_lo*(I559-H559),I559)</f>
        <v>2.31848593598539</v>
      </c>
    </row>
    <row r="561" customFormat="false" ht="17.15" hidden="false" customHeight="false" outlineLevel="0" collapsed="false">
      <c r="A561" s="0" t="s">
        <v>1791</v>
      </c>
      <c r="B561" s="0" t="s">
        <v>1285</v>
      </c>
      <c r="D561" s="8" t="n">
        <f aca="false">site_xai_2024</f>
        <v>0</v>
      </c>
      <c r="E561" s="8" t="n">
        <f aca="false">site_xai_2025</f>
        <v>0</v>
      </c>
      <c r="F561" s="8" t="n">
        <f aca="false">site_xai_2026</f>
        <v>1.4302</v>
      </c>
      <c r="G561" s="8" t="n">
        <f aca="false">site_xai_2027</f>
        <v>0.585</v>
      </c>
      <c r="H561" s="8" t="n">
        <f aca="false">site_xai_2028</f>
        <v>0</v>
      </c>
      <c r="I561" s="8" t="n">
        <f aca="false">site_xai_2029</f>
        <v>0</v>
      </c>
    </row>
    <row r="562" customFormat="false" ht="17.15" hidden="false" customHeight="false" outlineLevel="0" collapsed="false">
      <c r="A562" s="0" t="s">
        <v>1792</v>
      </c>
      <c r="B562" s="0" t="s">
        <v>1287</v>
      </c>
      <c r="D562" s="8" t="str">
        <f aca="false">IF(ISNUMBER(gai_oai_2024),gai_oai_2024,"")</f>
        <v/>
      </c>
      <c r="E562" s="8" t="str">
        <f aca="false">IF(ISNUMBER(gai_oai_2025),gai_oai_2025,"")</f>
        <v/>
      </c>
      <c r="F562" s="8" t="n">
        <f aca="false">IF(ISNUMBER(gai_oai_2026),gai_oai_2026,"")</f>
        <v>20</v>
      </c>
      <c r="G562" s="8" t="n">
        <f aca="false">IF(ISNUMBER(gai_oai_2027),gai_oai_2027,"")</f>
        <v>30</v>
      </c>
      <c r="H562" s="8" t="n">
        <f aca="false">IF(ISNUMBER(gai_oai_2028),gai_oai_2028,"")</f>
        <v>45</v>
      </c>
      <c r="I562" s="8" t="n">
        <f aca="false">IF(ISNUMBER(gai_oai_2029),gai_oai_2029,"")</f>
        <v>60</v>
      </c>
    </row>
    <row r="563" customFormat="false" ht="17.15" hidden="false" customHeight="false" outlineLevel="0" collapsed="false">
      <c r="A563" s="0" t="s">
        <v>1793</v>
      </c>
      <c r="B563" s="0" t="s">
        <v>1289</v>
      </c>
      <c r="D563" s="8" t="n">
        <f aca="false">IF(ISNUMBER(D562),(pitN_2024/(pitN_2024+pfacN_2024)*D562+pfacN_2024/(pitN_2024+pfacN_2024)*IF(AND(ISNUMBER(""),ISNUMBER("")),wb1*""+wb2*"",IF(ISNUMBER(""),"",D562)))/(pitN_2024+pfacN_2024),site_oai_2024)</f>
        <v>0</v>
      </c>
      <c r="E563" s="8" t="n">
        <f aca="false">IF(ISNUMBER(E562),(pitN_2025/(pitN_2025+pfacN_2025)*E562+pfacN_2025/(pitN_2025+pfacN_2025)*IF(AND(ISNUMBER(D562),ISNUMBER("")),wb1*D562+wb2*"",IF(ISNUMBER(D562),D562,E562)))/(pitN_2025+pfacN_2025),site_oai_2025)</f>
        <v>0</v>
      </c>
      <c r="F563" s="8" t="n">
        <f aca="false">IF(ISNUMBER(F562),(pitN_2026/(pitN_2026+pfacN_2026)*F562+pfacN_2026/(pitN_2026+pfacN_2026)*IF(AND(ISNUMBER(E562),ISNUMBER(D562)),wb1*E562+wb2*D562,IF(ISNUMBER(E562),E562,F562)))/(pitN_2026+pfacN_2026),site_oai_2026)</f>
        <v>0.433989802163179</v>
      </c>
      <c r="G563" s="8" t="n">
        <f aca="false">IF(ISNUMBER(G562),(pitN_2027/(pitN_2027+pfacN_2027)*G562+pfacN_2027/(pitN_2027+pfacN_2027)*IF(AND(ISNUMBER(F562),ISNUMBER(E562)),wb1*F562+wb2*E562,IF(ISNUMBER(F562),F562,G562)))/(pitN_2027+pfacN_2027),site_oai_2027)</f>
        <v>0.539423294291731</v>
      </c>
      <c r="H563" s="8" t="n">
        <f aca="false">IF(ISNUMBER(H562),(pitN_2028/(pitN_2028+pfacN_2028)*H562+pfacN_2028/(pitN_2028+pfacN_2028)*IF(AND(ISNUMBER(G562),ISNUMBER(F562)),wb1*G562+wb2*F562,IF(ISNUMBER(G562),G562,H562)))/(pitN_2028+pfacN_2028),site_oai_2028)</f>
        <v>0.74640146139489</v>
      </c>
      <c r="I563" s="8" t="n">
        <f aca="false">IF(ISNUMBER(I562),(pitN_2029/(pitN_2029+pfacN_2029)*I562+pfacN_2029/(pitN_2029+pfacN_2029)*IF(AND(ISNUMBER(H562),ISNUMBER(G562)),wb1*H562+wb2*G562,IF(ISNUMBER(H562),H562,I562)))/(pitN_2029+pfacN_2029),site_oai_2029)</f>
        <v>1.01330432937459</v>
      </c>
    </row>
    <row r="564" customFormat="false" ht="17.15" hidden="false" customHeight="false" outlineLevel="0" collapsed="false">
      <c r="A564" s="0" t="s">
        <v>1794</v>
      </c>
      <c r="B564" s="0" t="s">
        <v>1291</v>
      </c>
      <c r="E564" s="8" t="n">
        <f aca="false">IF(ISNUMBER(gai_oai_2024),(1-lag)*E563+lag*D563-inv_k_lo*(E563-D563),E563)</f>
        <v>0</v>
      </c>
      <c r="F564" s="8" t="n">
        <f aca="false">IF(ISNUMBER(gai_oai_2025),(1-lag)*F563+lag*E563-inv_k_lo*(F563-E563),F563)</f>
        <v>0.433989802163179</v>
      </c>
      <c r="G564" s="8" t="n">
        <f aca="false">IF(ISNUMBER(gai_oai_2026),(1-lag)*G563+lag*F563-inv_k_lo*(G563-F563),G563)</f>
        <v>0.494614060137097</v>
      </c>
      <c r="H564" s="8" t="n">
        <f aca="false">IF(ISNUMBER(gai_oai_2027),(1-lag)*H563+lag*G563-inv_k_lo*(H563-G563),H563)</f>
        <v>0.658435740376048</v>
      </c>
      <c r="I564" s="8" t="n">
        <f aca="false">IF(ISNUMBER(gai_oai_2028),(1-lag)*I563+lag*H563-inv_k_lo*(I563-H563),I563)</f>
        <v>0.899870610483218</v>
      </c>
    </row>
    <row r="565" customFormat="false" ht="17.15" hidden="false" customHeight="false" outlineLevel="0" collapsed="false">
      <c r="A565" s="0" t="s">
        <v>1795</v>
      </c>
      <c r="B565" s="0" t="s">
        <v>1293</v>
      </c>
      <c r="D565" s="8" t="n">
        <f aca="false">site_oai_2024</f>
        <v>0</v>
      </c>
      <c r="E565" s="8" t="n">
        <f aca="false">site_oai_2025</f>
        <v>0</v>
      </c>
      <c r="F565" s="8" t="n">
        <f aca="false">site_oai_2026</f>
        <v>0</v>
      </c>
      <c r="G565" s="8" t="n">
        <f aca="false">site_oai_2027</f>
        <v>0.522</v>
      </c>
      <c r="H565" s="8" t="n">
        <f aca="false">site_oai_2028</f>
        <v>1.245</v>
      </c>
      <c r="I565" s="8" t="n">
        <f aca="false">site_oai_2029</f>
        <v>1.149</v>
      </c>
    </row>
    <row r="566" customFormat="false" ht="17.15" hidden="false" customHeight="false" outlineLevel="0" collapsed="false">
      <c r="A566" s="0" t="s">
        <v>1796</v>
      </c>
      <c r="B566" s="0" t="s">
        <v>1295</v>
      </c>
      <c r="D566" s="8" t="str">
        <f aca="false">IF(ISNUMBER(gai_ant_2024),gai_ant_2024,"")</f>
        <v/>
      </c>
      <c r="E566" s="8" t="str">
        <f aca="false">IF(ISNUMBER(gai_ant_2025),gai_ant_2025,"")</f>
        <v/>
      </c>
      <c r="F566" s="8" t="n">
        <f aca="false">IF(ISNUMBER(gai_ant_2026),gai_ant_2026,"")</f>
        <v>16.666667</v>
      </c>
      <c r="G566" s="8" t="n">
        <f aca="false">IF(ISNUMBER(gai_ant_2027),gai_ant_2027,"")</f>
        <v>16.666667</v>
      </c>
      <c r="H566" s="8" t="n">
        <f aca="false">IF(ISNUMBER(gai_ant_2028),gai_ant_2028,"")</f>
        <v>16.666667</v>
      </c>
      <c r="I566" s="8" t="n">
        <f aca="false">IF(ISNUMBER(gai_ant_2029),gai_ant_2029,"")</f>
        <v>0</v>
      </c>
    </row>
    <row r="567" customFormat="false" ht="17.15" hidden="false" customHeight="false" outlineLevel="0" collapsed="false">
      <c r="A567" s="0" t="s">
        <v>1797</v>
      </c>
      <c r="B567" s="0" t="s">
        <v>1297</v>
      </c>
      <c r="D567" s="8" t="n">
        <f aca="false">IF(ISNUMBER(D566),(pitN_2024/(pitN_2024+pfacN_2024)*D566+pfacN_2024/(pitN_2024+pfacN_2024)*IF(AND(ISNUMBER(""),ISNUMBER("")),wb1*""+wb2*"",IF(ISNUMBER(""),"",D566)))/(pitN_2024+pfacN_2024),site_ant_2024)</f>
        <v>0</v>
      </c>
      <c r="E567" s="8" t="n">
        <f aca="false">IF(ISNUMBER(E566),(pitN_2025/(pitN_2025+pfacN_2025)*E566+pfacN_2025/(pitN_2025+pfacN_2025)*IF(AND(ISNUMBER(D566),ISNUMBER("")),wb1*D566+wb2*"",IF(ISNUMBER(D566),D566,E566)))/(pitN_2025+pfacN_2025),site_ant_2025)</f>
        <v>0</v>
      </c>
      <c r="F567" s="8" t="n">
        <f aca="false">IF(ISNUMBER(F566),(pitN_2026/(pitN_2026+pfacN_2026)*F566+pfacN_2026/(pitN_2026+pfacN_2026)*IF(AND(ISNUMBER(E566),ISNUMBER(D566)),wb1*E566+wb2*D566,IF(ISNUMBER(E566),E566,F566)))/(pitN_2026+pfacN_2026),site_ant_2026)</f>
        <v>0.36165817570248</v>
      </c>
      <c r="G567" s="8" t="n">
        <f aca="false">IF(ISNUMBER(G566),(pitN_2027/(pitN_2027+pfacN_2027)*G566+pfacN_2027/(pitN_2027+pfacN_2027)*IF(AND(ISNUMBER(F566),ISNUMBER(E566)),wb1*F566+wb2*E566,IF(ISNUMBER(F566),F566,G566)))/(pitN_2027+pfacN_2027),site_ant_2027)</f>
        <v>0.326730833032632</v>
      </c>
      <c r="H567" s="8" t="n">
        <f aca="false">IF(ISNUMBER(H566),(pitN_2028/(pitN_2028+pfacN_2028)*H566+pfacN_2028/(pitN_2028+pfacN_2028)*IF(AND(ISNUMBER(G566),ISNUMBER(F566)),wb1*G566+wb2*F566,IF(ISNUMBER(G566),G566,H566)))/(pitN_2028+pfacN_2028),site_ant_2028)</f>
        <v>0.308627002270922</v>
      </c>
      <c r="I567" s="8" t="n">
        <f aca="false">IF(ISNUMBER(I566),(pitN_2029/(pitN_2029+pfacN_2029)*I566+pfacN_2029/(pitN_2029+pfacN_2029)*IF(AND(ISNUMBER(H566),ISNUMBER(G566)),wb1*H566+wb2*G566,IF(ISNUMBER(H566),H566,I566)))/(pitN_2029+pfacN_2029),site_ant_2029)</f>
        <v>0.0724095248404747</v>
      </c>
    </row>
    <row r="568" customFormat="false" ht="17.15" hidden="false" customHeight="false" outlineLevel="0" collapsed="false">
      <c r="A568" s="0" t="s">
        <v>1798</v>
      </c>
      <c r="B568" s="0" t="s">
        <v>1299</v>
      </c>
      <c r="E568" s="8" t="n">
        <f aca="false">IF(ISNUMBER(gai_ant_2024),(1-lag)*E567+lag*D567-inv_k_lo*(E567-D567),E567)</f>
        <v>0</v>
      </c>
      <c r="F568" s="8" t="n">
        <f aca="false">IF(ISNUMBER(gai_ant_2025),(1-lag)*F567+lag*E567-inv_k_lo*(F567-E567),F567)</f>
        <v>0.36165817570248</v>
      </c>
      <c r="G568" s="8" t="n">
        <f aca="false">IF(ISNUMBER(gai_ant_2026),(1-lag)*G567+lag*F567-inv_k_lo*(G567-F567),G567)</f>
        <v>0.341574953667317</v>
      </c>
      <c r="H568" s="8" t="n">
        <f aca="false">IF(ISNUMBER(gai_ant_2027),(1-lag)*H567+lag*G567-inv_k_lo*(H567-G567),H567)</f>
        <v>0.316321130344649</v>
      </c>
      <c r="I568" s="8" t="n">
        <f aca="false">IF(ISNUMBER(gai_ant_2028),(1-lag)*I567+lag*H567-inv_k_lo*(I567-H567),I567)</f>
        <v>0.172801952748415</v>
      </c>
    </row>
    <row r="569" customFormat="false" ht="17.15" hidden="false" customHeight="false" outlineLevel="0" collapsed="false">
      <c r="A569" s="0" t="s">
        <v>1799</v>
      </c>
      <c r="B569" s="0" t="s">
        <v>1301</v>
      </c>
      <c r="D569" s="8" t="n">
        <f aca="false">site_ant_2024</f>
        <v>0</v>
      </c>
      <c r="E569" s="8" t="n">
        <f aca="false">site_ant_2025</f>
        <v>0</v>
      </c>
      <c r="F569" s="8" t="n">
        <f aca="false">site_ant_2026</f>
        <v>0</v>
      </c>
      <c r="G569" s="8" t="n">
        <f aca="false">site_ant_2027</f>
        <v>0</v>
      </c>
      <c r="H569" s="8" t="n">
        <f aca="false">site_ant_2028</f>
        <v>0</v>
      </c>
      <c r="I569" s="8" t="n">
        <f aca="false">site_ant_2029</f>
        <v>0</v>
      </c>
    </row>
    <row r="570" customFormat="false" ht="17.15" hidden="false" customHeight="false" outlineLevel="0" collapsed="false">
      <c r="A570" s="0" t="s">
        <v>1800</v>
      </c>
      <c r="B570" s="5" t="s">
        <v>1303</v>
      </c>
      <c r="D570" s="9" t="n">
        <f aca="false">D510+D517+D524+D531+D538+D545+D552</f>
        <v>2.88602836343531</v>
      </c>
      <c r="E570" s="9" t="n">
        <f aca="false">E510+E517+E524+E531+E538+E545+E552</f>
        <v>9.64396540227264</v>
      </c>
      <c r="F570" s="9" t="n">
        <f aca="false">F510+F517+F524+F531+F538+F545+F552</f>
        <v>15.2175288078156</v>
      </c>
      <c r="G570" s="9" t="n">
        <f aca="false">G510+G517+G524+G531+G538+G545+G552</f>
        <v>19.096009969242</v>
      </c>
      <c r="H570" s="9" t="n">
        <f aca="false">H510+H517+H524+H531+H538+H545+H552</f>
        <v>21.3980787384407</v>
      </c>
      <c r="I570" s="9" t="n">
        <f aca="false">I510+I517+I524+I531+I538+I545+I552</f>
        <v>23.901946773905</v>
      </c>
    </row>
    <row r="571" customFormat="false" ht="17.15" hidden="false" customHeight="false" outlineLevel="0" collapsed="false">
      <c r="A571" s="0" t="s">
        <v>1801</v>
      </c>
      <c r="B571" s="5" t="s">
        <v>1305</v>
      </c>
      <c r="D571" s="9" t="n">
        <f aca="false">D511+D518+D525+D532+D539+D546+D553</f>
        <v>0</v>
      </c>
      <c r="E571" s="9" t="n">
        <f aca="false">E511+E518+E525+E532+E539+E546+E553</f>
        <v>6.77184216076677</v>
      </c>
      <c r="F571" s="9" t="n">
        <f aca="false">F511+F518+F525+F532+F539+F546+F553</f>
        <v>12.8487643604599</v>
      </c>
      <c r="G571" s="9" t="n">
        <f aca="false">G511+G518+G525+G532+G539+G546+G553</f>
        <v>17.4476554756358</v>
      </c>
      <c r="H571" s="9" t="n">
        <f aca="false">H511+H518+H525+H532+H539+H546+H553</f>
        <v>20.4196995115313</v>
      </c>
      <c r="I571" s="9" t="n">
        <f aca="false">I511+I518+I525+I532+I539+I546+I553</f>
        <v>22.8378028588327</v>
      </c>
    </row>
    <row r="572" customFormat="false" ht="17.15" hidden="false" customHeight="false" outlineLevel="0" collapsed="false">
      <c r="A572" s="0" t="s">
        <v>1802</v>
      </c>
      <c r="B572" s="5" t="s">
        <v>1307</v>
      </c>
      <c r="D572" s="9" t="n">
        <f aca="false">D513+D520+D527+D534+D541+D548+D555</f>
        <v>3.89616485653111</v>
      </c>
      <c r="E572" s="9" t="n">
        <f aca="false">E513+E520+E527+E534+E541+E548+E555</f>
        <v>9.4581706968</v>
      </c>
      <c r="F572" s="9" t="n">
        <f aca="false">F513+F520+F527+F534+F541+F548+F555</f>
        <v>15.1257949595735</v>
      </c>
      <c r="G572" s="9" t="n">
        <f aca="false">G513+G520+G527+G534+G541+G548+G555</f>
        <v>19.2801415517668</v>
      </c>
      <c r="H572" s="9" t="n">
        <f aca="false">H513+H520+H527+H534+H541+H548+H555</f>
        <v>20.7180010831606</v>
      </c>
      <c r="I572" s="9" t="n">
        <f aca="false">I513+I520+I527+I534+I541+I548+I555</f>
        <v>20.371284771225</v>
      </c>
    </row>
    <row r="573" customFormat="false" ht="17.15" hidden="false" customHeight="false" outlineLevel="0" collapsed="false">
      <c r="A573" s="0" t="s">
        <v>1803</v>
      </c>
      <c r="B573" s="5" t="s">
        <v>1309</v>
      </c>
      <c r="D573" s="9" t="n">
        <f aca="false">D514+D521+D528+D535+D542+D549+D556</f>
        <v>0</v>
      </c>
      <c r="E573" s="9" t="n">
        <f aca="false">E514+E521+E528+E535+E542+E549+E556</f>
        <v>7.09431821468572</v>
      </c>
      <c r="F573" s="9" t="n">
        <f aca="false">F514+F521+F528+F535+F542+F549+F556</f>
        <v>12.7170546478948</v>
      </c>
      <c r="G573" s="9" t="n">
        <f aca="false">G514+G521+G528+G535+G542+G549+G556</f>
        <v>17.5145442500847</v>
      </c>
      <c r="H573" s="9" t="n">
        <f aca="false">H514+H521+H528+H535+H542+H549+H556</f>
        <v>20.1069107823183</v>
      </c>
      <c r="I573" s="9" t="n">
        <f aca="false">I514+I521+I528+I535+I542+I549+I556</f>
        <v>20.5186392037976</v>
      </c>
    </row>
    <row r="574" customFormat="false" ht="15" hidden="false" customHeight="false" outlineLevel="0" collapsed="false">
      <c r="A574" s="0" t="s">
        <v>1804</v>
      </c>
      <c r="B574" s="5" t="s">
        <v>1311</v>
      </c>
      <c r="D574" s="9" t="n">
        <f aca="false">D515+D522+D529+D536+D543+D550+D557</f>
        <v>1.61980834349181</v>
      </c>
      <c r="E574" s="9" t="n">
        <f aca="false">E515+E522+E529+E536+E543+E550+E557</f>
        <v>8.74912429484715</v>
      </c>
      <c r="F574" s="9" t="n">
        <f aca="false">F515+F522+F529+F536+F543+F550+F557</f>
        <v>6.54276412772586</v>
      </c>
      <c r="G574" s="9" t="n">
        <f aca="false">G515+G522+G529+G536+G543+G550+G557</f>
        <v>6.52966666666667</v>
      </c>
      <c r="H574" s="9" t="n">
        <f aca="false">H515+H522+H529+H536+H543+H550+H557</f>
        <v>13.6908333333333</v>
      </c>
      <c r="I574" s="9" t="n">
        <f aca="false">I515+I522+I529+I536+I543+I550+I557</f>
        <v>2.7115</v>
      </c>
    </row>
    <row r="575" customFormat="false" ht="15" hidden="false" customHeight="false" outlineLevel="0" collapsed="false">
      <c r="A575" s="0" t="s">
        <v>1805</v>
      </c>
      <c r="B575" s="5" t="s">
        <v>1313</v>
      </c>
      <c r="D575" s="9" t="n">
        <f aca="false">D559+D563+D567</f>
        <v>0</v>
      </c>
      <c r="E575" s="9" t="n">
        <f aca="false">E559+E563+E567</f>
        <v>0</v>
      </c>
      <c r="F575" s="9" t="n">
        <f aca="false">F559+F563+F567</f>
        <v>2.40267139853502</v>
      </c>
      <c r="G575" s="9" t="n">
        <f aca="false">G559+G563+G567</f>
        <v>3.23438922183938</v>
      </c>
      <c r="H575" s="9" t="n">
        <f aca="false">H559+H563+H567</f>
        <v>3.55451309886602</v>
      </c>
      <c r="I575" s="9" t="n">
        <f aca="false">I559+I563+I567</f>
        <v>3.27041814295472</v>
      </c>
    </row>
    <row r="576" customFormat="false" ht="15" hidden="false" customHeight="false" outlineLevel="0" collapsed="false">
      <c r="A576" s="0" t="s">
        <v>1806</v>
      </c>
      <c r="B576" s="5" t="s">
        <v>1315</v>
      </c>
      <c r="D576" s="9" t="n">
        <f aca="false">D560+D564+D568</f>
        <v>0</v>
      </c>
      <c r="E576" s="9" t="n">
        <f aca="false">E560+E564+E568</f>
        <v>0</v>
      </c>
      <c r="F576" s="9" t="n">
        <f aca="false">F560+F564+F568</f>
        <v>2.40267139853502</v>
      </c>
      <c r="G576" s="9" t="n">
        <f aca="false">G560+G564+G568</f>
        <v>2.88090914693503</v>
      </c>
      <c r="H576" s="9" t="n">
        <f aca="false">H560+H564+H568</f>
        <v>3.4184604511297</v>
      </c>
      <c r="I576" s="9" t="n">
        <f aca="false">I560+I564+I568</f>
        <v>3.39115849921702</v>
      </c>
    </row>
    <row r="577" customFormat="false" ht="15" hidden="false" customHeight="false" outlineLevel="0" collapsed="false">
      <c r="A577" s="0" t="s">
        <v>1807</v>
      </c>
      <c r="B577" s="5" t="s">
        <v>1317</v>
      </c>
      <c r="D577" s="9" t="n">
        <f aca="false">D561+D565+D569</f>
        <v>0</v>
      </c>
      <c r="E577" s="9" t="n">
        <f aca="false">E561+E565+E569</f>
        <v>0</v>
      </c>
      <c r="F577" s="9" t="n">
        <f aca="false">F561+F565+F569</f>
        <v>1.4302</v>
      </c>
      <c r="G577" s="9" t="n">
        <f aca="false">G561+G565+G569</f>
        <v>1.107</v>
      </c>
      <c r="H577" s="9" t="n">
        <f aca="false">H561+H565+H569</f>
        <v>1.245</v>
      </c>
      <c r="I577" s="9" t="n">
        <f aca="false">I561+I565+I569</f>
        <v>1.149</v>
      </c>
    </row>
    <row r="579" customFormat="false" ht="15" hidden="false" customHeight="false" outlineLevel="0" collapsed="false">
      <c r="A579" s="6" t="s">
        <v>1808</v>
      </c>
    </row>
    <row r="580" customFormat="false" ht="15" hidden="false" customHeight="false" outlineLevel="0" collapsed="false">
      <c r="A580" s="2" t="s">
        <v>1</v>
      </c>
      <c r="B580" s="2" t="s">
        <v>2</v>
      </c>
      <c r="C580" s="7" t="s">
        <v>1188</v>
      </c>
      <c r="D580" s="7" t="s">
        <v>1189</v>
      </c>
      <c r="E580" s="7" t="s">
        <v>1190</v>
      </c>
      <c r="F580" s="7" t="s">
        <v>1191</v>
      </c>
      <c r="G580" s="7" t="s">
        <v>1192</v>
      </c>
      <c r="H580" s="7" t="s">
        <v>1193</v>
      </c>
    </row>
    <row r="581" customFormat="false" ht="17.15" hidden="false" customHeight="false" outlineLevel="0" collapsed="false">
      <c r="A581" s="0" t="s">
        <v>1809</v>
      </c>
      <c r="B581" s="0" t="s">
        <v>1195</v>
      </c>
      <c r="D581" s="8" t="n">
        <f aca="false">IF(ISNUMBER(ai2_msft_2024),ai2_msft_2024,"")</f>
        <v>46.3369</v>
      </c>
      <c r="E581" s="8" t="n">
        <f aca="false">IF(ISNUMBER(ai2_msft_2025),ai2_msft_2025,"")</f>
        <v>76.712075</v>
      </c>
      <c r="F581" s="8" t="n">
        <f aca="false">IF(ISNUMBER(ai2_msft_2026),ai2_msft_2026,"")</f>
        <v>131.229375</v>
      </c>
      <c r="G581" s="8" t="n">
        <f aca="false">IF(ISNUMBER(ai2_msft_2027),ai2_msft_2027,"")</f>
        <v>174.08595</v>
      </c>
      <c r="H581" s="8" t="n">
        <f aca="false">IF(ISNUMBER(ai2_msft_2028),ai2_msft_2028,"")</f>
        <v>198.883</v>
      </c>
      <c r="I581" s="8" t="n">
        <f aca="false">IF(ISNUMBER(ai2_msft_2029),ai2_msft_2029,"")</f>
        <v>224.1719025</v>
      </c>
    </row>
    <row r="582" customFormat="false" ht="17.15" hidden="false" customHeight="false" outlineLevel="0" collapsed="false">
      <c r="A582" s="0" t="s">
        <v>1810</v>
      </c>
      <c r="B582" s="0" t="s">
        <v>1197</v>
      </c>
      <c r="D582" s="8" t="n">
        <f aca="false">IF(ISNUMBER(D581),(pit_msft_2024/(pit_msft_2024+pfac_msft_2024)*D581+pfac_msft_2024/(pit_msft_2024+pfac_msft_2024)*IF(AND(ISNUMBER(""),ISNUMBER("")),wb1*""+wb2*"",IF(ISNUMBER(""),"",D581)))/(pit_msft_2024+pfac_msft_2024),site_msft_2024)</f>
        <v>1.2662200199435</v>
      </c>
      <c r="E582" s="8" t="n">
        <f aca="false">IF(ISNUMBER(E581),(pit_msft_2025/(pit_msft_2025+pfac_msft_2025)*E581+pfac_msft_2025/(pit_msft_2025+pfac_msft_2025)*IF(AND(ISNUMBER(D581),ISNUMBER("")),wb1*D581+wb2*"",IF(ISNUMBER(D581),D581,E581)))/(pit_msft_2025+pfac_msft_2025),site_msft_2025)</f>
        <v>1.89413391980359</v>
      </c>
      <c r="F582" s="8" t="n">
        <f aca="false">IF(ISNUMBER(F581),(pit_msft_2026/(pit_msft_2026+pfac_msft_2026)*F581+pfac_msft_2026/(pit_msft_2026+pfac_msft_2026)*IF(AND(ISNUMBER(E581),ISNUMBER(D581)),wb1*E581+wb2*D581,IF(ISNUMBER(E581),E581,F581)))/(pit_msft_2026+pfac_msft_2026),site_msft_2026)</f>
        <v>2.73280981276305</v>
      </c>
      <c r="G582" s="8" t="n">
        <f aca="false">IF(ISNUMBER(G581),(pit_msft_2027/(pit_msft_2027+pfac_msft_2027)*G581+pfac_msft_2027/(pit_msft_2027+pfac_msft_2027)*IF(AND(ISNUMBER(F581),ISNUMBER(E581)),wb1*F581+wb2*E581,IF(ISNUMBER(F581),F581,G581)))/(pit_msft_2027+pfac_msft_2027),site_msft_2027)</f>
        <v>3.56447576934396</v>
      </c>
      <c r="H582" s="8" t="n">
        <f aca="false">IF(ISNUMBER(H581),(pit_msft_2028/(pit_msft_2028+pfac_msft_2028)*H581+pfac_msft_2028/(pit_msft_2028+pfac_msft_2028)*IF(AND(ISNUMBER(G581),ISNUMBER(F581)),wb1*G581+wb2*F581,IF(ISNUMBER(G581),G581,H581)))/(pit_msft_2028+pfac_msft_2028),site_msft_2028)</f>
        <v>4.06597876464757</v>
      </c>
      <c r="I582" s="8" t="n">
        <f aca="false">IF(ISNUMBER(I581),(pit_msft_2029/(pit_msft_2029+pfac_msft_2029)*I581+pfac_msft_2029/(pit_msft_2029+pfac_msft_2029)*IF(AND(ISNUMBER(H581),ISNUMBER(G581)),wb1*H581+wb2*G581,IF(ISNUMBER(H581),H581,I581)))/(pit_msft_2029+pfac_msft_2029),site_msft_2029)</f>
        <v>4.6644209987717</v>
      </c>
    </row>
    <row r="583" customFormat="false" ht="17.15" hidden="false" customHeight="false" outlineLevel="0" collapsed="false">
      <c r="A583" s="0" t="s">
        <v>1811</v>
      </c>
      <c r="B583" s="0" t="s">
        <v>1199</v>
      </c>
      <c r="E583" s="8" t="n">
        <f aca="false">(1-lag)*E582+lag*D582-inv_k_hi*(E582-D582)</f>
        <v>1.53308342738403</v>
      </c>
      <c r="F583" s="8" t="n">
        <f aca="false">(1-lag)*F582+lag*E582-inv_k_hi*(F582-E582)</f>
        <v>2.25057117431136</v>
      </c>
      <c r="G583" s="8" t="n">
        <f aca="false">(1-lag)*G582+lag*F582-inv_k_hi*(G582-F582)</f>
        <v>3.08626784430993</v>
      </c>
      <c r="H583" s="8" t="n">
        <f aca="false">(1-lag)*H582+lag*G582-inv_k_hi*(H582-G582)</f>
        <v>3.77761454234799</v>
      </c>
      <c r="I583" s="8" t="n">
        <f aca="false">(1-lag)*I582+lag*H582-inv_k_hi*(I582-H582)</f>
        <v>4.32031671415033</v>
      </c>
    </row>
    <row r="584" customFormat="false" ht="17.15" hidden="false" customHeight="false" outlineLevel="0" collapsed="false">
      <c r="A584" s="0" t="s">
        <v>1812</v>
      </c>
      <c r="B584" s="0" t="s">
        <v>1201</v>
      </c>
      <c r="D584" s="8" t="str">
        <f aca="false">""</f>
        <v/>
      </c>
      <c r="E584" s="8" t="n">
        <f aca="false">(6/12*cap2_msft_2025+6/12*gcap_msft_2026)*ai_sh</f>
        <v>89.186675</v>
      </c>
      <c r="F584" s="8" t="n">
        <f aca="false">(6/12*gcap_msft_2026+6/12*gcap_msft_2027)*ai_sh</f>
        <v>148.5375</v>
      </c>
      <c r="G584" s="8" t="n">
        <f aca="false">(6/12*gcap_msft_2027+6/12*gcap_msft_2028)*ai_sh</f>
        <v>185.939575275</v>
      </c>
      <c r="H584" s="8" t="n">
        <f aca="false">(6/12*gcap_msft_2028+6/12*gcap_msft_2029)*ai_sh</f>
        <v>202.7978586</v>
      </c>
      <c r="I584" s="8" t="n">
        <f aca="false">(6/12*gcap_msft_2029+6/12*gcap_msft_2030)*ai_sh</f>
        <v>197.6117298</v>
      </c>
    </row>
    <row r="585" customFormat="false" ht="17.15" hidden="false" customHeight="false" outlineLevel="0" collapsed="false">
      <c r="A585" s="0" t="s">
        <v>1813</v>
      </c>
      <c r="B585" s="0" t="s">
        <v>1197</v>
      </c>
      <c r="D585" s="8" t="n">
        <f aca="false">IF(ISNUMBER(D584),(pit_msft_2024/(pit_msft_2024+pfac_msft_2024)*D584+pfac_msft_2024/(pit_msft_2024+pfac_msft_2024)*IF(AND(ISNUMBER(""),ISNUMBER("")),wb1*""+wb2*"",IF(ISNUMBER(""),"",D584)))/(pit_msft_2024+pfac_msft_2024),site_msft_2024)</f>
        <v>0</v>
      </c>
      <c r="E585" s="8" t="n">
        <f aca="false">IF(ISNUMBER(E584),(pit_msft_2025/(pit_msft_2025+pfac_msft_2025)*E584+pfac_msft_2025/(pit_msft_2025+pfac_msft_2025)*IF(AND(ISNUMBER(D584),ISNUMBER("")),wb1*D584+wb2*"",IF(ISNUMBER(D584),D584,E584)))/(pit_msft_2025+pfac_msft_2025),site_msft_2025)</f>
        <v>2.51576435599185</v>
      </c>
      <c r="F585" s="8" t="n">
        <f aca="false">IF(ISNUMBER(F584),(pit_msft_2026/(pit_msft_2026+pfac_msft_2026)*F584+pfac_msft_2026/(pit_msft_2026+pfac_msft_2026)*IF(AND(ISNUMBER(E584),ISNUMBER(D584)),wb1*E584+wb2*D584,IF(ISNUMBER(E584),E584,F584)))/(pit_msft_2026+pfac_msft_2026),site_msft_2026)</f>
        <v>3.22245015720519</v>
      </c>
      <c r="G585" s="8" t="n">
        <f aca="false">IF(ISNUMBER(G584),(pit_msft_2027/(pit_msft_2027+pfac_msft_2027)*G584+pfac_msft_2027/(pit_msft_2027+pfac_msft_2027)*IF(AND(ISNUMBER(F584),ISNUMBER(E584)),wb1*F584+wb2*E584,IF(ISNUMBER(F584),F584,G584)))/(pit_msft_2027+pfac_msft_2027),site_msft_2027)</f>
        <v>3.85144347642322</v>
      </c>
      <c r="H585" s="8" t="n">
        <f aca="false">IF(ISNUMBER(H584),(pit_msft_2028/(pit_msft_2028+pfac_msft_2028)*H584+pfac_msft_2028/(pit_msft_2028+pfac_msft_2028)*IF(AND(ISNUMBER(G584),ISNUMBER(F584)),wb1*G584+wb2*F584,IF(ISNUMBER(G584),G584,H584)))/(pit_msft_2028+pfac_msft_2028),site_msft_2028)</f>
        <v>4.20542058770135</v>
      </c>
      <c r="I585" s="8" t="n">
        <f aca="false">IF(ISNUMBER(I584),(pit_msft_2029/(pit_msft_2029+pfac_msft_2029)*I584+pfac_msft_2029/(pit_msft_2029+pfac_msft_2029)*IF(AND(ISNUMBER(H584),ISNUMBER(G584)),wb1*H584+wb2*G584,IF(ISNUMBER(H584),H584,I584)))/(pit_msft_2029+pfac_msft_2029),site_msft_2029)</f>
        <v>4.26588923952249</v>
      </c>
    </row>
    <row r="586" customFormat="false" ht="17.15" hidden="false" customHeight="false" outlineLevel="0" collapsed="false">
      <c r="A586" s="0" t="s">
        <v>1814</v>
      </c>
      <c r="B586" s="0" t="s">
        <v>1199</v>
      </c>
      <c r="E586" s="8" t="n">
        <f aca="false">(1-lag)*E585+lag*D585-inv_k_hi*(E585-D585)</f>
        <v>1.06919985129653</v>
      </c>
      <c r="F586" s="8" t="n">
        <f aca="false">(1-lag)*F585+lag*E585-inv_k_hi*(F585-E585)</f>
        <v>2.81610582150752</v>
      </c>
      <c r="G586" s="8" t="n">
        <f aca="false">(1-lag)*G585+lag*F585-inv_k_hi*(G585-F585)</f>
        <v>3.48977231787285</v>
      </c>
      <c r="H586" s="8" t="n">
        <f aca="false">(1-lag)*H585+lag*G585-inv_k_hi*(H585-G585)</f>
        <v>4.00188374871643</v>
      </c>
      <c r="I586" s="8" t="n">
        <f aca="false">(1-lag)*I585+lag*H585-inv_k_hi*(I585-H585)</f>
        <v>4.23111976472534</v>
      </c>
    </row>
    <row r="587" customFormat="false" ht="17.15" hidden="false" customHeight="false" outlineLevel="0" collapsed="false">
      <c r="A587" s="0" t="s">
        <v>1815</v>
      </c>
      <c r="B587" s="0" t="s">
        <v>1205</v>
      </c>
      <c r="D587" s="8" t="n">
        <f aca="false">site_msft_2024</f>
        <v>0</v>
      </c>
      <c r="E587" s="8" t="n">
        <f aca="false">site_msft_2025</f>
        <v>2.13527</v>
      </c>
      <c r="F587" s="8" t="n">
        <f aca="false">site_msft_2026</f>
        <v>0.770955</v>
      </c>
      <c r="G587" s="8" t="n">
        <f aca="false">site_msft_2027</f>
        <v>1.04</v>
      </c>
      <c r="H587" s="8" t="n">
        <f aca="false">site_msft_2028</f>
        <v>1.67</v>
      </c>
      <c r="I587" s="8" t="n">
        <f aca="false">site_msft_2029</f>
        <v>0.144</v>
      </c>
    </row>
    <row r="588" customFormat="false" ht="17.15" hidden="false" customHeight="false" outlineLevel="0" collapsed="false">
      <c r="A588" s="0" t="s">
        <v>1816</v>
      </c>
      <c r="B588" s="0" t="s">
        <v>1207</v>
      </c>
      <c r="D588" s="8" t="str">
        <f aca="false">IF(ISNUMBER(ai2_googl_2024),ai2_googl_2024,"")</f>
        <v/>
      </c>
      <c r="E588" s="8" t="n">
        <f aca="false">IF(ISNUMBER(ai2_googl_2025),ai2_googl_2025,"")</f>
        <v>77.72995</v>
      </c>
      <c r="F588" s="8" t="n">
        <f aca="false">IF(ISNUMBER(ai2_googl_2026),ai2_googl_2026,"")</f>
        <v>170</v>
      </c>
      <c r="G588" s="8" t="n">
        <f aca="false">IF(ISNUMBER(ai2_googl_2027),ai2_googl_2027,"")</f>
        <v>255.83215</v>
      </c>
      <c r="H588" s="8" t="n">
        <f aca="false">IF(ISNUMBER(ai2_googl_2028),ai2_googl_2028,"")</f>
        <v>288.53335</v>
      </c>
      <c r="I588" s="8" t="n">
        <f aca="false">IF(ISNUMBER(ai2_googl_2029),ai2_googl_2029,"")</f>
        <v>317.386685</v>
      </c>
    </row>
    <row r="589" customFormat="false" ht="17.15" hidden="false" customHeight="false" outlineLevel="0" collapsed="false">
      <c r="A589" s="0" t="s">
        <v>1817</v>
      </c>
      <c r="B589" s="0" t="s">
        <v>1209</v>
      </c>
      <c r="D589" s="8" t="n">
        <f aca="false">IF(ISNUMBER(D588),(pit_googl_2024/(pit_googl_2024+pfac_googl_2024)*D588+pfac_googl_2024/(pit_googl_2024+pfac_googl_2024)*IF(AND(ISNUMBER(""),ISNUMBER("")),wb1*""+wb2*"",IF(ISNUMBER(""),"",D588)))/(pit_googl_2024+pfac_googl_2024),site_googl_2024)</f>
        <v>1.32980834349181</v>
      </c>
      <c r="E589" s="8" t="n">
        <f aca="false">IF(ISNUMBER(E588),(pit_googl_2025/(pit_googl_2025+pfac_googl_2025)*E588+pfac_googl_2025/(pit_googl_2025+pfac_googl_2025)*IF(AND(ISNUMBER(D588),ISNUMBER("")),wb1*D588+wb2*"",IF(ISNUMBER(D588),D588,E588)))/(pit_googl_2025+pfac_googl_2025),site_googl_2025)</f>
        <v>2.15653802290354</v>
      </c>
      <c r="F589" s="8" t="n">
        <f aca="false">IF(ISNUMBER(F588),(pit_googl_2026/(pit_googl_2026+pfac_googl_2026)*F588+pfac_googl_2026/(pit_googl_2026+pfac_googl_2026)*IF(AND(ISNUMBER(E588),ISNUMBER(D588)),wb1*E588+wb2*D588,IF(ISNUMBER(E588),E588,F588)))/(pit_googl_2026+pfac_googl_2026),site_googl_2026)</f>
        <v>3.85777511610307</v>
      </c>
      <c r="G589" s="8" t="n">
        <f aca="false">IF(ISNUMBER(G588),(pit_googl_2027/(pit_googl_2027+pfac_googl_2027)*G588+pfac_googl_2027/(pit_googl_2027+pfac_googl_2027)*IF(AND(ISNUMBER(F588),ISNUMBER(E588)),wb1*F588+wb2*E588,IF(ISNUMBER(F588),F588,G588)))/(pit_googl_2027+pfac_googl_2027),site_googl_2027)</f>
        <v>5.69768565998842</v>
      </c>
      <c r="H589" s="8" t="n">
        <f aca="false">IF(ISNUMBER(H588),(pit_googl_2028/(pit_googl_2028+pfac_googl_2028)*H588+pfac_googl_2028/(pit_googl_2028+pfac_googl_2028)*IF(AND(ISNUMBER(G588),ISNUMBER(F588)),wb1*G588+wb2*F588,IF(ISNUMBER(G588),G588,H588)))/(pit_googl_2028+pfac_googl_2028),site_googl_2028)</f>
        <v>6.77682412398345</v>
      </c>
      <c r="I589" s="8" t="n">
        <f aca="false">IF(ISNUMBER(I588),(pit_googl_2029/(pit_googl_2029+pfac_googl_2029)*I588+pfac_googl_2029/(pit_googl_2029+pfac_googl_2029)*IF(AND(ISNUMBER(H588),ISNUMBER(G588)),wb1*H588+wb2*G588,IF(ISNUMBER(H588),H588,I588)))/(pit_googl_2029+pfac_googl_2029),site_googl_2029)</f>
        <v>7.68929590970477</v>
      </c>
    </row>
    <row r="590" customFormat="false" ht="17.15" hidden="false" customHeight="false" outlineLevel="0" collapsed="false">
      <c r="A590" s="0" t="s">
        <v>1818</v>
      </c>
      <c r="B590" s="0" t="s">
        <v>1211</v>
      </c>
      <c r="E590" s="8" t="n">
        <f aca="false">(1-lag)*E589+lag*D589-inv_k_hi*(E589-D589)</f>
        <v>1.6811684572418</v>
      </c>
      <c r="F590" s="8" t="n">
        <f aca="false">(1-lag)*F589+lag*E589-inv_k_hi*(F589-E589)</f>
        <v>2.87956378751334</v>
      </c>
      <c r="G590" s="8" t="n">
        <f aca="false">(1-lag)*G589+lag*F589-inv_k_hi*(G589-F589)</f>
        <v>4.63973709725435</v>
      </c>
      <c r="H590" s="8" t="n">
        <f aca="false">(1-lag)*H589+lag*G589-inv_k_hi*(H589-G589)</f>
        <v>6.15631950718631</v>
      </c>
      <c r="I590" s="8" t="n">
        <f aca="false">(1-lag)*I589+lag*H589-inv_k_hi*(I589-H589)</f>
        <v>7.16462463291501</v>
      </c>
    </row>
    <row r="591" customFormat="false" ht="17.15" hidden="false" customHeight="false" outlineLevel="0" collapsed="false">
      <c r="A591" s="0" t="s">
        <v>1819</v>
      </c>
      <c r="B591" s="0" t="s">
        <v>1213</v>
      </c>
      <c r="D591" s="8" t="n">
        <f aca="false">gcap_googl_2024*ai_sh</f>
        <v>44.65475</v>
      </c>
      <c r="E591" s="8" t="n">
        <f aca="false">gcap_googl_2025*ai_sh</f>
        <v>77.72995</v>
      </c>
      <c r="F591" s="8" t="n">
        <f aca="false">gcap_googl_2026*ai_sh</f>
        <v>170</v>
      </c>
      <c r="G591" s="8" t="n">
        <f aca="false">gcap_googl_2027*ai_sh</f>
        <v>246.810369</v>
      </c>
      <c r="H591" s="8" t="n">
        <f aca="false">gcap_googl_2028*ai_sh</f>
        <v>269.78900975</v>
      </c>
      <c r="I591" s="8" t="n">
        <f aca="false">gcap_googl_2029*ai_sh</f>
        <v>248.6767412</v>
      </c>
    </row>
    <row r="592" customFormat="false" ht="17.15" hidden="false" customHeight="false" outlineLevel="0" collapsed="false">
      <c r="A592" s="0" t="s">
        <v>1820</v>
      </c>
      <c r="B592" s="0" t="s">
        <v>1209</v>
      </c>
      <c r="D592" s="8" t="n">
        <f aca="false">IF(ISNUMBER(D591),(pit_googl_2024/(pit_googl_2024+pfac_googl_2024)*D591+pfac_googl_2024/(pit_googl_2024+pfac_googl_2024)*IF(AND(ISNUMBER(""),ISNUMBER("")),wb1*""+wb2*"",IF(ISNUMBER(""),"",D591)))/(pit_googl_2024+pfac_googl_2024),site_googl_2024)</f>
        <v>1.22628577156267</v>
      </c>
      <c r="E592" s="8" t="n">
        <f aca="false">IF(ISNUMBER(E591),(pit_googl_2025/(pit_googl_2025+pfac_googl_2025)*E591+pfac_googl_2025/(pit_googl_2025+pfac_googl_2025)*IF(AND(ISNUMBER(D591),ISNUMBER("")),wb1*D591+wb2*"",IF(ISNUMBER(D591),D591,E591)))/(pit_googl_2025+pfac_googl_2025),site_googl_2025)</f>
        <v>1.90684085060084</v>
      </c>
      <c r="F592" s="8" t="n">
        <f aca="false">IF(ISNUMBER(F591),(pit_googl_2026/(pit_googl_2026+pfac_googl_2026)*F591+pfac_googl_2026/(pit_googl_2026+pfac_googl_2026)*IF(AND(ISNUMBER(E591),ISNUMBER(D591)),wb1*E591+wb2*D591,IF(ISNUMBER(E591),E591,F591)))/(pit_googl_2026+pfac_googl_2026),site_googl_2026)</f>
        <v>3.74469414665129</v>
      </c>
      <c r="G592" s="8" t="n">
        <f aca="false">IF(ISNUMBER(G591),(pit_googl_2027/(pit_googl_2027+pfac_googl_2027)*G591+pfac_googl_2027/(pit_googl_2027+pfac_googl_2027)*IF(AND(ISNUMBER(F591),ISNUMBER(E591)),wb1*F591+wb2*E591,IF(ISNUMBER(F591),F591,G591)))/(pit_googl_2027+pfac_googl_2027),site_googl_2027)</f>
        <v>5.52479710641755</v>
      </c>
      <c r="H592" s="8" t="n">
        <f aca="false">IF(ISNUMBER(H591),(pit_googl_2028/(pit_googl_2028+pfac_googl_2028)*H591+pfac_googl_2028/(pit_googl_2028+pfac_googl_2028)*IF(AND(ISNUMBER(G591),ISNUMBER(F591)),wb1*G591+wb2*F591,IF(ISNUMBER(G591),G591,H591)))/(pit_googl_2028+pfac_googl_2028),site_googl_2028)</f>
        <v>6.39420249958533</v>
      </c>
      <c r="I592" s="8" t="n">
        <f aca="false">IF(ISNUMBER(I591),(pit_googl_2029/(pit_googl_2029+pfac_googl_2029)*I591+pfac_googl_2029/(pit_googl_2029+pfac_googl_2029)*IF(AND(ISNUMBER(H591),ISNUMBER(G591)),wb1*H591+wb2*G591,IF(ISNUMBER(H591),H591,I591)))/(pit_googl_2029+pfac_googl_2029),site_googl_2029)</f>
        <v>6.30314197516365</v>
      </c>
    </row>
    <row r="593" customFormat="false" ht="17.15" hidden="false" customHeight="false" outlineLevel="0" collapsed="false">
      <c r="A593" s="0" t="s">
        <v>1821</v>
      </c>
      <c r="B593" s="0" t="s">
        <v>1211</v>
      </c>
      <c r="E593" s="8" t="n">
        <f aca="false">(1-lag)*E592+lag*D592-inv_k_hi*(E592-D592)</f>
        <v>1.51552168015389</v>
      </c>
      <c r="F593" s="8" t="n">
        <f aca="false">(1-lag)*F592+lag*E592-inv_k_hi*(F592-E592)</f>
        <v>2.68792850142228</v>
      </c>
      <c r="G593" s="8" t="n">
        <f aca="false">(1-lag)*G592+lag*F592-inv_k_hi*(G592-F592)</f>
        <v>4.50123790455195</v>
      </c>
      <c r="H593" s="8" t="n">
        <f aca="false">(1-lag)*H592+lag*G592-inv_k_hi*(H592-G592)</f>
        <v>5.89429439851386</v>
      </c>
      <c r="I593" s="8" t="n">
        <f aca="false">(1-lag)*I592+lag*H592-inv_k_hi*(I592-H592)</f>
        <v>6.35550177670612</v>
      </c>
    </row>
    <row r="594" customFormat="false" ht="17.15" hidden="false" customHeight="false" outlineLevel="0" collapsed="false">
      <c r="A594" s="0" t="s">
        <v>1822</v>
      </c>
      <c r="B594" s="0" t="s">
        <v>1217</v>
      </c>
      <c r="D594" s="8" t="n">
        <f aca="false">site_googl_2024</f>
        <v>1.32980834349181</v>
      </c>
      <c r="E594" s="8" t="n">
        <f aca="false">site_googl_2025</f>
        <v>2.40961330082622</v>
      </c>
      <c r="F594" s="8" t="n">
        <f aca="false">site_googl_2026</f>
        <v>1.29267912772586</v>
      </c>
      <c r="G594" s="8" t="n">
        <f aca="false">site_googl_2027</f>
        <v>1.626</v>
      </c>
      <c r="H594" s="8" t="n">
        <f aca="false">site_googl_2028</f>
        <v>0.833333333333334</v>
      </c>
      <c r="I594" s="8" t="n">
        <f aca="false">site_googl_2029</f>
        <v>0</v>
      </c>
    </row>
    <row r="595" customFormat="false" ht="17.15" hidden="false" customHeight="false" outlineLevel="0" collapsed="false">
      <c r="A595" s="0" t="s">
        <v>1823</v>
      </c>
      <c r="B595" s="0" t="s">
        <v>1219</v>
      </c>
      <c r="D595" s="8" t="str">
        <f aca="false">IF(ISNUMBER(ai2_amzn_2024),ai2_amzn_2024,"")</f>
        <v/>
      </c>
      <c r="E595" s="8" t="n">
        <f aca="false">IF(ISNUMBER(ai2_amzn_2025),ai2_amzn_2025,"")</f>
        <v>87.2576</v>
      </c>
      <c r="F595" s="8" t="n">
        <f aca="false">IF(ISNUMBER(ai2_amzn_2026),ai2_amzn_2026,"")</f>
        <v>149.6</v>
      </c>
      <c r="G595" s="8" t="n">
        <f aca="false">IF(ISNUMBER(ai2_amzn_2027),ai2_amzn_2027,"")</f>
        <v>187.04284</v>
      </c>
      <c r="H595" s="8" t="n">
        <f aca="false">IF(ISNUMBER(ai2_amzn_2028),ai2_amzn_2028,"")</f>
        <v>199.19036</v>
      </c>
      <c r="I595" s="8" t="n">
        <f aca="false">IF(ISNUMBER(ai2_amzn_2029),ai2_amzn_2029,"")</f>
        <v>219.109396</v>
      </c>
    </row>
    <row r="596" customFormat="false" ht="17.15" hidden="false" customHeight="false" outlineLevel="0" collapsed="false">
      <c r="A596" s="0" t="s">
        <v>1824</v>
      </c>
      <c r="B596" s="0" t="s">
        <v>1221</v>
      </c>
      <c r="D596" s="8" t="n">
        <f aca="false">IF(ISNUMBER(D595),(pit_amzn_2024/(pit_amzn_2024+pfac_amzn_2024)*D595+pfac_amzn_2024/(pit_amzn_2024+pfac_amzn_2024)*IF(AND(ISNUMBER(""),ISNUMBER("")),wb1*""+wb2*"",IF(ISNUMBER(""),"",D595)))/(pit_amzn_2024+pfac_amzn_2024),site_amzn_2024)</f>
        <v>0</v>
      </c>
      <c r="E596" s="8" t="n">
        <f aca="false">IF(ISNUMBER(E595),(pit_amzn_2025/(pit_amzn_2025+pfac_amzn_2025)*E595+pfac_amzn_2025/(pit_amzn_2025+pfac_amzn_2025)*IF(AND(ISNUMBER(D595),ISNUMBER("")),wb1*D595+wb2*"",IF(ISNUMBER(D595),D595,E595)))/(pit_amzn_2025+pfac_amzn_2025),site_amzn_2025)</f>
        <v>2.6200438487091</v>
      </c>
      <c r="F596" s="8" t="n">
        <f aca="false">IF(ISNUMBER(F595),(pit_amzn_2026/(pit_amzn_2026+pfac_amzn_2026)*F595+pfac_amzn_2026/(pit_amzn_2026+pfac_amzn_2026)*IF(AND(ISNUMBER(E595),ISNUMBER(D595)),wb1*E595+wb2*D595,IF(ISNUMBER(E595),E595,F595)))/(pit_amzn_2026+pfac_amzn_2026),site_amzn_2026)</f>
        <v>3.72830685774426</v>
      </c>
      <c r="G596" s="8" t="n">
        <f aca="false">IF(ISNUMBER(G595),(pit_amzn_2027/(pit_amzn_2027+pfac_amzn_2027)*G595+pfac_amzn_2027/(pit_amzn_2027+pfac_amzn_2027)*IF(AND(ISNUMBER(F595),ISNUMBER(E595)),wb1*F595+wb2*E595,IF(ISNUMBER(F595),F595,G595)))/(pit_amzn_2027+pfac_amzn_2027),site_amzn_2027)</f>
        <v>4.54496548273742</v>
      </c>
      <c r="H596" s="8" t="n">
        <f aca="false">IF(ISNUMBER(H595),(pit_amzn_2028/(pit_amzn_2028+pfac_amzn_2028)*H595+pfac_amzn_2028/(pit_amzn_2028+pfac_amzn_2028)*IF(AND(ISNUMBER(G595),ISNUMBER(F595)),wb1*G595+wb2*F595,IF(ISNUMBER(G595),G595,H595)))/(pit_amzn_2028+pfac_amzn_2028),site_amzn_2028)</f>
        <v>4.99623819927339</v>
      </c>
      <c r="I596" s="8" t="n">
        <f aca="false">IF(ISNUMBER(I595),(pit_amzn_2029/(pit_amzn_2029+pfac_amzn_2029)*I595+pfac_amzn_2029/(pit_amzn_2029+pfac_amzn_2029)*IF(AND(ISNUMBER(H595),ISNUMBER(G595)),wb1*H595+wb2*G595,IF(ISNUMBER(H595),H595,I595)))/(pit_amzn_2029+pfac_amzn_2029),site_amzn_2029)</f>
        <v>5.54650880690247</v>
      </c>
    </row>
    <row r="597" customFormat="false" ht="17.15" hidden="false" customHeight="false" outlineLevel="0" collapsed="false">
      <c r="A597" s="0" t="s">
        <v>1825</v>
      </c>
      <c r="B597" s="0" t="s">
        <v>1223</v>
      </c>
      <c r="E597" s="8" t="n">
        <f aca="false">(1-lag)*E596+lag*D596-inv_k_hi*(E596-D596)</f>
        <v>1.11351863570137</v>
      </c>
      <c r="F597" s="8" t="n">
        <f aca="false">(1-lag)*F596+lag*E596-inv_k_hi*(F596-E596)</f>
        <v>3.09105562754904</v>
      </c>
      <c r="G597" s="8" t="n">
        <f aca="false">(1-lag)*G596+lag*F596-inv_k_hi*(G596-F596)</f>
        <v>4.07538677336636</v>
      </c>
      <c r="H597" s="8" t="n">
        <f aca="false">(1-lag)*H596+lag*G596-inv_k_hi*(H596-G596)</f>
        <v>4.73675638726521</v>
      </c>
      <c r="I597" s="8" t="n">
        <f aca="false">(1-lag)*I596+lag*H596-inv_k_hi*(I596-H596)</f>
        <v>5.23010320751575</v>
      </c>
    </row>
    <row r="598" customFormat="false" ht="17.15" hidden="false" customHeight="false" outlineLevel="0" collapsed="false">
      <c r="A598" s="0" t="s">
        <v>1826</v>
      </c>
      <c r="B598" s="0" t="s">
        <v>1225</v>
      </c>
      <c r="D598" s="8" t="n">
        <f aca="false">gcap_amzn_2024*ai_amzn</f>
        <v>52.80744</v>
      </c>
      <c r="E598" s="8" t="n">
        <f aca="false">gcap_amzn_2025*ai_amzn</f>
        <v>87.2576</v>
      </c>
      <c r="F598" s="8" t="n">
        <f aca="false">gcap_amzn_2026*ai_amzn</f>
        <v>149.6</v>
      </c>
      <c r="G598" s="8" t="n">
        <f aca="false">gcap_amzn_2027*ai_amzn</f>
        <v>172.09445848</v>
      </c>
      <c r="H598" s="8" t="n">
        <f aca="false">gcap_amzn_2028*ai_amzn</f>
        <v>181.54066624</v>
      </c>
      <c r="I598" s="8" t="n">
        <f aca="false">gcap_amzn_2029*ai_amzn</f>
        <v>189.3160052</v>
      </c>
    </row>
    <row r="599" customFormat="false" ht="17.15" hidden="false" customHeight="false" outlineLevel="0" collapsed="false">
      <c r="A599" s="0" t="s">
        <v>1827</v>
      </c>
      <c r="B599" s="0" t="s">
        <v>1221</v>
      </c>
      <c r="D599" s="8" t="n">
        <f aca="false">IF(ISNUMBER(D598),(pit_amzn_2024/(pit_amzn_2024+pfac_amzn_2024)*D598+pfac_amzn_2024/(pit_amzn_2024+pfac_amzn_2024)*IF(AND(ISNUMBER(""),ISNUMBER("")),wb1*""+wb2*"",IF(ISNUMBER(""),"",D598)))/(pit_amzn_2024+pfac_amzn_2024),site_amzn_2024)</f>
        <v>1.56238534864816</v>
      </c>
      <c r="E599" s="8" t="n">
        <f aca="false">IF(ISNUMBER(E598),(pit_amzn_2025/(pit_amzn_2025+pfac_amzn_2025)*E598+pfac_amzn_2025/(pit_amzn_2025+pfac_amzn_2025)*IF(AND(ISNUMBER(D598),ISNUMBER("")),wb1*D598+wb2*"",IF(ISNUMBER(D598),D598,E598)))/(pit_amzn_2025+pfac_amzn_2025),site_amzn_2025)</f>
        <v>2.32934283296825</v>
      </c>
      <c r="F599" s="8" t="n">
        <f aca="false">IF(ISNUMBER(F598),(pit_amzn_2026/(pit_amzn_2026+pfac_amzn_2026)*F598+pfac_amzn_2026/(pit_amzn_2026+pfac_amzn_2026)*IF(AND(ISNUMBER(E598),ISNUMBER(D598)),wb1*E598+wb2*D598,IF(ISNUMBER(E598),E598,F598)))/(pit_amzn_2026+pfac_amzn_2026),site_amzn_2026)</f>
        <v>3.60214892289839</v>
      </c>
      <c r="G599" s="8" t="n">
        <f aca="false">IF(ISNUMBER(G598),(pit_amzn_2027/(pit_amzn_2027+pfac_amzn_2027)*G598+pfac_amzn_2027/(pit_amzn_2027+pfac_amzn_2027)*IF(AND(ISNUMBER(F598),ISNUMBER(E598)),wb1*F598+wb2*E598,IF(ISNUMBER(F598),F598,G598)))/(pit_amzn_2027+pfac_amzn_2027),site_amzn_2027)</f>
        <v>4.24515505663672</v>
      </c>
      <c r="H599" s="8" t="n">
        <f aca="false">IF(ISNUMBER(H598),(pit_amzn_2028/(pit_amzn_2028+pfac_amzn_2028)*H598+pfac_amzn_2028/(pit_amzn_2028+pfac_amzn_2028)*IF(AND(ISNUMBER(G598),ISNUMBER(F598)),wb1*G598+wb2*F598,IF(ISNUMBER(G598),G598,H598)))/(pit_amzn_2028+pfac_amzn_2028),site_amzn_2028)</f>
        <v>4.60085769114469</v>
      </c>
      <c r="I599" s="8" t="n">
        <f aca="false">IF(ISNUMBER(I598),(pit_amzn_2029/(pit_amzn_2029+pfac_amzn_2029)*I598+pfac_amzn_2029/(pit_amzn_2029+pfac_amzn_2029)*IF(AND(ISNUMBER(H598),ISNUMBER(G598)),wb1*H598+wb2*G598,IF(ISNUMBER(H598),H598,I598)))/(pit_amzn_2029+pfac_amzn_2029),site_amzn_2029)</f>
        <v>4.85567033897056</v>
      </c>
    </row>
    <row r="600" customFormat="false" ht="17.15" hidden="false" customHeight="false" outlineLevel="0" collapsed="false">
      <c r="A600" s="0" t="s">
        <v>1828</v>
      </c>
      <c r="B600" s="0" t="s">
        <v>1223</v>
      </c>
      <c r="E600" s="8" t="n">
        <f aca="false">(1-lag)*E599+lag*D599-inv_k_hi*(E599-D599)</f>
        <v>1.8883422794842</v>
      </c>
      <c r="F600" s="8" t="n">
        <f aca="false">(1-lag)*F599+lag*E599-inv_k_hi*(F599-E599)</f>
        <v>2.87028542118856</v>
      </c>
      <c r="G600" s="8" t="n">
        <f aca="false">(1-lag)*G599+lag*F599-inv_k_hi*(G599-F599)</f>
        <v>3.87542652973718</v>
      </c>
      <c r="H600" s="8" t="n">
        <f aca="false">(1-lag)*H599+lag*G599-inv_k_hi*(H599-G599)</f>
        <v>4.39632867630261</v>
      </c>
      <c r="I600" s="8" t="n">
        <f aca="false">(1-lag)*I599+lag*H599-inv_k_hi*(I599-H599)</f>
        <v>4.70915306647069</v>
      </c>
    </row>
    <row r="601" customFormat="false" ht="17.15" hidden="false" customHeight="false" outlineLevel="0" collapsed="false">
      <c r="A601" s="0" t="s">
        <v>1829</v>
      </c>
      <c r="B601" s="0" t="s">
        <v>1229</v>
      </c>
      <c r="D601" s="8" t="n">
        <f aca="false">site_amzn_2024</f>
        <v>0</v>
      </c>
      <c r="E601" s="8" t="n">
        <f aca="false">site_amzn_2025</f>
        <v>1.38971599402093</v>
      </c>
      <c r="F601" s="8" t="n">
        <f aca="false">site_amzn_2026</f>
        <v>0.527</v>
      </c>
      <c r="G601" s="8" t="n">
        <f aca="false">site_amzn_2027</f>
        <v>0.364</v>
      </c>
      <c r="H601" s="8" t="n">
        <f aca="false">site_amzn_2028</f>
        <v>1.744</v>
      </c>
      <c r="I601" s="8" t="n">
        <f aca="false">site_amzn_2029</f>
        <v>0.0620000000000003</v>
      </c>
    </row>
    <row r="602" customFormat="false" ht="17.15" hidden="false" customHeight="false" outlineLevel="0" collapsed="false">
      <c r="A602" s="0" t="s">
        <v>1830</v>
      </c>
      <c r="B602" s="0" t="s">
        <v>1231</v>
      </c>
      <c r="D602" s="8" t="str">
        <f aca="false">IF(ISNUMBER(ai2_meta_2024),ai2_meta_2024,"")</f>
        <v/>
      </c>
      <c r="E602" s="8" t="str">
        <f aca="false">IF(ISNUMBER(ai2_meta_2025),ai2_meta_2025,"")</f>
        <v/>
      </c>
      <c r="F602" s="8" t="n">
        <f aca="false">IF(ISNUMBER(ai2_meta_2026),ai2_meta_2026,"")</f>
        <v>119</v>
      </c>
      <c r="G602" s="8" t="n">
        <f aca="false">IF(ISNUMBER(ai2_meta_2027),ai2_meta_2027,"")</f>
        <v>130.9</v>
      </c>
      <c r="H602" s="8" t="n">
        <f aca="false">IF(ISNUMBER(ai2_meta_2028),ai2_meta_2028,"")</f>
        <v>143.99</v>
      </c>
      <c r="I602" s="8" t="n">
        <f aca="false">IF(ISNUMBER(ai2_meta_2029),ai2_meta_2029,"")</f>
        <v>158.389</v>
      </c>
    </row>
    <row r="603" customFormat="false" ht="17.15" hidden="false" customHeight="false" outlineLevel="0" collapsed="false">
      <c r="A603" s="0" t="s">
        <v>1831</v>
      </c>
      <c r="B603" s="0" t="s">
        <v>1233</v>
      </c>
      <c r="D603" s="8" t="n">
        <f aca="false">IF(ISNUMBER(D602),(pit_meta_2024/(pit_meta_2024+pfac_meta_2024)*D602+pfac_meta_2024/(pit_meta_2024+pfac_meta_2024)*IF(AND(ISNUMBER(""),ISNUMBER("")),wb1*""+wb2*"",IF(ISNUMBER(""),"",D602)))/(pit_meta_2024+pfac_meta_2024),site_meta_2024)</f>
        <v>0</v>
      </c>
      <c r="E603" s="8" t="n">
        <f aca="false">IF(ISNUMBER(E602),(pit_meta_2025/(pit_meta_2025+pfac_meta_2025)*E602+pfac_meta_2025/(pit_meta_2025+pfac_meta_2025)*IF(AND(ISNUMBER(D602),ISNUMBER("")),wb1*D602+wb2*"",IF(ISNUMBER(D602),D602,E602)))/(pit_meta_2025+pfac_meta_2025),site_meta_2025)</f>
        <v>1.50812</v>
      </c>
      <c r="F603" s="8" t="n">
        <f aca="false">IF(ISNUMBER(F602),(pit_meta_2026/(pit_meta_2026+pfac_meta_2026)*F602+pfac_meta_2026/(pit_meta_2026+pfac_meta_2026)*IF(AND(ISNUMBER(E602),ISNUMBER(D602)),wb1*E602+wb2*D602,IF(ISNUMBER(E602),E602,F602)))/(pit_meta_2026+pfac_meta_2026),site_meta_2026)</f>
        <v>2.62796503624796</v>
      </c>
      <c r="G603" s="8" t="n">
        <f aca="false">IF(ISNUMBER(G602),(pit_meta_2027/(pit_meta_2027+pfac_meta_2027)*G602+pfac_meta_2027/(pit_meta_2027+pfac_meta_2027)*IF(AND(ISNUMBER(F602),ISNUMBER(E602)),wb1*F602+wb2*E602,IF(ISNUMBER(F602),F602,G602)))/(pit_meta_2027+pfac_meta_2027),site_meta_2027)</f>
        <v>2.62451187863681</v>
      </c>
      <c r="H603" s="8" t="n">
        <f aca="false">IF(ISNUMBER(H602),(pit_meta_2028/(pit_meta_2028+pfac_meta_2028)*H602+pfac_meta_2028/(pit_meta_2028+pfac_meta_2028)*IF(AND(ISNUMBER(G602),ISNUMBER(F602)),wb1*G602+wb2*F602,IF(ISNUMBER(G602),G602,H602)))/(pit_meta_2028+pfac_meta_2028),site_meta_2028)</f>
        <v>2.73641202658015</v>
      </c>
      <c r="I603" s="8" t="n">
        <f aca="false">IF(ISNUMBER(I602),(pit_meta_2029/(pit_meta_2029+pfac_meta_2029)*I602+pfac_meta_2029/(pit_meta_2029+pfac_meta_2029)*IF(AND(ISNUMBER(H602),ISNUMBER(G602)),wb1*H602+wb2*G602,IF(ISNUMBER(H602),H602,I602)))/(pit_meta_2029+pfac_meta_2029),site_meta_2029)</f>
        <v>3.01174825182942</v>
      </c>
    </row>
    <row r="604" customFormat="false" ht="17.15" hidden="false" customHeight="false" outlineLevel="0" collapsed="false">
      <c r="A604" s="0" t="s">
        <v>1832</v>
      </c>
      <c r="B604" s="0" t="s">
        <v>1235</v>
      </c>
      <c r="E604" s="8" t="n">
        <f aca="false">(1-lag)*E603+lag*D603-inv_k_hi*(E603-D603)</f>
        <v>0.640951</v>
      </c>
      <c r="F604" s="8" t="n">
        <f aca="false">(1-lag)*F603+lag*E603-inv_k_hi*(F603-E603)</f>
        <v>1.98405414040538</v>
      </c>
      <c r="G604" s="8" t="n">
        <f aca="false">(1-lag)*G603+lag*F603-inv_k_hi*(G603-F603)</f>
        <v>2.62649744426322</v>
      </c>
      <c r="H604" s="8" t="n">
        <f aca="false">(1-lag)*H603+lag*G603-inv_k_hi*(H603-G603)</f>
        <v>2.67206944151273</v>
      </c>
      <c r="I604" s="8" t="n">
        <f aca="false">(1-lag)*I603+lag*H603-inv_k_hi*(I603-H603)</f>
        <v>2.85342992231109</v>
      </c>
    </row>
    <row r="605" customFormat="false" ht="17.15" hidden="false" customHeight="false" outlineLevel="0" collapsed="false">
      <c r="A605" s="0" t="s">
        <v>1833</v>
      </c>
      <c r="B605" s="0" t="s">
        <v>1237</v>
      </c>
      <c r="D605" s="8" t="n">
        <f aca="false">gcap_meta_2024*ai_sh</f>
        <v>33.34125</v>
      </c>
      <c r="E605" s="8" t="n">
        <f aca="false">gcap_meta_2025*ai_sh</f>
        <v>61.38275</v>
      </c>
      <c r="F605" s="8" t="n">
        <f aca="false">gcap_meta_2026*ai_sh</f>
        <v>119</v>
      </c>
      <c r="G605" s="8" t="n">
        <f aca="false">gcap_meta_2027*ai_sh</f>
        <v>174.8499963</v>
      </c>
      <c r="H605" s="8" t="n">
        <f aca="false">gcap_meta_2028*ai_sh</f>
        <v>186.39077355</v>
      </c>
      <c r="I605" s="8" t="n">
        <f aca="false">gcap_meta_2029*ai_sh</f>
        <v>165.57988355</v>
      </c>
    </row>
    <row r="606" customFormat="false" ht="17.15" hidden="false" customHeight="false" outlineLevel="0" collapsed="false">
      <c r="A606" s="0" t="s">
        <v>1834</v>
      </c>
      <c r="B606" s="0" t="s">
        <v>1233</v>
      </c>
      <c r="D606" s="8" t="n">
        <f aca="false">IF(ISNUMBER(D605),(pit_meta_2024/(pit_meta_2024+pfac_meta_2024)*D605+pfac_meta_2024/(pit_meta_2024+pfac_meta_2024)*IF(AND(ISNUMBER(""),ISNUMBER("")),wb1*""+wb2*"",IF(ISNUMBER(""),"",D605)))/(pit_meta_2024+pfac_meta_2024),site_meta_2024)</f>
        <v>0.817493736320288</v>
      </c>
      <c r="E606" s="8" t="n">
        <f aca="false">IF(ISNUMBER(E605),(pit_meta_2025/(pit_meta_2025+pfac_meta_2025)*E605+pfac_meta_2025/(pit_meta_2025+pfac_meta_2025)*IF(AND(ISNUMBER(D605),ISNUMBER("")),wb1*D605+wb2*"",IF(ISNUMBER(D605),D605,E605)))/(pit_meta_2025+pfac_meta_2025),site_meta_2025)</f>
        <v>1.33044623899154</v>
      </c>
      <c r="F606" s="8" t="n">
        <f aca="false">IF(ISNUMBER(F605),(pit_meta_2026/(pit_meta_2026+pfac_meta_2026)*F605+pfac_meta_2026/(pit_meta_2026+pfac_meta_2026)*IF(AND(ISNUMBER(E605),ISNUMBER(D605)),wb1*E605+wb2*D605,IF(ISNUMBER(E605),E605,F605)))/(pit_meta_2026+pfac_meta_2026),site_meta_2026)</f>
        <v>2.20112683043242</v>
      </c>
      <c r="G606" s="8" t="n">
        <f aca="false">IF(ISNUMBER(G605),(pit_meta_2027/(pit_meta_2027+pfac_meta_2027)*G605+pfac_meta_2027/(pit_meta_2027+pfac_meta_2027)*IF(AND(ISNUMBER(F605),ISNUMBER(E605)),wb1*F605+wb2*E605,IF(ISNUMBER(F605),F605,G605)))/(pit_meta_2027+pfac_meta_2027),site_meta_2027)</f>
        <v>3.15406141077207</v>
      </c>
      <c r="H606" s="8" t="n">
        <f aca="false">IF(ISNUMBER(H605),(pit_meta_2028/(pit_meta_2028+pfac_meta_2028)*H605+pfac_meta_2028/(pit_meta_2028+pfac_meta_2028)*IF(AND(ISNUMBER(G605),ISNUMBER(F605)),wb1*G605+wb2*F605,IF(ISNUMBER(G605),G605,H605)))/(pit_meta_2028+pfac_meta_2028),site_meta_2028)</f>
        <v>3.47282806845288</v>
      </c>
      <c r="I606" s="8" t="n">
        <f aca="false">IF(ISNUMBER(I605),(pit_meta_2029/(pit_meta_2029+pfac_meta_2029)*I605+pfac_meta_2029/(pit_meta_2029+pfac_meta_2029)*IF(AND(ISNUMBER(H605),ISNUMBER(G605)),wb1*H605+wb2*G605,IF(ISNUMBER(H605),H605,I605)))/(pit_meta_2029+pfac_meta_2029),site_meta_2029)</f>
        <v>3.32152343881153</v>
      </c>
    </row>
    <row r="607" customFormat="false" ht="17.15" hidden="false" customHeight="false" outlineLevel="0" collapsed="false">
      <c r="A607" s="0" t="s">
        <v>1835</v>
      </c>
      <c r="B607" s="0" t="s">
        <v>1235</v>
      </c>
      <c r="E607" s="8" t="n">
        <f aca="false">(1-lag)*E606+lag*D606-inv_k_hi*(E606-D606)</f>
        <v>1.03549854995557</v>
      </c>
      <c r="F607" s="8" t="n">
        <f aca="false">(1-lag)*F606+lag*E606-inv_k_hi*(F606-E606)</f>
        <v>1.70048549035391</v>
      </c>
      <c r="G607" s="8" t="n">
        <f aca="false">(1-lag)*G606+lag*F606-inv_k_hi*(G606-F606)</f>
        <v>2.60612402707677</v>
      </c>
      <c r="H607" s="8" t="n">
        <f aca="false">(1-lag)*H606+lag*G606-inv_k_hi*(H606-G606)</f>
        <v>3.28953724028641</v>
      </c>
      <c r="I607" s="8" t="n">
        <f aca="false">(1-lag)*I606+lag*H606-inv_k_hi*(I606-H606)</f>
        <v>3.4085236008553</v>
      </c>
    </row>
    <row r="608" customFormat="false" ht="17.15" hidden="false" customHeight="false" outlineLevel="0" collapsed="false">
      <c r="A608" s="0" t="s">
        <v>1836</v>
      </c>
      <c r="B608" s="0" t="s">
        <v>1241</v>
      </c>
      <c r="D608" s="8" t="n">
        <f aca="false">site_meta_2024</f>
        <v>0</v>
      </c>
      <c r="E608" s="8" t="n">
        <f aca="false">site_meta_2025</f>
        <v>1.50812</v>
      </c>
      <c r="F608" s="8" t="n">
        <f aca="false">site_meta_2026</f>
        <v>0.676</v>
      </c>
      <c r="G608" s="8" t="n">
        <f aca="false">site_meta_2027</f>
        <v>0.615</v>
      </c>
      <c r="H608" s="8" t="n">
        <f aca="false">site_meta_2028</f>
        <v>2.99433333333333</v>
      </c>
      <c r="I608" s="8" t="n">
        <f aca="false">site_meta_2029</f>
        <v>0.968</v>
      </c>
    </row>
    <row r="609" customFormat="false" ht="17.15" hidden="false" customHeight="false" outlineLevel="0" collapsed="false">
      <c r="A609" s="0" t="s">
        <v>1837</v>
      </c>
      <c r="B609" s="0" t="s">
        <v>1243</v>
      </c>
      <c r="D609" s="8" t="str">
        <f aca="false">IF(ISNUMBER(ai2_orcl_2024),ai2_orcl_2024,"")</f>
        <v/>
      </c>
      <c r="E609" s="8" t="n">
        <f aca="false">IF(ISNUMBER(ai2_orcl_2025),ai2_orcl_2025,"")</f>
        <v>35.1132166666667</v>
      </c>
      <c r="F609" s="8" t="n">
        <f aca="false">IF(ISNUMBER(ai2_orcl_2026),ai2_orcl_2026,"")</f>
        <v>65.5785625</v>
      </c>
      <c r="G609" s="8" t="n">
        <f aca="false">IF(ISNUMBER(ai2_orcl_2027),ai2_orcl_2027,"")</f>
        <v>82.8207416666667</v>
      </c>
      <c r="H609" s="8" t="n">
        <f aca="false">IF(ISNUMBER(ai2_orcl_2028),ai2_orcl_2028,"")</f>
        <v>77.8278416666667</v>
      </c>
      <c r="I609" s="8" t="n">
        <f aca="false">IF(ISNUMBER(ai2_orcl_2029),ai2_orcl_2029,"")</f>
        <v>76.3278466666667</v>
      </c>
    </row>
    <row r="610" customFormat="false" ht="17.15" hidden="false" customHeight="false" outlineLevel="0" collapsed="false">
      <c r="A610" s="0" t="s">
        <v>1838</v>
      </c>
      <c r="B610" s="0" t="s">
        <v>1245</v>
      </c>
      <c r="D610" s="8" t="n">
        <f aca="false">IF(ISNUMBER(D609),(pit_orcl_2024/(pit_orcl_2024+pfac_orcl_2024)*D609+pfac_orcl_2024/(pit_orcl_2024+pfac_orcl_2024)*IF(AND(ISNUMBER(""),ISNUMBER("")),wb1*""+wb2*"",IF(ISNUMBER(""),"",D609)))/(pit_orcl_2024+pfac_orcl_2024),site_orcl_2024)</f>
        <v>0</v>
      </c>
      <c r="E610" s="8" t="n">
        <f aca="false">IF(ISNUMBER(E609),(pit_orcl_2025/(pit_orcl_2025+pfac_orcl_2025)*E609+pfac_orcl_2025/(pit_orcl_2025+pfac_orcl_2025)*IF(AND(ISNUMBER(D609),ISNUMBER("")),wb1*D609+wb2*"",IF(ISNUMBER(D609),D609,E609)))/(pit_orcl_2025+pfac_orcl_2025),site_orcl_2025)</f>
        <v>0.885776418247533</v>
      </c>
      <c r="F610" s="8" t="n">
        <f aca="false">IF(ISNUMBER(F609),(pit_orcl_2026/(pit_orcl_2026+pfac_orcl_2026)*F609+pfac_orcl_2026/(pit_orcl_2026+pfac_orcl_2026)*IF(AND(ISNUMBER(E609),ISNUMBER(D609)),wb1*E609+wb2*D609,IF(ISNUMBER(E609),E609,F609)))/(pit_orcl_2026+pfac_orcl_2026),site_orcl_2026)</f>
        <v>1.26669929939621</v>
      </c>
      <c r="G610" s="8" t="n">
        <f aca="false">IF(ISNUMBER(G609),(pit_orcl_2027/(pit_orcl_2027+pfac_orcl_2027)*G609+pfac_orcl_2027/(pit_orcl_2027+pfac_orcl_2027)*IF(AND(ISNUMBER(F609),ISNUMBER(E609)),wb1*F609+wb2*E609,IF(ISNUMBER(F609),F609,G609)))/(pit_orcl_2027+pfac_orcl_2027),site_orcl_2027)</f>
        <v>1.53296918960021</v>
      </c>
      <c r="H610" s="8" t="n">
        <f aca="false">IF(ISNUMBER(H609),(pit_orcl_2028/(pit_orcl_2028+pfac_orcl_2028)*H609+pfac_orcl_2028/(pit_orcl_2028+pfac_orcl_2028)*IF(AND(ISNUMBER(G609),ISNUMBER(F609)),wb1*G609+wb2*F609,IF(ISNUMBER(G609),G609,H609)))/(pit_orcl_2028+pfac_orcl_2028),site_orcl_2028)</f>
        <v>1.51024789659781</v>
      </c>
      <c r="I610" s="8" t="n">
        <f aca="false">IF(ISNUMBER(I609),(pit_orcl_2029/(pit_orcl_2029+pfac_orcl_2029)*I609+pfac_orcl_2029/(pit_orcl_2029+pfac_orcl_2029)*IF(AND(ISNUMBER(H609),ISNUMBER(G609)),wb1*H609+wb2*G609,IF(ISNUMBER(H609),H609,I609)))/(pit_orcl_2029+pfac_orcl_2029),site_orcl_2029)</f>
        <v>1.51737350859667</v>
      </c>
    </row>
    <row r="611" customFormat="false" ht="17.15" hidden="false" customHeight="false" outlineLevel="0" collapsed="false">
      <c r="A611" s="0" t="s">
        <v>1839</v>
      </c>
      <c r="B611" s="0" t="s">
        <v>1247</v>
      </c>
      <c r="E611" s="8" t="n">
        <f aca="false">(1-lag)*E610+lag*D610-inv_k_hi*(E610-D610)</f>
        <v>0.376454977755202</v>
      </c>
      <c r="F611" s="8" t="n">
        <f aca="false">(1-lag)*F610+lag*E610-inv_k_hi*(F610-E610)</f>
        <v>1.04766864273572</v>
      </c>
      <c r="G611" s="8" t="n">
        <f aca="false">(1-lag)*G610+lag*F610-inv_k_hi*(G610-F610)</f>
        <v>1.37986400273291</v>
      </c>
      <c r="H611" s="8" t="n">
        <f aca="false">(1-lag)*H610+lag*G610-inv_k_hi*(H610-G610)</f>
        <v>1.52331264007419</v>
      </c>
      <c r="I611" s="8" t="n">
        <f aca="false">(1-lag)*I610+lag*H610-inv_k_hi*(I610-H610)</f>
        <v>1.51327628169732</v>
      </c>
    </row>
    <row r="612" customFormat="false" ht="17.15" hidden="false" customHeight="false" outlineLevel="0" collapsed="false">
      <c r="A612" s="0" t="s">
        <v>1840</v>
      </c>
      <c r="B612" s="0" t="s">
        <v>1249</v>
      </c>
      <c r="D612" s="8" t="str">
        <f aca="false">""</f>
        <v/>
      </c>
      <c r="E612" s="8" t="n">
        <f aca="false">(5/12*cap2_orcl_2025+7/12*gcap_orcl_2026)*ai_sh</f>
        <v>35.1132166666667</v>
      </c>
      <c r="F612" s="8" t="n">
        <f aca="false">(5/12*gcap_orcl_2026+7/12*gcap_orcl_2027)*ai_sh</f>
        <v>65.5785625</v>
      </c>
      <c r="G612" s="8" t="n">
        <f aca="false">(5/12*gcap_orcl_2027+7/12*gcap_orcl_2028)*ai_sh</f>
        <v>75.599189975</v>
      </c>
      <c r="H612" s="8" t="n">
        <f aca="false">(5/12*gcap_orcl_2028+7/12*gcap_orcl_2029)*ai_sh</f>
        <v>49.4435487791667</v>
      </c>
      <c r="I612" s="8" t="n">
        <f aca="false">(5/12*gcap_orcl_2029+7/12*gcap_orcl_2030)*ai_sh</f>
        <v>23.382754125</v>
      </c>
    </row>
    <row r="613" customFormat="false" ht="17.15" hidden="false" customHeight="false" outlineLevel="0" collapsed="false">
      <c r="A613" s="0" t="s">
        <v>1841</v>
      </c>
      <c r="B613" s="0" t="s">
        <v>1245</v>
      </c>
      <c r="D613" s="8" t="n">
        <f aca="false">IF(ISNUMBER(D612),(pit_orcl_2024/(pit_orcl_2024+pfac_orcl_2024)*D612+pfac_orcl_2024/(pit_orcl_2024+pfac_orcl_2024)*IF(AND(ISNUMBER(""),ISNUMBER("")),wb1*""+wb2*"",IF(ISNUMBER(""),"",D612)))/(pit_orcl_2024+pfac_orcl_2024),site_orcl_2024)</f>
        <v>0</v>
      </c>
      <c r="E613" s="8" t="n">
        <f aca="false">IF(ISNUMBER(E612),(pit_orcl_2025/(pit_orcl_2025+pfac_orcl_2025)*E612+pfac_orcl_2025/(pit_orcl_2025+pfac_orcl_2025)*IF(AND(ISNUMBER(D612),ISNUMBER("")),wb1*D612+wb2*"",IF(ISNUMBER(D612),D612,E612)))/(pit_orcl_2025+pfac_orcl_2025),site_orcl_2025)</f>
        <v>0.885776418247532</v>
      </c>
      <c r="F613" s="8" t="n">
        <f aca="false">IF(ISNUMBER(F612),(pit_orcl_2026/(pit_orcl_2026+pfac_orcl_2026)*F612+pfac_orcl_2026/(pit_orcl_2026+pfac_orcl_2026)*IF(AND(ISNUMBER(E612),ISNUMBER(D612)),wb1*E612+wb2*D612,IF(ISNUMBER(E612),E612,F612)))/(pit_orcl_2026+pfac_orcl_2026),site_orcl_2026)</f>
        <v>1.26669929939621</v>
      </c>
      <c r="G613" s="8" t="n">
        <f aca="false">IF(ISNUMBER(G612),(pit_orcl_2027/(pit_orcl_2027+pfac_orcl_2027)*G612+pfac_orcl_2027/(pit_orcl_2027+pfac_orcl_2027)*IF(AND(ISNUMBER(F612),ISNUMBER(E612)),wb1*F612+wb2*E612,IF(ISNUMBER(F612),F612,G612)))/(pit_orcl_2027+pfac_orcl_2027),site_orcl_2027)</f>
        <v>1.42175083118347</v>
      </c>
      <c r="H613" s="8" t="n">
        <f aca="false">IF(ISNUMBER(H612),(pit_orcl_2028/(pit_orcl_2028+pfac_orcl_2028)*H612+pfac_orcl_2028/(pit_orcl_2028+pfac_orcl_2028)*IF(AND(ISNUMBER(G612),ISNUMBER(F612)),wb1*G612+wb2*F612,IF(ISNUMBER(G612),G612,H612)))/(pit_orcl_2028+pfac_orcl_2028),site_orcl_2028)</f>
        <v>1.06923453221276</v>
      </c>
      <c r="I613" s="8" t="n">
        <f aca="false">IF(ISNUMBER(I612),(pit_orcl_2029/(pit_orcl_2029+pfac_orcl_2029)*I612+pfac_orcl_2029/(pit_orcl_2029+pfac_orcl_2029)*IF(AND(ISNUMBER(H612),ISNUMBER(G612)),wb1*H612+wb2*G612,IF(ISNUMBER(H612),H612,I612)))/(pit_orcl_2029+pfac_orcl_2029),site_orcl_2029)</f>
        <v>0.642469547070952</v>
      </c>
    </row>
    <row r="614" customFormat="false" ht="17.15" hidden="false" customHeight="false" outlineLevel="0" collapsed="false">
      <c r="A614" s="0" t="s">
        <v>1842</v>
      </c>
      <c r="B614" s="0" t="s">
        <v>1247</v>
      </c>
      <c r="E614" s="8" t="n">
        <f aca="false">(1-lag)*E613+lag*D613-inv_k_hi*(E613-D613)</f>
        <v>0.376454977755201</v>
      </c>
      <c r="F614" s="8" t="n">
        <f aca="false">(1-lag)*F613+lag*E613-inv_k_hi*(F613-E613)</f>
        <v>1.04766864273572</v>
      </c>
      <c r="G614" s="8" t="n">
        <f aca="false">(1-lag)*G613+lag*F613-inv_k_hi*(G613-F613)</f>
        <v>1.3325962004058</v>
      </c>
      <c r="H614" s="8" t="n">
        <f aca="false">(1-lag)*H613+lag*G613-inv_k_hi*(H613-G613)</f>
        <v>1.27193140412092</v>
      </c>
      <c r="I614" s="8" t="n">
        <f aca="false">(1-lag)*I613+lag*H613-inv_k_hi*(I613-H613)</f>
        <v>0.887859413527489</v>
      </c>
    </row>
    <row r="615" customFormat="false" ht="17.15" hidden="false" customHeight="false" outlineLevel="0" collapsed="false">
      <c r="A615" s="0" t="s">
        <v>1843</v>
      </c>
      <c r="B615" s="0" t="s">
        <v>1253</v>
      </c>
      <c r="D615" s="8" t="n">
        <f aca="false">site_orcl_2024</f>
        <v>0</v>
      </c>
      <c r="E615" s="8" t="n">
        <f aca="false">site_orcl_2025</f>
        <v>0.816405</v>
      </c>
      <c r="F615" s="8" t="n">
        <f aca="false">site_orcl_2026</f>
        <v>1.54613</v>
      </c>
      <c r="G615" s="8" t="n">
        <f aca="false">site_orcl_2027</f>
        <v>0.944166666666667</v>
      </c>
      <c r="H615" s="8" t="n">
        <f aca="false">site_orcl_2028</f>
        <v>4.91166666666667</v>
      </c>
      <c r="I615" s="8" t="n">
        <f aca="false">site_orcl_2029</f>
        <v>0</v>
      </c>
    </row>
    <row r="616" customFormat="false" ht="17.15" hidden="false" customHeight="false" outlineLevel="0" collapsed="false">
      <c r="A616" s="0" t="s">
        <v>1844</v>
      </c>
      <c r="B616" s="0" t="s">
        <v>1255</v>
      </c>
      <c r="D616" s="8" t="str">
        <f aca="false">IF(ISNUMBER(ai2_crwv_2024),ai2_crwv_2024,"")</f>
        <v/>
      </c>
      <c r="E616" s="8" t="str">
        <f aca="false">IF(ISNUMBER(ai2_crwv_2025),ai2_crwv_2025,"")</f>
        <v/>
      </c>
      <c r="F616" s="8" t="n">
        <f aca="false">IF(ISNUMBER(ai2_crwv_2026),ai2_crwv_2026,"")</f>
        <v>31.45</v>
      </c>
      <c r="G616" s="8" t="n">
        <f aca="false">IF(ISNUMBER(ai2_crwv_2027),ai2_crwv_2027,"")</f>
        <v>39.5046</v>
      </c>
      <c r="H616" s="8" t="n">
        <f aca="false">IF(ISNUMBER(ai2_crwv_2028),ai2_crwv_2028,"")</f>
        <v>42.60965</v>
      </c>
      <c r="I616" s="8" t="n">
        <f aca="false">IF(ISNUMBER(ai2_crwv_2029),ai2_crwv_2029,"")</f>
        <v>46.870615</v>
      </c>
    </row>
    <row r="617" customFormat="false" ht="17.15" hidden="false" customHeight="false" outlineLevel="0" collapsed="false">
      <c r="A617" s="0" t="s">
        <v>1845</v>
      </c>
      <c r="B617" s="0" t="s">
        <v>1257</v>
      </c>
      <c r="D617" s="8" t="n">
        <f aca="false">IF(ISNUMBER(D616),(pit_crwv_2024/(pit_crwv_2024+pfac_crwv_2024)*D616+pfac_crwv_2024/(pit_crwv_2024+pfac_crwv_2024)*IF(AND(ISNUMBER(""),ISNUMBER("")),wb1*""+wb2*"",IF(ISNUMBER(""),"",D616)))/(pit_crwv_2024+pfac_crwv_2024),site_crwv_2024)</f>
        <v>0.29</v>
      </c>
      <c r="E617" s="8" t="n">
        <f aca="false">IF(ISNUMBER(E616),(pit_crwv_2025/(pit_crwv_2025+pfac_crwv_2025)*E616+pfac_crwv_2025/(pit_crwv_2025+pfac_crwv_2025)*IF(AND(ISNUMBER(D616),ISNUMBER("")),wb1*D616+wb2*"",IF(ISNUMBER(D616),D616,E616)))/(pit_crwv_2025+pfac_crwv_2025),site_crwv_2025)</f>
        <v>0.49</v>
      </c>
      <c r="F617" s="8" t="n">
        <f aca="false">IF(ISNUMBER(F616),(pit_crwv_2026/(pit_crwv_2026+pfac_crwv_2026)*F616+pfac_crwv_2026/(pit_crwv_2026+pfac_crwv_2026)*IF(AND(ISNUMBER(E616),ISNUMBER(D616)),wb1*E616+wb2*D616,IF(ISNUMBER(E616),E616,F616)))/(pit_crwv_2026+pfac_crwv_2026),site_crwv_2026)</f>
        <v>0.6824489639016</v>
      </c>
      <c r="G617" s="8" t="n">
        <f aca="false">IF(ISNUMBER(G616),(pit_crwv_2027/(pit_crwv_2027+pfac_crwv_2027)*G616+pfac_crwv_2027/(pit_crwv_2027+pfac_crwv_2027)*IF(AND(ISNUMBER(F616),ISNUMBER(E616)),wb1*F616+wb2*E616,IF(ISNUMBER(F616),F616,G616)))/(pit_crwv_2027+pfac_crwv_2027),site_crwv_2027)</f>
        <v>0.735222622408663</v>
      </c>
      <c r="H617" s="8" t="n">
        <f aca="false">IF(ISNUMBER(H616),(pit_crwv_2028/(pit_crwv_2028+pfac_crwv_2028)*H616+pfac_crwv_2028/(pit_crwv_2028+pfac_crwv_2028)*IF(AND(ISNUMBER(G616),ISNUMBER(F616)),wb1*G616+wb2*F616,IF(ISNUMBER(G616),G616,H616)))/(pit_crwv_2028+pfac_crwv_2028),site_crwv_2028)</f>
        <v>0.758042293208188</v>
      </c>
      <c r="I617" s="8" t="n">
        <f aca="false">IF(ISNUMBER(I616),(pit_crwv_2029/(pit_crwv_2029+pfac_crwv_2029)*I616+pfac_crwv_2029/(pit_crwv_2029+pfac_crwv_2029)*IF(AND(ISNUMBER(H616),ISNUMBER(G616)),wb1*H616+wb2*G616,IF(ISNUMBER(H616),H616,I616)))/(pit_crwv_2029+pfac_crwv_2029),site_crwv_2029)</f>
        <v>0.842675104355277</v>
      </c>
    </row>
    <row r="618" customFormat="false" ht="17.15" hidden="false" customHeight="false" outlineLevel="0" collapsed="false">
      <c r="A618" s="0" t="s">
        <v>1846</v>
      </c>
      <c r="B618" s="0" t="s">
        <v>1259</v>
      </c>
      <c r="E618" s="8" t="n">
        <f aca="false">(1-lag)*E617+lag*D617-inv_k_hi*(E617-D617)</f>
        <v>0.375</v>
      </c>
      <c r="F618" s="8" t="n">
        <f aca="false">(1-lag)*F617+lag*E617-inv_k_hi*(F617-E617)</f>
        <v>0.57179080965818</v>
      </c>
      <c r="G618" s="8" t="n">
        <f aca="false">(1-lag)*G617+lag*F617-inv_k_hi*(G617-F617)</f>
        <v>0.704877768767102</v>
      </c>
      <c r="H618" s="8" t="n">
        <f aca="false">(1-lag)*H617+lag*G617-inv_k_hi*(H617-G617)</f>
        <v>0.744920982498461</v>
      </c>
      <c r="I618" s="8" t="n">
        <f aca="false">(1-lag)*I617+lag*H617-inv_k_hi*(I617-H617)</f>
        <v>0.794011237945701</v>
      </c>
    </row>
    <row r="619" customFormat="false" ht="17.15" hidden="false" customHeight="false" outlineLevel="0" collapsed="false">
      <c r="A619" s="0" t="s">
        <v>1847</v>
      </c>
      <c r="B619" s="0" t="s">
        <v>1261</v>
      </c>
      <c r="D619" s="8" t="str">
        <f aca="false">""</f>
        <v/>
      </c>
      <c r="E619" s="8" t="str">
        <f aca="false">""</f>
        <v/>
      </c>
      <c r="F619" s="8" t="n">
        <f aca="false">gcap_crwv_2026*ai_sh</f>
        <v>28.0313</v>
      </c>
      <c r="G619" s="8" t="n">
        <f aca="false">gcap_crwv_2027*ai_sh</f>
        <v>33.45858485</v>
      </c>
      <c r="H619" s="8" t="n">
        <f aca="false">gcap_crwv_2028*ai_sh</f>
        <v>27.6353649</v>
      </c>
      <c r="I619" s="8" t="n">
        <f aca="false">gcap_crwv_2029*ai_sh</f>
        <v>27.7951071</v>
      </c>
    </row>
    <row r="620" customFormat="false" ht="17.15" hidden="false" customHeight="false" outlineLevel="0" collapsed="false">
      <c r="A620" s="0" t="s">
        <v>1848</v>
      </c>
      <c r="B620" s="0" t="s">
        <v>1257</v>
      </c>
      <c r="D620" s="8" t="n">
        <f aca="false">IF(ISNUMBER(D619),(pit_crwv_2024/(pit_crwv_2024+pfac_crwv_2024)*D619+pfac_crwv_2024/(pit_crwv_2024+pfac_crwv_2024)*IF(AND(ISNUMBER(""),ISNUMBER("")),wb1*""+wb2*"",IF(ISNUMBER(""),"",D619)))/(pit_crwv_2024+pfac_crwv_2024),site_crwv_2024)</f>
        <v>0.29</v>
      </c>
      <c r="E620" s="8" t="n">
        <f aca="false">IF(ISNUMBER(E619),(pit_crwv_2025/(pit_crwv_2025+pfac_crwv_2025)*E619+pfac_crwv_2025/(pit_crwv_2025+pfac_crwv_2025)*IF(AND(ISNUMBER(D619),ISNUMBER("")),wb1*D619+wb2*"",IF(ISNUMBER(D619),D619,E619)))/(pit_crwv_2025+pfac_crwv_2025),site_crwv_2025)</f>
        <v>0.49</v>
      </c>
      <c r="F620" s="8" t="n">
        <f aca="false">IF(ISNUMBER(F619),(pit_crwv_2026/(pit_crwv_2026+pfac_crwv_2026)*F619+pfac_crwv_2026/(pit_crwv_2026+pfac_crwv_2026)*IF(AND(ISNUMBER(E619),ISNUMBER(D619)),wb1*E619+wb2*D619,IF(ISNUMBER(E619),E619,F619)))/(pit_crwv_2026+pfac_crwv_2026),site_crwv_2026)</f>
        <v>0.608264917068837</v>
      </c>
      <c r="G620" s="8" t="n">
        <f aca="false">IF(ISNUMBER(G619),(pit_crwv_2027/(pit_crwv_2027+pfac_crwv_2027)*G619+pfac_crwv_2027/(pit_crwv_2027+pfac_crwv_2027)*IF(AND(ISNUMBER(F619),ISNUMBER(E619)),wb1*F619+wb2*E619,IF(ISNUMBER(F619),F619,G619)))/(pit_crwv_2027+pfac_crwv_2027),site_crwv_2027)</f>
        <v>0.629490424531811</v>
      </c>
      <c r="H620" s="8" t="n">
        <f aca="false">IF(ISNUMBER(H619),(pit_crwv_2028/(pit_crwv_2028+pfac_crwv_2028)*H619+pfac_crwv_2028/(pit_crwv_2028+pfac_crwv_2028)*IF(AND(ISNUMBER(G619),ISNUMBER(F619)),wb1*G619+wb2*F619,IF(ISNUMBER(G619),G619,H619)))/(pit_crwv_2028+pfac_crwv_2028),site_crwv_2028)</f>
        <v>0.525250960902376</v>
      </c>
      <c r="I620" s="8" t="n">
        <f aca="false">IF(ISNUMBER(I619),(pit_crwv_2029/(pit_crwv_2029+pfac_crwv_2029)*I619+pfac_crwv_2029/(pit_crwv_2029+pfac_crwv_2029)*IF(AND(ISNUMBER(H619),ISNUMBER(G619)),wb1*H619+wb2*G619,IF(ISNUMBER(H619),H619,I619)))/(pit_crwv_2029+pfac_crwv_2029),site_crwv_2029)</f>
        <v>0.526654910671929</v>
      </c>
    </row>
    <row r="621" customFormat="false" ht="17.15" hidden="false" customHeight="false" outlineLevel="0" collapsed="false">
      <c r="A621" s="0" t="s">
        <v>1849</v>
      </c>
      <c r="B621" s="0" t="s">
        <v>1259</v>
      </c>
      <c r="E621" s="8" t="n">
        <f aca="false">(1-lag)*E620+lag*D620-inv_k_hi*(E620-D620)</f>
        <v>0.375</v>
      </c>
      <c r="F621" s="8" t="n">
        <f aca="false">(1-lag)*F620+lag*E620-inv_k_hi*(F620-E620)</f>
        <v>0.540262589754256</v>
      </c>
      <c r="G621" s="8" t="n">
        <f aca="false">(1-lag)*G620+lag*F620-inv_k_hi*(G620-F620)</f>
        <v>0.617285757740601</v>
      </c>
      <c r="H621" s="8" t="n">
        <f aca="false">(1-lag)*H620+lag*G620-inv_k_hi*(H620-G620)</f>
        <v>0.585188652489301</v>
      </c>
      <c r="I621" s="8" t="n">
        <f aca="false">(1-lag)*I620+lag*H620-inv_k_hi*(I620-H620)</f>
        <v>0.525847639554436</v>
      </c>
    </row>
    <row r="622" customFormat="false" ht="17.15" hidden="false" customHeight="false" outlineLevel="0" collapsed="false">
      <c r="A622" s="0" t="s">
        <v>1850</v>
      </c>
      <c r="B622" s="0" t="s">
        <v>1265</v>
      </c>
      <c r="D622" s="8" t="n">
        <f aca="false">site_crwv_2024</f>
        <v>0.29</v>
      </c>
      <c r="E622" s="8" t="n">
        <f aca="false">site_crwv_2025</f>
        <v>0.49</v>
      </c>
      <c r="F622" s="8" t="n">
        <f aca="false">site_crwv_2026</f>
        <v>1</v>
      </c>
      <c r="G622" s="8" t="n">
        <f aca="false">site_crwv_2027</f>
        <v>1.5375</v>
      </c>
      <c r="H622" s="8" t="n">
        <f aca="false">site_crwv_2028</f>
        <v>1.5375</v>
      </c>
      <c r="I622" s="8" t="n">
        <f aca="false">site_crwv_2029</f>
        <v>1.5375</v>
      </c>
    </row>
    <row r="623" customFormat="false" ht="17.15" hidden="false" customHeight="false" outlineLevel="0" collapsed="false">
      <c r="A623" s="0" t="s">
        <v>1851</v>
      </c>
      <c r="B623" s="0" t="s">
        <v>1267</v>
      </c>
      <c r="D623" s="8" t="str">
        <f aca="false">IF(ISNUMBER(ai2_nbis_2024),ai2_nbis_2024,"")</f>
        <v/>
      </c>
      <c r="E623" s="8" t="n">
        <f aca="false">IF(ISNUMBER(ai2_nbis_2025),ai2_nbis_2025,"")</f>
        <v>3.4561</v>
      </c>
      <c r="F623" s="8" t="n">
        <f aca="false">IF(ISNUMBER(ai2_nbis_2026),ai2_nbis_2026,"")</f>
        <v>19.125</v>
      </c>
      <c r="G623" s="8" t="n">
        <f aca="false">IF(ISNUMBER(ai2_nbis_2027),ai2_nbis_2027,"")</f>
        <v>23.15655</v>
      </c>
      <c r="H623" s="8" t="n">
        <f aca="false">IF(ISNUMBER(ai2_nbis_2028),ai2_nbis_2028,"")</f>
        <v>32.6315</v>
      </c>
      <c r="I623" s="8" t="n">
        <f aca="false">IF(ISNUMBER(ai2_nbis_2029),ai2_nbis_2029,"")</f>
        <v>35.89465</v>
      </c>
    </row>
    <row r="624" customFormat="false" ht="17.15" hidden="false" customHeight="false" outlineLevel="0" collapsed="false">
      <c r="A624" s="0" t="s">
        <v>1852</v>
      </c>
      <c r="B624" s="0" t="s">
        <v>1269</v>
      </c>
      <c r="D624" s="8" t="n">
        <f aca="false">IF(ISNUMBER(D623),(pit_nbis_2024/(pit_nbis_2024+pfac_nbis_2024)*D623+pfac_nbis_2024/(pit_nbis_2024+pfac_nbis_2024)*IF(AND(ISNUMBER(""),ISNUMBER("")),wb1*""+wb2*"",IF(ISNUMBER(""),"",D623)))/(pit_nbis_2024+pfac_nbis_2024),site_nbis_2024)</f>
        <v>0</v>
      </c>
      <c r="E624" s="8" t="n">
        <f aca="false">IF(ISNUMBER(E623),(pit_nbis_2025/(pit_nbis_2025+pfac_nbis_2025)*E623+pfac_nbis_2025/(pit_nbis_2025+pfac_nbis_2025)*IF(AND(ISNUMBER(D623),ISNUMBER("")),wb1*D623+wb2*"",IF(ISNUMBER(D623),D623,E623)))/(pit_nbis_2025+pfac_nbis_2025),site_nbis_2025)</f>
        <v>0.0893531926088847</v>
      </c>
      <c r="F624" s="8" t="n">
        <f aca="false">IF(ISNUMBER(F623),(pit_nbis_2026/(pit_nbis_2026+pfac_nbis_2026)*F623+pfac_nbis_2026/(pit_nbis_2026+pfac_nbis_2026)*IF(AND(ISNUMBER(E623),ISNUMBER(D623)),wb1*E623+wb2*D623,IF(ISNUMBER(E623),E623,F623)))/(pit_nbis_2026+pfac_nbis_2026),site_nbis_2026)</f>
        <v>0.321523721659491</v>
      </c>
      <c r="G624" s="8" t="n">
        <f aca="false">IF(ISNUMBER(G623),(pit_nbis_2027/(pit_nbis_2027+pfac_nbis_2027)*G623+pfac_nbis_2027/(pit_nbis_2027+pfac_nbis_2027)*IF(AND(ISNUMBER(F623),ISNUMBER(E623)),wb1*F623+wb2*E623,IF(ISNUMBER(F623),F623,G623)))/(pit_nbis_2027+pfac_nbis_2027),site_nbis_2027)</f>
        <v>0.396179366526544</v>
      </c>
      <c r="H624" s="8" t="n">
        <f aca="false">IF(ISNUMBER(H623),(pit_nbis_2028/(pit_nbis_2028+pfac_nbis_2028)*H623+pfac_nbis_2028/(pit_nbis_2028+pfac_nbis_2028)*IF(AND(ISNUMBER(G623),ISNUMBER(F623)),wb1*G623+wb2*F623,IF(ISNUMBER(G623),G623,H623)))/(pit_nbis_2028+pfac_nbis_2028),site_nbis_2028)</f>
        <v>0.554335434150153</v>
      </c>
      <c r="I624" s="8" t="n">
        <f aca="false">IF(ISNUMBER(I623),(pit_nbis_2029/(pit_nbis_2029+pfac_nbis_2029)*I623+pfac_nbis_2029/(pit_nbis_2029+pfac_nbis_2029)*IF(AND(ISNUMBER(H623),ISNUMBER(G623)),wb1*H623+wb2*G623,IF(ISNUMBER(H623),H623,I623)))/(pit_nbis_2029+pfac_nbis_2029),site_nbis_2029)</f>
        <v>0.629924193744744</v>
      </c>
    </row>
    <row r="625" customFormat="false" ht="17.15" hidden="false" customHeight="false" outlineLevel="0" collapsed="false">
      <c r="A625" s="0" t="s">
        <v>1853</v>
      </c>
      <c r="B625" s="0" t="s">
        <v>1271</v>
      </c>
      <c r="E625" s="8" t="n">
        <f aca="false">(1-lag)*E624+lag*D624-inv_k_hi*(E624-D624)</f>
        <v>0.037975106858776</v>
      </c>
      <c r="F625" s="8" t="n">
        <f aca="false">(1-lag)*F624+lag*E624-inv_k_hi*(F624-E624)</f>
        <v>0.188025667455392</v>
      </c>
      <c r="G625" s="8" t="n">
        <f aca="false">(1-lag)*G624+lag*F624-inv_k_hi*(G624-F624)</f>
        <v>0.353252370727989</v>
      </c>
      <c r="H625" s="8" t="n">
        <f aca="false">(1-lag)*H624+lag*G624-inv_k_hi*(H624-G624)</f>
        <v>0.463395695266578</v>
      </c>
      <c r="I625" s="8" t="n">
        <f aca="false">(1-lag)*I624+lag*H624-inv_k_hi*(I624-H624)</f>
        <v>0.586460656977854</v>
      </c>
    </row>
    <row r="626" customFormat="false" ht="17.15" hidden="false" customHeight="false" outlineLevel="0" collapsed="false">
      <c r="A626" s="0" t="s">
        <v>1854</v>
      </c>
      <c r="B626" s="0" t="s">
        <v>1273</v>
      </c>
      <c r="D626" s="8" t="str">
        <f aca="false">""</f>
        <v/>
      </c>
      <c r="E626" s="8" t="str">
        <f aca="false">""</f>
        <v/>
      </c>
      <c r="F626" s="8" t="n">
        <f aca="false">gcap_nbis_2026*ai_sh</f>
        <v>22.1392615</v>
      </c>
      <c r="G626" s="8" t="n">
        <f aca="false">gcap_nbis_2027*ai_sh</f>
        <v>23.45782145</v>
      </c>
      <c r="H626" s="8" t="n">
        <f aca="false">gcap_nbis_2028*ai_sh</f>
        <v>24.7763814</v>
      </c>
      <c r="I626" s="8" t="n">
        <f aca="false">gcap_nbis_2029*ai_sh</f>
        <v>24.7763814</v>
      </c>
    </row>
    <row r="627" customFormat="false" ht="17.15" hidden="false" customHeight="false" outlineLevel="0" collapsed="false">
      <c r="A627" s="0" t="s">
        <v>1855</v>
      </c>
      <c r="B627" s="0" t="s">
        <v>1269</v>
      </c>
      <c r="D627" s="8" t="n">
        <f aca="false">IF(ISNUMBER(D626),(pit_nbis_2024/(pit_nbis_2024+pfac_nbis_2024)*D626+pfac_nbis_2024/(pit_nbis_2024+pfac_nbis_2024)*IF(AND(ISNUMBER(""),ISNUMBER("")),wb1*""+wb2*"",IF(ISNUMBER(""),"",D626)))/(pit_nbis_2024+pfac_nbis_2024),site_nbis_2024)</f>
        <v>0</v>
      </c>
      <c r="E627" s="8" t="n">
        <f aca="false">IF(ISNUMBER(E626),(pit_nbis_2025/(pit_nbis_2025+pfac_nbis_2025)*E626+pfac_nbis_2025/(pit_nbis_2025+pfac_nbis_2025)*IF(AND(ISNUMBER(D626),ISNUMBER("")),wb1*D626+wb2*"",IF(ISNUMBER(D626),D626,E626)))/(pit_nbis_2025+pfac_nbis_2025),site_nbis_2025)</f>
        <v>0</v>
      </c>
      <c r="F627" s="8" t="n">
        <f aca="false">IF(ISNUMBER(F626),(pit_nbis_2026/(pit_nbis_2026+pfac_nbis_2026)*F626+pfac_nbis_2026/(pit_nbis_2026+pfac_nbis_2026)*IF(AND(ISNUMBER(E626),ISNUMBER(D626)),wb1*E626+wb2*D626,IF(ISNUMBER(E626),E626,F626)))/(pit_nbis_2026+pfac_nbis_2026),site_nbis_2026)</f>
        <v>0.480410685921195</v>
      </c>
      <c r="G627" s="8" t="n">
        <f aca="false">IF(ISNUMBER(G626),(pit_nbis_2027/(pit_nbis_2027+pfac_nbis_2027)*G626+pfac_nbis_2027/(pit_nbis_2027+pfac_nbis_2027)*IF(AND(ISNUMBER(F626),ISNUMBER(E626)),wb1*F626+wb2*E626,IF(ISNUMBER(F626),F626,G626)))/(pit_nbis_2027+pfac_nbis_2027),site_nbis_2027)</f>
        <v>0.453443245801974</v>
      </c>
      <c r="H627" s="8" t="n">
        <f aca="false">IF(ISNUMBER(H626),(pit_nbis_2028/(pit_nbis_2028+pfac_nbis_2028)*H626+pfac_nbis_2028/(pit_nbis_2028+pfac_nbis_2028)*IF(AND(ISNUMBER(G626),ISNUMBER(F626)),wb1*G626+wb2*F626,IF(ISNUMBER(G626),G626,H626)))/(pit_nbis_2028+pfac_nbis_2028),site_nbis_2028)</f>
        <v>0.450206743161261</v>
      </c>
      <c r="I627" s="8" t="n">
        <f aca="false">IF(ISNUMBER(I626),(pit_nbis_2029/(pit_nbis_2029+pfac_nbis_2029)*I626+pfac_nbis_2029/(pit_nbis_2029+pfac_nbis_2029)*IF(AND(ISNUMBER(H626),ISNUMBER(G626)),wb1*H626+wb2*G626,IF(ISNUMBER(H626),H626,I626)))/(pit_nbis_2029+pfac_nbis_2029),site_nbis_2029)</f>
        <v>0.45593532101388</v>
      </c>
    </row>
    <row r="628" customFormat="false" ht="17.15" hidden="false" customHeight="false" outlineLevel="0" collapsed="false">
      <c r="A628" s="0" t="s">
        <v>1856</v>
      </c>
      <c r="B628" s="0" t="s">
        <v>1271</v>
      </c>
      <c r="E628" s="8" t="n">
        <f aca="false">(1-lag)*E627+lag*D627-inv_k_hi*(E627-D627)</f>
        <v>0</v>
      </c>
      <c r="F628" s="8" t="n">
        <f aca="false">(1-lag)*F627+lag*E627-inv_k_hi*(F627-E627)</f>
        <v>0.204174541516508</v>
      </c>
      <c r="G628" s="8" t="n">
        <f aca="false">(1-lag)*G627+lag*F627-inv_k_hi*(G627-F627)</f>
        <v>0.468949523870526</v>
      </c>
      <c r="H628" s="8" t="n">
        <f aca="false">(1-lag)*H627+lag*G627-inv_k_hi*(H627-G627)</f>
        <v>0.452067732179671</v>
      </c>
      <c r="I628" s="8" t="n">
        <f aca="false">(1-lag)*I627+lag*H627-inv_k_hi*(I627-H627)</f>
        <v>0.452641388748624</v>
      </c>
    </row>
    <row r="629" customFormat="false" ht="17.15" hidden="false" customHeight="false" outlineLevel="0" collapsed="false">
      <c r="A629" s="0" t="s">
        <v>1857</v>
      </c>
      <c r="B629" s="0" t="s">
        <v>1277</v>
      </c>
      <c r="D629" s="8" t="n">
        <f aca="false">site_nbis_2024</f>
        <v>0</v>
      </c>
      <c r="E629" s="8" t="n">
        <f aca="false">site_nbis_2025</f>
        <v>0</v>
      </c>
      <c r="F629" s="8" t="n">
        <f aca="false">site_nbis_2026</f>
        <v>0.73</v>
      </c>
      <c r="G629" s="8" t="n">
        <f aca="false">site_nbis_2027</f>
        <v>0.403</v>
      </c>
      <c r="H629" s="8" t="n">
        <f aca="false">site_nbis_2028</f>
        <v>0</v>
      </c>
      <c r="I629" s="8" t="n">
        <f aca="false">site_nbis_2029</f>
        <v>0</v>
      </c>
    </row>
    <row r="630" customFormat="false" ht="17.15" hidden="false" customHeight="false" outlineLevel="0" collapsed="false">
      <c r="A630" s="0" t="s">
        <v>1858</v>
      </c>
      <c r="B630" s="0" t="s">
        <v>1279</v>
      </c>
      <c r="D630" s="8" t="str">
        <f aca="false">IF(ISNUMBER(gai_xai_2024),gai_xai_2024,"")</f>
        <v/>
      </c>
      <c r="E630" s="8" t="str">
        <f aca="false">IF(ISNUMBER(gai_xai_2025),gai_xai_2025,"")</f>
        <v/>
      </c>
      <c r="F630" s="8" t="n">
        <f aca="false">IF(ISNUMBER(gai_xai_2026),gai_xai_2026,"")</f>
        <v>74.058119</v>
      </c>
      <c r="G630" s="8" t="n">
        <f aca="false">IF(ISNUMBER(gai_xai_2027),gai_xai_2027,"")</f>
        <v>136.252477</v>
      </c>
      <c r="H630" s="8" t="n">
        <f aca="false">IF(ISNUMBER(gai_xai_2028),gai_xai_2028,"")</f>
        <v>144.12072</v>
      </c>
      <c r="I630" s="8" t="n">
        <f aca="false">IF(ISNUMBER(gai_xai_2029),gai_xai_2029,"")</f>
        <v>111.172527</v>
      </c>
    </row>
    <row r="631" customFormat="false" ht="17.15" hidden="false" customHeight="false" outlineLevel="0" collapsed="false">
      <c r="A631" s="0" t="s">
        <v>1859</v>
      </c>
      <c r="B631" s="0" t="s">
        <v>1281</v>
      </c>
      <c r="D631" s="8" t="n">
        <f aca="false">IF(ISNUMBER(D630),(pitN_2024/(pitN_2024+pfacN_2024)*D630+pfacN_2024/(pitN_2024+pfacN_2024)*IF(AND(ISNUMBER(""),ISNUMBER("")),wb1*""+wb2*"",IF(ISNUMBER(""),"",D630)))/(pitN_2024+pfacN_2024),site_xai_2024)</f>
        <v>0</v>
      </c>
      <c r="E631" s="8" t="n">
        <f aca="false">IF(ISNUMBER(E630),(pitN_2025/(pitN_2025+pfacN_2025)*E630+pfacN_2025/(pitN_2025+pfacN_2025)*IF(AND(ISNUMBER(D630),ISNUMBER("")),wb1*D630+wb2*"",IF(ISNUMBER(D630),D630,E630)))/(pitN_2025+pfacN_2025),site_xai_2025)</f>
        <v>0</v>
      </c>
      <c r="F631" s="8" t="n">
        <f aca="false">IF(ISNUMBER(F630),(pitN_2026/(pitN_2026+pfacN_2026)*F630+pfacN_2026/(pitN_2026+pfacN_2026)*IF(AND(ISNUMBER(E630),ISNUMBER(D630)),wb1*E630+wb2*D630,IF(ISNUMBER(E630),E630,F630)))/(pitN_2026+pfacN_2026),site_xai_2026)</f>
        <v>1.60702342066936</v>
      </c>
      <c r="G631" s="8" t="n">
        <f aca="false">IF(ISNUMBER(G630),(pitN_2027/(pitN_2027+pfacN_2027)*G630+pfacN_2027/(pitN_2027+pfacN_2027)*IF(AND(ISNUMBER(F630),ISNUMBER(E630)),wb1*F630+wb2*E630,IF(ISNUMBER(F630),F630,G630)))/(pitN_2027+pfacN_2027),site_xai_2027)</f>
        <v>2.36823509451502</v>
      </c>
      <c r="H631" s="8" t="n">
        <f aca="false">IF(ISNUMBER(H630),(pitN_2028/(pitN_2028+pfacN_2028)*H630+pfacN_2028/(pitN_2028+pfacN_2028)*IF(AND(ISNUMBER(G630),ISNUMBER(F630)),wb1*G630+wb2*F630,IF(ISNUMBER(G630),G630,H630)))/(pitN_2028+pfacN_2028),site_xai_2028)</f>
        <v>2.49948463520021</v>
      </c>
      <c r="I631" s="8" t="n">
        <f aca="false">IF(ISNUMBER(I630),(pitN_2029/(pitN_2029+pfacN_2029)*I630+pfacN_2029/(pitN_2029+pfacN_2029)*IF(AND(ISNUMBER(H630),ISNUMBER(G630)),wb1*H630+wb2*G630,IF(ISNUMBER(H630),H630,I630)))/(pitN_2029+pfacN_2029),site_xai_2029)</f>
        <v>2.18470428873966</v>
      </c>
    </row>
    <row r="632" customFormat="false" ht="17.15" hidden="false" customHeight="false" outlineLevel="0" collapsed="false">
      <c r="A632" s="0" t="s">
        <v>1860</v>
      </c>
      <c r="B632" s="0" t="s">
        <v>1283</v>
      </c>
      <c r="E632" s="8" t="n">
        <f aca="false">IF(ISNUMBER(gai_xai_2024),(1-lag)*E631+lag*D631-inv_k_hi*(E631-D631),E631)</f>
        <v>0</v>
      </c>
      <c r="F632" s="8" t="n">
        <f aca="false">IF(ISNUMBER(gai_xai_2025),(1-lag)*F631+lag*E631-inv_k_hi*(F631-E631),F631)</f>
        <v>1.60702342066936</v>
      </c>
      <c r="G632" s="8" t="n">
        <f aca="false">IF(ISNUMBER(gai_xai_2026),(1-lag)*G631+lag*F631-inv_k_hi*(G631-F631),G631)</f>
        <v>1.93053838205376</v>
      </c>
      <c r="H632" s="8" t="n">
        <f aca="false">IF(ISNUMBER(gai_xai_2027),(1-lag)*H631+lag*G631-inv_k_hi*(H631-G631),H631)</f>
        <v>2.42401614930622</v>
      </c>
      <c r="I632" s="8" t="n">
        <f aca="false">IF(ISNUMBER(gai_xai_2028),(1-lag)*I631+lag*H631-inv_k_hi*(I631-H631),I631)</f>
        <v>2.36570298795447</v>
      </c>
    </row>
    <row r="633" customFormat="false" ht="17.15" hidden="false" customHeight="false" outlineLevel="0" collapsed="false">
      <c r="A633" s="0" t="s">
        <v>1861</v>
      </c>
      <c r="B633" s="0" t="s">
        <v>1285</v>
      </c>
      <c r="D633" s="8" t="n">
        <f aca="false">site_xai_2024</f>
        <v>0</v>
      </c>
      <c r="E633" s="8" t="n">
        <f aca="false">site_xai_2025</f>
        <v>0</v>
      </c>
      <c r="F633" s="8" t="n">
        <f aca="false">site_xai_2026</f>
        <v>1.4302</v>
      </c>
      <c r="G633" s="8" t="n">
        <f aca="false">site_xai_2027</f>
        <v>0.585</v>
      </c>
      <c r="H633" s="8" t="n">
        <f aca="false">site_xai_2028</f>
        <v>0</v>
      </c>
      <c r="I633" s="8" t="n">
        <f aca="false">site_xai_2029</f>
        <v>0</v>
      </c>
    </row>
    <row r="634" customFormat="false" ht="17.15" hidden="false" customHeight="false" outlineLevel="0" collapsed="false">
      <c r="A634" s="0" t="s">
        <v>1862</v>
      </c>
      <c r="B634" s="0" t="s">
        <v>1287</v>
      </c>
      <c r="D634" s="8" t="str">
        <f aca="false">IF(ISNUMBER(gai_oai_2024),gai_oai_2024,"")</f>
        <v/>
      </c>
      <c r="E634" s="8" t="str">
        <f aca="false">IF(ISNUMBER(gai_oai_2025),gai_oai_2025,"")</f>
        <v/>
      </c>
      <c r="F634" s="8" t="n">
        <f aca="false">IF(ISNUMBER(gai_oai_2026),gai_oai_2026,"")</f>
        <v>20</v>
      </c>
      <c r="G634" s="8" t="n">
        <f aca="false">IF(ISNUMBER(gai_oai_2027),gai_oai_2027,"")</f>
        <v>30</v>
      </c>
      <c r="H634" s="8" t="n">
        <f aca="false">IF(ISNUMBER(gai_oai_2028),gai_oai_2028,"")</f>
        <v>45</v>
      </c>
      <c r="I634" s="8" t="n">
        <f aca="false">IF(ISNUMBER(gai_oai_2029),gai_oai_2029,"")</f>
        <v>60</v>
      </c>
    </row>
    <row r="635" customFormat="false" ht="17.15" hidden="false" customHeight="false" outlineLevel="0" collapsed="false">
      <c r="A635" s="0" t="s">
        <v>1863</v>
      </c>
      <c r="B635" s="0" t="s">
        <v>1289</v>
      </c>
      <c r="D635" s="8" t="n">
        <f aca="false">IF(ISNUMBER(D634),(pitN_2024/(pitN_2024+pfacN_2024)*D634+pfacN_2024/(pitN_2024+pfacN_2024)*IF(AND(ISNUMBER(""),ISNUMBER("")),wb1*""+wb2*"",IF(ISNUMBER(""),"",D634)))/(pitN_2024+pfacN_2024),site_oai_2024)</f>
        <v>0</v>
      </c>
      <c r="E635" s="8" t="n">
        <f aca="false">IF(ISNUMBER(E634),(pitN_2025/(pitN_2025+pfacN_2025)*E634+pfacN_2025/(pitN_2025+pfacN_2025)*IF(AND(ISNUMBER(D634),ISNUMBER("")),wb1*D634+wb2*"",IF(ISNUMBER(D634),D634,E634)))/(pitN_2025+pfacN_2025),site_oai_2025)</f>
        <v>0</v>
      </c>
      <c r="F635" s="8" t="n">
        <f aca="false">IF(ISNUMBER(F634),(pitN_2026/(pitN_2026+pfacN_2026)*F634+pfacN_2026/(pitN_2026+pfacN_2026)*IF(AND(ISNUMBER(E634),ISNUMBER(D634)),wb1*E634+wb2*D634,IF(ISNUMBER(E634),E634,F634)))/(pitN_2026+pfacN_2026),site_oai_2026)</f>
        <v>0.433989802163179</v>
      </c>
      <c r="G635" s="8" t="n">
        <f aca="false">IF(ISNUMBER(G634),(pitN_2027/(pitN_2027+pfacN_2027)*G634+pfacN_2027/(pitN_2027+pfacN_2027)*IF(AND(ISNUMBER(F634),ISNUMBER(E634)),wb1*F634+wb2*E634,IF(ISNUMBER(F634),F634,G634)))/(pitN_2027+pfacN_2027),site_oai_2027)</f>
        <v>0.539423294291731</v>
      </c>
      <c r="H635" s="8" t="n">
        <f aca="false">IF(ISNUMBER(H634),(pitN_2028/(pitN_2028+pfacN_2028)*H634+pfacN_2028/(pitN_2028+pfacN_2028)*IF(AND(ISNUMBER(G634),ISNUMBER(F634)),wb1*G634+wb2*F634,IF(ISNUMBER(G634),G634,H634)))/(pitN_2028+pfacN_2028),site_oai_2028)</f>
        <v>0.74640146139489</v>
      </c>
      <c r="I635" s="8" t="n">
        <f aca="false">IF(ISNUMBER(I634),(pitN_2029/(pitN_2029+pfacN_2029)*I634+pfacN_2029/(pitN_2029+pfacN_2029)*IF(AND(ISNUMBER(H634),ISNUMBER(G634)),wb1*H634+wb2*G634,IF(ISNUMBER(H634),H634,I634)))/(pitN_2029+pfacN_2029),site_oai_2029)</f>
        <v>1.01330432937459</v>
      </c>
    </row>
    <row r="636" customFormat="false" ht="17.15" hidden="false" customHeight="false" outlineLevel="0" collapsed="false">
      <c r="A636" s="0" t="s">
        <v>1864</v>
      </c>
      <c r="B636" s="0" t="s">
        <v>1291</v>
      </c>
      <c r="E636" s="8" t="n">
        <f aca="false">IF(ISNUMBER(gai_oai_2024),(1-lag)*E635+lag*D635-inv_k_hi*(E635-D635),E635)</f>
        <v>0</v>
      </c>
      <c r="F636" s="8" t="n">
        <f aca="false">IF(ISNUMBER(gai_oai_2025),(1-lag)*F635+lag*E635-inv_k_hi*(F635-E635),F635)</f>
        <v>0.433989802163179</v>
      </c>
      <c r="G636" s="8" t="n">
        <f aca="false">IF(ISNUMBER(gai_oai_2026),(1-lag)*G635+lag*F635-inv_k_hi*(G635-F635),G635)</f>
        <v>0.478799036317814</v>
      </c>
      <c r="H636" s="8" t="n">
        <f aca="false">IF(ISNUMBER(gai_oai_2027),(1-lag)*H635+lag*G635-inv_k_hi*(H635-G635),H635)</f>
        <v>0.627389015310574</v>
      </c>
      <c r="I636" s="8" t="n">
        <f aca="false">IF(ISNUMBER(gai_oai_2028),(1-lag)*I635+lag*H635-inv_k_hi*(I635-H635),I635)</f>
        <v>0.859835180286263</v>
      </c>
    </row>
    <row r="637" customFormat="false" ht="17.15" hidden="false" customHeight="false" outlineLevel="0" collapsed="false">
      <c r="A637" s="0" t="s">
        <v>1865</v>
      </c>
      <c r="B637" s="0" t="s">
        <v>1293</v>
      </c>
      <c r="D637" s="8" t="n">
        <f aca="false">site_oai_2024</f>
        <v>0</v>
      </c>
      <c r="E637" s="8" t="n">
        <f aca="false">site_oai_2025</f>
        <v>0</v>
      </c>
      <c r="F637" s="8" t="n">
        <f aca="false">site_oai_2026</f>
        <v>0</v>
      </c>
      <c r="G637" s="8" t="n">
        <f aca="false">site_oai_2027</f>
        <v>0.522</v>
      </c>
      <c r="H637" s="8" t="n">
        <f aca="false">site_oai_2028</f>
        <v>1.245</v>
      </c>
      <c r="I637" s="8" t="n">
        <f aca="false">site_oai_2029</f>
        <v>1.149</v>
      </c>
    </row>
    <row r="638" customFormat="false" ht="17.15" hidden="false" customHeight="false" outlineLevel="0" collapsed="false">
      <c r="A638" s="0" t="s">
        <v>1866</v>
      </c>
      <c r="B638" s="0" t="s">
        <v>1295</v>
      </c>
      <c r="D638" s="8" t="str">
        <f aca="false">IF(ISNUMBER(gai_ant_2024),gai_ant_2024,"")</f>
        <v/>
      </c>
      <c r="E638" s="8" t="str">
        <f aca="false">IF(ISNUMBER(gai_ant_2025),gai_ant_2025,"")</f>
        <v/>
      </c>
      <c r="F638" s="8" t="n">
        <f aca="false">IF(ISNUMBER(gai_ant_2026),gai_ant_2026,"")</f>
        <v>16.666667</v>
      </c>
      <c r="G638" s="8" t="n">
        <f aca="false">IF(ISNUMBER(gai_ant_2027),gai_ant_2027,"")</f>
        <v>16.666667</v>
      </c>
      <c r="H638" s="8" t="n">
        <f aca="false">IF(ISNUMBER(gai_ant_2028),gai_ant_2028,"")</f>
        <v>16.666667</v>
      </c>
      <c r="I638" s="8" t="n">
        <f aca="false">IF(ISNUMBER(gai_ant_2029),gai_ant_2029,"")</f>
        <v>0</v>
      </c>
    </row>
    <row r="639" customFormat="false" ht="17.15" hidden="false" customHeight="false" outlineLevel="0" collapsed="false">
      <c r="A639" s="0" t="s">
        <v>1867</v>
      </c>
      <c r="B639" s="0" t="s">
        <v>1297</v>
      </c>
      <c r="D639" s="8" t="n">
        <f aca="false">IF(ISNUMBER(D638),(pitN_2024/(pitN_2024+pfacN_2024)*D638+pfacN_2024/(pitN_2024+pfacN_2024)*IF(AND(ISNUMBER(""),ISNUMBER("")),wb1*""+wb2*"",IF(ISNUMBER(""),"",D638)))/(pitN_2024+pfacN_2024),site_ant_2024)</f>
        <v>0</v>
      </c>
      <c r="E639" s="8" t="n">
        <f aca="false">IF(ISNUMBER(E638),(pitN_2025/(pitN_2025+pfacN_2025)*E638+pfacN_2025/(pitN_2025+pfacN_2025)*IF(AND(ISNUMBER(D638),ISNUMBER("")),wb1*D638+wb2*"",IF(ISNUMBER(D638),D638,E638)))/(pitN_2025+pfacN_2025),site_ant_2025)</f>
        <v>0</v>
      </c>
      <c r="F639" s="8" t="n">
        <f aca="false">IF(ISNUMBER(F638),(pitN_2026/(pitN_2026+pfacN_2026)*F638+pfacN_2026/(pitN_2026+pfacN_2026)*IF(AND(ISNUMBER(E638),ISNUMBER(D638)),wb1*E638+wb2*D638,IF(ISNUMBER(E638),E638,F638)))/(pitN_2026+pfacN_2026),site_ant_2026)</f>
        <v>0.36165817570248</v>
      </c>
      <c r="G639" s="8" t="n">
        <f aca="false">IF(ISNUMBER(G638),(pitN_2027/(pitN_2027+pfacN_2027)*G638+pfacN_2027/(pitN_2027+pfacN_2027)*IF(AND(ISNUMBER(F638),ISNUMBER(E638)),wb1*F638+wb2*E638,IF(ISNUMBER(F638),F638,G638)))/(pitN_2027+pfacN_2027),site_ant_2027)</f>
        <v>0.326730833032632</v>
      </c>
      <c r="H639" s="8" t="n">
        <f aca="false">IF(ISNUMBER(H638),(pitN_2028/(pitN_2028+pfacN_2028)*H638+pfacN_2028/(pitN_2028+pfacN_2028)*IF(AND(ISNUMBER(G638),ISNUMBER(F638)),wb1*G638+wb2*F638,IF(ISNUMBER(G638),G638,H638)))/(pitN_2028+pfacN_2028),site_ant_2028)</f>
        <v>0.308627002270922</v>
      </c>
      <c r="I639" s="8" t="n">
        <f aca="false">IF(ISNUMBER(I638),(pitN_2029/(pitN_2029+pfacN_2029)*I638+pfacN_2029/(pitN_2029+pfacN_2029)*IF(AND(ISNUMBER(H638),ISNUMBER(G638)),wb1*H638+wb2*G638,IF(ISNUMBER(H638),H638,I638)))/(pitN_2029+pfacN_2029),site_ant_2029)</f>
        <v>0.0724095248404747</v>
      </c>
    </row>
    <row r="640" customFormat="false" ht="17.15" hidden="false" customHeight="false" outlineLevel="0" collapsed="false">
      <c r="A640" s="0" t="s">
        <v>1868</v>
      </c>
      <c r="B640" s="0" t="s">
        <v>1299</v>
      </c>
      <c r="E640" s="8" t="n">
        <f aca="false">IF(ISNUMBER(gai_ant_2024),(1-lag)*E639+lag*D639-inv_k_hi*(E639-D639),E639)</f>
        <v>0</v>
      </c>
      <c r="F640" s="8" t="n">
        <f aca="false">IF(ISNUMBER(gai_ant_2025),(1-lag)*F639+lag*E639-inv_k_hi*(F639-E639),F639)</f>
        <v>0.36165817570248</v>
      </c>
      <c r="G640" s="8" t="n">
        <f aca="false">IF(ISNUMBER(gai_ant_2026),(1-lag)*G639+lag*F639-inv_k_hi*(G639-F639),G639)</f>
        <v>0.346814055067794</v>
      </c>
      <c r="H640" s="8" t="n">
        <f aca="false">IF(ISNUMBER(gai_ant_2027),(1-lag)*H639+lag*G639-inv_k_hi*(H639-G639),H639)</f>
        <v>0.319036704958905</v>
      </c>
      <c r="I640" s="8" t="n">
        <f aca="false">IF(ISNUMBER(gai_ant_2028),(1-lag)*I639+lag*H639-inv_k_hi*(I639-H639),I639)</f>
        <v>0.208234574362982</v>
      </c>
    </row>
    <row r="641" customFormat="false" ht="17.15" hidden="false" customHeight="false" outlineLevel="0" collapsed="false">
      <c r="A641" s="0" t="s">
        <v>1869</v>
      </c>
      <c r="B641" s="0" t="s">
        <v>1301</v>
      </c>
      <c r="D641" s="8" t="n">
        <f aca="false">site_ant_2024</f>
        <v>0</v>
      </c>
      <c r="E641" s="8" t="n">
        <f aca="false">site_ant_2025</f>
        <v>0</v>
      </c>
      <c r="F641" s="8" t="n">
        <f aca="false">site_ant_2026</f>
        <v>0</v>
      </c>
      <c r="G641" s="8" t="n">
        <f aca="false">site_ant_2027</f>
        <v>0</v>
      </c>
      <c r="H641" s="8" t="n">
        <f aca="false">site_ant_2028</f>
        <v>0</v>
      </c>
      <c r="I641" s="8" t="n">
        <f aca="false">site_ant_2029</f>
        <v>0</v>
      </c>
    </row>
    <row r="642" customFormat="false" ht="17.15" hidden="false" customHeight="false" outlineLevel="0" collapsed="false">
      <c r="A642" s="0" t="s">
        <v>1870</v>
      </c>
      <c r="B642" s="5" t="s">
        <v>1303</v>
      </c>
      <c r="D642" s="9" t="n">
        <f aca="false">D582+D589+D596+D603+D610+D617+D624</f>
        <v>2.88602836343531</v>
      </c>
      <c r="E642" s="9" t="n">
        <f aca="false">E582+E589+E596+E603+E610+E617+E624</f>
        <v>9.64396540227264</v>
      </c>
      <c r="F642" s="9" t="n">
        <f aca="false">F582+F589+F596+F603+F610+F617+F624</f>
        <v>15.2175288078156</v>
      </c>
      <c r="G642" s="9" t="n">
        <f aca="false">G582+G589+G596+G603+G610+G617+G624</f>
        <v>19.096009969242</v>
      </c>
      <c r="H642" s="9" t="n">
        <f aca="false">H582+H589+H596+H603+H610+H617+H624</f>
        <v>21.3980787384407</v>
      </c>
      <c r="I642" s="9" t="n">
        <f aca="false">I582+I589+I596+I603+I610+I617+I624</f>
        <v>23.901946773905</v>
      </c>
    </row>
    <row r="643" customFormat="false" ht="17.15" hidden="false" customHeight="false" outlineLevel="0" collapsed="false">
      <c r="A643" s="0" t="s">
        <v>1871</v>
      </c>
      <c r="B643" s="5" t="s">
        <v>1305</v>
      </c>
      <c r="D643" s="9" t="n">
        <f aca="false">D583+D590+D597+D604+D611+D618+D625</f>
        <v>0</v>
      </c>
      <c r="E643" s="9" t="n">
        <f aca="false">E583+E590+E597+E604+E611+E618+E625</f>
        <v>5.75815160494117</v>
      </c>
      <c r="F643" s="9" t="n">
        <f aca="false">F583+F590+F597+F604+F611+F618+F625</f>
        <v>12.0127298496284</v>
      </c>
      <c r="G643" s="9" t="n">
        <f aca="false">G583+G590+G597+G604+G611+G618+G625</f>
        <v>16.8658833014219</v>
      </c>
      <c r="H643" s="9" t="n">
        <f aca="false">H583+H590+H597+H604+H611+H618+H625</f>
        <v>20.0743891961515</v>
      </c>
      <c r="I643" s="9" t="n">
        <f aca="false">I583+I590+I597+I604+I611+I618+I625</f>
        <v>22.4622226535131</v>
      </c>
    </row>
    <row r="644" customFormat="false" ht="17.15" hidden="false" customHeight="false" outlineLevel="0" collapsed="false">
      <c r="A644" s="0" t="s">
        <v>1872</v>
      </c>
      <c r="B644" s="5" t="s">
        <v>1307</v>
      </c>
      <c r="D644" s="9" t="n">
        <f aca="false">D585+D592+D599+D606+D613+D620+D627</f>
        <v>3.89616485653111</v>
      </c>
      <c r="E644" s="9" t="n">
        <f aca="false">E585+E592+E599+E606+E613+E620+E627</f>
        <v>9.4581706968</v>
      </c>
      <c r="F644" s="9" t="n">
        <f aca="false">F585+F592+F599+F606+F613+F620+F627</f>
        <v>15.1257949595735</v>
      </c>
      <c r="G644" s="9" t="n">
        <f aca="false">G585+G592+G599+G606+G613+G620+G627</f>
        <v>19.2801415517668</v>
      </c>
      <c r="H644" s="9" t="n">
        <f aca="false">H585+H592+H599+H606+H613+H620+H627</f>
        <v>20.7180010831606</v>
      </c>
      <c r="I644" s="9" t="n">
        <f aca="false">I585+I592+I599+I606+I613+I620+I627</f>
        <v>20.371284771225</v>
      </c>
    </row>
    <row r="645" customFormat="false" ht="17.15" hidden="false" customHeight="false" outlineLevel="0" collapsed="false">
      <c r="A645" s="0" t="s">
        <v>1873</v>
      </c>
      <c r="B645" s="5" t="s">
        <v>1309</v>
      </c>
      <c r="D645" s="9" t="n">
        <f aca="false">D586+D593+D600+D607+D614+D621+D628</f>
        <v>0</v>
      </c>
      <c r="E645" s="9" t="n">
        <f aca="false">E586+E593+E600+E607+E614+E621+E628</f>
        <v>6.26001733864539</v>
      </c>
      <c r="F645" s="9" t="n">
        <f aca="false">F586+F593+F600+F607+F614+F621+F628</f>
        <v>11.8669110084788</v>
      </c>
      <c r="G645" s="9" t="n">
        <f aca="false">G586+G593+G600+G607+G614+G621+G628</f>
        <v>16.8913922612557</v>
      </c>
      <c r="H645" s="9" t="n">
        <f aca="false">H586+H593+H600+H607+H614+H621+H628</f>
        <v>19.8912318526092</v>
      </c>
      <c r="I645" s="9" t="n">
        <f aca="false">I586+I593+I600+I607+I614+I621+I628</f>
        <v>20.570646650588</v>
      </c>
    </row>
    <row r="646" customFormat="false" ht="15" hidden="false" customHeight="false" outlineLevel="0" collapsed="false">
      <c r="A646" s="0" t="s">
        <v>1874</v>
      </c>
      <c r="B646" s="5" t="s">
        <v>1311</v>
      </c>
      <c r="D646" s="9" t="n">
        <f aca="false">D587+D594+D601+D608+D615+D622+D629</f>
        <v>1.61980834349181</v>
      </c>
      <c r="E646" s="9" t="n">
        <f aca="false">E587+E594+E601+E608+E615+E622+E629</f>
        <v>8.74912429484715</v>
      </c>
      <c r="F646" s="9" t="n">
        <f aca="false">F587+F594+F601+F608+F615+F622+F629</f>
        <v>6.54276412772586</v>
      </c>
      <c r="G646" s="9" t="n">
        <f aca="false">G587+G594+G601+G608+G615+G622+G629</f>
        <v>6.52966666666667</v>
      </c>
      <c r="H646" s="9" t="n">
        <f aca="false">H587+H594+H601+H608+H615+H622+H629</f>
        <v>13.6908333333333</v>
      </c>
      <c r="I646" s="9" t="n">
        <f aca="false">I587+I594+I601+I608+I615+I622+I629</f>
        <v>2.7115</v>
      </c>
    </row>
    <row r="647" customFormat="false" ht="15" hidden="false" customHeight="false" outlineLevel="0" collapsed="false">
      <c r="A647" s="0" t="s">
        <v>1875</v>
      </c>
      <c r="B647" s="5" t="s">
        <v>1313</v>
      </c>
      <c r="D647" s="9" t="n">
        <f aca="false">D631+D635+D639</f>
        <v>0</v>
      </c>
      <c r="E647" s="9" t="n">
        <f aca="false">E631+E635+E639</f>
        <v>0</v>
      </c>
      <c r="F647" s="9" t="n">
        <f aca="false">F631+F635+F639</f>
        <v>2.40267139853502</v>
      </c>
      <c r="G647" s="9" t="n">
        <f aca="false">G631+G635+G639</f>
        <v>3.23438922183938</v>
      </c>
      <c r="H647" s="9" t="n">
        <f aca="false">H631+H635+H639</f>
        <v>3.55451309886602</v>
      </c>
      <c r="I647" s="9" t="n">
        <f aca="false">I631+I635+I639</f>
        <v>3.27041814295472</v>
      </c>
    </row>
    <row r="648" customFormat="false" ht="15" hidden="false" customHeight="false" outlineLevel="0" collapsed="false">
      <c r="A648" s="0" t="s">
        <v>1876</v>
      </c>
      <c r="B648" s="5" t="s">
        <v>1315</v>
      </c>
      <c r="D648" s="9" t="n">
        <f aca="false">D632+D636+D640</f>
        <v>0</v>
      </c>
      <c r="E648" s="9" t="n">
        <f aca="false">E632+E636+E640</f>
        <v>0</v>
      </c>
      <c r="F648" s="9" t="n">
        <f aca="false">F632+F636+F640</f>
        <v>2.40267139853502</v>
      </c>
      <c r="G648" s="9" t="n">
        <f aca="false">G632+G636+G640</f>
        <v>2.75615147343937</v>
      </c>
      <c r="H648" s="9" t="n">
        <f aca="false">H632+H636+H640</f>
        <v>3.3704418695757</v>
      </c>
      <c r="I648" s="9" t="n">
        <f aca="false">I632+I636+I640</f>
        <v>3.43377274260372</v>
      </c>
    </row>
    <row r="649" customFormat="false" ht="15" hidden="false" customHeight="false" outlineLevel="0" collapsed="false">
      <c r="A649" s="0" t="s">
        <v>1877</v>
      </c>
      <c r="B649" s="5" t="s">
        <v>1317</v>
      </c>
      <c r="D649" s="9" t="n">
        <f aca="false">D633+D637+D641</f>
        <v>0</v>
      </c>
      <c r="E649" s="9" t="n">
        <f aca="false">E633+E637+E641</f>
        <v>0</v>
      </c>
      <c r="F649" s="9" t="n">
        <f aca="false">F633+F637+F641</f>
        <v>1.4302</v>
      </c>
      <c r="G649" s="9" t="n">
        <f aca="false">G633+G637+G641</f>
        <v>1.107</v>
      </c>
      <c r="H649" s="9" t="n">
        <f aca="false">H633+H637+H641</f>
        <v>1.245</v>
      </c>
      <c r="I649" s="9" t="n">
        <f aca="false">I633+I637+I641</f>
        <v>1.149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6"/>
    <col collapsed="false" customWidth="true" hidden="false" outlineLevel="0" max="3" min="3" style="0" width="62"/>
    <col collapsed="false" customWidth="true" hidden="false" outlineLevel="0" max="7" min="4" style="0" width="11"/>
    <col collapsed="false" customWidth="true" hidden="false" outlineLevel="0" max="8" min="8" style="0" width="16"/>
  </cols>
  <sheetData>
    <row r="1" customFormat="false" ht="17.15" hidden="false" customHeight="false" outlineLevel="0" collapsed="false">
      <c r="A1" s="1" t="s">
        <v>1878</v>
      </c>
    </row>
    <row r="3" customFormat="false" ht="15" hidden="false" customHeight="false" outlineLevel="0" collapsed="false">
      <c r="A3" s="2" t="s">
        <v>1879</v>
      </c>
      <c r="B3" s="2" t="s">
        <v>2</v>
      </c>
      <c r="C3" s="2" t="s">
        <v>1880</v>
      </c>
      <c r="D3" s="7" t="s">
        <v>1190</v>
      </c>
      <c r="E3" s="7" t="s">
        <v>1191</v>
      </c>
      <c r="F3" s="7" t="s">
        <v>1192</v>
      </c>
      <c r="G3" s="7" t="s">
        <v>1193</v>
      </c>
      <c r="H3" s="2" t="s">
        <v>7</v>
      </c>
    </row>
    <row r="4" customFormat="false" ht="15" hidden="false" customHeight="false" outlineLevel="0" collapsed="false">
      <c r="A4" s="6" t="s">
        <v>1881</v>
      </c>
    </row>
    <row r="5" customFormat="false" ht="17.15" hidden="false" customHeight="false" outlineLevel="0" collapsed="false">
      <c r="A5" s="0" t="s">
        <v>1882</v>
      </c>
      <c r="B5" s="0" t="s">
        <v>1883</v>
      </c>
      <c r="C5" s="0" t="s">
        <v>1884</v>
      </c>
      <c r="D5" s="10" t="n">
        <f aca="false">s_b8_2026</f>
        <v>20.2987830299704</v>
      </c>
      <c r="E5" s="10" t="n">
        <f aca="false">s_b8_2027</f>
        <v>35.4163618900433</v>
      </c>
      <c r="F5" s="10" t="n">
        <f aca="false">s_b8_2028</f>
        <v>51.3944730419963</v>
      </c>
      <c r="G5" s="10" t="n">
        <f aca="false">s_b8_2029</f>
        <v>60.922318424743</v>
      </c>
      <c r="H5" s="4" t="s">
        <v>13</v>
      </c>
    </row>
    <row r="6" customFormat="false" ht="17.15" hidden="false" customHeight="false" outlineLevel="0" collapsed="false">
      <c r="A6" s="0" t="s">
        <v>1885</v>
      </c>
      <c r="B6" s="0" t="s">
        <v>1886</v>
      </c>
      <c r="C6" s="0" t="s">
        <v>1887</v>
      </c>
      <c r="D6" s="10" t="n">
        <f aca="false">wt_new_2026</f>
        <v>12.5153714610592</v>
      </c>
      <c r="E6" s="10" t="n">
        <f aca="false">wt_new_2027</f>
        <v>23.9622539260371</v>
      </c>
      <c r="F6" s="10" t="n">
        <f aca="false">wt_new_2028</f>
        <v>26.9232927993498</v>
      </c>
      <c r="G6" s="10" t="n">
        <f aca="false">wt_new_2029</f>
        <v>27.6634681049025</v>
      </c>
      <c r="H6" s="4" t="s">
        <v>13</v>
      </c>
    </row>
    <row r="7" customFormat="false" ht="17.15" hidden="false" customHeight="false" outlineLevel="0" collapsed="false">
      <c r="A7" s="0" t="s">
        <v>1888</v>
      </c>
      <c r="B7" s="5" t="s">
        <v>1889</v>
      </c>
      <c r="C7" s="0" t="s">
        <v>1890</v>
      </c>
      <c r="D7" s="10" t="n">
        <f aca="false">D5-D6</f>
        <v>7.7834115689112</v>
      </c>
      <c r="E7" s="10" t="n">
        <f aca="false">E5-E6</f>
        <v>11.4541079640062</v>
      </c>
      <c r="F7" s="10" t="n">
        <f aca="false">F5-F6</f>
        <v>24.4711802426465</v>
      </c>
      <c r="G7" s="10" t="n">
        <f aca="false">G5-G6</f>
        <v>33.2588503198405</v>
      </c>
    </row>
    <row r="9" customFormat="false" ht="17.15" hidden="false" customHeight="false" outlineLevel="0" collapsed="false">
      <c r="A9" s="6" t="s">
        <v>1891</v>
      </c>
    </row>
    <row r="10" customFormat="false" ht="17.15" hidden="false" customHeight="false" outlineLevel="0" collapsed="false">
      <c r="A10" s="0" t="s">
        <v>1892</v>
      </c>
      <c r="B10" s="5" t="s">
        <v>1893</v>
      </c>
      <c r="C10" s="0" t="s">
        <v>1894</v>
      </c>
      <c r="D10" s="11" t="n">
        <f aca="false">Calc!$F$66-Calc!$F$70</f>
        <v>8.67476468008979</v>
      </c>
      <c r="E10" s="11" t="n">
        <f aca="false">0</f>
        <v>0</v>
      </c>
      <c r="F10" s="11" t="n">
        <f aca="false">0</f>
        <v>0</v>
      </c>
      <c r="G10" s="11" t="n">
        <f aca="false">0</f>
        <v>0</v>
      </c>
      <c r="H10" s="4" t="s">
        <v>13</v>
      </c>
    </row>
    <row r="11" customFormat="false" ht="17.15" hidden="false" customHeight="false" outlineLevel="0" collapsed="false">
      <c r="A11" s="0" t="s">
        <v>1895</v>
      </c>
      <c r="B11" s="5" t="s">
        <v>1896</v>
      </c>
      <c r="C11" s="5" t="s">
        <v>1897</v>
      </c>
      <c r="D11" s="11" t="n">
        <f aca="false">Calc!$F$67-Calc!$F$66</f>
        <v>-2.64744261763293</v>
      </c>
      <c r="E11" s="11" t="n">
        <f aca="false">Calc!$G$67-Calc!$G$66</f>
        <v>-1.84227855167753</v>
      </c>
      <c r="F11" s="11" t="n">
        <f aca="false">Calc!$H$67-Calc!$H$66</f>
        <v>-1.09348266536938</v>
      </c>
      <c r="G11" s="11" t="n">
        <f aca="false">Calc!$I$67-Calc!$I$66</f>
        <v>-1.18933731684556</v>
      </c>
      <c r="H11" s="4" t="s">
        <v>1898</v>
      </c>
    </row>
    <row r="12" customFormat="false" ht="17.15" hidden="false" customHeight="false" outlineLevel="0" collapsed="false">
      <c r="A12" s="0" t="s">
        <v>1899</v>
      </c>
      <c r="B12" s="5" t="s">
        <v>1900</v>
      </c>
      <c r="C12" s="0" t="s">
        <v>1901</v>
      </c>
      <c r="D12" s="11" t="n">
        <f aca="false">Calc!$F$69-Calc!$F$67</f>
        <v>-0.136412755426617</v>
      </c>
      <c r="E12" s="11" t="n">
        <f aca="false">Calc!$G$69-Calc!$G$67</f>
        <v>0.0530955029105051</v>
      </c>
      <c r="F12" s="11" t="n">
        <f aca="false">Calc!$H$69-Calc!$H$67</f>
        <v>-0.269578267322764</v>
      </c>
      <c r="G12" s="11" t="n">
        <f aca="false">Calc!$I$69-Calc!$I$67</f>
        <v>-2.17663443766507</v>
      </c>
      <c r="H12" s="4" t="s">
        <v>13</v>
      </c>
    </row>
    <row r="13" customFormat="false" ht="17.15" hidden="false" customHeight="false" outlineLevel="0" collapsed="false">
      <c r="A13" s="0" t="s">
        <v>1902</v>
      </c>
      <c r="B13" s="5" t="s">
        <v>1903</v>
      </c>
      <c r="C13" s="0" t="s">
        <v>1904</v>
      </c>
      <c r="D13" s="11" t="n">
        <f aca="false">Calc!$F$72-Calc!$F$73</f>
        <v>0.97247139853502</v>
      </c>
      <c r="E13" s="11" t="n">
        <f aca="false">Calc!$G$72-Calc!$G$73</f>
        <v>1.73232325576981</v>
      </c>
      <c r="F13" s="11" t="n">
        <f aca="false">Calc!$H$72-Calc!$H$73</f>
        <v>2.15745425727836</v>
      </c>
      <c r="G13" s="11" t="n">
        <f aca="false">Calc!$I$72-Calc!$I$73</f>
        <v>2.25636324701259</v>
      </c>
      <c r="H13" s="4" t="s">
        <v>13</v>
      </c>
    </row>
    <row r="14" customFormat="false" ht="17.15" hidden="false" customHeight="false" outlineLevel="0" collapsed="false">
      <c r="A14" s="0" t="s">
        <v>1905</v>
      </c>
      <c r="B14" s="5" t="s">
        <v>1906</v>
      </c>
      <c r="C14" s="5" t="s">
        <v>1907</v>
      </c>
      <c r="D14" s="11" t="n">
        <f aca="false">oth_ye_2025*(wt_ye_2026/wt_ye_2025-1)</f>
        <v>0.493953532819704</v>
      </c>
      <c r="E14" s="11" t="n">
        <f aca="false">(oth_ye_2025+SUM($D$14:D14))*(wt_ye_2027/wt_ye_2026-1)</f>
        <v>0.945736210700304</v>
      </c>
      <c r="F14" s="11" t="n">
        <f aca="false">(oth_ye_2025+SUM($D$14:E14))*(wt_ye_2028/wt_ye_2027-1)</f>
        <v>1.06260174815879</v>
      </c>
      <c r="G14" s="11" t="n">
        <f aca="false">(oth_ye_2025+SUM($D$14:F14))*(wt_ye_2029/wt_ye_2028-1)</f>
        <v>1.09181480094123</v>
      </c>
      <c r="H14" s="4" t="s">
        <v>1908</v>
      </c>
    </row>
    <row r="15" customFormat="false" ht="17.15" hidden="false" customHeight="false" outlineLevel="0" collapsed="false">
      <c r="A15" s="0" t="s">
        <v>1909</v>
      </c>
      <c r="B15" s="5" t="s">
        <v>1910</v>
      </c>
      <c r="C15" s="0" t="s">
        <v>1911</v>
      </c>
      <c r="D15" s="11" t="n">
        <f aca="false">0</f>
        <v>0</v>
      </c>
      <c r="E15" s="11" t="n">
        <f aca="false">0</f>
        <v>0</v>
      </c>
      <c r="F15" s="11" t="n">
        <f aca="false">0</f>
        <v>0</v>
      </c>
      <c r="G15" s="11" t="n">
        <f aca="false">0</f>
        <v>0</v>
      </c>
      <c r="H15" s="4" t="s">
        <v>1912</v>
      </c>
    </row>
    <row r="16" customFormat="false" ht="17.15" hidden="false" customHeight="false" outlineLevel="0" collapsed="false">
      <c r="A16" s="0" t="s">
        <v>1913</v>
      </c>
      <c r="B16" s="5" t="s">
        <v>1914</v>
      </c>
      <c r="C16" s="0" t="s">
        <v>1915</v>
      </c>
      <c r="D16" s="11" t="n">
        <f aca="false">cn_add_2026</f>
        <v>3.33333333333333</v>
      </c>
      <c r="E16" s="11" t="n">
        <f aca="false">cn_add_2027</f>
        <v>1.9895044578405</v>
      </c>
      <c r="F16" s="11" t="n">
        <f aca="false">cn_add_2028</f>
        <v>2.28121406090902</v>
      </c>
      <c r="G16" s="11" t="n">
        <f aca="false">cn_add_2029</f>
        <v>2.61252133099745</v>
      </c>
      <c r="H16" s="4" t="s">
        <v>13</v>
      </c>
    </row>
    <row r="17" customFormat="false" ht="17.15" hidden="false" customHeight="false" outlineLevel="0" collapsed="false">
      <c r="A17" s="0" t="s">
        <v>1916</v>
      </c>
      <c r="B17" s="0" t="s">
        <v>1917</v>
      </c>
      <c r="C17" s="0" t="s">
        <v>1918</v>
      </c>
      <c r="D17" s="10" t="n">
        <f aca="false">D6+D10+D11+D12+D13+D14</f>
        <v>19.8727056994442</v>
      </c>
      <c r="E17" s="10" t="n">
        <f aca="false">E6+E10+E11+E12+E13+E14</f>
        <v>24.8511303437402</v>
      </c>
      <c r="F17" s="10" t="n">
        <f aca="false">F6+F10+F11+F12+F13+F14</f>
        <v>28.7802878720948</v>
      </c>
      <c r="G17" s="10" t="n">
        <f aca="false">G6+G10+G11+G12+G13+G14</f>
        <v>27.6456743983457</v>
      </c>
      <c r="H17" s="4" t="s">
        <v>13</v>
      </c>
    </row>
    <row r="19" customFormat="false" ht="15" hidden="false" customHeight="false" outlineLevel="0" collapsed="false">
      <c r="A19" s="6" t="s">
        <v>1919</v>
      </c>
    </row>
    <row r="20" customFormat="false" ht="17.15" hidden="false" customHeight="false" outlineLevel="0" collapsed="false">
      <c r="A20" s="0" t="s">
        <v>1920</v>
      </c>
      <c r="B20" s="5" t="s">
        <v>1921</v>
      </c>
      <c r="C20" s="5" t="s">
        <v>1922</v>
      </c>
      <c r="D20" s="11" t="n">
        <f aca="false">-s_b6_2026</f>
        <v>0.506742866666666</v>
      </c>
      <c r="E20" s="11" t="n">
        <f aca="false">-s_b6_2027</f>
        <v>0.75705029588785</v>
      </c>
      <c r="F20" s="11" t="n">
        <f aca="false">-s_b6_2028</f>
        <v>1.23629537440859</v>
      </c>
      <c r="G20" s="11" t="n">
        <f aca="false">-s_b6_2029</f>
        <v>1.77476123039559</v>
      </c>
      <c r="H20" s="4" t="s">
        <v>126</v>
      </c>
    </row>
    <row r="21" customFormat="false" ht="17.15" hidden="false" customHeight="false" outlineLevel="0" collapsed="false">
      <c r="A21" s="0" t="s">
        <v>1923</v>
      </c>
      <c r="B21" s="0" t="s">
        <v>1924</v>
      </c>
      <c r="C21" s="0" t="s">
        <v>1925</v>
      </c>
      <c r="D21" s="10" t="n">
        <f aca="false">D5+D20</f>
        <v>20.8055258966371</v>
      </c>
      <c r="E21" s="10" t="n">
        <f aca="false">E5+E20</f>
        <v>36.1734121859312</v>
      </c>
      <c r="F21" s="10" t="n">
        <f aca="false">F5+F20</f>
        <v>52.6307684164049</v>
      </c>
      <c r="G21" s="10" t="n">
        <f aca="false">G5+G20</f>
        <v>62.6970796551386</v>
      </c>
      <c r="H21" s="4" t="s">
        <v>13</v>
      </c>
    </row>
    <row r="23" customFormat="false" ht="15" hidden="false" customHeight="false" outlineLevel="0" collapsed="false">
      <c r="A23" s="6" t="s">
        <v>1926</v>
      </c>
    </row>
    <row r="24" customFormat="false" ht="15" hidden="false" customHeight="false" outlineLevel="0" collapsed="false">
      <c r="A24" s="0" t="s">
        <v>1927</v>
      </c>
      <c r="B24" s="5" t="s">
        <v>1928</v>
      </c>
      <c r="C24" s="0" t="s">
        <v>1929</v>
      </c>
      <c r="D24" s="10" t="n">
        <f aca="false">D21-D17</f>
        <v>0.932820197192907</v>
      </c>
      <c r="E24" s="10" t="n">
        <f aca="false">E21-E17</f>
        <v>11.322281842191</v>
      </c>
      <c r="F24" s="10" t="n">
        <f aca="false">F21-F17</f>
        <v>23.8504805443101</v>
      </c>
      <c r="G24" s="10" t="n">
        <f aca="false">G21-G17</f>
        <v>35.0514052567929</v>
      </c>
    </row>
    <row r="25" customFormat="false" ht="17.15" hidden="false" customHeight="false" outlineLevel="0" collapsed="false">
      <c r="A25" s="0" t="s">
        <v>1930</v>
      </c>
      <c r="B25" s="5" t="s">
        <v>1931</v>
      </c>
      <c r="D25" s="9" t="n">
        <f aca="false">D17/D21</f>
        <v>0.9551647864213</v>
      </c>
      <c r="E25" s="9" t="n">
        <f aca="false">E17/E21</f>
        <v>0.686999894176571</v>
      </c>
      <c r="F25" s="9" t="n">
        <f aca="false">F17/F21</f>
        <v>0.54683389086001</v>
      </c>
      <c r="G25" s="9" t="n">
        <f aca="false">G17/G21</f>
        <v>0.440940384311503</v>
      </c>
    </row>
    <row r="26" customFormat="false" ht="17.15" hidden="false" customHeight="false" outlineLevel="0" collapsed="false">
      <c r="A26" s="0" t="s">
        <v>1932</v>
      </c>
      <c r="B26" s="5" t="s">
        <v>1933</v>
      </c>
      <c r="D26" s="8" t="n">
        <f aca="false">D6/D21</f>
        <v>0.601540740822232</v>
      </c>
      <c r="E26" s="8" t="n">
        <f aca="false">E6/E21</f>
        <v>0.6624272491318</v>
      </c>
      <c r="F26" s="8" t="n">
        <f aca="false">F6/F21</f>
        <v>0.511550441109613</v>
      </c>
      <c r="G26" s="8" t="n">
        <f aca="false">G6/G21</f>
        <v>0.441224188703265</v>
      </c>
    </row>
    <row r="27" customFormat="false" ht="17.15" hidden="false" customHeight="false" outlineLevel="0" collapsed="false">
      <c r="A27" s="0" t="s">
        <v>1934</v>
      </c>
      <c r="B27" s="5" t="s">
        <v>1935</v>
      </c>
      <c r="C27" s="0" t="s">
        <v>1936</v>
      </c>
      <c r="D27" s="1" t="str">
        <f aca="false">IF(ABS(1-D25)&lt;=tolband,"帶內",IF(D25&lt;1,"帶外（Wattonomics 偏低）","帶外（Wattonomics 偏高）"))</f>
        <v>帶內</v>
      </c>
      <c r="E27" s="1" t="str">
        <f aca="false">IF(ABS(1-E25)&lt;=tolband,"帶內",IF(E25&lt;1,"帶外（Wattonomics 偏低）","帶外（Wattonomics 偏高）"))</f>
        <v>帶外（Wattonomics 偏低）</v>
      </c>
      <c r="F27" s="1" t="str">
        <f aca="false">IF(ABS(1-F25)&lt;=tolband,"帶內",IF(F25&lt;1,"帶外（Wattonomics 偏低）","帶外（Wattonomics 偏高）"))</f>
        <v>帶外（Wattonomics 偏低）</v>
      </c>
      <c r="G27" s="1" t="str">
        <f aca="false">IF(ABS(1-G25)&lt;=tolband,"帶內",IF(G25&lt;1,"帶外（Wattonomics 偏低）","帶外（Wattonomics 偏高）"))</f>
        <v>帶外（Wattonomics 偏低）</v>
      </c>
    </row>
    <row r="28" customFormat="false" ht="17.15" hidden="false" customHeight="false" outlineLevel="0" collapsed="false">
      <c r="A28" s="0" t="s">
        <v>1937</v>
      </c>
      <c r="B28" s="5" t="s">
        <v>1938</v>
      </c>
      <c r="C28" s="0" t="s">
        <v>1939</v>
      </c>
      <c r="D28" s="11" t="n">
        <f aca="false">(D21-(D17-Calc!$F$69))/Calc!$F$69</f>
        <v>1.07502370092698</v>
      </c>
      <c r="E28" s="11" t="n">
        <f aca="false">(E21-(E17-Calc!$G$69))/Calc!$G$69</f>
        <v>1.65420899476357</v>
      </c>
      <c r="F28" s="11" t="n">
        <f aca="false">(F21-(F17-Calc!$H$69))/Calc!$H$69</f>
        <v>2.19043969791066</v>
      </c>
      <c r="G28" s="11" t="n">
        <f aca="false">(G21-(G17-Calc!$I$69))/Calc!$I$69</f>
        <v>2.70682936766771</v>
      </c>
      <c r="H28" s="4" t="s">
        <v>13</v>
      </c>
    </row>
    <row r="30" customFormat="false" ht="17.15" hidden="false" customHeight="false" outlineLevel="0" collapsed="false">
      <c r="A30" s="6" t="s">
        <v>1940</v>
      </c>
    </row>
    <row r="31" customFormat="false" ht="15" hidden="false" customHeight="false" outlineLevel="0" collapsed="false">
      <c r="A31" s="2" t="s">
        <v>1941</v>
      </c>
      <c r="B31" s="7"/>
      <c r="C31" s="7"/>
      <c r="D31" s="7" t="s">
        <v>1190</v>
      </c>
      <c r="E31" s="7" t="s">
        <v>1191</v>
      </c>
      <c r="F31" s="7" t="s">
        <v>1192</v>
      </c>
      <c r="G31" s="7" t="s">
        <v>1193</v>
      </c>
    </row>
    <row r="32" customFormat="false" ht="15" hidden="false" customHeight="false" outlineLevel="0" collapsed="false">
      <c r="A32" s="0" t="s">
        <v>1942</v>
      </c>
      <c r="B32" s="5" t="s">
        <v>5</v>
      </c>
      <c r="D32" s="11" t="n">
        <f aca="false">D21-(wt_new_2026+(Calc!$F$66-Calc!$F$70)+(Calc!$F$67-Calc!$F$66)+(Calc!$F$69-Calc!$F$67)+(Calc!$F$72-Calc!$F$73)+D14)</f>
        <v>0.932820197192907</v>
      </c>
      <c r="E32" s="11" t="n">
        <f aca="false">E21-(wt_new_2027+0+(Calc!$G$67-Calc!$G$66)+(Calc!$G$69-Calc!$G$67)+(Calc!$G$72-Calc!$G$73)+E14)</f>
        <v>11.322281842191</v>
      </c>
      <c r="F32" s="11" t="n">
        <f aca="false">F21-(wt_new_2028+0+(Calc!$H$67-Calc!$H$66)+(Calc!$H$69-Calc!$H$67)+(Calc!$H$72-Calc!$H$73)+F14)</f>
        <v>23.8504805443101</v>
      </c>
      <c r="G32" s="11" t="n">
        <f aca="false">G21-(wt_new_2029+0+(Calc!$I$67-Calc!$I$66)+(Calc!$I$69-Calc!$I$67)+(Calc!$I$72-Calc!$I$73)+G14)</f>
        <v>35.0514052567929</v>
      </c>
    </row>
    <row r="33" customFormat="false" ht="17.15" hidden="false" customHeight="false" outlineLevel="0" collapsed="false">
      <c r="A33" s="0" t="s">
        <v>1943</v>
      </c>
      <c r="B33" s="0" t="s">
        <v>1944</v>
      </c>
      <c r="D33" s="11" t="n">
        <f aca="false">D21-(wt_new_2026+(Calc!$F$138-Calc!$F$142)+(Calc!$F$139-Calc!$F$138)+(Calc!$F$141-Calc!$F$139)+(Calc!$F$144-Calc!$F$145)+D14)</f>
        <v>2.36822295422304</v>
      </c>
      <c r="E33" s="11" t="n">
        <f aca="false">E21-(wt_new_2027+0+(Calc!$G$139-Calc!$G$138)+(Calc!$G$141-Calc!$G$139)+(Calc!$G$144-Calc!$G$145)+E14)</f>
        <v>11.1117897188066</v>
      </c>
      <c r="F33" s="11" t="n">
        <f aca="false">F21-(wt_new_2028+0+(Calc!$H$139-Calc!$H$138)+(Calc!$H$141-Calc!$H$139)+(Calc!$H$144-Calc!$H$145)+F14)</f>
        <v>23.6901204345816</v>
      </c>
      <c r="G33" s="11" t="n">
        <f aca="false">G21-(wt_new_2029+0+(Calc!$I$139-Calc!$I$138)+(Calc!$I$141-Calc!$I$139)+(Calc!$I$144-Calc!$I$145)+G14)</f>
        <v>34.6554085797917</v>
      </c>
    </row>
    <row r="34" customFormat="false" ht="17.15" hidden="false" customHeight="false" outlineLevel="0" collapsed="false">
      <c r="A34" s="0" t="s">
        <v>1945</v>
      </c>
      <c r="B34" s="0" t="s">
        <v>1946</v>
      </c>
      <c r="D34" s="11" t="n">
        <f aca="false">D21-(wt_new_2026+(Calc!$F$210-Calc!$F$214)+(Calc!$F$211-Calc!$F$210)+(Calc!$F$213-Calc!$F$211)+(Calc!$F$216-Calc!$F$217)+D14)</f>
        <v>-0.458500706452202</v>
      </c>
      <c r="E34" s="11" t="n">
        <f aca="false">E21-(wt_new_2027+0+(Calc!$G$211-Calc!$G$210)+(Calc!$G$213-Calc!$G$211)+(Calc!$G$216-Calc!$G$217)+E14)</f>
        <v>11.5238734017573</v>
      </c>
      <c r="F34" s="11" t="n">
        <f aca="false">F21-(wt_new_2028+0+(Calc!$H$211-Calc!$H$210)+(Calc!$H$213-Calc!$H$211)+(Calc!$H$216-Calc!$H$217)+F14)</f>
        <v>24.0025415472809</v>
      </c>
      <c r="G34" s="11" t="n">
        <f aca="false">G21-(wt_new_2029+0+(Calc!$I$211-Calc!$I$210)+(Calc!$I$213-Calc!$I$211)+(Calc!$I$216-Calc!$I$217)+G14)</f>
        <v>35.4354626032699</v>
      </c>
    </row>
    <row r="35" customFormat="false" ht="17.15" hidden="false" customHeight="false" outlineLevel="0" collapsed="false">
      <c r="A35" s="0" t="s">
        <v>1947</v>
      </c>
      <c r="B35" s="0" t="s">
        <v>1948</v>
      </c>
      <c r="D35" s="11" t="n">
        <f aca="false">D21-(wt_new_2026+(Calc!$F$282-Calc!$F$286)+(Calc!$F$283-Calc!$F$282)+(Calc!$F$285-Calc!$F$283)+(Calc!$F$288-Calc!$F$289)+D14)</f>
        <v>0.763361615013917</v>
      </c>
      <c r="E35" s="11" t="n">
        <f aca="false">E21-(wt_new_2027+0+(Calc!$G$283-Calc!$G$282)+(Calc!$G$285-Calc!$G$283)+(Calc!$G$288-Calc!$G$289)+E14)</f>
        <v>11.4728124366694</v>
      </c>
      <c r="F35" s="11" t="n">
        <f aca="false">F21-(wt_new_2028+0+(Calc!$H$283-Calc!$H$282)+(Calc!$H$285-Calc!$H$283)+(Calc!$H$288-Calc!$H$289)+F14)</f>
        <v>23.6290358824298</v>
      </c>
      <c r="G35" s="11" t="n">
        <f aca="false">G21-(wt_new_2029+0+(Calc!$I$283-Calc!$I$282)+(Calc!$I$285-Calc!$I$283)+(Calc!$I$288-Calc!$I$289)+G14)</f>
        <v>34.8753299950442</v>
      </c>
    </row>
    <row r="36" customFormat="false" ht="17.15" hidden="false" customHeight="false" outlineLevel="0" collapsed="false">
      <c r="A36" s="0" t="s">
        <v>1949</v>
      </c>
      <c r="B36" s="0" t="s">
        <v>1950</v>
      </c>
      <c r="D36" s="11" t="n">
        <f aca="false">D21-(wt_new_2026+(Calc!$F$354-Calc!$F$358)+(Calc!$F$355-Calc!$F$354)+(Calc!$F$357-Calc!$F$355)+(Calc!$F$360-Calc!$F$361)+D14)</f>
        <v>1.10227877937189</v>
      </c>
      <c r="E36" s="11" t="n">
        <f aca="false">E21-(wt_new_2027+0+(Calc!$G$355-Calc!$G$354)+(Calc!$G$357-Calc!$G$355)+(Calc!$G$360-Calc!$G$361)+E14)</f>
        <v>11.1717512477125</v>
      </c>
      <c r="F36" s="11" t="n">
        <f aca="false">F21-(wt_new_2028+0+(Calc!$H$355-Calc!$H$354)+(Calc!$H$357-Calc!$H$355)+(Calc!$H$360-Calc!$H$361)+F14)</f>
        <v>24.0719252061904</v>
      </c>
      <c r="G36" s="11" t="n">
        <f aca="false">G21-(wt_new_2029+0+(Calc!$I$355-Calc!$I$354)+(Calc!$I$357-Calc!$I$355)+(Calc!$I$360-Calc!$I$361)+G14)</f>
        <v>35.2274805185415</v>
      </c>
    </row>
    <row r="37" customFormat="false" ht="17.15" hidden="false" customHeight="false" outlineLevel="0" collapsed="false">
      <c r="A37" s="0" t="s">
        <v>1951</v>
      </c>
      <c r="B37" s="5" t="s">
        <v>1952</v>
      </c>
      <c r="C37" s="0" t="s">
        <v>1953</v>
      </c>
      <c r="D37" s="11" t="n">
        <f aca="false">(s_b8_2026-s_b4_2026-s_b5_2026-(lag_lo+inv_k)*(s_b3_2026-s_b3_2025)-s_b6_2026)-(wt_new_2026+(Calc!$F$426-Calc!$F$430)+(Calc!$F$427-Calc!$F$426)+(Calc!$F$429-Calc!$F$427)+(Calc!$F$432-Calc!$F$433)+D14)</f>
        <v>1.33602290249389</v>
      </c>
      <c r="E37" s="11" t="n">
        <f aca="false">(s_b8_2027-s_b4_2027-s_b5_2027-(lag_lo+inv_k)*(s_b3_2027-s_b3_2026)-s_b6_2027)-(wt_new_2027+0+(Calc!$G$427-Calc!$G$426)+(Calc!$G$429-Calc!$G$427)+(Calc!$G$432-Calc!$G$433)+E14)</f>
        <v>13.3522605722378</v>
      </c>
      <c r="F37" s="11" t="n">
        <f aca="false">(s_b8_2028-s_b4_2028-s_b5_2028-(lag_lo+inv_k)*(s_b3_2028-s_b3_2027)-s_b6_2028)-(wt_new_2028+0+(Calc!$H$427-Calc!$H$426)+(Calc!$H$429-Calc!$H$427)+(Calc!$H$432-Calc!$H$433)+F14)</f>
        <v>25.1486032037181</v>
      </c>
      <c r="G37" s="11" t="n">
        <f aca="false">(s_b8_2029-s_b4_2029-s_b5_2029-(lag_lo+inv_k)*(s_b3_2029-s_b3_2028)-s_b6_2029)-(wt_new_2029+0+(Calc!$I$427-Calc!$I$426)+(Calc!$I$429-Calc!$I$427)+(Calc!$I$432-Calc!$I$433)+G14)</f>
        <v>36.1536859543174</v>
      </c>
    </row>
    <row r="38" customFormat="false" ht="17.15" hidden="false" customHeight="false" outlineLevel="0" collapsed="false">
      <c r="A38" s="0" t="s">
        <v>1954</v>
      </c>
      <c r="B38" s="5" t="s">
        <v>1955</v>
      </c>
      <c r="C38" s="0" t="s">
        <v>1953</v>
      </c>
      <c r="D38" s="11" t="n">
        <f aca="false">(s_b8_2026-s_b4_2026-s_b5_2026-(lag_hi+inv_k)*(s_b3_2026-s_b3_2025)-s_b6_2026)-(wt_new_2026+(Calc!$F$498-Calc!$F$502)+(Calc!$F$499-Calc!$F$498)+(Calc!$F$501-Calc!$F$499)+(Calc!$F$504-Calc!$F$505)+D14)</f>
        <v>0.529617491891969</v>
      </c>
      <c r="E38" s="11" t="n">
        <f aca="false">(s_b8_2027-s_b4_2027-s_b5_2027-(lag_hi+inv_k)*(s_b3_2027-s_b3_2026)-s_b6_2027)-(wt_new_2027+0+(Calc!$G$499-Calc!$G$498)+(Calc!$G$501-Calc!$G$499)+(Calc!$G$504-Calc!$G$505)+E14)</f>
        <v>9.29230311214409</v>
      </c>
      <c r="F38" s="11" t="n">
        <f aca="false">(s_b8_2028-s_b4_2028-s_b5_2028-(lag_hi+inv_k)*(s_b3_2028-s_b3_2027)-s_b6_2028)-(wt_new_2028+0+(Calc!$H$499-Calc!$H$498)+(Calc!$H$501-Calc!$H$499)+(Calc!$H$504-Calc!$H$505)+F14)</f>
        <v>22.5523578849021</v>
      </c>
      <c r="G38" s="11" t="n">
        <f aca="false">(s_b8_2029-s_b4_2029-s_b5_2029-(lag_hi+inv_k)*(s_b3_2029-s_b3_2028)-s_b6_2029)-(wt_new_2029+0+(Calc!$I$499-Calc!$I$498)+(Calc!$I$501-Calc!$I$499)+(Calc!$I$504-Calc!$I$505)+G14)</f>
        <v>33.9491245592683</v>
      </c>
    </row>
    <row r="39" customFormat="false" ht="17.15" hidden="false" customHeight="false" outlineLevel="0" collapsed="false">
      <c r="A39" s="0" t="s">
        <v>1956</v>
      </c>
      <c r="B39" s="5" t="s">
        <v>1957</v>
      </c>
      <c r="C39" s="0" t="s">
        <v>1953</v>
      </c>
      <c r="D39" s="11" t="n">
        <f aca="false">(s_b8_2026-s_b4_2026-s_b5_2026-(lag+inv_k_lo)*(s_b3_2026-s_b3_2025)-s_b6_2026)-(wt_new_2026+(Calc!$F$570-Calc!$F$574)+(Calc!$F$571-Calc!$F$570)+(Calc!$F$573-Calc!$F$571)+(Calc!$F$576-Calc!$F$577)+D14)</f>
        <v>1.09410127931331</v>
      </c>
      <c r="E39" s="11" t="n">
        <f aca="false">(s_b8_2027-s_b4_2027-s_b5_2027-(lag+inv_k_lo)*(s_b3_2027-s_b3_2026)-s_b6_2027)-(wt_new_2027+0+(Calc!$G$571-Calc!$G$570)+(Calc!$G$573-Calc!$G$571)+(Calc!$G$576-Calc!$G$577)+E14)</f>
        <v>12.1342733342097</v>
      </c>
      <c r="F39" s="11" t="n">
        <f aca="false">(s_b8_2028-s_b4_2028-s_b5_2028-(lag+inv_k_lo)*(s_b3_2028-s_b3_2027)-s_b6_2028)-(wt_new_2028+0+(Calc!$H$571-Calc!$H$570)+(Calc!$H$573-Calc!$H$571)+(Calc!$H$576-Calc!$H$577)+F14)</f>
        <v>24.3697296080733</v>
      </c>
      <c r="G39" s="11" t="n">
        <f aca="false">(s_b8_2029-s_b4_2029-s_b5_2029-(lag+inv_k_lo)*(s_b3_2029-s_b3_2028)-s_b6_2029)-(wt_new_2029+0+(Calc!$I$571-Calc!$I$570)+(Calc!$I$573-Calc!$I$571)+(Calc!$I$576-Calc!$I$577)+G14)</f>
        <v>35.4923175358027</v>
      </c>
    </row>
    <row r="40" customFormat="false" ht="17.15" hidden="false" customHeight="false" outlineLevel="0" collapsed="false">
      <c r="A40" s="0" t="s">
        <v>1958</v>
      </c>
      <c r="B40" s="5" t="s">
        <v>1959</v>
      </c>
      <c r="C40" s="0" t="s">
        <v>1953</v>
      </c>
      <c r="D40" s="11" t="n">
        <f aca="false">(s_b8_2026-s_b4_2026-s_b5_2026-(lag+inv_k_hi)*(s_b3_2026-s_b3_2025)-s_b6_2026)-(wt_new_2026+(Calc!$F$642-Calc!$F$646)+(Calc!$F$643-Calc!$F$642)+(Calc!$F$645-Calc!$F$643)+(Calc!$F$648-Calc!$F$649)+D14)</f>
        <v>0.610258032952164</v>
      </c>
      <c r="E40" s="11" t="n">
        <f aca="false">(s_b8_2027-s_b4_2027-s_b5_2027-(lag+inv_k_hi)*(s_b3_2027-s_b3_2026)-s_b6_2027)-(wt_new_2027+0+(Calc!$G$643-Calc!$G$642)+(Calc!$G$645-Calc!$G$643)+(Calc!$G$648-Calc!$G$649)+E14)</f>
        <v>9.69829885815346</v>
      </c>
      <c r="F40" s="11" t="n">
        <f aca="false">(s_b8_2028-s_b4_2028-s_b5_2028-(lag+inv_k_hi)*(s_b3_2028-s_b3_2027)-s_b6_2028)-(wt_new_2028+0+(Calc!$H$643-Calc!$H$642)+(Calc!$H$645-Calc!$H$643)+(Calc!$H$648-Calc!$H$649)+F14)</f>
        <v>22.8119824167837</v>
      </c>
      <c r="G40" s="11" t="n">
        <f aca="false">(s_b8_2029-s_b4_2029-s_b5_2029-(lag+inv_k_hi)*(s_b3_2029-s_b3_2028)-s_b6_2029)-(wt_new_2029+0+(Calc!$I$643-Calc!$I$642)+(Calc!$I$645-Calc!$I$643)+(Calc!$I$648-Calc!$I$649)+G14)</f>
        <v>34.1695806987732</v>
      </c>
    </row>
    <row r="41" customFormat="false" ht="17.15" hidden="false" customHeight="false" outlineLevel="0" collapsed="false">
      <c r="B41" s="5" t="s">
        <v>1960</v>
      </c>
      <c r="D41" s="11" t="n">
        <f aca="false">D21-(D6+D10)</f>
        <v>-0.384610244511915</v>
      </c>
      <c r="E41" s="11" t="n">
        <f aca="false">E21-(E6+E10)</f>
        <v>12.211158259894</v>
      </c>
      <c r="F41" s="11" t="n">
        <f aca="false">F21-(F6+F10)</f>
        <v>25.7074756170551</v>
      </c>
      <c r="G41" s="11" t="n">
        <f aca="false">G21-(G6+G10)</f>
        <v>35.0336115502361</v>
      </c>
    </row>
    <row r="42" customFormat="false" ht="17.15" hidden="false" customHeight="false" outlineLevel="0" collapsed="false">
      <c r="B42" s="0" t="s">
        <v>1961</v>
      </c>
      <c r="D42" s="11" t="n">
        <f aca="false">D21-(D6+D10+D11)</f>
        <v>2.26283237312101</v>
      </c>
      <c r="E42" s="11" t="n">
        <f aca="false">E21-(E6+E10+E11)</f>
        <v>14.0534368115716</v>
      </c>
      <c r="F42" s="11" t="n">
        <f aca="false">F21-(F6+F10+F11)</f>
        <v>26.8009582824245</v>
      </c>
      <c r="G42" s="11" t="n">
        <f aca="false">G21-(G6+G10+G11)</f>
        <v>36.2229488670816</v>
      </c>
    </row>
    <row r="43" customFormat="false" ht="17.15" hidden="false" customHeight="false" outlineLevel="0" collapsed="false">
      <c r="B43" s="5" t="s">
        <v>1962</v>
      </c>
      <c r="D43" s="11" t="n">
        <f aca="false">D21-(D6+D10+D11+D12)</f>
        <v>2.39924512854763</v>
      </c>
      <c r="E43" s="11" t="n">
        <f aca="false">E21-(E6+E10+E11+E12)</f>
        <v>14.0003413086611</v>
      </c>
      <c r="F43" s="11" t="n">
        <f aca="false">F21-(F6+F10+F11+F12)</f>
        <v>27.0705365497472</v>
      </c>
      <c r="G43" s="11" t="n">
        <f aca="false">G21-(G6+G10+G11+G12)</f>
        <v>38.3995833047467</v>
      </c>
    </row>
    <row r="45" customFormat="false" ht="17.15" hidden="false" customHeight="false" outlineLevel="0" collapsed="false">
      <c r="A45" s="6" t="s">
        <v>1963</v>
      </c>
    </row>
    <row r="46" customFormat="false" ht="17.15" hidden="false" customHeight="false" outlineLevel="0" collapsed="false">
      <c r="A46" s="0" t="s">
        <v>1964</v>
      </c>
      <c r="B46" s="0" t="s">
        <v>1965</v>
      </c>
      <c r="C46" s="0" t="s">
        <v>1966</v>
      </c>
      <c r="D46" s="11" t="n">
        <f aca="false">nv_dc_26/nvc_gb_tk</f>
        <v>18.0163147792706</v>
      </c>
      <c r="H46" s="4" t="s">
        <v>13</v>
      </c>
    </row>
    <row r="47" customFormat="false" ht="17.15" hidden="false" customHeight="false" outlineLevel="0" collapsed="false">
      <c r="A47" s="0" t="s">
        <v>1967</v>
      </c>
      <c r="B47" s="0" t="s">
        <v>1968</v>
      </c>
      <c r="C47" s="0" t="s">
        <v>1969</v>
      </c>
      <c r="D47" s="11" t="n">
        <f aca="false">nv_dc_26/nvc_gb_jh</f>
        <v>15.0184</v>
      </c>
      <c r="H47" s="4" t="s">
        <v>160</v>
      </c>
    </row>
    <row r="48" customFormat="false" ht="17.15" hidden="false" customHeight="false" outlineLevel="0" collapsed="false">
      <c r="A48" s="0" t="s">
        <v>1970</v>
      </c>
      <c r="B48" s="0" t="s">
        <v>1971</v>
      </c>
      <c r="C48" s="0" t="s">
        <v>1972</v>
      </c>
      <c r="D48" s="11" t="n">
        <f aca="false">nv_dc_25/nvc_gb_tk</f>
        <v>9.29462571976967</v>
      </c>
      <c r="H48" s="4" t="s">
        <v>13</v>
      </c>
    </row>
    <row r="49" customFormat="false" ht="17.15" hidden="false" customHeight="false" outlineLevel="0" collapsed="false">
      <c r="A49" s="0" t="s">
        <v>1973</v>
      </c>
      <c r="B49" s="0" t="s">
        <v>1974</v>
      </c>
      <c r="C49" s="0" t="s">
        <v>1975</v>
      </c>
      <c r="D49" s="11" t="n">
        <f aca="false">(1-lag)*D46+lag*D48-inv_k*(D46-D48)</f>
        <v>13.8735124760077</v>
      </c>
      <c r="H49" s="4" t="s">
        <v>13</v>
      </c>
    </row>
    <row r="50" customFormat="false" ht="17.15" hidden="false" customHeight="false" outlineLevel="0" collapsed="false">
      <c r="A50" s="0" t="s">
        <v>1976</v>
      </c>
      <c r="B50" s="0" t="s">
        <v>1977</v>
      </c>
      <c r="C50" s="0" t="s">
        <v>1978</v>
      </c>
      <c r="D50" s="11" t="n">
        <f aca="false">D6*(1-nnv_mkt_2026)</f>
        <v>9.53408398462389</v>
      </c>
      <c r="H50" s="4" t="s">
        <v>13</v>
      </c>
    </row>
    <row r="51" customFormat="false" ht="17.15" hidden="false" customHeight="false" outlineLevel="0" collapsed="false">
      <c r="A51" s="0" t="s">
        <v>1979</v>
      </c>
      <c r="B51" s="0" t="s">
        <v>1980</v>
      </c>
      <c r="C51" s="0" t="s">
        <v>1981</v>
      </c>
      <c r="D51" s="11" t="n">
        <f aca="false">D17*(1-nnv_mkt_2026)</f>
        <v>15.1388271398682</v>
      </c>
      <c r="H51" s="4" t="s">
        <v>13</v>
      </c>
    </row>
    <row r="52" customFormat="false" ht="17.15" hidden="false" customHeight="false" outlineLevel="0" collapsed="false">
      <c r="A52" s="0" t="s">
        <v>1982</v>
      </c>
      <c r="B52" s="5" t="s">
        <v>1983</v>
      </c>
      <c r="C52" s="0" t="s">
        <v>1984</v>
      </c>
      <c r="D52" s="8" t="n">
        <f aca="false">D50/D49</f>
        <v>0.687214863655601</v>
      </c>
    </row>
    <row r="53" customFormat="false" ht="17.15" hidden="false" customHeight="false" outlineLevel="0" collapsed="false">
      <c r="A53" s="0" t="s">
        <v>1985</v>
      </c>
      <c r="B53" s="5" t="s">
        <v>1986</v>
      </c>
      <c r="C53" s="0" t="s">
        <v>1987</v>
      </c>
      <c r="D53" s="8" t="n">
        <f aca="false">D51/D49</f>
        <v>1.0912036274915</v>
      </c>
    </row>
    <row r="55" customFormat="false" ht="17.15" hidden="false" customHeight="false" outlineLevel="0" collapsed="false">
      <c r="A55" s="6" t="s">
        <v>1988</v>
      </c>
    </row>
    <row r="56" customFormat="false" ht="17.15" hidden="false" customHeight="false" outlineLevel="0" collapsed="false">
      <c r="A56" s="0" t="s">
        <v>1989</v>
      </c>
      <c r="B56" s="0" t="s">
        <v>206</v>
      </c>
      <c r="C56" s="0" t="s">
        <v>1990</v>
      </c>
      <c r="D56" s="11" t="n">
        <f aca="false">cn_add_2026</f>
        <v>3.33333333333333</v>
      </c>
      <c r="H56" s="4" t="s">
        <v>13</v>
      </c>
    </row>
    <row r="57" customFormat="false" ht="17.15" hidden="false" customHeight="false" outlineLevel="0" collapsed="false">
      <c r="A57" s="0" t="s">
        <v>1991</v>
      </c>
      <c r="B57" s="0" t="s">
        <v>1992</v>
      </c>
      <c r="C57" s="0" t="s">
        <v>1993</v>
      </c>
      <c r="D57" s="11" t="n">
        <f aca="false">s_b7m_2026+s_cap_oth_2026/(pgw_vr*hold_oth)</f>
        <v>1.43571129210793</v>
      </c>
      <c r="H57" s="4" t="s">
        <v>1994</v>
      </c>
    </row>
    <row r="58" customFormat="false" ht="17.15" hidden="false" customHeight="false" outlineLevel="0" collapsed="false">
      <c r="A58" s="0" t="s">
        <v>1995</v>
      </c>
      <c r="B58" s="5" t="s">
        <v>1996</v>
      </c>
      <c r="C58" s="5" t="s">
        <v>1997</v>
      </c>
      <c r="D58" s="11" t="n">
        <f aca="false">D56-D57</f>
        <v>1.8976220412254</v>
      </c>
      <c r="H58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2026-10-31T05:43:34Z</dcterms:created>
  <dc:creator>openpyxl</dc:creator>
  <dc:description/>
  <dc:language>en-US</dc:language>
  <cp:lastModifiedBy/>
  <dcterms:modified xsi:type="dcterms:W3CDTF">2026-10-31T05:43:34Z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