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" sheetId="1" state="visible" r:id="rId3"/>
    <sheet name="Calc" sheetId="2" state="visible" r:id="rId4"/>
    <sheet name="Bridge" sheetId="3" state="visible" r:id="rId5"/>
  </sheets>
  <definedNames>
    <definedName function="false" hidden="false" name="ai2_amzn_2024" vbProcedure="false">In!$E$170</definedName>
    <definedName function="false" hidden="false" name="ai2_amzn_2025" vbProcedure="false">In!$E$175</definedName>
    <definedName function="false" hidden="false" name="ai2_amzn_2026" vbProcedure="false">In!$E$180</definedName>
    <definedName function="false" hidden="false" name="ai2_amzn_2027" vbProcedure="false">In!$E$185</definedName>
    <definedName function="false" hidden="false" name="ai2_amzn_2028" vbProcedure="false">In!$E$190</definedName>
    <definedName function="false" hidden="false" name="ai2_amzn_2029" vbProcedure="false">In!$E$195</definedName>
    <definedName function="false" hidden="false" name="ai2_crwv_2024" vbProcedure="false">In!$E$303</definedName>
    <definedName function="false" hidden="false" name="ai2_crwv_2025" vbProcedure="false">In!$E$308</definedName>
    <definedName function="false" hidden="false" name="ai2_crwv_2026" vbProcedure="false">In!$E$313</definedName>
    <definedName function="false" hidden="false" name="ai2_crwv_2027" vbProcedure="false">In!$E$318</definedName>
    <definedName function="false" hidden="false" name="ai2_crwv_2028" vbProcedure="false">In!$E$323</definedName>
    <definedName function="false" hidden="false" name="ai2_crwv_2029" vbProcedure="false">In!$E$328</definedName>
    <definedName function="false" hidden="false" name="ai2_googl_2024" vbProcedure="false">In!$E$126</definedName>
    <definedName function="false" hidden="false" name="ai2_googl_2025" vbProcedure="false">In!$E$131</definedName>
    <definedName function="false" hidden="false" name="ai2_googl_2026" vbProcedure="false">In!$E$136</definedName>
    <definedName function="false" hidden="false" name="ai2_googl_2027" vbProcedure="false">In!$E$141</definedName>
    <definedName function="false" hidden="false" name="ai2_googl_2028" vbProcedure="false">In!$E$146</definedName>
    <definedName function="false" hidden="false" name="ai2_googl_2029" vbProcedure="false">In!$E$151</definedName>
    <definedName function="false" hidden="false" name="ai2_meta_2024" vbProcedure="false">In!$E$214</definedName>
    <definedName function="false" hidden="false" name="ai2_meta_2025" vbProcedure="false">In!$E$219</definedName>
    <definedName function="false" hidden="false" name="ai2_meta_2026" vbProcedure="false">In!$E$224</definedName>
    <definedName function="false" hidden="false" name="ai2_meta_2027" vbProcedure="false">In!$E$229</definedName>
    <definedName function="false" hidden="false" name="ai2_meta_2028" vbProcedure="false">In!$E$234</definedName>
    <definedName function="false" hidden="false" name="ai2_meta_2029" vbProcedure="false">In!$E$239</definedName>
    <definedName function="false" hidden="false" name="ai2_msft_2024" vbProcedure="false">In!$E$81</definedName>
    <definedName function="false" hidden="false" name="ai2_msft_2025" vbProcedure="false">In!$E$86</definedName>
    <definedName function="false" hidden="false" name="ai2_msft_2026" vbProcedure="false">In!$E$91</definedName>
    <definedName function="false" hidden="false" name="ai2_msft_2027" vbProcedure="false">In!$E$96</definedName>
    <definedName function="false" hidden="false" name="ai2_msft_2028" vbProcedure="false">In!$E$101</definedName>
    <definedName function="false" hidden="false" name="ai2_msft_2029" vbProcedure="false">In!$E$106</definedName>
    <definedName function="false" hidden="false" name="ai2_nbis_2024" vbProcedure="false">In!$E$347</definedName>
    <definedName function="false" hidden="false" name="ai2_nbis_2025" vbProcedure="false">In!$E$352</definedName>
    <definedName function="false" hidden="false" name="ai2_nbis_2026" vbProcedure="false">In!$E$357</definedName>
    <definedName function="false" hidden="false" name="ai2_nbis_2027" vbProcedure="false">In!$E$362</definedName>
    <definedName function="false" hidden="false" name="ai2_nbis_2028" vbProcedure="false">In!$E$367</definedName>
    <definedName function="false" hidden="false" name="ai2_nbis_2029" vbProcedure="false">In!$E$372</definedName>
    <definedName function="false" hidden="false" name="ai2_orcl_2024" vbProcedure="false">In!$E$258</definedName>
    <definedName function="false" hidden="false" name="ai2_orcl_2025" vbProcedure="false">In!$E$263</definedName>
    <definedName function="false" hidden="false" name="ai2_orcl_2026" vbProcedure="false">In!$E$268</definedName>
    <definedName function="false" hidden="false" name="ai2_orcl_2027" vbProcedure="false">In!$E$273</definedName>
    <definedName function="false" hidden="false" name="ai2_orcl_2028" vbProcedure="false">In!$E$278</definedName>
    <definedName function="false" hidden="false" name="ai2_orcl_2029" vbProcedure="false">In!$E$283</definedName>
    <definedName function="false" hidden="false" name="ai_amzn" vbProcedure="false">In!$E$76</definedName>
    <definedName function="false" hidden="false" name="ai_amzn_hi" vbProcedure="false">In!$F$76</definedName>
    <definedName function="false" hidden="false" name="ai_amzn_lo" vbProcedure="false">In!$D$76</definedName>
    <definedName function="false" hidden="false" name="ai_sh" vbProcedure="false">In!$E$75</definedName>
    <definedName function="false" hidden="false" name="ai_sh_hi" vbProcedure="false">In!$F$75</definedName>
    <definedName function="false" hidden="false" name="ai_sh_lo" vbProcedure="false">In!$D$75</definedName>
    <definedName function="false" hidden="false" name="cap2_msft_2025" vbProcedure="false">In!$E$116</definedName>
    <definedName function="false" hidden="false" name="cap2_nbis_2025" vbProcedure="false">In!$E$388</definedName>
    <definedName function="false" hidden="false" name="cap2_orcl_2025" vbProcedure="false">In!$E$299</definedName>
    <definedName function="false" hidden="false" name="cn_add_2026" vbProcedure="false">In!$E$67</definedName>
    <definedName function="false" hidden="false" name="cn_add_2027" vbProcedure="false">In!$E$68</definedName>
    <definedName function="false" hidden="false" name="cn_add_2028" vbProcedure="false">In!$E$69</definedName>
    <definedName function="false" hidden="false" name="cn_add_2029" vbProcedure="false">In!$E$70</definedName>
    <definedName function="false" hidden="false" name="fye_amzn" vbProcedure="false">In!$E$167</definedName>
    <definedName function="false" hidden="false" name="fye_crwv" vbProcedure="false">In!$E$300</definedName>
    <definedName function="false" hidden="false" name="fye_googl" vbProcedure="false">In!$E$123</definedName>
    <definedName function="false" hidden="false" name="fye_meta" vbProcedure="false">In!$E$211</definedName>
    <definedName function="false" hidden="false" name="fye_msft" vbProcedure="false">In!$E$78</definedName>
    <definedName function="false" hidden="false" name="fye_nbis" vbProcedure="false">In!$E$344</definedName>
    <definedName function="false" hidden="false" name="fye_orcl" vbProcedure="false">In!$E$255</definedName>
    <definedName function="false" hidden="false" name="gai_ant_2024" vbProcedure="false">In!$E$432</definedName>
    <definedName function="false" hidden="false" name="gai_ant_2025" vbProcedure="false">In!$E$433</definedName>
    <definedName function="false" hidden="false" name="gai_ant_2026" vbProcedure="false">In!$E$434</definedName>
    <definedName function="false" hidden="false" name="gai_ant_2027" vbProcedure="false">In!$E$435</definedName>
    <definedName function="false" hidden="false" name="gai_ant_2028" vbProcedure="false">In!$E$436</definedName>
    <definedName function="false" hidden="false" name="gai_ant_2029" vbProcedure="false">In!$E$437</definedName>
    <definedName function="false" hidden="false" name="gai_xai_2024" vbProcedure="false">In!$E$414</definedName>
    <definedName function="false" hidden="false" name="gai_xai_2025" vbProcedure="false">In!$E$415</definedName>
    <definedName function="false" hidden="false" name="gai_xai_2026" vbProcedure="false">In!$E$416</definedName>
    <definedName function="false" hidden="false" name="gai_xai_2027" vbProcedure="false">In!$E$417</definedName>
    <definedName function="false" hidden="false" name="gai_xai_2028" vbProcedure="false">In!$E$418</definedName>
    <definedName function="false" hidden="false" name="gai_xai_2029" vbProcedure="false">In!$E$419</definedName>
    <definedName function="false" hidden="false" name="gcap_amzn_2024" vbProcedure="false">In!$E$198</definedName>
    <definedName function="false" hidden="false" name="gcap_amzn_2025" vbProcedure="false">In!$E$199</definedName>
    <definedName function="false" hidden="false" name="gcap_amzn_2026" vbProcedure="false">In!$E$200</definedName>
    <definedName function="false" hidden="false" name="gcap_amzn_2027" vbProcedure="false">In!$E$201</definedName>
    <definedName function="false" hidden="false" name="gcap_amzn_2028" vbProcedure="false">In!$E$202</definedName>
    <definedName function="false" hidden="false" name="gcap_amzn_2029" vbProcedure="false">In!$E$203</definedName>
    <definedName function="false" hidden="false" name="gcap_amzn_2030" vbProcedure="false">In!$E$204</definedName>
    <definedName function="false" hidden="false" name="gcap_crwv_2024" vbProcedure="false">In!$E$331</definedName>
    <definedName function="false" hidden="false" name="gcap_crwv_2025" vbProcedure="false">In!$E$332</definedName>
    <definedName function="false" hidden="false" name="gcap_crwv_2026" vbProcedure="false">In!$E$333</definedName>
    <definedName function="false" hidden="false" name="gcap_crwv_2027" vbProcedure="false">In!$E$334</definedName>
    <definedName function="false" hidden="false" name="gcap_crwv_2028" vbProcedure="false">In!$E$335</definedName>
    <definedName function="false" hidden="false" name="gcap_crwv_2029" vbProcedure="false">In!$E$336</definedName>
    <definedName function="false" hidden="false" name="gcap_crwv_2030" vbProcedure="false">In!$E$337</definedName>
    <definedName function="false" hidden="false" name="gcap_googl_2024" vbProcedure="false">In!$E$154</definedName>
    <definedName function="false" hidden="false" name="gcap_googl_2025" vbProcedure="false">In!$E$155</definedName>
    <definedName function="false" hidden="false" name="gcap_googl_2026" vbProcedure="false">In!$E$156</definedName>
    <definedName function="false" hidden="false" name="gcap_googl_2027" vbProcedure="false">In!$E$157</definedName>
    <definedName function="false" hidden="false" name="gcap_googl_2028" vbProcedure="false">In!$E$158</definedName>
    <definedName function="false" hidden="false" name="gcap_googl_2029" vbProcedure="false">In!$E$159</definedName>
    <definedName function="false" hidden="false" name="gcap_googl_2030" vbProcedure="false">In!$E$160</definedName>
    <definedName function="false" hidden="false" name="gcap_meta_2024" vbProcedure="false">In!$E$242</definedName>
    <definedName function="false" hidden="false" name="gcap_meta_2025" vbProcedure="false">In!$E$243</definedName>
    <definedName function="false" hidden="false" name="gcap_meta_2026" vbProcedure="false">In!$E$244</definedName>
    <definedName function="false" hidden="false" name="gcap_meta_2027" vbProcedure="false">In!$E$245</definedName>
    <definedName function="false" hidden="false" name="gcap_meta_2028" vbProcedure="false">In!$E$246</definedName>
    <definedName function="false" hidden="false" name="gcap_meta_2029" vbProcedure="false">In!$E$247</definedName>
    <definedName function="false" hidden="false" name="gcap_meta_2030" vbProcedure="false">In!$E$248</definedName>
    <definedName function="false" hidden="false" name="gcap_msft_2024" vbProcedure="false">In!$E$109</definedName>
    <definedName function="false" hidden="false" name="gcap_msft_2025" vbProcedure="false">In!$E$110</definedName>
    <definedName function="false" hidden="false" name="gcap_msft_2026" vbProcedure="false">In!$E$111</definedName>
    <definedName function="false" hidden="false" name="gcap_msft_2027" vbProcedure="false">In!$E$112</definedName>
    <definedName function="false" hidden="false" name="gcap_msft_2028" vbProcedure="false">In!$E$113</definedName>
    <definedName function="false" hidden="false" name="gcap_msft_2029" vbProcedure="false">In!$E$114</definedName>
    <definedName function="false" hidden="false" name="gcap_msft_2030" vbProcedure="false">In!$E$115</definedName>
    <definedName function="false" hidden="false" name="gcap_nbis_2024" vbProcedure="false">In!$E$375</definedName>
    <definedName function="false" hidden="false" name="gcap_nbis_2025" vbProcedure="false">In!$E$376</definedName>
    <definedName function="false" hidden="false" name="gcap_nbis_2026" vbProcedure="false">In!$E$377</definedName>
    <definedName function="false" hidden="false" name="gcap_nbis_2027" vbProcedure="false">In!$E$378</definedName>
    <definedName function="false" hidden="false" name="gcap_nbis_2028" vbProcedure="false">In!$E$379</definedName>
    <definedName function="false" hidden="false" name="gcap_nbis_2029" vbProcedure="false">In!$E$380</definedName>
    <definedName function="false" hidden="false" name="gcap_nbis_2030" vbProcedure="false">In!$E$381</definedName>
    <definedName function="false" hidden="false" name="gcap_orcl_2024" vbProcedure="false">In!$E$286</definedName>
    <definedName function="false" hidden="false" name="gcap_orcl_2025" vbProcedure="false">In!$E$287</definedName>
    <definedName function="false" hidden="false" name="gcap_orcl_2026" vbProcedure="false">In!$E$288</definedName>
    <definedName function="false" hidden="false" name="gcap_orcl_2027" vbProcedure="false">In!$E$289</definedName>
    <definedName function="false" hidden="false" name="gcap_orcl_2028" vbProcedure="false">In!$E$290</definedName>
    <definedName function="false" hidden="false" name="gcap_orcl_2029" vbProcedure="false">In!$E$291</definedName>
    <definedName function="false" hidden="false" name="gcap_orcl_2030" vbProcedure="false">In!$E$292</definedName>
    <definedName function="false" hidden="false" name="hold_oth" vbProcedure="false">In!$E$47</definedName>
    <definedName function="false" hidden="false" name="hold_oth_hi" vbProcedure="false">In!$F$47</definedName>
    <definedName function="false" hidden="false" name="hold_oth_lo" vbProcedure="false">In!$D$47</definedName>
    <definedName function="false" hidden="false" name="inv_k" vbProcedure="false">In!$E$43</definedName>
    <definedName function="false" hidden="false" name="inv_k_hi" vbProcedure="false">In!$F$43</definedName>
    <definedName function="false" hidden="false" name="inv_k_lo" vbProcedure="false">In!$D$43</definedName>
    <definedName function="false" hidden="false" name="lag" vbProcedure="false">In!$E$42</definedName>
    <definedName function="false" hidden="false" name="lag_hi" vbProcedure="false">In!$F$42</definedName>
    <definedName function="false" hidden="false" name="lag_lo" vbProcedure="false">In!$D$42</definedName>
    <definedName function="false" hidden="false" name="main_amzn_2024" vbProcedure="false">In!$E$172</definedName>
    <definedName function="false" hidden="false" name="main_amzn_2025" vbProcedure="false">In!$E$177</definedName>
    <definedName function="false" hidden="false" name="main_amzn_2026" vbProcedure="false">In!$E$182</definedName>
    <definedName function="false" hidden="false" name="main_amzn_2027" vbProcedure="false">In!$E$187</definedName>
    <definedName function="false" hidden="false" name="main_amzn_2028" vbProcedure="false">In!$E$192</definedName>
    <definedName function="false" hidden="false" name="main_amzn_2029" vbProcedure="false">In!$E$197</definedName>
    <definedName function="false" hidden="false" name="main_crwv_2024" vbProcedure="false">In!$E$305</definedName>
    <definedName function="false" hidden="false" name="main_crwv_2025" vbProcedure="false">In!$E$310</definedName>
    <definedName function="false" hidden="false" name="main_crwv_2026" vbProcedure="false">In!$E$315</definedName>
    <definedName function="false" hidden="false" name="main_crwv_2027" vbProcedure="false">In!$E$320</definedName>
    <definedName function="false" hidden="false" name="main_crwv_2028" vbProcedure="false">In!$E$325</definedName>
    <definedName function="false" hidden="false" name="main_crwv_2029" vbProcedure="false">In!$E$330</definedName>
    <definedName function="false" hidden="false" name="main_googl_2024" vbProcedure="false">In!$E$128</definedName>
    <definedName function="false" hidden="false" name="main_googl_2025" vbProcedure="false">In!$E$133</definedName>
    <definedName function="false" hidden="false" name="main_googl_2026" vbProcedure="false">In!$E$138</definedName>
    <definedName function="false" hidden="false" name="main_googl_2027" vbProcedure="false">In!$E$143</definedName>
    <definedName function="false" hidden="false" name="main_googl_2028" vbProcedure="false">In!$E$148</definedName>
    <definedName function="false" hidden="false" name="main_googl_2029" vbProcedure="false">In!$E$153</definedName>
    <definedName function="false" hidden="false" name="main_meta_2024" vbProcedure="false">In!$E$216</definedName>
    <definedName function="false" hidden="false" name="main_meta_2025" vbProcedure="false">In!$E$221</definedName>
    <definedName function="false" hidden="false" name="main_meta_2026" vbProcedure="false">In!$E$226</definedName>
    <definedName function="false" hidden="false" name="main_meta_2027" vbProcedure="false">In!$E$231</definedName>
    <definedName function="false" hidden="false" name="main_meta_2028" vbProcedure="false">In!$E$236</definedName>
    <definedName function="false" hidden="false" name="main_meta_2029" vbProcedure="false">In!$E$241</definedName>
    <definedName function="false" hidden="false" name="main_msft_2024" vbProcedure="false">In!$E$83</definedName>
    <definedName function="false" hidden="false" name="main_msft_2025" vbProcedure="false">In!$E$88</definedName>
    <definedName function="false" hidden="false" name="main_msft_2026" vbProcedure="false">In!$E$93</definedName>
    <definedName function="false" hidden="false" name="main_msft_2027" vbProcedure="false">In!$E$98</definedName>
    <definedName function="false" hidden="false" name="main_msft_2028" vbProcedure="false">In!$E$103</definedName>
    <definedName function="false" hidden="false" name="main_msft_2029" vbProcedure="false">In!$E$108</definedName>
    <definedName function="false" hidden="false" name="main_nbis_2024" vbProcedure="false">In!$E$349</definedName>
    <definedName function="false" hidden="false" name="main_nbis_2025" vbProcedure="false">In!$E$354</definedName>
    <definedName function="false" hidden="false" name="main_nbis_2026" vbProcedure="false">In!$E$359</definedName>
    <definedName function="false" hidden="false" name="main_nbis_2027" vbProcedure="false">In!$E$364</definedName>
    <definedName function="false" hidden="false" name="main_nbis_2028" vbProcedure="false">In!$E$369</definedName>
    <definedName function="false" hidden="false" name="main_nbis_2029" vbProcedure="false">In!$E$374</definedName>
    <definedName function="false" hidden="false" name="main_orcl_2024" vbProcedure="false">In!$E$260</definedName>
    <definedName function="false" hidden="false" name="main_orcl_2025" vbProcedure="false">In!$E$265</definedName>
    <definedName function="false" hidden="false" name="main_orcl_2026" vbProcedure="false">In!$E$270</definedName>
    <definedName function="false" hidden="false" name="main_orcl_2027" vbProcedure="false">In!$E$275</definedName>
    <definedName function="false" hidden="false" name="main_orcl_2028" vbProcedure="false">In!$E$280</definedName>
    <definedName function="false" hidden="false" name="main_orcl_2029" vbProcedure="false">In!$E$285</definedName>
    <definedName function="false" hidden="false" name="nnv_amzn_2024" vbProcedure="false">In!$E$205</definedName>
    <definedName function="false" hidden="false" name="nnv_amzn_2025" vbProcedure="false">In!$E$206</definedName>
    <definedName function="false" hidden="false" name="nnv_amzn_2026" vbProcedure="false">In!$E$207</definedName>
    <definedName function="false" hidden="false" name="nnv_amzn_2027" vbProcedure="false">In!$E$208</definedName>
    <definedName function="false" hidden="false" name="nnv_amzn_2028" vbProcedure="false">In!$E$209</definedName>
    <definedName function="false" hidden="false" name="nnv_amzn_2029" vbProcedure="false">In!$E$210</definedName>
    <definedName function="false" hidden="false" name="nnv_ant_2024" vbProcedure="false">In!$E$420</definedName>
    <definedName function="false" hidden="false" name="nnv_ant_2025" vbProcedure="false">In!$E$421</definedName>
    <definedName function="false" hidden="false" name="nnv_ant_2026" vbProcedure="false">In!$E$422</definedName>
    <definedName function="false" hidden="false" name="nnv_ant_2027" vbProcedure="false">In!$E$423</definedName>
    <definedName function="false" hidden="false" name="nnv_ant_2028" vbProcedure="false">In!$E$424</definedName>
    <definedName function="false" hidden="false" name="nnv_ant_2029" vbProcedure="false">In!$E$425</definedName>
    <definedName function="false" hidden="false" name="nnv_crwv_2024" vbProcedure="false">In!$E$338</definedName>
    <definedName function="false" hidden="false" name="nnv_crwv_2025" vbProcedure="false">In!$E$339</definedName>
    <definedName function="false" hidden="false" name="nnv_crwv_2026" vbProcedure="false">In!$E$340</definedName>
    <definedName function="false" hidden="false" name="nnv_crwv_2027" vbProcedure="false">In!$E$341</definedName>
    <definedName function="false" hidden="false" name="nnv_crwv_2028" vbProcedure="false">In!$E$342</definedName>
    <definedName function="false" hidden="false" name="nnv_crwv_2029" vbProcedure="false">In!$E$343</definedName>
    <definedName function="false" hidden="false" name="nnv_googl_2024" vbProcedure="false">In!$E$161</definedName>
    <definedName function="false" hidden="false" name="nnv_googl_2025" vbProcedure="false">In!$E$162</definedName>
    <definedName function="false" hidden="false" name="nnv_googl_2026" vbProcedure="false">In!$E$163</definedName>
    <definedName function="false" hidden="false" name="nnv_googl_2027" vbProcedure="false">In!$E$164</definedName>
    <definedName function="false" hidden="false" name="nnv_googl_2028" vbProcedure="false">In!$E$165</definedName>
    <definedName function="false" hidden="false" name="nnv_googl_2029" vbProcedure="false">In!$E$166</definedName>
    <definedName function="false" hidden="false" name="nnv_meta_2024" vbProcedure="false">In!$E$249</definedName>
    <definedName function="false" hidden="false" name="nnv_meta_2025" vbProcedure="false">In!$E$250</definedName>
    <definedName function="false" hidden="false" name="nnv_meta_2026" vbProcedure="false">In!$E$251</definedName>
    <definedName function="false" hidden="false" name="nnv_meta_2027" vbProcedure="false">In!$E$252</definedName>
    <definedName function="false" hidden="false" name="nnv_meta_2028" vbProcedure="false">In!$E$253</definedName>
    <definedName function="false" hidden="false" name="nnv_meta_2029" vbProcedure="false">In!$E$254</definedName>
    <definedName function="false" hidden="false" name="nnv_mkt_2026" vbProcedure="false">In!$E$63</definedName>
    <definedName function="false" hidden="false" name="nnv_mkt_2027" vbProcedure="false">In!$E$64</definedName>
    <definedName function="false" hidden="false" name="nnv_mkt_2028" vbProcedure="false">In!$E$65</definedName>
    <definedName function="false" hidden="false" name="nnv_mkt_2029" vbProcedure="false">In!$E$66</definedName>
    <definedName function="false" hidden="false" name="nnv_msft_2024" vbProcedure="false">In!$E$117</definedName>
    <definedName function="false" hidden="false" name="nnv_msft_2025" vbProcedure="false">In!$E$118</definedName>
    <definedName function="false" hidden="false" name="nnv_msft_2026" vbProcedure="false">In!$E$119</definedName>
    <definedName function="false" hidden="false" name="nnv_msft_2027" vbProcedure="false">In!$E$120</definedName>
    <definedName function="false" hidden="false" name="nnv_msft_2028" vbProcedure="false">In!$E$121</definedName>
    <definedName function="false" hidden="false" name="nnv_msft_2029" vbProcedure="false">In!$E$122</definedName>
    <definedName function="false" hidden="false" name="nnv_nbis_2024" vbProcedure="false">In!$E$382</definedName>
    <definedName function="false" hidden="false" name="nnv_nbis_2025" vbProcedure="false">In!$E$383</definedName>
    <definedName function="false" hidden="false" name="nnv_nbis_2026" vbProcedure="false">In!$E$384</definedName>
    <definedName function="false" hidden="false" name="nnv_nbis_2027" vbProcedure="false">In!$E$385</definedName>
    <definedName function="false" hidden="false" name="nnv_nbis_2028" vbProcedure="false">In!$E$386</definedName>
    <definedName function="false" hidden="false" name="nnv_nbis_2029" vbProcedure="false">In!$E$387</definedName>
    <definedName function="false" hidden="false" name="nnv_orcl_2024" vbProcedure="false">In!$E$293</definedName>
    <definedName function="false" hidden="false" name="nnv_orcl_2025" vbProcedure="false">In!$E$294</definedName>
    <definedName function="false" hidden="false" name="nnv_orcl_2026" vbProcedure="false">In!$E$295</definedName>
    <definedName function="false" hidden="false" name="nnv_orcl_2027" vbProcedure="false">In!$E$296</definedName>
    <definedName function="false" hidden="false" name="nnv_orcl_2028" vbProcedure="false">In!$E$297</definedName>
    <definedName function="false" hidden="false" name="nnv_orcl_2029" vbProcedure="false">In!$E$298</definedName>
    <definedName function="false" hidden="false" name="nnv_xai_2024" vbProcedure="false">In!$E$402</definedName>
    <definedName function="false" hidden="false" name="nnv_xai_2025" vbProcedure="false">In!$E$403</definedName>
    <definedName function="false" hidden="false" name="nnv_xai_2026" vbProcedure="false">In!$E$404</definedName>
    <definedName function="false" hidden="false" name="nnv_xai_2027" vbProcedure="false">In!$E$405</definedName>
    <definedName function="false" hidden="false" name="nnv_xai_2028" vbProcedure="false">In!$E$406</definedName>
    <definedName function="false" hidden="false" name="nnv_xai_2029" vbProcedure="false">In!$E$407</definedName>
    <definedName function="false" hidden="false" name="nvc_gb_jh" vbProcedure="false">In!$E$51</definedName>
    <definedName function="false" hidden="false" name="nvc_gb_tk" vbProcedure="false">In!$E$50</definedName>
    <definedName function="false" hidden="false" name="nv_dc_25" vbProcedure="false">In!$E$48</definedName>
    <definedName function="false" hidden="false" name="nv_dc_26" vbProcedure="false">In!$E$49</definedName>
    <definedName function="false" hidden="false" name="oth_ye_2025" vbProcedure="false">In!$E$71</definedName>
    <definedName function="false" hidden="false" name="pfacN_2024" vbProcedure="false">In!$E$391</definedName>
    <definedName function="false" hidden="false" name="pfacN_2025" vbProcedure="false">In!$E$393</definedName>
    <definedName function="false" hidden="false" name="pfacN_2026" vbProcedure="false">In!$E$395</definedName>
    <definedName function="false" hidden="false" name="pfacN_2027" vbProcedure="false">In!$E$397</definedName>
    <definedName function="false" hidden="false" name="pfacN_2028" vbProcedure="false">In!$E$399</definedName>
    <definedName function="false" hidden="false" name="pfacN_2029" vbProcedure="false">In!$E$401</definedName>
    <definedName function="false" hidden="false" name="pfac_amzn_2024" vbProcedure="false">In!$E$169</definedName>
    <definedName function="false" hidden="false" name="pfac_amzn_2025" vbProcedure="false">In!$E$174</definedName>
    <definedName function="false" hidden="false" name="pfac_amzn_2026" vbProcedure="false">In!$E$179</definedName>
    <definedName function="false" hidden="false" name="pfac_amzn_2027" vbProcedure="false">In!$E$184</definedName>
    <definedName function="false" hidden="false" name="pfac_amzn_2028" vbProcedure="false">In!$E$189</definedName>
    <definedName function="false" hidden="false" name="pfac_amzn_2029" vbProcedure="false">In!$E$194</definedName>
    <definedName function="false" hidden="false" name="pfac_crwv_2024" vbProcedure="false">In!$E$302</definedName>
    <definedName function="false" hidden="false" name="pfac_crwv_2025" vbProcedure="false">In!$E$307</definedName>
    <definedName function="false" hidden="false" name="pfac_crwv_2026" vbProcedure="false">In!$E$312</definedName>
    <definedName function="false" hidden="false" name="pfac_crwv_2027" vbProcedure="false">In!$E$317</definedName>
    <definedName function="false" hidden="false" name="pfac_crwv_2028" vbProcedure="false">In!$E$322</definedName>
    <definedName function="false" hidden="false" name="pfac_crwv_2029" vbProcedure="false">In!$E$327</definedName>
    <definedName function="false" hidden="false" name="pfac_googl_2024" vbProcedure="false">In!$E$125</definedName>
    <definedName function="false" hidden="false" name="pfac_googl_2025" vbProcedure="false">In!$E$130</definedName>
    <definedName function="false" hidden="false" name="pfac_googl_2026" vbProcedure="false">In!$E$135</definedName>
    <definedName function="false" hidden="false" name="pfac_googl_2027" vbProcedure="false">In!$E$140</definedName>
    <definedName function="false" hidden="false" name="pfac_googl_2028" vbProcedure="false">In!$E$145</definedName>
    <definedName function="false" hidden="false" name="pfac_googl_2029" vbProcedure="false">In!$E$150</definedName>
    <definedName function="false" hidden="false" name="pfac_meta_2024" vbProcedure="false">In!$E$213</definedName>
    <definedName function="false" hidden="false" name="pfac_meta_2025" vbProcedure="false">In!$E$218</definedName>
    <definedName function="false" hidden="false" name="pfac_meta_2026" vbProcedure="false">In!$E$223</definedName>
    <definedName function="false" hidden="false" name="pfac_meta_2027" vbProcedure="false">In!$E$228</definedName>
    <definedName function="false" hidden="false" name="pfac_meta_2028" vbProcedure="false">In!$E$233</definedName>
    <definedName function="false" hidden="false" name="pfac_meta_2029" vbProcedure="false">In!$E$238</definedName>
    <definedName function="false" hidden="false" name="pfac_msft_2024" vbProcedure="false">In!$E$80</definedName>
    <definedName function="false" hidden="false" name="pfac_msft_2025" vbProcedure="false">In!$E$85</definedName>
    <definedName function="false" hidden="false" name="pfac_msft_2026" vbProcedure="false">In!$E$90</definedName>
    <definedName function="false" hidden="false" name="pfac_msft_2027" vbProcedure="false">In!$E$95</definedName>
    <definedName function="false" hidden="false" name="pfac_msft_2028" vbProcedure="false">In!$E$100</definedName>
    <definedName function="false" hidden="false" name="pfac_msft_2029" vbProcedure="false">In!$E$105</definedName>
    <definedName function="false" hidden="false" name="pfac_nbis_2024" vbProcedure="false">In!$E$346</definedName>
    <definedName function="false" hidden="false" name="pfac_nbis_2025" vbProcedure="false">In!$E$351</definedName>
    <definedName function="false" hidden="false" name="pfac_nbis_2026" vbProcedure="false">In!$E$356</definedName>
    <definedName function="false" hidden="false" name="pfac_nbis_2027" vbProcedure="false">In!$E$361</definedName>
    <definedName function="false" hidden="false" name="pfac_nbis_2028" vbProcedure="false">In!$E$366</definedName>
    <definedName function="false" hidden="false" name="pfac_nbis_2029" vbProcedure="false">In!$E$371</definedName>
    <definedName function="false" hidden="false" name="pfac_orcl_2024" vbProcedure="false">In!$E$257</definedName>
    <definedName function="false" hidden="false" name="pfac_orcl_2025" vbProcedure="false">In!$E$262</definedName>
    <definedName function="false" hidden="false" name="pfac_orcl_2026" vbProcedure="false">In!$E$267</definedName>
    <definedName function="false" hidden="false" name="pfac_orcl_2027" vbProcedure="false">In!$E$272</definedName>
    <definedName function="false" hidden="false" name="pfac_orcl_2028" vbProcedure="false">In!$E$277</definedName>
    <definedName function="false" hidden="false" name="pfac_orcl_2029" vbProcedure="false">In!$E$282</definedName>
    <definedName function="false" hidden="false" name="pgw_vr" vbProcedure="false">In!$E$46</definedName>
    <definedName function="false" hidden="false" name="pgw_vr_hi" vbProcedure="false">In!$F$46</definedName>
    <definedName function="false" hidden="false" name="pgw_vr_lo" vbProcedure="false">In!$D$46</definedName>
    <definedName function="false" hidden="false" name="pitN_2024" vbProcedure="false">In!$E$390</definedName>
    <definedName function="false" hidden="false" name="pitN_2025" vbProcedure="false">In!$E$392</definedName>
    <definedName function="false" hidden="false" name="pitN_2026" vbProcedure="false">In!$E$394</definedName>
    <definedName function="false" hidden="false" name="pitN_2027" vbProcedure="false">In!$E$396</definedName>
    <definedName function="false" hidden="false" name="pitN_2028" vbProcedure="false">In!$E$398</definedName>
    <definedName function="false" hidden="false" name="pitN_2029" vbProcedure="false">In!$E$400</definedName>
    <definedName function="false" hidden="false" name="pit_amzn_2024" vbProcedure="false">In!$E$168</definedName>
    <definedName function="false" hidden="false" name="pit_amzn_2025" vbProcedure="false">In!$E$173</definedName>
    <definedName function="false" hidden="false" name="pit_amzn_2026" vbProcedure="false">In!$E$178</definedName>
    <definedName function="false" hidden="false" name="pit_amzn_2027" vbProcedure="false">In!$E$183</definedName>
    <definedName function="false" hidden="false" name="pit_amzn_2028" vbProcedure="false">In!$E$188</definedName>
    <definedName function="false" hidden="false" name="pit_amzn_2029" vbProcedure="false">In!$E$193</definedName>
    <definedName function="false" hidden="false" name="pit_crwv_2024" vbProcedure="false">In!$E$301</definedName>
    <definedName function="false" hidden="false" name="pit_crwv_2025" vbProcedure="false">In!$E$306</definedName>
    <definedName function="false" hidden="false" name="pit_crwv_2026" vbProcedure="false">In!$E$311</definedName>
    <definedName function="false" hidden="false" name="pit_crwv_2027" vbProcedure="false">In!$E$316</definedName>
    <definedName function="false" hidden="false" name="pit_crwv_2028" vbProcedure="false">In!$E$321</definedName>
    <definedName function="false" hidden="false" name="pit_crwv_2029" vbProcedure="false">In!$E$326</definedName>
    <definedName function="false" hidden="false" name="pit_googl_2024" vbProcedure="false">In!$E$124</definedName>
    <definedName function="false" hidden="false" name="pit_googl_2025" vbProcedure="false">In!$E$129</definedName>
    <definedName function="false" hidden="false" name="pit_googl_2026" vbProcedure="false">In!$E$134</definedName>
    <definedName function="false" hidden="false" name="pit_googl_2027" vbProcedure="false">In!$E$139</definedName>
    <definedName function="false" hidden="false" name="pit_googl_2028" vbProcedure="false">In!$E$144</definedName>
    <definedName function="false" hidden="false" name="pit_googl_2029" vbProcedure="false">In!$E$149</definedName>
    <definedName function="false" hidden="false" name="pit_meta_2024" vbProcedure="false">In!$E$212</definedName>
    <definedName function="false" hidden="false" name="pit_meta_2025" vbProcedure="false">In!$E$217</definedName>
    <definedName function="false" hidden="false" name="pit_meta_2026" vbProcedure="false">In!$E$222</definedName>
    <definedName function="false" hidden="false" name="pit_meta_2027" vbProcedure="false">In!$E$227</definedName>
    <definedName function="false" hidden="false" name="pit_meta_2028" vbProcedure="false">In!$E$232</definedName>
    <definedName function="false" hidden="false" name="pit_meta_2029" vbProcedure="false">In!$E$237</definedName>
    <definedName function="false" hidden="false" name="pit_msft_2024" vbProcedure="false">In!$E$79</definedName>
    <definedName function="false" hidden="false" name="pit_msft_2025" vbProcedure="false">In!$E$84</definedName>
    <definedName function="false" hidden="false" name="pit_msft_2026" vbProcedure="false">In!$E$89</definedName>
    <definedName function="false" hidden="false" name="pit_msft_2027" vbProcedure="false">In!$E$94</definedName>
    <definedName function="false" hidden="false" name="pit_msft_2028" vbProcedure="false">In!$E$99</definedName>
    <definedName function="false" hidden="false" name="pit_msft_2029" vbProcedure="false">In!$E$104</definedName>
    <definedName function="false" hidden="false" name="pit_nbis_2024" vbProcedure="false">In!$E$345</definedName>
    <definedName function="false" hidden="false" name="pit_nbis_2025" vbProcedure="false">In!$E$350</definedName>
    <definedName function="false" hidden="false" name="pit_nbis_2026" vbProcedure="false">In!$E$355</definedName>
    <definedName function="false" hidden="false" name="pit_nbis_2027" vbProcedure="false">In!$E$360</definedName>
    <definedName function="false" hidden="false" name="pit_nbis_2028" vbProcedure="false">In!$E$365</definedName>
    <definedName function="false" hidden="false" name="pit_nbis_2029" vbProcedure="false">In!$E$370</definedName>
    <definedName function="false" hidden="false" name="pit_orcl_2024" vbProcedure="false">In!$E$256</definedName>
    <definedName function="false" hidden="false" name="pit_orcl_2025" vbProcedure="false">In!$E$261</definedName>
    <definedName function="false" hidden="false" name="pit_orcl_2026" vbProcedure="false">In!$E$266</definedName>
    <definedName function="false" hidden="false" name="pit_orcl_2027" vbProcedure="false">In!$E$271</definedName>
    <definedName function="false" hidden="false" name="pit_orcl_2028" vbProcedure="false">In!$E$276</definedName>
    <definedName function="false" hidden="false" name="pit_orcl_2029" vbProcedure="false">In!$E$281</definedName>
    <definedName function="false" hidden="false" name="retire" vbProcedure="false">In!$E$44</definedName>
    <definedName function="false" hidden="false" name="retire_hi" vbProcedure="false">In!$F$44</definedName>
    <definedName function="false" hidden="false" name="retire_lo" vbProcedure="false">In!$D$44</definedName>
    <definedName function="false" hidden="false" name="site_amzn_2024" vbProcedure="false">In!$E$171</definedName>
    <definedName function="false" hidden="false" name="site_amzn_2025" vbProcedure="false">In!$E$176</definedName>
    <definedName function="false" hidden="false" name="site_amzn_2026" vbProcedure="false">In!$E$181</definedName>
    <definedName function="false" hidden="false" name="site_amzn_2027" vbProcedure="false">In!$E$186</definedName>
    <definedName function="false" hidden="false" name="site_amzn_2028" vbProcedure="false">In!$E$191</definedName>
    <definedName function="false" hidden="false" name="site_amzn_2029" vbProcedure="false">In!$E$196</definedName>
    <definedName function="false" hidden="false" name="site_ant_2024" vbProcedure="false">In!$E$426</definedName>
    <definedName function="false" hidden="false" name="site_ant_2025" vbProcedure="false">In!$E$427</definedName>
    <definedName function="false" hidden="false" name="site_ant_2026" vbProcedure="false">In!$E$428</definedName>
    <definedName function="false" hidden="false" name="site_ant_2027" vbProcedure="false">In!$E$429</definedName>
    <definedName function="false" hidden="false" name="site_ant_2028" vbProcedure="false">In!$E$430</definedName>
    <definedName function="false" hidden="false" name="site_ant_2029" vbProcedure="false">In!$E$431</definedName>
    <definedName function="false" hidden="false" name="site_crwv_2024" vbProcedure="false">In!$E$304</definedName>
    <definedName function="false" hidden="false" name="site_crwv_2025" vbProcedure="false">In!$E$309</definedName>
    <definedName function="false" hidden="false" name="site_crwv_2026" vbProcedure="false">In!$E$314</definedName>
    <definedName function="false" hidden="false" name="site_crwv_2027" vbProcedure="false">In!$E$319</definedName>
    <definedName function="false" hidden="false" name="site_crwv_2028" vbProcedure="false">In!$E$324</definedName>
    <definedName function="false" hidden="false" name="site_crwv_2029" vbProcedure="false">In!$E$329</definedName>
    <definedName function="false" hidden="false" name="site_googl_2024" vbProcedure="false">In!$E$127</definedName>
    <definedName function="false" hidden="false" name="site_googl_2025" vbProcedure="false">In!$E$132</definedName>
    <definedName function="false" hidden="false" name="site_googl_2026" vbProcedure="false">In!$E$137</definedName>
    <definedName function="false" hidden="false" name="site_googl_2027" vbProcedure="false">In!$E$142</definedName>
    <definedName function="false" hidden="false" name="site_googl_2028" vbProcedure="false">In!$E$147</definedName>
    <definedName function="false" hidden="false" name="site_googl_2029" vbProcedure="false">In!$E$152</definedName>
    <definedName function="false" hidden="false" name="site_meta_2024" vbProcedure="false">In!$E$215</definedName>
    <definedName function="false" hidden="false" name="site_meta_2025" vbProcedure="false">In!$E$220</definedName>
    <definedName function="false" hidden="false" name="site_meta_2026" vbProcedure="false">In!$E$225</definedName>
    <definedName function="false" hidden="false" name="site_meta_2027" vbProcedure="false">In!$E$230</definedName>
    <definedName function="false" hidden="false" name="site_meta_2028" vbProcedure="false">In!$E$235</definedName>
    <definedName function="false" hidden="false" name="site_meta_2029" vbProcedure="false">In!$E$240</definedName>
    <definedName function="false" hidden="false" name="site_msft_2024" vbProcedure="false">In!$E$82</definedName>
    <definedName function="false" hidden="false" name="site_msft_2025" vbProcedure="false">In!$E$87</definedName>
    <definedName function="false" hidden="false" name="site_msft_2026" vbProcedure="false">In!$E$92</definedName>
    <definedName function="false" hidden="false" name="site_msft_2027" vbProcedure="false">In!$E$97</definedName>
    <definedName function="false" hidden="false" name="site_msft_2028" vbProcedure="false">In!$E$102</definedName>
    <definedName function="false" hidden="false" name="site_msft_2029" vbProcedure="false">In!$E$107</definedName>
    <definedName function="false" hidden="false" name="site_nbis_2024" vbProcedure="false">In!$E$348</definedName>
    <definedName function="false" hidden="false" name="site_nbis_2025" vbProcedure="false">In!$E$353</definedName>
    <definedName function="false" hidden="false" name="site_nbis_2026" vbProcedure="false">In!$E$358</definedName>
    <definedName function="false" hidden="false" name="site_nbis_2027" vbProcedure="false">In!$E$363</definedName>
    <definedName function="false" hidden="false" name="site_nbis_2028" vbProcedure="false">In!$E$368</definedName>
    <definedName function="false" hidden="false" name="site_nbis_2029" vbProcedure="false">In!$E$373</definedName>
    <definedName function="false" hidden="false" name="site_orcl_2024" vbProcedure="false">In!$E$259</definedName>
    <definedName function="false" hidden="false" name="site_orcl_2025" vbProcedure="false">In!$E$264</definedName>
    <definedName function="false" hidden="false" name="site_orcl_2026" vbProcedure="false">In!$E$269</definedName>
    <definedName function="false" hidden="false" name="site_orcl_2027" vbProcedure="false">In!$E$274</definedName>
    <definedName function="false" hidden="false" name="site_orcl_2028" vbProcedure="false">In!$E$279</definedName>
    <definedName function="false" hidden="false" name="site_orcl_2029" vbProcedure="false">In!$E$284</definedName>
    <definedName function="false" hidden="false" name="site_xai_2024" vbProcedure="false">In!$E$408</definedName>
    <definedName function="false" hidden="false" name="site_xai_2025" vbProcedure="false">In!$E$409</definedName>
    <definedName function="false" hidden="false" name="site_xai_2026" vbProcedure="false">In!$E$410</definedName>
    <definedName function="false" hidden="false" name="site_xai_2027" vbProcedure="false">In!$E$411</definedName>
    <definedName function="false" hidden="false" name="site_xai_2028" vbProcedure="false">In!$E$412</definedName>
    <definedName function="false" hidden="false" name="site_xai_2029" vbProcedure="false">In!$E$413</definedName>
    <definedName function="false" hidden="false" name="s_b10_2026" vbProcedure="false">In!$E$38</definedName>
    <definedName function="false" hidden="false" name="s_b10_2027" vbProcedure="false">In!$E$39</definedName>
    <definedName function="false" hidden="false" name="s_b10_2028" vbProcedure="false">In!$E$40</definedName>
    <definedName function="false" hidden="false" name="s_b10_2029" vbProcedure="false">In!$E$41</definedName>
    <definedName function="false" hidden="false" name="s_b1_2026" vbProcedure="false">In!$E$5</definedName>
    <definedName function="false" hidden="false" name="s_b1_2027" vbProcedure="false">In!$E$6</definedName>
    <definedName function="false" hidden="false" name="s_b1_2028" vbProcedure="false">In!$E$7</definedName>
    <definedName function="false" hidden="false" name="s_b1_2029" vbProcedure="false">In!$E$8</definedName>
    <definedName function="false" hidden="false" name="s_b2_2026" vbProcedure="false">In!$E$9</definedName>
    <definedName function="false" hidden="false" name="s_b2_2027" vbProcedure="false">In!$E$10</definedName>
    <definedName function="false" hidden="false" name="s_b2_2028" vbProcedure="false">In!$E$11</definedName>
    <definedName function="false" hidden="false" name="s_b2_2029" vbProcedure="false">In!$E$12</definedName>
    <definedName function="false" hidden="false" name="s_b3_2025" vbProcedure="false">In!$E$13</definedName>
    <definedName function="false" hidden="false" name="s_b3_2026" vbProcedure="false">In!$E$14</definedName>
    <definedName function="false" hidden="false" name="s_b3_2027" vbProcedure="false">In!$E$15</definedName>
    <definedName function="false" hidden="false" name="s_b3_2028" vbProcedure="false">In!$E$16</definedName>
    <definedName function="false" hidden="false" name="s_b3_2029" vbProcedure="false">In!$E$17</definedName>
    <definedName function="false" hidden="false" name="s_b4_2026" vbProcedure="false">In!$E$18</definedName>
    <definedName function="false" hidden="false" name="s_b4_2027" vbProcedure="false">In!$E$19</definedName>
    <definedName function="false" hidden="false" name="s_b4_2028" vbProcedure="false">In!$E$20</definedName>
    <definedName function="false" hidden="false" name="s_b4_2029" vbProcedure="false">In!$E$21</definedName>
    <definedName function="false" hidden="false" name="s_b5_2026" vbProcedure="false">In!$E$22</definedName>
    <definedName function="false" hidden="false" name="s_b5_2027" vbProcedure="false">In!$E$23</definedName>
    <definedName function="false" hidden="false" name="s_b5_2028" vbProcedure="false">In!$E$24</definedName>
    <definedName function="false" hidden="false" name="s_b5_2029" vbProcedure="false">In!$E$25</definedName>
    <definedName function="false" hidden="false" name="s_b6_2026" vbProcedure="false">In!$E$26</definedName>
    <definedName function="false" hidden="false" name="s_b6_2027" vbProcedure="false">In!$E$27</definedName>
    <definedName function="false" hidden="false" name="s_b6_2028" vbProcedure="false">In!$E$28</definedName>
    <definedName function="false" hidden="false" name="s_b6_2029" vbProcedure="false">In!$E$29</definedName>
    <definedName function="false" hidden="false" name="s_b7m_2026" vbProcedure="false">In!$E$30</definedName>
    <definedName function="false" hidden="false" name="s_b7m_2027" vbProcedure="false">In!$E$31</definedName>
    <definedName function="false" hidden="false" name="s_b7m_2028" vbProcedure="false">In!$E$32</definedName>
    <definedName function="false" hidden="false" name="s_b7m_2029" vbProcedure="false">In!$E$33</definedName>
    <definedName function="false" hidden="false" name="s_b8_2026" vbProcedure="false">In!$E$34</definedName>
    <definedName function="false" hidden="false" name="s_b8_2027" vbProcedure="false">In!$E$35</definedName>
    <definedName function="false" hidden="false" name="s_b8_2028" vbProcedure="false">In!$E$36</definedName>
    <definedName function="false" hidden="false" name="s_b8_2029" vbProcedure="false">In!$E$37</definedName>
    <definedName function="false" hidden="false" name="s_cap_oth_2026" vbProcedure="false">In!$E$45</definedName>
    <definedName function="false" hidden="false" name="tolband" vbProcedure="false">In!$E$72</definedName>
    <definedName function="false" hidden="false" name="tolband_hi" vbProcedure="false">In!$F$72</definedName>
    <definedName function="false" hidden="false" name="tolband_lo" vbProcedure="false">In!$D$72</definedName>
    <definedName function="false" hidden="false" name="wb1" vbProcedure="false">In!$E$73</definedName>
    <definedName function="false" hidden="false" name="wb1_hi" vbProcedure="false">In!$F$73</definedName>
    <definedName function="false" hidden="false" name="wb1_lo" vbProcedure="false">In!$D$73</definedName>
    <definedName function="false" hidden="false" name="wb2" vbProcedure="false">In!$E$74</definedName>
    <definedName function="false" hidden="false" name="wb2_hi" vbProcedure="false">In!$F$74</definedName>
    <definedName function="false" hidden="false" name="wb2_lo" vbProcedure="false">In!$D$74</definedName>
    <definedName function="false" hidden="false" name="wt_new_2025" vbProcedure="false">In!$E$53</definedName>
    <definedName function="false" hidden="false" name="wt_new_2026" vbProcedure="false">In!$E$54</definedName>
    <definedName function="false" hidden="false" name="wt_new_2027" vbProcedure="false">In!$E$55</definedName>
    <definedName function="false" hidden="false" name="wt_new_2028" vbProcedure="false">In!$E$56</definedName>
    <definedName function="false" hidden="false" name="wt_new_2029" vbProcedure="false">In!$E$57</definedName>
    <definedName function="false" hidden="false" name="wt_ye_2025" vbProcedure="false">In!$E$58</definedName>
    <definedName function="false" hidden="false" name="wt_ye_2026" vbProcedure="false">In!$E$59</definedName>
    <definedName function="false" hidden="false" name="wt_ye_2027" vbProcedure="false">In!$E$60</definedName>
    <definedName function="false" hidden="false" name="wt_ye_2028" vbProcedure="false">In!$E$61</definedName>
    <definedName function="false" hidden="false" name="wt_ye_2029" vbProcedure="false">In!$E$62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<sst xmlns="http://schemas.openxmlformats.org/spreadsheetml/2006/main" count="3914" uniqueCount="2281">
  <si>
    <r>
      <rPr>
        <b val="true"/>
        <sz val="11"/>
        <rFont val="Cambria"/>
        <family val="0"/>
        <charset val="1"/>
      </rPr>
      <t xml:space="preserve">In — R4 Wattonomics </t>
    </r>
    <r>
      <rPr>
        <b val="true"/>
        <sz val="11"/>
        <rFont val="Noto Sans CJK SC"/>
        <family val="2"/>
      </rPr>
      <t xml:space="preserve">側歸因的輸入。藍字＝輸入：取自 </t>
    </r>
    <r>
      <rPr>
        <b val="true"/>
        <sz val="11"/>
        <rFont val="Cambria"/>
        <family val="0"/>
        <charset val="1"/>
      </rPr>
      <t xml:space="preserve">20261031_Wattonomics_v0.1.7.xlsx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Wattonomics v0.1.7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20261031_R4</t>
    </r>
    <r>
      <rPr>
        <b val="true"/>
        <sz val="11"/>
        <rFont val="Noto Sans CJK SC"/>
        <family val="2"/>
      </rPr>
      <t xml:space="preserve">對帳橋接</t>
    </r>
    <r>
      <rPr>
        <b val="true"/>
        <sz val="11"/>
        <rFont val="Cambria"/>
        <family val="0"/>
        <charset val="1"/>
      </rPr>
      <t xml:space="preserve">_Siliconomics</t>
    </r>
    <r>
      <rPr>
        <b val="true"/>
        <sz val="11"/>
        <rFont val="Noto Sans CJK SC"/>
        <family val="2"/>
      </rPr>
      <t xml:space="preserve">側</t>
    </r>
    <r>
      <rPr>
        <b val="true"/>
        <sz val="11"/>
        <rFont val="Cambria"/>
        <family val="0"/>
        <charset val="1"/>
      </rPr>
      <t xml:space="preserve">_r1.xlsx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Siliconomics </t>
    </r>
    <r>
      <rPr>
        <b val="true"/>
        <sz val="11"/>
        <rFont val="Noto Sans CJK SC"/>
        <family val="2"/>
      </rPr>
      <t xml:space="preserve">側 </t>
    </r>
    <r>
      <rPr>
        <b val="true"/>
        <sz val="11"/>
        <rFont val="Cambria"/>
        <family val="0"/>
        <charset val="1"/>
      </rPr>
      <t xml:space="preserve">r1</t>
    </r>
    <r>
      <rPr>
        <b val="true"/>
        <sz val="11"/>
        <rFont val="Noto Sans CJK SC"/>
        <family val="2"/>
      </rPr>
      <t xml:space="preserve">）；低／高為敏感度。標記沿用專案規則。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</si>
  <si>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</si>
  <si>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</si>
  <si>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</si>
  <si>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</si>
  <si>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</si>
  <si>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</si>
  <si>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</si>
  <si>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</t>
  </si>
  <si>
    <r>
      <rPr>
        <b val="true"/>
        <sz val="11"/>
        <rFont val="Cambria"/>
        <family val="0"/>
        <charset val="1"/>
      </rPr>
      <t xml:space="preserve">A. Siliconomics </t>
    </r>
    <r>
      <rPr>
        <b val="true"/>
        <sz val="11"/>
        <rFont val="Noto Sans CJK SC"/>
        <family val="2"/>
      </rPr>
      <t xml:space="preserve">側 </t>
    </r>
    <r>
      <rPr>
        <b val="true"/>
        <sz val="11"/>
        <rFont val="Cambria"/>
        <family val="0"/>
        <charset val="1"/>
      </rPr>
      <t xml:space="preserve">R4 </t>
    </r>
    <r>
      <rPr>
        <b val="true"/>
        <sz val="11"/>
        <rFont val="Noto Sans CJK SC"/>
        <family val="2"/>
      </rPr>
      <t xml:space="preserve">橋接 </t>
    </r>
    <r>
      <rPr>
        <b val="true"/>
        <sz val="11"/>
        <rFont val="Cambria"/>
        <family val="0"/>
        <charset val="1"/>
      </rPr>
      <t xml:space="preserve">r1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Bridge </t>
    </r>
    <r>
      <rPr>
        <b val="true"/>
        <sz val="11"/>
        <rFont val="Noto Sans CJK SC"/>
        <family val="2"/>
      </rPr>
      <t xml:space="preserve">頁值）</t>
    </r>
  </si>
  <si>
    <t xml:space="preserve">s_b1_2026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</si>
  <si>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（成本等值；出貨年） </t>
    </r>
    <r>
      <rPr>
        <sz val="11"/>
        <color theme="1"/>
        <rFont val="Calibri"/>
        <family val="2"/>
        <charset val="1"/>
      </rPr>
      <t xml:space="preserve">2026</t>
    </r>
  </si>
  <si>
    <t xml:space="preserve">GW</t>
  </si>
  <si>
    <t xml:space="preserve">Derived</t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</si>
  <si>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Bridge!E4</t>
    </r>
  </si>
  <si>
    <t xml:space="preserve">s_b1_2027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</si>
  <si>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（成本等值；出貨年）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</si>
  <si>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Bridge!F4</t>
    </r>
  </si>
  <si>
    <t xml:space="preserve">s_b1_2028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</si>
  <si>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（成本等值；出貨年）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</si>
  <si>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Bridge!G4</t>
    </r>
  </si>
  <si>
    <t xml:space="preserve">s_b1_2029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</si>
  <si>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（成本等值；出貨年）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</si>
  <si>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Bridge!H4</t>
    </r>
  </si>
  <si>
    <t xml:space="preserve">s_b2_2026</t>
  </si>
  <si>
    <r>
      <rPr>
        <sz val="11"/>
        <color theme="1"/>
        <rFont val="Noto Sans CJK SC"/>
        <family val="2"/>
      </rPr>
      <t xml:space="preserve">① 成本等值 → 實體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</si>
  <si>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Bridge!E7</t>
    </r>
  </si>
  <si>
    <t xml:space="preserve">s_b2_2027</t>
  </si>
  <si>
    <r>
      <rPr>
        <sz val="11"/>
        <color theme="1"/>
        <rFont val="Noto Sans CJK SC"/>
        <family val="2"/>
      </rPr>
      <t xml:space="preserve">① 成本等值 → 實體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</si>
  <si>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Bridge!F7</t>
    </r>
  </si>
  <si>
    <t xml:space="preserve">s_b2_2028</t>
  </si>
  <si>
    <r>
      <rPr>
        <sz val="11"/>
        <color theme="1"/>
        <rFont val="Noto Sans CJK SC"/>
        <family val="2"/>
      </rPr>
      <t xml:space="preserve">① 成本等值 → 實體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</si>
  <si>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Bridge!G7</t>
    </r>
  </si>
  <si>
    <t xml:space="preserve">s_b2_2029</t>
  </si>
  <si>
    <r>
      <rPr>
        <sz val="11"/>
        <color theme="1"/>
        <rFont val="Noto Sans CJK SC"/>
        <family val="2"/>
      </rPr>
      <t xml:space="preserve">① 成本等值 → 實體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</si>
  <si>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Bridge!H7</t>
    </r>
  </si>
  <si>
    <t xml:space="preserve">s_b3_2025</t>
  </si>
  <si>
    <r>
      <rPr>
        <sz val="11"/>
        <color theme="1"/>
        <rFont val="Noto Sans CJK SC"/>
        <family val="2"/>
      </rPr>
      <t xml:space="preserve">實體出貨 </t>
    </r>
    <r>
      <rPr>
        <sz val="11"/>
        <color theme="1"/>
        <rFont val="Calibri"/>
        <family val="2"/>
        <charset val="1"/>
      </rPr>
      <t xml:space="preserve">GW 2025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</si>
  <si>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Bridge!D8</t>
    </r>
  </si>
  <si>
    <t xml:space="preserve">s_b3_2026</t>
  </si>
  <si>
    <r>
      <rPr>
        <sz val="11"/>
        <color theme="1"/>
        <rFont val="Noto Sans CJK SC"/>
        <family val="2"/>
      </rPr>
      <t xml:space="preserve">實體出貨 </t>
    </r>
    <r>
      <rPr>
        <sz val="11"/>
        <color theme="1"/>
        <rFont val="Calibri"/>
        <family val="2"/>
        <charset val="1"/>
      </rPr>
      <t xml:space="preserve">GW 2026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</si>
  <si>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Bridge!E8</t>
    </r>
  </si>
  <si>
    <t xml:space="preserve">s_b3_2027</t>
  </si>
  <si>
    <r>
      <rPr>
        <sz val="11"/>
        <color theme="1"/>
        <rFont val="Noto Sans CJK SC"/>
        <family val="2"/>
      </rPr>
      <t xml:space="preserve">實體出貨 </t>
    </r>
    <r>
      <rPr>
        <sz val="11"/>
        <color theme="1"/>
        <rFont val="Calibri"/>
        <family val="2"/>
        <charset val="1"/>
      </rPr>
      <t xml:space="preserve">GW 2027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</si>
  <si>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Bridge!F8</t>
    </r>
  </si>
  <si>
    <t xml:space="preserve">s_b3_2028</t>
  </si>
  <si>
    <r>
      <rPr>
        <sz val="11"/>
        <color theme="1"/>
        <rFont val="Noto Sans CJK SC"/>
        <family val="2"/>
      </rPr>
      <t xml:space="preserve">實體出貨 </t>
    </r>
    <r>
      <rPr>
        <sz val="11"/>
        <color theme="1"/>
        <rFont val="Calibri"/>
        <family val="2"/>
        <charset val="1"/>
      </rPr>
      <t xml:space="preserve">GW 2028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</si>
  <si>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Bridge!G8</t>
    </r>
  </si>
  <si>
    <t xml:space="preserve">s_b3_2029</t>
  </si>
  <si>
    <r>
      <rPr>
        <sz val="11"/>
        <color theme="1"/>
        <rFont val="Noto Sans CJK SC"/>
        <family val="2"/>
      </rPr>
      <t xml:space="preserve">實體出貨 </t>
    </r>
    <r>
      <rPr>
        <sz val="11"/>
        <color theme="1"/>
        <rFont val="Calibri"/>
        <family val="2"/>
        <charset val="1"/>
      </rPr>
      <t xml:space="preserve">GW 2029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</si>
  <si>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Bridge!H8</t>
    </r>
  </si>
  <si>
    <t xml:space="preserve">s_b4_2026</t>
  </si>
  <si>
    <r>
      <rPr>
        <sz val="11"/>
        <color theme="1"/>
        <rFont val="Noto Sans CJK SC"/>
        <family val="2"/>
      </rPr>
      <t xml:space="preserve">② 出貨年 → 上線年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</si>
  <si>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Bridge!E9</t>
    </r>
  </si>
  <si>
    <t xml:space="preserve">s_b4_2027</t>
  </si>
  <si>
    <r>
      <rPr>
        <sz val="11"/>
        <color theme="1"/>
        <rFont val="Noto Sans CJK SC"/>
        <family val="2"/>
      </rPr>
      <t xml:space="preserve">② 出貨年 → 上線年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</si>
  <si>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Bridge!F9</t>
    </r>
  </si>
  <si>
    <t xml:space="preserve">s_b4_2028</t>
  </si>
  <si>
    <r>
      <rPr>
        <sz val="11"/>
        <color theme="1"/>
        <rFont val="Noto Sans CJK SC"/>
        <family val="2"/>
      </rPr>
      <t xml:space="preserve">② 出貨年 → 上線年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</si>
  <si>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Bridge!G9</t>
    </r>
  </si>
  <si>
    <t xml:space="preserve">s_b4_2029</t>
  </si>
  <si>
    <r>
      <rPr>
        <sz val="11"/>
        <color theme="1"/>
        <rFont val="Noto Sans CJK SC"/>
        <family val="2"/>
      </rPr>
      <t xml:space="preserve">② 出貨年 → 上線年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</si>
  <si>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Bridge!H9</t>
    </r>
  </si>
  <si>
    <t xml:space="preserve">s_b5_2026</t>
  </si>
  <si>
    <r>
      <rPr>
        <sz val="11"/>
        <color theme="1"/>
        <rFont val="Noto Sans CJK SC"/>
        <family val="2"/>
      </rPr>
      <t xml:space="preserve">③ 未上線庫存增加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</si>
  <si>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Bridge!E10</t>
    </r>
  </si>
  <si>
    <t xml:space="preserve">s_b5_2027</t>
  </si>
  <si>
    <r>
      <rPr>
        <sz val="11"/>
        <color theme="1"/>
        <rFont val="Noto Sans CJK SC"/>
        <family val="2"/>
      </rPr>
      <t xml:space="preserve">③ 未上線庫存增加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</si>
  <si>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Bridge!F10</t>
    </r>
  </si>
  <si>
    <t xml:space="preserve">s_b5_2028</t>
  </si>
  <si>
    <r>
      <rPr>
        <sz val="11"/>
        <color theme="1"/>
        <rFont val="Noto Sans CJK SC"/>
        <family val="2"/>
      </rPr>
      <t xml:space="preserve">③ 未上線庫存增加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</si>
  <si>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Bridge!G10</t>
    </r>
  </si>
  <si>
    <t xml:space="preserve">s_b5_2029</t>
  </si>
  <si>
    <r>
      <rPr>
        <sz val="11"/>
        <color theme="1"/>
        <rFont val="Noto Sans CJK SC"/>
        <family val="2"/>
      </rPr>
      <t xml:space="preserve">③ 未上線庫存增加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</si>
  <si>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Bridge!H10</t>
    </r>
  </si>
  <si>
    <t xml:space="preserve">s_b6_2026</t>
  </si>
  <si>
    <r>
      <rPr>
        <sz val="11"/>
        <color theme="1"/>
        <rFont val="Noto Sans CJK SC"/>
        <family val="2"/>
      </rPr>
      <t xml:space="preserve">④ 汰換（毛 → 淨）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</si>
  <si>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Bridge!E11</t>
    </r>
  </si>
  <si>
    <t xml:space="preserve">s_b6_2027</t>
  </si>
  <si>
    <r>
      <rPr>
        <sz val="11"/>
        <color theme="1"/>
        <rFont val="Noto Sans CJK SC"/>
        <family val="2"/>
      </rPr>
      <t xml:space="preserve">④ 汰換（毛 → 淨）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</si>
  <si>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Bridge!F11</t>
    </r>
  </si>
  <si>
    <t xml:space="preserve">s_b6_2028</t>
  </si>
  <si>
    <r>
      <rPr>
        <sz val="11"/>
        <color theme="1"/>
        <rFont val="Noto Sans CJK SC"/>
        <family val="2"/>
      </rPr>
      <t xml:space="preserve">④ 汰換（毛 → 淨）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</si>
  <si>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Bridge!G11</t>
    </r>
  </si>
  <si>
    <t xml:space="preserve">s_b6_2029</t>
  </si>
  <si>
    <r>
      <rPr>
        <sz val="11"/>
        <color theme="1"/>
        <rFont val="Noto Sans CJK SC"/>
        <family val="2"/>
      </rPr>
      <t xml:space="preserve">④ 汰換（毛 → 淨）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</si>
  <si>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Bridge!H11</t>
    </r>
  </si>
  <si>
    <t xml:space="preserve">s_b7m_2026</t>
  </si>
  <si>
    <r>
      <rPr>
        <sz val="11"/>
        <color theme="1"/>
        <rFont val="Noto Sans CJK SC"/>
        <family val="2"/>
      </rPr>
      <t xml:space="preserve">（揭露）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GW 2026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</si>
  <si>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Bridge!E13</t>
    </r>
  </si>
  <si>
    <t xml:space="preserve">s_b7m_2027</t>
  </si>
  <si>
    <r>
      <rPr>
        <sz val="11"/>
        <color theme="1"/>
        <rFont val="Noto Sans CJK SC"/>
        <family val="2"/>
      </rPr>
      <t xml:space="preserve">（揭露）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GW 2027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</si>
  <si>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Bridge!F13</t>
    </r>
  </si>
  <si>
    <t xml:space="preserve">s_b7m_2028</t>
  </si>
  <si>
    <r>
      <rPr>
        <sz val="11"/>
        <color theme="1"/>
        <rFont val="Noto Sans CJK SC"/>
        <family val="2"/>
      </rPr>
      <t xml:space="preserve">（揭露）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GW 2028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</si>
  <si>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Bridge!G13</t>
    </r>
  </si>
  <si>
    <t xml:space="preserve">s_b7m_2029</t>
  </si>
  <si>
    <r>
      <rPr>
        <sz val="11"/>
        <color theme="1"/>
        <rFont val="Noto Sans CJK SC"/>
        <family val="2"/>
      </rPr>
      <t xml:space="preserve">（揭露）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GW 2029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</si>
  <si>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Bridge!H13</t>
    </r>
  </si>
  <si>
    <t xml:space="preserve">s_b8_2026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</si>
  <si>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推得淨新增上線 </t>
    </r>
    <r>
      <rPr>
        <sz val="11"/>
        <color theme="1"/>
        <rFont val="Calibri"/>
        <family val="2"/>
        <charset val="1"/>
      </rPr>
      <t xml:space="preserve">IT GW 2026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</si>
  <si>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Bridge!E14</t>
    </r>
  </si>
  <si>
    <t xml:space="preserve">s_b8_2027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</si>
  <si>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推得淨新增上線 </t>
    </r>
    <r>
      <rPr>
        <sz val="11"/>
        <color theme="1"/>
        <rFont val="Calibri"/>
        <family val="2"/>
        <charset val="1"/>
      </rPr>
      <t xml:space="preserve">IT GW 2027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</si>
  <si>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Bridge!F14</t>
    </r>
  </si>
  <si>
    <t xml:space="preserve">s_b8_2028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</si>
  <si>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推得淨新增上線 </t>
    </r>
    <r>
      <rPr>
        <sz val="11"/>
        <color theme="1"/>
        <rFont val="Calibri"/>
        <family val="2"/>
        <charset val="1"/>
      </rPr>
      <t xml:space="preserve">IT GW 2028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</si>
  <si>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Bridge!G14</t>
    </r>
  </si>
  <si>
    <t xml:space="preserve">s_b8_2029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</si>
  <si>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推得淨新增上線 </t>
    </r>
    <r>
      <rPr>
        <sz val="11"/>
        <color theme="1"/>
        <rFont val="Calibri"/>
        <family val="2"/>
        <charset val="1"/>
      </rPr>
      <t xml:space="preserve">IT GW 2029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</si>
  <si>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Bridge!H14</t>
    </r>
  </si>
  <si>
    <t xml:space="preserve">s_b10_2026</t>
  </si>
  <si>
    <r>
      <rPr>
        <sz val="11"/>
        <color theme="1"/>
        <rFont val="Noto Sans CJK SC"/>
        <family val="2"/>
      </rPr>
      <t xml:space="preserve">⑥ 殘差（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</si>
  <si>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Bridge!E17</t>
    </r>
  </si>
  <si>
    <t xml:space="preserve">s_b10_2027</t>
  </si>
  <si>
    <r>
      <rPr>
        <sz val="11"/>
        <color theme="1"/>
        <rFont val="Noto Sans CJK SC"/>
        <family val="2"/>
      </rPr>
      <t xml:space="preserve">⑥ 殘差（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</si>
  <si>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Bridge!F17</t>
    </r>
  </si>
  <si>
    <t xml:space="preserve">s_b10_2028</t>
  </si>
  <si>
    <r>
      <rPr>
        <sz val="11"/>
        <color theme="1"/>
        <rFont val="Noto Sans CJK SC"/>
        <family val="2"/>
      </rPr>
      <t xml:space="preserve">⑥ 殘差（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</si>
  <si>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Bridge!G17</t>
    </r>
  </si>
  <si>
    <t xml:space="preserve">s_b10_2029</t>
  </si>
  <si>
    <r>
      <rPr>
        <sz val="11"/>
        <color theme="1"/>
        <rFont val="Noto Sans CJK SC"/>
        <family val="2"/>
      </rPr>
      <t xml:space="preserve">⑥ 殘差（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</si>
  <si>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Bridge!H17</t>
    </r>
  </si>
  <si>
    <t xml:space="preserve">lag</t>
  </si>
  <si>
    <t xml:space="preserve">出貨到上線的平均延遲（年）</t>
  </si>
  <si>
    <t xml:space="preserve">年</t>
  </si>
  <si>
    <t xml:space="preserve">Assumed</t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</si>
  <si>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In!D52:F52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側同參數，對稱套用）</t>
    </r>
  </si>
  <si>
    <t xml:space="preserve">inv_k</t>
  </si>
  <si>
    <r>
      <rPr>
        <sz val="11"/>
        <color theme="1"/>
        <rFont val="Noto Sans CJK SC"/>
        <family val="2"/>
      </rPr>
      <t xml:space="preserve">已出貨未上線庫存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年出貨（庫存增加＝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出貨年增量）</t>
    </r>
  </si>
  <si>
    <t xml:space="preserve">x</t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</si>
  <si>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In!D58:F58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側同參數，對稱套用）</t>
    </r>
  </si>
  <si>
    <t xml:space="preserve">retire</t>
  </si>
  <si>
    <r>
      <rPr>
        <sz val="11"/>
        <color theme="1"/>
        <rFont val="Noto Sans CJK SC"/>
        <family val="2"/>
      </rPr>
      <t xml:space="preserve">汰換率（舊加速器下線釋出的電力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前一年年底在役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</si>
  <si>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</si>
  <si>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In!D59:F59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側同參數，對稱套用）</t>
    </r>
  </si>
  <si>
    <t xml:space="preserve">s_cap_oth_2026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</si>
  <si>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、昇騰等）</t>
    </r>
    <r>
      <rPr>
        <sz val="11"/>
        <color theme="1"/>
        <rFont val="Calibri"/>
        <family val="2"/>
        <charset val="1"/>
      </rPr>
      <t xml:space="preserve">AI IT capex 2026</t>
    </r>
  </si>
  <si>
    <t xml:space="preserve">$B</t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</si>
  <si>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In!E33</t>
    </r>
  </si>
  <si>
    <t xml:space="preserve">pgw_vr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</si>
  <si>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</si>
  <si>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$B/GW</t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</si>
  <si>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In!E46</t>
    </r>
    <r>
      <rPr>
        <sz val="11"/>
        <color theme="1"/>
        <rFont val="Noto Sans CJK SC"/>
        <family val="2"/>
      </rPr>
      <t xml:space="preserve">；原出處：</t>
    </r>
    <r>
      <rPr>
        <sz val="11"/>
        <color theme="1"/>
        <rFont val="Calibri"/>
        <family val="2"/>
        <charset val="1"/>
      </rPr>
      <t xml:space="preserve">Tokenomics v21.7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鏡像）</t>
    </r>
  </si>
  <si>
    <t xml:space="preserve">hold_oth</t>
  </si>
  <si>
    <r>
      <rPr>
        <sz val="11"/>
        <color theme="1"/>
        <rFont val="Noto Sans CJK SC"/>
        <family val="2"/>
      </rPr>
      <t xml:space="preserve">持有成本比 其他 </t>
    </r>
    <r>
      <rPr>
        <sz val="11"/>
        <color theme="1"/>
        <rFont val="Calibri"/>
        <family val="2"/>
        <charset val="1"/>
      </rPr>
      <t xml:space="preserve">ASIC ÷ 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、昇騰、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客製三者簡單平均）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</si>
  <si>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In!E50</t>
    </r>
    <r>
      <rPr>
        <sz val="11"/>
        <color theme="1"/>
        <rFont val="Noto Sans CJK SC"/>
        <family val="2"/>
      </rPr>
      <t xml:space="preserve">；原出處：</t>
    </r>
    <r>
      <rPr>
        <sz val="11"/>
        <color theme="1"/>
        <rFont val="Calibri"/>
        <family val="2"/>
        <charset val="1"/>
      </rPr>
      <t xml:space="preserve">Tokenomics v21.7 IF_NonNV_Hold_Maia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_Ascend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_OAI 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值，組合權重未知故取簡單平均</t>
    </r>
  </si>
  <si>
    <t xml:space="preserve">nv_dc_25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</si>
  <si>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</si>
  <si>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</si>
  <si>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In!E53</t>
    </r>
    <r>
      <rPr>
        <sz val="11"/>
        <color theme="1"/>
        <rFont val="Noto Sans CJK SC"/>
        <family val="2"/>
      </rPr>
      <t xml:space="preserve">；原出處：</t>
    </r>
    <r>
      <rPr>
        <sz val="11"/>
        <color theme="1"/>
        <rFont val="Calibri"/>
        <family val="2"/>
        <charset val="1"/>
      </rPr>
      <t xml:space="preserve">NVIDIA 8-K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 Q1–Q4 39.1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41.1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62.3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nvidia/build_nvidia.py Q </t>
    </r>
    <r>
      <rPr>
        <sz val="11"/>
        <color theme="1"/>
        <rFont val="Noto Sans CJK SC"/>
        <family val="2"/>
      </rPr>
      <t xml:space="preserve">頁）</t>
    </r>
  </si>
  <si>
    <t xml:space="preserve">nv_dc_26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</si>
  <si>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錨點（約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</si>
  <si>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</si>
  <si>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In!E54</t>
    </r>
    <r>
      <rPr>
        <sz val="11"/>
        <color theme="1"/>
        <rFont val="Noto Sans CJK SC"/>
        <family val="2"/>
      </rPr>
      <t xml:space="preserve">；原出處：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75.2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個股模型 </t>
    </r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）</t>
    </r>
  </si>
  <si>
    <t xml:space="preserve">nvc_gb_tk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</si>
  <si>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 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</si>
  <si>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In!E61</t>
    </r>
    <r>
      <rPr>
        <sz val="11"/>
        <color theme="1"/>
        <rFont val="Noto Sans CJK SC"/>
        <family val="2"/>
      </rPr>
      <t xml:space="preserve">；原出處：</t>
    </r>
    <r>
      <rPr>
        <sz val="11"/>
        <color theme="1"/>
        <rFont val="Calibri"/>
        <family val="2"/>
        <charset val="1"/>
      </rPr>
      <t xml:space="preserve">TK IF_GPUsPerGW GB300 487,008 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 </t>
    </r>
    <r>
      <rPr>
        <sz val="11"/>
        <color theme="1"/>
        <rFont val="Calibri"/>
        <family val="2"/>
        <charset val="1"/>
      </rPr>
      <t xml:space="preserve">42.8 </t>
    </r>
    <r>
      <rPr>
        <sz val="11"/>
        <color theme="1"/>
        <rFont val="Noto Sans CJK SC"/>
        <family val="2"/>
      </rPr>
      <t xml:space="preserve">千美元（</t>
    </r>
    <r>
      <rPr>
        <sz val="11"/>
        <color theme="1"/>
        <rFont val="Calibri"/>
        <family val="2"/>
        <charset val="1"/>
      </rPr>
      <t xml:space="preserve">Siliconomics nv_content</t>
    </r>
    <r>
      <rPr>
        <sz val="11"/>
        <color theme="1"/>
        <rFont val="Noto Sans CJK SC"/>
        <family val="2"/>
      </rPr>
      <t xml:space="preserve">）</t>
    </r>
  </si>
  <si>
    <t xml:space="preserve">nvc_gb_jh</t>
  </si>
  <si>
    <r>
      <rPr>
        <sz val="11"/>
        <color theme="1"/>
        <rFont val="Noto Sans CJK SC"/>
        <family val="2"/>
      </rPr>
      <t xml:space="preserve">黃仁勳說法：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Grace Blackwell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</si>
  <si>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</si>
  <si>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20261031_R4</t>
    </r>
    <r>
      <rPr>
        <sz val="11"/>
        <color theme="1"/>
        <rFont val="Noto Sans CJK SC"/>
        <family val="2"/>
      </rPr>
      <t xml:space="preserve">對帳橋接</t>
    </r>
    <r>
      <rPr>
        <sz val="11"/>
        <color theme="1"/>
        <rFont val="Calibri"/>
        <family val="2"/>
        <charset val="1"/>
      </rPr>
      <t xml:space="preserve">_Siliconomics</t>
    </r>
    <r>
      <rPr>
        <sz val="11"/>
        <color theme="1"/>
        <rFont val="Noto Sans CJK SC"/>
        <family val="2"/>
      </rPr>
      <t xml:space="preserve">側</t>
    </r>
    <r>
      <rPr>
        <sz val="11"/>
        <color theme="1"/>
        <rFont val="Calibri"/>
        <family val="2"/>
        <charset val="1"/>
      </rPr>
      <t xml:space="preserve">_r1.xlsx In!E62</t>
    </r>
    <r>
      <rPr>
        <sz val="11"/>
        <color theme="1"/>
        <rFont val="Noto Sans CJK SC"/>
        <family val="2"/>
      </rPr>
      <t xml:space="preserve">；原出處：</t>
    </r>
    <r>
      <rPr>
        <sz val="11"/>
        <color theme="1"/>
        <rFont val="Calibri"/>
        <family val="2"/>
        <charset val="1"/>
      </rPr>
      <t xml:space="preserve">247wallst 2026-09-24 </t>
    </r>
    <r>
      <rPr>
        <sz val="11"/>
        <color theme="1"/>
        <rFont val="Noto Sans CJK SC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Grace Blackwell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（十億美元／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Bg2 Pod 2026-10-15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18 → 20 some → 40 plus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或廠區）未說明</t>
    </r>
  </si>
  <si>
    <r>
      <rPr>
        <b val="true"/>
        <sz val="11"/>
        <rFont val="Cambria"/>
        <family val="0"/>
        <charset val="1"/>
      </rPr>
      <t xml:space="preserve">B. Wattonomics </t>
    </r>
    <r>
      <rPr>
        <b val="true"/>
        <sz val="11"/>
        <rFont val="Noto Sans CJK SC"/>
        <family val="2"/>
      </rPr>
      <t xml:space="preserve">市場層（</t>
    </r>
    <r>
      <rPr>
        <b val="true"/>
        <sz val="11"/>
        <rFont val="Cambria"/>
        <family val="0"/>
        <charset val="1"/>
      </rPr>
      <t xml:space="preserve">20261031_Wattonomics_v0.1.7.xlsx</t>
    </r>
    <r>
      <rPr>
        <b val="true"/>
        <sz val="11"/>
        <rFont val="Noto Sans CJK SC"/>
        <family val="2"/>
      </rPr>
      <t xml:space="preserve">；需求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</si>
  <si>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wt_new_2025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</si>
  <si>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（主路徑）</t>
    </r>
    <r>
      <rPr>
        <sz val="11"/>
        <color theme="1"/>
        <rFont val="Calibri"/>
        <family val="2"/>
        <charset val="1"/>
      </rPr>
      <t xml:space="preserve">2025</t>
    </r>
  </si>
  <si>
    <t xml:space="preserve">20261031_Wattonomics_v0.1.7.xlsx Deploy!F19</t>
  </si>
  <si>
    <t xml:space="preserve">wt_new_2026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</si>
  <si>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（主路徑）</t>
    </r>
    <r>
      <rPr>
        <sz val="11"/>
        <color theme="1"/>
        <rFont val="Calibri"/>
        <family val="2"/>
        <charset val="1"/>
      </rPr>
      <t xml:space="preserve">2026</t>
    </r>
  </si>
  <si>
    <t xml:space="preserve">20261031_Wattonomics_v0.1.7.xlsx Deploy!G19</t>
  </si>
  <si>
    <t xml:space="preserve">wt_new_2027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</si>
  <si>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（主路徑）</t>
    </r>
    <r>
      <rPr>
        <sz val="11"/>
        <color theme="1"/>
        <rFont val="Calibri"/>
        <family val="2"/>
        <charset val="1"/>
      </rPr>
      <t xml:space="preserve">2027</t>
    </r>
  </si>
  <si>
    <t xml:space="preserve">20261031_Wattonomics_v0.1.7.xlsx Deploy!H19</t>
  </si>
  <si>
    <t xml:space="preserve">wt_new_2028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</si>
  <si>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（主路徑）</t>
    </r>
    <r>
      <rPr>
        <sz val="11"/>
        <color theme="1"/>
        <rFont val="Calibri"/>
        <family val="2"/>
        <charset val="1"/>
      </rPr>
      <t xml:space="preserve">2028</t>
    </r>
  </si>
  <si>
    <t xml:space="preserve">20261031_Wattonomics_v0.1.7.xlsx Deploy!I19</t>
  </si>
  <si>
    <t xml:space="preserve">wt_new_2029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</si>
  <si>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（主路徑）</t>
    </r>
    <r>
      <rPr>
        <sz val="11"/>
        <color theme="1"/>
        <rFont val="Calibri"/>
        <family val="2"/>
        <charset val="1"/>
      </rPr>
      <t xml:space="preserve">2029</t>
    </r>
  </si>
  <si>
    <t xml:space="preserve">20261031_Wattonomics_v0.1.7.xlsx Deploy!J19</t>
  </si>
  <si>
    <t xml:space="preserve">wt_ye_2025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</si>
  <si>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（主路徑）</t>
    </r>
    <r>
      <rPr>
        <sz val="11"/>
        <color theme="1"/>
        <rFont val="Calibri"/>
        <family val="2"/>
        <charset val="1"/>
      </rPr>
      <t xml:space="preserve">2025</t>
    </r>
  </si>
  <si>
    <t xml:space="preserve">20261031_Wattonomics_v0.1.7.xlsx Deploy!F13</t>
  </si>
  <si>
    <t xml:space="preserve">wt_ye_2026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</si>
  <si>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（主路徑）</t>
    </r>
    <r>
      <rPr>
        <sz val="11"/>
        <color theme="1"/>
        <rFont val="Calibri"/>
        <family val="2"/>
        <charset val="1"/>
      </rPr>
      <t xml:space="preserve">2026</t>
    </r>
  </si>
  <si>
    <t xml:space="preserve">20261031_Wattonomics_v0.1.7.xlsx Deploy!G13</t>
  </si>
  <si>
    <t xml:space="preserve">wt_ye_2027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</si>
  <si>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（主路徑）</t>
    </r>
    <r>
      <rPr>
        <sz val="11"/>
        <color theme="1"/>
        <rFont val="Calibri"/>
        <family val="2"/>
        <charset val="1"/>
      </rPr>
      <t xml:space="preserve">2027</t>
    </r>
  </si>
  <si>
    <t xml:space="preserve">20261031_Wattonomics_v0.1.7.xlsx Deploy!H13</t>
  </si>
  <si>
    <t xml:space="preserve">wt_ye_2028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</si>
  <si>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（主路徑）</t>
    </r>
    <r>
      <rPr>
        <sz val="11"/>
        <color theme="1"/>
        <rFont val="Calibri"/>
        <family val="2"/>
        <charset val="1"/>
      </rPr>
      <t xml:space="preserve">2028</t>
    </r>
  </si>
  <si>
    <t xml:space="preserve">20261031_Wattonomics_v0.1.7.xlsx Deploy!I13</t>
  </si>
  <si>
    <t xml:space="preserve">wt_ye_2029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</si>
  <si>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（主路徑）</t>
    </r>
    <r>
      <rPr>
        <sz val="11"/>
        <color theme="1"/>
        <rFont val="Calibri"/>
        <family val="2"/>
        <charset val="1"/>
      </rPr>
      <t xml:space="preserve">2029</t>
    </r>
  </si>
  <si>
    <t xml:space="preserve">20261031_Wattonomics_v0.1.7.xlsx Deploy!J13</t>
  </si>
  <si>
    <t xml:space="preserve">nnv_mkt_2026</t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</si>
  <si>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</si>
  <si>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20261031_Wattonomics_v0.1.7.xlsx Players!G12</t>
  </si>
  <si>
    <t xml:space="preserve">nnv_mkt_2027</t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</si>
  <si>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2027</t>
    </r>
  </si>
  <si>
    <t xml:space="preserve">20261031_Wattonomics_v0.1.7.xlsx Players!H12</t>
  </si>
  <si>
    <t xml:space="preserve">nnv_mkt_2028</t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</si>
  <si>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2028</t>
    </r>
  </si>
  <si>
    <t xml:space="preserve">20261031_Wattonomics_v0.1.7.xlsx Players!I12</t>
  </si>
  <si>
    <t xml:space="preserve">nnv_mkt_2029</t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</si>
  <si>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2029</t>
    </r>
  </si>
  <si>
    <t xml:space="preserve">20261031_Wattonomics_v0.1.7.xlsx Players!J12</t>
  </si>
  <si>
    <t xml:space="preserve">cn_add_2026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</si>
  <si>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中國年新增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</si>
  <si>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Players!G283</t>
  </si>
  <si>
    <t xml:space="preserve">cn_add_2027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</si>
  <si>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中國年新增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</si>
  <si>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Players!H283</t>
  </si>
  <si>
    <t xml:space="preserve">cn_add_2028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</si>
  <si>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中國年新增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</si>
  <si>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Players!I283</t>
  </si>
  <si>
    <t xml:space="preserve">cn_add_2029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</si>
  <si>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中國年新增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</si>
  <si>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Players!J283</t>
  </si>
  <si>
    <t xml:space="preserve">oth_ye_2025</t>
  </si>
  <si>
    <r>
      <rPr>
        <sz val="11"/>
        <color theme="1"/>
        <rFont val="Calibri"/>
        <family val="2"/>
        <charset val="1"/>
      </rPr>
      <t xml:space="preserve">Wattonomics</t>
    </r>
    <r>
      <rPr>
        <sz val="11"/>
        <color theme="1"/>
        <rFont val="Noto Sans CJK SC"/>
        <family val="2"/>
      </rPr>
      <t xml:space="preserve">「其他（主權、企業、學研）」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（之後持平）</t>
    </r>
  </si>
  <si>
    <r>
      <rPr>
        <sz val="11"/>
        <color theme="1"/>
        <rFont val="Calibri"/>
        <family val="2"/>
        <charset val="1"/>
      </rPr>
      <t xml:space="preserve">20261031_Wattonomics_v0.1.7.xlsx Players!F296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起無園區列，年新增＝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</si>
  <si>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tolband</t>
  </si>
  <si>
    <r>
      <rPr>
        <sz val="11"/>
        <color theme="1"/>
        <rFont val="Noto Sans CJK SC"/>
        <family val="2"/>
      </rPr>
      <t xml:space="preserve">對帳容許帶（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</si>
  <si>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t xml:space="preserve">20261031_Wattonomics_v0.1.7.xlsx In!H9:J9</t>
  </si>
  <si>
    <t xml:space="preserve">wb1</t>
  </si>
  <si>
    <r>
      <rPr>
        <sz val="11"/>
        <color theme="1"/>
        <rFont val="Noto Sans CJK SC"/>
        <family val="2"/>
      </rPr>
      <t xml:space="preserve">廠房提前入帳：前一年權重 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 18 </t>
    </r>
    <r>
      <rPr>
        <sz val="11"/>
        <color theme="1"/>
        <rFont val="Noto Sans CJK SC"/>
        <family val="2"/>
      </rPr>
      <t xml:space="preserve">個月→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12→1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24→0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</si>
  <si>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20261031_Wattonomics_v0.1.7.xlsx CapexGW!E4:E6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低／基準／高；</t>
    </r>
    <r>
      <rPr>
        <sz val="11"/>
        <color theme="1"/>
        <rFont val="Calibri"/>
        <family val="2"/>
        <charset val="1"/>
      </rPr>
      <t xml:space="preserve">In!H10:J10</t>
    </r>
    <r>
      <rPr>
        <sz val="11"/>
        <color theme="1"/>
        <rFont val="Noto Sans CJK SC"/>
        <family val="2"/>
      </rPr>
      <t xml:space="preserve">）</t>
    </r>
  </si>
  <si>
    <t xml:space="preserve">wb2</t>
  </si>
  <si>
    <r>
      <rPr>
        <sz val="11"/>
        <color theme="1"/>
        <rFont val="Noto Sans CJK SC"/>
        <family val="2"/>
      </rPr>
      <t xml:space="preserve">廠房提前入帳：前兩年權重 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 18 </t>
    </r>
    <r>
      <rPr>
        <sz val="11"/>
        <color theme="1"/>
        <rFont val="Noto Sans CJK SC"/>
        <family val="2"/>
      </rPr>
      <t xml:space="preserve">個月→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12→0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24→1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</si>
  <si>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20261031_Wattonomics_v0.1.7.xlsx CapexGW!F4:F6</t>
    </r>
    <r>
      <rPr>
        <sz val="11"/>
        <color theme="1"/>
        <rFont val="Noto Sans CJK SC"/>
        <family val="2"/>
      </rPr>
      <t xml:space="preserve">（當年權重 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</si>
  <si>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ai_sh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</si>
  <si>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占比（未覆寫者）</t>
    </r>
  </si>
  <si>
    <t xml:space="preserve">20261031_Wattonomics_v0.1.7.xlsx In!H13:J13</t>
  </si>
  <si>
    <t xml:space="preserve">ai_amzn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</si>
  <si>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占比覆寫</t>
    </r>
  </si>
  <si>
    <t xml:space="preserve">20261031_Wattonomics_v0.1.7.xlsx In!H14:J14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</si>
  <si>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七家：每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成本、站點年新增、</t>
    </r>
    <r>
      <rPr>
        <b val="true"/>
        <sz val="11"/>
        <rFont val="Cambria"/>
        <family val="0"/>
        <charset val="1"/>
      </rPr>
      <t xml:space="preserve">In Y2 </t>
    </r>
    <r>
      <rPr>
        <b val="true"/>
        <sz val="11"/>
        <rFont val="Noto Sans CJK SC"/>
        <family val="2"/>
      </rPr>
      <t xml:space="preserve">曆年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</t>
    </r>
    <r>
      <rPr>
        <b val="true"/>
        <sz val="11"/>
        <rFont val="Cambria"/>
        <family val="0"/>
        <charset val="1"/>
      </rPr>
      <t xml:space="preserve">CapexGW </t>
    </r>
    <r>
      <rPr>
        <b val="true"/>
        <sz val="11"/>
        <rFont val="Noto Sans CJK SC"/>
        <family val="2"/>
      </rPr>
      <t xml:space="preserve">頁）、</t>
    </r>
    <r>
      <rPr>
        <b val="true"/>
        <sz val="11"/>
        <rFont val="Cambria"/>
        <family val="0"/>
        <charset val="1"/>
      </rPr>
      <t xml:space="preserve">In Y9 </t>
    </r>
    <r>
      <rPr>
        <b val="true"/>
        <sz val="11"/>
        <rFont val="Noto Sans CJK SC"/>
        <family val="2"/>
      </rPr>
      <t xml:space="preserve">個股模型 </t>
    </r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資本支出（財年）</t>
    </r>
  </si>
  <si>
    <t xml:space="preserve">fye_msft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</si>
  <si>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財年結束月</t>
    </r>
  </si>
  <si>
    <t xml:space="preserve">月</t>
  </si>
  <si>
    <t xml:space="preserve">20261031_Wattonomics_v0.1.7.xlsx In fye_msft</t>
  </si>
  <si>
    <t xml:space="preserve">pit_msft_2024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</si>
  <si>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2024</t>
    </r>
  </si>
  <si>
    <t xml:space="preserve">20261031_Wattonomics_v0.1.7.xlsx CapexGW!E17</t>
  </si>
  <si>
    <t xml:space="preserve">pfac_msft_2024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</si>
  <si>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2024</t>
    </r>
  </si>
  <si>
    <t xml:space="preserve">20261031_Wattonomics_v0.1.7.xlsx CapexGW!E18</t>
  </si>
  <si>
    <t xml:space="preserve">ai2_msft_2024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</si>
  <si>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2024</t>
    </r>
  </si>
  <si>
    <r>
      <rPr>
        <sz val="11"/>
        <color theme="1"/>
        <rFont val="Calibri"/>
        <family val="2"/>
        <charset val="1"/>
      </rPr>
      <t xml:space="preserve">20261031_Wattonomics_v0.1.7.xlsx CapexGW!E16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</si>
  <si>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site_msft_2024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</si>
  <si>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2024</t>
    </r>
  </si>
  <si>
    <t xml:space="preserve">20261031_Wattonomics_v0.1.7.xlsx CapexGW!E21</t>
  </si>
  <si>
    <t xml:space="preserve">main_msft_2024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</si>
  <si>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2024</t>
    </r>
  </si>
  <si>
    <t xml:space="preserve">20261031_Wattonomics_v0.1.7.xlsx CapexGW!E22</t>
  </si>
  <si>
    <t xml:space="preserve">pit_msft_2025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</si>
  <si>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2025</t>
    </r>
  </si>
  <si>
    <t xml:space="preserve">20261031_Wattonomics_v0.1.7.xlsx CapexGW!F17</t>
  </si>
  <si>
    <t xml:space="preserve">pfac_msft_2025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</si>
  <si>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2025</t>
    </r>
  </si>
  <si>
    <t xml:space="preserve">20261031_Wattonomics_v0.1.7.xlsx CapexGW!F18</t>
  </si>
  <si>
    <t xml:space="preserve">ai2_msft_2025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</si>
  <si>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</si>
  <si>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20261031_Wattonomics_v0.1.7.xlsx CapexGW!F16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</si>
  <si>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site_msft_2025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</si>
  <si>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2025</t>
    </r>
  </si>
  <si>
    <t xml:space="preserve">20261031_Wattonomics_v0.1.7.xlsx CapexGW!F21</t>
  </si>
  <si>
    <t xml:space="preserve">main_msft_2025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</si>
  <si>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2025</t>
    </r>
  </si>
  <si>
    <t xml:space="preserve">20261031_Wattonomics_v0.1.7.xlsx CapexGW!F22</t>
  </si>
  <si>
    <t xml:space="preserve">pit_msft_2026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</si>
  <si>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2026</t>
    </r>
  </si>
  <si>
    <t xml:space="preserve">20261031_Wattonomics_v0.1.7.xlsx CapexGW!G17</t>
  </si>
  <si>
    <t xml:space="preserve">pfac_msft_2026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</si>
  <si>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2026</t>
    </r>
  </si>
  <si>
    <t xml:space="preserve">20261031_Wattonomics_v0.1.7.xlsx CapexGW!G18</t>
  </si>
  <si>
    <t xml:space="preserve">ai2_msft_2026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</si>
  <si>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</si>
  <si>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20261031_Wattonomics_v0.1.7.xlsx CapexGW!G16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</si>
  <si>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site_msft_2026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</si>
  <si>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</si>
  <si>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CapexGW!G21</t>
  </si>
  <si>
    <t xml:space="preserve">main_msft_2026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</si>
  <si>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</si>
  <si>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CapexGW!G22</t>
  </si>
  <si>
    <t xml:space="preserve">pit_msft_2027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</si>
  <si>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2027</t>
    </r>
  </si>
  <si>
    <t xml:space="preserve">20261031_Wattonomics_v0.1.7.xlsx CapexGW!H17</t>
  </si>
  <si>
    <t xml:space="preserve">pfac_msft_2027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</si>
  <si>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2027</t>
    </r>
  </si>
  <si>
    <t xml:space="preserve">20261031_Wattonomics_v0.1.7.xlsx CapexGW!H18</t>
  </si>
  <si>
    <t xml:space="preserve">ai2_msft_2027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</si>
  <si>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</si>
  <si>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20261031_Wattonomics_v0.1.7.xlsx CapexGW!H16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</si>
  <si>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site_msft_2027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</si>
  <si>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</si>
  <si>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CapexGW!H21</t>
  </si>
  <si>
    <t xml:space="preserve">main_msft_2027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</si>
  <si>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</si>
  <si>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CapexGW!H22</t>
  </si>
  <si>
    <t xml:space="preserve">pit_msft_2028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</si>
  <si>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2028</t>
    </r>
  </si>
  <si>
    <t xml:space="preserve">20261031_Wattonomics_v0.1.7.xlsx CapexGW!I17</t>
  </si>
  <si>
    <t xml:space="preserve">pfac_msft_2028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</si>
  <si>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2028</t>
    </r>
  </si>
  <si>
    <t xml:space="preserve">20261031_Wattonomics_v0.1.7.xlsx CapexGW!I18</t>
  </si>
  <si>
    <t xml:space="preserve">ai2_msft_2028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</si>
  <si>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</si>
  <si>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20261031_Wattonomics_v0.1.7.xlsx CapexGW!I16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</si>
  <si>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site_msft_2028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</si>
  <si>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</si>
  <si>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CapexGW!I21</t>
  </si>
  <si>
    <t xml:space="preserve">main_msft_2028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</si>
  <si>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</si>
  <si>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CapexGW!I22</t>
  </si>
  <si>
    <t xml:space="preserve">pit_msft_2029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</si>
  <si>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2029</t>
    </r>
  </si>
  <si>
    <t xml:space="preserve">20261031_Wattonomics_v0.1.7.xlsx CapexGW!J17</t>
  </si>
  <si>
    <t xml:space="preserve">pfac_msft_2029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</si>
  <si>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2029</t>
    </r>
  </si>
  <si>
    <t xml:space="preserve">20261031_Wattonomics_v0.1.7.xlsx CapexGW!J18</t>
  </si>
  <si>
    <t xml:space="preserve">ai2_msft_2029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</si>
  <si>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</si>
  <si>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20261031_Wattonomics_v0.1.7.xlsx CapexGW!J16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</si>
  <si>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site_msft_2029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</si>
  <si>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</si>
  <si>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CapexGW!J21</t>
  </si>
  <si>
    <t xml:space="preserve">main_msft_2029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</si>
  <si>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</si>
  <si>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CapexGW!J22</t>
  </si>
  <si>
    <t xml:space="preserve">gcap_msft_2024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</si>
  <si>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FY2024</t>
    </r>
  </si>
  <si>
    <r>
      <rPr>
        <sz val="11"/>
        <color theme="1"/>
        <rFont val="Calibri"/>
        <family val="2"/>
        <charset val="1"/>
      </rPr>
      <t xml:space="preserve">20261031_Wattonomics_v0.1.7.xlsx In!I172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052…</t>
    </r>
    <r>
      <rPr>
        <sz val="11"/>
        <color theme="1"/>
        <rFont val="Noto Sans CJK SC"/>
        <family val="2"/>
      </rPr>
      <t xml:space="preserve">）</t>
    </r>
  </si>
  <si>
    <t xml:space="preserve">gcap_msft_2025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</si>
  <si>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</si>
  <si>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Calibri"/>
        <family val="2"/>
        <charset val="1"/>
      </rPr>
      <t xml:space="preserve">20261031_Wattonomics_v0.1.7.xlsx In!J172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052…</t>
    </r>
    <r>
      <rPr>
        <sz val="11"/>
        <color theme="1"/>
        <rFont val="Noto Sans CJK SC"/>
        <family val="2"/>
      </rPr>
      <t xml:space="preserve">）</t>
    </r>
  </si>
  <si>
    <t xml:space="preserve">gcap_msft_2026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</si>
  <si>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</si>
  <si>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20261031_Wattonomics_v0.1.7.xlsx In!K172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052…</t>
    </r>
    <r>
      <rPr>
        <sz val="11"/>
        <color theme="1"/>
        <rFont val="Noto Sans CJK SC"/>
        <family val="2"/>
      </rPr>
      <t xml:space="preserve">）</t>
    </r>
  </si>
  <si>
    <t xml:space="preserve">gcap_msft_2027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</si>
  <si>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</si>
  <si>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20261031_Wattonomics_v0.1.7.xlsx In!L172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052…</t>
    </r>
    <r>
      <rPr>
        <sz val="11"/>
        <color theme="1"/>
        <rFont val="Noto Sans CJK SC"/>
        <family val="2"/>
      </rPr>
      <t xml:space="preserve">）</t>
    </r>
  </si>
  <si>
    <t xml:space="preserve">gcap_msft_2028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</si>
  <si>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</si>
  <si>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20261031_Wattonomics_v0.1.7.xlsx In!M172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052…</t>
    </r>
    <r>
      <rPr>
        <sz val="11"/>
        <color theme="1"/>
        <rFont val="Noto Sans CJK SC"/>
        <family val="2"/>
      </rPr>
      <t xml:space="preserve">）</t>
    </r>
  </si>
  <si>
    <t xml:space="preserve">gcap_msft_2029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</si>
  <si>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</si>
  <si>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20261031_Wattonomics_v0.1.7.xlsx In!N172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052…</t>
    </r>
    <r>
      <rPr>
        <sz val="11"/>
        <color theme="1"/>
        <rFont val="Noto Sans CJK SC"/>
        <family val="2"/>
      </rPr>
      <t xml:space="preserve">）</t>
    </r>
  </si>
  <si>
    <t xml:space="preserve">gcap_msft_2030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</si>
  <si>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</si>
  <si>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Calibri"/>
        <family val="2"/>
        <charset val="1"/>
      </rPr>
      <t xml:space="preserve">20261031_Wattonomics_v0.1.7.xlsx In!O172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microsoft/dist/20261030_Microsoft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052…</t>
    </r>
    <r>
      <rPr>
        <sz val="11"/>
        <color theme="1"/>
        <rFont val="Noto Sans CJK SC"/>
        <family val="2"/>
      </rPr>
      <t xml:space="preserve">）</t>
    </r>
  </si>
  <si>
    <t xml:space="preserve">cap2_msft_2025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</si>
  <si>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Y9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，曆年換算補用）</t>
    </r>
  </si>
  <si>
    <r>
      <rPr>
        <sz val="11"/>
        <color theme="1"/>
        <rFont val="Calibri"/>
        <family val="2"/>
        <charset val="1"/>
      </rPr>
      <t xml:space="preserve">20261031_Wattonomics_v0.1.7.xlsx In!J124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增添，不含融資租賃；與 </t>
    </r>
    <r>
      <rPr>
        <sz val="11"/>
        <color theme="1"/>
        <rFont val="Calibri"/>
        <family val="2"/>
        <charset val="1"/>
      </rPr>
      <t xml:space="preserve">Y9 </t>
    </r>
    <r>
      <rPr>
        <sz val="11"/>
        <color theme="1"/>
        <rFont val="Noto Sans CJK SC"/>
        <family val="2"/>
      </rPr>
      <t xml:space="preserve">口徑不同，標 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混合）</t>
    </r>
  </si>
  <si>
    <t xml:space="preserve">nnv_msft_2024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</si>
  <si>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2024</t>
    </r>
  </si>
  <si>
    <t xml:space="preserve">20261031_Wattonomics_v0.1.7.xlsx Players!E38</t>
  </si>
  <si>
    <t xml:space="preserve">nnv_msft_2025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</si>
  <si>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2025</t>
    </r>
  </si>
  <si>
    <t xml:space="preserve">20261031_Wattonomics_v0.1.7.xlsx Players!F38</t>
  </si>
  <si>
    <t xml:space="preserve">nnv_msft_2026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</si>
  <si>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</si>
  <si>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20261031_Wattonomics_v0.1.7.xlsx Players!G38</t>
  </si>
  <si>
    <t xml:space="preserve">nnv_msft_2027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</si>
  <si>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2027</t>
    </r>
  </si>
  <si>
    <t xml:space="preserve">20261031_Wattonomics_v0.1.7.xlsx Players!H38</t>
  </si>
  <si>
    <t xml:space="preserve">nnv_msft_2028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</si>
  <si>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2028</t>
    </r>
  </si>
  <si>
    <t xml:space="preserve">20261031_Wattonomics_v0.1.7.xlsx Players!I38</t>
  </si>
  <si>
    <t xml:space="preserve">nnv_msft_2029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</si>
  <si>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2029</t>
    </r>
  </si>
  <si>
    <t xml:space="preserve">20261031_Wattonomics_v0.1.7.xlsx Players!J38</t>
  </si>
  <si>
    <t xml:space="preserve">fye_googl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</si>
  <si>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財年結束月</t>
    </r>
  </si>
  <si>
    <t xml:space="preserve">20261031_Wattonomics_v0.1.7.xlsx In fye_googl</t>
  </si>
  <si>
    <t xml:space="preserve">pit_googl_2024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</si>
  <si>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2024</t>
    </r>
  </si>
  <si>
    <t xml:space="preserve">20261031_Wattonomics_v0.1.7.xlsx CapexGW!E36</t>
  </si>
  <si>
    <t xml:space="preserve">pfac_googl_2024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</si>
  <si>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2024</t>
    </r>
  </si>
  <si>
    <t xml:space="preserve">20261031_Wattonomics_v0.1.7.xlsx CapexGW!E37</t>
  </si>
  <si>
    <t xml:space="preserve">ai2_googl_2024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</si>
  <si>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2024</t>
    </r>
  </si>
  <si>
    <r>
      <rPr>
        <sz val="11"/>
        <color theme="1"/>
        <rFont val="Calibri"/>
        <family val="2"/>
        <charset val="1"/>
      </rPr>
      <t xml:space="preserve">20261031_Wattonomics_v0.1.7.xlsx CapexGW!E35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</si>
  <si>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site_googl_2024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</si>
  <si>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2024</t>
    </r>
  </si>
  <si>
    <t xml:space="preserve">20261031_Wattonomics_v0.1.7.xlsx CapexGW!E40</t>
  </si>
  <si>
    <t xml:space="preserve">main_googl_2024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</si>
  <si>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2024</t>
    </r>
  </si>
  <si>
    <t xml:space="preserve">20261031_Wattonomics_v0.1.7.xlsx CapexGW!E41</t>
  </si>
  <si>
    <t xml:space="preserve">pit_googl_2025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</si>
  <si>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2025</t>
    </r>
  </si>
  <si>
    <t xml:space="preserve">20261031_Wattonomics_v0.1.7.xlsx CapexGW!F36</t>
  </si>
  <si>
    <t xml:space="preserve">pfac_googl_2025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</si>
  <si>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2025</t>
    </r>
  </si>
  <si>
    <t xml:space="preserve">20261031_Wattonomics_v0.1.7.xlsx CapexGW!F37</t>
  </si>
  <si>
    <t xml:space="preserve">ai2_googl_2025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</si>
  <si>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</si>
  <si>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20261031_Wattonomics_v0.1.7.xlsx CapexGW!F35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</si>
  <si>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site_googl_2025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</si>
  <si>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2025</t>
    </r>
  </si>
  <si>
    <t xml:space="preserve">20261031_Wattonomics_v0.1.7.xlsx CapexGW!F40</t>
  </si>
  <si>
    <t xml:space="preserve">main_googl_2025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</si>
  <si>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2025</t>
    </r>
  </si>
  <si>
    <t xml:space="preserve">20261031_Wattonomics_v0.1.7.xlsx CapexGW!F41</t>
  </si>
  <si>
    <t xml:space="preserve">pit_googl_2026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</si>
  <si>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2026</t>
    </r>
  </si>
  <si>
    <t xml:space="preserve">20261031_Wattonomics_v0.1.7.xlsx CapexGW!G36</t>
  </si>
  <si>
    <t xml:space="preserve">pfac_googl_2026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</si>
  <si>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2026</t>
    </r>
  </si>
  <si>
    <t xml:space="preserve">20261031_Wattonomics_v0.1.7.xlsx CapexGW!G37</t>
  </si>
  <si>
    <t xml:space="preserve">ai2_googl_2026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</si>
  <si>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</si>
  <si>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20261031_Wattonomics_v0.1.7.xlsx CapexGW!G35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</si>
  <si>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site_googl_2026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</si>
  <si>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</si>
  <si>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CapexGW!G40</t>
  </si>
  <si>
    <t xml:space="preserve">main_googl_2026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</si>
  <si>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</si>
  <si>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CapexGW!G41</t>
  </si>
  <si>
    <t xml:space="preserve">pit_googl_2027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</si>
  <si>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2027</t>
    </r>
  </si>
  <si>
    <t xml:space="preserve">20261031_Wattonomics_v0.1.7.xlsx CapexGW!H36</t>
  </si>
  <si>
    <t xml:space="preserve">pfac_googl_2027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</si>
  <si>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2027</t>
    </r>
  </si>
  <si>
    <t xml:space="preserve">20261031_Wattonomics_v0.1.7.xlsx CapexGW!H37</t>
  </si>
  <si>
    <t xml:space="preserve">ai2_googl_2027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</si>
  <si>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</si>
  <si>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20261031_Wattonomics_v0.1.7.xlsx CapexGW!H35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</si>
  <si>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site_googl_2027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</si>
  <si>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</si>
  <si>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CapexGW!H40</t>
  </si>
  <si>
    <t xml:space="preserve">main_googl_2027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</si>
  <si>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</si>
  <si>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CapexGW!H41</t>
  </si>
  <si>
    <t xml:space="preserve">pit_googl_2028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</si>
  <si>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2028</t>
    </r>
  </si>
  <si>
    <t xml:space="preserve">20261031_Wattonomics_v0.1.7.xlsx CapexGW!I36</t>
  </si>
  <si>
    <t xml:space="preserve">pfac_googl_2028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</si>
  <si>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2028</t>
    </r>
  </si>
  <si>
    <t xml:space="preserve">20261031_Wattonomics_v0.1.7.xlsx CapexGW!I37</t>
  </si>
  <si>
    <t xml:space="preserve">ai2_googl_2028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</si>
  <si>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</si>
  <si>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20261031_Wattonomics_v0.1.7.xlsx CapexGW!I35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</si>
  <si>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site_googl_2028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</si>
  <si>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</si>
  <si>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CapexGW!I40</t>
  </si>
  <si>
    <t xml:space="preserve">main_googl_2028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</si>
  <si>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</si>
  <si>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CapexGW!I41</t>
  </si>
  <si>
    <t xml:space="preserve">pit_googl_2029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</si>
  <si>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2029</t>
    </r>
  </si>
  <si>
    <t xml:space="preserve">20261031_Wattonomics_v0.1.7.xlsx CapexGW!J36</t>
  </si>
  <si>
    <t xml:space="preserve">pfac_googl_2029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</si>
  <si>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2029</t>
    </r>
  </si>
  <si>
    <t xml:space="preserve">20261031_Wattonomics_v0.1.7.xlsx CapexGW!J37</t>
  </si>
  <si>
    <t xml:space="preserve">ai2_googl_2029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</si>
  <si>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</si>
  <si>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20261031_Wattonomics_v0.1.7.xlsx CapexGW!J35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</si>
  <si>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site_googl_2029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</si>
  <si>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</si>
  <si>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CapexGW!J40</t>
  </si>
  <si>
    <t xml:space="preserve">main_googl_2029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</si>
  <si>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</si>
  <si>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CapexGW!J41</t>
  </si>
  <si>
    <t xml:space="preserve">gcap_googl_2024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</si>
  <si>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FY2024</t>
    </r>
  </si>
  <si>
    <r>
      <rPr>
        <sz val="11"/>
        <color theme="1"/>
        <rFont val="Calibri"/>
        <family val="2"/>
        <charset val="1"/>
      </rPr>
      <t xml:space="preserve">20261031_Wattonomics_v0.1.7.xlsx In!I178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64f5c…</t>
    </r>
    <r>
      <rPr>
        <sz val="11"/>
        <color theme="1"/>
        <rFont val="Noto Sans CJK SC"/>
        <family val="2"/>
      </rPr>
      <t xml:space="preserve">）</t>
    </r>
  </si>
  <si>
    <t xml:space="preserve">gcap_googl_2025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</si>
  <si>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</si>
  <si>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Calibri"/>
        <family val="2"/>
        <charset val="1"/>
      </rPr>
      <t xml:space="preserve">20261031_Wattonomics_v0.1.7.xlsx In!J178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64f5c…</t>
    </r>
    <r>
      <rPr>
        <sz val="11"/>
        <color theme="1"/>
        <rFont val="Noto Sans CJK SC"/>
        <family val="2"/>
      </rPr>
      <t xml:space="preserve">）</t>
    </r>
  </si>
  <si>
    <t xml:space="preserve">gcap_googl_2026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</si>
  <si>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</si>
  <si>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20261031_Wattonomics_v0.1.7.xlsx In!K178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64f5c…</t>
    </r>
    <r>
      <rPr>
        <sz val="11"/>
        <color theme="1"/>
        <rFont val="Noto Sans CJK SC"/>
        <family val="2"/>
      </rPr>
      <t xml:space="preserve">）</t>
    </r>
  </si>
  <si>
    <t xml:space="preserve">gcap_googl_2027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</si>
  <si>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</si>
  <si>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20261031_Wattonomics_v0.1.7.xlsx In!L178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64f5c…</t>
    </r>
    <r>
      <rPr>
        <sz val="11"/>
        <color theme="1"/>
        <rFont val="Noto Sans CJK SC"/>
        <family val="2"/>
      </rPr>
      <t xml:space="preserve">）</t>
    </r>
  </si>
  <si>
    <t xml:space="preserve">gcap_googl_2028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</si>
  <si>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</si>
  <si>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20261031_Wattonomics_v0.1.7.xlsx In!M178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64f5c…</t>
    </r>
    <r>
      <rPr>
        <sz val="11"/>
        <color theme="1"/>
        <rFont val="Noto Sans CJK SC"/>
        <family val="2"/>
      </rPr>
      <t xml:space="preserve">）</t>
    </r>
  </si>
  <si>
    <t xml:space="preserve">gcap_googl_2029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</si>
  <si>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</si>
  <si>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20261031_Wattonomics_v0.1.7.xlsx In!N178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64f5c…</t>
    </r>
    <r>
      <rPr>
        <sz val="11"/>
        <color theme="1"/>
        <rFont val="Noto Sans CJK SC"/>
        <family val="2"/>
      </rPr>
      <t xml:space="preserve">）</t>
    </r>
  </si>
  <si>
    <t xml:space="preserve">gcap_googl_2030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</si>
  <si>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</si>
  <si>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Calibri"/>
        <family val="2"/>
        <charset val="1"/>
      </rPr>
      <t xml:space="preserve">20261031_Wattonomics_v0.1.7.xlsx In!O178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alphabet/dist/20261030_Alphabet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64f5c…</t>
    </r>
    <r>
      <rPr>
        <sz val="11"/>
        <color theme="1"/>
        <rFont val="Noto Sans CJK SC"/>
        <family val="2"/>
      </rPr>
      <t xml:space="preserve">）</t>
    </r>
  </si>
  <si>
    <t xml:space="preserve">nnv_googl_2024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</si>
  <si>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2024</t>
    </r>
  </si>
  <si>
    <t xml:space="preserve">20261031_Wattonomics_v0.1.7.xlsx Players!E57</t>
  </si>
  <si>
    <t xml:space="preserve">nnv_googl_2025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</si>
  <si>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2025</t>
    </r>
  </si>
  <si>
    <t xml:space="preserve">20261031_Wattonomics_v0.1.7.xlsx Players!F57</t>
  </si>
  <si>
    <t xml:space="preserve">nnv_googl_2026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</si>
  <si>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</si>
  <si>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20261031_Wattonomics_v0.1.7.xlsx Players!G57</t>
  </si>
  <si>
    <t xml:space="preserve">nnv_googl_2027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</si>
  <si>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2027</t>
    </r>
  </si>
  <si>
    <t xml:space="preserve">20261031_Wattonomics_v0.1.7.xlsx Players!H57</t>
  </si>
  <si>
    <t xml:space="preserve">nnv_googl_2028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</si>
  <si>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2028</t>
    </r>
  </si>
  <si>
    <t xml:space="preserve">20261031_Wattonomics_v0.1.7.xlsx Players!I57</t>
  </si>
  <si>
    <t xml:space="preserve">nnv_googl_2029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</si>
  <si>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2029</t>
    </r>
  </si>
  <si>
    <t xml:space="preserve">20261031_Wattonomics_v0.1.7.xlsx Players!J57</t>
  </si>
  <si>
    <t xml:space="preserve">fye_amzn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</si>
  <si>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財年結束月</t>
    </r>
  </si>
  <si>
    <t xml:space="preserve">20261031_Wattonomics_v0.1.7.xlsx In fye_amzn</t>
  </si>
  <si>
    <t xml:space="preserve">pit_amzn_2024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</si>
  <si>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2024</t>
    </r>
  </si>
  <si>
    <t xml:space="preserve">20261031_Wattonomics_v0.1.7.xlsx CapexGW!E55</t>
  </si>
  <si>
    <t xml:space="preserve">pfac_amzn_2024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</si>
  <si>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2024</t>
    </r>
  </si>
  <si>
    <t xml:space="preserve">20261031_Wattonomics_v0.1.7.xlsx CapexGW!E56</t>
  </si>
  <si>
    <t xml:space="preserve">ai2_amzn_2024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</si>
  <si>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2024</t>
    </r>
  </si>
  <si>
    <r>
      <rPr>
        <sz val="11"/>
        <color theme="1"/>
        <rFont val="Calibri"/>
        <family val="2"/>
        <charset val="1"/>
      </rPr>
      <t xml:space="preserve">20261031_Wattonomics_v0.1.7.xlsx CapexGW!E54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</si>
  <si>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site_amzn_2024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</si>
  <si>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2024</t>
    </r>
  </si>
  <si>
    <t xml:space="preserve">20261031_Wattonomics_v0.1.7.xlsx CapexGW!E59</t>
  </si>
  <si>
    <t xml:space="preserve">main_amzn_2024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</si>
  <si>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2024</t>
    </r>
  </si>
  <si>
    <t xml:space="preserve">20261031_Wattonomics_v0.1.7.xlsx CapexGW!E60</t>
  </si>
  <si>
    <t xml:space="preserve">pit_amzn_2025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</si>
  <si>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2025</t>
    </r>
  </si>
  <si>
    <t xml:space="preserve">20261031_Wattonomics_v0.1.7.xlsx CapexGW!F55</t>
  </si>
  <si>
    <t xml:space="preserve">pfac_amzn_2025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</si>
  <si>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2025</t>
    </r>
  </si>
  <si>
    <t xml:space="preserve">20261031_Wattonomics_v0.1.7.xlsx CapexGW!F56</t>
  </si>
  <si>
    <t xml:space="preserve">ai2_amzn_2025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</si>
  <si>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</si>
  <si>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20261031_Wattonomics_v0.1.7.xlsx CapexGW!F54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</si>
  <si>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site_amzn_2025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</si>
  <si>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2025</t>
    </r>
  </si>
  <si>
    <t xml:space="preserve">20261031_Wattonomics_v0.1.7.xlsx CapexGW!F59</t>
  </si>
  <si>
    <t xml:space="preserve">main_amzn_2025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</si>
  <si>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2025</t>
    </r>
  </si>
  <si>
    <t xml:space="preserve">20261031_Wattonomics_v0.1.7.xlsx CapexGW!F60</t>
  </si>
  <si>
    <t xml:space="preserve">pit_amzn_2026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</si>
  <si>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2026</t>
    </r>
  </si>
  <si>
    <t xml:space="preserve">20261031_Wattonomics_v0.1.7.xlsx CapexGW!G55</t>
  </si>
  <si>
    <t xml:space="preserve">pfac_amzn_2026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</si>
  <si>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2026</t>
    </r>
  </si>
  <si>
    <t xml:space="preserve">20261031_Wattonomics_v0.1.7.xlsx CapexGW!G56</t>
  </si>
  <si>
    <t xml:space="preserve">ai2_amzn_2026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</si>
  <si>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</si>
  <si>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20261031_Wattonomics_v0.1.7.xlsx CapexGW!G54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</si>
  <si>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site_amzn_2026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</si>
  <si>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</si>
  <si>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CapexGW!G59</t>
  </si>
  <si>
    <t xml:space="preserve">main_amzn_2026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</si>
  <si>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</si>
  <si>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CapexGW!G60</t>
  </si>
  <si>
    <t xml:space="preserve">pit_amzn_2027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</si>
  <si>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2027</t>
    </r>
  </si>
  <si>
    <t xml:space="preserve">20261031_Wattonomics_v0.1.7.xlsx CapexGW!H55</t>
  </si>
  <si>
    <t xml:space="preserve">pfac_amzn_2027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</si>
  <si>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2027</t>
    </r>
  </si>
  <si>
    <t xml:space="preserve">20261031_Wattonomics_v0.1.7.xlsx CapexGW!H56</t>
  </si>
  <si>
    <t xml:space="preserve">ai2_amzn_2027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</si>
  <si>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</si>
  <si>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20261031_Wattonomics_v0.1.7.xlsx CapexGW!H54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</si>
  <si>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site_amzn_2027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</si>
  <si>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</si>
  <si>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CapexGW!H59</t>
  </si>
  <si>
    <t xml:space="preserve">main_amzn_2027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</si>
  <si>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</si>
  <si>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CapexGW!H60</t>
  </si>
  <si>
    <t xml:space="preserve">pit_amzn_2028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</si>
  <si>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2028</t>
    </r>
  </si>
  <si>
    <t xml:space="preserve">20261031_Wattonomics_v0.1.7.xlsx CapexGW!I55</t>
  </si>
  <si>
    <t xml:space="preserve">pfac_amzn_2028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</si>
  <si>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2028</t>
    </r>
  </si>
  <si>
    <t xml:space="preserve">20261031_Wattonomics_v0.1.7.xlsx CapexGW!I56</t>
  </si>
  <si>
    <t xml:space="preserve">ai2_amzn_2028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</si>
  <si>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</si>
  <si>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20261031_Wattonomics_v0.1.7.xlsx CapexGW!I54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</si>
  <si>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site_amzn_2028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</si>
  <si>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</si>
  <si>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CapexGW!I59</t>
  </si>
  <si>
    <t xml:space="preserve">main_amzn_2028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</si>
  <si>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</si>
  <si>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CapexGW!I60</t>
  </si>
  <si>
    <t xml:space="preserve">pit_amzn_2029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</si>
  <si>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2029</t>
    </r>
  </si>
  <si>
    <t xml:space="preserve">20261031_Wattonomics_v0.1.7.xlsx CapexGW!J55</t>
  </si>
  <si>
    <t xml:space="preserve">pfac_amzn_2029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</si>
  <si>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2029</t>
    </r>
  </si>
  <si>
    <t xml:space="preserve">20261031_Wattonomics_v0.1.7.xlsx CapexGW!J56</t>
  </si>
  <si>
    <t xml:space="preserve">ai2_amzn_2029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</si>
  <si>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</si>
  <si>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20261031_Wattonomics_v0.1.7.xlsx CapexGW!J54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</si>
  <si>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site_amzn_2029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</si>
  <si>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</si>
  <si>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CapexGW!J59</t>
  </si>
  <si>
    <t xml:space="preserve">main_amzn_2029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</si>
  <si>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</si>
  <si>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CapexGW!J60</t>
  </si>
  <si>
    <t xml:space="preserve">gcap_amzn_2024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</si>
  <si>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FY2024</t>
    </r>
  </si>
  <si>
    <r>
      <rPr>
        <sz val="11"/>
        <color theme="1"/>
        <rFont val="Calibri"/>
        <family val="2"/>
        <charset val="1"/>
      </rPr>
      <t xml:space="preserve">20261031_Wattonomics_v0.1.7.xlsx In!I184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）；…）</t>
    </r>
  </si>
  <si>
    <t xml:space="preserve">gcap_amzn_2025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</si>
  <si>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</si>
  <si>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Calibri"/>
        <family val="2"/>
        <charset val="1"/>
      </rPr>
      <t xml:space="preserve">20261031_Wattonomics_v0.1.7.xlsx In!J184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）；…）</t>
    </r>
  </si>
  <si>
    <t xml:space="preserve">gcap_amzn_2026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</si>
  <si>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</si>
  <si>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20261031_Wattonomics_v0.1.7.xlsx In!K184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）；…）</t>
    </r>
  </si>
  <si>
    <t xml:space="preserve">gcap_amzn_2027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</si>
  <si>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</si>
  <si>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20261031_Wattonomics_v0.1.7.xlsx In!L184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）；…）</t>
    </r>
  </si>
  <si>
    <t xml:space="preserve">gcap_amzn_2028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</si>
  <si>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</si>
  <si>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20261031_Wattonomics_v0.1.7.xlsx In!M184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）；…）</t>
    </r>
  </si>
  <si>
    <t xml:space="preserve">gcap_amzn_2029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</si>
  <si>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</si>
  <si>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20261031_Wattonomics_v0.1.7.xlsx In!N184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）；…）</t>
    </r>
  </si>
  <si>
    <t xml:space="preserve">gcap_amzn_2030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</si>
  <si>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</si>
  <si>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Calibri"/>
        <family val="2"/>
        <charset val="1"/>
      </rPr>
      <t xml:space="preserve">20261031_Wattonomics_v0.1.7.xlsx In!O184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amazon/dist/20261031_Amazon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03507b7</t>
    </r>
    <r>
      <rPr>
        <sz val="11"/>
        <color theme="1"/>
        <rFont val="Noto Sans CJK SC"/>
        <family val="2"/>
      </rPr>
      <t xml:space="preserve">）；…）</t>
    </r>
  </si>
  <si>
    <t xml:space="preserve">nnv_amzn_2024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</si>
  <si>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2024</t>
    </r>
  </si>
  <si>
    <t xml:space="preserve">20261031_Wattonomics_v0.1.7.xlsx Players!E76</t>
  </si>
  <si>
    <t xml:space="preserve">nnv_amzn_2025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</si>
  <si>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2025</t>
    </r>
  </si>
  <si>
    <t xml:space="preserve">20261031_Wattonomics_v0.1.7.xlsx Players!F76</t>
  </si>
  <si>
    <t xml:space="preserve">nnv_amzn_2026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</si>
  <si>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</si>
  <si>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20261031_Wattonomics_v0.1.7.xlsx Players!G76</t>
  </si>
  <si>
    <t xml:space="preserve">nnv_amzn_2027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</si>
  <si>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2027</t>
    </r>
  </si>
  <si>
    <t xml:space="preserve">20261031_Wattonomics_v0.1.7.xlsx Players!H76</t>
  </si>
  <si>
    <t xml:space="preserve">nnv_amzn_2028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</si>
  <si>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2028</t>
    </r>
  </si>
  <si>
    <t xml:space="preserve">20261031_Wattonomics_v0.1.7.xlsx Players!I76</t>
  </si>
  <si>
    <t xml:space="preserve">nnv_amzn_2029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</si>
  <si>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2029</t>
    </r>
  </si>
  <si>
    <t xml:space="preserve">20261031_Wattonomics_v0.1.7.xlsx Players!J76</t>
  </si>
  <si>
    <t xml:space="preserve">fye_meta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</si>
  <si>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財年結束月</t>
    </r>
  </si>
  <si>
    <t xml:space="preserve">20261031_Wattonomics_v0.1.7.xlsx In fye_meta</t>
  </si>
  <si>
    <t xml:space="preserve">pit_meta_2024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</si>
  <si>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2024</t>
    </r>
  </si>
  <si>
    <t xml:space="preserve">20261031_Wattonomics_v0.1.7.xlsx CapexGW!E74</t>
  </si>
  <si>
    <t xml:space="preserve">pfac_meta_2024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</si>
  <si>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2024</t>
    </r>
  </si>
  <si>
    <t xml:space="preserve">20261031_Wattonomics_v0.1.7.xlsx CapexGW!E75</t>
  </si>
  <si>
    <t xml:space="preserve">ai2_meta_2024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</si>
  <si>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2024</t>
    </r>
  </si>
  <si>
    <r>
      <rPr>
        <sz val="11"/>
        <color theme="1"/>
        <rFont val="Calibri"/>
        <family val="2"/>
        <charset val="1"/>
      </rPr>
      <t xml:space="preserve">20261031_Wattonomics_v0.1.7.xlsx CapexGW!E73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</si>
  <si>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site_meta_2024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</si>
  <si>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2024</t>
    </r>
  </si>
  <si>
    <t xml:space="preserve">20261031_Wattonomics_v0.1.7.xlsx CapexGW!E78</t>
  </si>
  <si>
    <t xml:space="preserve">main_meta_2024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</si>
  <si>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2024</t>
    </r>
  </si>
  <si>
    <t xml:space="preserve">20261031_Wattonomics_v0.1.7.xlsx CapexGW!E79</t>
  </si>
  <si>
    <t xml:space="preserve">pit_meta_2025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</si>
  <si>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2025</t>
    </r>
  </si>
  <si>
    <t xml:space="preserve">20261031_Wattonomics_v0.1.7.xlsx CapexGW!F74</t>
  </si>
  <si>
    <t xml:space="preserve">pfac_meta_2025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</si>
  <si>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2025</t>
    </r>
  </si>
  <si>
    <t xml:space="preserve">20261031_Wattonomics_v0.1.7.xlsx CapexGW!F75</t>
  </si>
  <si>
    <t xml:space="preserve">ai2_meta_2025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</si>
  <si>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</si>
  <si>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20261031_Wattonomics_v0.1.7.xlsx CapexGW!F73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</si>
  <si>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site_meta_2025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</si>
  <si>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2025</t>
    </r>
  </si>
  <si>
    <t xml:space="preserve">20261031_Wattonomics_v0.1.7.xlsx CapexGW!F78</t>
  </si>
  <si>
    <t xml:space="preserve">main_meta_2025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</si>
  <si>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2025</t>
    </r>
  </si>
  <si>
    <t xml:space="preserve">20261031_Wattonomics_v0.1.7.xlsx CapexGW!F79</t>
  </si>
  <si>
    <t xml:space="preserve">pit_meta_2026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</si>
  <si>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2026</t>
    </r>
  </si>
  <si>
    <t xml:space="preserve">20261031_Wattonomics_v0.1.7.xlsx CapexGW!G74</t>
  </si>
  <si>
    <t xml:space="preserve">pfac_meta_2026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</si>
  <si>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2026</t>
    </r>
  </si>
  <si>
    <t xml:space="preserve">20261031_Wattonomics_v0.1.7.xlsx CapexGW!G75</t>
  </si>
  <si>
    <t xml:space="preserve">ai2_meta_2026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</si>
  <si>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</si>
  <si>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20261031_Wattonomics_v0.1.7.xlsx CapexGW!G73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</si>
  <si>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site_meta_2026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</si>
  <si>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</si>
  <si>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CapexGW!G78</t>
  </si>
  <si>
    <t xml:space="preserve">main_meta_2026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</si>
  <si>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</si>
  <si>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CapexGW!G79</t>
  </si>
  <si>
    <t xml:space="preserve">pit_meta_2027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</si>
  <si>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2027</t>
    </r>
  </si>
  <si>
    <t xml:space="preserve">20261031_Wattonomics_v0.1.7.xlsx CapexGW!H74</t>
  </si>
  <si>
    <t xml:space="preserve">pfac_meta_2027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</si>
  <si>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2027</t>
    </r>
  </si>
  <si>
    <t xml:space="preserve">20261031_Wattonomics_v0.1.7.xlsx CapexGW!H75</t>
  </si>
  <si>
    <t xml:space="preserve">ai2_meta_2027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</si>
  <si>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</si>
  <si>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20261031_Wattonomics_v0.1.7.xlsx CapexGW!H73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</si>
  <si>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site_meta_2027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</si>
  <si>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</si>
  <si>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CapexGW!H78</t>
  </si>
  <si>
    <t xml:space="preserve">main_meta_2027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</si>
  <si>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</si>
  <si>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CapexGW!H79</t>
  </si>
  <si>
    <t xml:space="preserve">pit_meta_2028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</si>
  <si>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2028</t>
    </r>
  </si>
  <si>
    <t xml:space="preserve">20261031_Wattonomics_v0.1.7.xlsx CapexGW!I74</t>
  </si>
  <si>
    <t xml:space="preserve">pfac_meta_2028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</si>
  <si>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2028</t>
    </r>
  </si>
  <si>
    <t xml:space="preserve">20261031_Wattonomics_v0.1.7.xlsx CapexGW!I75</t>
  </si>
  <si>
    <t xml:space="preserve">ai2_meta_2028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</si>
  <si>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</si>
  <si>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20261031_Wattonomics_v0.1.7.xlsx CapexGW!I73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</si>
  <si>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site_meta_2028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</si>
  <si>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</si>
  <si>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CapexGW!I78</t>
  </si>
  <si>
    <t xml:space="preserve">main_meta_2028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</si>
  <si>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</si>
  <si>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CapexGW!I79</t>
  </si>
  <si>
    <t xml:space="preserve">pit_meta_2029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</si>
  <si>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2029</t>
    </r>
  </si>
  <si>
    <t xml:space="preserve">20261031_Wattonomics_v0.1.7.xlsx CapexGW!J74</t>
  </si>
  <si>
    <t xml:space="preserve">pfac_meta_2029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</si>
  <si>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2029</t>
    </r>
  </si>
  <si>
    <t xml:space="preserve">20261031_Wattonomics_v0.1.7.xlsx CapexGW!J75</t>
  </si>
  <si>
    <t xml:space="preserve">ai2_meta_2029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</si>
  <si>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</si>
  <si>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20261031_Wattonomics_v0.1.7.xlsx CapexGW!J73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</si>
  <si>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site_meta_2029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</si>
  <si>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</si>
  <si>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CapexGW!J78</t>
  </si>
  <si>
    <t xml:space="preserve">main_meta_2029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</si>
  <si>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</si>
  <si>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CapexGW!J79</t>
  </si>
  <si>
    <t xml:space="preserve">gcap_meta_2024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</si>
  <si>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FY2024</t>
    </r>
  </si>
  <si>
    <r>
      <rPr>
        <sz val="11"/>
        <color theme="1"/>
        <rFont val="Calibri"/>
        <family val="2"/>
        <charset val="1"/>
      </rPr>
      <t xml:space="preserve">20261031_Wattonomics_v0.1.7.xlsx In!I190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FY20…</t>
    </r>
    <r>
      <rPr>
        <sz val="11"/>
        <color theme="1"/>
        <rFont val="Noto Sans CJK SC"/>
        <family val="2"/>
      </rPr>
      <t xml:space="preserve">）</t>
    </r>
  </si>
  <si>
    <t xml:space="preserve">gcap_meta_2025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</si>
  <si>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</si>
  <si>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Calibri"/>
        <family val="2"/>
        <charset val="1"/>
      </rPr>
      <t xml:space="preserve">20261031_Wattonomics_v0.1.7.xlsx In!J190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FY20…</t>
    </r>
    <r>
      <rPr>
        <sz val="11"/>
        <color theme="1"/>
        <rFont val="Noto Sans CJK SC"/>
        <family val="2"/>
      </rPr>
      <t xml:space="preserve">）</t>
    </r>
  </si>
  <si>
    <t xml:space="preserve">gcap_meta_2026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</si>
  <si>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</si>
  <si>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20261031_Wattonomics_v0.1.7.xlsx In!K190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FY20…</t>
    </r>
    <r>
      <rPr>
        <sz val="11"/>
        <color theme="1"/>
        <rFont val="Noto Sans CJK SC"/>
        <family val="2"/>
      </rPr>
      <t xml:space="preserve">）</t>
    </r>
  </si>
  <si>
    <t xml:space="preserve">gcap_meta_2027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</si>
  <si>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</si>
  <si>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20261031_Wattonomics_v0.1.7.xlsx In!L190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FY20…</t>
    </r>
    <r>
      <rPr>
        <sz val="11"/>
        <color theme="1"/>
        <rFont val="Noto Sans CJK SC"/>
        <family val="2"/>
      </rPr>
      <t xml:space="preserve">）</t>
    </r>
  </si>
  <si>
    <t xml:space="preserve">gcap_meta_2028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</si>
  <si>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</si>
  <si>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20261031_Wattonomics_v0.1.7.xlsx In!M190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FY20…</t>
    </r>
    <r>
      <rPr>
        <sz val="11"/>
        <color theme="1"/>
        <rFont val="Noto Sans CJK SC"/>
        <family val="2"/>
      </rPr>
      <t xml:space="preserve">）</t>
    </r>
  </si>
  <si>
    <t xml:space="preserve">gcap_meta_2029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</si>
  <si>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</si>
  <si>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20261031_Wattonomics_v0.1.7.xlsx In!N190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FY20…</t>
    </r>
    <r>
      <rPr>
        <sz val="11"/>
        <color theme="1"/>
        <rFont val="Noto Sans CJK SC"/>
        <family val="2"/>
      </rPr>
      <t xml:space="preserve">）</t>
    </r>
  </si>
  <si>
    <t xml:space="preserve">gcap_meta_2030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</si>
  <si>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</si>
  <si>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Calibri"/>
        <family val="2"/>
        <charset val="1"/>
      </rPr>
      <t xml:space="preserve">20261031_Wattonomics_v0.1.7.xlsx In!O190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meta/dist/20261030_Meta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4bb7b2f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FY20…</t>
    </r>
    <r>
      <rPr>
        <sz val="11"/>
        <color theme="1"/>
        <rFont val="Noto Sans CJK SC"/>
        <family val="2"/>
      </rPr>
      <t xml:space="preserve">）</t>
    </r>
  </si>
  <si>
    <t xml:space="preserve">nnv_meta_2024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</si>
  <si>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2024</t>
    </r>
  </si>
  <si>
    <t xml:space="preserve">20261031_Wattonomics_v0.1.7.xlsx Players!E95</t>
  </si>
  <si>
    <t xml:space="preserve">nnv_meta_2025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</si>
  <si>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2025</t>
    </r>
  </si>
  <si>
    <t xml:space="preserve">20261031_Wattonomics_v0.1.7.xlsx Players!F95</t>
  </si>
  <si>
    <t xml:space="preserve">nnv_meta_2026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</si>
  <si>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</si>
  <si>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20261031_Wattonomics_v0.1.7.xlsx Players!G95</t>
  </si>
  <si>
    <t xml:space="preserve">nnv_meta_2027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</si>
  <si>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2027</t>
    </r>
  </si>
  <si>
    <t xml:space="preserve">20261031_Wattonomics_v0.1.7.xlsx Players!H95</t>
  </si>
  <si>
    <t xml:space="preserve">nnv_meta_2028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</si>
  <si>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2028</t>
    </r>
  </si>
  <si>
    <t xml:space="preserve">20261031_Wattonomics_v0.1.7.xlsx Players!I95</t>
  </si>
  <si>
    <t xml:space="preserve">nnv_meta_2029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</si>
  <si>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2029</t>
    </r>
  </si>
  <si>
    <t xml:space="preserve">20261031_Wattonomics_v0.1.7.xlsx Players!J95</t>
  </si>
  <si>
    <t xml:space="preserve">fye_orcl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</si>
  <si>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財年結束月</t>
    </r>
  </si>
  <si>
    <t xml:space="preserve">20261031_Wattonomics_v0.1.7.xlsx In fye_orcl</t>
  </si>
  <si>
    <t xml:space="preserve">pit_orcl_2024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</si>
  <si>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2024</t>
    </r>
  </si>
  <si>
    <t xml:space="preserve">20261031_Wattonomics_v0.1.7.xlsx CapexGW!E93</t>
  </si>
  <si>
    <t xml:space="preserve">pfac_orcl_2024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</si>
  <si>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2024</t>
    </r>
  </si>
  <si>
    <t xml:space="preserve">20261031_Wattonomics_v0.1.7.xlsx CapexGW!E94</t>
  </si>
  <si>
    <t xml:space="preserve">ai2_orcl_2024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</si>
  <si>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2024</t>
    </r>
  </si>
  <si>
    <r>
      <rPr>
        <sz val="11"/>
        <color theme="1"/>
        <rFont val="Calibri"/>
        <family val="2"/>
        <charset val="1"/>
      </rPr>
      <t xml:space="preserve">20261031_Wattonomics_v0.1.7.xlsx CapexGW!E92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</si>
  <si>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site_orcl_2024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</si>
  <si>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2024</t>
    </r>
  </si>
  <si>
    <t xml:space="preserve">20261031_Wattonomics_v0.1.7.xlsx CapexGW!E97</t>
  </si>
  <si>
    <t xml:space="preserve">main_orcl_2024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</si>
  <si>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2024</t>
    </r>
  </si>
  <si>
    <t xml:space="preserve">20261031_Wattonomics_v0.1.7.xlsx CapexGW!E98</t>
  </si>
  <si>
    <t xml:space="preserve">pit_orcl_2025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</si>
  <si>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2025</t>
    </r>
  </si>
  <si>
    <t xml:space="preserve">20261031_Wattonomics_v0.1.7.xlsx CapexGW!F93</t>
  </si>
  <si>
    <t xml:space="preserve">pfac_orcl_2025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</si>
  <si>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2025</t>
    </r>
  </si>
  <si>
    <t xml:space="preserve">20261031_Wattonomics_v0.1.7.xlsx CapexGW!F94</t>
  </si>
  <si>
    <t xml:space="preserve">ai2_orcl_2025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</si>
  <si>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</si>
  <si>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20261031_Wattonomics_v0.1.7.xlsx CapexGW!F92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</si>
  <si>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site_orcl_2025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</si>
  <si>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2025</t>
    </r>
  </si>
  <si>
    <t xml:space="preserve">20261031_Wattonomics_v0.1.7.xlsx CapexGW!F97</t>
  </si>
  <si>
    <t xml:space="preserve">main_orcl_2025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</si>
  <si>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2025</t>
    </r>
  </si>
  <si>
    <t xml:space="preserve">20261031_Wattonomics_v0.1.7.xlsx CapexGW!F98</t>
  </si>
  <si>
    <t xml:space="preserve">pit_orcl_2026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</si>
  <si>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2026</t>
    </r>
  </si>
  <si>
    <t xml:space="preserve">20261031_Wattonomics_v0.1.7.xlsx CapexGW!G93</t>
  </si>
  <si>
    <t xml:space="preserve">pfac_orcl_2026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</si>
  <si>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2026</t>
    </r>
  </si>
  <si>
    <t xml:space="preserve">20261031_Wattonomics_v0.1.7.xlsx CapexGW!G94</t>
  </si>
  <si>
    <t xml:space="preserve">ai2_orcl_2026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</si>
  <si>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</si>
  <si>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20261031_Wattonomics_v0.1.7.xlsx CapexGW!G92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</si>
  <si>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site_orcl_2026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</si>
  <si>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</si>
  <si>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CapexGW!G97</t>
  </si>
  <si>
    <t xml:space="preserve">main_orcl_2026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</si>
  <si>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</si>
  <si>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CapexGW!G98</t>
  </si>
  <si>
    <t xml:space="preserve">pit_orcl_2027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</si>
  <si>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2027</t>
    </r>
  </si>
  <si>
    <t xml:space="preserve">20261031_Wattonomics_v0.1.7.xlsx CapexGW!H93</t>
  </si>
  <si>
    <t xml:space="preserve">pfac_orcl_2027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</si>
  <si>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2027</t>
    </r>
  </si>
  <si>
    <t xml:space="preserve">20261031_Wattonomics_v0.1.7.xlsx CapexGW!H94</t>
  </si>
  <si>
    <t xml:space="preserve">ai2_orcl_2027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</si>
  <si>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</si>
  <si>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20261031_Wattonomics_v0.1.7.xlsx CapexGW!H92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</si>
  <si>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site_orcl_2027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</si>
  <si>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</si>
  <si>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CapexGW!H97</t>
  </si>
  <si>
    <t xml:space="preserve">main_orcl_2027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</si>
  <si>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</si>
  <si>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CapexGW!H98</t>
  </si>
  <si>
    <t xml:space="preserve">pit_orcl_2028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</si>
  <si>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2028</t>
    </r>
  </si>
  <si>
    <t xml:space="preserve">20261031_Wattonomics_v0.1.7.xlsx CapexGW!I93</t>
  </si>
  <si>
    <t xml:space="preserve">pfac_orcl_2028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</si>
  <si>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2028</t>
    </r>
  </si>
  <si>
    <t xml:space="preserve">20261031_Wattonomics_v0.1.7.xlsx CapexGW!I94</t>
  </si>
  <si>
    <t xml:space="preserve">ai2_orcl_2028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</si>
  <si>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</si>
  <si>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20261031_Wattonomics_v0.1.7.xlsx CapexGW!I92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</si>
  <si>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site_orcl_2028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</si>
  <si>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</si>
  <si>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CapexGW!I97</t>
  </si>
  <si>
    <t xml:space="preserve">main_orcl_2028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</si>
  <si>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</si>
  <si>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CapexGW!I98</t>
  </si>
  <si>
    <t xml:space="preserve">pit_orcl_2029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</si>
  <si>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2029</t>
    </r>
  </si>
  <si>
    <t xml:space="preserve">20261031_Wattonomics_v0.1.7.xlsx CapexGW!J93</t>
  </si>
  <si>
    <t xml:space="preserve">pfac_orcl_2029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</si>
  <si>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2029</t>
    </r>
  </si>
  <si>
    <t xml:space="preserve">20261031_Wattonomics_v0.1.7.xlsx CapexGW!J94</t>
  </si>
  <si>
    <t xml:space="preserve">ai2_orcl_2029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</si>
  <si>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</si>
  <si>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20261031_Wattonomics_v0.1.7.xlsx CapexGW!J92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</si>
  <si>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site_orcl_2029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</si>
  <si>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</si>
  <si>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CapexGW!J97</t>
  </si>
  <si>
    <t xml:space="preserve">main_orcl_2029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</si>
  <si>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</si>
  <si>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CapexGW!J98</t>
  </si>
  <si>
    <t xml:space="preserve">gcap_orcl_2024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</si>
  <si>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FY2024</t>
    </r>
  </si>
  <si>
    <r>
      <rPr>
        <sz val="11"/>
        <color theme="1"/>
        <rFont val="Calibri"/>
        <family val="2"/>
        <charset val="1"/>
      </rPr>
      <t xml:space="preserve">20261031_Wattonomics_v0.1.7.xlsx In!I196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）；…）</t>
    </r>
  </si>
  <si>
    <t xml:space="preserve">gcap_orcl_2025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</si>
  <si>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</si>
  <si>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Calibri"/>
        <family val="2"/>
        <charset val="1"/>
      </rPr>
      <t xml:space="preserve">20261031_Wattonomics_v0.1.7.xlsx In!J196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）；…）</t>
    </r>
  </si>
  <si>
    <t xml:space="preserve">gcap_orcl_2026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</si>
  <si>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</si>
  <si>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20261031_Wattonomics_v0.1.7.xlsx In!K196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）；…）</t>
    </r>
  </si>
  <si>
    <t xml:space="preserve">gcap_orcl_2027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</si>
  <si>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</si>
  <si>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20261031_Wattonomics_v0.1.7.xlsx In!L196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）；…）</t>
    </r>
  </si>
  <si>
    <t xml:space="preserve">gcap_orcl_2028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</si>
  <si>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</si>
  <si>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20261031_Wattonomics_v0.1.7.xlsx In!M196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）；…）</t>
    </r>
  </si>
  <si>
    <t xml:space="preserve">gcap_orcl_2029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</si>
  <si>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</si>
  <si>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20261031_Wattonomics_v0.1.7.xlsx In!N196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）；…）</t>
    </r>
  </si>
  <si>
    <t xml:space="preserve">gcap_orcl_2030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</si>
  <si>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</si>
  <si>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Calibri"/>
        <family val="2"/>
        <charset val="1"/>
      </rPr>
      <t xml:space="preserve">20261031_Wattonomics_v0.1.7.xlsx In!O196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oracle/dist/20261030_Oracle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bc5bc7e</t>
    </r>
    <r>
      <rPr>
        <sz val="11"/>
        <color theme="1"/>
        <rFont val="Noto Sans CJK SC"/>
        <family val="2"/>
      </rPr>
      <t xml:space="preserve">）；…）</t>
    </r>
  </si>
  <si>
    <t xml:space="preserve">nnv_orcl_2024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</si>
  <si>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2024</t>
    </r>
  </si>
  <si>
    <t xml:space="preserve">20261031_Wattonomics_v0.1.7.xlsx Players!E114</t>
  </si>
  <si>
    <t xml:space="preserve">nnv_orcl_2025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</si>
  <si>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2025</t>
    </r>
  </si>
  <si>
    <t xml:space="preserve">20261031_Wattonomics_v0.1.7.xlsx Players!F114</t>
  </si>
  <si>
    <t xml:space="preserve">nnv_orcl_2026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</si>
  <si>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</si>
  <si>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20261031_Wattonomics_v0.1.7.xlsx Players!G114</t>
  </si>
  <si>
    <t xml:space="preserve">nnv_orcl_2027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</si>
  <si>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2027</t>
    </r>
  </si>
  <si>
    <t xml:space="preserve">20261031_Wattonomics_v0.1.7.xlsx Players!H114</t>
  </si>
  <si>
    <t xml:space="preserve">nnv_orcl_2028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</si>
  <si>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2028</t>
    </r>
  </si>
  <si>
    <t xml:space="preserve">20261031_Wattonomics_v0.1.7.xlsx Players!I114</t>
  </si>
  <si>
    <t xml:space="preserve">nnv_orcl_2029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</si>
  <si>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2029</t>
    </r>
  </si>
  <si>
    <t xml:space="preserve">20261031_Wattonomics_v0.1.7.xlsx Players!J114</t>
  </si>
  <si>
    <t xml:space="preserve">cap2_orcl_2025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</si>
  <si>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Y9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，曆年換算補用）</t>
    </r>
  </si>
  <si>
    <t xml:space="preserve">20261031_Wattonomics_v0.1.7.xlsx In!J128</t>
  </si>
  <si>
    <t xml:space="preserve">fye_crwv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</si>
  <si>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財年結束月</t>
    </r>
  </si>
  <si>
    <t xml:space="preserve">20261031_Wattonomics_v0.1.7.xlsx In fye_crwv</t>
  </si>
  <si>
    <t xml:space="preserve">pit_crwv_2024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</si>
  <si>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2024</t>
    </r>
  </si>
  <si>
    <t xml:space="preserve">20261031_Wattonomics_v0.1.7.xlsx CapexGW!E112</t>
  </si>
  <si>
    <t xml:space="preserve">pfac_crwv_2024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</si>
  <si>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2024</t>
    </r>
  </si>
  <si>
    <t xml:space="preserve">20261031_Wattonomics_v0.1.7.xlsx CapexGW!E113</t>
  </si>
  <si>
    <t xml:space="preserve">ai2_crwv_2024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</si>
  <si>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2024</t>
    </r>
  </si>
  <si>
    <r>
      <rPr>
        <sz val="11"/>
        <color theme="1"/>
        <rFont val="Calibri"/>
        <family val="2"/>
        <charset val="1"/>
      </rPr>
      <t xml:space="preserve">20261031_Wattonomics_v0.1.7.xlsx CapexGW!E111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</si>
  <si>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site_crwv_2024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</si>
  <si>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2024</t>
    </r>
  </si>
  <si>
    <t xml:space="preserve">20261031_Wattonomics_v0.1.7.xlsx CapexGW!E116</t>
  </si>
  <si>
    <t xml:space="preserve">main_crwv_2024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</si>
  <si>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2024</t>
    </r>
  </si>
  <si>
    <t xml:space="preserve">20261031_Wattonomics_v0.1.7.xlsx CapexGW!E117</t>
  </si>
  <si>
    <t xml:space="preserve">pit_crwv_2025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</si>
  <si>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2025</t>
    </r>
  </si>
  <si>
    <t xml:space="preserve">20261031_Wattonomics_v0.1.7.xlsx CapexGW!F112</t>
  </si>
  <si>
    <t xml:space="preserve">pfac_crwv_2025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</si>
  <si>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2025</t>
    </r>
  </si>
  <si>
    <t xml:space="preserve">20261031_Wattonomics_v0.1.7.xlsx CapexGW!F113</t>
  </si>
  <si>
    <t xml:space="preserve">ai2_crwv_2025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</si>
  <si>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</si>
  <si>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20261031_Wattonomics_v0.1.7.xlsx CapexGW!F111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</si>
  <si>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site_crwv_2025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</si>
  <si>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2025</t>
    </r>
  </si>
  <si>
    <t xml:space="preserve">20261031_Wattonomics_v0.1.7.xlsx CapexGW!F116</t>
  </si>
  <si>
    <t xml:space="preserve">main_crwv_2025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</si>
  <si>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2025</t>
    </r>
  </si>
  <si>
    <t xml:space="preserve">20261031_Wattonomics_v0.1.7.xlsx CapexGW!F117</t>
  </si>
  <si>
    <t xml:space="preserve">pit_crwv_2026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</si>
  <si>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2026</t>
    </r>
  </si>
  <si>
    <t xml:space="preserve">20261031_Wattonomics_v0.1.7.xlsx CapexGW!G112</t>
  </si>
  <si>
    <t xml:space="preserve">pfac_crwv_2026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</si>
  <si>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2026</t>
    </r>
  </si>
  <si>
    <t xml:space="preserve">20261031_Wattonomics_v0.1.7.xlsx CapexGW!G113</t>
  </si>
  <si>
    <t xml:space="preserve">ai2_crwv_2026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</si>
  <si>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</si>
  <si>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20261031_Wattonomics_v0.1.7.xlsx CapexGW!G111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</si>
  <si>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site_crwv_2026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</si>
  <si>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</si>
  <si>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CapexGW!G116</t>
  </si>
  <si>
    <t xml:space="preserve">main_crwv_2026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</si>
  <si>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</si>
  <si>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CapexGW!G117</t>
  </si>
  <si>
    <t xml:space="preserve">pit_crwv_2027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</si>
  <si>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2027</t>
    </r>
  </si>
  <si>
    <t xml:space="preserve">20261031_Wattonomics_v0.1.7.xlsx CapexGW!H112</t>
  </si>
  <si>
    <t xml:space="preserve">pfac_crwv_2027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</si>
  <si>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2027</t>
    </r>
  </si>
  <si>
    <t xml:space="preserve">20261031_Wattonomics_v0.1.7.xlsx CapexGW!H113</t>
  </si>
  <si>
    <t xml:space="preserve">ai2_crwv_2027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</si>
  <si>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</si>
  <si>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20261031_Wattonomics_v0.1.7.xlsx CapexGW!H111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</si>
  <si>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site_crwv_2027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</si>
  <si>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</si>
  <si>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CapexGW!H116</t>
  </si>
  <si>
    <t xml:space="preserve">main_crwv_2027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</si>
  <si>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</si>
  <si>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CapexGW!H117</t>
  </si>
  <si>
    <t xml:space="preserve">pit_crwv_2028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</si>
  <si>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2028</t>
    </r>
  </si>
  <si>
    <t xml:space="preserve">20261031_Wattonomics_v0.1.7.xlsx CapexGW!I112</t>
  </si>
  <si>
    <t xml:space="preserve">pfac_crwv_2028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</si>
  <si>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2028</t>
    </r>
  </si>
  <si>
    <t xml:space="preserve">20261031_Wattonomics_v0.1.7.xlsx CapexGW!I113</t>
  </si>
  <si>
    <t xml:space="preserve">ai2_crwv_2028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</si>
  <si>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</si>
  <si>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20261031_Wattonomics_v0.1.7.xlsx CapexGW!I111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</si>
  <si>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site_crwv_2028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</si>
  <si>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</si>
  <si>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CapexGW!I116</t>
  </si>
  <si>
    <t xml:space="preserve">main_crwv_2028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</si>
  <si>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</si>
  <si>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CapexGW!I117</t>
  </si>
  <si>
    <t xml:space="preserve">pit_crwv_2029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</si>
  <si>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2029</t>
    </r>
  </si>
  <si>
    <t xml:space="preserve">20261031_Wattonomics_v0.1.7.xlsx CapexGW!J112</t>
  </si>
  <si>
    <t xml:space="preserve">pfac_crwv_2029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</si>
  <si>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2029</t>
    </r>
  </si>
  <si>
    <t xml:space="preserve">20261031_Wattonomics_v0.1.7.xlsx CapexGW!J113</t>
  </si>
  <si>
    <t xml:space="preserve">ai2_crwv_2029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</si>
  <si>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</si>
  <si>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20261031_Wattonomics_v0.1.7.xlsx CapexGW!J111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</si>
  <si>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site_crwv_2029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</si>
  <si>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</si>
  <si>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CapexGW!J116</t>
  </si>
  <si>
    <t xml:space="preserve">main_crwv_2029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</si>
  <si>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</si>
  <si>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CapexGW!J117</t>
  </si>
  <si>
    <t xml:space="preserve">gcap_crwv_2024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</si>
  <si>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FY2024</t>
    </r>
  </si>
  <si>
    <r>
      <rPr>
        <sz val="11"/>
        <color theme="1"/>
        <rFont val="Calibri"/>
        <family val="2"/>
        <charset val="1"/>
      </rPr>
      <t xml:space="preserve">20261031_Wattonomics_v0.1.7.xlsx In!I202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ad7b…</t>
    </r>
    <r>
      <rPr>
        <sz val="11"/>
        <color theme="1"/>
        <rFont val="Noto Sans CJK SC"/>
        <family val="2"/>
      </rPr>
      <t xml:space="preserve">）</t>
    </r>
  </si>
  <si>
    <t xml:space="preserve">gcap_crwv_2025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</si>
  <si>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</si>
  <si>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Calibri"/>
        <family val="2"/>
        <charset val="1"/>
      </rPr>
      <t xml:space="preserve">20261031_Wattonomics_v0.1.7.xlsx In!J202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ad7b…</t>
    </r>
    <r>
      <rPr>
        <sz val="11"/>
        <color theme="1"/>
        <rFont val="Noto Sans CJK SC"/>
        <family val="2"/>
      </rPr>
      <t xml:space="preserve">）</t>
    </r>
  </si>
  <si>
    <t xml:space="preserve">gcap_crwv_2026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</si>
  <si>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</si>
  <si>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20261031_Wattonomics_v0.1.7.xlsx In!K202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ad7b…</t>
    </r>
    <r>
      <rPr>
        <sz val="11"/>
        <color theme="1"/>
        <rFont val="Noto Sans CJK SC"/>
        <family val="2"/>
      </rPr>
      <t xml:space="preserve">）</t>
    </r>
  </si>
  <si>
    <t xml:space="preserve">gcap_crwv_2027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</si>
  <si>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</si>
  <si>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20261031_Wattonomics_v0.1.7.xlsx In!L202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ad7b…</t>
    </r>
    <r>
      <rPr>
        <sz val="11"/>
        <color theme="1"/>
        <rFont val="Noto Sans CJK SC"/>
        <family val="2"/>
      </rPr>
      <t xml:space="preserve">）</t>
    </r>
  </si>
  <si>
    <t xml:space="preserve">gcap_crwv_2028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</si>
  <si>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</si>
  <si>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20261031_Wattonomics_v0.1.7.xlsx In!M202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ad7b…</t>
    </r>
    <r>
      <rPr>
        <sz val="11"/>
        <color theme="1"/>
        <rFont val="Noto Sans CJK SC"/>
        <family val="2"/>
      </rPr>
      <t xml:space="preserve">）</t>
    </r>
  </si>
  <si>
    <t xml:space="preserve">gcap_crwv_2029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</si>
  <si>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</si>
  <si>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20261031_Wattonomics_v0.1.7.xlsx In!N202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ad7b…</t>
    </r>
    <r>
      <rPr>
        <sz val="11"/>
        <color theme="1"/>
        <rFont val="Noto Sans CJK SC"/>
        <family val="2"/>
      </rPr>
      <t xml:space="preserve">）</t>
    </r>
  </si>
  <si>
    <t xml:space="preserve">gcap_crwv_2030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</si>
  <si>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</si>
  <si>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Calibri"/>
        <family val="2"/>
        <charset val="1"/>
      </rPr>
      <t xml:space="preserve">20261031_Wattonomics_v0.1.7.xlsx In!O202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coreweave/dist/20261021_CoreWeave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_v4_12.xlsx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ad7b…</t>
    </r>
    <r>
      <rPr>
        <sz val="11"/>
        <color theme="1"/>
        <rFont val="Noto Sans CJK SC"/>
        <family val="2"/>
      </rPr>
      <t xml:space="preserve">）</t>
    </r>
  </si>
  <si>
    <t xml:space="preserve">nnv_crwv_2024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</si>
  <si>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2024</t>
    </r>
  </si>
  <si>
    <t xml:space="preserve">20261031_Wattonomics_v0.1.7.xlsx Players!E133</t>
  </si>
  <si>
    <t xml:space="preserve">nnv_crwv_2025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</si>
  <si>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2025</t>
    </r>
  </si>
  <si>
    <t xml:space="preserve">20261031_Wattonomics_v0.1.7.xlsx Players!F133</t>
  </si>
  <si>
    <t xml:space="preserve">nnv_crwv_2026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</si>
  <si>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</si>
  <si>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20261031_Wattonomics_v0.1.7.xlsx Players!G133</t>
  </si>
  <si>
    <t xml:space="preserve">nnv_crwv_2027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</si>
  <si>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2027</t>
    </r>
  </si>
  <si>
    <t xml:space="preserve">20261031_Wattonomics_v0.1.7.xlsx Players!H133</t>
  </si>
  <si>
    <t xml:space="preserve">nnv_crwv_2028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</si>
  <si>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2028</t>
    </r>
  </si>
  <si>
    <t xml:space="preserve">20261031_Wattonomics_v0.1.7.xlsx Players!I133</t>
  </si>
  <si>
    <t xml:space="preserve">nnv_crwv_2029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</si>
  <si>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2029</t>
    </r>
  </si>
  <si>
    <t xml:space="preserve">20261031_Wattonomics_v0.1.7.xlsx Players!J133</t>
  </si>
  <si>
    <t xml:space="preserve">fye_nbis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</si>
  <si>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財年結束月</t>
    </r>
  </si>
  <si>
    <t xml:space="preserve">20261031_Wattonomics_v0.1.7.xlsx In fye_nbis</t>
  </si>
  <si>
    <t xml:space="preserve">pit_nbis_2024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</si>
  <si>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2024</t>
    </r>
  </si>
  <si>
    <t xml:space="preserve">20261031_Wattonomics_v0.1.7.xlsx CapexGW!E131</t>
  </si>
  <si>
    <t xml:space="preserve">pfac_nbis_2024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</si>
  <si>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2024</t>
    </r>
  </si>
  <si>
    <t xml:space="preserve">20261031_Wattonomics_v0.1.7.xlsx CapexGW!E132</t>
  </si>
  <si>
    <t xml:space="preserve">ai2_nbis_2024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</si>
  <si>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2024</t>
    </r>
  </si>
  <si>
    <r>
      <rPr>
        <sz val="11"/>
        <color theme="1"/>
        <rFont val="Calibri"/>
        <family val="2"/>
        <charset val="1"/>
      </rPr>
      <t xml:space="preserve">20261031_Wattonomics_v0.1.7.xlsx CapexGW!E130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</si>
  <si>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site_nbis_2024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</si>
  <si>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2024</t>
    </r>
  </si>
  <si>
    <t xml:space="preserve">20261031_Wattonomics_v0.1.7.xlsx CapexGW!E135</t>
  </si>
  <si>
    <t xml:space="preserve">main_nbis_2024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</si>
  <si>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2024</t>
    </r>
  </si>
  <si>
    <t xml:space="preserve">20261031_Wattonomics_v0.1.7.xlsx CapexGW!E136</t>
  </si>
  <si>
    <t xml:space="preserve">pit_nbis_2025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</si>
  <si>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2025</t>
    </r>
  </si>
  <si>
    <t xml:space="preserve">20261031_Wattonomics_v0.1.7.xlsx CapexGW!F131</t>
  </si>
  <si>
    <t xml:space="preserve">pfac_nbis_2025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</si>
  <si>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2025</t>
    </r>
  </si>
  <si>
    <t xml:space="preserve">20261031_Wattonomics_v0.1.7.xlsx CapexGW!F132</t>
  </si>
  <si>
    <t xml:space="preserve">ai2_nbis_2025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</si>
  <si>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</si>
  <si>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20261031_Wattonomics_v0.1.7.xlsx CapexGW!F130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</si>
  <si>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site_nbis_2025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</si>
  <si>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2025</t>
    </r>
  </si>
  <si>
    <t xml:space="preserve">20261031_Wattonomics_v0.1.7.xlsx CapexGW!F135</t>
  </si>
  <si>
    <t xml:space="preserve">main_nbis_2025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</si>
  <si>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2025</t>
    </r>
  </si>
  <si>
    <t xml:space="preserve">20261031_Wattonomics_v0.1.7.xlsx CapexGW!F136</t>
  </si>
  <si>
    <t xml:space="preserve">pit_nbis_2026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</si>
  <si>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2026</t>
    </r>
  </si>
  <si>
    <t xml:space="preserve">20261031_Wattonomics_v0.1.7.xlsx CapexGW!G131</t>
  </si>
  <si>
    <t xml:space="preserve">pfac_nbis_2026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</si>
  <si>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2026</t>
    </r>
  </si>
  <si>
    <t xml:space="preserve">20261031_Wattonomics_v0.1.7.xlsx CapexGW!G132</t>
  </si>
  <si>
    <t xml:space="preserve">ai2_nbis_2026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</si>
  <si>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</si>
  <si>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20261031_Wattonomics_v0.1.7.xlsx CapexGW!G130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</si>
  <si>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site_nbis_2026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</si>
  <si>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</si>
  <si>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CapexGW!G135</t>
  </si>
  <si>
    <t xml:space="preserve">main_nbis_2026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</si>
  <si>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</si>
  <si>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CapexGW!G136</t>
  </si>
  <si>
    <t xml:space="preserve">pit_nbis_2027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</si>
  <si>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2027</t>
    </r>
  </si>
  <si>
    <t xml:space="preserve">20261031_Wattonomics_v0.1.7.xlsx CapexGW!H131</t>
  </si>
  <si>
    <t xml:space="preserve">pfac_nbis_2027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</si>
  <si>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2027</t>
    </r>
  </si>
  <si>
    <t xml:space="preserve">20261031_Wattonomics_v0.1.7.xlsx CapexGW!H132</t>
  </si>
  <si>
    <t xml:space="preserve">ai2_nbis_2027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</si>
  <si>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</si>
  <si>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20261031_Wattonomics_v0.1.7.xlsx CapexGW!H130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</si>
  <si>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site_nbis_2027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</si>
  <si>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</si>
  <si>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CapexGW!H135</t>
  </si>
  <si>
    <t xml:space="preserve">main_nbis_2027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</si>
  <si>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</si>
  <si>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CapexGW!H136</t>
  </si>
  <si>
    <t xml:space="preserve">pit_nbis_2028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</si>
  <si>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2028</t>
    </r>
  </si>
  <si>
    <t xml:space="preserve">20261031_Wattonomics_v0.1.7.xlsx CapexGW!I131</t>
  </si>
  <si>
    <t xml:space="preserve">pfac_nbis_2028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</si>
  <si>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2028</t>
    </r>
  </si>
  <si>
    <t xml:space="preserve">20261031_Wattonomics_v0.1.7.xlsx CapexGW!I132</t>
  </si>
  <si>
    <t xml:space="preserve">ai2_nbis_2028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</si>
  <si>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</si>
  <si>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20261031_Wattonomics_v0.1.7.xlsx CapexGW!I130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</si>
  <si>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site_nbis_2028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</si>
  <si>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</si>
  <si>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CapexGW!I135</t>
  </si>
  <si>
    <t xml:space="preserve">main_nbis_2028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</si>
  <si>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</si>
  <si>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CapexGW!I136</t>
  </si>
  <si>
    <t xml:space="preserve">pit_nbis_2029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</si>
  <si>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 2029</t>
    </r>
  </si>
  <si>
    <t xml:space="preserve">20261031_Wattonomics_v0.1.7.xlsx CapexGW!J131</t>
  </si>
  <si>
    <t xml:space="preserve">pfac_nbis_2029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</si>
  <si>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2029</t>
    </r>
  </si>
  <si>
    <t xml:space="preserve">20261031_Wattonomics_v0.1.7.xlsx CapexGW!J132</t>
  </si>
  <si>
    <t xml:space="preserve">ai2_nbis_2029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</si>
  <si>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</si>
  <si>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20261031_Wattonomics_v0.1.7.xlsx CapexGW!J130</t>
    </r>
    <r>
      <rPr>
        <sz val="11"/>
        <color theme="1"/>
        <rFont val="Noto Sans CJK SC"/>
        <family val="2"/>
      </rPr>
      <t xml:space="preserve">（空白＝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無值）</t>
    </r>
  </si>
  <si>
    <t xml:space="preserve">site_nbis_2029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</si>
  <si>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</si>
  <si>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CapexGW!J135</t>
  </si>
  <si>
    <t xml:space="preserve">main_nbis_2029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</si>
  <si>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</si>
  <si>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CapexGW!J136</t>
  </si>
  <si>
    <t xml:space="preserve">gcap_nbis_2024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</si>
  <si>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FY2024</t>
    </r>
  </si>
  <si>
    <r>
      <rPr>
        <sz val="11"/>
        <color theme="1"/>
        <rFont val="Calibri"/>
        <family val="2"/>
        <charset val="1"/>
      </rPr>
      <t xml:space="preserve">20261031_Wattonomics_v0.1.7.xlsx In!I208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）；…）</t>
    </r>
  </si>
  <si>
    <t xml:space="preserve">gcap_nbis_2025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</si>
  <si>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</si>
  <si>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Calibri"/>
        <family val="2"/>
        <charset val="1"/>
      </rPr>
      <t xml:space="preserve">20261031_Wattonomics_v0.1.7.xlsx In!J208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）；…）</t>
    </r>
  </si>
  <si>
    <t xml:space="preserve">gcap_nbis_2026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</si>
  <si>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</si>
  <si>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20261031_Wattonomics_v0.1.7.xlsx In!K208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）；…）</t>
    </r>
  </si>
  <si>
    <t xml:space="preserve">gcap_nbis_2027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</si>
  <si>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</si>
  <si>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20261031_Wattonomics_v0.1.7.xlsx In!L208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）；…）</t>
    </r>
  </si>
  <si>
    <t xml:space="preserve">gcap_nbis_2028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</si>
  <si>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</si>
  <si>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20261031_Wattonomics_v0.1.7.xlsx In!M208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）；…）</t>
    </r>
  </si>
  <si>
    <t xml:space="preserve">gcap_nbis_2029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</si>
  <si>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</si>
  <si>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20261031_Wattonomics_v0.1.7.xlsx In!N208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）；…）</t>
    </r>
  </si>
  <si>
    <t xml:space="preserve">gcap_nbis_2030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</si>
  <si>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資本支出合計（個股模型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基準）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</si>
  <si>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Calibri"/>
        <family val="2"/>
        <charset val="1"/>
      </rPr>
      <t xml:space="preserve">20261031_Wattonomics_v0.1.7.xlsx In!O208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nebius/dist/20261030_Nebius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_v0_5_2.xlsx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2ddfeb7</t>
    </r>
    <r>
      <rPr>
        <sz val="11"/>
        <color theme="1"/>
        <rFont val="Noto Sans CJK SC"/>
        <family val="2"/>
      </rPr>
      <t xml:space="preserve">）；…）</t>
    </r>
  </si>
  <si>
    <t xml:space="preserve">nnv_nbis_2024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</si>
  <si>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2024</t>
    </r>
  </si>
  <si>
    <t xml:space="preserve">20261031_Wattonomics_v0.1.7.xlsx Players!E152</t>
  </si>
  <si>
    <t xml:space="preserve">nnv_nbis_2025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</si>
  <si>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2025</t>
    </r>
  </si>
  <si>
    <t xml:space="preserve">20261031_Wattonomics_v0.1.7.xlsx Players!F152</t>
  </si>
  <si>
    <t xml:space="preserve">nnv_nbis_2026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</si>
  <si>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</si>
  <si>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20261031_Wattonomics_v0.1.7.xlsx Players!G152</t>
  </si>
  <si>
    <t xml:space="preserve">nnv_nbis_2027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</si>
  <si>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2027</t>
    </r>
  </si>
  <si>
    <t xml:space="preserve">20261031_Wattonomics_v0.1.7.xlsx Players!H152</t>
  </si>
  <si>
    <t xml:space="preserve">nnv_nbis_2028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</si>
  <si>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2028</t>
    </r>
  </si>
  <si>
    <t xml:space="preserve">20261031_Wattonomics_v0.1.7.xlsx Players!I152</t>
  </si>
  <si>
    <t xml:space="preserve">nnv_nbis_2029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</si>
  <si>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2029</t>
    </r>
  </si>
  <si>
    <t xml:space="preserve">20261031_Wattonomics_v0.1.7.xlsx Players!J152</t>
  </si>
  <si>
    <t xml:space="preserve">cap2_nbis_2025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</si>
  <si>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Y9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，補用）</t>
    </r>
  </si>
  <si>
    <t xml:space="preserve">20261031_Wattonomics_v0.1.7.xlsx In!J130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</si>
  <si>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非七家：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Anthropic </t>
    </r>
    <r>
      <rPr>
        <b val="true"/>
        <sz val="11"/>
        <rFont val="Noto Sans CJK SC"/>
        <family val="2"/>
      </rPr>
      <t xml:space="preserve">自建（</t>
    </r>
    <r>
      <rPr>
        <b val="true"/>
        <sz val="11"/>
        <rFont val="Cambria"/>
        <family val="0"/>
        <charset val="1"/>
      </rPr>
      <t xml:space="preserve">In Y9 AI </t>
    </r>
    <r>
      <rPr>
        <b val="true"/>
        <sz val="11"/>
        <rFont val="Noto Sans CJK SC"/>
        <family val="2"/>
      </rPr>
      <t xml:space="preserve">資本支出；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站點年新增）；每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世代加權。</t>
    </r>
    <r>
      <rPr>
        <b val="true"/>
        <sz val="11"/>
        <rFont val="Cambria"/>
        <family val="0"/>
        <charset val="1"/>
      </rPr>
      <t xml:space="preserve">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自建不在此：依 </t>
    </r>
    <r>
      <rPr>
        <b val="true"/>
        <sz val="11"/>
        <rFont val="Cambria"/>
        <family val="0"/>
        <charset val="1"/>
      </rPr>
      <t xml:space="preserve">Decisions GL01-31 </t>
    </r>
    <r>
      <rPr>
        <b val="true"/>
        <sz val="11"/>
        <rFont val="Noto Sans CJK SC"/>
        <family val="2"/>
      </rPr>
      <t xml:space="preserve">其站點屬 </t>
    </r>
    <r>
      <rPr>
        <b val="true"/>
        <sz val="11"/>
        <rFont val="Cambria"/>
        <family val="0"/>
        <charset val="1"/>
      </rPr>
      <t xml:space="preserve">SPV </t>
    </r>
    <r>
      <rPr>
        <b val="true"/>
        <sz val="11"/>
        <rFont val="Noto Sans CJK SC"/>
        <family val="2"/>
      </rPr>
      <t xml:space="preserve">擁有，與 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自身資本支出不是同一筆</t>
    </r>
  </si>
  <si>
    <t xml:space="preserve">pitN_2024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</si>
  <si>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（世代加權）</t>
    </r>
    <r>
      <rPr>
        <sz val="11"/>
        <color theme="1"/>
        <rFont val="Calibri"/>
        <family val="2"/>
        <charset val="1"/>
      </rPr>
      <t xml:space="preserve">2024</t>
    </r>
  </si>
  <si>
    <t xml:space="preserve">20261031_Wattonomics_v0.1.7.xlsx CapexGW!E7</t>
  </si>
  <si>
    <t xml:space="preserve">pfacN_2024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</si>
  <si>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2024</t>
    </r>
  </si>
  <si>
    <t xml:space="preserve">20261031_Wattonomics_v0.1.7.xlsx CapexGW!E8</t>
  </si>
  <si>
    <t xml:space="preserve">pitN_2025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</si>
  <si>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（世代加權）</t>
    </r>
    <r>
      <rPr>
        <sz val="11"/>
        <color theme="1"/>
        <rFont val="Calibri"/>
        <family val="2"/>
        <charset val="1"/>
      </rPr>
      <t xml:space="preserve">2025</t>
    </r>
  </si>
  <si>
    <t xml:space="preserve">20261031_Wattonomics_v0.1.7.xlsx CapexGW!F7</t>
  </si>
  <si>
    <t xml:space="preserve">pfacN_2025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</si>
  <si>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2025</t>
    </r>
  </si>
  <si>
    <t xml:space="preserve">20261031_Wattonomics_v0.1.7.xlsx CapexGW!F8</t>
  </si>
  <si>
    <t xml:space="preserve">pitN_2026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</si>
  <si>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（世代加權）</t>
    </r>
    <r>
      <rPr>
        <sz val="11"/>
        <color theme="1"/>
        <rFont val="Calibri"/>
        <family val="2"/>
        <charset val="1"/>
      </rPr>
      <t xml:space="preserve">2026</t>
    </r>
  </si>
  <si>
    <t xml:space="preserve">20261031_Wattonomics_v0.1.7.xlsx CapexGW!G7</t>
  </si>
  <si>
    <t xml:space="preserve">pfacN_2026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</si>
  <si>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2026</t>
    </r>
  </si>
  <si>
    <t xml:space="preserve">20261031_Wattonomics_v0.1.7.xlsx CapexGW!G8</t>
  </si>
  <si>
    <t xml:space="preserve">pitN_2027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</si>
  <si>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（世代加權）</t>
    </r>
    <r>
      <rPr>
        <sz val="11"/>
        <color theme="1"/>
        <rFont val="Calibri"/>
        <family val="2"/>
        <charset val="1"/>
      </rPr>
      <t xml:space="preserve">2027</t>
    </r>
  </si>
  <si>
    <t xml:space="preserve">20261031_Wattonomics_v0.1.7.xlsx CapexGW!H7</t>
  </si>
  <si>
    <t xml:space="preserve">pfacN_2027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</si>
  <si>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2027</t>
    </r>
  </si>
  <si>
    <t xml:space="preserve">20261031_Wattonomics_v0.1.7.xlsx CapexGW!H8</t>
  </si>
  <si>
    <t xml:space="preserve">pitN_2028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</si>
  <si>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（世代加權）</t>
    </r>
    <r>
      <rPr>
        <sz val="11"/>
        <color theme="1"/>
        <rFont val="Calibri"/>
        <family val="2"/>
        <charset val="1"/>
      </rPr>
      <t xml:space="preserve">2028</t>
    </r>
  </si>
  <si>
    <t xml:space="preserve">20261031_Wattonomics_v0.1.7.xlsx CapexGW!I7</t>
  </si>
  <si>
    <t xml:space="preserve">pfacN_2028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</si>
  <si>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2028</t>
    </r>
  </si>
  <si>
    <t xml:space="preserve">20261031_Wattonomics_v0.1.7.xlsx CapexGW!I8</t>
  </si>
  <si>
    <t xml:space="preserve">pitN_2029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</si>
  <si>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（世代加權）</t>
    </r>
    <r>
      <rPr>
        <sz val="11"/>
        <color theme="1"/>
        <rFont val="Calibri"/>
        <family val="2"/>
        <charset val="1"/>
      </rPr>
      <t xml:space="preserve">2029</t>
    </r>
  </si>
  <si>
    <t xml:space="preserve">20261031_Wattonomics_v0.1.7.xlsx CapexGW!J7</t>
  </si>
  <si>
    <t xml:space="preserve">pfacN_2029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</si>
  <si>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2029</t>
    </r>
  </si>
  <si>
    <t xml:space="preserve">20261031_Wattonomics_v0.1.7.xlsx CapexGW!J8</t>
  </si>
  <si>
    <t xml:space="preserve">nnv_xai_2024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</si>
  <si>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2024</t>
    </r>
  </si>
  <si>
    <t xml:space="preserve">20261031_Wattonomics_v0.1.7.xlsx Players!E190</t>
  </si>
  <si>
    <t xml:space="preserve">nnv_xai_2025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</si>
  <si>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2025</t>
    </r>
  </si>
  <si>
    <t xml:space="preserve">20261031_Wattonomics_v0.1.7.xlsx Players!F190</t>
  </si>
  <si>
    <t xml:space="preserve">nnv_xai_2026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</si>
  <si>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</si>
  <si>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20261031_Wattonomics_v0.1.7.xlsx Players!G190</t>
  </si>
  <si>
    <t xml:space="preserve">nnv_xai_2027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</si>
  <si>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2027</t>
    </r>
  </si>
  <si>
    <t xml:space="preserve">20261031_Wattonomics_v0.1.7.xlsx Players!H190</t>
  </si>
  <si>
    <t xml:space="preserve">nnv_xai_2028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</si>
  <si>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2028</t>
    </r>
  </si>
  <si>
    <t xml:space="preserve">20261031_Wattonomics_v0.1.7.xlsx Players!I190</t>
  </si>
  <si>
    <t xml:space="preserve">nnv_xai_2029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</si>
  <si>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2029</t>
    </r>
  </si>
  <si>
    <t xml:space="preserve">20261031_Wattonomics_v0.1.7.xlsx Players!J190</t>
  </si>
  <si>
    <t xml:space="preserve">site_xai_2024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</si>
  <si>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2024</t>
    </r>
  </si>
  <si>
    <t xml:space="preserve">20261031_Wattonomics_v0.1.7.xlsx Players!E188</t>
  </si>
  <si>
    <t xml:space="preserve">site_xai_2025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</si>
  <si>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2025</t>
    </r>
  </si>
  <si>
    <t xml:space="preserve">20261031_Wattonomics_v0.1.7.xlsx Players!F188</t>
  </si>
  <si>
    <t xml:space="preserve">site_xai_2026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</si>
  <si>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</si>
  <si>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Players!G188</t>
  </si>
  <si>
    <t xml:space="preserve">site_xai_2027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</si>
  <si>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</si>
  <si>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Players!H188</t>
  </si>
  <si>
    <t xml:space="preserve">site_xai_2028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</si>
  <si>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</si>
  <si>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Players!I188</t>
  </si>
  <si>
    <t xml:space="preserve">site_xai_2029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</si>
  <si>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甲（站點）年新增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</si>
  <si>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Players!J188</t>
  </si>
  <si>
    <t xml:space="preserve">gai_xai_2024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</si>
  <si>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資本支出（個股模型）</t>
    </r>
    <r>
      <rPr>
        <sz val="11"/>
        <color theme="1"/>
        <rFont val="Calibri"/>
        <family val="2"/>
        <charset val="1"/>
      </rPr>
      <t xml:space="preserve">FY2024</t>
    </r>
  </si>
  <si>
    <r>
      <rPr>
        <sz val="11"/>
        <color theme="1"/>
        <rFont val="Calibri"/>
        <family val="2"/>
        <charset val="1"/>
      </rPr>
      <t xml:space="preserve">20261031_Wattonomics_v0.1.7.xlsx In!I218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</si>
  <si>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gai_xai_2025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</si>
  <si>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資本支出（個股模型）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</si>
  <si>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Calibri"/>
        <family val="2"/>
        <charset val="1"/>
      </rPr>
      <t xml:space="preserve">20261031_Wattonomics_v0.1.7.xlsx In!J218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</si>
  <si>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gai_xai_2026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</si>
  <si>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資本支出（個股模型）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</si>
  <si>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20261031_Wattonomics_v0.1.7.xlsx In!K218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</si>
  <si>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gai_xai_2027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</si>
  <si>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資本支出（個股模型）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</si>
  <si>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20261031_Wattonomics_v0.1.7.xlsx In!L218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</si>
  <si>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gai_xai_2028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</si>
  <si>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資本支出（個股模型）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</si>
  <si>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20261031_Wattonomics_v0.1.7.xlsx In!M218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</si>
  <si>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gai_xai_2029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</si>
  <si>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資本支出（個股模型）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</si>
  <si>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20261031_Wattonomics_v0.1.7.xlsx In!N218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</si>
  <si>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nnv_ant_2024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</si>
  <si>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2024</t>
    </r>
  </si>
  <si>
    <t xml:space="preserve">20261031_Wattonomics_v0.1.7.xlsx Players!E228</t>
  </si>
  <si>
    <t xml:space="preserve">nnv_ant_2025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</si>
  <si>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2025</t>
    </r>
  </si>
  <si>
    <t xml:space="preserve">20261031_Wattonomics_v0.1.7.xlsx Players!F228</t>
  </si>
  <si>
    <t xml:space="preserve">nnv_ant_2026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</si>
  <si>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</si>
  <si>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20261031_Wattonomics_v0.1.7.xlsx Players!G228</t>
  </si>
  <si>
    <t xml:space="preserve">nnv_ant_2027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</si>
  <si>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2027</t>
    </r>
  </si>
  <si>
    <t xml:space="preserve">20261031_Wattonomics_v0.1.7.xlsx Players!H228</t>
  </si>
  <si>
    <t xml:space="preserve">nnv_ant_2028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</si>
  <si>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2028</t>
    </r>
  </si>
  <si>
    <t xml:space="preserve">20261031_Wattonomics_v0.1.7.xlsx Players!I228</t>
  </si>
  <si>
    <t xml:space="preserve">nnv_ant_2029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</si>
  <si>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2029</t>
    </r>
  </si>
  <si>
    <t xml:space="preserve">20261031_Wattonomics_v0.1.7.xlsx Players!J228</t>
  </si>
  <si>
    <t xml:space="preserve">site_ant_2024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</si>
  <si>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甲（站點）年新增 </t>
    </r>
    <r>
      <rPr>
        <sz val="11"/>
        <color theme="1"/>
        <rFont val="Calibri"/>
        <family val="2"/>
        <charset val="1"/>
      </rPr>
      <t xml:space="preserve">IT GW 2024</t>
    </r>
  </si>
  <si>
    <t xml:space="preserve">20261031_Wattonomics_v0.1.7.xlsx Players!E226</t>
  </si>
  <si>
    <t xml:space="preserve">site_ant_2025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</si>
  <si>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甲（站點）年新增 </t>
    </r>
    <r>
      <rPr>
        <sz val="11"/>
        <color theme="1"/>
        <rFont val="Calibri"/>
        <family val="2"/>
        <charset val="1"/>
      </rPr>
      <t xml:space="preserve">IT GW 2025</t>
    </r>
  </si>
  <si>
    <t xml:space="preserve">20261031_Wattonomics_v0.1.7.xlsx Players!F226</t>
  </si>
  <si>
    <t xml:space="preserve">site_ant_2026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</si>
  <si>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甲（站點）年新增 </t>
    </r>
    <r>
      <rPr>
        <sz val="11"/>
        <color theme="1"/>
        <rFont val="Calibri"/>
        <family val="2"/>
        <charset val="1"/>
      </rPr>
      <t xml:space="preserve">IT GW 2026</t>
    </r>
  </si>
  <si>
    <t xml:space="preserve">20261031_Wattonomics_v0.1.7.xlsx Players!G226</t>
  </si>
  <si>
    <t xml:space="preserve">site_ant_2027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</si>
  <si>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甲（站點）年新增 </t>
    </r>
    <r>
      <rPr>
        <sz val="11"/>
        <color theme="1"/>
        <rFont val="Calibri"/>
        <family val="2"/>
        <charset val="1"/>
      </rPr>
      <t xml:space="preserve">IT GW 2027</t>
    </r>
  </si>
  <si>
    <t xml:space="preserve">20261031_Wattonomics_v0.1.7.xlsx Players!H226</t>
  </si>
  <si>
    <t xml:space="preserve">site_ant_2028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</si>
  <si>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甲（站點）年新增 </t>
    </r>
    <r>
      <rPr>
        <sz val="11"/>
        <color theme="1"/>
        <rFont val="Calibri"/>
        <family val="2"/>
        <charset val="1"/>
      </rPr>
      <t xml:space="preserve">IT GW 2028</t>
    </r>
  </si>
  <si>
    <t xml:space="preserve">20261031_Wattonomics_v0.1.7.xlsx Players!I226</t>
  </si>
  <si>
    <t xml:space="preserve">site_ant_2029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</si>
  <si>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甲（站點）年新增 </t>
    </r>
    <r>
      <rPr>
        <sz val="11"/>
        <color theme="1"/>
        <rFont val="Calibri"/>
        <family val="2"/>
        <charset val="1"/>
      </rPr>
      <t xml:space="preserve">IT GW 2029</t>
    </r>
  </si>
  <si>
    <t xml:space="preserve">20261031_Wattonomics_v0.1.7.xlsx Players!J226</t>
  </si>
  <si>
    <t xml:space="preserve">gai_ant_2024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</si>
  <si>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資本支出（個股模型）</t>
    </r>
    <r>
      <rPr>
        <sz val="11"/>
        <color theme="1"/>
        <rFont val="Calibri"/>
        <family val="2"/>
        <charset val="1"/>
      </rPr>
      <t xml:space="preserve">FY2024</t>
    </r>
  </si>
  <si>
    <r>
      <rPr>
        <sz val="11"/>
        <color theme="1"/>
        <rFont val="Calibri"/>
        <family val="2"/>
        <charset val="1"/>
      </rPr>
      <t xml:space="preserve">20261031_Wattonomics_v0.1.7.xlsx In!I230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</si>
  <si>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gai_ant_2025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</si>
  <si>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資本支出（個股模型）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</si>
  <si>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Calibri"/>
        <family val="2"/>
        <charset val="1"/>
      </rPr>
      <t xml:space="preserve">20261031_Wattonomics_v0.1.7.xlsx In!J230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</si>
  <si>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gai_ant_2026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</si>
  <si>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資本支出（個股模型）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</si>
  <si>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20261031_Wattonomics_v0.1.7.xlsx In!K230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</si>
  <si>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gai_ant_2027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</si>
  <si>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資本支出（個股模型）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</si>
  <si>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20261031_Wattonomics_v0.1.7.xlsx In!L230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</si>
  <si>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gai_ant_2028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</si>
  <si>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資本支出（個股模型）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</si>
  <si>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20261031_Wattonomics_v0.1.7.xlsx In!M230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</si>
  <si>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t xml:space="preserve">gai_ant_2029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</si>
  <si>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資本支出（個股模型）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</si>
  <si>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20261031_Wattonomics_v0.1.7.xlsx In!N230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Y9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</si>
  <si>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Calc — </t>
    </r>
    <r>
      <rPr>
        <b val="true"/>
        <sz val="11"/>
        <rFont val="Noto Sans CJK SC"/>
        <family val="2"/>
      </rPr>
      <t xml:space="preserve">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重算（與 </t>
    </r>
    <r>
      <rPr>
        <b val="true"/>
        <sz val="11"/>
        <rFont val="Cambria"/>
        <family val="0"/>
        <charset val="1"/>
      </rPr>
      <t xml:space="preserve">Wattonomics CapexGW </t>
    </r>
    <r>
      <rPr>
        <b val="true"/>
        <sz val="11"/>
        <rFont val="Noto Sans CJK SC"/>
        <family val="2"/>
      </rPr>
      <t xml:space="preserve">同式）：當年資金＝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× AI_t </t>
    </r>
    <r>
      <rPr>
        <b val="true"/>
        <sz val="11"/>
        <rFont val="Noto Sans CJK SC"/>
        <family val="2"/>
      </rPr>
      <t xml:space="preserve">＋ 廠房占比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w1·AI_t−1 </t>
    </r>
    <r>
      <rPr>
        <b val="true"/>
        <sz val="11"/>
        <rFont val="Noto Sans CJK SC"/>
        <family val="2"/>
      </rPr>
      <t xml:space="preserve">＋ </t>
    </r>
    <r>
      <rPr>
        <b val="true"/>
        <sz val="11"/>
        <rFont val="Cambria"/>
        <family val="0"/>
        <charset val="1"/>
      </rPr>
      <t xml:space="preserve">w2·AI_t−2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CapexGW </t>
    </r>
    <r>
      <rPr>
        <b val="true"/>
        <sz val="11"/>
        <rFont val="Noto Sans CJK SC"/>
        <family val="2"/>
      </rPr>
      <t xml:space="preserve">在 </t>
    </r>
    <r>
      <rPr>
        <b val="true"/>
        <sz val="11"/>
        <rFont val="Cambria"/>
        <family val="0"/>
        <charset val="1"/>
      </rPr>
      <t xml:space="preserve">t−1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t−2 </t>
    </r>
    <r>
      <rPr>
        <b val="true"/>
        <sz val="11"/>
        <rFont val="Noto Sans CJK SC"/>
        <family val="2"/>
      </rPr>
      <t xml:space="preserve">缺值時留空，本頁改為：缺 </t>
    </r>
    <r>
      <rPr>
        <b val="true"/>
        <sz val="11"/>
        <rFont val="Cambria"/>
        <family val="0"/>
        <charset val="1"/>
      </rPr>
      <t xml:space="preserve">t−2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t−1</t>
    </r>
    <r>
      <rPr>
        <b val="true"/>
        <sz val="11"/>
        <rFont val="Noto Sans CJK SC"/>
        <family val="2"/>
      </rPr>
      <t xml:space="preserve">、兩者皆缺用當年（只影響 </t>
    </r>
    <r>
      <rPr>
        <b val="true"/>
        <sz val="11"/>
        <rFont val="Cambria"/>
        <family val="0"/>
        <charset val="1"/>
      </rPr>
      <t xml:space="preserve">2024–2026 </t>
    </r>
    <r>
      <rPr>
        <b val="true"/>
        <sz val="11"/>
        <rFont val="Noto Sans CJK SC"/>
        <family val="2"/>
      </rPr>
      <t xml:space="preserve">與無前期值的玩家，屬近似）；</t>
    </r>
    <r>
      <rPr>
        <b val="true"/>
        <sz val="11"/>
        <rFont val="Cambria"/>
        <family val="0"/>
        <charset val="1"/>
      </rPr>
      <t xml:space="preserve">GW_</t>
    </r>
    <r>
      <rPr>
        <b val="true"/>
        <sz val="11"/>
        <rFont val="Noto Sans CJK SC"/>
        <family val="2"/>
      </rPr>
      <t xml:space="preserve">付款年＝資金 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＋廠房）；資金缺值時以站點年新增代入（同 </t>
    </r>
    <r>
      <rPr>
        <b val="true"/>
        <sz val="11"/>
        <rFont val="Cambria"/>
        <family val="0"/>
        <charset val="1"/>
      </rPr>
      <t xml:space="preserve">CapexGW</t>
    </r>
    <r>
      <rPr>
        <b val="true"/>
        <sz val="11"/>
        <rFont val="Noto Sans CJK SC"/>
        <family val="2"/>
      </rPr>
      <t xml:space="preserve">「缺值以甲代入」）。上線年＝</t>
    </r>
    <r>
      <rPr>
        <b val="true"/>
        <sz val="11"/>
        <rFont val="Cambria"/>
        <family val="0"/>
        <charset val="1"/>
      </rPr>
      <t xml:space="preserve">(1−lag)·GW_t </t>
    </r>
    <r>
      <rPr>
        <b val="true"/>
        <sz val="11"/>
        <rFont val="Noto Sans CJK SC"/>
        <family val="2"/>
      </rPr>
      <t xml:space="preserve">＋ </t>
    </r>
    <r>
      <rPr>
        <b val="true"/>
        <sz val="11"/>
        <rFont val="Cambria"/>
        <family val="0"/>
        <charset val="1"/>
      </rPr>
      <t xml:space="preserve">lag·GW_t−1 − inv_k·(GW_t − GW_t−1)</t>
    </r>
    <r>
      <rPr>
        <b val="true"/>
        <sz val="11"/>
        <rFont val="Noto Sans CJK SC"/>
        <family val="2"/>
      </rPr>
      <t xml:space="preserve">（與 </t>
    </r>
    <r>
      <rPr>
        <b val="true"/>
        <sz val="11"/>
        <rFont val="Cambria"/>
        <family val="0"/>
        <charset val="1"/>
      </rPr>
      <t xml:space="preserve">Siliconomics ②③ </t>
    </r>
    <r>
      <rPr>
        <b val="true"/>
        <sz val="11"/>
        <rFont val="Noto Sans CJK SC"/>
        <family val="2"/>
      </rPr>
      <t xml:space="preserve">同參數）。</t>
    </r>
  </si>
  <si>
    <t xml:space="preserve">■ 情況：基準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</si>
  <si>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</si>
  <si>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</si>
  <si>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</si>
  <si>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</si>
  <si>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</si>
  <si>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</si>
  <si>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base_ai2_msft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</si>
  <si>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</si>
  <si>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base_x2_msft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</si>
  <si>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（付款年；缺值以站點代入）</t>
    </r>
  </si>
  <si>
    <t xml:space="preserve">base_on2_msft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</si>
  <si>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（上線年）</t>
    </r>
  </si>
  <si>
    <t xml:space="preserve">base_ai9_msft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</si>
  <si>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Y9 </t>
    </r>
    <r>
      <rPr>
        <sz val="11"/>
        <color theme="1"/>
        <rFont val="Noto Sans CJK SC"/>
        <family val="2"/>
      </rPr>
      <t xml:space="preserve">個股模型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）</t>
    </r>
  </si>
  <si>
    <t xml:space="preserve">base_x9_msft</t>
  </si>
  <si>
    <t xml:space="preserve">base_on9_msft</t>
  </si>
  <si>
    <t xml:space="preserve">base_nv9_msft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</si>
  <si>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上線年（</t>
    </r>
    <r>
      <rPr>
        <sz val="11"/>
        <color theme="1"/>
        <rFont val="Calibri"/>
        <family val="2"/>
        <charset val="1"/>
      </rPr>
      <t xml:space="preserve">Y9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NVIDIA </t>
    </r>
    <r>
      <rPr>
        <sz val="11"/>
        <color theme="1"/>
        <rFont val="Noto Sans CJK SC"/>
        <family val="2"/>
      </rPr>
      <t xml:space="preserve">占比</t>
    </r>
  </si>
  <si>
    <t xml:space="preserve">base_site_msft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</si>
  <si>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甲（站點）年新增</t>
    </r>
  </si>
  <si>
    <t xml:space="preserve">base_main_msft</t>
  </si>
  <si>
    <r>
      <rPr>
        <sz val="11"/>
        <color theme="1"/>
        <rFont val="Calibri"/>
        <family val="2"/>
        <charset val="1"/>
      </rPr>
      <t xml:space="preserve">Microsoft v0.1.7 </t>
    </r>
    <r>
      <rPr>
        <sz val="11"/>
        <color theme="1"/>
        <rFont val="Noto Sans CJK SC"/>
        <family val="2"/>
      </rPr>
      <t xml:space="preserve">主路徑年新增（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空白者仍為站點）</t>
    </r>
  </si>
  <si>
    <t xml:space="preserve">base_ai2_googl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</si>
  <si>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</si>
  <si>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base_x2_googl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</si>
  <si>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（付款年；缺值以站點代入）</t>
    </r>
  </si>
  <si>
    <t xml:space="preserve">base_on2_googl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</si>
  <si>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（上線年）</t>
    </r>
  </si>
  <si>
    <t xml:space="preserve">base_ai9_googl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</si>
  <si>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Y9 </t>
    </r>
    <r>
      <rPr>
        <sz val="11"/>
        <color theme="1"/>
        <rFont val="Noto Sans CJK SC"/>
        <family val="2"/>
      </rPr>
      <t xml:space="preserve">個股模型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）</t>
    </r>
  </si>
  <si>
    <t xml:space="preserve">base_x9_googl</t>
  </si>
  <si>
    <t xml:space="preserve">base_on9_googl</t>
  </si>
  <si>
    <t xml:space="preserve">base_nv9_googl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</si>
  <si>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上線年（</t>
    </r>
    <r>
      <rPr>
        <sz val="11"/>
        <color theme="1"/>
        <rFont val="Calibri"/>
        <family val="2"/>
        <charset val="1"/>
      </rPr>
      <t xml:space="preserve">Y9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NVIDIA </t>
    </r>
    <r>
      <rPr>
        <sz val="11"/>
        <color theme="1"/>
        <rFont val="Noto Sans CJK SC"/>
        <family val="2"/>
      </rPr>
      <t xml:space="preserve">占比</t>
    </r>
  </si>
  <si>
    <t xml:space="preserve">base_site_googl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</si>
  <si>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甲（站點）年新增</t>
    </r>
  </si>
  <si>
    <t xml:space="preserve">base_main_googl</t>
  </si>
  <si>
    <r>
      <rPr>
        <sz val="11"/>
        <color theme="1"/>
        <rFont val="Calibri"/>
        <family val="2"/>
        <charset val="1"/>
      </rPr>
      <t xml:space="preserve">Alphabet v0.1.7 </t>
    </r>
    <r>
      <rPr>
        <sz val="11"/>
        <color theme="1"/>
        <rFont val="Noto Sans CJK SC"/>
        <family val="2"/>
      </rPr>
      <t xml:space="preserve">主路徑年新增（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空白者仍為站點）</t>
    </r>
  </si>
  <si>
    <t xml:space="preserve">base_ai2_amzn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</si>
  <si>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</si>
  <si>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base_x2_amzn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</si>
  <si>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（付款年；缺值以站點代入）</t>
    </r>
  </si>
  <si>
    <t xml:space="preserve">base_on2_amzn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</si>
  <si>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（上線年）</t>
    </r>
  </si>
  <si>
    <t xml:space="preserve">base_ai9_amzn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</si>
  <si>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Y9 </t>
    </r>
    <r>
      <rPr>
        <sz val="11"/>
        <color theme="1"/>
        <rFont val="Noto Sans CJK SC"/>
        <family val="2"/>
      </rPr>
      <t xml:space="preserve">個股模型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）</t>
    </r>
  </si>
  <si>
    <t xml:space="preserve">base_x9_amzn</t>
  </si>
  <si>
    <t xml:space="preserve">base_on9_amzn</t>
  </si>
  <si>
    <t xml:space="preserve">base_nv9_amzn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</si>
  <si>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上線年（</t>
    </r>
    <r>
      <rPr>
        <sz val="11"/>
        <color theme="1"/>
        <rFont val="Calibri"/>
        <family val="2"/>
        <charset val="1"/>
      </rPr>
      <t xml:space="preserve">Y9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NVIDIA </t>
    </r>
    <r>
      <rPr>
        <sz val="11"/>
        <color theme="1"/>
        <rFont val="Noto Sans CJK SC"/>
        <family val="2"/>
      </rPr>
      <t xml:space="preserve">占比</t>
    </r>
  </si>
  <si>
    <t xml:space="preserve">base_site_amzn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</si>
  <si>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甲（站點）年新增</t>
    </r>
  </si>
  <si>
    <t xml:space="preserve">base_main_amzn</t>
  </si>
  <si>
    <r>
      <rPr>
        <sz val="11"/>
        <color theme="1"/>
        <rFont val="Calibri"/>
        <family val="2"/>
        <charset val="1"/>
      </rPr>
      <t xml:space="preserve">Amazon v0.1.7 </t>
    </r>
    <r>
      <rPr>
        <sz val="11"/>
        <color theme="1"/>
        <rFont val="Noto Sans CJK SC"/>
        <family val="2"/>
      </rPr>
      <t xml:space="preserve">主路徑年新增（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空白者仍為站點）</t>
    </r>
  </si>
  <si>
    <t xml:space="preserve">base_ai2_meta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</si>
  <si>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</si>
  <si>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base_x2_meta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</si>
  <si>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（付款年；缺值以站點代入）</t>
    </r>
  </si>
  <si>
    <t xml:space="preserve">base_on2_meta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</si>
  <si>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（上線年）</t>
    </r>
  </si>
  <si>
    <t xml:space="preserve">base_ai9_meta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</si>
  <si>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Y9 </t>
    </r>
    <r>
      <rPr>
        <sz val="11"/>
        <color theme="1"/>
        <rFont val="Noto Sans CJK SC"/>
        <family val="2"/>
      </rPr>
      <t xml:space="preserve">個股模型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）</t>
    </r>
  </si>
  <si>
    <t xml:space="preserve">base_x9_meta</t>
  </si>
  <si>
    <t xml:space="preserve">base_on9_meta</t>
  </si>
  <si>
    <t xml:space="preserve">base_nv9_meta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</si>
  <si>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上線年（</t>
    </r>
    <r>
      <rPr>
        <sz val="11"/>
        <color theme="1"/>
        <rFont val="Calibri"/>
        <family val="2"/>
        <charset val="1"/>
      </rPr>
      <t xml:space="preserve">Y9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NVIDIA </t>
    </r>
    <r>
      <rPr>
        <sz val="11"/>
        <color theme="1"/>
        <rFont val="Noto Sans CJK SC"/>
        <family val="2"/>
      </rPr>
      <t xml:space="preserve">占比</t>
    </r>
  </si>
  <si>
    <t xml:space="preserve">base_site_meta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</si>
  <si>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甲（站點）年新增</t>
    </r>
  </si>
  <si>
    <t xml:space="preserve">base_main_meta</t>
  </si>
  <si>
    <r>
      <rPr>
        <sz val="11"/>
        <color theme="1"/>
        <rFont val="Calibri"/>
        <family val="2"/>
        <charset val="1"/>
      </rPr>
      <t xml:space="preserve">Meta v0.1.7 </t>
    </r>
    <r>
      <rPr>
        <sz val="11"/>
        <color theme="1"/>
        <rFont val="Noto Sans CJK SC"/>
        <family val="2"/>
      </rPr>
      <t xml:space="preserve">主路徑年新增（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空白者仍為站點）</t>
    </r>
  </si>
  <si>
    <t xml:space="preserve">base_ai2_orcl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</si>
  <si>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</si>
  <si>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base_x2_orcl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</si>
  <si>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（付款年；缺值以站點代入）</t>
    </r>
  </si>
  <si>
    <t xml:space="preserve">base_on2_orcl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</si>
  <si>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（上線年）</t>
    </r>
  </si>
  <si>
    <t xml:space="preserve">base_ai9_orcl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</si>
  <si>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Y9 </t>
    </r>
    <r>
      <rPr>
        <sz val="11"/>
        <color theme="1"/>
        <rFont val="Noto Sans CJK SC"/>
        <family val="2"/>
      </rPr>
      <t xml:space="preserve">個股模型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）</t>
    </r>
  </si>
  <si>
    <t xml:space="preserve">base_x9_orcl</t>
  </si>
  <si>
    <t xml:space="preserve">base_on9_orcl</t>
  </si>
  <si>
    <t xml:space="preserve">base_nv9_orcl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</si>
  <si>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上線年（</t>
    </r>
    <r>
      <rPr>
        <sz val="11"/>
        <color theme="1"/>
        <rFont val="Calibri"/>
        <family val="2"/>
        <charset val="1"/>
      </rPr>
      <t xml:space="preserve">Y9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NVIDIA </t>
    </r>
    <r>
      <rPr>
        <sz val="11"/>
        <color theme="1"/>
        <rFont val="Noto Sans CJK SC"/>
        <family val="2"/>
      </rPr>
      <t xml:space="preserve">占比</t>
    </r>
  </si>
  <si>
    <t xml:space="preserve">base_site_orcl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</si>
  <si>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甲（站點）年新增</t>
    </r>
  </si>
  <si>
    <t xml:space="preserve">base_main_orcl</t>
  </si>
  <si>
    <r>
      <rPr>
        <sz val="11"/>
        <color theme="1"/>
        <rFont val="Calibri"/>
        <family val="2"/>
        <charset val="1"/>
      </rPr>
      <t xml:space="preserve">Oracle v0.1.7 </t>
    </r>
    <r>
      <rPr>
        <sz val="11"/>
        <color theme="1"/>
        <rFont val="Noto Sans CJK SC"/>
        <family val="2"/>
      </rPr>
      <t xml:space="preserve">主路徑年新增（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空白者仍為站點）</t>
    </r>
  </si>
  <si>
    <t xml:space="preserve">base_ai2_crwv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</si>
  <si>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</si>
  <si>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base_x2_crwv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</si>
  <si>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（付款年；缺值以站點代入）</t>
    </r>
  </si>
  <si>
    <t xml:space="preserve">base_on2_crwv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</si>
  <si>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（上線年）</t>
    </r>
  </si>
  <si>
    <t xml:space="preserve">base_ai9_crwv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</si>
  <si>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Y9 </t>
    </r>
    <r>
      <rPr>
        <sz val="11"/>
        <color theme="1"/>
        <rFont val="Noto Sans CJK SC"/>
        <family val="2"/>
      </rPr>
      <t xml:space="preserve">個股模型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）</t>
    </r>
  </si>
  <si>
    <t xml:space="preserve">base_x9_crwv</t>
  </si>
  <si>
    <t xml:space="preserve">base_on9_crwv</t>
  </si>
  <si>
    <t xml:space="preserve">base_nv9_crwv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</si>
  <si>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上線年（</t>
    </r>
    <r>
      <rPr>
        <sz val="11"/>
        <color theme="1"/>
        <rFont val="Calibri"/>
        <family val="2"/>
        <charset val="1"/>
      </rPr>
      <t xml:space="preserve">Y9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NVIDIA </t>
    </r>
    <r>
      <rPr>
        <sz val="11"/>
        <color theme="1"/>
        <rFont val="Noto Sans CJK SC"/>
        <family val="2"/>
      </rPr>
      <t xml:space="preserve">占比</t>
    </r>
  </si>
  <si>
    <t xml:space="preserve">base_site_crwv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</si>
  <si>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甲（站點）年新增</t>
    </r>
  </si>
  <si>
    <t xml:space="preserve">base_main_crwv</t>
  </si>
  <si>
    <r>
      <rPr>
        <sz val="11"/>
        <color theme="1"/>
        <rFont val="Calibri"/>
        <family val="2"/>
        <charset val="1"/>
      </rPr>
      <t xml:space="preserve">CoreWeave v0.1.7 </t>
    </r>
    <r>
      <rPr>
        <sz val="11"/>
        <color theme="1"/>
        <rFont val="Noto Sans CJK SC"/>
        <family val="2"/>
      </rPr>
      <t xml:space="preserve">主路徑年新增（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空白者仍為站點）</t>
    </r>
  </si>
  <si>
    <t xml:space="preserve">base_ai2_nbis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</si>
  <si>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</si>
  <si>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base_x2_nbis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</si>
  <si>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（付款年；缺值以站點代入）</t>
    </r>
  </si>
  <si>
    <t xml:space="preserve">base_on2_nbis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</si>
  <si>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（上線年）</t>
    </r>
  </si>
  <si>
    <t xml:space="preserve">base_ai9_nbis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</si>
  <si>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Y9 </t>
    </r>
    <r>
      <rPr>
        <sz val="11"/>
        <color theme="1"/>
        <rFont val="Noto Sans CJK SC"/>
        <family val="2"/>
      </rPr>
      <t xml:space="preserve">個股模型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）</t>
    </r>
  </si>
  <si>
    <t xml:space="preserve">base_x9_nbis</t>
  </si>
  <si>
    <t xml:space="preserve">base_on9_nbis</t>
  </si>
  <si>
    <t xml:space="preserve">base_nv9_nbis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</si>
  <si>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上線年（</t>
    </r>
    <r>
      <rPr>
        <sz val="11"/>
        <color theme="1"/>
        <rFont val="Calibri"/>
        <family val="2"/>
        <charset val="1"/>
      </rPr>
      <t xml:space="preserve">Y9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NVIDIA </t>
    </r>
    <r>
      <rPr>
        <sz val="11"/>
        <color theme="1"/>
        <rFont val="Noto Sans CJK SC"/>
        <family val="2"/>
      </rPr>
      <t xml:space="preserve">占比</t>
    </r>
  </si>
  <si>
    <t xml:space="preserve">base_site_nbis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</si>
  <si>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甲（站點）年新增</t>
    </r>
  </si>
  <si>
    <t xml:space="preserve">base_main_nbis</t>
  </si>
  <si>
    <r>
      <rPr>
        <sz val="11"/>
        <color theme="1"/>
        <rFont val="Calibri"/>
        <family val="2"/>
        <charset val="1"/>
      </rPr>
      <t xml:space="preserve">Nebius v0.1.7 </t>
    </r>
    <r>
      <rPr>
        <sz val="11"/>
        <color theme="1"/>
        <rFont val="Noto Sans CJK SC"/>
        <family val="2"/>
      </rPr>
      <t xml:space="preserve">主路徑年新增（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空白者仍為站點）</t>
    </r>
  </si>
  <si>
    <t xml:space="preserve">base_ain_xai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</si>
  <si>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AI </t>
    </r>
    <r>
      <rPr>
        <sz val="11"/>
        <color theme="1"/>
        <rFont val="Noto Sans CJK SC"/>
        <family val="2"/>
      </rPr>
      <t xml:space="preserve">資本支出（個股模型，曆年＝財年）</t>
    </r>
  </si>
  <si>
    <t xml:space="preserve">base_xn_xai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</si>
  <si>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模型資本支出推得年新增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（付款年；缺值以站點代入）</t>
    </r>
  </si>
  <si>
    <t xml:space="preserve">base_onn_xai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</si>
  <si>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模型資本支出推得年新增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（上線年；前一年無模型值時假設持平、不平移）</t>
    </r>
  </si>
  <si>
    <t xml:space="preserve">base_nvn_xai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</si>
  <si>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上線年 </t>
    </r>
    <r>
      <rPr>
        <sz val="11"/>
        <color theme="1"/>
        <rFont val="Calibri"/>
        <family val="2"/>
        <charset val="1"/>
      </rPr>
      <t xml:space="preserve">× NVIDIA </t>
    </r>
    <r>
      <rPr>
        <sz val="11"/>
        <color theme="1"/>
        <rFont val="Noto Sans CJK SC"/>
        <family val="2"/>
      </rPr>
      <t xml:space="preserve">占比</t>
    </r>
  </si>
  <si>
    <t xml:space="preserve">base_siten_xai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</si>
  <si>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甲（站點）年新增</t>
    </r>
  </si>
  <si>
    <t xml:space="preserve">base_ain_ant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</si>
  <si>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資本支出（個股模型，曆年＝財年）</t>
    </r>
  </si>
  <si>
    <t xml:space="preserve">base_xn_ant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</si>
  <si>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模型資本支出推得年新增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（付款年；缺值以站點代入）</t>
    </r>
  </si>
  <si>
    <t xml:space="preserve">base_onn_ant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</si>
  <si>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模型資本支出推得年新增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（上線年；前一年無模型值時假設持平、不平移）</t>
    </r>
  </si>
  <si>
    <t xml:space="preserve">base_nvn_ant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</si>
  <si>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上線年 </t>
    </r>
    <r>
      <rPr>
        <sz val="11"/>
        <color theme="1"/>
        <rFont val="Calibri"/>
        <family val="2"/>
        <charset val="1"/>
      </rPr>
      <t xml:space="preserve">× NVIDIA </t>
    </r>
    <r>
      <rPr>
        <sz val="11"/>
        <color theme="1"/>
        <rFont val="Noto Sans CJK SC"/>
        <family val="2"/>
      </rPr>
      <t xml:space="preserve">占比</t>
    </r>
  </si>
  <si>
    <t xml:space="preserve">base_siten_ant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</si>
  <si>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甲（站點）年新增</t>
    </r>
  </si>
  <si>
    <t xml:space="preserve">base_S_x2</t>
  </si>
  <si>
    <r>
      <rPr>
        <sz val="11"/>
        <color theme="1"/>
        <rFont val="Noto Sans CJK SC"/>
        <family val="2"/>
      </rPr>
      <t xml:space="preserve">合計：七家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付款年（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</si>
  <si>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base_S_on2</t>
  </si>
  <si>
    <r>
      <rPr>
        <sz val="11"/>
        <color theme="1"/>
        <rFont val="Noto Sans CJK SC"/>
        <family val="2"/>
      </rPr>
      <t xml:space="preserve">合計：七家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上線年（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</si>
  <si>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base_S_x9</t>
  </si>
  <si>
    <r>
      <rPr>
        <sz val="11"/>
        <color theme="1"/>
        <rFont val="Noto Sans CJK SC"/>
        <family val="2"/>
      </rPr>
      <t xml:space="preserve">合計：七家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付款年（</t>
    </r>
    <r>
      <rPr>
        <sz val="11"/>
        <color theme="1"/>
        <rFont val="Calibri"/>
        <family val="2"/>
        <charset val="1"/>
      </rPr>
      <t xml:space="preserve">Y9</t>
    </r>
    <r>
      <rPr>
        <sz val="11"/>
        <color theme="1"/>
        <rFont val="Noto Sans CJK SC"/>
        <family val="2"/>
      </rPr>
      <t xml:space="preserve">）</t>
    </r>
  </si>
  <si>
    <t xml:space="preserve">base_S_on9</t>
  </si>
  <si>
    <r>
      <rPr>
        <sz val="11"/>
        <color theme="1"/>
        <rFont val="Noto Sans CJK SC"/>
        <family val="2"/>
      </rPr>
      <t xml:space="preserve">合計：七家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上線年（</t>
    </r>
    <r>
      <rPr>
        <sz val="11"/>
        <color theme="1"/>
        <rFont val="Calibri"/>
        <family val="2"/>
        <charset val="1"/>
      </rPr>
      <t xml:space="preserve">Y9</t>
    </r>
    <r>
      <rPr>
        <sz val="11"/>
        <color theme="1"/>
        <rFont val="Noto Sans CJK SC"/>
        <family val="2"/>
      </rPr>
      <t xml:space="preserve">）</t>
    </r>
  </si>
  <si>
    <t xml:space="preserve">base_S_site</t>
  </si>
  <si>
    <t xml:space="preserve">合計：七家 甲（站點）</t>
  </si>
  <si>
    <t xml:space="preserve">base_S_main</t>
  </si>
  <si>
    <r>
      <rPr>
        <sz val="11"/>
        <color theme="1"/>
        <rFont val="Noto Sans CJK SC"/>
        <family val="2"/>
      </rPr>
      <t xml:space="preserve">合計：七家 </t>
    </r>
    <r>
      <rPr>
        <sz val="11"/>
        <color theme="1"/>
        <rFont val="Calibri"/>
        <family val="2"/>
        <charset val="1"/>
      </rPr>
      <t xml:space="preserve">v0.1.7 </t>
    </r>
    <r>
      <rPr>
        <sz val="11"/>
        <color theme="1"/>
        <rFont val="Noto Sans CJK SC"/>
        <family val="2"/>
      </rPr>
      <t xml:space="preserve">主路徑</t>
    </r>
  </si>
  <si>
    <t xml:space="preserve">base_S_nv9</t>
  </si>
  <si>
    <r>
      <rPr>
        <sz val="11"/>
        <color theme="1"/>
        <rFont val="Noto Sans CJK SC"/>
        <family val="2"/>
      </rPr>
      <t xml:space="preserve">合計：七家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上線年（</t>
    </r>
    <r>
      <rPr>
        <sz val="11"/>
        <color theme="1"/>
        <rFont val="Calibri"/>
        <family val="2"/>
        <charset val="1"/>
      </rPr>
      <t xml:space="preserve">Y9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</t>
    </r>
  </si>
  <si>
    <t xml:space="preserve">base_S_nvn</t>
  </si>
  <si>
    <r>
      <rPr>
        <sz val="11"/>
        <color theme="1"/>
        <rFont val="Noto Sans CJK SC"/>
        <family val="2"/>
      </rPr>
      <t xml:space="preserve">合計：非七家 模型推得 上線年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</t>
    </r>
  </si>
  <si>
    <t xml:space="preserve">base_S_xn</t>
  </si>
  <si>
    <t xml:space="preserve">合計：非七家 模型推得 付款年</t>
  </si>
  <si>
    <t xml:space="preserve">base_S_onn</t>
  </si>
  <si>
    <t xml:space="preserve">合計：非七家 模型推得 上線年</t>
  </si>
  <si>
    <t xml:space="preserve">base_S_siten</t>
  </si>
  <si>
    <t xml:space="preserve">合計：非七家 甲（站點）</t>
  </si>
  <si>
    <r>
      <rPr>
        <b val="true"/>
        <sz val="11"/>
        <rFont val="Noto Sans CJK SC"/>
        <family val="2"/>
      </rPr>
      <t xml:space="preserve">■ 情況：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 低</t>
    </r>
  </si>
  <si>
    <t xml:space="preserve">ailo_ai2_msft</t>
  </si>
  <si>
    <t xml:space="preserve">ailo_x2_msft</t>
  </si>
  <si>
    <t xml:space="preserve">ailo_on2_msft</t>
  </si>
  <si>
    <t xml:space="preserve">ailo_ai9_msft</t>
  </si>
  <si>
    <t xml:space="preserve">ailo_x9_msft</t>
  </si>
  <si>
    <t xml:space="preserve">ailo_on9_msft</t>
  </si>
  <si>
    <t xml:space="preserve">ailo_nv9_msft</t>
  </si>
  <si>
    <t xml:space="preserve">ailo_site_msft</t>
  </si>
  <si>
    <t xml:space="preserve">ailo_main_msft</t>
  </si>
  <si>
    <t xml:space="preserve">ailo_ai2_googl</t>
  </si>
  <si>
    <t xml:space="preserve">ailo_x2_googl</t>
  </si>
  <si>
    <t xml:space="preserve">ailo_on2_googl</t>
  </si>
  <si>
    <t xml:space="preserve">ailo_ai9_googl</t>
  </si>
  <si>
    <t xml:space="preserve">ailo_x9_googl</t>
  </si>
  <si>
    <t xml:space="preserve">ailo_on9_googl</t>
  </si>
  <si>
    <t xml:space="preserve">ailo_nv9_googl</t>
  </si>
  <si>
    <t xml:space="preserve">ailo_site_googl</t>
  </si>
  <si>
    <t xml:space="preserve">ailo_main_googl</t>
  </si>
  <si>
    <t xml:space="preserve">ailo_ai2_amzn</t>
  </si>
  <si>
    <t xml:space="preserve">ailo_x2_amzn</t>
  </si>
  <si>
    <t xml:space="preserve">ailo_on2_amzn</t>
  </si>
  <si>
    <t xml:space="preserve">ailo_ai9_amzn</t>
  </si>
  <si>
    <t xml:space="preserve">ailo_x9_amzn</t>
  </si>
  <si>
    <t xml:space="preserve">ailo_on9_amzn</t>
  </si>
  <si>
    <t xml:space="preserve">ailo_nv9_amzn</t>
  </si>
  <si>
    <t xml:space="preserve">ailo_site_amzn</t>
  </si>
  <si>
    <t xml:space="preserve">ailo_main_amzn</t>
  </si>
  <si>
    <t xml:space="preserve">ailo_ai2_meta</t>
  </si>
  <si>
    <t xml:space="preserve">ailo_x2_meta</t>
  </si>
  <si>
    <t xml:space="preserve">ailo_on2_meta</t>
  </si>
  <si>
    <t xml:space="preserve">ailo_ai9_meta</t>
  </si>
  <si>
    <t xml:space="preserve">ailo_x9_meta</t>
  </si>
  <si>
    <t xml:space="preserve">ailo_on9_meta</t>
  </si>
  <si>
    <t xml:space="preserve">ailo_nv9_meta</t>
  </si>
  <si>
    <t xml:space="preserve">ailo_site_meta</t>
  </si>
  <si>
    <t xml:space="preserve">ailo_main_meta</t>
  </si>
  <si>
    <t xml:space="preserve">ailo_ai2_orcl</t>
  </si>
  <si>
    <t xml:space="preserve">ailo_x2_orcl</t>
  </si>
  <si>
    <t xml:space="preserve">ailo_on2_orcl</t>
  </si>
  <si>
    <t xml:space="preserve">ailo_ai9_orcl</t>
  </si>
  <si>
    <t xml:space="preserve">ailo_x9_orcl</t>
  </si>
  <si>
    <t xml:space="preserve">ailo_on9_orcl</t>
  </si>
  <si>
    <t xml:space="preserve">ailo_nv9_orcl</t>
  </si>
  <si>
    <t xml:space="preserve">ailo_site_orcl</t>
  </si>
  <si>
    <t xml:space="preserve">ailo_main_orcl</t>
  </si>
  <si>
    <t xml:space="preserve">ailo_ai2_crwv</t>
  </si>
  <si>
    <t xml:space="preserve">ailo_x2_crwv</t>
  </si>
  <si>
    <t xml:space="preserve">ailo_on2_crwv</t>
  </si>
  <si>
    <t xml:space="preserve">ailo_ai9_crwv</t>
  </si>
  <si>
    <t xml:space="preserve">ailo_x9_crwv</t>
  </si>
  <si>
    <t xml:space="preserve">ailo_on9_crwv</t>
  </si>
  <si>
    <t xml:space="preserve">ailo_nv9_crwv</t>
  </si>
  <si>
    <t xml:space="preserve">ailo_site_crwv</t>
  </si>
  <si>
    <t xml:space="preserve">ailo_main_crwv</t>
  </si>
  <si>
    <t xml:space="preserve">ailo_ai2_nbis</t>
  </si>
  <si>
    <t xml:space="preserve">ailo_x2_nbis</t>
  </si>
  <si>
    <t xml:space="preserve">ailo_on2_nbis</t>
  </si>
  <si>
    <t xml:space="preserve">ailo_ai9_nbis</t>
  </si>
  <si>
    <t xml:space="preserve">ailo_x9_nbis</t>
  </si>
  <si>
    <t xml:space="preserve">ailo_on9_nbis</t>
  </si>
  <si>
    <t xml:space="preserve">ailo_nv9_nbis</t>
  </si>
  <si>
    <t xml:space="preserve">ailo_site_nbis</t>
  </si>
  <si>
    <t xml:space="preserve">ailo_main_nbis</t>
  </si>
  <si>
    <t xml:space="preserve">ailo_ain_xai</t>
  </si>
  <si>
    <t xml:space="preserve">ailo_xn_xai</t>
  </si>
  <si>
    <t xml:space="preserve">ailo_onn_xai</t>
  </si>
  <si>
    <t xml:space="preserve">ailo_nvn_xai</t>
  </si>
  <si>
    <t xml:space="preserve">ailo_siten_xai</t>
  </si>
  <si>
    <t xml:space="preserve">ailo_ain_ant</t>
  </si>
  <si>
    <t xml:space="preserve">ailo_xn_ant</t>
  </si>
  <si>
    <t xml:space="preserve">ailo_onn_ant</t>
  </si>
  <si>
    <t xml:space="preserve">ailo_nvn_ant</t>
  </si>
  <si>
    <t xml:space="preserve">ailo_siten_ant</t>
  </si>
  <si>
    <t xml:space="preserve">ailo_S_x2</t>
  </si>
  <si>
    <t xml:space="preserve">ailo_S_on2</t>
  </si>
  <si>
    <t xml:space="preserve">ailo_S_x9</t>
  </si>
  <si>
    <t xml:space="preserve">ailo_S_on9</t>
  </si>
  <si>
    <t xml:space="preserve">ailo_S_site</t>
  </si>
  <si>
    <t xml:space="preserve">ailo_S_main</t>
  </si>
  <si>
    <t xml:space="preserve">ailo_S_nv9</t>
  </si>
  <si>
    <t xml:space="preserve">ailo_S_nvn</t>
  </si>
  <si>
    <t xml:space="preserve">ailo_S_xn</t>
  </si>
  <si>
    <t xml:space="preserve">ailo_S_onn</t>
  </si>
  <si>
    <t xml:space="preserve">ailo_S_siten</t>
  </si>
  <si>
    <r>
      <rPr>
        <b val="true"/>
        <sz val="11"/>
        <rFont val="Noto Sans CJK SC"/>
        <family val="2"/>
      </rPr>
      <t xml:space="preserve">■ 情況：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 高</t>
    </r>
  </si>
  <si>
    <t xml:space="preserve">aihi_ai2_msft</t>
  </si>
  <si>
    <t xml:space="preserve">aihi_x2_msft</t>
  </si>
  <si>
    <t xml:space="preserve">aihi_on2_msft</t>
  </si>
  <si>
    <t xml:space="preserve">aihi_ai9_msft</t>
  </si>
  <si>
    <t xml:space="preserve">aihi_x9_msft</t>
  </si>
  <si>
    <t xml:space="preserve">aihi_on9_msft</t>
  </si>
  <si>
    <t xml:space="preserve">aihi_nv9_msft</t>
  </si>
  <si>
    <t xml:space="preserve">aihi_site_msft</t>
  </si>
  <si>
    <t xml:space="preserve">aihi_main_msft</t>
  </si>
  <si>
    <t xml:space="preserve">aihi_ai2_googl</t>
  </si>
  <si>
    <t xml:space="preserve">aihi_x2_googl</t>
  </si>
  <si>
    <t xml:space="preserve">aihi_on2_googl</t>
  </si>
  <si>
    <t xml:space="preserve">aihi_ai9_googl</t>
  </si>
  <si>
    <t xml:space="preserve">aihi_x9_googl</t>
  </si>
  <si>
    <t xml:space="preserve">aihi_on9_googl</t>
  </si>
  <si>
    <t xml:space="preserve">aihi_nv9_googl</t>
  </si>
  <si>
    <t xml:space="preserve">aihi_site_googl</t>
  </si>
  <si>
    <t xml:space="preserve">aihi_main_googl</t>
  </si>
  <si>
    <t xml:space="preserve">aihi_ai2_amzn</t>
  </si>
  <si>
    <t xml:space="preserve">aihi_x2_amzn</t>
  </si>
  <si>
    <t xml:space="preserve">aihi_on2_amzn</t>
  </si>
  <si>
    <t xml:space="preserve">aihi_ai9_amzn</t>
  </si>
  <si>
    <t xml:space="preserve">aihi_x9_amzn</t>
  </si>
  <si>
    <t xml:space="preserve">aihi_on9_amzn</t>
  </si>
  <si>
    <t xml:space="preserve">aihi_nv9_amzn</t>
  </si>
  <si>
    <t xml:space="preserve">aihi_site_amzn</t>
  </si>
  <si>
    <t xml:space="preserve">aihi_main_amzn</t>
  </si>
  <si>
    <t xml:space="preserve">aihi_ai2_meta</t>
  </si>
  <si>
    <t xml:space="preserve">aihi_x2_meta</t>
  </si>
  <si>
    <t xml:space="preserve">aihi_on2_meta</t>
  </si>
  <si>
    <t xml:space="preserve">aihi_ai9_meta</t>
  </si>
  <si>
    <t xml:space="preserve">aihi_x9_meta</t>
  </si>
  <si>
    <t xml:space="preserve">aihi_on9_meta</t>
  </si>
  <si>
    <t xml:space="preserve">aihi_nv9_meta</t>
  </si>
  <si>
    <t xml:space="preserve">aihi_site_meta</t>
  </si>
  <si>
    <t xml:space="preserve">aihi_main_meta</t>
  </si>
  <si>
    <t xml:space="preserve">aihi_ai2_orcl</t>
  </si>
  <si>
    <t xml:space="preserve">aihi_x2_orcl</t>
  </si>
  <si>
    <t xml:space="preserve">aihi_on2_orcl</t>
  </si>
  <si>
    <t xml:space="preserve">aihi_ai9_orcl</t>
  </si>
  <si>
    <t xml:space="preserve">aihi_x9_orcl</t>
  </si>
  <si>
    <t xml:space="preserve">aihi_on9_orcl</t>
  </si>
  <si>
    <t xml:space="preserve">aihi_nv9_orcl</t>
  </si>
  <si>
    <t xml:space="preserve">aihi_site_orcl</t>
  </si>
  <si>
    <t xml:space="preserve">aihi_main_orcl</t>
  </si>
  <si>
    <t xml:space="preserve">aihi_ai2_crwv</t>
  </si>
  <si>
    <t xml:space="preserve">aihi_x2_crwv</t>
  </si>
  <si>
    <t xml:space="preserve">aihi_on2_crwv</t>
  </si>
  <si>
    <t xml:space="preserve">aihi_ai9_crwv</t>
  </si>
  <si>
    <t xml:space="preserve">aihi_x9_crwv</t>
  </si>
  <si>
    <t xml:space="preserve">aihi_on9_crwv</t>
  </si>
  <si>
    <t xml:space="preserve">aihi_nv9_crwv</t>
  </si>
  <si>
    <t xml:space="preserve">aihi_site_crwv</t>
  </si>
  <si>
    <t xml:space="preserve">aihi_main_crwv</t>
  </si>
  <si>
    <t xml:space="preserve">aihi_ai2_nbis</t>
  </si>
  <si>
    <t xml:space="preserve">aihi_x2_nbis</t>
  </si>
  <si>
    <t xml:space="preserve">aihi_on2_nbis</t>
  </si>
  <si>
    <t xml:space="preserve">aihi_ai9_nbis</t>
  </si>
  <si>
    <t xml:space="preserve">aihi_x9_nbis</t>
  </si>
  <si>
    <t xml:space="preserve">aihi_on9_nbis</t>
  </si>
  <si>
    <t xml:space="preserve">aihi_nv9_nbis</t>
  </si>
  <si>
    <t xml:space="preserve">aihi_site_nbis</t>
  </si>
  <si>
    <t xml:space="preserve">aihi_main_nbis</t>
  </si>
  <si>
    <t xml:space="preserve">aihi_ain_xai</t>
  </si>
  <si>
    <t xml:space="preserve">aihi_xn_xai</t>
  </si>
  <si>
    <t xml:space="preserve">aihi_onn_xai</t>
  </si>
  <si>
    <t xml:space="preserve">aihi_nvn_xai</t>
  </si>
  <si>
    <t xml:space="preserve">aihi_siten_xai</t>
  </si>
  <si>
    <t xml:space="preserve">aihi_ain_ant</t>
  </si>
  <si>
    <t xml:space="preserve">aihi_xn_ant</t>
  </si>
  <si>
    <t xml:space="preserve">aihi_onn_ant</t>
  </si>
  <si>
    <t xml:space="preserve">aihi_nvn_ant</t>
  </si>
  <si>
    <t xml:space="preserve">aihi_siten_ant</t>
  </si>
  <si>
    <t xml:space="preserve">aihi_S_x2</t>
  </si>
  <si>
    <t xml:space="preserve">aihi_S_on2</t>
  </si>
  <si>
    <t xml:space="preserve">aihi_S_x9</t>
  </si>
  <si>
    <t xml:space="preserve">aihi_S_on9</t>
  </si>
  <si>
    <t xml:space="preserve">aihi_S_site</t>
  </si>
  <si>
    <t xml:space="preserve">aihi_S_main</t>
  </si>
  <si>
    <t xml:space="preserve">aihi_S_nv9</t>
  </si>
  <si>
    <t xml:space="preserve">aihi_S_nvn</t>
  </si>
  <si>
    <t xml:space="preserve">aihi_S_xn</t>
  </si>
  <si>
    <t xml:space="preserve">aihi_S_onn</t>
  </si>
  <si>
    <t xml:space="preserve">aihi_S_siten</t>
  </si>
  <si>
    <r>
      <rPr>
        <b val="true"/>
        <sz val="11"/>
        <rFont val="Noto Sans CJK SC"/>
        <family val="2"/>
      </rPr>
      <t xml:space="preserve">■ 情況：</t>
    </r>
    <r>
      <rPr>
        <b val="true"/>
        <sz val="11"/>
        <rFont val="Cambria"/>
        <family val="0"/>
        <charset val="1"/>
      </rPr>
      <t xml:space="preserve">lag_bldg </t>
    </r>
    <r>
      <rPr>
        <b val="true"/>
        <sz val="11"/>
        <rFont val="Noto Sans CJK SC"/>
        <family val="2"/>
      </rPr>
      <t xml:space="preserve">低（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月）</t>
    </r>
  </si>
  <si>
    <t xml:space="preserve">lblo_ai2_msft</t>
  </si>
  <si>
    <t xml:space="preserve">lblo_x2_msft</t>
  </si>
  <si>
    <t xml:space="preserve">lblo_on2_msft</t>
  </si>
  <si>
    <t xml:space="preserve">lblo_ai9_msft</t>
  </si>
  <si>
    <t xml:space="preserve">lblo_x9_msft</t>
  </si>
  <si>
    <t xml:space="preserve">lblo_on9_msft</t>
  </si>
  <si>
    <t xml:space="preserve">lblo_nv9_msft</t>
  </si>
  <si>
    <t xml:space="preserve">lblo_site_msft</t>
  </si>
  <si>
    <t xml:space="preserve">lblo_main_msft</t>
  </si>
  <si>
    <t xml:space="preserve">lblo_ai2_googl</t>
  </si>
  <si>
    <t xml:space="preserve">lblo_x2_googl</t>
  </si>
  <si>
    <t xml:space="preserve">lblo_on2_googl</t>
  </si>
  <si>
    <t xml:space="preserve">lblo_ai9_googl</t>
  </si>
  <si>
    <t xml:space="preserve">lblo_x9_googl</t>
  </si>
  <si>
    <t xml:space="preserve">lblo_on9_googl</t>
  </si>
  <si>
    <t xml:space="preserve">lblo_nv9_googl</t>
  </si>
  <si>
    <t xml:space="preserve">lblo_site_googl</t>
  </si>
  <si>
    <t xml:space="preserve">lblo_main_googl</t>
  </si>
  <si>
    <t xml:space="preserve">lblo_ai2_amzn</t>
  </si>
  <si>
    <t xml:space="preserve">lblo_x2_amzn</t>
  </si>
  <si>
    <t xml:space="preserve">lblo_on2_amzn</t>
  </si>
  <si>
    <t xml:space="preserve">lblo_ai9_amzn</t>
  </si>
  <si>
    <t xml:space="preserve">lblo_x9_amzn</t>
  </si>
  <si>
    <t xml:space="preserve">lblo_on9_amzn</t>
  </si>
  <si>
    <t xml:space="preserve">lblo_nv9_amzn</t>
  </si>
  <si>
    <t xml:space="preserve">lblo_site_amzn</t>
  </si>
  <si>
    <t xml:space="preserve">lblo_main_amzn</t>
  </si>
  <si>
    <t xml:space="preserve">lblo_ai2_meta</t>
  </si>
  <si>
    <t xml:space="preserve">lblo_x2_meta</t>
  </si>
  <si>
    <t xml:space="preserve">lblo_on2_meta</t>
  </si>
  <si>
    <t xml:space="preserve">lblo_ai9_meta</t>
  </si>
  <si>
    <t xml:space="preserve">lblo_x9_meta</t>
  </si>
  <si>
    <t xml:space="preserve">lblo_on9_meta</t>
  </si>
  <si>
    <t xml:space="preserve">lblo_nv9_meta</t>
  </si>
  <si>
    <t xml:space="preserve">lblo_site_meta</t>
  </si>
  <si>
    <t xml:space="preserve">lblo_main_meta</t>
  </si>
  <si>
    <t xml:space="preserve">lblo_ai2_orcl</t>
  </si>
  <si>
    <t xml:space="preserve">lblo_x2_orcl</t>
  </si>
  <si>
    <t xml:space="preserve">lblo_on2_orcl</t>
  </si>
  <si>
    <t xml:space="preserve">lblo_ai9_orcl</t>
  </si>
  <si>
    <t xml:space="preserve">lblo_x9_orcl</t>
  </si>
  <si>
    <t xml:space="preserve">lblo_on9_orcl</t>
  </si>
  <si>
    <t xml:space="preserve">lblo_nv9_orcl</t>
  </si>
  <si>
    <t xml:space="preserve">lblo_site_orcl</t>
  </si>
  <si>
    <t xml:space="preserve">lblo_main_orcl</t>
  </si>
  <si>
    <t xml:space="preserve">lblo_ai2_crwv</t>
  </si>
  <si>
    <t xml:space="preserve">lblo_x2_crwv</t>
  </si>
  <si>
    <t xml:space="preserve">lblo_on2_crwv</t>
  </si>
  <si>
    <t xml:space="preserve">lblo_ai9_crwv</t>
  </si>
  <si>
    <t xml:space="preserve">lblo_x9_crwv</t>
  </si>
  <si>
    <t xml:space="preserve">lblo_on9_crwv</t>
  </si>
  <si>
    <t xml:space="preserve">lblo_nv9_crwv</t>
  </si>
  <si>
    <t xml:space="preserve">lblo_site_crwv</t>
  </si>
  <si>
    <t xml:space="preserve">lblo_main_crwv</t>
  </si>
  <si>
    <t xml:space="preserve">lblo_ai2_nbis</t>
  </si>
  <si>
    <t xml:space="preserve">lblo_x2_nbis</t>
  </si>
  <si>
    <t xml:space="preserve">lblo_on2_nbis</t>
  </si>
  <si>
    <t xml:space="preserve">lblo_ai9_nbis</t>
  </si>
  <si>
    <t xml:space="preserve">lblo_x9_nbis</t>
  </si>
  <si>
    <t xml:space="preserve">lblo_on9_nbis</t>
  </si>
  <si>
    <t xml:space="preserve">lblo_nv9_nbis</t>
  </si>
  <si>
    <t xml:space="preserve">lblo_site_nbis</t>
  </si>
  <si>
    <t xml:space="preserve">lblo_main_nbis</t>
  </si>
  <si>
    <t xml:space="preserve">lblo_ain_xai</t>
  </si>
  <si>
    <t xml:space="preserve">lblo_xn_xai</t>
  </si>
  <si>
    <t xml:space="preserve">lblo_onn_xai</t>
  </si>
  <si>
    <t xml:space="preserve">lblo_nvn_xai</t>
  </si>
  <si>
    <t xml:space="preserve">lblo_siten_xai</t>
  </si>
  <si>
    <t xml:space="preserve">lblo_ain_ant</t>
  </si>
  <si>
    <t xml:space="preserve">lblo_xn_ant</t>
  </si>
  <si>
    <t xml:space="preserve">lblo_onn_ant</t>
  </si>
  <si>
    <t xml:space="preserve">lblo_nvn_ant</t>
  </si>
  <si>
    <t xml:space="preserve">lblo_siten_ant</t>
  </si>
  <si>
    <t xml:space="preserve">lblo_S_x2</t>
  </si>
  <si>
    <t xml:space="preserve">lblo_S_on2</t>
  </si>
  <si>
    <t xml:space="preserve">lblo_S_x9</t>
  </si>
  <si>
    <t xml:space="preserve">lblo_S_on9</t>
  </si>
  <si>
    <t xml:space="preserve">lblo_S_site</t>
  </si>
  <si>
    <t xml:space="preserve">lblo_S_main</t>
  </si>
  <si>
    <t xml:space="preserve">lblo_S_nv9</t>
  </si>
  <si>
    <t xml:space="preserve">lblo_S_nvn</t>
  </si>
  <si>
    <t xml:space="preserve">lblo_S_xn</t>
  </si>
  <si>
    <t xml:space="preserve">lblo_S_onn</t>
  </si>
  <si>
    <t xml:space="preserve">lblo_S_siten</t>
  </si>
  <si>
    <r>
      <rPr>
        <b val="true"/>
        <sz val="11"/>
        <rFont val="Noto Sans CJK SC"/>
        <family val="2"/>
      </rPr>
      <t xml:space="preserve">■ 情況：</t>
    </r>
    <r>
      <rPr>
        <b val="true"/>
        <sz val="11"/>
        <rFont val="Cambria"/>
        <family val="0"/>
        <charset val="1"/>
      </rPr>
      <t xml:space="preserve">lag_bldg </t>
    </r>
    <r>
      <rPr>
        <b val="true"/>
        <sz val="11"/>
        <rFont val="Noto Sans CJK SC"/>
        <family val="2"/>
      </rPr>
      <t xml:space="preserve">高（</t>
    </r>
    <r>
      <rPr>
        <b val="true"/>
        <sz val="11"/>
        <rFont val="Cambria"/>
        <family val="0"/>
        <charset val="1"/>
      </rPr>
      <t xml:space="preserve">24 </t>
    </r>
    <r>
      <rPr>
        <b val="true"/>
        <sz val="11"/>
        <rFont val="Noto Sans CJK SC"/>
        <family val="2"/>
      </rPr>
      <t xml:space="preserve">月）</t>
    </r>
  </si>
  <si>
    <t xml:space="preserve">lbhi_ai2_msft</t>
  </si>
  <si>
    <t xml:space="preserve">lbhi_x2_msft</t>
  </si>
  <si>
    <t xml:space="preserve">lbhi_on2_msft</t>
  </si>
  <si>
    <t xml:space="preserve">lbhi_ai9_msft</t>
  </si>
  <si>
    <t xml:space="preserve">lbhi_x9_msft</t>
  </si>
  <si>
    <t xml:space="preserve">lbhi_on9_msft</t>
  </si>
  <si>
    <t xml:space="preserve">lbhi_nv9_msft</t>
  </si>
  <si>
    <t xml:space="preserve">lbhi_site_msft</t>
  </si>
  <si>
    <t xml:space="preserve">lbhi_main_msft</t>
  </si>
  <si>
    <t xml:space="preserve">lbhi_ai2_googl</t>
  </si>
  <si>
    <t xml:space="preserve">lbhi_x2_googl</t>
  </si>
  <si>
    <t xml:space="preserve">lbhi_on2_googl</t>
  </si>
  <si>
    <t xml:space="preserve">lbhi_ai9_googl</t>
  </si>
  <si>
    <t xml:space="preserve">lbhi_x9_googl</t>
  </si>
  <si>
    <t xml:space="preserve">lbhi_on9_googl</t>
  </si>
  <si>
    <t xml:space="preserve">lbhi_nv9_googl</t>
  </si>
  <si>
    <t xml:space="preserve">lbhi_site_googl</t>
  </si>
  <si>
    <t xml:space="preserve">lbhi_main_googl</t>
  </si>
  <si>
    <t xml:space="preserve">lbhi_ai2_amzn</t>
  </si>
  <si>
    <t xml:space="preserve">lbhi_x2_amzn</t>
  </si>
  <si>
    <t xml:space="preserve">lbhi_on2_amzn</t>
  </si>
  <si>
    <t xml:space="preserve">lbhi_ai9_amzn</t>
  </si>
  <si>
    <t xml:space="preserve">lbhi_x9_amzn</t>
  </si>
  <si>
    <t xml:space="preserve">lbhi_on9_amzn</t>
  </si>
  <si>
    <t xml:space="preserve">lbhi_nv9_amzn</t>
  </si>
  <si>
    <t xml:space="preserve">lbhi_site_amzn</t>
  </si>
  <si>
    <t xml:space="preserve">lbhi_main_amzn</t>
  </si>
  <si>
    <t xml:space="preserve">lbhi_ai2_meta</t>
  </si>
  <si>
    <t xml:space="preserve">lbhi_x2_meta</t>
  </si>
  <si>
    <t xml:space="preserve">lbhi_on2_meta</t>
  </si>
  <si>
    <t xml:space="preserve">lbhi_ai9_meta</t>
  </si>
  <si>
    <t xml:space="preserve">lbhi_x9_meta</t>
  </si>
  <si>
    <t xml:space="preserve">lbhi_on9_meta</t>
  </si>
  <si>
    <t xml:space="preserve">lbhi_nv9_meta</t>
  </si>
  <si>
    <t xml:space="preserve">lbhi_site_meta</t>
  </si>
  <si>
    <t xml:space="preserve">lbhi_main_meta</t>
  </si>
  <si>
    <t xml:space="preserve">lbhi_ai2_orcl</t>
  </si>
  <si>
    <t xml:space="preserve">lbhi_x2_orcl</t>
  </si>
  <si>
    <t xml:space="preserve">lbhi_on2_orcl</t>
  </si>
  <si>
    <t xml:space="preserve">lbhi_ai9_orcl</t>
  </si>
  <si>
    <t xml:space="preserve">lbhi_x9_orcl</t>
  </si>
  <si>
    <t xml:space="preserve">lbhi_on9_orcl</t>
  </si>
  <si>
    <t xml:space="preserve">lbhi_nv9_orcl</t>
  </si>
  <si>
    <t xml:space="preserve">lbhi_site_orcl</t>
  </si>
  <si>
    <t xml:space="preserve">lbhi_main_orcl</t>
  </si>
  <si>
    <t xml:space="preserve">lbhi_ai2_crwv</t>
  </si>
  <si>
    <t xml:space="preserve">lbhi_x2_crwv</t>
  </si>
  <si>
    <t xml:space="preserve">lbhi_on2_crwv</t>
  </si>
  <si>
    <t xml:space="preserve">lbhi_ai9_crwv</t>
  </si>
  <si>
    <t xml:space="preserve">lbhi_x9_crwv</t>
  </si>
  <si>
    <t xml:space="preserve">lbhi_on9_crwv</t>
  </si>
  <si>
    <t xml:space="preserve">lbhi_nv9_crwv</t>
  </si>
  <si>
    <t xml:space="preserve">lbhi_site_crwv</t>
  </si>
  <si>
    <t xml:space="preserve">lbhi_main_crwv</t>
  </si>
  <si>
    <t xml:space="preserve">lbhi_ai2_nbis</t>
  </si>
  <si>
    <t xml:space="preserve">lbhi_x2_nbis</t>
  </si>
  <si>
    <t xml:space="preserve">lbhi_on2_nbis</t>
  </si>
  <si>
    <t xml:space="preserve">lbhi_ai9_nbis</t>
  </si>
  <si>
    <t xml:space="preserve">lbhi_x9_nbis</t>
  </si>
  <si>
    <t xml:space="preserve">lbhi_on9_nbis</t>
  </si>
  <si>
    <t xml:space="preserve">lbhi_nv9_nbis</t>
  </si>
  <si>
    <t xml:space="preserve">lbhi_site_nbis</t>
  </si>
  <si>
    <t xml:space="preserve">lbhi_main_nbis</t>
  </si>
  <si>
    <t xml:space="preserve">lbhi_ain_xai</t>
  </si>
  <si>
    <t xml:space="preserve">lbhi_xn_xai</t>
  </si>
  <si>
    <t xml:space="preserve">lbhi_onn_xai</t>
  </si>
  <si>
    <t xml:space="preserve">lbhi_nvn_xai</t>
  </si>
  <si>
    <t xml:space="preserve">lbhi_siten_xai</t>
  </si>
  <si>
    <t xml:space="preserve">lbhi_ain_ant</t>
  </si>
  <si>
    <t xml:space="preserve">lbhi_xn_ant</t>
  </si>
  <si>
    <t xml:space="preserve">lbhi_onn_ant</t>
  </si>
  <si>
    <t xml:space="preserve">lbhi_nvn_ant</t>
  </si>
  <si>
    <t xml:space="preserve">lbhi_siten_ant</t>
  </si>
  <si>
    <t xml:space="preserve">lbhi_S_x2</t>
  </si>
  <si>
    <t xml:space="preserve">lbhi_S_on2</t>
  </si>
  <si>
    <t xml:space="preserve">lbhi_S_x9</t>
  </si>
  <si>
    <t xml:space="preserve">lbhi_S_on9</t>
  </si>
  <si>
    <t xml:space="preserve">lbhi_S_site</t>
  </si>
  <si>
    <t xml:space="preserve">lbhi_S_main</t>
  </si>
  <si>
    <t xml:space="preserve">lbhi_S_nv9</t>
  </si>
  <si>
    <t xml:space="preserve">lbhi_S_nvn</t>
  </si>
  <si>
    <t xml:space="preserve">lbhi_S_xn</t>
  </si>
  <si>
    <t xml:space="preserve">lbhi_S_onn</t>
  </si>
  <si>
    <t xml:space="preserve">lbhi_S_siten</t>
  </si>
  <si>
    <r>
      <rPr>
        <b val="true"/>
        <sz val="11"/>
        <rFont val="Noto Sans CJK SC"/>
        <family val="2"/>
      </rPr>
      <t xml:space="preserve">■ 情況：上線延遲 低（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個月）</t>
    </r>
  </si>
  <si>
    <t xml:space="preserve">lglo_ai2_msft</t>
  </si>
  <si>
    <t xml:space="preserve">lglo_x2_msft</t>
  </si>
  <si>
    <t xml:space="preserve">lglo_on2_msft</t>
  </si>
  <si>
    <t xml:space="preserve">lglo_ai9_msft</t>
  </si>
  <si>
    <t xml:space="preserve">lglo_x9_msft</t>
  </si>
  <si>
    <t xml:space="preserve">lglo_on9_msft</t>
  </si>
  <si>
    <t xml:space="preserve">lglo_nv9_msft</t>
  </si>
  <si>
    <t xml:space="preserve">lglo_site_msft</t>
  </si>
  <si>
    <t xml:space="preserve">lglo_main_msft</t>
  </si>
  <si>
    <t xml:space="preserve">lglo_ai2_googl</t>
  </si>
  <si>
    <t xml:space="preserve">lglo_x2_googl</t>
  </si>
  <si>
    <t xml:space="preserve">lglo_on2_googl</t>
  </si>
  <si>
    <t xml:space="preserve">lglo_ai9_googl</t>
  </si>
  <si>
    <t xml:space="preserve">lglo_x9_googl</t>
  </si>
  <si>
    <t xml:space="preserve">lglo_on9_googl</t>
  </si>
  <si>
    <t xml:space="preserve">lglo_nv9_googl</t>
  </si>
  <si>
    <t xml:space="preserve">lglo_site_googl</t>
  </si>
  <si>
    <t xml:space="preserve">lglo_main_googl</t>
  </si>
  <si>
    <t xml:space="preserve">lglo_ai2_amzn</t>
  </si>
  <si>
    <t xml:space="preserve">lglo_x2_amzn</t>
  </si>
  <si>
    <t xml:space="preserve">lglo_on2_amzn</t>
  </si>
  <si>
    <t xml:space="preserve">lglo_ai9_amzn</t>
  </si>
  <si>
    <t xml:space="preserve">lglo_x9_amzn</t>
  </si>
  <si>
    <t xml:space="preserve">lglo_on9_amzn</t>
  </si>
  <si>
    <t xml:space="preserve">lglo_nv9_amzn</t>
  </si>
  <si>
    <t xml:space="preserve">lglo_site_amzn</t>
  </si>
  <si>
    <t xml:space="preserve">lglo_main_amzn</t>
  </si>
  <si>
    <t xml:space="preserve">lglo_ai2_meta</t>
  </si>
  <si>
    <t xml:space="preserve">lglo_x2_meta</t>
  </si>
  <si>
    <t xml:space="preserve">lglo_on2_meta</t>
  </si>
  <si>
    <t xml:space="preserve">lglo_ai9_meta</t>
  </si>
  <si>
    <t xml:space="preserve">lglo_x9_meta</t>
  </si>
  <si>
    <t xml:space="preserve">lglo_on9_meta</t>
  </si>
  <si>
    <t xml:space="preserve">lglo_nv9_meta</t>
  </si>
  <si>
    <t xml:space="preserve">lglo_site_meta</t>
  </si>
  <si>
    <t xml:space="preserve">lglo_main_meta</t>
  </si>
  <si>
    <t xml:space="preserve">lglo_ai2_orcl</t>
  </si>
  <si>
    <t xml:space="preserve">lglo_x2_orcl</t>
  </si>
  <si>
    <t xml:space="preserve">lglo_on2_orcl</t>
  </si>
  <si>
    <t xml:space="preserve">lglo_ai9_orcl</t>
  </si>
  <si>
    <t xml:space="preserve">lglo_x9_orcl</t>
  </si>
  <si>
    <t xml:space="preserve">lglo_on9_orcl</t>
  </si>
  <si>
    <t xml:space="preserve">lglo_nv9_orcl</t>
  </si>
  <si>
    <t xml:space="preserve">lglo_site_orcl</t>
  </si>
  <si>
    <t xml:space="preserve">lglo_main_orcl</t>
  </si>
  <si>
    <t xml:space="preserve">lglo_ai2_crwv</t>
  </si>
  <si>
    <t xml:space="preserve">lglo_x2_crwv</t>
  </si>
  <si>
    <t xml:space="preserve">lglo_on2_crwv</t>
  </si>
  <si>
    <t xml:space="preserve">lglo_ai9_crwv</t>
  </si>
  <si>
    <t xml:space="preserve">lglo_x9_crwv</t>
  </si>
  <si>
    <t xml:space="preserve">lglo_on9_crwv</t>
  </si>
  <si>
    <t xml:space="preserve">lglo_nv9_crwv</t>
  </si>
  <si>
    <t xml:space="preserve">lglo_site_crwv</t>
  </si>
  <si>
    <t xml:space="preserve">lglo_main_crwv</t>
  </si>
  <si>
    <t xml:space="preserve">lglo_ai2_nbis</t>
  </si>
  <si>
    <t xml:space="preserve">lglo_x2_nbis</t>
  </si>
  <si>
    <t xml:space="preserve">lglo_on2_nbis</t>
  </si>
  <si>
    <t xml:space="preserve">lglo_ai9_nbis</t>
  </si>
  <si>
    <t xml:space="preserve">lglo_x9_nbis</t>
  </si>
  <si>
    <t xml:space="preserve">lglo_on9_nbis</t>
  </si>
  <si>
    <t xml:space="preserve">lglo_nv9_nbis</t>
  </si>
  <si>
    <t xml:space="preserve">lglo_site_nbis</t>
  </si>
  <si>
    <t xml:space="preserve">lglo_main_nbis</t>
  </si>
  <si>
    <t xml:space="preserve">lglo_ain_xai</t>
  </si>
  <si>
    <t xml:space="preserve">lglo_xn_xai</t>
  </si>
  <si>
    <t xml:space="preserve">lglo_onn_xai</t>
  </si>
  <si>
    <t xml:space="preserve">lglo_nvn_xai</t>
  </si>
  <si>
    <t xml:space="preserve">lglo_siten_xai</t>
  </si>
  <si>
    <t xml:space="preserve">lglo_ain_ant</t>
  </si>
  <si>
    <t xml:space="preserve">lglo_xn_ant</t>
  </si>
  <si>
    <t xml:space="preserve">lglo_onn_ant</t>
  </si>
  <si>
    <t xml:space="preserve">lglo_nvn_ant</t>
  </si>
  <si>
    <t xml:space="preserve">lglo_siten_ant</t>
  </si>
  <si>
    <t xml:space="preserve">lglo_S_x2</t>
  </si>
  <si>
    <t xml:space="preserve">lglo_S_on2</t>
  </si>
  <si>
    <t xml:space="preserve">lglo_S_x9</t>
  </si>
  <si>
    <t xml:space="preserve">lglo_S_on9</t>
  </si>
  <si>
    <t xml:space="preserve">lglo_S_site</t>
  </si>
  <si>
    <t xml:space="preserve">lglo_S_main</t>
  </si>
  <si>
    <t xml:space="preserve">lglo_S_nv9</t>
  </si>
  <si>
    <t xml:space="preserve">lglo_S_nvn</t>
  </si>
  <si>
    <t xml:space="preserve">lglo_S_xn</t>
  </si>
  <si>
    <t xml:space="preserve">lglo_S_onn</t>
  </si>
  <si>
    <t xml:space="preserve">lglo_S_siten</t>
  </si>
  <si>
    <r>
      <rPr>
        <b val="true"/>
        <sz val="11"/>
        <rFont val="Noto Sans CJK SC"/>
        <family val="2"/>
      </rPr>
      <t xml:space="preserve">■ 情況：上線延遲 高（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個月）</t>
    </r>
  </si>
  <si>
    <t xml:space="preserve">lghi_ai2_msft</t>
  </si>
  <si>
    <t xml:space="preserve">lghi_x2_msft</t>
  </si>
  <si>
    <t xml:space="preserve">lghi_on2_msft</t>
  </si>
  <si>
    <t xml:space="preserve">lghi_ai9_msft</t>
  </si>
  <si>
    <t xml:space="preserve">lghi_x9_msft</t>
  </si>
  <si>
    <t xml:space="preserve">lghi_on9_msft</t>
  </si>
  <si>
    <t xml:space="preserve">lghi_nv9_msft</t>
  </si>
  <si>
    <t xml:space="preserve">lghi_site_msft</t>
  </si>
  <si>
    <t xml:space="preserve">lghi_main_msft</t>
  </si>
  <si>
    <t xml:space="preserve">lghi_ai2_googl</t>
  </si>
  <si>
    <t xml:space="preserve">lghi_x2_googl</t>
  </si>
  <si>
    <t xml:space="preserve">lghi_on2_googl</t>
  </si>
  <si>
    <t xml:space="preserve">lghi_ai9_googl</t>
  </si>
  <si>
    <t xml:space="preserve">lghi_x9_googl</t>
  </si>
  <si>
    <t xml:space="preserve">lghi_on9_googl</t>
  </si>
  <si>
    <t xml:space="preserve">lghi_nv9_googl</t>
  </si>
  <si>
    <t xml:space="preserve">lghi_site_googl</t>
  </si>
  <si>
    <t xml:space="preserve">lghi_main_googl</t>
  </si>
  <si>
    <t xml:space="preserve">lghi_ai2_amzn</t>
  </si>
  <si>
    <t xml:space="preserve">lghi_x2_amzn</t>
  </si>
  <si>
    <t xml:space="preserve">lghi_on2_amzn</t>
  </si>
  <si>
    <t xml:space="preserve">lghi_ai9_amzn</t>
  </si>
  <si>
    <t xml:space="preserve">lghi_x9_amzn</t>
  </si>
  <si>
    <t xml:space="preserve">lghi_on9_amzn</t>
  </si>
  <si>
    <t xml:space="preserve">lghi_nv9_amzn</t>
  </si>
  <si>
    <t xml:space="preserve">lghi_site_amzn</t>
  </si>
  <si>
    <t xml:space="preserve">lghi_main_amzn</t>
  </si>
  <si>
    <t xml:space="preserve">lghi_ai2_meta</t>
  </si>
  <si>
    <t xml:space="preserve">lghi_x2_meta</t>
  </si>
  <si>
    <t xml:space="preserve">lghi_on2_meta</t>
  </si>
  <si>
    <t xml:space="preserve">lghi_ai9_meta</t>
  </si>
  <si>
    <t xml:space="preserve">lghi_x9_meta</t>
  </si>
  <si>
    <t xml:space="preserve">lghi_on9_meta</t>
  </si>
  <si>
    <t xml:space="preserve">lghi_nv9_meta</t>
  </si>
  <si>
    <t xml:space="preserve">lghi_site_meta</t>
  </si>
  <si>
    <t xml:space="preserve">lghi_main_meta</t>
  </si>
  <si>
    <t xml:space="preserve">lghi_ai2_orcl</t>
  </si>
  <si>
    <t xml:space="preserve">lghi_x2_orcl</t>
  </si>
  <si>
    <t xml:space="preserve">lghi_on2_orcl</t>
  </si>
  <si>
    <t xml:space="preserve">lghi_ai9_orcl</t>
  </si>
  <si>
    <t xml:space="preserve">lghi_x9_orcl</t>
  </si>
  <si>
    <t xml:space="preserve">lghi_on9_orcl</t>
  </si>
  <si>
    <t xml:space="preserve">lghi_nv9_orcl</t>
  </si>
  <si>
    <t xml:space="preserve">lghi_site_orcl</t>
  </si>
  <si>
    <t xml:space="preserve">lghi_main_orcl</t>
  </si>
  <si>
    <t xml:space="preserve">lghi_ai2_crwv</t>
  </si>
  <si>
    <t xml:space="preserve">lghi_x2_crwv</t>
  </si>
  <si>
    <t xml:space="preserve">lghi_on2_crwv</t>
  </si>
  <si>
    <t xml:space="preserve">lghi_ai9_crwv</t>
  </si>
  <si>
    <t xml:space="preserve">lghi_x9_crwv</t>
  </si>
  <si>
    <t xml:space="preserve">lghi_on9_crwv</t>
  </si>
  <si>
    <t xml:space="preserve">lghi_nv9_crwv</t>
  </si>
  <si>
    <t xml:space="preserve">lghi_site_crwv</t>
  </si>
  <si>
    <t xml:space="preserve">lghi_main_crwv</t>
  </si>
  <si>
    <t xml:space="preserve">lghi_ai2_nbis</t>
  </si>
  <si>
    <t xml:space="preserve">lghi_x2_nbis</t>
  </si>
  <si>
    <t xml:space="preserve">lghi_on2_nbis</t>
  </si>
  <si>
    <t xml:space="preserve">lghi_ai9_nbis</t>
  </si>
  <si>
    <t xml:space="preserve">lghi_x9_nbis</t>
  </si>
  <si>
    <t xml:space="preserve">lghi_on9_nbis</t>
  </si>
  <si>
    <t xml:space="preserve">lghi_nv9_nbis</t>
  </si>
  <si>
    <t xml:space="preserve">lghi_site_nbis</t>
  </si>
  <si>
    <t xml:space="preserve">lghi_main_nbis</t>
  </si>
  <si>
    <t xml:space="preserve">lghi_ain_xai</t>
  </si>
  <si>
    <t xml:space="preserve">lghi_xn_xai</t>
  </si>
  <si>
    <t xml:space="preserve">lghi_onn_xai</t>
  </si>
  <si>
    <t xml:space="preserve">lghi_nvn_xai</t>
  </si>
  <si>
    <t xml:space="preserve">lghi_siten_xai</t>
  </si>
  <si>
    <t xml:space="preserve">lghi_ain_ant</t>
  </si>
  <si>
    <t xml:space="preserve">lghi_xn_ant</t>
  </si>
  <si>
    <t xml:space="preserve">lghi_onn_ant</t>
  </si>
  <si>
    <t xml:space="preserve">lghi_nvn_ant</t>
  </si>
  <si>
    <t xml:space="preserve">lghi_siten_ant</t>
  </si>
  <si>
    <t xml:space="preserve">lghi_S_x2</t>
  </si>
  <si>
    <t xml:space="preserve">lghi_S_on2</t>
  </si>
  <si>
    <t xml:space="preserve">lghi_S_x9</t>
  </si>
  <si>
    <t xml:space="preserve">lghi_S_on9</t>
  </si>
  <si>
    <t xml:space="preserve">lghi_S_site</t>
  </si>
  <si>
    <t xml:space="preserve">lghi_S_main</t>
  </si>
  <si>
    <t xml:space="preserve">lghi_S_nv9</t>
  </si>
  <si>
    <t xml:space="preserve">lghi_S_nvn</t>
  </si>
  <si>
    <t xml:space="preserve">lghi_S_xn</t>
  </si>
  <si>
    <t xml:space="preserve">lghi_S_onn</t>
  </si>
  <si>
    <t xml:space="preserve">lghi_S_siten</t>
  </si>
  <si>
    <t xml:space="preserve">■ 情況：庫存 低</t>
  </si>
  <si>
    <t xml:space="preserve">ivlo_ai2_msft</t>
  </si>
  <si>
    <t xml:space="preserve">ivlo_x2_msft</t>
  </si>
  <si>
    <t xml:space="preserve">ivlo_on2_msft</t>
  </si>
  <si>
    <t xml:space="preserve">ivlo_ai9_msft</t>
  </si>
  <si>
    <t xml:space="preserve">ivlo_x9_msft</t>
  </si>
  <si>
    <t xml:space="preserve">ivlo_on9_msft</t>
  </si>
  <si>
    <t xml:space="preserve">ivlo_nv9_msft</t>
  </si>
  <si>
    <t xml:space="preserve">ivlo_site_msft</t>
  </si>
  <si>
    <t xml:space="preserve">ivlo_main_msft</t>
  </si>
  <si>
    <t xml:space="preserve">ivlo_ai2_googl</t>
  </si>
  <si>
    <t xml:space="preserve">ivlo_x2_googl</t>
  </si>
  <si>
    <t xml:space="preserve">ivlo_on2_googl</t>
  </si>
  <si>
    <t xml:space="preserve">ivlo_ai9_googl</t>
  </si>
  <si>
    <t xml:space="preserve">ivlo_x9_googl</t>
  </si>
  <si>
    <t xml:space="preserve">ivlo_on9_googl</t>
  </si>
  <si>
    <t xml:space="preserve">ivlo_nv9_googl</t>
  </si>
  <si>
    <t xml:space="preserve">ivlo_site_googl</t>
  </si>
  <si>
    <t xml:space="preserve">ivlo_main_googl</t>
  </si>
  <si>
    <t xml:space="preserve">ivlo_ai2_amzn</t>
  </si>
  <si>
    <t xml:space="preserve">ivlo_x2_amzn</t>
  </si>
  <si>
    <t xml:space="preserve">ivlo_on2_amzn</t>
  </si>
  <si>
    <t xml:space="preserve">ivlo_ai9_amzn</t>
  </si>
  <si>
    <t xml:space="preserve">ivlo_x9_amzn</t>
  </si>
  <si>
    <t xml:space="preserve">ivlo_on9_amzn</t>
  </si>
  <si>
    <t xml:space="preserve">ivlo_nv9_amzn</t>
  </si>
  <si>
    <t xml:space="preserve">ivlo_site_amzn</t>
  </si>
  <si>
    <t xml:space="preserve">ivlo_main_amzn</t>
  </si>
  <si>
    <t xml:space="preserve">ivlo_ai2_meta</t>
  </si>
  <si>
    <t xml:space="preserve">ivlo_x2_meta</t>
  </si>
  <si>
    <t xml:space="preserve">ivlo_on2_meta</t>
  </si>
  <si>
    <t xml:space="preserve">ivlo_ai9_meta</t>
  </si>
  <si>
    <t xml:space="preserve">ivlo_x9_meta</t>
  </si>
  <si>
    <t xml:space="preserve">ivlo_on9_meta</t>
  </si>
  <si>
    <t xml:space="preserve">ivlo_nv9_meta</t>
  </si>
  <si>
    <t xml:space="preserve">ivlo_site_meta</t>
  </si>
  <si>
    <t xml:space="preserve">ivlo_main_meta</t>
  </si>
  <si>
    <t xml:space="preserve">ivlo_ai2_orcl</t>
  </si>
  <si>
    <t xml:space="preserve">ivlo_x2_orcl</t>
  </si>
  <si>
    <t xml:space="preserve">ivlo_on2_orcl</t>
  </si>
  <si>
    <t xml:space="preserve">ivlo_ai9_orcl</t>
  </si>
  <si>
    <t xml:space="preserve">ivlo_x9_orcl</t>
  </si>
  <si>
    <t xml:space="preserve">ivlo_on9_orcl</t>
  </si>
  <si>
    <t xml:space="preserve">ivlo_nv9_orcl</t>
  </si>
  <si>
    <t xml:space="preserve">ivlo_site_orcl</t>
  </si>
  <si>
    <t xml:space="preserve">ivlo_main_orcl</t>
  </si>
  <si>
    <t xml:space="preserve">ivlo_ai2_crwv</t>
  </si>
  <si>
    <t xml:space="preserve">ivlo_x2_crwv</t>
  </si>
  <si>
    <t xml:space="preserve">ivlo_on2_crwv</t>
  </si>
  <si>
    <t xml:space="preserve">ivlo_ai9_crwv</t>
  </si>
  <si>
    <t xml:space="preserve">ivlo_x9_crwv</t>
  </si>
  <si>
    <t xml:space="preserve">ivlo_on9_crwv</t>
  </si>
  <si>
    <t xml:space="preserve">ivlo_nv9_crwv</t>
  </si>
  <si>
    <t xml:space="preserve">ivlo_site_crwv</t>
  </si>
  <si>
    <t xml:space="preserve">ivlo_main_crwv</t>
  </si>
  <si>
    <t xml:space="preserve">ivlo_ai2_nbis</t>
  </si>
  <si>
    <t xml:space="preserve">ivlo_x2_nbis</t>
  </si>
  <si>
    <t xml:space="preserve">ivlo_on2_nbis</t>
  </si>
  <si>
    <t xml:space="preserve">ivlo_ai9_nbis</t>
  </si>
  <si>
    <t xml:space="preserve">ivlo_x9_nbis</t>
  </si>
  <si>
    <t xml:space="preserve">ivlo_on9_nbis</t>
  </si>
  <si>
    <t xml:space="preserve">ivlo_nv9_nbis</t>
  </si>
  <si>
    <t xml:space="preserve">ivlo_site_nbis</t>
  </si>
  <si>
    <t xml:space="preserve">ivlo_main_nbis</t>
  </si>
  <si>
    <t xml:space="preserve">ivlo_ain_xai</t>
  </si>
  <si>
    <t xml:space="preserve">ivlo_xn_xai</t>
  </si>
  <si>
    <t xml:space="preserve">ivlo_onn_xai</t>
  </si>
  <si>
    <t xml:space="preserve">ivlo_nvn_xai</t>
  </si>
  <si>
    <t xml:space="preserve">ivlo_siten_xai</t>
  </si>
  <si>
    <t xml:space="preserve">ivlo_ain_ant</t>
  </si>
  <si>
    <t xml:space="preserve">ivlo_xn_ant</t>
  </si>
  <si>
    <t xml:space="preserve">ivlo_onn_ant</t>
  </si>
  <si>
    <t xml:space="preserve">ivlo_nvn_ant</t>
  </si>
  <si>
    <t xml:space="preserve">ivlo_siten_ant</t>
  </si>
  <si>
    <t xml:space="preserve">ivlo_S_x2</t>
  </si>
  <si>
    <t xml:space="preserve">ivlo_S_on2</t>
  </si>
  <si>
    <t xml:space="preserve">ivlo_S_x9</t>
  </si>
  <si>
    <t xml:space="preserve">ivlo_S_on9</t>
  </si>
  <si>
    <t xml:space="preserve">ivlo_S_site</t>
  </si>
  <si>
    <t xml:space="preserve">ivlo_S_main</t>
  </si>
  <si>
    <t xml:space="preserve">ivlo_S_nv9</t>
  </si>
  <si>
    <t xml:space="preserve">ivlo_S_nvn</t>
  </si>
  <si>
    <t xml:space="preserve">ivlo_S_xn</t>
  </si>
  <si>
    <t xml:space="preserve">ivlo_S_onn</t>
  </si>
  <si>
    <t xml:space="preserve">ivlo_S_siten</t>
  </si>
  <si>
    <t xml:space="preserve">■ 情況：庫存 高</t>
  </si>
  <si>
    <t xml:space="preserve">ivhi_ai2_msft</t>
  </si>
  <si>
    <t xml:space="preserve">ivhi_x2_msft</t>
  </si>
  <si>
    <t xml:space="preserve">ivhi_on2_msft</t>
  </si>
  <si>
    <t xml:space="preserve">ivhi_ai9_msft</t>
  </si>
  <si>
    <t xml:space="preserve">ivhi_x9_msft</t>
  </si>
  <si>
    <t xml:space="preserve">ivhi_on9_msft</t>
  </si>
  <si>
    <t xml:space="preserve">ivhi_nv9_msft</t>
  </si>
  <si>
    <t xml:space="preserve">ivhi_site_msft</t>
  </si>
  <si>
    <t xml:space="preserve">ivhi_main_msft</t>
  </si>
  <si>
    <t xml:space="preserve">ivhi_ai2_googl</t>
  </si>
  <si>
    <t xml:space="preserve">ivhi_x2_googl</t>
  </si>
  <si>
    <t xml:space="preserve">ivhi_on2_googl</t>
  </si>
  <si>
    <t xml:space="preserve">ivhi_ai9_googl</t>
  </si>
  <si>
    <t xml:space="preserve">ivhi_x9_googl</t>
  </si>
  <si>
    <t xml:space="preserve">ivhi_on9_googl</t>
  </si>
  <si>
    <t xml:space="preserve">ivhi_nv9_googl</t>
  </si>
  <si>
    <t xml:space="preserve">ivhi_site_googl</t>
  </si>
  <si>
    <t xml:space="preserve">ivhi_main_googl</t>
  </si>
  <si>
    <t xml:space="preserve">ivhi_ai2_amzn</t>
  </si>
  <si>
    <t xml:space="preserve">ivhi_x2_amzn</t>
  </si>
  <si>
    <t xml:space="preserve">ivhi_on2_amzn</t>
  </si>
  <si>
    <t xml:space="preserve">ivhi_ai9_amzn</t>
  </si>
  <si>
    <t xml:space="preserve">ivhi_x9_amzn</t>
  </si>
  <si>
    <t xml:space="preserve">ivhi_on9_amzn</t>
  </si>
  <si>
    <t xml:space="preserve">ivhi_nv9_amzn</t>
  </si>
  <si>
    <t xml:space="preserve">ivhi_site_amzn</t>
  </si>
  <si>
    <t xml:space="preserve">ivhi_main_amzn</t>
  </si>
  <si>
    <t xml:space="preserve">ivhi_ai2_meta</t>
  </si>
  <si>
    <t xml:space="preserve">ivhi_x2_meta</t>
  </si>
  <si>
    <t xml:space="preserve">ivhi_on2_meta</t>
  </si>
  <si>
    <t xml:space="preserve">ivhi_ai9_meta</t>
  </si>
  <si>
    <t xml:space="preserve">ivhi_x9_meta</t>
  </si>
  <si>
    <t xml:space="preserve">ivhi_on9_meta</t>
  </si>
  <si>
    <t xml:space="preserve">ivhi_nv9_meta</t>
  </si>
  <si>
    <t xml:space="preserve">ivhi_site_meta</t>
  </si>
  <si>
    <t xml:space="preserve">ivhi_main_meta</t>
  </si>
  <si>
    <t xml:space="preserve">ivhi_ai2_orcl</t>
  </si>
  <si>
    <t xml:space="preserve">ivhi_x2_orcl</t>
  </si>
  <si>
    <t xml:space="preserve">ivhi_on2_orcl</t>
  </si>
  <si>
    <t xml:space="preserve">ivhi_ai9_orcl</t>
  </si>
  <si>
    <t xml:space="preserve">ivhi_x9_orcl</t>
  </si>
  <si>
    <t xml:space="preserve">ivhi_on9_orcl</t>
  </si>
  <si>
    <t xml:space="preserve">ivhi_nv9_orcl</t>
  </si>
  <si>
    <t xml:space="preserve">ivhi_site_orcl</t>
  </si>
  <si>
    <t xml:space="preserve">ivhi_main_orcl</t>
  </si>
  <si>
    <t xml:space="preserve">ivhi_ai2_crwv</t>
  </si>
  <si>
    <t xml:space="preserve">ivhi_x2_crwv</t>
  </si>
  <si>
    <t xml:space="preserve">ivhi_on2_crwv</t>
  </si>
  <si>
    <t xml:space="preserve">ivhi_ai9_crwv</t>
  </si>
  <si>
    <t xml:space="preserve">ivhi_x9_crwv</t>
  </si>
  <si>
    <t xml:space="preserve">ivhi_on9_crwv</t>
  </si>
  <si>
    <t xml:space="preserve">ivhi_nv9_crwv</t>
  </si>
  <si>
    <t xml:space="preserve">ivhi_site_crwv</t>
  </si>
  <si>
    <t xml:space="preserve">ivhi_main_crwv</t>
  </si>
  <si>
    <t xml:space="preserve">ivhi_ai2_nbis</t>
  </si>
  <si>
    <t xml:space="preserve">ivhi_x2_nbis</t>
  </si>
  <si>
    <t xml:space="preserve">ivhi_on2_nbis</t>
  </si>
  <si>
    <t xml:space="preserve">ivhi_ai9_nbis</t>
  </si>
  <si>
    <t xml:space="preserve">ivhi_x9_nbis</t>
  </si>
  <si>
    <t xml:space="preserve">ivhi_on9_nbis</t>
  </si>
  <si>
    <t xml:space="preserve">ivhi_nv9_nbis</t>
  </si>
  <si>
    <t xml:space="preserve">ivhi_site_nbis</t>
  </si>
  <si>
    <t xml:space="preserve">ivhi_main_nbis</t>
  </si>
  <si>
    <t xml:space="preserve">ivhi_ain_xai</t>
  </si>
  <si>
    <t xml:space="preserve">ivhi_xn_xai</t>
  </si>
  <si>
    <t xml:space="preserve">ivhi_onn_xai</t>
  </si>
  <si>
    <t xml:space="preserve">ivhi_nvn_xai</t>
  </si>
  <si>
    <t xml:space="preserve">ivhi_siten_xai</t>
  </si>
  <si>
    <t xml:space="preserve">ivhi_ain_ant</t>
  </si>
  <si>
    <t xml:space="preserve">ivhi_xn_ant</t>
  </si>
  <si>
    <t xml:space="preserve">ivhi_onn_ant</t>
  </si>
  <si>
    <t xml:space="preserve">ivhi_nvn_ant</t>
  </si>
  <si>
    <t xml:space="preserve">ivhi_siten_ant</t>
  </si>
  <si>
    <t xml:space="preserve">ivhi_S_x2</t>
  </si>
  <si>
    <t xml:space="preserve">ivhi_S_on2</t>
  </si>
  <si>
    <t xml:space="preserve">ivhi_S_x9</t>
  </si>
  <si>
    <t xml:space="preserve">ivhi_S_on9</t>
  </si>
  <si>
    <t xml:space="preserve">ivhi_S_site</t>
  </si>
  <si>
    <t xml:space="preserve">ivhi_S_main</t>
  </si>
  <si>
    <t xml:space="preserve">ivhi_S_nv9</t>
  </si>
  <si>
    <t xml:space="preserve">ivhi_S_nvn</t>
  </si>
  <si>
    <t xml:space="preserve">ivhi_S_xn</t>
  </si>
  <si>
    <t xml:space="preserve">ivhi_S_onn</t>
  </si>
  <si>
    <t xml:space="preserve">ivhi_S_siten</t>
  </si>
  <si>
    <r>
      <rPr>
        <b val="true"/>
        <sz val="11"/>
        <rFont val="Cambria"/>
        <family val="0"/>
        <charset val="1"/>
      </rPr>
      <t xml:space="preserve">Bridge — Wattonomics </t>
    </r>
    <r>
      <rPr>
        <b val="true"/>
        <sz val="11"/>
        <rFont val="Noto Sans CJK SC"/>
        <family val="2"/>
      </rPr>
      <t xml:space="preserve">側歸因：</t>
    </r>
    <r>
      <rPr>
        <b val="true"/>
        <sz val="11"/>
        <rFont val="Cambria"/>
        <family val="0"/>
        <charset val="1"/>
      </rPr>
      <t xml:space="preserve">Siliconomics </t>
    </r>
    <r>
      <rPr>
        <b val="true"/>
        <sz val="11"/>
        <rFont val="Noto Sans CJK SC"/>
        <family val="2"/>
      </rPr>
      <t xml:space="preserve">推得上線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r1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vs Wattonomics </t>
    </r>
    <r>
      <rPr>
        <b val="true"/>
        <sz val="11"/>
        <rFont val="Noto Sans CJK SC"/>
        <family val="2"/>
      </rPr>
      <t xml:space="preserve">主路徑（</t>
    </r>
    <r>
      <rPr>
        <b val="true"/>
        <sz val="11"/>
        <rFont val="Cambria"/>
        <family val="0"/>
        <charset val="1"/>
      </rPr>
      <t xml:space="preserve">v0.1.7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），逐項列 </t>
    </r>
    <r>
      <rPr>
        <b val="true"/>
        <sz val="11"/>
        <rFont val="Cambria"/>
        <family val="0"/>
        <charset val="1"/>
      </rPr>
      <t xml:space="preserve">Wattonomics </t>
    </r>
    <r>
      <rPr>
        <b val="true"/>
        <sz val="11"/>
        <rFont val="Noto Sans CJK SC"/>
        <family val="2"/>
      </rPr>
      <t xml:space="preserve">側可量化的差距。正值＝</t>
    </r>
    <r>
      <rPr>
        <b val="true"/>
        <sz val="11"/>
        <rFont val="Cambria"/>
        <family val="0"/>
        <charset val="1"/>
      </rPr>
      <t xml:space="preserve">Wattonomics </t>
    </r>
    <r>
      <rPr>
        <b val="true"/>
        <sz val="11"/>
        <rFont val="Noto Sans CJK SC"/>
        <family val="2"/>
      </rPr>
      <t xml:space="preserve">應加的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。</t>
    </r>
  </si>
  <si>
    <t xml:space="preserve">列</t>
  </si>
  <si>
    <t xml:space="preserve">說明</t>
  </si>
  <si>
    <t xml:space="preserve">一、起點</t>
  </si>
  <si>
    <t xml:space="preserve">s8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</si>
  <si>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推得淨新增上線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</si>
  <si>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 Bridge b8</t>
    </r>
    <r>
      <rPr>
        <sz val="11"/>
        <color theme="1"/>
        <rFont val="Noto Sans CJK SC"/>
        <family val="2"/>
      </rPr>
      <t xml:space="preserve">（已扣 ②③④）</t>
    </r>
  </si>
  <si>
    <t xml:space="preserve">w0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</si>
  <si>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主路徑年新增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</si>
  <si>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列</t>
    </r>
  </si>
  <si>
    <t xml:space="preserve">r0</t>
  </si>
  <si>
    <r>
      <rPr>
        <sz val="11"/>
        <color theme="1"/>
        <rFont val="Noto Sans CJK SC"/>
        <family val="2"/>
      </rPr>
      <t xml:space="preserve">殘差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側交來）</t>
    </r>
  </si>
  <si>
    <t xml:space="preserve">s8 − w0</t>
  </si>
  <si>
    <r>
      <rPr>
        <b val="true"/>
        <sz val="11"/>
        <rFont val="Noto Sans CJK SC"/>
        <family val="2"/>
      </rPr>
      <t xml:space="preserve">二、</t>
    </r>
    <r>
      <rPr>
        <b val="true"/>
        <sz val="11"/>
        <rFont val="Cambria"/>
        <family val="0"/>
        <charset val="1"/>
      </rPr>
      <t xml:space="preserve">Wattonomics </t>
    </r>
    <r>
      <rPr>
        <b val="true"/>
        <sz val="11"/>
        <rFont val="Noto Sans CJK SC"/>
        <family val="2"/>
      </rPr>
      <t xml:space="preserve">側逐項（</t>
    </r>
    <r>
      <rPr>
        <b val="true"/>
        <sz val="11"/>
        <rFont val="Cambria"/>
        <family val="0"/>
        <charset val="1"/>
      </rPr>
      <t xml:space="preserve">Compare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1–4 </t>
    </r>
    <r>
      <rPr>
        <b val="true"/>
        <sz val="11"/>
        <rFont val="Noto Sans CJK SC"/>
        <family val="2"/>
      </rPr>
      <t xml:space="preserve">點＋覆蓋）</t>
    </r>
  </si>
  <si>
    <t xml:space="preserve">d1</t>
  </si>
  <si>
    <r>
      <rPr>
        <sz val="11"/>
        <color theme="1"/>
        <rFont val="Noto Sans CJK SC"/>
        <family val="2"/>
      </rPr>
      <t xml:space="preserve">【覆蓋】七家主路徑一律改甲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（付款年，</t>
    </r>
    <r>
      <rPr>
        <sz val="11"/>
        <color theme="1"/>
        <rFont val="Calibri"/>
        <family val="2"/>
        <charset val="1"/>
      </rPr>
      <t xml:space="preserve">In Y2 </t>
    </r>
    <r>
      <rPr>
        <sz val="11"/>
        <color theme="1"/>
        <rFont val="Noto Sans CJK SC"/>
        <family val="2"/>
      </rPr>
      <t xml:space="preserve">讀法）：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全部七家＝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觀察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的量；</t>
    </r>
    <r>
      <rPr>
        <sz val="11"/>
        <color theme="1"/>
        <rFont val="Calibri"/>
        <family val="2"/>
        <charset val="1"/>
      </rPr>
      <t xml:space="preserve">2027 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</t>
    </r>
  </si>
  <si>
    <r>
      <rPr>
        <sz val="11"/>
        <color theme="1"/>
        <rFont val="Calibri"/>
        <family val="2"/>
        <charset val="1"/>
      </rPr>
      <t xml:space="preserve">Σ</t>
    </r>
    <r>
      <rPr>
        <sz val="11"/>
        <color theme="1"/>
        <rFont val="Noto Sans CJK SC"/>
        <family val="2"/>
      </rPr>
      <t xml:space="preserve">七家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（付款年；缺值以站點代入）− </t>
    </r>
    <r>
      <rPr>
        <sz val="11"/>
        <color theme="1"/>
        <rFont val="Calibri"/>
        <family val="2"/>
        <charset val="1"/>
      </rPr>
      <t xml:space="preserve">Σ</t>
    </r>
    <r>
      <rPr>
        <sz val="11"/>
        <color theme="1"/>
        <rFont val="Noto Sans CJK SC"/>
        <family val="2"/>
      </rPr>
      <t xml:space="preserve">七家 </t>
    </r>
    <r>
      <rPr>
        <sz val="11"/>
        <color theme="1"/>
        <rFont val="Calibri"/>
        <family val="2"/>
        <charset val="1"/>
      </rPr>
      <t xml:space="preserve">v0.1.7 </t>
    </r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空白者仍為站點）</t>
    </r>
  </si>
  <si>
    <t xml:space="preserve">d2</t>
  </si>
  <si>
    <r>
      <rPr>
        <sz val="11"/>
        <color theme="1"/>
        <rFont val="Noto Sans CJK SC"/>
        <family val="2"/>
      </rPr>
      <t xml:space="preserve">【第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 出貨年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上線年】七家甲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付款年 → 上線年</t>
    </r>
  </si>
  <si>
    <r>
      <rPr>
        <sz val="11"/>
        <color theme="1"/>
        <rFont val="Calibri"/>
        <family val="2"/>
        <charset val="1"/>
      </rPr>
      <t xml:space="preserve">GL01-08 </t>
    </r>
    <r>
      <rPr>
        <sz val="11"/>
        <color theme="1"/>
        <rFont val="Noto Sans CJK SC"/>
        <family val="2"/>
      </rPr>
      <t xml:space="preserve">預設：甲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資本支出以付款年當上線年；以 </t>
    </r>
    <r>
      <rPr>
        <sz val="11"/>
        <color theme="1"/>
        <rFont val="Calibri"/>
        <family val="2"/>
        <charset val="1"/>
      </rPr>
      <t xml:space="preserve">Siliconomics ②③ </t>
    </r>
    <r>
      <rPr>
        <sz val="11"/>
        <color theme="1"/>
        <rFont val="Noto Sans CJK SC"/>
        <family val="2"/>
      </rPr>
      <t xml:space="preserve">同參數平移：</t>
    </r>
    <r>
      <rPr>
        <sz val="11"/>
        <color theme="1"/>
        <rFont val="Calibri"/>
        <family val="2"/>
        <charset val="1"/>
      </rPr>
      <t xml:space="preserve">Σ</t>
    </r>
    <r>
      <rPr>
        <sz val="11"/>
        <color theme="1"/>
        <rFont val="Noto Sans CJK SC"/>
        <family val="2"/>
      </rPr>
      <t xml:space="preserve">上線年 − </t>
    </r>
    <r>
      <rPr>
        <sz val="11"/>
        <color theme="1"/>
        <rFont val="Calibri"/>
        <family val="2"/>
        <charset val="1"/>
      </rPr>
      <t xml:space="preserve">Σ</t>
    </r>
    <r>
      <rPr>
        <sz val="11"/>
        <color theme="1"/>
        <rFont val="Noto Sans CJK SC"/>
        <family val="2"/>
      </rPr>
      <t xml:space="preserve">付款年（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</si>
  <si>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</si>
  <si>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d3</t>
  </si>
  <si>
    <r>
      <rPr>
        <sz val="11"/>
        <color theme="1"/>
        <rFont val="Noto Sans CJK SC"/>
        <family val="2"/>
      </rPr>
      <t xml:space="preserve">【覆蓋】七家資本支出改讀個股模型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v0.1.8 </t>
    </r>
    <r>
      <rPr>
        <sz val="11"/>
        <color theme="1"/>
        <rFont val="Noto Sans CJK SC"/>
        <family val="2"/>
      </rPr>
      <t xml:space="preserve">規劃）</t>
    </r>
  </si>
  <si>
    <r>
      <rPr>
        <sz val="11"/>
        <color theme="1"/>
        <rFont val="Calibri"/>
        <family val="2"/>
        <charset val="1"/>
      </rPr>
      <t xml:space="preserve">Σ</t>
    </r>
    <r>
      <rPr>
        <sz val="11"/>
        <color theme="1"/>
        <rFont val="Noto Sans CJK SC"/>
        <family val="2"/>
      </rPr>
      <t xml:space="preserve">上線年（</t>
    </r>
    <r>
      <rPr>
        <sz val="11"/>
        <color theme="1"/>
        <rFont val="Calibri"/>
        <family val="2"/>
        <charset val="1"/>
      </rPr>
      <t xml:space="preserve">Y9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Σ</t>
    </r>
    <r>
      <rPr>
        <sz val="11"/>
        <color theme="1"/>
        <rFont val="Noto Sans CJK SC"/>
        <family val="2"/>
      </rPr>
      <t xml:space="preserve">上線年（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</si>
  <si>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d4</t>
  </si>
  <si>
    <r>
      <rPr>
        <sz val="11"/>
        <color theme="1"/>
        <rFont val="Noto Sans CJK SC"/>
        <family val="2"/>
      </rPr>
      <t xml:space="preserve">【覆蓋】非七家：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自建改讀個股模型資本支出（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不換，</t>
    </r>
    <r>
      <rPr>
        <sz val="11"/>
        <color theme="1"/>
        <rFont val="Calibri"/>
        <family val="2"/>
        <charset val="1"/>
      </rPr>
      <t xml:space="preserve">GL01-31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</si>
  <si>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</t>
    </r>
    <r>
      <rPr>
        <sz val="11"/>
        <color theme="1"/>
        <rFont val="Noto Sans CJK SC"/>
        <family val="2"/>
      </rPr>
      <t xml:space="preserve">模型推得（上線年；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無模型值時假設持平、不平移）− </t>
    </r>
    <r>
      <rPr>
        <sz val="11"/>
        <color theme="1"/>
        <rFont val="Calibri"/>
        <family val="2"/>
        <charset val="1"/>
      </rPr>
      <t xml:space="preserve">Σ</t>
    </r>
    <r>
      <rPr>
        <sz val="11"/>
        <color theme="1"/>
        <rFont val="Noto Sans CJK SC"/>
        <family val="2"/>
      </rPr>
      <t xml:space="preserve">站點；每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世代加權成本</t>
    </r>
  </si>
  <si>
    <t xml:space="preserve">d5</t>
  </si>
  <si>
    <r>
      <rPr>
        <sz val="11"/>
        <color theme="1"/>
        <rFont val="Noto Sans CJK SC"/>
        <family val="2"/>
      </rPr>
      <t xml:space="preserve">【覆蓋】「其他（企業、學研）」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起持平 → 改隨市場成長</t>
    </r>
  </si>
  <si>
    <r>
      <rPr>
        <sz val="11"/>
        <color theme="1"/>
        <rFont val="Noto Sans CJK SC"/>
        <family val="2"/>
      </rPr>
      <t xml:space="preserve">其他</t>
    </r>
    <r>
      <rPr>
        <sz val="11"/>
        <color theme="1"/>
        <rFont val="Calibri"/>
        <family val="2"/>
        <charset val="1"/>
      </rPr>
      <t xml:space="preserve">_t−1 ×</t>
    </r>
    <r>
      <rPr>
        <sz val="11"/>
        <color theme="1"/>
        <rFont val="Noto Sans CJK SC"/>
        <family val="2"/>
      </rPr>
      <t xml:space="preserve">（主路徑年底 </t>
    </r>
    <r>
      <rPr>
        <sz val="11"/>
        <color theme="1"/>
        <rFont val="Calibri"/>
        <family val="2"/>
        <charset val="1"/>
      </rPr>
      <t xml:space="preserve">t ÷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t−1 − 1</t>
    </r>
    <r>
      <rPr>
        <sz val="11"/>
        <color theme="1"/>
        <rFont val="Noto Sans CJK SC"/>
        <family val="2"/>
      </rPr>
      <t xml:space="preserve">），逐年累積</t>
    </r>
  </si>
  <si>
    <t xml:space="preserve">Analogy</t>
  </si>
  <si>
    <t xml:space="preserve">d6</t>
  </si>
  <si>
    <r>
      <rPr>
        <sz val="11"/>
        <color theme="1"/>
        <rFont val="Noto Sans CJK SC"/>
        <family val="2"/>
      </rPr>
      <t xml:space="preserve">【第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點 成本等值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實體】</t>
    </r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側</t>
    </r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</si>
  <si>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已用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持有比換算實體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Siliconomics ① </t>
    </r>
    <r>
      <rPr>
        <sz val="11"/>
        <color theme="1"/>
        <rFont val="Noto Sans CJK SC"/>
        <family val="2"/>
      </rPr>
      <t xml:space="preserve">同法），無需調整</t>
    </r>
  </si>
  <si>
    <t xml:space="preserve">—</t>
  </si>
  <si>
    <t xml:space="preserve">d7</t>
  </si>
  <si>
    <r>
      <rPr>
        <sz val="11"/>
        <color theme="1"/>
        <rFont val="Noto Sans CJK SC"/>
        <family val="2"/>
      </rPr>
      <t xml:space="preserve">【第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點 中國】</t>
    </r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中國年新增（揭露，不調整）</t>
    </r>
  </si>
  <si>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占比；見下方「中國」節</t>
    </r>
  </si>
  <si>
    <t xml:space="preserve">wadj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</si>
  <si>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調整後年新增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</si>
  <si>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Calibri"/>
        <family val="2"/>
        <charset val="1"/>
      </rPr>
      <t xml:space="preserve">w0 + d1 + d2 + d3 + d4 + d5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d7 </t>
    </r>
    <r>
      <rPr>
        <sz val="11"/>
        <color theme="1"/>
        <rFont val="Noto Sans CJK SC"/>
        <family val="2"/>
      </rPr>
      <t xml:space="preserve">不加）</t>
    </r>
  </si>
  <si>
    <t xml:space="preserve">三、比較口徑對齊（兩邊都不改模型）</t>
  </si>
  <si>
    <t xml:space="preserve">e1</t>
  </si>
  <si>
    <r>
      <rPr>
        <sz val="11"/>
        <color theme="1"/>
        <rFont val="Noto Sans CJK SC"/>
        <family val="2"/>
      </rPr>
      <t xml:space="preserve">【第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點附帶】汰換：</t>
    </r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不建模汰換（主路徑實為毛額）→ 加回 </t>
    </r>
    <r>
      <rPr>
        <sz val="11"/>
        <color theme="1"/>
        <rFont val="Calibri"/>
        <family val="2"/>
        <charset val="1"/>
      </rPr>
      <t xml:space="preserve">Siliconomics ④</t>
    </r>
  </si>
  <si>
    <t xml:space="preserve">−④；兩邊改以毛額比較</t>
  </si>
  <si>
    <t xml:space="preserve">sg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</si>
  <si>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推得上線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（毛額，與 </t>
    </r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同口徑）</t>
    </r>
  </si>
  <si>
    <t xml:space="preserve">s8 + e1</t>
  </si>
  <si>
    <t xml:space="preserve">四、殘差與判讀</t>
  </si>
  <si>
    <t xml:space="preserve">rf</t>
  </si>
  <si>
    <t xml:space="preserve">殘差（調整後）</t>
  </si>
  <si>
    <t xml:space="preserve">sg − wadj</t>
  </si>
  <si>
    <t xml:space="preserve">ra</t>
  </si>
  <si>
    <r>
      <rPr>
        <sz val="11"/>
        <color theme="1"/>
        <rFont val="Noto Sans CJK SC"/>
        <family val="2"/>
      </rPr>
      <t xml:space="preserve">比值：</t>
    </r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÷ Siliconomics</t>
    </r>
    <r>
      <rPr>
        <sz val="11"/>
        <color theme="1"/>
        <rFont val="Noto Sans CJK SC"/>
        <family val="2"/>
      </rPr>
      <t xml:space="preserve">（毛額）</t>
    </r>
  </si>
  <si>
    <t xml:space="preserve">rb</t>
  </si>
  <si>
    <r>
      <rPr>
        <sz val="11"/>
        <color theme="1"/>
        <rFont val="Noto Sans CJK SC"/>
        <family val="2"/>
      </rPr>
      <t xml:space="preserve">比值：</t>
    </r>
    <r>
      <rPr>
        <sz val="11"/>
        <color theme="1"/>
        <rFont val="Calibri"/>
        <family val="2"/>
        <charset val="1"/>
      </rPr>
      <t xml:space="preserve">Wattonomics v0.1.7 ÷ Siliconomics</t>
    </r>
    <r>
      <rPr>
        <sz val="11"/>
        <color theme="1"/>
        <rFont val="Noto Sans CJK SC"/>
        <family val="2"/>
      </rPr>
      <t xml:space="preserve">（毛額）</t>
    </r>
  </si>
  <si>
    <t xml:space="preserve">lb</t>
  </si>
  <si>
    <t xml:space="preserve">容許帶判定（調整後）</t>
  </si>
  <si>
    <r>
      <rPr>
        <sz val="11"/>
        <color theme="1"/>
        <rFont val="Calibri"/>
        <family val="2"/>
        <charset val="1"/>
      </rPr>
      <t xml:space="preserve">|1 − </t>
    </r>
    <r>
      <rPr>
        <sz val="11"/>
        <color theme="1"/>
        <rFont val="Noto Sans CJK SC"/>
        <family val="2"/>
      </rPr>
      <t xml:space="preserve">比值</t>
    </r>
    <r>
      <rPr>
        <sz val="11"/>
        <color theme="1"/>
        <rFont val="Calibri"/>
        <family val="2"/>
        <charset val="1"/>
      </rPr>
      <t xml:space="preserve">| ≤ tolband → </t>
    </r>
    <r>
      <rPr>
        <sz val="11"/>
        <color theme="1"/>
        <rFont val="Noto Sans CJK SC"/>
        <family val="2"/>
      </rPr>
      <t xml:space="preserve">帶內</t>
    </r>
  </si>
  <si>
    <t xml:space="preserve">km</t>
  </si>
  <si>
    <r>
      <rPr>
        <sz val="11"/>
        <color theme="1"/>
        <rFont val="Noto Sans CJK SC"/>
        <family val="2"/>
      </rPr>
      <t xml:space="preserve">七家上線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需放大倍數（其餘不變，使殘差歸零）</t>
    </r>
  </si>
  <si>
    <r>
      <rPr>
        <sz val="11"/>
        <color theme="1"/>
        <rFont val="Calibri"/>
        <family val="2"/>
        <charset val="1"/>
      </rPr>
      <t xml:space="preserve">(sg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wadj − </t>
    </r>
    <r>
      <rPr>
        <sz val="11"/>
        <color theme="1"/>
        <rFont val="Noto Sans CJK SC"/>
        <family val="2"/>
      </rPr>
      <t xml:space="preserve">七家上線年 </t>
    </r>
    <r>
      <rPr>
        <sz val="11"/>
        <color theme="1"/>
        <rFont val="Calibri"/>
        <family val="2"/>
        <charset val="1"/>
      </rPr>
      <t xml:space="preserve">Y9</t>
    </r>
    <r>
      <rPr>
        <sz val="11"/>
        <color theme="1"/>
        <rFont val="Noto Sans CJK SC"/>
        <family val="2"/>
      </rPr>
      <t xml:space="preserve">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七家上線年 </t>
    </r>
    <r>
      <rPr>
        <sz val="11"/>
        <color theme="1"/>
        <rFont val="Calibri"/>
        <family val="2"/>
        <charset val="1"/>
      </rPr>
      <t xml:space="preserve">Y9</t>
    </r>
  </si>
  <si>
    <r>
      <rPr>
        <b val="true"/>
        <sz val="11"/>
        <rFont val="Noto Sans CJK SC"/>
        <family val="2"/>
      </rPr>
      <t xml:space="preserve">五、敏感度（一次動一個輸入；殘差＝</t>
    </r>
    <r>
      <rPr>
        <b val="true"/>
        <sz val="11"/>
        <rFont val="Cambria"/>
        <family val="0"/>
        <charset val="1"/>
      </rPr>
      <t xml:space="preserve">sg − wadj</t>
    </r>
    <r>
      <rPr>
        <b val="true"/>
        <sz val="11"/>
        <rFont val="Noto Sans CJK SC"/>
        <family val="2"/>
      </rPr>
      <t xml:space="preserve">）</t>
    </r>
  </si>
  <si>
    <t xml:space="preserve">情況</t>
  </si>
  <si>
    <r>
      <rPr>
        <b val="true"/>
        <sz val="11"/>
        <rFont val="Noto Sans CJK SC"/>
        <family val="2"/>
      </rPr>
      <t xml:space="preserve">比值 </t>
    </r>
    <r>
      <rPr>
        <b val="true"/>
        <sz val="11"/>
        <rFont val="Cambria"/>
        <family val="0"/>
        <charset val="1"/>
      </rPr>
      <t xml:space="preserve">2026</t>
    </r>
  </si>
  <si>
    <r>
      <rPr>
        <b val="true"/>
        <sz val="11"/>
        <rFont val="Noto Sans CJK SC"/>
        <family val="2"/>
      </rPr>
      <t xml:space="preserve">比值 </t>
    </r>
    <r>
      <rPr>
        <b val="true"/>
        <sz val="11"/>
        <rFont val="Cambria"/>
        <family val="0"/>
        <charset val="1"/>
      </rPr>
      <t xml:space="preserve">2027</t>
    </r>
  </si>
  <si>
    <r>
      <rPr>
        <b val="true"/>
        <sz val="11"/>
        <rFont val="Noto Sans CJK SC"/>
        <family val="2"/>
      </rPr>
      <t xml:space="preserve">比值 </t>
    </r>
    <r>
      <rPr>
        <b val="true"/>
        <sz val="11"/>
        <rFont val="Cambria"/>
        <family val="0"/>
        <charset val="1"/>
      </rPr>
      <t xml:space="preserve">2028</t>
    </r>
  </si>
  <si>
    <r>
      <rPr>
        <b val="true"/>
        <sz val="11"/>
        <rFont val="Noto Sans CJK SC"/>
        <family val="2"/>
      </rPr>
      <t xml:space="preserve">比值 </t>
    </r>
    <r>
      <rPr>
        <b val="true"/>
        <sz val="11"/>
        <rFont val="Cambria"/>
        <family val="0"/>
        <charset val="1"/>
      </rPr>
      <t xml:space="preserve">2029</t>
    </r>
  </si>
  <si>
    <t xml:space="preserve">base</t>
  </si>
  <si>
    <t xml:space="preserve">ailo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</si>
  <si>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</t>
    </r>
  </si>
  <si>
    <t xml:space="preserve">aihi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</si>
  <si>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</t>
    </r>
  </si>
  <si>
    <t xml:space="preserve">lblo</t>
  </si>
  <si>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</si>
  <si>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lbhi</t>
  </si>
  <si>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月）</t>
    </r>
  </si>
  <si>
    <t xml:space="preserve">lglo</t>
  </si>
  <si>
    <r>
      <rPr>
        <sz val="11"/>
        <color theme="1"/>
        <rFont val="Noto Sans CJK SC"/>
        <family val="2"/>
      </rPr>
      <t xml:space="preserve">上線延遲 低（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個月）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</si>
  <si>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側同參數時，</t>
    </r>
    <r>
      <rPr>
        <sz val="11"/>
        <color theme="1"/>
        <rFont val="Calibri"/>
        <family val="2"/>
        <charset val="1"/>
      </rPr>
      <t xml:space="preserve">s8 </t>
    </r>
    <r>
      <rPr>
        <sz val="11"/>
        <color theme="1"/>
        <rFont val="Noto Sans CJK SC"/>
        <family val="2"/>
      </rPr>
      <t xml:space="preserve">亦隨之變（以 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的 ②③ 比例近似重算）</t>
    </r>
  </si>
  <si>
    <t xml:space="preserve">lghi</t>
  </si>
  <si>
    <r>
      <rPr>
        <sz val="11"/>
        <color theme="1"/>
        <rFont val="Noto Sans CJK SC"/>
        <family val="2"/>
      </rPr>
      <t xml:space="preserve">上線延遲 高（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個月）</t>
    </r>
  </si>
  <si>
    <t xml:space="preserve">ivlo</t>
  </si>
  <si>
    <t xml:space="preserve">庫存 低</t>
  </si>
  <si>
    <t xml:space="preserve">ivhi</t>
  </si>
  <si>
    <t xml:space="preserve">庫存 高</t>
  </si>
  <si>
    <r>
      <rPr>
        <sz val="11"/>
        <color theme="1"/>
        <rFont val="Noto Sans CJK SC"/>
        <family val="2"/>
      </rPr>
      <t xml:space="preserve">只做 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（不平移、不改讀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、不補非七家）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</si>
  <si>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（改甲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並平移；仍讀 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</si>
  <si>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d4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d5</t>
    </r>
    <r>
      <rPr>
        <sz val="11"/>
        <color theme="1"/>
        <rFont val="Noto Sans CJK SC"/>
        <family val="2"/>
      </rPr>
      <t xml:space="preserve">（只動七家）</t>
    </r>
  </si>
  <si>
    <r>
      <rPr>
        <b val="true"/>
        <sz val="11"/>
        <rFont val="Noto Sans CJK SC"/>
        <family val="2"/>
      </rPr>
      <t xml:space="preserve">六、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營收對照（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；只作佐證）</t>
    </r>
  </si>
  <si>
    <t xml:space="preserve">n1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</si>
  <si>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GW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 </t>
    </r>
    <r>
      <rPr>
        <sz val="11"/>
        <color theme="1"/>
        <rFont val="Calibri"/>
        <family val="2"/>
        <charset val="1"/>
      </rPr>
      <t xml:space="preserve">20.8</t>
    </r>
    <r>
      <rPr>
        <sz val="11"/>
        <color theme="1"/>
        <rFont val="Noto Sans CJK SC"/>
        <family val="2"/>
      </rPr>
      <t xml:space="preserve">）</t>
    </r>
  </si>
  <si>
    <t xml:space="preserve">nv_dc_26 ÷ nvc_gb_tk</t>
  </si>
  <si>
    <t xml:space="preserve">n1j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</si>
  <si>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GW 2026</t>
    </r>
    <r>
      <rPr>
        <sz val="11"/>
        <color theme="1"/>
        <rFont val="Noto Sans CJK SC"/>
        <family val="2"/>
      </rPr>
      <t xml:space="preserve">（黃仁勳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說法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）</t>
    </r>
  </si>
  <si>
    <t xml:space="preserve">nv_dc_26 ÷ nvc_gb_jh</t>
  </si>
  <si>
    <t xml:space="preserve">n0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</si>
  <si>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GW 2025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內容換算；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多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內容較低 → 偏低估）</t>
    </r>
  </si>
  <si>
    <t xml:space="preserve">nv_dc_25 ÷ nvc_gb_tk</t>
  </si>
  <si>
    <t xml:space="preserve">n2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</si>
  <si>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推得上線 </t>
    </r>
    <r>
      <rPr>
        <sz val="11"/>
        <color theme="1"/>
        <rFont val="Calibri"/>
        <family val="2"/>
        <charset val="1"/>
      </rPr>
      <t xml:space="preserve">GW 2026</t>
    </r>
    <r>
      <rPr>
        <sz val="11"/>
        <color theme="1"/>
        <rFont val="Noto Sans CJK SC"/>
        <family val="2"/>
      </rPr>
      <t xml:space="preserve">（同 ②③ 參數）</t>
    </r>
  </si>
  <si>
    <t xml:space="preserve">(1−lag)·n1 + lag·n0 − inv_k·(n1 − n0)</t>
  </si>
  <si>
    <t xml:space="preserve">n3</t>
  </si>
  <si>
    <r>
      <rPr>
        <sz val="11"/>
        <color theme="1"/>
        <rFont val="Calibri"/>
        <family val="2"/>
        <charset val="1"/>
      </rPr>
      <t xml:space="preserve">Wattonomics v0.1.7 2026 NVIDIA </t>
    </r>
    <r>
      <rPr>
        <sz val="11"/>
        <color theme="1"/>
        <rFont val="Noto Sans CJK SC"/>
        <family val="2"/>
      </rPr>
      <t xml:space="preserve">上線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</si>
  <si>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w0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nnv_mkt</t>
    </r>
    <r>
      <rPr>
        <sz val="11"/>
        <color theme="1"/>
        <rFont val="Noto Sans CJK SC"/>
        <family val="2"/>
      </rPr>
      <t xml:space="preserve">）</t>
    </r>
  </si>
  <si>
    <t xml:space="preserve">n4</t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</si>
  <si>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2026 NVIDIA </t>
    </r>
    <r>
      <rPr>
        <sz val="11"/>
        <color theme="1"/>
        <rFont val="Noto Sans CJK SC"/>
        <family val="2"/>
      </rPr>
      <t xml:space="preserve">上線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（七家、非七家用逐家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占比，其餘用市場占比）</t>
    </r>
  </si>
  <si>
    <r>
      <rPr>
        <sz val="11"/>
        <color theme="1"/>
        <rFont val="Calibri"/>
        <family val="2"/>
        <charset val="1"/>
      </rPr>
      <t xml:space="preserve">(w0 − Σ</t>
    </r>
    <r>
      <rPr>
        <sz val="11"/>
        <color theme="1"/>
        <rFont val="Noto Sans CJK SC"/>
        <family val="2"/>
      </rPr>
      <t xml:space="preserve">七家主路徑 − </t>
    </r>
    <r>
      <rPr>
        <sz val="11"/>
        <color theme="1"/>
        <rFont val="Calibri"/>
        <family val="2"/>
        <charset val="1"/>
      </rPr>
      <t xml:space="preserve">Σ</t>
    </r>
    <r>
      <rPr>
        <sz val="11"/>
        <color theme="1"/>
        <rFont val="Noto Sans CJK SC"/>
        <family val="2"/>
      </rPr>
      <t xml:space="preserve">非七家站點 </t>
    </r>
    <r>
      <rPr>
        <sz val="11"/>
        <color theme="1"/>
        <rFont val="Calibri"/>
        <family val="2"/>
        <charset val="1"/>
      </rPr>
      <t xml:space="preserve">+ d5)×(1 − nnv_mkt) + Σ</t>
    </r>
    <r>
      <rPr>
        <sz val="11"/>
        <color theme="1"/>
        <rFont val="Noto Sans CJK SC"/>
        <family val="2"/>
      </rPr>
      <t xml:space="preserve">七家上線（</t>
    </r>
    <r>
      <rPr>
        <sz val="11"/>
        <color theme="1"/>
        <rFont val="Calibri"/>
        <family val="2"/>
        <charset val="1"/>
      </rPr>
      <t xml:space="preserve">Y9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×(1 − nnv_</t>
    </r>
    <r>
      <rPr>
        <sz val="11"/>
        <color theme="1"/>
        <rFont val="Noto Sans CJK SC"/>
        <family val="2"/>
      </rPr>
      <t xml:space="preserve">玩家</t>
    </r>
    <r>
      <rPr>
        <sz val="11"/>
        <color theme="1"/>
        <rFont val="Calibri"/>
        <family val="2"/>
        <charset val="1"/>
      </rPr>
      <t xml:space="preserve">) + Σ</t>
    </r>
    <r>
      <rPr>
        <sz val="11"/>
        <color theme="1"/>
        <rFont val="Noto Sans CJK SC"/>
        <family val="2"/>
      </rPr>
      <t xml:space="preserve">非七家上線</t>
    </r>
    <r>
      <rPr>
        <sz val="11"/>
        <color theme="1"/>
        <rFont val="Calibri"/>
        <family val="2"/>
        <charset val="1"/>
      </rPr>
      <t xml:space="preserve">×(1 − nnv_</t>
    </r>
    <r>
      <rPr>
        <sz val="11"/>
        <color theme="1"/>
        <rFont val="Noto Sans CJK SC"/>
        <family val="2"/>
      </rPr>
      <t xml:space="preserve">玩家</t>
    </r>
    <r>
      <rPr>
        <sz val="11"/>
        <color theme="1"/>
        <rFont val="Calibri"/>
        <family val="2"/>
        <charset val="1"/>
      </rPr>
      <t xml:space="preserve">)</t>
    </r>
  </si>
  <si>
    <t xml:space="preserve">n5</t>
  </si>
  <si>
    <r>
      <rPr>
        <sz val="11"/>
        <color theme="1"/>
        <rFont val="Noto Sans CJK SC"/>
        <family val="2"/>
      </rPr>
      <t xml:space="preserve">比值 </t>
    </r>
    <r>
      <rPr>
        <sz val="11"/>
        <color theme="1"/>
        <rFont val="Calibri"/>
        <family val="2"/>
        <charset val="1"/>
      </rPr>
      <t xml:space="preserve">v0.1.7 ÷ NVIDIA </t>
    </r>
    <r>
      <rPr>
        <sz val="11"/>
        <color theme="1"/>
        <rFont val="Noto Sans CJK SC"/>
        <family val="2"/>
      </rPr>
      <t xml:space="preserve">推得</t>
    </r>
  </si>
  <si>
    <t xml:space="preserve">n3 ÷ n2</t>
  </si>
  <si>
    <t xml:space="preserve">n6</t>
  </si>
  <si>
    <r>
      <rPr>
        <sz val="11"/>
        <color theme="1"/>
        <rFont val="Noto Sans CJK SC"/>
        <family val="2"/>
      </rPr>
      <t xml:space="preserve">比值 調整後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推得</t>
    </r>
  </si>
  <si>
    <t xml:space="preserve">n4 ÷ n2</t>
  </si>
  <si>
    <r>
      <rPr>
        <b val="true"/>
        <sz val="11"/>
        <rFont val="Noto Sans CJK SC"/>
        <family val="2"/>
      </rPr>
      <t xml:space="preserve">七、中國（第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點；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）</t>
    </r>
  </si>
  <si>
    <t xml:space="preserve">c1</t>
  </si>
  <si>
    <t xml:space="preserve">Players cn_add</t>
  </si>
  <si>
    <t xml:space="preserve">c2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</si>
  <si>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可辨識中國上限：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成本等值 ＋ 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全部視為昇騰的實體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</si>
  <si>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s_b7m_2026 + s_cap_oth_2026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pgw_vr × hold_oth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</si>
  <si>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（上限）</t>
    </r>
  </si>
  <si>
    <t xml:space="preserve">c3</t>
  </si>
  <si>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中國 −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可辨識上限）</t>
    </r>
  </si>
  <si>
    <t xml:space="preserve">正值＝不含中國比較時殘差反而更大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</si>
</sst>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62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6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</row>
    <row r="4" customFormat="false" ht="17.15" hidden="false" customHeight="false" outlineLevel="0" collapsed="false">
      <c r="A4" s="1" t="s">
        <v>9</v>
      </c>
    </row>
    <row r="5" customFormat="false" ht="17.15" hidden="false" customHeight="false" outlineLevel="0" collapsed="false">
      <c r="A5" s="0" t="s">
        <v>10</v>
      </c>
      <c r="B5" s="0" t="s">
        <v>11</v>
      </c>
      <c r="C5" s="0" t="s">
        <v>12</v>
      </c>
      <c r="E5" s="3" t="n">
        <v>23.3995380420639</v>
      </c>
      <c r="G5" s="4" t="s">
        <v>13</v>
      </c>
      <c r="H5" s="4" t="s">
        <v>14</v>
      </c>
    </row>
    <row r="6" customFormat="false" ht="17.15" hidden="false" customHeight="false" outlineLevel="0" collapsed="false">
      <c r="A6" s="0" t="s">
        <v>15</v>
      </c>
      <c r="B6" s="0" t="s">
        <v>16</v>
      </c>
      <c r="C6" s="0" t="s">
        <v>12</v>
      </c>
      <c r="E6" s="3" t="n">
        <v>41.6467658260637</v>
      </c>
      <c r="G6" s="4" t="s">
        <v>13</v>
      </c>
      <c r="H6" s="4" t="s">
        <v>17</v>
      </c>
    </row>
    <row r="7" customFormat="false" ht="17.15" hidden="false" customHeight="false" outlineLevel="0" collapsed="false">
      <c r="A7" s="0" t="s">
        <v>18</v>
      </c>
      <c r="B7" s="0" t="s">
        <v>19</v>
      </c>
      <c r="C7" s="0" t="s">
        <v>12</v>
      </c>
      <c r="E7" s="3" t="n">
        <v>52.792138191248</v>
      </c>
      <c r="G7" s="4" t="s">
        <v>13</v>
      </c>
      <c r="H7" s="4" t="s">
        <v>20</v>
      </c>
    </row>
    <row r="8" customFormat="false" ht="17.15" hidden="false" customHeight="false" outlineLevel="0" collapsed="false">
      <c r="A8" s="0" t="s">
        <v>21</v>
      </c>
      <c r="B8" s="0" t="s">
        <v>22</v>
      </c>
      <c r="C8" s="0" t="s">
        <v>12</v>
      </c>
      <c r="E8" s="3" t="n">
        <v>60.1385917361115</v>
      </c>
      <c r="G8" s="4" t="s">
        <v>13</v>
      </c>
      <c r="H8" s="4" t="s">
        <v>23</v>
      </c>
    </row>
    <row r="9" customFormat="false" ht="17.15" hidden="false" customHeight="false" outlineLevel="0" collapsed="false">
      <c r="A9" s="0" t="s">
        <v>24</v>
      </c>
      <c r="B9" s="5" t="s">
        <v>25</v>
      </c>
      <c r="C9" s="0" t="s">
        <v>12</v>
      </c>
      <c r="E9" s="3" t="n">
        <v>1.63027965953421</v>
      </c>
      <c r="G9" s="4" t="s">
        <v>13</v>
      </c>
      <c r="H9" s="4" t="s">
        <v>26</v>
      </c>
    </row>
    <row r="10" customFormat="false" ht="17.15" hidden="false" customHeight="false" outlineLevel="0" collapsed="false">
      <c r="A10" s="0" t="s">
        <v>27</v>
      </c>
      <c r="B10" s="5" t="s">
        <v>28</v>
      </c>
      <c r="C10" s="0" t="s">
        <v>12</v>
      </c>
      <c r="E10" s="3" t="n">
        <v>4.6089461314069</v>
      </c>
      <c r="G10" s="4" t="s">
        <v>13</v>
      </c>
      <c r="H10" s="4" t="s">
        <v>29</v>
      </c>
    </row>
    <row r="11" customFormat="false" ht="17.15" hidden="false" customHeight="false" outlineLevel="0" collapsed="false">
      <c r="A11" s="0" t="s">
        <v>30</v>
      </c>
      <c r="B11" s="5" t="s">
        <v>31</v>
      </c>
      <c r="C11" s="0" t="s">
        <v>12</v>
      </c>
      <c r="E11" s="3" t="n">
        <v>5.60653844990702</v>
      </c>
      <c r="G11" s="4" t="s">
        <v>13</v>
      </c>
      <c r="H11" s="4" t="s">
        <v>32</v>
      </c>
    </row>
    <row r="12" customFormat="false" ht="17.15" hidden="false" customHeight="false" outlineLevel="0" collapsed="false">
      <c r="A12" s="0" t="s">
        <v>33</v>
      </c>
      <c r="B12" s="5" t="s">
        <v>34</v>
      </c>
      <c r="C12" s="0" t="s">
        <v>12</v>
      </c>
      <c r="E12" s="3" t="n">
        <v>6.44751921739307</v>
      </c>
      <c r="G12" s="4" t="s">
        <v>13</v>
      </c>
      <c r="H12" s="4" t="s">
        <v>35</v>
      </c>
    </row>
    <row r="13" customFormat="false" ht="17.15" hidden="false" customHeight="false" outlineLevel="0" collapsed="false">
      <c r="A13" s="0" t="s">
        <v>36</v>
      </c>
      <c r="B13" s="5" t="s">
        <v>37</v>
      </c>
      <c r="C13" s="0" t="s">
        <v>12</v>
      </c>
      <c r="E13" s="3" t="n">
        <v>16.1365717964169</v>
      </c>
      <c r="G13" s="4" t="s">
        <v>13</v>
      </c>
      <c r="H13" s="4" t="s">
        <v>38</v>
      </c>
    </row>
    <row r="14" customFormat="false" ht="17.15" hidden="false" customHeight="false" outlineLevel="0" collapsed="false">
      <c r="A14" s="0" t="s">
        <v>39</v>
      </c>
      <c r="B14" s="5" t="s">
        <v>40</v>
      </c>
      <c r="C14" s="0" t="s">
        <v>12</v>
      </c>
      <c r="E14" s="3" t="n">
        <v>25.0298177015981</v>
      </c>
      <c r="G14" s="4" t="s">
        <v>13</v>
      </c>
      <c r="H14" s="4" t="s">
        <v>41</v>
      </c>
    </row>
    <row r="15" customFormat="false" ht="17.15" hidden="false" customHeight="false" outlineLevel="0" collapsed="false">
      <c r="A15" s="0" t="s">
        <v>42</v>
      </c>
      <c r="B15" s="5" t="s">
        <v>43</v>
      </c>
      <c r="C15" s="0" t="s">
        <v>12</v>
      </c>
      <c r="E15" s="3" t="n">
        <v>46.2557119574706</v>
      </c>
      <c r="G15" s="4" t="s">
        <v>13</v>
      </c>
      <c r="H15" s="4" t="s">
        <v>44</v>
      </c>
    </row>
    <row r="16" customFormat="false" ht="17.15" hidden="false" customHeight="false" outlineLevel="0" collapsed="false">
      <c r="A16" s="0" t="s">
        <v>45</v>
      </c>
      <c r="B16" s="5" t="s">
        <v>46</v>
      </c>
      <c r="C16" s="0" t="s">
        <v>12</v>
      </c>
      <c r="E16" s="3" t="n">
        <v>58.398676641155</v>
      </c>
      <c r="G16" s="4" t="s">
        <v>13</v>
      </c>
      <c r="H16" s="4" t="s">
        <v>47</v>
      </c>
    </row>
    <row r="17" customFormat="false" ht="17.15" hidden="false" customHeight="false" outlineLevel="0" collapsed="false">
      <c r="A17" s="0" t="s">
        <v>48</v>
      </c>
      <c r="B17" s="5" t="s">
        <v>49</v>
      </c>
      <c r="C17" s="0" t="s">
        <v>12</v>
      </c>
      <c r="E17" s="3" t="n">
        <v>66.5861109535046</v>
      </c>
      <c r="G17" s="4" t="s">
        <v>13</v>
      </c>
      <c r="H17" s="4" t="s">
        <v>50</v>
      </c>
    </row>
    <row r="18" customFormat="false" ht="17.15" hidden="false" customHeight="false" outlineLevel="0" collapsed="false">
      <c r="A18" s="0" t="s">
        <v>51</v>
      </c>
      <c r="B18" s="5" t="s">
        <v>52</v>
      </c>
      <c r="C18" s="0" t="s">
        <v>12</v>
      </c>
      <c r="E18" s="3" t="n">
        <v>-3.33496721444297</v>
      </c>
      <c r="G18" s="4" t="s">
        <v>13</v>
      </c>
      <c r="H18" s="4" t="s">
        <v>53</v>
      </c>
    </row>
    <row r="19" customFormat="false" ht="17.15" hidden="false" customHeight="false" outlineLevel="0" collapsed="false">
      <c r="A19" s="0" t="s">
        <v>54</v>
      </c>
      <c r="B19" s="5" t="s">
        <v>55</v>
      </c>
      <c r="C19" s="0" t="s">
        <v>12</v>
      </c>
      <c r="E19" s="3" t="n">
        <v>-7.95971034595218</v>
      </c>
      <c r="G19" s="4" t="s">
        <v>13</v>
      </c>
      <c r="H19" s="4" t="s">
        <v>56</v>
      </c>
    </row>
    <row r="20" customFormat="false" ht="17.15" hidden="false" customHeight="false" outlineLevel="0" collapsed="false">
      <c r="A20" s="0" t="s">
        <v>57</v>
      </c>
      <c r="B20" s="5" t="s">
        <v>58</v>
      </c>
      <c r="C20" s="0" t="s">
        <v>12</v>
      </c>
      <c r="E20" s="3" t="n">
        <v>-4.55361175638166</v>
      </c>
      <c r="G20" s="4" t="s">
        <v>13</v>
      </c>
      <c r="H20" s="4" t="s">
        <v>59</v>
      </c>
    </row>
    <row r="21" customFormat="false" ht="17.15" hidden="false" customHeight="false" outlineLevel="0" collapsed="false">
      <c r="A21" s="0" t="s">
        <v>60</v>
      </c>
      <c r="B21" s="5" t="s">
        <v>61</v>
      </c>
      <c r="C21" s="0" t="s">
        <v>12</v>
      </c>
      <c r="E21" s="3" t="n">
        <v>-3.07028786713108</v>
      </c>
      <c r="G21" s="4" t="s">
        <v>13</v>
      </c>
      <c r="H21" s="4" t="s">
        <v>62</v>
      </c>
    </row>
    <row r="22" customFormat="false" ht="17.15" hidden="false" customHeight="false" outlineLevel="0" collapsed="false">
      <c r="A22" s="0" t="s">
        <v>63</v>
      </c>
      <c r="B22" s="5" t="s">
        <v>64</v>
      </c>
      <c r="C22" s="0" t="s">
        <v>12</v>
      </c>
      <c r="E22" s="3" t="n">
        <v>-0.889324590518125</v>
      </c>
      <c r="G22" s="4" t="s">
        <v>13</v>
      </c>
      <c r="H22" s="4" t="s">
        <v>65</v>
      </c>
    </row>
    <row r="23" customFormat="false" ht="17.15" hidden="false" customHeight="false" outlineLevel="0" collapsed="false">
      <c r="A23" s="0" t="s">
        <v>66</v>
      </c>
      <c r="B23" s="5" t="s">
        <v>67</v>
      </c>
      <c r="C23" s="0" t="s">
        <v>12</v>
      </c>
      <c r="E23" s="3" t="n">
        <v>-2.12258942558725</v>
      </c>
      <c r="G23" s="4" t="s">
        <v>13</v>
      </c>
      <c r="H23" s="4" t="s">
        <v>68</v>
      </c>
    </row>
    <row r="24" customFormat="false" ht="17.15" hidden="false" customHeight="false" outlineLevel="0" collapsed="false">
      <c r="A24" s="0" t="s">
        <v>69</v>
      </c>
      <c r="B24" s="5" t="s">
        <v>70</v>
      </c>
      <c r="C24" s="0" t="s">
        <v>12</v>
      </c>
      <c r="E24" s="3" t="n">
        <v>-1.21429646836844</v>
      </c>
      <c r="G24" s="4" t="s">
        <v>13</v>
      </c>
      <c r="H24" s="4" t="s">
        <v>71</v>
      </c>
    </row>
    <row r="25" customFormat="false" ht="17.15" hidden="false" customHeight="false" outlineLevel="0" collapsed="false">
      <c r="A25" s="0" t="s">
        <v>72</v>
      </c>
      <c r="B25" s="5" t="s">
        <v>73</v>
      </c>
      <c r="C25" s="0" t="s">
        <v>12</v>
      </c>
      <c r="E25" s="3" t="n">
        <v>-0.818743431234956</v>
      </c>
      <c r="G25" s="4" t="s">
        <v>13</v>
      </c>
      <c r="H25" s="4" t="s">
        <v>74</v>
      </c>
    </row>
    <row r="26" customFormat="false" ht="17.15" hidden="false" customHeight="false" outlineLevel="0" collapsed="false">
      <c r="A26" s="0" t="s">
        <v>75</v>
      </c>
      <c r="B26" s="5" t="s">
        <v>76</v>
      </c>
      <c r="C26" s="0" t="s">
        <v>12</v>
      </c>
      <c r="E26" s="3" t="n">
        <v>-0.506742866666666</v>
      </c>
      <c r="G26" s="4" t="s">
        <v>13</v>
      </c>
      <c r="H26" s="4" t="s">
        <v>77</v>
      </c>
    </row>
    <row r="27" customFormat="false" ht="17.15" hidden="false" customHeight="false" outlineLevel="0" collapsed="false">
      <c r="A27" s="0" t="s">
        <v>78</v>
      </c>
      <c r="B27" s="5" t="s">
        <v>79</v>
      </c>
      <c r="C27" s="0" t="s">
        <v>12</v>
      </c>
      <c r="E27" s="3" t="n">
        <v>-0.75705029588785</v>
      </c>
      <c r="G27" s="4" t="s">
        <v>13</v>
      </c>
      <c r="H27" s="4" t="s">
        <v>80</v>
      </c>
    </row>
    <row r="28" customFormat="false" ht="17.15" hidden="false" customHeight="false" outlineLevel="0" collapsed="false">
      <c r="A28" s="0" t="s">
        <v>81</v>
      </c>
      <c r="B28" s="5" t="s">
        <v>82</v>
      </c>
      <c r="C28" s="0" t="s">
        <v>12</v>
      </c>
      <c r="E28" s="3" t="n">
        <v>-1.23629537440859</v>
      </c>
      <c r="G28" s="4" t="s">
        <v>13</v>
      </c>
      <c r="H28" s="4" t="s">
        <v>83</v>
      </c>
    </row>
    <row r="29" customFormat="false" ht="17.15" hidden="false" customHeight="false" outlineLevel="0" collapsed="false">
      <c r="A29" s="0" t="s">
        <v>84</v>
      </c>
      <c r="B29" s="5" t="s">
        <v>85</v>
      </c>
      <c r="C29" s="0" t="s">
        <v>12</v>
      </c>
      <c r="E29" s="3" t="n">
        <v>-1.77476123039559</v>
      </c>
      <c r="G29" s="4" t="s">
        <v>13</v>
      </c>
      <c r="H29" s="4" t="s">
        <v>86</v>
      </c>
    </row>
    <row r="30" customFormat="false" ht="17.15" hidden="false" customHeight="false" outlineLevel="0" collapsed="false">
      <c r="A30" s="0" t="s">
        <v>87</v>
      </c>
      <c r="B30" s="5" t="s">
        <v>88</v>
      </c>
      <c r="C30" s="0" t="s">
        <v>12</v>
      </c>
      <c r="E30" s="3" t="n">
        <v>0.573299561940686</v>
      </c>
      <c r="G30" s="4" t="s">
        <v>13</v>
      </c>
      <c r="H30" s="4" t="s">
        <v>89</v>
      </c>
    </row>
    <row r="31" customFormat="false" ht="17.15" hidden="false" customHeight="false" outlineLevel="0" collapsed="false">
      <c r="A31" s="0" t="s">
        <v>90</v>
      </c>
      <c r="B31" s="5" t="s">
        <v>91</v>
      </c>
      <c r="C31" s="0" t="s">
        <v>12</v>
      </c>
      <c r="E31" s="3" t="n">
        <v>0</v>
      </c>
      <c r="G31" s="4" t="s">
        <v>13</v>
      </c>
      <c r="H31" s="4" t="s">
        <v>92</v>
      </c>
    </row>
    <row r="32" customFormat="false" ht="17.15" hidden="false" customHeight="false" outlineLevel="0" collapsed="false">
      <c r="A32" s="0" t="s">
        <v>93</v>
      </c>
      <c r="B32" s="5" t="s">
        <v>94</v>
      </c>
      <c r="C32" s="0" t="s">
        <v>12</v>
      </c>
      <c r="E32" s="3" t="n">
        <v>0</v>
      </c>
      <c r="G32" s="4" t="s">
        <v>13</v>
      </c>
      <c r="H32" s="4" t="s">
        <v>95</v>
      </c>
    </row>
    <row r="33" customFormat="false" ht="17.15" hidden="false" customHeight="false" outlineLevel="0" collapsed="false">
      <c r="A33" s="0" t="s">
        <v>96</v>
      </c>
      <c r="B33" s="5" t="s">
        <v>97</v>
      </c>
      <c r="C33" s="0" t="s">
        <v>12</v>
      </c>
      <c r="E33" s="3" t="n">
        <v>0</v>
      </c>
      <c r="G33" s="4" t="s">
        <v>13</v>
      </c>
      <c r="H33" s="4" t="s">
        <v>98</v>
      </c>
    </row>
    <row r="34" customFormat="false" ht="17.15" hidden="false" customHeight="false" outlineLevel="0" collapsed="false">
      <c r="A34" s="0" t="s">
        <v>99</v>
      </c>
      <c r="B34" s="0" t="s">
        <v>100</v>
      </c>
      <c r="C34" s="0" t="s">
        <v>12</v>
      </c>
      <c r="E34" s="3" t="n">
        <v>20.2987830299704</v>
      </c>
      <c r="G34" s="4" t="s">
        <v>13</v>
      </c>
      <c r="H34" s="4" t="s">
        <v>101</v>
      </c>
    </row>
    <row r="35" customFormat="false" ht="17.15" hidden="false" customHeight="false" outlineLevel="0" collapsed="false">
      <c r="A35" s="0" t="s">
        <v>102</v>
      </c>
      <c r="B35" s="0" t="s">
        <v>103</v>
      </c>
      <c r="C35" s="0" t="s">
        <v>12</v>
      </c>
      <c r="E35" s="3" t="n">
        <v>35.4163618900433</v>
      </c>
      <c r="G35" s="4" t="s">
        <v>13</v>
      </c>
      <c r="H35" s="4" t="s">
        <v>104</v>
      </c>
    </row>
    <row r="36" customFormat="false" ht="17.15" hidden="false" customHeight="false" outlineLevel="0" collapsed="false">
      <c r="A36" s="0" t="s">
        <v>105</v>
      </c>
      <c r="B36" s="0" t="s">
        <v>106</v>
      </c>
      <c r="C36" s="0" t="s">
        <v>12</v>
      </c>
      <c r="E36" s="3" t="n">
        <v>51.3944730419963</v>
      </c>
      <c r="G36" s="4" t="s">
        <v>13</v>
      </c>
      <c r="H36" s="4" t="s">
        <v>107</v>
      </c>
    </row>
    <row r="37" customFormat="false" ht="17.15" hidden="false" customHeight="false" outlineLevel="0" collapsed="false">
      <c r="A37" s="0" t="s">
        <v>108</v>
      </c>
      <c r="B37" s="0" t="s">
        <v>109</v>
      </c>
      <c r="C37" s="0" t="s">
        <v>12</v>
      </c>
      <c r="E37" s="3" t="n">
        <v>60.922318424743</v>
      </c>
      <c r="G37" s="4" t="s">
        <v>13</v>
      </c>
      <c r="H37" s="4" t="s">
        <v>110</v>
      </c>
    </row>
    <row r="38" customFormat="false" ht="17.15" hidden="false" customHeight="false" outlineLevel="0" collapsed="false">
      <c r="A38" s="0" t="s">
        <v>111</v>
      </c>
      <c r="B38" s="5" t="s">
        <v>112</v>
      </c>
      <c r="C38" s="0" t="s">
        <v>12</v>
      </c>
      <c r="E38" s="3" t="n">
        <v>7.78341156891115</v>
      </c>
      <c r="G38" s="4" t="s">
        <v>13</v>
      </c>
      <c r="H38" s="4" t="s">
        <v>113</v>
      </c>
    </row>
    <row r="39" customFormat="false" ht="17.15" hidden="false" customHeight="false" outlineLevel="0" collapsed="false">
      <c r="A39" s="0" t="s">
        <v>114</v>
      </c>
      <c r="B39" s="5" t="s">
        <v>115</v>
      </c>
      <c r="C39" s="0" t="s">
        <v>12</v>
      </c>
      <c r="E39" s="3" t="n">
        <v>11.4541079640062</v>
      </c>
      <c r="G39" s="4" t="s">
        <v>13</v>
      </c>
      <c r="H39" s="4" t="s">
        <v>116</v>
      </c>
    </row>
    <row r="40" customFormat="false" ht="17.15" hidden="false" customHeight="false" outlineLevel="0" collapsed="false">
      <c r="A40" s="0" t="s">
        <v>117</v>
      </c>
      <c r="B40" s="5" t="s">
        <v>118</v>
      </c>
      <c r="C40" s="0" t="s">
        <v>12</v>
      </c>
      <c r="E40" s="3" t="n">
        <v>24.4711802426465</v>
      </c>
      <c r="G40" s="4" t="s">
        <v>13</v>
      </c>
      <c r="H40" s="4" t="s">
        <v>119</v>
      </c>
    </row>
    <row r="41" customFormat="false" ht="17.15" hidden="false" customHeight="false" outlineLevel="0" collapsed="false">
      <c r="A41" s="0" t="s">
        <v>120</v>
      </c>
      <c r="B41" s="5" t="s">
        <v>121</v>
      </c>
      <c r="C41" s="0" t="s">
        <v>12</v>
      </c>
      <c r="E41" s="3" t="n">
        <v>33.2588503198405</v>
      </c>
      <c r="G41" s="4" t="s">
        <v>13</v>
      </c>
      <c r="H41" s="4" t="s">
        <v>122</v>
      </c>
    </row>
    <row r="42" customFormat="false" ht="17.15" hidden="false" customHeight="false" outlineLevel="0" collapsed="false">
      <c r="A42" s="0" t="s">
        <v>123</v>
      </c>
      <c r="B42" s="5" t="s">
        <v>124</v>
      </c>
      <c r="C42" s="5" t="s">
        <v>125</v>
      </c>
      <c r="D42" s="3" t="n">
        <v>0.25</v>
      </c>
      <c r="E42" s="3" t="n">
        <v>0.375</v>
      </c>
      <c r="F42" s="3" t="n">
        <v>0.5</v>
      </c>
      <c r="G42" s="4" t="s">
        <v>126</v>
      </c>
      <c r="H42" s="4" t="s">
        <v>127</v>
      </c>
    </row>
    <row r="43" customFormat="false" ht="17.15" hidden="false" customHeight="false" outlineLevel="0" collapsed="false">
      <c r="A43" s="0" t="s">
        <v>128</v>
      </c>
      <c r="B43" s="5" t="s">
        <v>129</v>
      </c>
      <c r="C43" s="0" t="s">
        <v>130</v>
      </c>
      <c r="D43" s="3" t="n">
        <v>0.05</v>
      </c>
      <c r="E43" s="3" t="n">
        <v>0.1</v>
      </c>
      <c r="F43" s="3" t="n">
        <v>0.2</v>
      </c>
      <c r="G43" s="4" t="s">
        <v>126</v>
      </c>
      <c r="H43" s="4" t="s">
        <v>131</v>
      </c>
    </row>
    <row r="44" customFormat="false" ht="17.15" hidden="false" customHeight="false" outlineLevel="0" collapsed="false">
      <c r="A44" s="0" t="s">
        <v>132</v>
      </c>
      <c r="B44" s="5" t="s">
        <v>133</v>
      </c>
      <c r="C44" s="0" t="s">
        <v>134</v>
      </c>
      <c r="D44" s="3" t="n">
        <v>0</v>
      </c>
      <c r="E44" s="3" t="n">
        <v>0.02</v>
      </c>
      <c r="F44" s="3" t="n">
        <v>0.05</v>
      </c>
      <c r="G44" s="4" t="s">
        <v>126</v>
      </c>
      <c r="H44" s="4" t="s">
        <v>135</v>
      </c>
    </row>
    <row r="45" customFormat="false" ht="17.15" hidden="false" customHeight="false" outlineLevel="0" collapsed="false">
      <c r="A45" s="0" t="s">
        <v>136</v>
      </c>
      <c r="B45" s="0" t="s">
        <v>137</v>
      </c>
      <c r="C45" s="0" t="s">
        <v>138</v>
      </c>
      <c r="E45" s="3" t="n">
        <v>20</v>
      </c>
      <c r="G45" s="4" t="s">
        <v>13</v>
      </c>
      <c r="H45" s="4" t="s">
        <v>139</v>
      </c>
    </row>
    <row r="46" customFormat="false" ht="17.15" hidden="false" customHeight="false" outlineLevel="0" collapsed="false">
      <c r="A46" s="0" t="s">
        <v>140</v>
      </c>
      <c r="B46" s="0" t="s">
        <v>141</v>
      </c>
      <c r="C46" s="0" t="s">
        <v>142</v>
      </c>
      <c r="D46" s="3" t="n">
        <v>31.9970232</v>
      </c>
      <c r="E46" s="3" t="n">
        <v>37.586352</v>
      </c>
      <c r="F46" s="3" t="n">
        <v>42.6375752</v>
      </c>
      <c r="G46" s="4" t="s">
        <v>13</v>
      </c>
      <c r="H46" s="4" t="s">
        <v>143</v>
      </c>
    </row>
    <row r="47" customFormat="false" ht="17.15" hidden="false" customHeight="false" outlineLevel="0" collapsed="false">
      <c r="A47" s="0" t="s">
        <v>144</v>
      </c>
      <c r="B47" s="5" t="s">
        <v>145</v>
      </c>
      <c r="C47" s="0" t="s">
        <v>130</v>
      </c>
      <c r="D47" s="3" t="n">
        <v>0.517</v>
      </c>
      <c r="E47" s="3" t="n">
        <v>0.617</v>
      </c>
      <c r="F47" s="3" t="n">
        <v>0.767</v>
      </c>
      <c r="G47" s="4" t="s">
        <v>126</v>
      </c>
      <c r="H47" s="4" t="s">
        <v>146</v>
      </c>
    </row>
    <row r="48" customFormat="false" ht="17.15" hidden="false" customHeight="false" outlineLevel="0" collapsed="false">
      <c r="A48" s="0" t="s">
        <v>147</v>
      </c>
      <c r="B48" s="0" t="s">
        <v>148</v>
      </c>
      <c r="C48" s="0" t="s">
        <v>138</v>
      </c>
      <c r="E48" s="3" t="n">
        <v>193.7</v>
      </c>
      <c r="G48" s="4" t="s">
        <v>149</v>
      </c>
      <c r="H48" s="4" t="s">
        <v>150</v>
      </c>
    </row>
    <row r="49" customFormat="false" ht="17.15" hidden="false" customHeight="false" outlineLevel="0" collapsed="false">
      <c r="A49" s="0" t="s">
        <v>151</v>
      </c>
      <c r="B49" s="0" t="s">
        <v>152</v>
      </c>
      <c r="C49" s="0" t="s">
        <v>138</v>
      </c>
      <c r="E49" s="3" t="n">
        <v>375.46</v>
      </c>
      <c r="G49" s="4" t="s">
        <v>153</v>
      </c>
      <c r="H49" s="4" t="s">
        <v>154</v>
      </c>
    </row>
    <row r="50" customFormat="false" ht="17.15" hidden="false" customHeight="false" outlineLevel="0" collapsed="false">
      <c r="A50" s="0" t="s">
        <v>155</v>
      </c>
      <c r="B50" s="0" t="s">
        <v>156</v>
      </c>
      <c r="C50" s="0" t="s">
        <v>142</v>
      </c>
      <c r="E50" s="3" t="n">
        <v>20.84</v>
      </c>
      <c r="G50" s="4" t="s">
        <v>13</v>
      </c>
      <c r="H50" s="4" t="s">
        <v>157</v>
      </c>
    </row>
    <row r="51" customFormat="false" ht="17.15" hidden="false" customHeight="false" outlineLevel="0" collapsed="false">
      <c r="A51" s="0" t="s">
        <v>158</v>
      </c>
      <c r="B51" s="5" t="s">
        <v>159</v>
      </c>
      <c r="C51" s="0" t="s">
        <v>142</v>
      </c>
      <c r="E51" s="3" t="n">
        <v>25</v>
      </c>
      <c r="G51" s="4" t="s">
        <v>160</v>
      </c>
      <c r="H51" s="4" t="s">
        <v>161</v>
      </c>
    </row>
    <row r="52" customFormat="false" ht="17.15" hidden="false" customHeight="false" outlineLevel="0" collapsed="false">
      <c r="A52" s="1" t="s">
        <v>162</v>
      </c>
    </row>
    <row r="53" customFormat="false" ht="17.15" hidden="false" customHeight="false" outlineLevel="0" collapsed="false">
      <c r="A53" s="0" t="s">
        <v>163</v>
      </c>
      <c r="B53" s="0" t="s">
        <v>164</v>
      </c>
      <c r="C53" s="0" t="s">
        <v>12</v>
      </c>
      <c r="E53" s="3" t="n">
        <v>9.04912429484716</v>
      </c>
      <c r="G53" s="4" t="s">
        <v>13</v>
      </c>
      <c r="H53" s="4" t="s">
        <v>165</v>
      </c>
    </row>
    <row r="54" customFormat="false" ht="17.15" hidden="false" customHeight="false" outlineLevel="0" collapsed="false">
      <c r="A54" s="0" t="s">
        <v>166</v>
      </c>
      <c r="B54" s="0" t="s">
        <v>167</v>
      </c>
      <c r="C54" s="0" t="s">
        <v>12</v>
      </c>
      <c r="E54" s="3" t="n">
        <v>12.5153714610592</v>
      </c>
      <c r="G54" s="4" t="s">
        <v>13</v>
      </c>
      <c r="H54" s="4" t="s">
        <v>168</v>
      </c>
    </row>
    <row r="55" customFormat="false" ht="17.15" hidden="false" customHeight="false" outlineLevel="0" collapsed="false">
      <c r="A55" s="0" t="s">
        <v>169</v>
      </c>
      <c r="B55" s="0" t="s">
        <v>170</v>
      </c>
      <c r="C55" s="0" t="s">
        <v>12</v>
      </c>
      <c r="E55" s="3" t="n">
        <v>23.9622539260371</v>
      </c>
      <c r="G55" s="4" t="s">
        <v>13</v>
      </c>
      <c r="H55" s="4" t="s">
        <v>171</v>
      </c>
    </row>
    <row r="56" customFormat="false" ht="17.15" hidden="false" customHeight="false" outlineLevel="0" collapsed="false">
      <c r="A56" s="0" t="s">
        <v>172</v>
      </c>
      <c r="B56" s="0" t="s">
        <v>173</v>
      </c>
      <c r="C56" s="0" t="s">
        <v>12</v>
      </c>
      <c r="E56" s="3" t="n">
        <v>26.9232927993498</v>
      </c>
      <c r="G56" s="4" t="s">
        <v>13</v>
      </c>
      <c r="H56" s="4" t="s">
        <v>174</v>
      </c>
    </row>
    <row r="57" customFormat="false" ht="17.15" hidden="false" customHeight="false" outlineLevel="0" collapsed="false">
      <c r="A57" s="0" t="s">
        <v>175</v>
      </c>
      <c r="B57" s="0" t="s">
        <v>176</v>
      </c>
      <c r="C57" s="0" t="s">
        <v>12</v>
      </c>
      <c r="E57" s="3" t="n">
        <v>27.6634681049025</v>
      </c>
      <c r="G57" s="4" t="s">
        <v>13</v>
      </c>
      <c r="H57" s="4" t="s">
        <v>177</v>
      </c>
    </row>
    <row r="58" customFormat="false" ht="17.15" hidden="false" customHeight="false" outlineLevel="0" collapsed="false">
      <c r="A58" s="0" t="s">
        <v>178</v>
      </c>
      <c r="B58" s="0" t="s">
        <v>179</v>
      </c>
      <c r="C58" s="0" t="s">
        <v>12</v>
      </c>
      <c r="E58" s="3" t="n">
        <v>25.3371433333333</v>
      </c>
      <c r="G58" s="4" t="s">
        <v>13</v>
      </c>
      <c r="H58" s="4" t="s">
        <v>180</v>
      </c>
    </row>
    <row r="59" customFormat="false" ht="17.15" hidden="false" customHeight="false" outlineLevel="0" collapsed="false">
      <c r="A59" s="0" t="s">
        <v>181</v>
      </c>
      <c r="B59" s="0" t="s">
        <v>182</v>
      </c>
      <c r="C59" s="0" t="s">
        <v>12</v>
      </c>
      <c r="E59" s="3" t="n">
        <v>37.8525147943925</v>
      </c>
      <c r="G59" s="4" t="s">
        <v>13</v>
      </c>
      <c r="H59" s="4" t="s">
        <v>183</v>
      </c>
    </row>
    <row r="60" customFormat="false" ht="17.15" hidden="false" customHeight="false" outlineLevel="0" collapsed="false">
      <c r="A60" s="0" t="s">
        <v>184</v>
      </c>
      <c r="B60" s="0" t="s">
        <v>185</v>
      </c>
      <c r="C60" s="0" t="s">
        <v>12</v>
      </c>
      <c r="E60" s="3" t="n">
        <v>61.8147687204296</v>
      </c>
      <c r="G60" s="4" t="s">
        <v>13</v>
      </c>
      <c r="H60" s="4" t="s">
        <v>186</v>
      </c>
    </row>
    <row r="61" customFormat="false" ht="17.15" hidden="false" customHeight="false" outlineLevel="0" collapsed="false">
      <c r="A61" s="0" t="s">
        <v>187</v>
      </c>
      <c r="B61" s="0" t="s">
        <v>188</v>
      </c>
      <c r="C61" s="0" t="s">
        <v>12</v>
      </c>
      <c r="E61" s="3" t="n">
        <v>88.7380615197793</v>
      </c>
      <c r="G61" s="4" t="s">
        <v>13</v>
      </c>
      <c r="H61" s="4" t="s">
        <v>189</v>
      </c>
    </row>
    <row r="62" customFormat="false" ht="17.15" hidden="false" customHeight="false" outlineLevel="0" collapsed="false">
      <c r="A62" s="0" t="s">
        <v>190</v>
      </c>
      <c r="B62" s="0" t="s">
        <v>191</v>
      </c>
      <c r="C62" s="0" t="s">
        <v>12</v>
      </c>
      <c r="E62" s="3" t="n">
        <v>116.401529624682</v>
      </c>
      <c r="G62" s="4" t="s">
        <v>13</v>
      </c>
      <c r="H62" s="4" t="s">
        <v>192</v>
      </c>
    </row>
    <row r="63" customFormat="false" ht="17.15" hidden="false" customHeight="false" outlineLevel="0" collapsed="false">
      <c r="A63" s="0" t="s">
        <v>193</v>
      </c>
      <c r="B63" s="5" t="s">
        <v>194</v>
      </c>
      <c r="C63" s="0" t="s">
        <v>134</v>
      </c>
      <c r="E63" s="3" t="n">
        <v>0.238210067173108</v>
      </c>
      <c r="G63" s="4" t="s">
        <v>13</v>
      </c>
      <c r="H63" s="4" t="s">
        <v>195</v>
      </c>
    </row>
    <row r="64" customFormat="false" ht="17.15" hidden="false" customHeight="false" outlineLevel="0" collapsed="false">
      <c r="A64" s="0" t="s">
        <v>196</v>
      </c>
      <c r="B64" s="5" t="s">
        <v>197</v>
      </c>
      <c r="C64" s="0" t="s">
        <v>134</v>
      </c>
      <c r="E64" s="3" t="n">
        <v>0.273101862203342</v>
      </c>
      <c r="G64" s="4" t="s">
        <v>13</v>
      </c>
      <c r="H64" s="4" t="s">
        <v>198</v>
      </c>
    </row>
    <row r="65" customFormat="false" ht="17.15" hidden="false" customHeight="false" outlineLevel="0" collapsed="false">
      <c r="A65" s="0" t="s">
        <v>199</v>
      </c>
      <c r="B65" s="5" t="s">
        <v>200</v>
      </c>
      <c r="C65" s="0" t="s">
        <v>134</v>
      </c>
      <c r="E65" s="3" t="n">
        <v>0.269621396123668</v>
      </c>
      <c r="G65" s="4" t="s">
        <v>13</v>
      </c>
      <c r="H65" s="4" t="s">
        <v>201</v>
      </c>
    </row>
    <row r="66" customFormat="false" ht="17.15" hidden="false" customHeight="false" outlineLevel="0" collapsed="false">
      <c r="A66" s="0" t="s">
        <v>202</v>
      </c>
      <c r="B66" s="5" t="s">
        <v>203</v>
      </c>
      <c r="C66" s="0" t="s">
        <v>134</v>
      </c>
      <c r="E66" s="3" t="n">
        <v>0.272187509408712</v>
      </c>
      <c r="G66" s="4" t="s">
        <v>13</v>
      </c>
      <c r="H66" s="4" t="s">
        <v>204</v>
      </c>
    </row>
    <row r="67" customFormat="false" ht="17.15" hidden="false" customHeight="false" outlineLevel="0" collapsed="false">
      <c r="A67" s="0" t="s">
        <v>205</v>
      </c>
      <c r="B67" s="0" t="s">
        <v>206</v>
      </c>
      <c r="C67" s="0" t="s">
        <v>12</v>
      </c>
      <c r="E67" s="3" t="n">
        <v>3.33333333333333</v>
      </c>
      <c r="G67" s="4" t="s">
        <v>13</v>
      </c>
      <c r="H67" s="4" t="s">
        <v>207</v>
      </c>
    </row>
    <row r="68" customFormat="false" ht="17.15" hidden="false" customHeight="false" outlineLevel="0" collapsed="false">
      <c r="A68" s="0" t="s">
        <v>208</v>
      </c>
      <c r="B68" s="0" t="s">
        <v>209</v>
      </c>
      <c r="C68" s="0" t="s">
        <v>12</v>
      </c>
      <c r="E68" s="3" t="n">
        <v>1.9895044578405</v>
      </c>
      <c r="G68" s="4" t="s">
        <v>13</v>
      </c>
      <c r="H68" s="4" t="s">
        <v>210</v>
      </c>
    </row>
    <row r="69" customFormat="false" ht="17.15" hidden="false" customHeight="false" outlineLevel="0" collapsed="false">
      <c r="A69" s="0" t="s">
        <v>211</v>
      </c>
      <c r="B69" s="0" t="s">
        <v>212</v>
      </c>
      <c r="C69" s="0" t="s">
        <v>12</v>
      </c>
      <c r="E69" s="3" t="n">
        <v>2.28121406090902</v>
      </c>
      <c r="G69" s="4" t="s">
        <v>13</v>
      </c>
      <c r="H69" s="4" t="s">
        <v>213</v>
      </c>
    </row>
    <row r="70" customFormat="false" ht="17.15" hidden="false" customHeight="false" outlineLevel="0" collapsed="false">
      <c r="A70" s="0" t="s">
        <v>214</v>
      </c>
      <c r="B70" s="0" t="s">
        <v>215</v>
      </c>
      <c r="C70" s="0" t="s">
        <v>12</v>
      </c>
      <c r="E70" s="3" t="n">
        <v>2.61252133099745</v>
      </c>
      <c r="G70" s="4" t="s">
        <v>13</v>
      </c>
      <c r="H70" s="4" t="s">
        <v>216</v>
      </c>
    </row>
    <row r="71" customFormat="false" ht="17.15" hidden="false" customHeight="false" outlineLevel="0" collapsed="false">
      <c r="A71" s="0" t="s">
        <v>217</v>
      </c>
      <c r="B71" s="0" t="s">
        <v>218</v>
      </c>
      <c r="C71" s="0" t="s">
        <v>12</v>
      </c>
      <c r="E71" s="3" t="n">
        <v>1</v>
      </c>
      <c r="G71" s="4" t="s">
        <v>13</v>
      </c>
      <c r="H71" s="4" t="s">
        <v>219</v>
      </c>
    </row>
    <row r="72" customFormat="false" ht="17.15" hidden="false" customHeight="false" outlineLevel="0" collapsed="false">
      <c r="A72" s="0" t="s">
        <v>220</v>
      </c>
      <c r="B72" s="5" t="s">
        <v>221</v>
      </c>
      <c r="C72" s="0" t="s">
        <v>134</v>
      </c>
      <c r="D72" s="3" t="n">
        <v>0.1</v>
      </c>
      <c r="E72" s="3" t="n">
        <v>0.15</v>
      </c>
      <c r="F72" s="3" t="n">
        <v>0.2</v>
      </c>
      <c r="G72" s="4" t="s">
        <v>126</v>
      </c>
      <c r="H72" s="4" t="s">
        <v>222</v>
      </c>
    </row>
    <row r="73" customFormat="false" ht="17.15" hidden="false" customHeight="false" outlineLevel="0" collapsed="false">
      <c r="A73" s="0" t="s">
        <v>223</v>
      </c>
      <c r="B73" s="5" t="s">
        <v>224</v>
      </c>
      <c r="C73" s="0" t="s">
        <v>130</v>
      </c>
      <c r="D73" s="3" t="n">
        <v>1</v>
      </c>
      <c r="E73" s="3" t="n">
        <v>0.5</v>
      </c>
      <c r="F73" s="3" t="n">
        <v>0</v>
      </c>
      <c r="G73" s="4" t="s">
        <v>126</v>
      </c>
      <c r="H73" s="4" t="s">
        <v>225</v>
      </c>
    </row>
    <row r="74" customFormat="false" ht="17.15" hidden="false" customHeight="false" outlineLevel="0" collapsed="false">
      <c r="A74" s="0" t="s">
        <v>226</v>
      </c>
      <c r="B74" s="5" t="s">
        <v>227</v>
      </c>
      <c r="C74" s="0" t="s">
        <v>130</v>
      </c>
      <c r="D74" s="3" t="n">
        <v>0</v>
      </c>
      <c r="E74" s="3" t="n">
        <v>0.5</v>
      </c>
      <c r="F74" s="3" t="n">
        <v>1</v>
      </c>
      <c r="G74" s="4" t="s">
        <v>126</v>
      </c>
      <c r="H74" s="4" t="s">
        <v>228</v>
      </c>
    </row>
    <row r="75" customFormat="false" ht="17.15" hidden="false" customHeight="false" outlineLevel="0" collapsed="false">
      <c r="A75" s="0" t="s">
        <v>229</v>
      </c>
      <c r="B75" s="5" t="s">
        <v>230</v>
      </c>
      <c r="C75" s="0" t="s">
        <v>134</v>
      </c>
      <c r="D75" s="3" t="n">
        <v>0.75</v>
      </c>
      <c r="E75" s="3" t="n">
        <v>0.85</v>
      </c>
      <c r="F75" s="3" t="n">
        <v>0.95</v>
      </c>
      <c r="G75" s="4" t="s">
        <v>126</v>
      </c>
      <c r="H75" s="4" t="s">
        <v>231</v>
      </c>
    </row>
    <row r="76" customFormat="false" ht="17.15" hidden="false" customHeight="false" outlineLevel="0" collapsed="false">
      <c r="A76" s="0" t="s">
        <v>232</v>
      </c>
      <c r="B76" s="0" t="s">
        <v>233</v>
      </c>
      <c r="C76" s="0" t="s">
        <v>134</v>
      </c>
      <c r="D76" s="3" t="n">
        <v>0.6</v>
      </c>
      <c r="E76" s="3" t="n">
        <v>0.68</v>
      </c>
      <c r="F76" s="3" t="n">
        <v>0.75</v>
      </c>
      <c r="G76" s="4" t="s">
        <v>13</v>
      </c>
      <c r="H76" s="4" t="s">
        <v>234</v>
      </c>
    </row>
    <row r="77" customFormat="false" ht="17.15" hidden="false" customHeight="false" outlineLevel="0" collapsed="false">
      <c r="A77" s="1" t="s">
        <v>235</v>
      </c>
    </row>
    <row r="78" customFormat="false" ht="17.15" hidden="false" customHeight="false" outlineLevel="0" collapsed="false">
      <c r="A78" s="0" t="s">
        <v>236</v>
      </c>
      <c r="B78" s="0" t="s">
        <v>237</v>
      </c>
      <c r="C78" s="5" t="s">
        <v>238</v>
      </c>
      <c r="E78" s="3" t="n">
        <v>6</v>
      </c>
      <c r="G78" s="4" t="s">
        <v>149</v>
      </c>
      <c r="H78" s="4" t="s">
        <v>239</v>
      </c>
    </row>
    <row r="79" customFormat="false" ht="17.15" hidden="false" customHeight="false" outlineLevel="0" collapsed="false">
      <c r="A79" s="0" t="s">
        <v>240</v>
      </c>
      <c r="B79" s="0" t="s">
        <v>241</v>
      </c>
      <c r="C79" s="0" t="s">
        <v>142</v>
      </c>
      <c r="E79" s="3" t="n">
        <v>25.4337277924695</v>
      </c>
      <c r="G79" s="4" t="s">
        <v>13</v>
      </c>
      <c r="H79" s="4" t="s">
        <v>242</v>
      </c>
    </row>
    <row r="80" customFormat="false" ht="17.15" hidden="false" customHeight="false" outlineLevel="0" collapsed="false">
      <c r="A80" s="0" t="s">
        <v>243</v>
      </c>
      <c r="B80" s="0" t="s">
        <v>244</v>
      </c>
      <c r="C80" s="0" t="s">
        <v>142</v>
      </c>
      <c r="E80" s="3" t="n">
        <v>11.1609392244584</v>
      </c>
      <c r="G80" s="4" t="s">
        <v>13</v>
      </c>
      <c r="H80" s="4" t="s">
        <v>245</v>
      </c>
    </row>
    <row r="81" customFormat="false" ht="17.15" hidden="false" customHeight="false" outlineLevel="0" collapsed="false">
      <c r="A81" s="0" t="s">
        <v>246</v>
      </c>
      <c r="B81" s="0" t="s">
        <v>247</v>
      </c>
      <c r="C81" s="0" t="s">
        <v>138</v>
      </c>
      <c r="E81" s="3" t="n">
        <v>46.3369</v>
      </c>
      <c r="G81" s="4" t="s">
        <v>160</v>
      </c>
      <c r="H81" s="4" t="s">
        <v>248</v>
      </c>
    </row>
    <row r="82" customFormat="false" ht="17.15" hidden="false" customHeight="false" outlineLevel="0" collapsed="false">
      <c r="A82" s="0" t="s">
        <v>249</v>
      </c>
      <c r="B82" s="0" t="s">
        <v>250</v>
      </c>
      <c r="C82" s="0" t="s">
        <v>12</v>
      </c>
      <c r="E82" s="3" t="n">
        <v>0</v>
      </c>
      <c r="G82" s="4" t="s">
        <v>13</v>
      </c>
      <c r="H82" s="4" t="s">
        <v>251</v>
      </c>
    </row>
    <row r="83" customFormat="false" ht="17.15" hidden="false" customHeight="false" outlineLevel="0" collapsed="false">
      <c r="A83" s="0" t="s">
        <v>252</v>
      </c>
      <c r="B83" s="0" t="s">
        <v>253</v>
      </c>
      <c r="C83" s="0" t="s">
        <v>12</v>
      </c>
      <c r="E83" s="3" t="n">
        <v>0</v>
      </c>
      <c r="G83" s="4" t="s">
        <v>13</v>
      </c>
      <c r="H83" s="4" t="s">
        <v>254</v>
      </c>
    </row>
    <row r="84" customFormat="false" ht="17.15" hidden="false" customHeight="false" outlineLevel="0" collapsed="false">
      <c r="A84" s="0" t="s">
        <v>255</v>
      </c>
      <c r="B84" s="0" t="s">
        <v>256</v>
      </c>
      <c r="C84" s="0" t="s">
        <v>142</v>
      </c>
      <c r="E84" s="3" t="n">
        <v>24.2901851177648</v>
      </c>
      <c r="G84" s="4" t="s">
        <v>13</v>
      </c>
      <c r="H84" s="4" t="s">
        <v>257</v>
      </c>
    </row>
    <row r="85" customFormat="false" ht="17.15" hidden="false" customHeight="false" outlineLevel="0" collapsed="false">
      <c r="A85" s="0" t="s">
        <v>258</v>
      </c>
      <c r="B85" s="0" t="s">
        <v>259</v>
      </c>
      <c r="C85" s="0" t="s">
        <v>142</v>
      </c>
      <c r="E85" s="3" t="n">
        <v>11.1609392244584</v>
      </c>
      <c r="G85" s="4" t="s">
        <v>13</v>
      </c>
      <c r="H85" s="4" t="s">
        <v>260</v>
      </c>
    </row>
    <row r="86" customFormat="false" ht="17.15" hidden="false" customHeight="false" outlineLevel="0" collapsed="false">
      <c r="A86" s="0" t="s">
        <v>261</v>
      </c>
      <c r="B86" s="0" t="s">
        <v>262</v>
      </c>
      <c r="C86" s="0" t="s">
        <v>138</v>
      </c>
      <c r="E86" s="3" t="n">
        <v>76.712075</v>
      </c>
      <c r="G86" s="4" t="s">
        <v>160</v>
      </c>
      <c r="H86" s="4" t="s">
        <v>263</v>
      </c>
    </row>
    <row r="87" customFormat="false" ht="17.15" hidden="false" customHeight="false" outlineLevel="0" collapsed="false">
      <c r="A87" s="0" t="s">
        <v>264</v>
      </c>
      <c r="B87" s="0" t="s">
        <v>265</v>
      </c>
      <c r="C87" s="0" t="s">
        <v>12</v>
      </c>
      <c r="E87" s="3" t="n">
        <v>2.13527</v>
      </c>
      <c r="G87" s="4" t="s">
        <v>13</v>
      </c>
      <c r="H87" s="4" t="s">
        <v>266</v>
      </c>
    </row>
    <row r="88" customFormat="false" ht="17.15" hidden="false" customHeight="false" outlineLevel="0" collapsed="false">
      <c r="A88" s="0" t="s">
        <v>267</v>
      </c>
      <c r="B88" s="0" t="s">
        <v>268</v>
      </c>
      <c r="C88" s="0" t="s">
        <v>12</v>
      </c>
      <c r="E88" s="3" t="n">
        <v>2.13527</v>
      </c>
      <c r="G88" s="4" t="s">
        <v>13</v>
      </c>
      <c r="H88" s="4" t="s">
        <v>269</v>
      </c>
    </row>
    <row r="89" customFormat="false" ht="17.15" hidden="false" customHeight="false" outlineLevel="0" collapsed="false">
      <c r="A89" s="0" t="s">
        <v>270</v>
      </c>
      <c r="B89" s="0" t="s">
        <v>271</v>
      </c>
      <c r="C89" s="0" t="s">
        <v>142</v>
      </c>
      <c r="E89" s="3" t="n">
        <v>29.9311970319981</v>
      </c>
      <c r="G89" s="4" t="s">
        <v>13</v>
      </c>
      <c r="H89" s="4" t="s">
        <v>272</v>
      </c>
    </row>
    <row r="90" customFormat="false" ht="17.15" hidden="false" customHeight="false" outlineLevel="0" collapsed="false">
      <c r="A90" s="0" t="s">
        <v>273</v>
      </c>
      <c r="B90" s="0" t="s">
        <v>274</v>
      </c>
      <c r="C90" s="0" t="s">
        <v>142</v>
      </c>
      <c r="E90" s="3" t="n">
        <v>11.1609392244584</v>
      </c>
      <c r="G90" s="4" t="s">
        <v>13</v>
      </c>
      <c r="H90" s="4" t="s">
        <v>275</v>
      </c>
    </row>
    <row r="91" customFormat="false" ht="17.15" hidden="false" customHeight="false" outlineLevel="0" collapsed="false">
      <c r="A91" s="0" t="s">
        <v>276</v>
      </c>
      <c r="B91" s="0" t="s">
        <v>277</v>
      </c>
      <c r="C91" s="0" t="s">
        <v>138</v>
      </c>
      <c r="E91" s="3" t="n">
        <v>131.229375</v>
      </c>
      <c r="G91" s="4" t="s">
        <v>160</v>
      </c>
      <c r="H91" s="4" t="s">
        <v>278</v>
      </c>
    </row>
    <row r="92" customFormat="false" ht="17.15" hidden="false" customHeight="false" outlineLevel="0" collapsed="false">
      <c r="A92" s="0" t="s">
        <v>279</v>
      </c>
      <c r="B92" s="0" t="s">
        <v>280</v>
      </c>
      <c r="C92" s="0" t="s">
        <v>12</v>
      </c>
      <c r="E92" s="3" t="n">
        <v>0.770955</v>
      </c>
      <c r="G92" s="4" t="s">
        <v>13</v>
      </c>
      <c r="H92" s="4" t="s">
        <v>281</v>
      </c>
    </row>
    <row r="93" customFormat="false" ht="17.15" hidden="false" customHeight="false" outlineLevel="0" collapsed="false">
      <c r="A93" s="0" t="s">
        <v>282</v>
      </c>
      <c r="B93" s="0" t="s">
        <v>283</v>
      </c>
      <c r="C93" s="0" t="s">
        <v>12</v>
      </c>
      <c r="E93" s="3" t="n">
        <v>0.770955</v>
      </c>
      <c r="G93" s="4" t="s">
        <v>13</v>
      </c>
      <c r="H93" s="4" t="s">
        <v>284</v>
      </c>
    </row>
    <row r="94" customFormat="false" ht="17.15" hidden="false" customHeight="false" outlineLevel="0" collapsed="false">
      <c r="A94" s="0" t="s">
        <v>285</v>
      </c>
      <c r="B94" s="0" t="s">
        <v>286</v>
      </c>
      <c r="C94" s="0" t="s">
        <v>142</v>
      </c>
      <c r="E94" s="3" t="n">
        <v>33.0020089706715</v>
      </c>
      <c r="G94" s="4" t="s">
        <v>13</v>
      </c>
      <c r="H94" s="4" t="s">
        <v>287</v>
      </c>
    </row>
    <row r="95" customFormat="false" ht="17.15" hidden="false" customHeight="false" outlineLevel="0" collapsed="false">
      <c r="A95" s="0" t="s">
        <v>288</v>
      </c>
      <c r="B95" s="0" t="s">
        <v>289</v>
      </c>
      <c r="C95" s="0" t="s">
        <v>142</v>
      </c>
      <c r="E95" s="3" t="n">
        <v>10.9398997029418</v>
      </c>
      <c r="G95" s="4" t="s">
        <v>13</v>
      </c>
      <c r="H95" s="4" t="s">
        <v>290</v>
      </c>
    </row>
    <row r="96" customFormat="false" ht="17.15" hidden="false" customHeight="false" outlineLevel="0" collapsed="false">
      <c r="A96" s="0" t="s">
        <v>291</v>
      </c>
      <c r="B96" s="0" t="s">
        <v>292</v>
      </c>
      <c r="C96" s="0" t="s">
        <v>138</v>
      </c>
      <c r="E96" s="3" t="n">
        <v>174.08595</v>
      </c>
      <c r="G96" s="4" t="s">
        <v>160</v>
      </c>
      <c r="H96" s="4" t="s">
        <v>293</v>
      </c>
    </row>
    <row r="97" customFormat="false" ht="17.15" hidden="false" customHeight="false" outlineLevel="0" collapsed="false">
      <c r="A97" s="0" t="s">
        <v>294</v>
      </c>
      <c r="B97" s="0" t="s">
        <v>295</v>
      </c>
      <c r="C97" s="0" t="s">
        <v>12</v>
      </c>
      <c r="E97" s="3" t="n">
        <v>1.04</v>
      </c>
      <c r="G97" s="4" t="s">
        <v>13</v>
      </c>
      <c r="H97" s="4" t="s">
        <v>296</v>
      </c>
    </row>
    <row r="98" customFormat="false" ht="17.15" hidden="false" customHeight="false" outlineLevel="0" collapsed="false">
      <c r="A98" s="0" t="s">
        <v>297</v>
      </c>
      <c r="B98" s="0" t="s">
        <v>298</v>
      </c>
      <c r="C98" s="0" t="s">
        <v>12</v>
      </c>
      <c r="E98" s="3" t="n">
        <v>3.56447576934396</v>
      </c>
      <c r="G98" s="4" t="s">
        <v>13</v>
      </c>
      <c r="H98" s="4" t="s">
        <v>299</v>
      </c>
    </row>
    <row r="99" customFormat="false" ht="17.15" hidden="false" customHeight="false" outlineLevel="0" collapsed="false">
      <c r="A99" s="0" t="s">
        <v>300</v>
      </c>
      <c r="B99" s="0" t="s">
        <v>301</v>
      </c>
      <c r="C99" s="0" t="s">
        <v>142</v>
      </c>
      <c r="E99" s="3" t="n">
        <v>35.2555042907785</v>
      </c>
      <c r="G99" s="4" t="s">
        <v>13</v>
      </c>
      <c r="H99" s="4" t="s">
        <v>302</v>
      </c>
    </row>
    <row r="100" customFormat="false" ht="17.15" hidden="false" customHeight="false" outlineLevel="0" collapsed="false">
      <c r="A100" s="0" t="s">
        <v>303</v>
      </c>
      <c r="B100" s="0" t="s">
        <v>304</v>
      </c>
      <c r="C100" s="0" t="s">
        <v>142</v>
      </c>
      <c r="E100" s="3" t="n">
        <v>10.9619484555566</v>
      </c>
      <c r="G100" s="4" t="s">
        <v>13</v>
      </c>
      <c r="H100" s="4" t="s">
        <v>305</v>
      </c>
    </row>
    <row r="101" customFormat="false" ht="17.15" hidden="false" customHeight="false" outlineLevel="0" collapsed="false">
      <c r="A101" s="0" t="s">
        <v>306</v>
      </c>
      <c r="B101" s="0" t="s">
        <v>307</v>
      </c>
      <c r="C101" s="0" t="s">
        <v>138</v>
      </c>
      <c r="E101" s="3" t="n">
        <v>198.883</v>
      </c>
      <c r="G101" s="4" t="s">
        <v>160</v>
      </c>
      <c r="H101" s="4" t="s">
        <v>308</v>
      </c>
    </row>
    <row r="102" customFormat="false" ht="17.15" hidden="false" customHeight="false" outlineLevel="0" collapsed="false">
      <c r="A102" s="0" t="s">
        <v>309</v>
      </c>
      <c r="B102" s="0" t="s">
        <v>310</v>
      </c>
      <c r="C102" s="0" t="s">
        <v>12</v>
      </c>
      <c r="E102" s="3" t="n">
        <v>1.67</v>
      </c>
      <c r="G102" s="4" t="s">
        <v>13</v>
      </c>
      <c r="H102" s="4" t="s">
        <v>311</v>
      </c>
    </row>
    <row r="103" customFormat="false" ht="17.15" hidden="false" customHeight="false" outlineLevel="0" collapsed="false">
      <c r="A103" s="0" t="s">
        <v>312</v>
      </c>
      <c r="B103" s="0" t="s">
        <v>313</v>
      </c>
      <c r="C103" s="0" t="s">
        <v>12</v>
      </c>
      <c r="E103" s="3" t="n">
        <v>4.06597876464757</v>
      </c>
      <c r="G103" s="4" t="s">
        <v>13</v>
      </c>
      <c r="H103" s="4" t="s">
        <v>314</v>
      </c>
    </row>
    <row r="104" customFormat="false" ht="17.15" hidden="false" customHeight="false" outlineLevel="0" collapsed="false">
      <c r="A104" s="0" t="s">
        <v>315</v>
      </c>
      <c r="B104" s="0" t="s">
        <v>316</v>
      </c>
      <c r="C104" s="0" t="s">
        <v>142</v>
      </c>
      <c r="E104" s="3" t="n">
        <v>35.1976655218092</v>
      </c>
      <c r="G104" s="4" t="s">
        <v>13</v>
      </c>
      <c r="H104" s="4" t="s">
        <v>317</v>
      </c>
    </row>
    <row r="105" customFormat="false" ht="17.15" hidden="false" customHeight="false" outlineLevel="0" collapsed="false">
      <c r="A105" s="0" t="s">
        <v>318</v>
      </c>
      <c r="B105" s="0" t="s">
        <v>319</v>
      </c>
      <c r="C105" s="0" t="s">
        <v>142</v>
      </c>
      <c r="E105" s="3" t="n">
        <v>10.9456921278958</v>
      </c>
      <c r="G105" s="4" t="s">
        <v>13</v>
      </c>
      <c r="H105" s="4" t="s">
        <v>320</v>
      </c>
    </row>
    <row r="106" customFormat="false" ht="17.15" hidden="false" customHeight="false" outlineLevel="0" collapsed="false">
      <c r="A106" s="0" t="s">
        <v>321</v>
      </c>
      <c r="B106" s="0" t="s">
        <v>322</v>
      </c>
      <c r="C106" s="0" t="s">
        <v>138</v>
      </c>
      <c r="E106" s="3" t="n">
        <v>224.1719025</v>
      </c>
      <c r="G106" s="4" t="s">
        <v>160</v>
      </c>
      <c r="H106" s="4" t="s">
        <v>323</v>
      </c>
    </row>
    <row r="107" customFormat="false" ht="17.15" hidden="false" customHeight="false" outlineLevel="0" collapsed="false">
      <c r="A107" s="0" t="s">
        <v>324</v>
      </c>
      <c r="B107" s="0" t="s">
        <v>325</v>
      </c>
      <c r="C107" s="0" t="s">
        <v>12</v>
      </c>
      <c r="E107" s="3" t="n">
        <v>0.144</v>
      </c>
      <c r="G107" s="4" t="s">
        <v>13</v>
      </c>
      <c r="H107" s="4" t="s">
        <v>326</v>
      </c>
    </row>
    <row r="108" customFormat="false" ht="17.15" hidden="false" customHeight="false" outlineLevel="0" collapsed="false">
      <c r="A108" s="0" t="s">
        <v>327</v>
      </c>
      <c r="B108" s="0" t="s">
        <v>328</v>
      </c>
      <c r="C108" s="0" t="s">
        <v>12</v>
      </c>
      <c r="E108" s="3" t="n">
        <v>4.6644209987717</v>
      </c>
      <c r="G108" s="4" t="s">
        <v>13</v>
      </c>
      <c r="H108" s="4" t="s">
        <v>329</v>
      </c>
    </row>
    <row r="109" customFormat="false" ht="17.15" hidden="false" customHeight="false" outlineLevel="0" collapsed="false">
      <c r="A109" s="0" t="s">
        <v>330</v>
      </c>
      <c r="B109" s="0" t="s">
        <v>331</v>
      </c>
      <c r="C109" s="0" t="s">
        <v>138</v>
      </c>
      <c r="G109" s="0" t="s">
        <v>13</v>
      </c>
      <c r="H109" s="0" t="s">
        <v>332</v>
      </c>
    </row>
    <row r="110" customFormat="false" ht="17.15" hidden="false" customHeight="false" outlineLevel="0" collapsed="false">
      <c r="A110" s="0" t="s">
        <v>333</v>
      </c>
      <c r="B110" s="0" t="s">
        <v>334</v>
      </c>
      <c r="C110" s="0" t="s">
        <v>138</v>
      </c>
      <c r="G110" s="0" t="s">
        <v>13</v>
      </c>
      <c r="H110" s="0" t="s">
        <v>335</v>
      </c>
    </row>
    <row r="111" customFormat="false" ht="17.15" hidden="false" customHeight="false" outlineLevel="0" collapsed="false">
      <c r="A111" s="0" t="s">
        <v>336</v>
      </c>
      <c r="B111" s="0" t="s">
        <v>337</v>
      </c>
      <c r="C111" s="0" t="s">
        <v>138</v>
      </c>
      <c r="E111" s="3" t="n">
        <v>145.3</v>
      </c>
      <c r="G111" s="4" t="s">
        <v>13</v>
      </c>
      <c r="H111" s="4" t="s">
        <v>338</v>
      </c>
    </row>
    <row r="112" customFormat="false" ht="17.15" hidden="false" customHeight="false" outlineLevel="0" collapsed="false">
      <c r="A112" s="0" t="s">
        <v>339</v>
      </c>
      <c r="B112" s="0" t="s">
        <v>340</v>
      </c>
      <c r="C112" s="0" t="s">
        <v>138</v>
      </c>
      <c r="E112" s="3" t="n">
        <v>204.2</v>
      </c>
      <c r="G112" s="4" t="s">
        <v>13</v>
      </c>
      <c r="H112" s="4" t="s">
        <v>341</v>
      </c>
    </row>
    <row r="113" customFormat="false" ht="17.15" hidden="false" customHeight="false" outlineLevel="0" collapsed="false">
      <c r="A113" s="0" t="s">
        <v>342</v>
      </c>
      <c r="B113" s="0" t="s">
        <v>343</v>
      </c>
      <c r="C113" s="0" t="s">
        <v>138</v>
      </c>
      <c r="E113" s="3" t="n">
        <v>233.304883</v>
      </c>
      <c r="G113" s="4" t="s">
        <v>13</v>
      </c>
      <c r="H113" s="4" t="s">
        <v>344</v>
      </c>
    </row>
    <row r="114" customFormat="false" ht="17.15" hidden="false" customHeight="false" outlineLevel="0" collapsed="false">
      <c r="A114" s="0" t="s">
        <v>345</v>
      </c>
      <c r="B114" s="0" t="s">
        <v>346</v>
      </c>
      <c r="C114" s="0" t="s">
        <v>138</v>
      </c>
      <c r="E114" s="3" t="n">
        <v>243.866549</v>
      </c>
      <c r="G114" s="4" t="s">
        <v>13</v>
      </c>
      <c r="H114" s="4" t="s">
        <v>347</v>
      </c>
    </row>
    <row r="115" customFormat="false" ht="17.15" hidden="false" customHeight="false" outlineLevel="0" collapsed="false">
      <c r="A115" s="0" t="s">
        <v>348</v>
      </c>
      <c r="B115" s="0" t="s">
        <v>349</v>
      </c>
      <c r="C115" s="0" t="s">
        <v>138</v>
      </c>
      <c r="E115" s="3" t="n">
        <v>221.102227</v>
      </c>
      <c r="G115" s="4" t="s">
        <v>13</v>
      </c>
      <c r="H115" s="4" t="s">
        <v>350</v>
      </c>
    </row>
    <row r="116" customFormat="false" ht="17.15" hidden="false" customHeight="false" outlineLevel="0" collapsed="false">
      <c r="A116" s="0" t="s">
        <v>351</v>
      </c>
      <c r="B116" s="0" t="s">
        <v>352</v>
      </c>
      <c r="C116" s="0" t="s">
        <v>138</v>
      </c>
      <c r="E116" s="3" t="n">
        <v>64.551</v>
      </c>
      <c r="G116" s="4" t="s">
        <v>149</v>
      </c>
      <c r="H116" s="4" t="s">
        <v>353</v>
      </c>
    </row>
    <row r="117" customFormat="false" ht="17.15" hidden="false" customHeight="false" outlineLevel="0" collapsed="false">
      <c r="A117" s="0" t="s">
        <v>354</v>
      </c>
      <c r="B117" s="0" t="s">
        <v>355</v>
      </c>
      <c r="C117" s="0" t="s">
        <v>134</v>
      </c>
      <c r="E117" s="3" t="n">
        <v>0.238210067173108</v>
      </c>
      <c r="G117" s="4" t="s">
        <v>13</v>
      </c>
      <c r="H117" s="4" t="s">
        <v>356</v>
      </c>
    </row>
    <row r="118" customFormat="false" ht="17.15" hidden="false" customHeight="false" outlineLevel="0" collapsed="false">
      <c r="A118" s="0" t="s">
        <v>357</v>
      </c>
      <c r="B118" s="0" t="s">
        <v>358</v>
      </c>
      <c r="C118" s="0" t="s">
        <v>134</v>
      </c>
      <c r="E118" s="3" t="n">
        <v>0.238210067173108</v>
      </c>
      <c r="G118" s="4" t="s">
        <v>13</v>
      </c>
      <c r="H118" s="4" t="s">
        <v>359</v>
      </c>
    </row>
    <row r="119" customFormat="false" ht="17.15" hidden="false" customHeight="false" outlineLevel="0" collapsed="false">
      <c r="A119" s="0" t="s">
        <v>360</v>
      </c>
      <c r="B119" s="0" t="s">
        <v>361</v>
      </c>
      <c r="C119" s="0" t="s">
        <v>134</v>
      </c>
      <c r="E119" s="3" t="n">
        <v>0.238210067173108</v>
      </c>
      <c r="G119" s="4" t="s">
        <v>13</v>
      </c>
      <c r="H119" s="4" t="s">
        <v>362</v>
      </c>
    </row>
    <row r="120" customFormat="false" ht="17.15" hidden="false" customHeight="false" outlineLevel="0" collapsed="false">
      <c r="A120" s="0" t="s">
        <v>363</v>
      </c>
      <c r="B120" s="0" t="s">
        <v>364</v>
      </c>
      <c r="C120" s="0" t="s">
        <v>134</v>
      </c>
      <c r="E120" s="3" t="n">
        <v>0.273101862203342</v>
      </c>
      <c r="G120" s="4" t="s">
        <v>13</v>
      </c>
      <c r="H120" s="4" t="s">
        <v>365</v>
      </c>
    </row>
    <row r="121" customFormat="false" ht="17.15" hidden="false" customHeight="false" outlineLevel="0" collapsed="false">
      <c r="A121" s="0" t="s">
        <v>366</v>
      </c>
      <c r="B121" s="0" t="s">
        <v>367</v>
      </c>
      <c r="C121" s="0" t="s">
        <v>134</v>
      </c>
      <c r="E121" s="3" t="n">
        <v>0.269621396123668</v>
      </c>
      <c r="G121" s="4" t="s">
        <v>13</v>
      </c>
      <c r="H121" s="4" t="s">
        <v>368</v>
      </c>
    </row>
    <row r="122" customFormat="false" ht="17.15" hidden="false" customHeight="false" outlineLevel="0" collapsed="false">
      <c r="A122" s="0" t="s">
        <v>369</v>
      </c>
      <c r="B122" s="0" t="s">
        <v>370</v>
      </c>
      <c r="C122" s="0" t="s">
        <v>134</v>
      </c>
      <c r="E122" s="3" t="n">
        <v>0.272187509408712</v>
      </c>
      <c r="G122" s="4" t="s">
        <v>13</v>
      </c>
      <c r="H122" s="4" t="s">
        <v>371</v>
      </c>
    </row>
    <row r="123" customFormat="false" ht="17.15" hidden="false" customHeight="false" outlineLevel="0" collapsed="false">
      <c r="A123" s="0" t="s">
        <v>372</v>
      </c>
      <c r="B123" s="0" t="s">
        <v>373</v>
      </c>
      <c r="C123" s="5" t="s">
        <v>238</v>
      </c>
      <c r="E123" s="3" t="n">
        <v>12</v>
      </c>
      <c r="G123" s="4" t="s">
        <v>149</v>
      </c>
      <c r="H123" s="4" t="s">
        <v>374</v>
      </c>
    </row>
    <row r="124" customFormat="false" ht="17.15" hidden="false" customHeight="false" outlineLevel="0" collapsed="false">
      <c r="A124" s="0" t="s">
        <v>375</v>
      </c>
      <c r="B124" s="0" t="s">
        <v>376</v>
      </c>
      <c r="C124" s="0" t="s">
        <v>142</v>
      </c>
      <c r="E124" s="3" t="n">
        <v>26.6067889972</v>
      </c>
      <c r="G124" s="4" t="s">
        <v>13</v>
      </c>
      <c r="H124" s="4" t="s">
        <v>377</v>
      </c>
    </row>
    <row r="125" customFormat="false" ht="17.15" hidden="false" customHeight="false" outlineLevel="0" collapsed="false">
      <c r="A125" s="0" t="s">
        <v>378</v>
      </c>
      <c r="B125" s="0" t="s">
        <v>379</v>
      </c>
      <c r="C125" s="0" t="s">
        <v>142</v>
      </c>
      <c r="E125" s="3" t="n">
        <v>9.807847</v>
      </c>
      <c r="G125" s="4" t="s">
        <v>13</v>
      </c>
      <c r="H125" s="4" t="s">
        <v>380</v>
      </c>
    </row>
    <row r="126" customFormat="false" ht="17.15" hidden="false" customHeight="false" outlineLevel="0" collapsed="false">
      <c r="A126" s="0" t="s">
        <v>381</v>
      </c>
      <c r="B126" s="0" t="s">
        <v>382</v>
      </c>
      <c r="C126" s="0" t="s">
        <v>138</v>
      </c>
      <c r="G126" s="0" t="s">
        <v>160</v>
      </c>
      <c r="H126" s="0" t="s">
        <v>383</v>
      </c>
    </row>
    <row r="127" customFormat="false" ht="17.15" hidden="false" customHeight="false" outlineLevel="0" collapsed="false">
      <c r="A127" s="0" t="s">
        <v>384</v>
      </c>
      <c r="B127" s="0" t="s">
        <v>385</v>
      </c>
      <c r="C127" s="0" t="s">
        <v>12</v>
      </c>
      <c r="E127" s="3" t="n">
        <v>1.32980834349181</v>
      </c>
      <c r="G127" s="4" t="s">
        <v>13</v>
      </c>
      <c r="H127" s="4" t="s">
        <v>386</v>
      </c>
    </row>
    <row r="128" customFormat="false" ht="17.15" hidden="false" customHeight="false" outlineLevel="0" collapsed="false">
      <c r="A128" s="0" t="s">
        <v>387</v>
      </c>
      <c r="B128" s="0" t="s">
        <v>388</v>
      </c>
      <c r="C128" s="0" t="s">
        <v>12</v>
      </c>
      <c r="E128" s="3" t="n">
        <v>1.32980834349181</v>
      </c>
      <c r="G128" s="4" t="s">
        <v>13</v>
      </c>
      <c r="H128" s="4" t="s">
        <v>389</v>
      </c>
    </row>
    <row r="129" customFormat="false" ht="17.15" hidden="false" customHeight="false" outlineLevel="0" collapsed="false">
      <c r="A129" s="0" t="s">
        <v>390</v>
      </c>
      <c r="B129" s="0" t="s">
        <v>391</v>
      </c>
      <c r="C129" s="0" t="s">
        <v>142</v>
      </c>
      <c r="E129" s="3" t="n">
        <v>26.2360108752</v>
      </c>
      <c r="G129" s="4" t="s">
        <v>13</v>
      </c>
      <c r="H129" s="4" t="s">
        <v>392</v>
      </c>
    </row>
    <row r="130" customFormat="false" ht="17.15" hidden="false" customHeight="false" outlineLevel="0" collapsed="false">
      <c r="A130" s="0" t="s">
        <v>393</v>
      </c>
      <c r="B130" s="0" t="s">
        <v>394</v>
      </c>
      <c r="C130" s="0" t="s">
        <v>142</v>
      </c>
      <c r="E130" s="3" t="n">
        <v>9.807847</v>
      </c>
      <c r="G130" s="4" t="s">
        <v>13</v>
      </c>
      <c r="H130" s="4" t="s">
        <v>395</v>
      </c>
    </row>
    <row r="131" customFormat="false" ht="17.15" hidden="false" customHeight="false" outlineLevel="0" collapsed="false">
      <c r="A131" s="0" t="s">
        <v>396</v>
      </c>
      <c r="B131" s="0" t="s">
        <v>397</v>
      </c>
      <c r="C131" s="0" t="s">
        <v>138</v>
      </c>
      <c r="E131" s="3" t="n">
        <v>77.72995</v>
      </c>
      <c r="G131" s="4" t="s">
        <v>160</v>
      </c>
      <c r="H131" s="4" t="s">
        <v>398</v>
      </c>
    </row>
    <row r="132" customFormat="false" ht="17.15" hidden="false" customHeight="false" outlineLevel="0" collapsed="false">
      <c r="A132" s="0" t="s">
        <v>399</v>
      </c>
      <c r="B132" s="0" t="s">
        <v>400</v>
      </c>
      <c r="C132" s="0" t="s">
        <v>12</v>
      </c>
      <c r="E132" s="3" t="n">
        <v>2.40961330082622</v>
      </c>
      <c r="G132" s="4" t="s">
        <v>13</v>
      </c>
      <c r="H132" s="4" t="s">
        <v>401</v>
      </c>
    </row>
    <row r="133" customFormat="false" ht="17.15" hidden="false" customHeight="false" outlineLevel="0" collapsed="false">
      <c r="A133" s="0" t="s">
        <v>402</v>
      </c>
      <c r="B133" s="0" t="s">
        <v>403</v>
      </c>
      <c r="C133" s="0" t="s">
        <v>12</v>
      </c>
      <c r="E133" s="3" t="n">
        <v>2.40961330082622</v>
      </c>
      <c r="G133" s="4" t="s">
        <v>13</v>
      </c>
      <c r="H133" s="4" t="s">
        <v>404</v>
      </c>
    </row>
    <row r="134" customFormat="false" ht="17.15" hidden="false" customHeight="false" outlineLevel="0" collapsed="false">
      <c r="A134" s="0" t="s">
        <v>405</v>
      </c>
      <c r="B134" s="0" t="s">
        <v>406</v>
      </c>
      <c r="C134" s="0" t="s">
        <v>142</v>
      </c>
      <c r="E134" s="3" t="n">
        <v>28.06503208272</v>
      </c>
      <c r="G134" s="4" t="s">
        <v>13</v>
      </c>
      <c r="H134" s="4" t="s">
        <v>407</v>
      </c>
    </row>
    <row r="135" customFormat="false" ht="17.15" hidden="false" customHeight="false" outlineLevel="0" collapsed="false">
      <c r="A135" s="0" t="s">
        <v>408</v>
      </c>
      <c r="B135" s="0" t="s">
        <v>409</v>
      </c>
      <c r="C135" s="0" t="s">
        <v>142</v>
      </c>
      <c r="E135" s="3" t="n">
        <v>9.807847</v>
      </c>
      <c r="G135" s="4" t="s">
        <v>13</v>
      </c>
      <c r="H135" s="4" t="s">
        <v>410</v>
      </c>
    </row>
    <row r="136" customFormat="false" ht="17.15" hidden="false" customHeight="false" outlineLevel="0" collapsed="false">
      <c r="A136" s="0" t="s">
        <v>411</v>
      </c>
      <c r="B136" s="0" t="s">
        <v>412</v>
      </c>
      <c r="C136" s="0" t="s">
        <v>138</v>
      </c>
      <c r="E136" s="3" t="n">
        <v>170</v>
      </c>
      <c r="G136" s="4" t="s">
        <v>160</v>
      </c>
      <c r="H136" s="4" t="s">
        <v>413</v>
      </c>
    </row>
    <row r="137" customFormat="false" ht="17.15" hidden="false" customHeight="false" outlineLevel="0" collapsed="false">
      <c r="A137" s="0" t="s">
        <v>414</v>
      </c>
      <c r="B137" s="0" t="s">
        <v>415</v>
      </c>
      <c r="C137" s="0" t="s">
        <v>12</v>
      </c>
      <c r="E137" s="3" t="n">
        <v>1.29267912772586</v>
      </c>
      <c r="G137" s="4" t="s">
        <v>13</v>
      </c>
      <c r="H137" s="4" t="s">
        <v>416</v>
      </c>
    </row>
    <row r="138" customFormat="false" ht="17.15" hidden="false" customHeight="false" outlineLevel="0" collapsed="false">
      <c r="A138" s="0" t="s">
        <v>417</v>
      </c>
      <c r="B138" s="0" t="s">
        <v>418</v>
      </c>
      <c r="C138" s="0" t="s">
        <v>12</v>
      </c>
      <c r="E138" s="3" t="n">
        <v>1.29267912772586</v>
      </c>
      <c r="G138" s="4" t="s">
        <v>13</v>
      </c>
      <c r="H138" s="4" t="s">
        <v>419</v>
      </c>
    </row>
    <row r="139" customFormat="false" ht="17.15" hidden="false" customHeight="false" outlineLevel="0" collapsed="false">
      <c r="A139" s="0" t="s">
        <v>420</v>
      </c>
      <c r="B139" s="0" t="s">
        <v>421</v>
      </c>
      <c r="C139" s="0" t="s">
        <v>142</v>
      </c>
      <c r="E139" s="3" t="n">
        <v>29.281842304383</v>
      </c>
      <c r="G139" s="4" t="s">
        <v>13</v>
      </c>
      <c r="H139" s="4" t="s">
        <v>422</v>
      </c>
    </row>
    <row r="140" customFormat="false" ht="17.15" hidden="false" customHeight="false" outlineLevel="0" collapsed="false">
      <c r="A140" s="0" t="s">
        <v>423</v>
      </c>
      <c r="B140" s="0" t="s">
        <v>424</v>
      </c>
      <c r="C140" s="0" t="s">
        <v>142</v>
      </c>
      <c r="E140" s="3" t="n">
        <v>9.807847</v>
      </c>
      <c r="G140" s="4" t="s">
        <v>13</v>
      </c>
      <c r="H140" s="4" t="s">
        <v>425</v>
      </c>
    </row>
    <row r="141" customFormat="false" ht="17.15" hidden="false" customHeight="false" outlineLevel="0" collapsed="false">
      <c r="A141" s="0" t="s">
        <v>426</v>
      </c>
      <c r="B141" s="0" t="s">
        <v>427</v>
      </c>
      <c r="C141" s="0" t="s">
        <v>138</v>
      </c>
      <c r="E141" s="3" t="n">
        <v>255.83215</v>
      </c>
      <c r="G141" s="4" t="s">
        <v>160</v>
      </c>
      <c r="H141" s="4" t="s">
        <v>428</v>
      </c>
    </row>
    <row r="142" customFormat="false" ht="17.15" hidden="false" customHeight="false" outlineLevel="0" collapsed="false">
      <c r="A142" s="0" t="s">
        <v>429</v>
      </c>
      <c r="B142" s="0" t="s">
        <v>430</v>
      </c>
      <c r="C142" s="0" t="s">
        <v>12</v>
      </c>
      <c r="E142" s="3" t="n">
        <v>1.626</v>
      </c>
      <c r="G142" s="4" t="s">
        <v>13</v>
      </c>
      <c r="H142" s="4" t="s">
        <v>431</v>
      </c>
    </row>
    <row r="143" customFormat="false" ht="17.15" hidden="false" customHeight="false" outlineLevel="0" collapsed="false">
      <c r="A143" s="0" t="s">
        <v>432</v>
      </c>
      <c r="B143" s="0" t="s">
        <v>433</v>
      </c>
      <c r="C143" s="0" t="s">
        <v>12</v>
      </c>
      <c r="E143" s="3" t="n">
        <v>5.69768565998842</v>
      </c>
      <c r="G143" s="4" t="s">
        <v>13</v>
      </c>
      <c r="H143" s="4" t="s">
        <v>434</v>
      </c>
    </row>
    <row r="144" customFormat="false" ht="17.15" hidden="false" customHeight="false" outlineLevel="0" collapsed="false">
      <c r="A144" s="0" t="s">
        <v>435</v>
      </c>
      <c r="B144" s="0" t="s">
        <v>436</v>
      </c>
      <c r="C144" s="0" t="s">
        <v>142</v>
      </c>
      <c r="E144" s="3" t="n">
        <v>30.020923498987</v>
      </c>
      <c r="G144" s="4" t="s">
        <v>13</v>
      </c>
      <c r="H144" s="4" t="s">
        <v>437</v>
      </c>
    </row>
    <row r="145" customFormat="false" ht="17.15" hidden="false" customHeight="false" outlineLevel="0" collapsed="false">
      <c r="A145" s="0" t="s">
        <v>438</v>
      </c>
      <c r="B145" s="0" t="s">
        <v>439</v>
      </c>
      <c r="C145" s="0" t="s">
        <v>142</v>
      </c>
      <c r="E145" s="3" t="n">
        <v>9.807847</v>
      </c>
      <c r="G145" s="4" t="s">
        <v>13</v>
      </c>
      <c r="H145" s="4" t="s">
        <v>440</v>
      </c>
    </row>
    <row r="146" customFormat="false" ht="17.15" hidden="false" customHeight="false" outlineLevel="0" collapsed="false">
      <c r="A146" s="0" t="s">
        <v>441</v>
      </c>
      <c r="B146" s="0" t="s">
        <v>442</v>
      </c>
      <c r="C146" s="0" t="s">
        <v>138</v>
      </c>
      <c r="E146" s="3" t="n">
        <v>288.53335</v>
      </c>
      <c r="G146" s="4" t="s">
        <v>160</v>
      </c>
      <c r="H146" s="4" t="s">
        <v>443</v>
      </c>
    </row>
    <row r="147" customFormat="false" ht="17.15" hidden="false" customHeight="false" outlineLevel="0" collapsed="false">
      <c r="A147" s="0" t="s">
        <v>444</v>
      </c>
      <c r="B147" s="0" t="s">
        <v>445</v>
      </c>
      <c r="C147" s="0" t="s">
        <v>12</v>
      </c>
      <c r="E147" s="3" t="n">
        <v>0.833333333333334</v>
      </c>
      <c r="G147" s="4" t="s">
        <v>13</v>
      </c>
      <c r="H147" s="4" t="s">
        <v>446</v>
      </c>
    </row>
    <row r="148" customFormat="false" ht="17.15" hidden="false" customHeight="false" outlineLevel="0" collapsed="false">
      <c r="A148" s="0" t="s">
        <v>447</v>
      </c>
      <c r="B148" s="0" t="s">
        <v>448</v>
      </c>
      <c r="C148" s="0" t="s">
        <v>12</v>
      </c>
      <c r="E148" s="3" t="n">
        <v>6.77682412398346</v>
      </c>
      <c r="G148" s="4" t="s">
        <v>13</v>
      </c>
      <c r="H148" s="4" t="s">
        <v>449</v>
      </c>
    </row>
    <row r="149" customFormat="false" ht="17.15" hidden="false" customHeight="false" outlineLevel="0" collapsed="false">
      <c r="A149" s="0" t="s">
        <v>450</v>
      </c>
      <c r="B149" s="0" t="s">
        <v>451</v>
      </c>
      <c r="C149" s="0" t="s">
        <v>142</v>
      </c>
      <c r="E149" s="3" t="n">
        <v>30.020923498987</v>
      </c>
      <c r="G149" s="4" t="s">
        <v>13</v>
      </c>
      <c r="H149" s="4" t="s">
        <v>452</v>
      </c>
    </row>
    <row r="150" customFormat="false" ht="17.15" hidden="false" customHeight="false" outlineLevel="0" collapsed="false">
      <c r="A150" s="0" t="s">
        <v>453</v>
      </c>
      <c r="B150" s="0" t="s">
        <v>454</v>
      </c>
      <c r="C150" s="0" t="s">
        <v>142</v>
      </c>
      <c r="E150" s="3" t="n">
        <v>9.807847</v>
      </c>
      <c r="G150" s="4" t="s">
        <v>13</v>
      </c>
      <c r="H150" s="4" t="s">
        <v>455</v>
      </c>
    </row>
    <row r="151" customFormat="false" ht="17.15" hidden="false" customHeight="false" outlineLevel="0" collapsed="false">
      <c r="A151" s="0" t="s">
        <v>456</v>
      </c>
      <c r="B151" s="0" t="s">
        <v>457</v>
      </c>
      <c r="C151" s="0" t="s">
        <v>138</v>
      </c>
      <c r="E151" s="3" t="n">
        <v>317.386685</v>
      </c>
      <c r="G151" s="4" t="s">
        <v>160</v>
      </c>
      <c r="H151" s="4" t="s">
        <v>458</v>
      </c>
    </row>
    <row r="152" customFormat="false" ht="17.15" hidden="false" customHeight="false" outlineLevel="0" collapsed="false">
      <c r="A152" s="0" t="s">
        <v>459</v>
      </c>
      <c r="B152" s="0" t="s">
        <v>460</v>
      </c>
      <c r="C152" s="0" t="s">
        <v>12</v>
      </c>
      <c r="E152" s="3" t="n">
        <v>0</v>
      </c>
      <c r="G152" s="4" t="s">
        <v>13</v>
      </c>
      <c r="H152" s="4" t="s">
        <v>461</v>
      </c>
    </row>
    <row r="153" customFormat="false" ht="17.15" hidden="false" customHeight="false" outlineLevel="0" collapsed="false">
      <c r="A153" s="0" t="s">
        <v>462</v>
      </c>
      <c r="B153" s="0" t="s">
        <v>463</v>
      </c>
      <c r="C153" s="0" t="s">
        <v>12</v>
      </c>
      <c r="E153" s="3" t="n">
        <v>7.68929590970478</v>
      </c>
      <c r="G153" s="4" t="s">
        <v>13</v>
      </c>
      <c r="H153" s="4" t="s">
        <v>464</v>
      </c>
    </row>
    <row r="154" customFormat="false" ht="17.15" hidden="false" customHeight="false" outlineLevel="0" collapsed="false">
      <c r="A154" s="0" t="s">
        <v>465</v>
      </c>
      <c r="B154" s="0" t="s">
        <v>466</v>
      </c>
      <c r="C154" s="0" t="s">
        <v>138</v>
      </c>
      <c r="E154" s="3" t="n">
        <v>52.535</v>
      </c>
      <c r="G154" s="4" t="s">
        <v>13</v>
      </c>
      <c r="H154" s="4" t="s">
        <v>467</v>
      </c>
    </row>
    <row r="155" customFormat="false" ht="17.15" hidden="false" customHeight="false" outlineLevel="0" collapsed="false">
      <c r="A155" s="0" t="s">
        <v>468</v>
      </c>
      <c r="B155" s="0" t="s">
        <v>469</v>
      </c>
      <c r="C155" s="0" t="s">
        <v>138</v>
      </c>
      <c r="E155" s="3" t="n">
        <v>91.447</v>
      </c>
      <c r="G155" s="4" t="s">
        <v>13</v>
      </c>
      <c r="H155" s="4" t="s">
        <v>470</v>
      </c>
    </row>
    <row r="156" customFormat="false" ht="17.15" hidden="false" customHeight="false" outlineLevel="0" collapsed="false">
      <c r="A156" s="0" t="s">
        <v>471</v>
      </c>
      <c r="B156" s="0" t="s">
        <v>472</v>
      </c>
      <c r="C156" s="0" t="s">
        <v>138</v>
      </c>
      <c r="E156" s="3" t="n">
        <v>200</v>
      </c>
      <c r="G156" s="4" t="s">
        <v>13</v>
      </c>
      <c r="H156" s="4" t="s">
        <v>473</v>
      </c>
    </row>
    <row r="157" customFormat="false" ht="17.15" hidden="false" customHeight="false" outlineLevel="0" collapsed="false">
      <c r="A157" s="0" t="s">
        <v>474</v>
      </c>
      <c r="B157" s="0" t="s">
        <v>475</v>
      </c>
      <c r="C157" s="0" t="s">
        <v>138</v>
      </c>
      <c r="E157" s="3" t="n">
        <v>290.36514</v>
      </c>
      <c r="G157" s="4" t="s">
        <v>13</v>
      </c>
      <c r="H157" s="4" t="s">
        <v>476</v>
      </c>
    </row>
    <row r="158" customFormat="false" ht="17.15" hidden="false" customHeight="false" outlineLevel="0" collapsed="false">
      <c r="A158" s="0" t="s">
        <v>477</v>
      </c>
      <c r="B158" s="0" t="s">
        <v>478</v>
      </c>
      <c r="C158" s="0" t="s">
        <v>138</v>
      </c>
      <c r="E158" s="3" t="n">
        <v>317.398835</v>
      </c>
      <c r="G158" s="4" t="s">
        <v>13</v>
      </c>
      <c r="H158" s="4" t="s">
        <v>479</v>
      </c>
    </row>
    <row r="159" customFormat="false" ht="17.15" hidden="false" customHeight="false" outlineLevel="0" collapsed="false">
      <c r="A159" s="0" t="s">
        <v>480</v>
      </c>
      <c r="B159" s="0" t="s">
        <v>481</v>
      </c>
      <c r="C159" s="0" t="s">
        <v>138</v>
      </c>
      <c r="E159" s="3" t="n">
        <v>292.560872</v>
      </c>
      <c r="G159" s="4" t="s">
        <v>13</v>
      </c>
      <c r="H159" s="4" t="s">
        <v>482</v>
      </c>
    </row>
    <row r="160" customFormat="false" ht="17.15" hidden="false" customHeight="false" outlineLevel="0" collapsed="false">
      <c r="A160" s="0" t="s">
        <v>483</v>
      </c>
      <c r="B160" s="0" t="s">
        <v>484</v>
      </c>
      <c r="C160" s="0" t="s">
        <v>138</v>
      </c>
      <c r="E160" s="3" t="n">
        <v>271.669537</v>
      </c>
      <c r="G160" s="4" t="s">
        <v>13</v>
      </c>
      <c r="H160" s="4" t="s">
        <v>485</v>
      </c>
    </row>
    <row r="161" customFormat="false" ht="17.15" hidden="false" customHeight="false" outlineLevel="0" collapsed="false">
      <c r="A161" s="0" t="s">
        <v>486</v>
      </c>
      <c r="B161" s="0" t="s">
        <v>487</v>
      </c>
      <c r="C161" s="0" t="s">
        <v>134</v>
      </c>
      <c r="E161" s="3" t="n">
        <v>0.753</v>
      </c>
      <c r="G161" s="4" t="s">
        <v>13</v>
      </c>
      <c r="H161" s="4" t="s">
        <v>488</v>
      </c>
    </row>
    <row r="162" customFormat="false" ht="17.15" hidden="false" customHeight="false" outlineLevel="0" collapsed="false">
      <c r="A162" s="0" t="s">
        <v>489</v>
      </c>
      <c r="B162" s="0" t="s">
        <v>490</v>
      </c>
      <c r="C162" s="0" t="s">
        <v>134</v>
      </c>
      <c r="E162" s="3" t="n">
        <v>0.753</v>
      </c>
      <c r="G162" s="4" t="s">
        <v>13</v>
      </c>
      <c r="H162" s="4" t="s">
        <v>491</v>
      </c>
    </row>
    <row r="163" customFormat="false" ht="17.15" hidden="false" customHeight="false" outlineLevel="0" collapsed="false">
      <c r="A163" s="0" t="s">
        <v>492</v>
      </c>
      <c r="B163" s="0" t="s">
        <v>493</v>
      </c>
      <c r="C163" s="0" t="s">
        <v>134</v>
      </c>
      <c r="E163" s="3" t="n">
        <v>0.753</v>
      </c>
      <c r="G163" s="4" t="s">
        <v>13</v>
      </c>
      <c r="H163" s="4" t="s">
        <v>494</v>
      </c>
    </row>
    <row r="164" customFormat="false" ht="17.15" hidden="false" customHeight="false" outlineLevel="0" collapsed="false">
      <c r="A164" s="0" t="s">
        <v>495</v>
      </c>
      <c r="B164" s="0" t="s">
        <v>496</v>
      </c>
      <c r="C164" s="0" t="s">
        <v>134</v>
      </c>
      <c r="E164" s="3" t="n">
        <v>0.753</v>
      </c>
      <c r="G164" s="4" t="s">
        <v>13</v>
      </c>
      <c r="H164" s="4" t="s">
        <v>497</v>
      </c>
    </row>
    <row r="165" customFormat="false" ht="17.15" hidden="false" customHeight="false" outlineLevel="0" collapsed="false">
      <c r="A165" s="0" t="s">
        <v>498</v>
      </c>
      <c r="B165" s="0" t="s">
        <v>499</v>
      </c>
      <c r="C165" s="0" t="s">
        <v>134</v>
      </c>
      <c r="E165" s="3" t="n">
        <v>0.753</v>
      </c>
      <c r="G165" s="4" t="s">
        <v>13</v>
      </c>
      <c r="H165" s="4" t="s">
        <v>500</v>
      </c>
    </row>
    <row r="166" customFormat="false" ht="17.15" hidden="false" customHeight="false" outlineLevel="0" collapsed="false">
      <c r="A166" s="0" t="s">
        <v>501</v>
      </c>
      <c r="B166" s="0" t="s">
        <v>502</v>
      </c>
      <c r="C166" s="0" t="s">
        <v>134</v>
      </c>
      <c r="E166" s="3" t="n">
        <v>0.753</v>
      </c>
      <c r="G166" s="4" t="s">
        <v>13</v>
      </c>
      <c r="H166" s="4" t="s">
        <v>503</v>
      </c>
    </row>
    <row r="167" customFormat="false" ht="17.15" hidden="false" customHeight="false" outlineLevel="0" collapsed="false">
      <c r="A167" s="0" t="s">
        <v>504</v>
      </c>
      <c r="B167" s="0" t="s">
        <v>505</v>
      </c>
      <c r="C167" s="5" t="s">
        <v>238</v>
      </c>
      <c r="E167" s="3" t="n">
        <v>12</v>
      </c>
      <c r="G167" s="4" t="s">
        <v>149</v>
      </c>
      <c r="H167" s="4" t="s">
        <v>506</v>
      </c>
    </row>
    <row r="168" customFormat="false" ht="17.15" hidden="false" customHeight="false" outlineLevel="0" collapsed="false">
      <c r="A168" s="0" t="s">
        <v>507</v>
      </c>
      <c r="B168" s="0" t="s">
        <v>508</v>
      </c>
      <c r="C168" s="0" t="s">
        <v>142</v>
      </c>
      <c r="E168" s="3" t="n">
        <v>24.4399126824</v>
      </c>
      <c r="G168" s="4" t="s">
        <v>13</v>
      </c>
      <c r="H168" s="4" t="s">
        <v>509</v>
      </c>
    </row>
    <row r="169" customFormat="false" ht="17.15" hidden="false" customHeight="false" outlineLevel="0" collapsed="false">
      <c r="A169" s="0" t="s">
        <v>510</v>
      </c>
      <c r="B169" s="0" t="s">
        <v>511</v>
      </c>
      <c r="C169" s="0" t="s">
        <v>142</v>
      </c>
      <c r="E169" s="3" t="n">
        <v>9.359329</v>
      </c>
      <c r="G169" s="4" t="s">
        <v>13</v>
      </c>
      <c r="H169" s="4" t="s">
        <v>512</v>
      </c>
    </row>
    <row r="170" customFormat="false" ht="17.15" hidden="false" customHeight="false" outlineLevel="0" collapsed="false">
      <c r="A170" s="0" t="s">
        <v>513</v>
      </c>
      <c r="B170" s="0" t="s">
        <v>514</v>
      </c>
      <c r="C170" s="0" t="s">
        <v>138</v>
      </c>
      <c r="G170" s="0" t="s">
        <v>160</v>
      </c>
      <c r="H170" s="0" t="s">
        <v>515</v>
      </c>
    </row>
    <row r="171" customFormat="false" ht="17.15" hidden="false" customHeight="false" outlineLevel="0" collapsed="false">
      <c r="A171" s="0" t="s">
        <v>516</v>
      </c>
      <c r="B171" s="0" t="s">
        <v>517</v>
      </c>
      <c r="C171" s="0" t="s">
        <v>12</v>
      </c>
      <c r="E171" s="3" t="n">
        <v>0</v>
      </c>
      <c r="G171" s="4" t="s">
        <v>13</v>
      </c>
      <c r="H171" s="4" t="s">
        <v>518</v>
      </c>
    </row>
    <row r="172" customFormat="false" ht="17.15" hidden="false" customHeight="false" outlineLevel="0" collapsed="false">
      <c r="A172" s="0" t="s">
        <v>519</v>
      </c>
      <c r="B172" s="0" t="s">
        <v>520</v>
      </c>
      <c r="C172" s="0" t="s">
        <v>12</v>
      </c>
      <c r="E172" s="3" t="n">
        <v>0</v>
      </c>
      <c r="G172" s="4" t="s">
        <v>13</v>
      </c>
      <c r="H172" s="4" t="s">
        <v>521</v>
      </c>
    </row>
    <row r="173" customFormat="false" ht="17.15" hidden="false" customHeight="false" outlineLevel="0" collapsed="false">
      <c r="A173" s="0" t="s">
        <v>522</v>
      </c>
      <c r="B173" s="0" t="s">
        <v>523</v>
      </c>
      <c r="C173" s="0" t="s">
        <v>142</v>
      </c>
      <c r="E173" s="3" t="n">
        <v>23.9445411024</v>
      </c>
      <c r="G173" s="4" t="s">
        <v>13</v>
      </c>
      <c r="H173" s="4" t="s">
        <v>524</v>
      </c>
    </row>
    <row r="174" customFormat="false" ht="17.15" hidden="false" customHeight="false" outlineLevel="0" collapsed="false">
      <c r="A174" s="0" t="s">
        <v>525</v>
      </c>
      <c r="B174" s="0" t="s">
        <v>526</v>
      </c>
      <c r="C174" s="0" t="s">
        <v>142</v>
      </c>
      <c r="E174" s="3" t="n">
        <v>9.359329</v>
      </c>
      <c r="G174" s="4" t="s">
        <v>13</v>
      </c>
      <c r="H174" s="4" t="s">
        <v>527</v>
      </c>
    </row>
    <row r="175" customFormat="false" ht="17.15" hidden="false" customHeight="false" outlineLevel="0" collapsed="false">
      <c r="A175" s="0" t="s">
        <v>528</v>
      </c>
      <c r="B175" s="0" t="s">
        <v>529</v>
      </c>
      <c r="C175" s="0" t="s">
        <v>138</v>
      </c>
      <c r="E175" s="3" t="n">
        <v>87.2576</v>
      </c>
      <c r="G175" s="4" t="s">
        <v>160</v>
      </c>
      <c r="H175" s="4" t="s">
        <v>530</v>
      </c>
    </row>
    <row r="176" customFormat="false" ht="17.15" hidden="false" customHeight="false" outlineLevel="0" collapsed="false">
      <c r="A176" s="0" t="s">
        <v>531</v>
      </c>
      <c r="B176" s="0" t="s">
        <v>532</v>
      </c>
      <c r="C176" s="0" t="s">
        <v>12</v>
      </c>
      <c r="E176" s="3" t="n">
        <v>1.38971599402093</v>
      </c>
      <c r="G176" s="4" t="s">
        <v>13</v>
      </c>
      <c r="H176" s="4" t="s">
        <v>533</v>
      </c>
    </row>
    <row r="177" customFormat="false" ht="17.15" hidden="false" customHeight="false" outlineLevel="0" collapsed="false">
      <c r="A177" s="0" t="s">
        <v>534</v>
      </c>
      <c r="B177" s="0" t="s">
        <v>535</v>
      </c>
      <c r="C177" s="0" t="s">
        <v>12</v>
      </c>
      <c r="E177" s="3" t="n">
        <v>1.38971599402093</v>
      </c>
      <c r="G177" s="4" t="s">
        <v>13</v>
      </c>
      <c r="H177" s="4" t="s">
        <v>536</v>
      </c>
    </row>
    <row r="178" customFormat="false" ht="17.15" hidden="false" customHeight="false" outlineLevel="0" collapsed="false">
      <c r="A178" s="0" t="s">
        <v>537</v>
      </c>
      <c r="B178" s="0" t="s">
        <v>538</v>
      </c>
      <c r="C178" s="0" t="s">
        <v>142</v>
      </c>
      <c r="E178" s="3" t="n">
        <v>26.3881726752</v>
      </c>
      <c r="G178" s="4" t="s">
        <v>13</v>
      </c>
      <c r="H178" s="4" t="s">
        <v>539</v>
      </c>
    </row>
    <row r="179" customFormat="false" ht="17.15" hidden="false" customHeight="false" outlineLevel="0" collapsed="false">
      <c r="A179" s="0" t="s">
        <v>540</v>
      </c>
      <c r="B179" s="0" t="s">
        <v>541</v>
      </c>
      <c r="C179" s="0" t="s">
        <v>142</v>
      </c>
      <c r="E179" s="3" t="n">
        <v>9.359329</v>
      </c>
      <c r="G179" s="4" t="s">
        <v>13</v>
      </c>
      <c r="H179" s="4" t="s">
        <v>542</v>
      </c>
    </row>
    <row r="180" customFormat="false" ht="17.15" hidden="false" customHeight="false" outlineLevel="0" collapsed="false">
      <c r="A180" s="0" t="s">
        <v>543</v>
      </c>
      <c r="B180" s="0" t="s">
        <v>544</v>
      </c>
      <c r="C180" s="0" t="s">
        <v>138</v>
      </c>
      <c r="E180" s="3" t="n">
        <v>149.6</v>
      </c>
      <c r="G180" s="4" t="s">
        <v>160</v>
      </c>
      <c r="H180" s="4" t="s">
        <v>545</v>
      </c>
    </row>
    <row r="181" customFormat="false" ht="17.15" hidden="false" customHeight="false" outlineLevel="0" collapsed="false">
      <c r="A181" s="0" t="s">
        <v>546</v>
      </c>
      <c r="B181" s="0" t="s">
        <v>547</v>
      </c>
      <c r="C181" s="0" t="s">
        <v>12</v>
      </c>
      <c r="E181" s="3" t="n">
        <v>0.527</v>
      </c>
      <c r="G181" s="4" t="s">
        <v>13</v>
      </c>
      <c r="H181" s="4" t="s">
        <v>548</v>
      </c>
    </row>
    <row r="182" customFormat="false" ht="17.15" hidden="false" customHeight="false" outlineLevel="0" collapsed="false">
      <c r="A182" s="0" t="s">
        <v>549</v>
      </c>
      <c r="B182" s="0" t="s">
        <v>550</v>
      </c>
      <c r="C182" s="0" t="s">
        <v>12</v>
      </c>
      <c r="E182" s="3" t="n">
        <v>0.527</v>
      </c>
      <c r="G182" s="4" t="s">
        <v>13</v>
      </c>
      <c r="H182" s="4" t="s">
        <v>551</v>
      </c>
    </row>
    <row r="183" customFormat="false" ht="17.15" hidden="false" customHeight="false" outlineLevel="0" collapsed="false">
      <c r="A183" s="0" t="s">
        <v>552</v>
      </c>
      <c r="B183" s="0" t="s">
        <v>553</v>
      </c>
      <c r="C183" s="0" t="s">
        <v>142</v>
      </c>
      <c r="E183" s="3" t="n">
        <v>28.0138705421991</v>
      </c>
      <c r="G183" s="4" t="s">
        <v>13</v>
      </c>
      <c r="H183" s="4" t="s">
        <v>554</v>
      </c>
    </row>
    <row r="184" customFormat="false" ht="17.15" hidden="false" customHeight="false" outlineLevel="0" collapsed="false">
      <c r="A184" s="0" t="s">
        <v>555</v>
      </c>
      <c r="B184" s="0" t="s">
        <v>556</v>
      </c>
      <c r="C184" s="0" t="s">
        <v>142</v>
      </c>
      <c r="E184" s="3" t="n">
        <v>9.359329</v>
      </c>
      <c r="G184" s="4" t="s">
        <v>13</v>
      </c>
      <c r="H184" s="4" t="s">
        <v>557</v>
      </c>
    </row>
    <row r="185" customFormat="false" ht="17.15" hidden="false" customHeight="false" outlineLevel="0" collapsed="false">
      <c r="A185" s="0" t="s">
        <v>558</v>
      </c>
      <c r="B185" s="0" t="s">
        <v>559</v>
      </c>
      <c r="C185" s="0" t="s">
        <v>138</v>
      </c>
      <c r="E185" s="3" t="n">
        <v>187.04284</v>
      </c>
      <c r="G185" s="4" t="s">
        <v>160</v>
      </c>
      <c r="H185" s="4" t="s">
        <v>560</v>
      </c>
    </row>
    <row r="186" customFormat="false" ht="17.15" hidden="false" customHeight="false" outlineLevel="0" collapsed="false">
      <c r="A186" s="0" t="s">
        <v>561</v>
      </c>
      <c r="B186" s="0" t="s">
        <v>562</v>
      </c>
      <c r="C186" s="0" t="s">
        <v>12</v>
      </c>
      <c r="E186" s="3" t="n">
        <v>0.364</v>
      </c>
      <c r="G186" s="4" t="s">
        <v>13</v>
      </c>
      <c r="H186" s="4" t="s">
        <v>563</v>
      </c>
    </row>
    <row r="187" customFormat="false" ht="17.15" hidden="false" customHeight="false" outlineLevel="0" collapsed="false">
      <c r="A187" s="0" t="s">
        <v>564</v>
      </c>
      <c r="B187" s="0" t="s">
        <v>565</v>
      </c>
      <c r="C187" s="0" t="s">
        <v>12</v>
      </c>
      <c r="E187" s="3" t="n">
        <v>4.54496548273742</v>
      </c>
      <c r="G187" s="4" t="s">
        <v>13</v>
      </c>
      <c r="H187" s="4" t="s">
        <v>566</v>
      </c>
    </row>
    <row r="188" customFormat="false" ht="17.15" hidden="false" customHeight="false" outlineLevel="0" collapsed="false">
      <c r="A188" s="0" t="s">
        <v>567</v>
      </c>
      <c r="B188" s="0" t="s">
        <v>568</v>
      </c>
      <c r="C188" s="0" t="s">
        <v>142</v>
      </c>
      <c r="E188" s="3" t="n">
        <v>29.0013069560425</v>
      </c>
      <c r="G188" s="4" t="s">
        <v>13</v>
      </c>
      <c r="H188" s="4" t="s">
        <v>569</v>
      </c>
    </row>
    <row r="189" customFormat="false" ht="17.15" hidden="false" customHeight="false" outlineLevel="0" collapsed="false">
      <c r="A189" s="0" t="s">
        <v>570</v>
      </c>
      <c r="B189" s="0" t="s">
        <v>571</v>
      </c>
      <c r="C189" s="0" t="s">
        <v>142</v>
      </c>
      <c r="E189" s="3" t="n">
        <v>9.359329</v>
      </c>
      <c r="G189" s="4" t="s">
        <v>13</v>
      </c>
      <c r="H189" s="4" t="s">
        <v>572</v>
      </c>
    </row>
    <row r="190" customFormat="false" ht="17.15" hidden="false" customHeight="false" outlineLevel="0" collapsed="false">
      <c r="A190" s="0" t="s">
        <v>573</v>
      </c>
      <c r="B190" s="0" t="s">
        <v>574</v>
      </c>
      <c r="C190" s="0" t="s">
        <v>138</v>
      </c>
      <c r="E190" s="3" t="n">
        <v>199.19036</v>
      </c>
      <c r="G190" s="4" t="s">
        <v>160</v>
      </c>
      <c r="H190" s="4" t="s">
        <v>575</v>
      </c>
    </row>
    <row r="191" customFormat="false" ht="17.15" hidden="false" customHeight="false" outlineLevel="0" collapsed="false">
      <c r="A191" s="0" t="s">
        <v>576</v>
      </c>
      <c r="B191" s="0" t="s">
        <v>577</v>
      </c>
      <c r="C191" s="0" t="s">
        <v>12</v>
      </c>
      <c r="E191" s="3" t="n">
        <v>1.744</v>
      </c>
      <c r="G191" s="4" t="s">
        <v>13</v>
      </c>
      <c r="H191" s="4" t="s">
        <v>578</v>
      </c>
    </row>
    <row r="192" customFormat="false" ht="17.15" hidden="false" customHeight="false" outlineLevel="0" collapsed="false">
      <c r="A192" s="0" t="s">
        <v>579</v>
      </c>
      <c r="B192" s="0" t="s">
        <v>580</v>
      </c>
      <c r="C192" s="0" t="s">
        <v>12</v>
      </c>
      <c r="E192" s="3" t="n">
        <v>4.99623819927339</v>
      </c>
      <c r="G192" s="4" t="s">
        <v>13</v>
      </c>
      <c r="H192" s="4" t="s">
        <v>581</v>
      </c>
    </row>
    <row r="193" customFormat="false" ht="17.15" hidden="false" customHeight="false" outlineLevel="0" collapsed="false">
      <c r="A193" s="0" t="s">
        <v>582</v>
      </c>
      <c r="B193" s="0" t="s">
        <v>583</v>
      </c>
      <c r="C193" s="0" t="s">
        <v>142</v>
      </c>
      <c r="E193" s="3" t="n">
        <v>29.0013069560425</v>
      </c>
      <c r="G193" s="4" t="s">
        <v>13</v>
      </c>
      <c r="H193" s="4" t="s">
        <v>584</v>
      </c>
    </row>
    <row r="194" customFormat="false" ht="17.15" hidden="false" customHeight="false" outlineLevel="0" collapsed="false">
      <c r="A194" s="0" t="s">
        <v>585</v>
      </c>
      <c r="B194" s="0" t="s">
        <v>586</v>
      </c>
      <c r="C194" s="0" t="s">
        <v>142</v>
      </c>
      <c r="E194" s="3" t="n">
        <v>9.359329</v>
      </c>
      <c r="G194" s="4" t="s">
        <v>13</v>
      </c>
      <c r="H194" s="4" t="s">
        <v>587</v>
      </c>
    </row>
    <row r="195" customFormat="false" ht="17.15" hidden="false" customHeight="false" outlineLevel="0" collapsed="false">
      <c r="A195" s="0" t="s">
        <v>588</v>
      </c>
      <c r="B195" s="0" t="s">
        <v>589</v>
      </c>
      <c r="C195" s="0" t="s">
        <v>138</v>
      </c>
      <c r="E195" s="3" t="n">
        <v>219.109396</v>
      </c>
      <c r="G195" s="4" t="s">
        <v>160</v>
      </c>
      <c r="H195" s="4" t="s">
        <v>590</v>
      </c>
    </row>
    <row r="196" customFormat="false" ht="17.15" hidden="false" customHeight="false" outlineLevel="0" collapsed="false">
      <c r="A196" s="0" t="s">
        <v>591</v>
      </c>
      <c r="B196" s="0" t="s">
        <v>592</v>
      </c>
      <c r="C196" s="0" t="s">
        <v>12</v>
      </c>
      <c r="E196" s="3" t="n">
        <v>0.0620000000000003</v>
      </c>
      <c r="G196" s="4" t="s">
        <v>13</v>
      </c>
      <c r="H196" s="4" t="s">
        <v>593</v>
      </c>
    </row>
    <row r="197" customFormat="false" ht="17.15" hidden="false" customHeight="false" outlineLevel="0" collapsed="false">
      <c r="A197" s="0" t="s">
        <v>594</v>
      </c>
      <c r="B197" s="0" t="s">
        <v>595</v>
      </c>
      <c r="C197" s="0" t="s">
        <v>12</v>
      </c>
      <c r="E197" s="3" t="n">
        <v>5.54650880690247</v>
      </c>
      <c r="G197" s="4" t="s">
        <v>13</v>
      </c>
      <c r="H197" s="4" t="s">
        <v>596</v>
      </c>
    </row>
    <row r="198" customFormat="false" ht="17.15" hidden="false" customHeight="false" outlineLevel="0" collapsed="false">
      <c r="A198" s="0" t="s">
        <v>597</v>
      </c>
      <c r="B198" s="0" t="s">
        <v>598</v>
      </c>
      <c r="C198" s="0" t="s">
        <v>138</v>
      </c>
      <c r="E198" s="3" t="n">
        <v>77.658</v>
      </c>
      <c r="G198" s="4" t="s">
        <v>13</v>
      </c>
      <c r="H198" s="4" t="s">
        <v>599</v>
      </c>
    </row>
    <row r="199" customFormat="false" ht="17.15" hidden="false" customHeight="false" outlineLevel="0" collapsed="false">
      <c r="A199" s="0" t="s">
        <v>600</v>
      </c>
      <c r="B199" s="0" t="s">
        <v>601</v>
      </c>
      <c r="C199" s="0" t="s">
        <v>138</v>
      </c>
      <c r="E199" s="3" t="n">
        <v>128.32</v>
      </c>
      <c r="G199" s="4" t="s">
        <v>13</v>
      </c>
      <c r="H199" s="4" t="s">
        <v>602</v>
      </c>
    </row>
    <row r="200" customFormat="false" ht="17.15" hidden="false" customHeight="false" outlineLevel="0" collapsed="false">
      <c r="A200" s="0" t="s">
        <v>603</v>
      </c>
      <c r="B200" s="0" t="s">
        <v>604</v>
      </c>
      <c r="C200" s="0" t="s">
        <v>138</v>
      </c>
      <c r="E200" s="3" t="n">
        <v>220</v>
      </c>
      <c r="G200" s="4" t="s">
        <v>13</v>
      </c>
      <c r="H200" s="4" t="s">
        <v>605</v>
      </c>
    </row>
    <row r="201" customFormat="false" ht="17.15" hidden="false" customHeight="false" outlineLevel="0" collapsed="false">
      <c r="A201" s="0" t="s">
        <v>606</v>
      </c>
      <c r="B201" s="0" t="s">
        <v>607</v>
      </c>
      <c r="C201" s="0" t="s">
        <v>138</v>
      </c>
      <c r="E201" s="3" t="n">
        <v>253.080086</v>
      </c>
      <c r="G201" s="4" t="s">
        <v>13</v>
      </c>
      <c r="H201" s="4" t="s">
        <v>608</v>
      </c>
    </row>
    <row r="202" customFormat="false" ht="17.15" hidden="false" customHeight="false" outlineLevel="0" collapsed="false">
      <c r="A202" s="0" t="s">
        <v>609</v>
      </c>
      <c r="B202" s="0" t="s">
        <v>610</v>
      </c>
      <c r="C202" s="0" t="s">
        <v>138</v>
      </c>
      <c r="E202" s="3" t="n">
        <v>266.971568</v>
      </c>
      <c r="G202" s="4" t="s">
        <v>13</v>
      </c>
      <c r="H202" s="4" t="s">
        <v>611</v>
      </c>
    </row>
    <row r="203" customFormat="false" ht="17.15" hidden="false" customHeight="false" outlineLevel="0" collapsed="false">
      <c r="A203" s="0" t="s">
        <v>612</v>
      </c>
      <c r="B203" s="0" t="s">
        <v>613</v>
      </c>
      <c r="C203" s="0" t="s">
        <v>138</v>
      </c>
      <c r="E203" s="3" t="n">
        <v>278.40589</v>
      </c>
      <c r="G203" s="4" t="s">
        <v>13</v>
      </c>
      <c r="H203" s="4" t="s">
        <v>614</v>
      </c>
    </row>
    <row r="204" customFormat="false" ht="17.15" hidden="false" customHeight="false" outlineLevel="0" collapsed="false">
      <c r="A204" s="0" t="s">
        <v>615</v>
      </c>
      <c r="B204" s="0" t="s">
        <v>616</v>
      </c>
      <c r="C204" s="0" t="s">
        <v>138</v>
      </c>
      <c r="E204" s="3" t="n">
        <v>235.400884</v>
      </c>
      <c r="G204" s="4" t="s">
        <v>13</v>
      </c>
      <c r="H204" s="4" t="s">
        <v>617</v>
      </c>
    </row>
    <row r="205" customFormat="false" ht="17.15" hidden="false" customHeight="false" outlineLevel="0" collapsed="false">
      <c r="A205" s="0" t="s">
        <v>618</v>
      </c>
      <c r="B205" s="0" t="s">
        <v>619</v>
      </c>
      <c r="C205" s="0" t="s">
        <v>134</v>
      </c>
      <c r="E205" s="3" t="n">
        <v>0.67</v>
      </c>
      <c r="G205" s="4" t="s">
        <v>13</v>
      </c>
      <c r="H205" s="4" t="s">
        <v>620</v>
      </c>
    </row>
    <row r="206" customFormat="false" ht="17.15" hidden="false" customHeight="false" outlineLevel="0" collapsed="false">
      <c r="A206" s="0" t="s">
        <v>621</v>
      </c>
      <c r="B206" s="0" t="s">
        <v>622</v>
      </c>
      <c r="C206" s="0" t="s">
        <v>134</v>
      </c>
      <c r="E206" s="3" t="n">
        <v>0.67</v>
      </c>
      <c r="G206" s="4" t="s">
        <v>13</v>
      </c>
      <c r="H206" s="4" t="s">
        <v>623</v>
      </c>
    </row>
    <row r="207" customFormat="false" ht="17.15" hidden="false" customHeight="false" outlineLevel="0" collapsed="false">
      <c r="A207" s="0" t="s">
        <v>624</v>
      </c>
      <c r="B207" s="0" t="s">
        <v>625</v>
      </c>
      <c r="C207" s="0" t="s">
        <v>134</v>
      </c>
      <c r="E207" s="3" t="n">
        <v>0.67</v>
      </c>
      <c r="G207" s="4" t="s">
        <v>13</v>
      </c>
      <c r="H207" s="4" t="s">
        <v>626</v>
      </c>
    </row>
    <row r="208" customFormat="false" ht="17.15" hidden="false" customHeight="false" outlineLevel="0" collapsed="false">
      <c r="A208" s="0" t="s">
        <v>627</v>
      </c>
      <c r="B208" s="0" t="s">
        <v>628</v>
      </c>
      <c r="C208" s="0" t="s">
        <v>134</v>
      </c>
      <c r="E208" s="3" t="n">
        <v>0.67</v>
      </c>
      <c r="G208" s="4" t="s">
        <v>13</v>
      </c>
      <c r="H208" s="4" t="s">
        <v>629</v>
      </c>
    </row>
    <row r="209" customFormat="false" ht="17.15" hidden="false" customHeight="false" outlineLevel="0" collapsed="false">
      <c r="A209" s="0" t="s">
        <v>630</v>
      </c>
      <c r="B209" s="0" t="s">
        <v>631</v>
      </c>
      <c r="C209" s="0" t="s">
        <v>134</v>
      </c>
      <c r="E209" s="3" t="n">
        <v>0.67</v>
      </c>
      <c r="G209" s="4" t="s">
        <v>13</v>
      </c>
      <c r="H209" s="4" t="s">
        <v>632</v>
      </c>
    </row>
    <row r="210" customFormat="false" ht="17.15" hidden="false" customHeight="false" outlineLevel="0" collapsed="false">
      <c r="A210" s="0" t="s">
        <v>633</v>
      </c>
      <c r="B210" s="0" t="s">
        <v>634</v>
      </c>
      <c r="C210" s="0" t="s">
        <v>134</v>
      </c>
      <c r="E210" s="3" t="n">
        <v>0.67</v>
      </c>
      <c r="G210" s="4" t="s">
        <v>13</v>
      </c>
      <c r="H210" s="4" t="s">
        <v>635</v>
      </c>
    </row>
    <row r="211" customFormat="false" ht="17.15" hidden="false" customHeight="false" outlineLevel="0" collapsed="false">
      <c r="A211" s="0" t="s">
        <v>636</v>
      </c>
      <c r="B211" s="0" t="s">
        <v>637</v>
      </c>
      <c r="C211" s="5" t="s">
        <v>238</v>
      </c>
      <c r="E211" s="3" t="n">
        <v>12</v>
      </c>
      <c r="G211" s="4" t="s">
        <v>149</v>
      </c>
      <c r="H211" s="4" t="s">
        <v>638</v>
      </c>
    </row>
    <row r="212" customFormat="false" ht="17.15" hidden="false" customHeight="false" outlineLevel="0" collapsed="false">
      <c r="A212" s="0" t="s">
        <v>639</v>
      </c>
      <c r="B212" s="0" t="s">
        <v>640</v>
      </c>
      <c r="C212" s="0" t="s">
        <v>142</v>
      </c>
      <c r="E212" s="3" t="n">
        <v>28.5674343946187</v>
      </c>
      <c r="G212" s="4" t="s">
        <v>13</v>
      </c>
      <c r="H212" s="4" t="s">
        <v>641</v>
      </c>
    </row>
    <row r="213" customFormat="false" ht="17.15" hidden="false" customHeight="false" outlineLevel="0" collapsed="false">
      <c r="A213" s="0" t="s">
        <v>642</v>
      </c>
      <c r="B213" s="0" t="s">
        <v>643</v>
      </c>
      <c r="C213" s="0" t="s">
        <v>142</v>
      </c>
      <c r="E213" s="3" t="n">
        <v>12.2172817673375</v>
      </c>
      <c r="G213" s="4" t="s">
        <v>13</v>
      </c>
      <c r="H213" s="4" t="s">
        <v>644</v>
      </c>
    </row>
    <row r="214" customFormat="false" ht="17.15" hidden="false" customHeight="false" outlineLevel="0" collapsed="false">
      <c r="A214" s="0" t="s">
        <v>645</v>
      </c>
      <c r="B214" s="0" t="s">
        <v>646</v>
      </c>
      <c r="C214" s="0" t="s">
        <v>138</v>
      </c>
      <c r="G214" s="0" t="s">
        <v>160</v>
      </c>
      <c r="H214" s="0" t="s">
        <v>647</v>
      </c>
    </row>
    <row r="215" customFormat="false" ht="17.15" hidden="false" customHeight="false" outlineLevel="0" collapsed="false">
      <c r="A215" s="0" t="s">
        <v>648</v>
      </c>
      <c r="B215" s="0" t="s">
        <v>649</v>
      </c>
      <c r="C215" s="0" t="s">
        <v>12</v>
      </c>
      <c r="E215" s="3" t="n">
        <v>0</v>
      </c>
      <c r="G215" s="4" t="s">
        <v>13</v>
      </c>
      <c r="H215" s="4" t="s">
        <v>650</v>
      </c>
    </row>
    <row r="216" customFormat="false" ht="17.15" hidden="false" customHeight="false" outlineLevel="0" collapsed="false">
      <c r="A216" s="0" t="s">
        <v>651</v>
      </c>
      <c r="B216" s="0" t="s">
        <v>652</v>
      </c>
      <c r="C216" s="0" t="s">
        <v>12</v>
      </c>
      <c r="E216" s="3" t="n">
        <v>0</v>
      </c>
      <c r="G216" s="4" t="s">
        <v>13</v>
      </c>
      <c r="H216" s="4" t="s">
        <v>653</v>
      </c>
    </row>
    <row r="217" customFormat="false" ht="17.15" hidden="false" customHeight="false" outlineLevel="0" collapsed="false">
      <c r="A217" s="0" t="s">
        <v>654</v>
      </c>
      <c r="B217" s="0" t="s">
        <v>655</v>
      </c>
      <c r="C217" s="0" t="s">
        <v>142</v>
      </c>
      <c r="E217" s="3" t="n">
        <v>27.423891719914</v>
      </c>
      <c r="G217" s="4" t="s">
        <v>13</v>
      </c>
      <c r="H217" s="4" t="s">
        <v>656</v>
      </c>
    </row>
    <row r="218" customFormat="false" ht="17.15" hidden="false" customHeight="false" outlineLevel="0" collapsed="false">
      <c r="A218" s="0" t="s">
        <v>657</v>
      </c>
      <c r="B218" s="0" t="s">
        <v>658</v>
      </c>
      <c r="C218" s="0" t="s">
        <v>142</v>
      </c>
      <c r="E218" s="3" t="n">
        <v>12.2172817673375</v>
      </c>
      <c r="G218" s="4" t="s">
        <v>13</v>
      </c>
      <c r="H218" s="4" t="s">
        <v>659</v>
      </c>
    </row>
    <row r="219" customFormat="false" ht="17.15" hidden="false" customHeight="false" outlineLevel="0" collapsed="false">
      <c r="A219" s="0" t="s">
        <v>660</v>
      </c>
      <c r="B219" s="0" t="s">
        <v>661</v>
      </c>
      <c r="C219" s="0" t="s">
        <v>138</v>
      </c>
      <c r="G219" s="0" t="s">
        <v>160</v>
      </c>
      <c r="H219" s="0" t="s">
        <v>662</v>
      </c>
    </row>
    <row r="220" customFormat="false" ht="17.15" hidden="false" customHeight="false" outlineLevel="0" collapsed="false">
      <c r="A220" s="0" t="s">
        <v>663</v>
      </c>
      <c r="B220" s="0" t="s">
        <v>664</v>
      </c>
      <c r="C220" s="0" t="s">
        <v>12</v>
      </c>
      <c r="E220" s="3" t="n">
        <v>1.50812</v>
      </c>
      <c r="G220" s="4" t="s">
        <v>13</v>
      </c>
      <c r="H220" s="4" t="s">
        <v>665</v>
      </c>
    </row>
    <row r="221" customFormat="false" ht="17.15" hidden="false" customHeight="false" outlineLevel="0" collapsed="false">
      <c r="A221" s="0" t="s">
        <v>666</v>
      </c>
      <c r="B221" s="0" t="s">
        <v>667</v>
      </c>
      <c r="C221" s="0" t="s">
        <v>12</v>
      </c>
      <c r="E221" s="3" t="n">
        <v>1.50812</v>
      </c>
      <c r="G221" s="4" t="s">
        <v>13</v>
      </c>
      <c r="H221" s="4" t="s">
        <v>668</v>
      </c>
    </row>
    <row r="222" customFormat="false" ht="17.15" hidden="false" customHeight="false" outlineLevel="0" collapsed="false">
      <c r="A222" s="0" t="s">
        <v>669</v>
      </c>
      <c r="B222" s="0" t="s">
        <v>670</v>
      </c>
      <c r="C222" s="0" t="s">
        <v>142</v>
      </c>
      <c r="E222" s="3" t="n">
        <v>33.0649036341473</v>
      </c>
      <c r="G222" s="4" t="s">
        <v>13</v>
      </c>
      <c r="H222" s="4" t="s">
        <v>671</v>
      </c>
    </row>
    <row r="223" customFormat="false" ht="17.15" hidden="false" customHeight="false" outlineLevel="0" collapsed="false">
      <c r="A223" s="0" t="s">
        <v>672</v>
      </c>
      <c r="B223" s="0" t="s">
        <v>673</v>
      </c>
      <c r="C223" s="0" t="s">
        <v>142</v>
      </c>
      <c r="E223" s="3" t="n">
        <v>12.2172817673375</v>
      </c>
      <c r="G223" s="4" t="s">
        <v>13</v>
      </c>
      <c r="H223" s="4" t="s">
        <v>674</v>
      </c>
    </row>
    <row r="224" customFormat="false" ht="17.15" hidden="false" customHeight="false" outlineLevel="0" collapsed="false">
      <c r="A224" s="0" t="s">
        <v>675</v>
      </c>
      <c r="B224" s="0" t="s">
        <v>676</v>
      </c>
      <c r="C224" s="0" t="s">
        <v>138</v>
      </c>
      <c r="E224" s="3" t="n">
        <v>119</v>
      </c>
      <c r="G224" s="4" t="s">
        <v>160</v>
      </c>
      <c r="H224" s="4" t="s">
        <v>677</v>
      </c>
    </row>
    <row r="225" customFormat="false" ht="17.15" hidden="false" customHeight="false" outlineLevel="0" collapsed="false">
      <c r="A225" s="0" t="s">
        <v>678</v>
      </c>
      <c r="B225" s="0" t="s">
        <v>679</v>
      </c>
      <c r="C225" s="0" t="s">
        <v>12</v>
      </c>
      <c r="E225" s="3" t="n">
        <v>0.676</v>
      </c>
      <c r="G225" s="4" t="s">
        <v>13</v>
      </c>
      <c r="H225" s="4" t="s">
        <v>680</v>
      </c>
    </row>
    <row r="226" customFormat="false" ht="17.15" hidden="false" customHeight="false" outlineLevel="0" collapsed="false">
      <c r="A226" s="0" t="s">
        <v>681</v>
      </c>
      <c r="B226" s="0" t="s">
        <v>682</v>
      </c>
      <c r="C226" s="0" t="s">
        <v>12</v>
      </c>
      <c r="E226" s="3" t="n">
        <v>0.676</v>
      </c>
      <c r="G226" s="4" t="s">
        <v>13</v>
      </c>
      <c r="H226" s="4" t="s">
        <v>683</v>
      </c>
    </row>
    <row r="227" customFormat="false" ht="17.15" hidden="false" customHeight="false" outlineLevel="0" collapsed="false">
      <c r="A227" s="0" t="s">
        <v>684</v>
      </c>
      <c r="B227" s="0" t="s">
        <v>685</v>
      </c>
      <c r="C227" s="0" t="s">
        <v>142</v>
      </c>
      <c r="E227" s="3" t="n">
        <v>36.5947249242921</v>
      </c>
      <c r="G227" s="4" t="s">
        <v>13</v>
      </c>
      <c r="H227" s="4" t="s">
        <v>686</v>
      </c>
    </row>
    <row r="228" customFormat="false" ht="17.15" hidden="false" customHeight="false" outlineLevel="0" collapsed="false">
      <c r="A228" s="0" t="s">
        <v>687</v>
      </c>
      <c r="B228" s="0" t="s">
        <v>688</v>
      </c>
      <c r="C228" s="0" t="s">
        <v>142</v>
      </c>
      <c r="E228" s="3" t="n">
        <v>12.1509699108826</v>
      </c>
      <c r="G228" s="4" t="s">
        <v>13</v>
      </c>
      <c r="H228" s="4" t="s">
        <v>689</v>
      </c>
    </row>
    <row r="229" customFormat="false" ht="17.15" hidden="false" customHeight="false" outlineLevel="0" collapsed="false">
      <c r="A229" s="0" t="s">
        <v>690</v>
      </c>
      <c r="B229" s="0" t="s">
        <v>691</v>
      </c>
      <c r="C229" s="0" t="s">
        <v>138</v>
      </c>
      <c r="E229" s="3" t="n">
        <v>130.9</v>
      </c>
      <c r="G229" s="4" t="s">
        <v>160</v>
      </c>
      <c r="H229" s="4" t="s">
        <v>692</v>
      </c>
    </row>
    <row r="230" customFormat="false" ht="17.15" hidden="false" customHeight="false" outlineLevel="0" collapsed="false">
      <c r="A230" s="0" t="s">
        <v>693</v>
      </c>
      <c r="B230" s="0" t="s">
        <v>694</v>
      </c>
      <c r="C230" s="0" t="s">
        <v>12</v>
      </c>
      <c r="E230" s="3" t="n">
        <v>0.615</v>
      </c>
      <c r="G230" s="4" t="s">
        <v>13</v>
      </c>
      <c r="H230" s="4" t="s">
        <v>695</v>
      </c>
    </row>
    <row r="231" customFormat="false" ht="17.15" hidden="false" customHeight="false" outlineLevel="0" collapsed="false">
      <c r="A231" s="0" t="s">
        <v>696</v>
      </c>
      <c r="B231" s="0" t="s">
        <v>697</v>
      </c>
      <c r="C231" s="0" t="s">
        <v>12</v>
      </c>
      <c r="E231" s="3" t="n">
        <v>0.615</v>
      </c>
      <c r="G231" s="4" t="s">
        <v>13</v>
      </c>
      <c r="H231" s="4" t="s">
        <v>698</v>
      </c>
    </row>
    <row r="232" customFormat="false" ht="17.15" hidden="false" customHeight="false" outlineLevel="0" collapsed="false">
      <c r="A232" s="0" t="s">
        <v>699</v>
      </c>
      <c r="B232" s="0" t="s">
        <v>700</v>
      </c>
      <c r="C232" s="0" t="s">
        <v>142</v>
      </c>
      <c r="E232" s="3" t="n">
        <v>38.802433936281</v>
      </c>
      <c r="G232" s="4" t="s">
        <v>13</v>
      </c>
      <c r="H232" s="4" t="s">
        <v>701</v>
      </c>
    </row>
    <row r="233" customFormat="false" ht="17.15" hidden="false" customHeight="false" outlineLevel="0" collapsed="false">
      <c r="A233" s="0" t="s">
        <v>702</v>
      </c>
      <c r="B233" s="0" t="s">
        <v>703</v>
      </c>
      <c r="C233" s="0" t="s">
        <v>142</v>
      </c>
      <c r="E233" s="3" t="n">
        <v>12.157584536667</v>
      </c>
      <c r="G233" s="4" t="s">
        <v>13</v>
      </c>
      <c r="H233" s="4" t="s">
        <v>704</v>
      </c>
    </row>
    <row r="234" customFormat="false" ht="17.15" hidden="false" customHeight="false" outlineLevel="0" collapsed="false">
      <c r="A234" s="0" t="s">
        <v>705</v>
      </c>
      <c r="B234" s="0" t="s">
        <v>706</v>
      </c>
      <c r="C234" s="0" t="s">
        <v>138</v>
      </c>
      <c r="E234" s="3" t="n">
        <v>143.99</v>
      </c>
      <c r="G234" s="4" t="s">
        <v>160</v>
      </c>
      <c r="H234" s="4" t="s">
        <v>707</v>
      </c>
    </row>
    <row r="235" customFormat="false" ht="17.15" hidden="false" customHeight="false" outlineLevel="0" collapsed="false">
      <c r="A235" s="0" t="s">
        <v>708</v>
      </c>
      <c r="B235" s="0" t="s">
        <v>709</v>
      </c>
      <c r="C235" s="0" t="s">
        <v>12</v>
      </c>
      <c r="E235" s="3" t="n">
        <v>2.99433333333333</v>
      </c>
      <c r="G235" s="4" t="s">
        <v>13</v>
      </c>
      <c r="H235" s="4" t="s">
        <v>710</v>
      </c>
    </row>
    <row r="236" customFormat="false" ht="17.15" hidden="false" customHeight="false" outlineLevel="0" collapsed="false">
      <c r="A236" s="0" t="s">
        <v>711</v>
      </c>
      <c r="B236" s="0" t="s">
        <v>712</v>
      </c>
      <c r="C236" s="0" t="s">
        <v>12</v>
      </c>
      <c r="E236" s="3" t="n">
        <v>2.73641202658016</v>
      </c>
      <c r="G236" s="4" t="s">
        <v>13</v>
      </c>
      <c r="H236" s="4" t="s">
        <v>713</v>
      </c>
    </row>
    <row r="237" customFormat="false" ht="17.15" hidden="false" customHeight="false" outlineLevel="0" collapsed="false">
      <c r="A237" s="0" t="s">
        <v>714</v>
      </c>
      <c r="B237" s="0" t="s">
        <v>715</v>
      </c>
      <c r="C237" s="0" t="s">
        <v>142</v>
      </c>
      <c r="E237" s="3" t="n">
        <v>38.7783529603329</v>
      </c>
      <c r="G237" s="4" t="s">
        <v>13</v>
      </c>
      <c r="H237" s="4" t="s">
        <v>716</v>
      </c>
    </row>
    <row r="238" customFormat="false" ht="17.15" hidden="false" customHeight="false" outlineLevel="0" collapsed="false">
      <c r="A238" s="0" t="s">
        <v>717</v>
      </c>
      <c r="B238" s="0" t="s">
        <v>718</v>
      </c>
      <c r="C238" s="0" t="s">
        <v>142</v>
      </c>
      <c r="E238" s="3" t="n">
        <v>12.1527076383687</v>
      </c>
      <c r="G238" s="4" t="s">
        <v>13</v>
      </c>
      <c r="H238" s="4" t="s">
        <v>719</v>
      </c>
    </row>
    <row r="239" customFormat="false" ht="17.15" hidden="false" customHeight="false" outlineLevel="0" collapsed="false">
      <c r="A239" s="0" t="s">
        <v>720</v>
      </c>
      <c r="B239" s="0" t="s">
        <v>721</v>
      </c>
      <c r="C239" s="0" t="s">
        <v>138</v>
      </c>
      <c r="E239" s="3" t="n">
        <v>158.389</v>
      </c>
      <c r="G239" s="4" t="s">
        <v>160</v>
      </c>
      <c r="H239" s="4" t="s">
        <v>722</v>
      </c>
    </row>
    <row r="240" customFormat="false" ht="17.15" hidden="false" customHeight="false" outlineLevel="0" collapsed="false">
      <c r="A240" s="0" t="s">
        <v>723</v>
      </c>
      <c r="B240" s="0" t="s">
        <v>724</v>
      </c>
      <c r="C240" s="0" t="s">
        <v>12</v>
      </c>
      <c r="E240" s="3" t="n">
        <v>0.968</v>
      </c>
      <c r="G240" s="4" t="s">
        <v>13</v>
      </c>
      <c r="H240" s="4" t="s">
        <v>725</v>
      </c>
    </row>
    <row r="241" customFormat="false" ht="17.15" hidden="false" customHeight="false" outlineLevel="0" collapsed="false">
      <c r="A241" s="0" t="s">
        <v>726</v>
      </c>
      <c r="B241" s="0" t="s">
        <v>727</v>
      </c>
      <c r="C241" s="0" t="s">
        <v>12</v>
      </c>
      <c r="E241" s="3" t="n">
        <v>3.01174825182942</v>
      </c>
      <c r="G241" s="4" t="s">
        <v>13</v>
      </c>
      <c r="H241" s="4" t="s">
        <v>728</v>
      </c>
    </row>
    <row r="242" customFormat="false" ht="17.15" hidden="false" customHeight="false" outlineLevel="0" collapsed="false">
      <c r="A242" s="0" t="s">
        <v>729</v>
      </c>
      <c r="B242" s="0" t="s">
        <v>730</v>
      </c>
      <c r="C242" s="0" t="s">
        <v>138</v>
      </c>
      <c r="E242" s="3" t="n">
        <v>39.225</v>
      </c>
      <c r="G242" s="4" t="s">
        <v>13</v>
      </c>
      <c r="H242" s="4" t="s">
        <v>731</v>
      </c>
    </row>
    <row r="243" customFormat="false" ht="17.15" hidden="false" customHeight="false" outlineLevel="0" collapsed="false">
      <c r="A243" s="0" t="s">
        <v>732</v>
      </c>
      <c r="B243" s="0" t="s">
        <v>733</v>
      </c>
      <c r="C243" s="0" t="s">
        <v>138</v>
      </c>
      <c r="E243" s="3" t="n">
        <v>72.215</v>
      </c>
      <c r="G243" s="4" t="s">
        <v>13</v>
      </c>
      <c r="H243" s="4" t="s">
        <v>734</v>
      </c>
    </row>
    <row r="244" customFormat="false" ht="17.15" hidden="false" customHeight="false" outlineLevel="0" collapsed="false">
      <c r="A244" s="0" t="s">
        <v>735</v>
      </c>
      <c r="B244" s="0" t="s">
        <v>736</v>
      </c>
      <c r="C244" s="0" t="s">
        <v>138</v>
      </c>
      <c r="E244" s="3" t="n">
        <v>140</v>
      </c>
      <c r="G244" s="4" t="s">
        <v>13</v>
      </c>
      <c r="H244" s="4" t="s">
        <v>737</v>
      </c>
    </row>
    <row r="245" customFormat="false" ht="17.15" hidden="false" customHeight="false" outlineLevel="0" collapsed="false">
      <c r="A245" s="0" t="s">
        <v>738</v>
      </c>
      <c r="B245" s="0" t="s">
        <v>739</v>
      </c>
      <c r="C245" s="0" t="s">
        <v>138</v>
      </c>
      <c r="E245" s="3" t="n">
        <v>205.705878</v>
      </c>
      <c r="G245" s="4" t="s">
        <v>13</v>
      </c>
      <c r="H245" s="4" t="s">
        <v>740</v>
      </c>
    </row>
    <row r="246" customFormat="false" ht="17.15" hidden="false" customHeight="false" outlineLevel="0" collapsed="false">
      <c r="A246" s="0" t="s">
        <v>741</v>
      </c>
      <c r="B246" s="0" t="s">
        <v>742</v>
      </c>
      <c r="C246" s="0" t="s">
        <v>138</v>
      </c>
      <c r="E246" s="3" t="n">
        <v>219.283263</v>
      </c>
      <c r="G246" s="4" t="s">
        <v>13</v>
      </c>
      <c r="H246" s="4" t="s">
        <v>743</v>
      </c>
    </row>
    <row r="247" customFormat="false" ht="17.15" hidden="false" customHeight="false" outlineLevel="0" collapsed="false">
      <c r="A247" s="0" t="s">
        <v>744</v>
      </c>
      <c r="B247" s="0" t="s">
        <v>745</v>
      </c>
      <c r="C247" s="0" t="s">
        <v>138</v>
      </c>
      <c r="E247" s="3" t="n">
        <v>194.799863</v>
      </c>
      <c r="G247" s="4" t="s">
        <v>13</v>
      </c>
      <c r="H247" s="4" t="s">
        <v>746</v>
      </c>
    </row>
    <row r="248" customFormat="false" ht="17.15" hidden="false" customHeight="false" outlineLevel="0" collapsed="false">
      <c r="A248" s="0" t="s">
        <v>747</v>
      </c>
      <c r="B248" s="0" t="s">
        <v>748</v>
      </c>
      <c r="C248" s="0" t="s">
        <v>138</v>
      </c>
      <c r="E248" s="3" t="n">
        <v>165.565732</v>
      </c>
      <c r="G248" s="4" t="s">
        <v>13</v>
      </c>
      <c r="H248" s="4" t="s">
        <v>749</v>
      </c>
    </row>
    <row r="249" customFormat="false" ht="17.15" hidden="false" customHeight="false" outlineLevel="0" collapsed="false">
      <c r="A249" s="0" t="s">
        <v>750</v>
      </c>
      <c r="B249" s="0" t="s">
        <v>751</v>
      </c>
      <c r="C249" s="0" t="s">
        <v>134</v>
      </c>
      <c r="E249" s="3" t="n">
        <v>0.238210067173108</v>
      </c>
      <c r="G249" s="4" t="s">
        <v>13</v>
      </c>
      <c r="H249" s="4" t="s">
        <v>752</v>
      </c>
    </row>
    <row r="250" customFormat="false" ht="17.15" hidden="false" customHeight="false" outlineLevel="0" collapsed="false">
      <c r="A250" s="0" t="s">
        <v>753</v>
      </c>
      <c r="B250" s="0" t="s">
        <v>754</v>
      </c>
      <c r="C250" s="0" t="s">
        <v>134</v>
      </c>
      <c r="E250" s="3" t="n">
        <v>0.238210067173108</v>
      </c>
      <c r="G250" s="4" t="s">
        <v>13</v>
      </c>
      <c r="H250" s="4" t="s">
        <v>755</v>
      </c>
    </row>
    <row r="251" customFormat="false" ht="17.15" hidden="false" customHeight="false" outlineLevel="0" collapsed="false">
      <c r="A251" s="0" t="s">
        <v>756</v>
      </c>
      <c r="B251" s="0" t="s">
        <v>757</v>
      </c>
      <c r="C251" s="0" t="s">
        <v>134</v>
      </c>
      <c r="E251" s="3" t="n">
        <v>0.238210067173108</v>
      </c>
      <c r="G251" s="4" t="s">
        <v>13</v>
      </c>
      <c r="H251" s="4" t="s">
        <v>758</v>
      </c>
    </row>
    <row r="252" customFormat="false" ht="17.15" hidden="false" customHeight="false" outlineLevel="0" collapsed="false">
      <c r="A252" s="0" t="s">
        <v>759</v>
      </c>
      <c r="B252" s="0" t="s">
        <v>760</v>
      </c>
      <c r="C252" s="0" t="s">
        <v>134</v>
      </c>
      <c r="E252" s="3" t="n">
        <v>0.273101862203342</v>
      </c>
      <c r="G252" s="4" t="s">
        <v>13</v>
      </c>
      <c r="H252" s="4" t="s">
        <v>761</v>
      </c>
    </row>
    <row r="253" customFormat="false" ht="17.15" hidden="false" customHeight="false" outlineLevel="0" collapsed="false">
      <c r="A253" s="0" t="s">
        <v>762</v>
      </c>
      <c r="B253" s="0" t="s">
        <v>763</v>
      </c>
      <c r="C253" s="0" t="s">
        <v>134</v>
      </c>
      <c r="E253" s="3" t="n">
        <v>0.269621396123668</v>
      </c>
      <c r="G253" s="4" t="s">
        <v>13</v>
      </c>
      <c r="H253" s="4" t="s">
        <v>764</v>
      </c>
    </row>
    <row r="254" customFormat="false" ht="17.15" hidden="false" customHeight="false" outlineLevel="0" collapsed="false">
      <c r="A254" s="0" t="s">
        <v>765</v>
      </c>
      <c r="B254" s="0" t="s">
        <v>766</v>
      </c>
      <c r="C254" s="0" t="s">
        <v>134</v>
      </c>
      <c r="E254" s="3" t="n">
        <v>0.272187509408712</v>
      </c>
      <c r="G254" s="4" t="s">
        <v>13</v>
      </c>
      <c r="H254" s="4" t="s">
        <v>767</v>
      </c>
    </row>
    <row r="255" customFormat="false" ht="17.15" hidden="false" customHeight="false" outlineLevel="0" collapsed="false">
      <c r="A255" s="0" t="s">
        <v>768</v>
      </c>
      <c r="B255" s="0" t="s">
        <v>769</v>
      </c>
      <c r="C255" s="5" t="s">
        <v>238</v>
      </c>
      <c r="E255" s="3" t="n">
        <v>5</v>
      </c>
      <c r="G255" s="4" t="s">
        <v>149</v>
      </c>
      <c r="H255" s="4" t="s">
        <v>770</v>
      </c>
    </row>
    <row r="256" customFormat="false" ht="17.15" hidden="false" customHeight="false" outlineLevel="0" collapsed="false">
      <c r="A256" s="0" t="s">
        <v>771</v>
      </c>
      <c r="B256" s="0" t="s">
        <v>772</v>
      </c>
      <c r="C256" s="0" t="s">
        <v>142</v>
      </c>
      <c r="E256" s="3" t="n">
        <v>28.5674343946187</v>
      </c>
      <c r="G256" s="4" t="s">
        <v>13</v>
      </c>
      <c r="H256" s="4" t="s">
        <v>773</v>
      </c>
    </row>
    <row r="257" customFormat="false" ht="17.15" hidden="false" customHeight="false" outlineLevel="0" collapsed="false">
      <c r="A257" s="0" t="s">
        <v>774</v>
      </c>
      <c r="B257" s="0" t="s">
        <v>775</v>
      </c>
      <c r="C257" s="0" t="s">
        <v>142</v>
      </c>
      <c r="E257" s="3" t="n">
        <v>12.2172817673375</v>
      </c>
      <c r="G257" s="4" t="s">
        <v>13</v>
      </c>
      <c r="H257" s="4" t="s">
        <v>776</v>
      </c>
    </row>
    <row r="258" customFormat="false" ht="17.15" hidden="false" customHeight="false" outlineLevel="0" collapsed="false">
      <c r="A258" s="0" t="s">
        <v>777</v>
      </c>
      <c r="B258" s="0" t="s">
        <v>778</v>
      </c>
      <c r="C258" s="0" t="s">
        <v>138</v>
      </c>
      <c r="G258" s="0" t="s">
        <v>160</v>
      </c>
      <c r="H258" s="0" t="s">
        <v>779</v>
      </c>
    </row>
    <row r="259" customFormat="false" ht="17.15" hidden="false" customHeight="false" outlineLevel="0" collapsed="false">
      <c r="A259" s="0" t="s">
        <v>780</v>
      </c>
      <c r="B259" s="0" t="s">
        <v>781</v>
      </c>
      <c r="C259" s="0" t="s">
        <v>12</v>
      </c>
      <c r="E259" s="3" t="n">
        <v>0</v>
      </c>
      <c r="G259" s="4" t="s">
        <v>13</v>
      </c>
      <c r="H259" s="4" t="s">
        <v>782</v>
      </c>
    </row>
    <row r="260" customFormat="false" ht="17.15" hidden="false" customHeight="false" outlineLevel="0" collapsed="false">
      <c r="A260" s="0" t="s">
        <v>783</v>
      </c>
      <c r="B260" s="0" t="s">
        <v>784</v>
      </c>
      <c r="C260" s="0" t="s">
        <v>12</v>
      </c>
      <c r="E260" s="3" t="n">
        <v>0</v>
      </c>
      <c r="G260" s="4" t="s">
        <v>13</v>
      </c>
      <c r="H260" s="4" t="s">
        <v>785</v>
      </c>
    </row>
    <row r="261" customFormat="false" ht="17.15" hidden="false" customHeight="false" outlineLevel="0" collapsed="false">
      <c r="A261" s="0" t="s">
        <v>786</v>
      </c>
      <c r="B261" s="0" t="s">
        <v>787</v>
      </c>
      <c r="C261" s="0" t="s">
        <v>142</v>
      </c>
      <c r="E261" s="3" t="n">
        <v>27.423891719914</v>
      </c>
      <c r="G261" s="4" t="s">
        <v>13</v>
      </c>
      <c r="H261" s="4" t="s">
        <v>788</v>
      </c>
    </row>
    <row r="262" customFormat="false" ht="17.15" hidden="false" customHeight="false" outlineLevel="0" collapsed="false">
      <c r="A262" s="0" t="s">
        <v>789</v>
      </c>
      <c r="B262" s="0" t="s">
        <v>790</v>
      </c>
      <c r="C262" s="0" t="s">
        <v>142</v>
      </c>
      <c r="E262" s="3" t="n">
        <v>12.2172817673375</v>
      </c>
      <c r="G262" s="4" t="s">
        <v>13</v>
      </c>
      <c r="H262" s="4" t="s">
        <v>791</v>
      </c>
    </row>
    <row r="263" customFormat="false" ht="17.15" hidden="false" customHeight="false" outlineLevel="0" collapsed="false">
      <c r="A263" s="0" t="s">
        <v>792</v>
      </c>
      <c r="B263" s="0" t="s">
        <v>793</v>
      </c>
      <c r="C263" s="0" t="s">
        <v>138</v>
      </c>
      <c r="E263" s="3" t="n">
        <v>35.1132166666667</v>
      </c>
      <c r="G263" s="4" t="s">
        <v>160</v>
      </c>
      <c r="H263" s="4" t="s">
        <v>794</v>
      </c>
    </row>
    <row r="264" customFormat="false" ht="17.15" hidden="false" customHeight="false" outlineLevel="0" collapsed="false">
      <c r="A264" s="0" t="s">
        <v>795</v>
      </c>
      <c r="B264" s="0" t="s">
        <v>796</v>
      </c>
      <c r="C264" s="0" t="s">
        <v>12</v>
      </c>
      <c r="E264" s="3" t="n">
        <v>0.816405</v>
      </c>
      <c r="G264" s="4" t="s">
        <v>13</v>
      </c>
      <c r="H264" s="4" t="s">
        <v>797</v>
      </c>
    </row>
    <row r="265" customFormat="false" ht="17.15" hidden="false" customHeight="false" outlineLevel="0" collapsed="false">
      <c r="A265" s="0" t="s">
        <v>798</v>
      </c>
      <c r="B265" s="0" t="s">
        <v>799</v>
      </c>
      <c r="C265" s="0" t="s">
        <v>12</v>
      </c>
      <c r="E265" s="3" t="n">
        <v>0.816405</v>
      </c>
      <c r="G265" s="4" t="s">
        <v>13</v>
      </c>
      <c r="H265" s="4" t="s">
        <v>800</v>
      </c>
    </row>
    <row r="266" customFormat="false" ht="17.15" hidden="false" customHeight="false" outlineLevel="0" collapsed="false">
      <c r="A266" s="0" t="s">
        <v>801</v>
      </c>
      <c r="B266" s="0" t="s">
        <v>802</v>
      </c>
      <c r="C266" s="0" t="s">
        <v>142</v>
      </c>
      <c r="E266" s="3" t="n">
        <v>33.0649036341473</v>
      </c>
      <c r="G266" s="4" t="s">
        <v>13</v>
      </c>
      <c r="H266" s="4" t="s">
        <v>803</v>
      </c>
    </row>
    <row r="267" customFormat="false" ht="17.15" hidden="false" customHeight="false" outlineLevel="0" collapsed="false">
      <c r="A267" s="0" t="s">
        <v>804</v>
      </c>
      <c r="B267" s="0" t="s">
        <v>805</v>
      </c>
      <c r="C267" s="0" t="s">
        <v>142</v>
      </c>
      <c r="E267" s="3" t="n">
        <v>12.2172817673375</v>
      </c>
      <c r="G267" s="4" t="s">
        <v>13</v>
      </c>
      <c r="H267" s="4" t="s">
        <v>806</v>
      </c>
    </row>
    <row r="268" customFormat="false" ht="17.15" hidden="false" customHeight="false" outlineLevel="0" collapsed="false">
      <c r="A268" s="0" t="s">
        <v>807</v>
      </c>
      <c r="B268" s="0" t="s">
        <v>808</v>
      </c>
      <c r="C268" s="0" t="s">
        <v>138</v>
      </c>
      <c r="E268" s="3" t="n">
        <v>65.5785625</v>
      </c>
      <c r="G268" s="4" t="s">
        <v>160</v>
      </c>
      <c r="H268" s="4" t="s">
        <v>809</v>
      </c>
    </row>
    <row r="269" customFormat="false" ht="17.15" hidden="false" customHeight="false" outlineLevel="0" collapsed="false">
      <c r="A269" s="0" t="s">
        <v>810</v>
      </c>
      <c r="B269" s="0" t="s">
        <v>811</v>
      </c>
      <c r="C269" s="0" t="s">
        <v>12</v>
      </c>
      <c r="E269" s="3" t="n">
        <v>1.54613</v>
      </c>
      <c r="G269" s="4" t="s">
        <v>13</v>
      </c>
      <c r="H269" s="4" t="s">
        <v>812</v>
      </c>
    </row>
    <row r="270" customFormat="false" ht="17.15" hidden="false" customHeight="false" outlineLevel="0" collapsed="false">
      <c r="A270" s="0" t="s">
        <v>813</v>
      </c>
      <c r="B270" s="0" t="s">
        <v>814</v>
      </c>
      <c r="C270" s="0" t="s">
        <v>12</v>
      </c>
      <c r="E270" s="3" t="n">
        <v>1.54613</v>
      </c>
      <c r="G270" s="4" t="s">
        <v>13</v>
      </c>
      <c r="H270" s="4" t="s">
        <v>815</v>
      </c>
    </row>
    <row r="271" customFormat="false" ht="17.15" hidden="false" customHeight="false" outlineLevel="0" collapsed="false">
      <c r="A271" s="0" t="s">
        <v>816</v>
      </c>
      <c r="B271" s="0" t="s">
        <v>817</v>
      </c>
      <c r="C271" s="0" t="s">
        <v>142</v>
      </c>
      <c r="E271" s="3" t="n">
        <v>36.5947249242921</v>
      </c>
      <c r="G271" s="4" t="s">
        <v>13</v>
      </c>
      <c r="H271" s="4" t="s">
        <v>818</v>
      </c>
    </row>
    <row r="272" customFormat="false" ht="17.15" hidden="false" customHeight="false" outlineLevel="0" collapsed="false">
      <c r="A272" s="0" t="s">
        <v>819</v>
      </c>
      <c r="B272" s="0" t="s">
        <v>820</v>
      </c>
      <c r="C272" s="0" t="s">
        <v>142</v>
      </c>
      <c r="E272" s="3" t="n">
        <v>12.1509699108826</v>
      </c>
      <c r="G272" s="4" t="s">
        <v>13</v>
      </c>
      <c r="H272" s="4" t="s">
        <v>821</v>
      </c>
    </row>
    <row r="273" customFormat="false" ht="17.15" hidden="false" customHeight="false" outlineLevel="0" collapsed="false">
      <c r="A273" s="0" t="s">
        <v>822</v>
      </c>
      <c r="B273" s="0" t="s">
        <v>823</v>
      </c>
      <c r="C273" s="0" t="s">
        <v>138</v>
      </c>
      <c r="E273" s="3" t="n">
        <v>82.8207416666667</v>
      </c>
      <c r="G273" s="4" t="s">
        <v>160</v>
      </c>
      <c r="H273" s="4" t="s">
        <v>824</v>
      </c>
    </row>
    <row r="274" customFormat="false" ht="17.15" hidden="false" customHeight="false" outlineLevel="0" collapsed="false">
      <c r="A274" s="0" t="s">
        <v>825</v>
      </c>
      <c r="B274" s="0" t="s">
        <v>826</v>
      </c>
      <c r="C274" s="0" t="s">
        <v>12</v>
      </c>
      <c r="E274" s="3" t="n">
        <v>0.944166666666667</v>
      </c>
      <c r="G274" s="4" t="s">
        <v>13</v>
      </c>
      <c r="H274" s="4" t="s">
        <v>827</v>
      </c>
    </row>
    <row r="275" customFormat="false" ht="17.15" hidden="false" customHeight="false" outlineLevel="0" collapsed="false">
      <c r="A275" s="0" t="s">
        <v>828</v>
      </c>
      <c r="B275" s="0" t="s">
        <v>829</v>
      </c>
      <c r="C275" s="0" t="s">
        <v>12</v>
      </c>
      <c r="E275" s="3" t="n">
        <v>1.53296918960021</v>
      </c>
      <c r="G275" s="4" t="s">
        <v>13</v>
      </c>
      <c r="H275" s="4" t="s">
        <v>830</v>
      </c>
    </row>
    <row r="276" customFormat="false" ht="17.15" hidden="false" customHeight="false" outlineLevel="0" collapsed="false">
      <c r="A276" s="0" t="s">
        <v>831</v>
      </c>
      <c r="B276" s="0" t="s">
        <v>832</v>
      </c>
      <c r="C276" s="0" t="s">
        <v>142</v>
      </c>
      <c r="E276" s="3" t="n">
        <v>38.802433936281</v>
      </c>
      <c r="G276" s="4" t="s">
        <v>13</v>
      </c>
      <c r="H276" s="4" t="s">
        <v>833</v>
      </c>
    </row>
    <row r="277" customFormat="false" ht="17.15" hidden="false" customHeight="false" outlineLevel="0" collapsed="false">
      <c r="A277" s="0" t="s">
        <v>834</v>
      </c>
      <c r="B277" s="0" t="s">
        <v>835</v>
      </c>
      <c r="C277" s="0" t="s">
        <v>142</v>
      </c>
      <c r="E277" s="3" t="n">
        <v>12.157584536667</v>
      </c>
      <c r="G277" s="4" t="s">
        <v>13</v>
      </c>
      <c r="H277" s="4" t="s">
        <v>836</v>
      </c>
    </row>
    <row r="278" customFormat="false" ht="17.15" hidden="false" customHeight="false" outlineLevel="0" collapsed="false">
      <c r="A278" s="0" t="s">
        <v>837</v>
      </c>
      <c r="B278" s="0" t="s">
        <v>838</v>
      </c>
      <c r="C278" s="0" t="s">
        <v>138</v>
      </c>
      <c r="E278" s="3" t="n">
        <v>77.8278416666667</v>
      </c>
      <c r="G278" s="4" t="s">
        <v>160</v>
      </c>
      <c r="H278" s="4" t="s">
        <v>839</v>
      </c>
    </row>
    <row r="279" customFormat="false" ht="17.15" hidden="false" customHeight="false" outlineLevel="0" collapsed="false">
      <c r="A279" s="0" t="s">
        <v>840</v>
      </c>
      <c r="B279" s="0" t="s">
        <v>841</v>
      </c>
      <c r="C279" s="0" t="s">
        <v>12</v>
      </c>
      <c r="E279" s="3" t="n">
        <v>4.91166666666667</v>
      </c>
      <c r="G279" s="4" t="s">
        <v>13</v>
      </c>
      <c r="H279" s="4" t="s">
        <v>842</v>
      </c>
    </row>
    <row r="280" customFormat="false" ht="17.15" hidden="false" customHeight="false" outlineLevel="0" collapsed="false">
      <c r="A280" s="0" t="s">
        <v>843</v>
      </c>
      <c r="B280" s="0" t="s">
        <v>844</v>
      </c>
      <c r="C280" s="0" t="s">
        <v>12</v>
      </c>
      <c r="E280" s="3" t="n">
        <v>1.51024789659781</v>
      </c>
      <c r="G280" s="4" t="s">
        <v>13</v>
      </c>
      <c r="H280" s="4" t="s">
        <v>845</v>
      </c>
    </row>
    <row r="281" customFormat="false" ht="17.15" hidden="false" customHeight="false" outlineLevel="0" collapsed="false">
      <c r="A281" s="0" t="s">
        <v>846</v>
      </c>
      <c r="B281" s="0" t="s">
        <v>847</v>
      </c>
      <c r="C281" s="0" t="s">
        <v>142</v>
      </c>
      <c r="E281" s="3" t="n">
        <v>38.7783529603329</v>
      </c>
      <c r="G281" s="4" t="s">
        <v>13</v>
      </c>
      <c r="H281" s="4" t="s">
        <v>848</v>
      </c>
    </row>
    <row r="282" customFormat="false" ht="17.15" hidden="false" customHeight="false" outlineLevel="0" collapsed="false">
      <c r="A282" s="0" t="s">
        <v>849</v>
      </c>
      <c r="B282" s="0" t="s">
        <v>850</v>
      </c>
      <c r="C282" s="0" t="s">
        <v>142</v>
      </c>
      <c r="E282" s="3" t="n">
        <v>12.1527076383687</v>
      </c>
      <c r="G282" s="4" t="s">
        <v>13</v>
      </c>
      <c r="H282" s="4" t="s">
        <v>851</v>
      </c>
    </row>
    <row r="283" customFormat="false" ht="17.15" hidden="false" customHeight="false" outlineLevel="0" collapsed="false">
      <c r="A283" s="0" t="s">
        <v>852</v>
      </c>
      <c r="B283" s="0" t="s">
        <v>853</v>
      </c>
      <c r="C283" s="0" t="s">
        <v>138</v>
      </c>
      <c r="E283" s="3" t="n">
        <v>76.3278466666667</v>
      </c>
      <c r="G283" s="4" t="s">
        <v>160</v>
      </c>
      <c r="H283" s="4" t="s">
        <v>854</v>
      </c>
    </row>
    <row r="284" customFormat="false" ht="17.15" hidden="false" customHeight="false" outlineLevel="0" collapsed="false">
      <c r="A284" s="0" t="s">
        <v>855</v>
      </c>
      <c r="B284" s="0" t="s">
        <v>856</v>
      </c>
      <c r="C284" s="0" t="s">
        <v>12</v>
      </c>
      <c r="E284" s="3" t="n">
        <v>0</v>
      </c>
      <c r="G284" s="4" t="s">
        <v>13</v>
      </c>
      <c r="H284" s="4" t="s">
        <v>857</v>
      </c>
    </row>
    <row r="285" customFormat="false" ht="17.15" hidden="false" customHeight="false" outlineLevel="0" collapsed="false">
      <c r="A285" s="0" t="s">
        <v>858</v>
      </c>
      <c r="B285" s="0" t="s">
        <v>859</v>
      </c>
      <c r="C285" s="0" t="s">
        <v>12</v>
      </c>
      <c r="E285" s="3" t="n">
        <v>1.51737350859666</v>
      </c>
      <c r="G285" s="4" t="s">
        <v>13</v>
      </c>
      <c r="H285" s="4" t="s">
        <v>860</v>
      </c>
    </row>
    <row r="286" customFormat="false" ht="17.15" hidden="false" customHeight="false" outlineLevel="0" collapsed="false">
      <c r="A286" s="0" t="s">
        <v>861</v>
      </c>
      <c r="B286" s="0" t="s">
        <v>862</v>
      </c>
      <c r="C286" s="0" t="s">
        <v>138</v>
      </c>
      <c r="G286" s="0" t="s">
        <v>13</v>
      </c>
      <c r="H286" s="0" t="s">
        <v>863</v>
      </c>
    </row>
    <row r="287" customFormat="false" ht="17.15" hidden="false" customHeight="false" outlineLevel="0" collapsed="false">
      <c r="A287" s="0" t="s">
        <v>864</v>
      </c>
      <c r="B287" s="0" t="s">
        <v>865</v>
      </c>
      <c r="C287" s="0" t="s">
        <v>138</v>
      </c>
      <c r="G287" s="0" t="s">
        <v>13</v>
      </c>
      <c r="H287" s="0" t="s">
        <v>866</v>
      </c>
    </row>
    <row r="288" customFormat="false" ht="17.15" hidden="false" customHeight="false" outlineLevel="0" collapsed="false">
      <c r="A288" s="0" t="s">
        <v>867</v>
      </c>
      <c r="B288" s="0" t="s">
        <v>868</v>
      </c>
      <c r="C288" s="0" t="s">
        <v>138</v>
      </c>
      <c r="E288" s="3" t="n">
        <v>55.663</v>
      </c>
      <c r="G288" s="4" t="s">
        <v>13</v>
      </c>
      <c r="H288" s="4" t="s">
        <v>869</v>
      </c>
    </row>
    <row r="289" customFormat="false" ht="17.15" hidden="false" customHeight="false" outlineLevel="0" collapsed="false">
      <c r="A289" s="0" t="s">
        <v>870</v>
      </c>
      <c r="B289" s="0" t="s">
        <v>871</v>
      </c>
      <c r="C289" s="0" t="s">
        <v>138</v>
      </c>
      <c r="E289" s="3" t="n">
        <v>92.5</v>
      </c>
      <c r="G289" s="4" t="s">
        <v>13</v>
      </c>
      <c r="H289" s="4" t="s">
        <v>872</v>
      </c>
    </row>
    <row r="290" customFormat="false" ht="17.15" hidden="false" customHeight="false" outlineLevel="0" collapsed="false">
      <c r="A290" s="0" t="s">
        <v>873</v>
      </c>
      <c r="B290" s="0" t="s">
        <v>874</v>
      </c>
      <c r="C290" s="0" t="s">
        <v>138</v>
      </c>
      <c r="E290" s="3" t="n">
        <v>86.397526</v>
      </c>
      <c r="G290" s="4" t="s">
        <v>13</v>
      </c>
      <c r="H290" s="4" t="s">
        <v>875</v>
      </c>
    </row>
    <row r="291" customFormat="false" ht="17.15" hidden="false" customHeight="false" outlineLevel="0" collapsed="false">
      <c r="A291" s="0" t="s">
        <v>876</v>
      </c>
      <c r="B291" s="0" t="s">
        <v>877</v>
      </c>
      <c r="C291" s="0" t="s">
        <v>138</v>
      </c>
      <c r="E291" s="3" t="n">
        <v>38.005563</v>
      </c>
      <c r="G291" s="4" t="s">
        <v>13</v>
      </c>
      <c r="H291" s="4" t="s">
        <v>878</v>
      </c>
    </row>
    <row r="292" customFormat="false" ht="17.15" hidden="false" customHeight="false" outlineLevel="0" collapsed="false">
      <c r="A292" s="0" t="s">
        <v>879</v>
      </c>
      <c r="B292" s="0" t="s">
        <v>880</v>
      </c>
      <c r="C292" s="0" t="s">
        <v>138</v>
      </c>
      <c r="E292" s="3" t="n">
        <v>20.011665</v>
      </c>
      <c r="G292" s="4" t="s">
        <v>13</v>
      </c>
      <c r="H292" s="4" t="s">
        <v>881</v>
      </c>
    </row>
    <row r="293" customFormat="false" ht="17.15" hidden="false" customHeight="false" outlineLevel="0" collapsed="false">
      <c r="A293" s="0" t="s">
        <v>882</v>
      </c>
      <c r="B293" s="0" t="s">
        <v>883</v>
      </c>
      <c r="C293" s="0" t="s">
        <v>134</v>
      </c>
      <c r="E293" s="3" t="n">
        <v>0.238210067173108</v>
      </c>
      <c r="G293" s="4" t="s">
        <v>13</v>
      </c>
      <c r="H293" s="4" t="s">
        <v>884</v>
      </c>
    </row>
    <row r="294" customFormat="false" ht="17.15" hidden="false" customHeight="false" outlineLevel="0" collapsed="false">
      <c r="A294" s="0" t="s">
        <v>885</v>
      </c>
      <c r="B294" s="0" t="s">
        <v>886</v>
      </c>
      <c r="C294" s="0" t="s">
        <v>134</v>
      </c>
      <c r="E294" s="3" t="n">
        <v>0.238210067173108</v>
      </c>
      <c r="G294" s="4" t="s">
        <v>13</v>
      </c>
      <c r="H294" s="4" t="s">
        <v>887</v>
      </c>
    </row>
    <row r="295" customFormat="false" ht="17.15" hidden="false" customHeight="false" outlineLevel="0" collapsed="false">
      <c r="A295" s="0" t="s">
        <v>888</v>
      </c>
      <c r="B295" s="0" t="s">
        <v>889</v>
      </c>
      <c r="C295" s="0" t="s">
        <v>134</v>
      </c>
      <c r="E295" s="3" t="n">
        <v>0.238210067173108</v>
      </c>
      <c r="G295" s="4" t="s">
        <v>13</v>
      </c>
      <c r="H295" s="4" t="s">
        <v>890</v>
      </c>
    </row>
    <row r="296" customFormat="false" ht="17.15" hidden="false" customHeight="false" outlineLevel="0" collapsed="false">
      <c r="A296" s="0" t="s">
        <v>891</v>
      </c>
      <c r="B296" s="0" t="s">
        <v>892</v>
      </c>
      <c r="C296" s="0" t="s">
        <v>134</v>
      </c>
      <c r="E296" s="3" t="n">
        <v>0.273101862203342</v>
      </c>
      <c r="G296" s="4" t="s">
        <v>13</v>
      </c>
      <c r="H296" s="4" t="s">
        <v>893</v>
      </c>
    </row>
    <row r="297" customFormat="false" ht="17.15" hidden="false" customHeight="false" outlineLevel="0" collapsed="false">
      <c r="A297" s="0" t="s">
        <v>894</v>
      </c>
      <c r="B297" s="0" t="s">
        <v>895</v>
      </c>
      <c r="C297" s="0" t="s">
        <v>134</v>
      </c>
      <c r="E297" s="3" t="n">
        <v>0.269621396123668</v>
      </c>
      <c r="G297" s="4" t="s">
        <v>13</v>
      </c>
      <c r="H297" s="4" t="s">
        <v>896</v>
      </c>
    </row>
    <row r="298" customFormat="false" ht="17.15" hidden="false" customHeight="false" outlineLevel="0" collapsed="false">
      <c r="A298" s="0" t="s">
        <v>897</v>
      </c>
      <c r="B298" s="0" t="s">
        <v>898</v>
      </c>
      <c r="C298" s="0" t="s">
        <v>134</v>
      </c>
      <c r="E298" s="3" t="n">
        <v>0.272187509408712</v>
      </c>
      <c r="G298" s="4" t="s">
        <v>13</v>
      </c>
      <c r="H298" s="4" t="s">
        <v>899</v>
      </c>
    </row>
    <row r="299" customFormat="false" ht="17.15" hidden="false" customHeight="false" outlineLevel="0" collapsed="false">
      <c r="A299" s="0" t="s">
        <v>900</v>
      </c>
      <c r="B299" s="0" t="s">
        <v>901</v>
      </c>
      <c r="C299" s="0" t="s">
        <v>138</v>
      </c>
      <c r="E299" s="3" t="n">
        <v>21.215</v>
      </c>
      <c r="G299" s="4" t="s">
        <v>149</v>
      </c>
      <c r="H299" s="4" t="s">
        <v>902</v>
      </c>
    </row>
    <row r="300" customFormat="false" ht="17.15" hidden="false" customHeight="false" outlineLevel="0" collapsed="false">
      <c r="A300" s="0" t="s">
        <v>903</v>
      </c>
      <c r="B300" s="0" t="s">
        <v>904</v>
      </c>
      <c r="C300" s="5" t="s">
        <v>238</v>
      </c>
      <c r="E300" s="3" t="n">
        <v>12</v>
      </c>
      <c r="G300" s="4" t="s">
        <v>149</v>
      </c>
      <c r="H300" s="4" t="s">
        <v>905</v>
      </c>
    </row>
    <row r="301" customFormat="false" ht="17.15" hidden="false" customHeight="false" outlineLevel="0" collapsed="false">
      <c r="A301" s="0" t="s">
        <v>906</v>
      </c>
      <c r="B301" s="0" t="s">
        <v>907</v>
      </c>
      <c r="C301" s="0" t="s">
        <v>142</v>
      </c>
      <c r="E301" s="3" t="n">
        <v>27.510214</v>
      </c>
      <c r="G301" s="4" t="s">
        <v>13</v>
      </c>
      <c r="H301" s="4" t="s">
        <v>908</v>
      </c>
    </row>
    <row r="302" customFormat="false" ht="17.15" hidden="false" customHeight="false" outlineLevel="0" collapsed="false">
      <c r="A302" s="0" t="s">
        <v>909</v>
      </c>
      <c r="B302" s="0" t="s">
        <v>910</v>
      </c>
      <c r="C302" s="0" t="s">
        <v>142</v>
      </c>
      <c r="E302" s="3" t="n">
        <v>12.67</v>
      </c>
      <c r="G302" s="4" t="s">
        <v>13</v>
      </c>
      <c r="H302" s="4" t="s">
        <v>911</v>
      </c>
    </row>
    <row r="303" customFormat="false" ht="17.15" hidden="false" customHeight="false" outlineLevel="0" collapsed="false">
      <c r="A303" s="0" t="s">
        <v>912</v>
      </c>
      <c r="B303" s="0" t="s">
        <v>913</v>
      </c>
      <c r="C303" s="0" t="s">
        <v>138</v>
      </c>
      <c r="G303" s="0" t="s">
        <v>160</v>
      </c>
      <c r="H303" s="0" t="s">
        <v>914</v>
      </c>
    </row>
    <row r="304" customFormat="false" ht="17.15" hidden="false" customHeight="false" outlineLevel="0" collapsed="false">
      <c r="A304" s="0" t="s">
        <v>915</v>
      </c>
      <c r="B304" s="0" t="s">
        <v>916</v>
      </c>
      <c r="C304" s="0" t="s">
        <v>12</v>
      </c>
      <c r="E304" s="3" t="n">
        <v>0.29</v>
      </c>
      <c r="G304" s="4" t="s">
        <v>13</v>
      </c>
      <c r="H304" s="4" t="s">
        <v>917</v>
      </c>
    </row>
    <row r="305" customFormat="false" ht="17.15" hidden="false" customHeight="false" outlineLevel="0" collapsed="false">
      <c r="A305" s="0" t="s">
        <v>918</v>
      </c>
      <c r="B305" s="0" t="s">
        <v>919</v>
      </c>
      <c r="C305" s="0" t="s">
        <v>12</v>
      </c>
      <c r="E305" s="3" t="n">
        <v>0.29</v>
      </c>
      <c r="G305" s="4" t="s">
        <v>13</v>
      </c>
      <c r="H305" s="4" t="s">
        <v>920</v>
      </c>
    </row>
    <row r="306" customFormat="false" ht="17.15" hidden="false" customHeight="false" outlineLevel="0" collapsed="false">
      <c r="A306" s="0" t="s">
        <v>921</v>
      </c>
      <c r="B306" s="0" t="s">
        <v>922</v>
      </c>
      <c r="C306" s="0" t="s">
        <v>142</v>
      </c>
      <c r="E306" s="3" t="n">
        <v>26.009088</v>
      </c>
      <c r="G306" s="4" t="s">
        <v>13</v>
      </c>
      <c r="H306" s="4" t="s">
        <v>923</v>
      </c>
    </row>
    <row r="307" customFormat="false" ht="17.15" hidden="false" customHeight="false" outlineLevel="0" collapsed="false">
      <c r="A307" s="0" t="s">
        <v>924</v>
      </c>
      <c r="B307" s="0" t="s">
        <v>925</v>
      </c>
      <c r="C307" s="0" t="s">
        <v>142</v>
      </c>
      <c r="E307" s="3" t="n">
        <v>12.67</v>
      </c>
      <c r="G307" s="4" t="s">
        <v>13</v>
      </c>
      <c r="H307" s="4" t="s">
        <v>926</v>
      </c>
    </row>
    <row r="308" customFormat="false" ht="17.15" hidden="false" customHeight="false" outlineLevel="0" collapsed="false">
      <c r="A308" s="0" t="s">
        <v>927</v>
      </c>
      <c r="B308" s="0" t="s">
        <v>928</v>
      </c>
      <c r="C308" s="0" t="s">
        <v>138</v>
      </c>
      <c r="G308" s="0" t="s">
        <v>160</v>
      </c>
      <c r="H308" s="0" t="s">
        <v>929</v>
      </c>
    </row>
    <row r="309" customFormat="false" ht="17.15" hidden="false" customHeight="false" outlineLevel="0" collapsed="false">
      <c r="A309" s="0" t="s">
        <v>930</v>
      </c>
      <c r="B309" s="0" t="s">
        <v>931</v>
      </c>
      <c r="C309" s="0" t="s">
        <v>12</v>
      </c>
      <c r="E309" s="3" t="n">
        <v>0.49</v>
      </c>
      <c r="G309" s="4" t="s">
        <v>13</v>
      </c>
      <c r="H309" s="4" t="s">
        <v>932</v>
      </c>
    </row>
    <row r="310" customFormat="false" ht="17.15" hidden="false" customHeight="false" outlineLevel="0" collapsed="false">
      <c r="A310" s="0" t="s">
        <v>933</v>
      </c>
      <c r="B310" s="0" t="s">
        <v>934</v>
      </c>
      <c r="C310" s="0" t="s">
        <v>12</v>
      </c>
      <c r="E310" s="3" t="n">
        <v>0.49</v>
      </c>
      <c r="G310" s="4" t="s">
        <v>13</v>
      </c>
      <c r="H310" s="4" t="s">
        <v>935</v>
      </c>
    </row>
    <row r="311" customFormat="false" ht="17.15" hidden="false" customHeight="false" outlineLevel="0" collapsed="false">
      <c r="A311" s="0" t="s">
        <v>936</v>
      </c>
      <c r="B311" s="0" t="s">
        <v>937</v>
      </c>
      <c r="C311" s="0" t="s">
        <v>142</v>
      </c>
      <c r="E311" s="3" t="n">
        <v>33.41403216</v>
      </c>
      <c r="G311" s="4" t="s">
        <v>13</v>
      </c>
      <c r="H311" s="4" t="s">
        <v>938</v>
      </c>
    </row>
    <row r="312" customFormat="false" ht="17.15" hidden="false" customHeight="false" outlineLevel="0" collapsed="false">
      <c r="A312" s="0" t="s">
        <v>939</v>
      </c>
      <c r="B312" s="0" t="s">
        <v>940</v>
      </c>
      <c r="C312" s="0" t="s">
        <v>142</v>
      </c>
      <c r="E312" s="3" t="n">
        <v>12.67</v>
      </c>
      <c r="G312" s="4" t="s">
        <v>13</v>
      </c>
      <c r="H312" s="4" t="s">
        <v>941</v>
      </c>
    </row>
    <row r="313" customFormat="false" ht="17.15" hidden="false" customHeight="false" outlineLevel="0" collapsed="false">
      <c r="A313" s="0" t="s">
        <v>942</v>
      </c>
      <c r="B313" s="0" t="s">
        <v>943</v>
      </c>
      <c r="C313" s="0" t="s">
        <v>138</v>
      </c>
      <c r="E313" s="3" t="n">
        <v>31.45</v>
      </c>
      <c r="G313" s="4" t="s">
        <v>160</v>
      </c>
      <c r="H313" s="4" t="s">
        <v>944</v>
      </c>
    </row>
    <row r="314" customFormat="false" ht="17.15" hidden="false" customHeight="false" outlineLevel="0" collapsed="false">
      <c r="A314" s="0" t="s">
        <v>945</v>
      </c>
      <c r="B314" s="0" t="s">
        <v>946</v>
      </c>
      <c r="C314" s="0" t="s">
        <v>12</v>
      </c>
      <c r="E314" s="3" t="n">
        <v>1</v>
      </c>
      <c r="G314" s="4" t="s">
        <v>13</v>
      </c>
      <c r="H314" s="4" t="s">
        <v>947</v>
      </c>
    </row>
    <row r="315" customFormat="false" ht="17.15" hidden="false" customHeight="false" outlineLevel="0" collapsed="false">
      <c r="A315" s="0" t="s">
        <v>948</v>
      </c>
      <c r="B315" s="0" t="s">
        <v>949</v>
      </c>
      <c r="C315" s="0" t="s">
        <v>12</v>
      </c>
      <c r="E315" s="3" t="n">
        <v>1</v>
      </c>
      <c r="G315" s="4" t="s">
        <v>13</v>
      </c>
      <c r="H315" s="4" t="s">
        <v>950</v>
      </c>
    </row>
    <row r="316" customFormat="false" ht="17.15" hidden="false" customHeight="false" outlineLevel="0" collapsed="false">
      <c r="A316" s="0" t="s">
        <v>951</v>
      </c>
      <c r="B316" s="0" t="s">
        <v>952</v>
      </c>
      <c r="C316" s="0" t="s">
        <v>142</v>
      </c>
      <c r="E316" s="3" t="n">
        <v>38.3403893327246</v>
      </c>
      <c r="G316" s="4" t="s">
        <v>13</v>
      </c>
      <c r="H316" s="4" t="s">
        <v>953</v>
      </c>
    </row>
    <row r="317" customFormat="false" ht="17.15" hidden="false" customHeight="false" outlineLevel="0" collapsed="false">
      <c r="A317" s="0" t="s">
        <v>954</v>
      </c>
      <c r="B317" s="0" t="s">
        <v>955</v>
      </c>
      <c r="C317" s="0" t="s">
        <v>142</v>
      </c>
      <c r="E317" s="3" t="n">
        <v>12.67</v>
      </c>
      <c r="G317" s="4" t="s">
        <v>13</v>
      </c>
      <c r="H317" s="4" t="s">
        <v>956</v>
      </c>
    </row>
    <row r="318" customFormat="false" ht="17.15" hidden="false" customHeight="false" outlineLevel="0" collapsed="false">
      <c r="A318" s="0" t="s">
        <v>957</v>
      </c>
      <c r="B318" s="0" t="s">
        <v>958</v>
      </c>
      <c r="C318" s="0" t="s">
        <v>138</v>
      </c>
      <c r="E318" s="3" t="n">
        <v>39.5046</v>
      </c>
      <c r="G318" s="4" t="s">
        <v>160</v>
      </c>
      <c r="H318" s="4" t="s">
        <v>959</v>
      </c>
    </row>
    <row r="319" customFormat="false" ht="17.15" hidden="false" customHeight="false" outlineLevel="0" collapsed="false">
      <c r="A319" s="0" t="s">
        <v>960</v>
      </c>
      <c r="B319" s="0" t="s">
        <v>961</v>
      </c>
      <c r="C319" s="0" t="s">
        <v>12</v>
      </c>
      <c r="E319" s="3" t="n">
        <v>1.5375</v>
      </c>
      <c r="G319" s="4" t="s">
        <v>13</v>
      </c>
      <c r="H319" s="4" t="s">
        <v>962</v>
      </c>
    </row>
    <row r="320" customFormat="false" ht="17.15" hidden="false" customHeight="false" outlineLevel="0" collapsed="false">
      <c r="A320" s="0" t="s">
        <v>963</v>
      </c>
      <c r="B320" s="0" t="s">
        <v>964</v>
      </c>
      <c r="C320" s="0" t="s">
        <v>12</v>
      </c>
      <c r="E320" s="3" t="n">
        <v>1.5375</v>
      </c>
      <c r="G320" s="4" t="s">
        <v>13</v>
      </c>
      <c r="H320" s="4" t="s">
        <v>965</v>
      </c>
    </row>
    <row r="321" customFormat="false" ht="17.15" hidden="false" customHeight="false" outlineLevel="0" collapsed="false">
      <c r="A321" s="0" t="s">
        <v>966</v>
      </c>
      <c r="B321" s="0" t="s">
        <v>967</v>
      </c>
      <c r="C321" s="0" t="s">
        <v>142</v>
      </c>
      <c r="E321" s="3" t="n">
        <v>41.3326208898258</v>
      </c>
      <c r="G321" s="4" t="s">
        <v>13</v>
      </c>
      <c r="H321" s="4" t="s">
        <v>968</v>
      </c>
    </row>
    <row r="322" customFormat="false" ht="17.15" hidden="false" customHeight="false" outlineLevel="0" collapsed="false">
      <c r="A322" s="0" t="s">
        <v>969</v>
      </c>
      <c r="B322" s="0" t="s">
        <v>970</v>
      </c>
      <c r="C322" s="0" t="s">
        <v>142</v>
      </c>
      <c r="E322" s="3" t="n">
        <v>12.67</v>
      </c>
      <c r="G322" s="4" t="s">
        <v>13</v>
      </c>
      <c r="H322" s="4" t="s">
        <v>971</v>
      </c>
    </row>
    <row r="323" customFormat="false" ht="17.15" hidden="false" customHeight="false" outlineLevel="0" collapsed="false">
      <c r="A323" s="0" t="s">
        <v>972</v>
      </c>
      <c r="B323" s="0" t="s">
        <v>973</v>
      </c>
      <c r="C323" s="0" t="s">
        <v>138</v>
      </c>
      <c r="E323" s="3" t="n">
        <v>42.60965</v>
      </c>
      <c r="G323" s="4" t="s">
        <v>160</v>
      </c>
      <c r="H323" s="4" t="s">
        <v>974</v>
      </c>
    </row>
    <row r="324" customFormat="false" ht="17.15" hidden="false" customHeight="false" outlineLevel="0" collapsed="false">
      <c r="A324" s="0" t="s">
        <v>975</v>
      </c>
      <c r="B324" s="0" t="s">
        <v>976</v>
      </c>
      <c r="C324" s="0" t="s">
        <v>12</v>
      </c>
      <c r="E324" s="3" t="n">
        <v>1.5375</v>
      </c>
      <c r="G324" s="4" t="s">
        <v>13</v>
      </c>
      <c r="H324" s="4" t="s">
        <v>977</v>
      </c>
    </row>
    <row r="325" customFormat="false" ht="17.15" hidden="false" customHeight="false" outlineLevel="0" collapsed="false">
      <c r="A325" s="0" t="s">
        <v>978</v>
      </c>
      <c r="B325" s="0" t="s">
        <v>979</v>
      </c>
      <c r="C325" s="0" t="s">
        <v>12</v>
      </c>
      <c r="E325" s="3" t="n">
        <v>0.758042293208187</v>
      </c>
      <c r="G325" s="4" t="s">
        <v>13</v>
      </c>
      <c r="H325" s="4" t="s">
        <v>980</v>
      </c>
    </row>
    <row r="326" customFormat="false" ht="17.15" hidden="false" customHeight="false" outlineLevel="0" collapsed="false">
      <c r="A326" s="0" t="s">
        <v>981</v>
      </c>
      <c r="B326" s="0" t="s">
        <v>982</v>
      </c>
      <c r="C326" s="0" t="s">
        <v>142</v>
      </c>
      <c r="E326" s="3" t="n">
        <v>41.3326208898258</v>
      </c>
      <c r="G326" s="4" t="s">
        <v>13</v>
      </c>
      <c r="H326" s="4" t="s">
        <v>983</v>
      </c>
    </row>
    <row r="327" customFormat="false" ht="17.15" hidden="false" customHeight="false" outlineLevel="0" collapsed="false">
      <c r="A327" s="0" t="s">
        <v>984</v>
      </c>
      <c r="B327" s="0" t="s">
        <v>985</v>
      </c>
      <c r="C327" s="0" t="s">
        <v>142</v>
      </c>
      <c r="E327" s="3" t="n">
        <v>12.67</v>
      </c>
      <c r="G327" s="4" t="s">
        <v>13</v>
      </c>
      <c r="H327" s="4" t="s">
        <v>986</v>
      </c>
    </row>
    <row r="328" customFormat="false" ht="17.15" hidden="false" customHeight="false" outlineLevel="0" collapsed="false">
      <c r="A328" s="0" t="s">
        <v>987</v>
      </c>
      <c r="B328" s="0" t="s">
        <v>988</v>
      </c>
      <c r="C328" s="0" t="s">
        <v>138</v>
      </c>
      <c r="E328" s="3" t="n">
        <v>46.870615</v>
      </c>
      <c r="G328" s="4" t="s">
        <v>160</v>
      </c>
      <c r="H328" s="4" t="s">
        <v>989</v>
      </c>
    </row>
    <row r="329" customFormat="false" ht="17.15" hidden="false" customHeight="false" outlineLevel="0" collapsed="false">
      <c r="A329" s="0" t="s">
        <v>990</v>
      </c>
      <c r="B329" s="0" t="s">
        <v>991</v>
      </c>
      <c r="C329" s="0" t="s">
        <v>12</v>
      </c>
      <c r="E329" s="3" t="n">
        <v>1.5375</v>
      </c>
      <c r="G329" s="4" t="s">
        <v>13</v>
      </c>
      <c r="H329" s="4" t="s">
        <v>992</v>
      </c>
    </row>
    <row r="330" customFormat="false" ht="17.15" hidden="false" customHeight="false" outlineLevel="0" collapsed="false">
      <c r="A330" s="0" t="s">
        <v>993</v>
      </c>
      <c r="B330" s="0" t="s">
        <v>994</v>
      </c>
      <c r="C330" s="0" t="s">
        <v>12</v>
      </c>
      <c r="E330" s="3" t="n">
        <v>0.842675104355277</v>
      </c>
      <c r="G330" s="4" t="s">
        <v>13</v>
      </c>
      <c r="H330" s="4" t="s">
        <v>995</v>
      </c>
    </row>
    <row r="331" customFormat="false" ht="17.15" hidden="false" customHeight="false" outlineLevel="0" collapsed="false">
      <c r="A331" s="0" t="s">
        <v>996</v>
      </c>
      <c r="B331" s="0" t="s">
        <v>997</v>
      </c>
      <c r="C331" s="0" t="s">
        <v>138</v>
      </c>
      <c r="G331" s="0" t="s">
        <v>13</v>
      </c>
      <c r="H331" s="0" t="s">
        <v>998</v>
      </c>
    </row>
    <row r="332" customFormat="false" ht="17.15" hidden="false" customHeight="false" outlineLevel="0" collapsed="false">
      <c r="A332" s="0" t="s">
        <v>999</v>
      </c>
      <c r="B332" s="0" t="s">
        <v>1000</v>
      </c>
      <c r="C332" s="0" t="s">
        <v>138</v>
      </c>
      <c r="G332" s="0" t="s">
        <v>13</v>
      </c>
      <c r="H332" s="0" t="s">
        <v>1001</v>
      </c>
    </row>
    <row r="333" customFormat="false" ht="17.15" hidden="false" customHeight="false" outlineLevel="0" collapsed="false">
      <c r="A333" s="0" t="s">
        <v>1002</v>
      </c>
      <c r="B333" s="0" t="s">
        <v>1003</v>
      </c>
      <c r="C333" s="0" t="s">
        <v>138</v>
      </c>
      <c r="E333" s="3" t="n">
        <v>32.978</v>
      </c>
      <c r="G333" s="4" t="s">
        <v>13</v>
      </c>
      <c r="H333" s="4" t="s">
        <v>1004</v>
      </c>
    </row>
    <row r="334" customFormat="false" ht="17.15" hidden="false" customHeight="false" outlineLevel="0" collapsed="false">
      <c r="A334" s="0" t="s">
        <v>1005</v>
      </c>
      <c r="B334" s="0" t="s">
        <v>1006</v>
      </c>
      <c r="C334" s="0" t="s">
        <v>138</v>
      </c>
      <c r="E334" s="3" t="n">
        <v>39.363041</v>
      </c>
      <c r="G334" s="4" t="s">
        <v>13</v>
      </c>
      <c r="H334" s="4" t="s">
        <v>1007</v>
      </c>
    </row>
    <row r="335" customFormat="false" ht="17.15" hidden="false" customHeight="false" outlineLevel="0" collapsed="false">
      <c r="A335" s="0" t="s">
        <v>1008</v>
      </c>
      <c r="B335" s="0" t="s">
        <v>1009</v>
      </c>
      <c r="C335" s="0" t="s">
        <v>138</v>
      </c>
      <c r="E335" s="3" t="n">
        <v>32.512194</v>
      </c>
      <c r="G335" s="4" t="s">
        <v>13</v>
      </c>
      <c r="H335" s="4" t="s">
        <v>1010</v>
      </c>
    </row>
    <row r="336" customFormat="false" ht="17.15" hidden="false" customHeight="false" outlineLevel="0" collapsed="false">
      <c r="A336" s="0" t="s">
        <v>1011</v>
      </c>
      <c r="B336" s="0" t="s">
        <v>1012</v>
      </c>
      <c r="C336" s="0" t="s">
        <v>138</v>
      </c>
      <c r="E336" s="3" t="n">
        <v>32.700126</v>
      </c>
      <c r="G336" s="4" t="s">
        <v>13</v>
      </c>
      <c r="H336" s="4" t="s">
        <v>1013</v>
      </c>
    </row>
    <row r="337" customFormat="false" ht="17.15" hidden="false" customHeight="false" outlineLevel="0" collapsed="false">
      <c r="A337" s="0" t="s">
        <v>1014</v>
      </c>
      <c r="B337" s="0" t="s">
        <v>1015</v>
      </c>
      <c r="C337" s="0" t="s">
        <v>138</v>
      </c>
      <c r="E337" s="3" t="n">
        <v>37.022557</v>
      </c>
      <c r="G337" s="4" t="s">
        <v>13</v>
      </c>
      <c r="H337" s="4" t="s">
        <v>1016</v>
      </c>
    </row>
    <row r="338" customFormat="false" ht="17.15" hidden="false" customHeight="false" outlineLevel="0" collapsed="false">
      <c r="A338" s="0" t="s">
        <v>1017</v>
      </c>
      <c r="B338" s="0" t="s">
        <v>1018</v>
      </c>
      <c r="C338" s="0" t="s">
        <v>134</v>
      </c>
      <c r="E338" s="3" t="n">
        <v>0</v>
      </c>
      <c r="G338" s="4" t="s">
        <v>13</v>
      </c>
      <c r="H338" s="4" t="s">
        <v>1019</v>
      </c>
    </row>
    <row r="339" customFormat="false" ht="17.15" hidden="false" customHeight="false" outlineLevel="0" collapsed="false">
      <c r="A339" s="0" t="s">
        <v>1020</v>
      </c>
      <c r="B339" s="0" t="s">
        <v>1021</v>
      </c>
      <c r="C339" s="0" t="s">
        <v>134</v>
      </c>
      <c r="E339" s="3" t="n">
        <v>0</v>
      </c>
      <c r="G339" s="4" t="s">
        <v>13</v>
      </c>
      <c r="H339" s="4" t="s">
        <v>1022</v>
      </c>
    </row>
    <row r="340" customFormat="false" ht="17.15" hidden="false" customHeight="false" outlineLevel="0" collapsed="false">
      <c r="A340" s="0" t="s">
        <v>1023</v>
      </c>
      <c r="B340" s="0" t="s">
        <v>1024</v>
      </c>
      <c r="C340" s="0" t="s">
        <v>134</v>
      </c>
      <c r="E340" s="3" t="n">
        <v>0</v>
      </c>
      <c r="G340" s="4" t="s">
        <v>13</v>
      </c>
      <c r="H340" s="4" t="s">
        <v>1025</v>
      </c>
    </row>
    <row r="341" customFormat="false" ht="17.15" hidden="false" customHeight="false" outlineLevel="0" collapsed="false">
      <c r="A341" s="0" t="s">
        <v>1026</v>
      </c>
      <c r="B341" s="0" t="s">
        <v>1027</v>
      </c>
      <c r="C341" s="0" t="s">
        <v>134</v>
      </c>
      <c r="E341" s="3" t="n">
        <v>0</v>
      </c>
      <c r="G341" s="4" t="s">
        <v>13</v>
      </c>
      <c r="H341" s="4" t="s">
        <v>1028</v>
      </c>
    </row>
    <row r="342" customFormat="false" ht="17.15" hidden="false" customHeight="false" outlineLevel="0" collapsed="false">
      <c r="A342" s="0" t="s">
        <v>1029</v>
      </c>
      <c r="B342" s="0" t="s">
        <v>1030</v>
      </c>
      <c r="C342" s="0" t="s">
        <v>134</v>
      </c>
      <c r="E342" s="3" t="n">
        <v>0</v>
      </c>
      <c r="G342" s="4" t="s">
        <v>13</v>
      </c>
      <c r="H342" s="4" t="s">
        <v>1031</v>
      </c>
    </row>
    <row r="343" customFormat="false" ht="17.15" hidden="false" customHeight="false" outlineLevel="0" collapsed="false">
      <c r="A343" s="0" t="s">
        <v>1032</v>
      </c>
      <c r="B343" s="0" t="s">
        <v>1033</v>
      </c>
      <c r="C343" s="0" t="s">
        <v>134</v>
      </c>
      <c r="E343" s="3" t="n">
        <v>0</v>
      </c>
      <c r="G343" s="4" t="s">
        <v>13</v>
      </c>
      <c r="H343" s="4" t="s">
        <v>1034</v>
      </c>
    </row>
    <row r="344" customFormat="false" ht="17.15" hidden="false" customHeight="false" outlineLevel="0" collapsed="false">
      <c r="A344" s="0" t="s">
        <v>1035</v>
      </c>
      <c r="B344" s="0" t="s">
        <v>1036</v>
      </c>
      <c r="C344" s="5" t="s">
        <v>238</v>
      </c>
      <c r="E344" s="3" t="n">
        <v>12</v>
      </c>
      <c r="G344" s="4" t="s">
        <v>149</v>
      </c>
      <c r="H344" s="4" t="s">
        <v>1037</v>
      </c>
    </row>
    <row r="345" customFormat="false" ht="17.15" hidden="false" customHeight="false" outlineLevel="0" collapsed="false">
      <c r="A345" s="0" t="s">
        <v>1038</v>
      </c>
      <c r="B345" s="0" t="s">
        <v>1039</v>
      </c>
      <c r="C345" s="0" t="s">
        <v>142</v>
      </c>
      <c r="E345" s="3" t="n">
        <v>27.510214</v>
      </c>
      <c r="G345" s="4" t="s">
        <v>13</v>
      </c>
      <c r="H345" s="4" t="s">
        <v>1040</v>
      </c>
    </row>
    <row r="346" customFormat="false" ht="17.15" hidden="false" customHeight="false" outlineLevel="0" collapsed="false">
      <c r="A346" s="0" t="s">
        <v>1041</v>
      </c>
      <c r="B346" s="0" t="s">
        <v>1042</v>
      </c>
      <c r="C346" s="0" t="s">
        <v>142</v>
      </c>
      <c r="E346" s="3" t="n">
        <v>12.67</v>
      </c>
      <c r="G346" s="4" t="s">
        <v>13</v>
      </c>
      <c r="H346" s="4" t="s">
        <v>1043</v>
      </c>
    </row>
    <row r="347" customFormat="false" ht="17.15" hidden="false" customHeight="false" outlineLevel="0" collapsed="false">
      <c r="A347" s="0" t="s">
        <v>1044</v>
      </c>
      <c r="B347" s="0" t="s">
        <v>1045</v>
      </c>
      <c r="C347" s="0" t="s">
        <v>138</v>
      </c>
      <c r="G347" s="0" t="s">
        <v>160</v>
      </c>
      <c r="H347" s="0" t="s">
        <v>1046</v>
      </c>
    </row>
    <row r="348" customFormat="false" ht="17.15" hidden="false" customHeight="false" outlineLevel="0" collapsed="false">
      <c r="A348" s="0" t="s">
        <v>1047</v>
      </c>
      <c r="B348" s="0" t="s">
        <v>1048</v>
      </c>
      <c r="C348" s="0" t="s">
        <v>12</v>
      </c>
      <c r="E348" s="3" t="n">
        <v>0</v>
      </c>
      <c r="G348" s="4" t="s">
        <v>13</v>
      </c>
      <c r="H348" s="4" t="s">
        <v>1049</v>
      </c>
    </row>
    <row r="349" customFormat="false" ht="17.15" hidden="false" customHeight="false" outlineLevel="0" collapsed="false">
      <c r="A349" s="0" t="s">
        <v>1050</v>
      </c>
      <c r="B349" s="0" t="s">
        <v>1051</v>
      </c>
      <c r="C349" s="0" t="s">
        <v>12</v>
      </c>
      <c r="E349" s="3" t="n">
        <v>0</v>
      </c>
      <c r="G349" s="4" t="s">
        <v>13</v>
      </c>
      <c r="H349" s="4" t="s">
        <v>1052</v>
      </c>
    </row>
    <row r="350" customFormat="false" ht="17.15" hidden="false" customHeight="false" outlineLevel="0" collapsed="false">
      <c r="A350" s="0" t="s">
        <v>1053</v>
      </c>
      <c r="B350" s="0" t="s">
        <v>1054</v>
      </c>
      <c r="C350" s="0" t="s">
        <v>142</v>
      </c>
      <c r="E350" s="3" t="n">
        <v>26.009088</v>
      </c>
      <c r="G350" s="4" t="s">
        <v>13</v>
      </c>
      <c r="H350" s="4" t="s">
        <v>1055</v>
      </c>
    </row>
    <row r="351" customFormat="false" ht="17.15" hidden="false" customHeight="false" outlineLevel="0" collapsed="false">
      <c r="A351" s="0" t="s">
        <v>1056</v>
      </c>
      <c r="B351" s="0" t="s">
        <v>1057</v>
      </c>
      <c r="C351" s="0" t="s">
        <v>142</v>
      </c>
      <c r="E351" s="3" t="n">
        <v>12.67</v>
      </c>
      <c r="G351" s="4" t="s">
        <v>13</v>
      </c>
      <c r="H351" s="4" t="s">
        <v>1058</v>
      </c>
    </row>
    <row r="352" customFormat="false" ht="17.15" hidden="false" customHeight="false" outlineLevel="0" collapsed="false">
      <c r="A352" s="0" t="s">
        <v>1059</v>
      </c>
      <c r="B352" s="0" t="s">
        <v>1060</v>
      </c>
      <c r="C352" s="0" t="s">
        <v>138</v>
      </c>
      <c r="E352" s="3" t="n">
        <v>3.4561</v>
      </c>
      <c r="G352" s="4" t="s">
        <v>160</v>
      </c>
      <c r="H352" s="4" t="s">
        <v>1061</v>
      </c>
    </row>
    <row r="353" customFormat="false" ht="17.15" hidden="false" customHeight="false" outlineLevel="0" collapsed="false">
      <c r="A353" s="0" t="s">
        <v>1062</v>
      </c>
      <c r="B353" s="0" t="s">
        <v>1063</v>
      </c>
      <c r="C353" s="0" t="s">
        <v>12</v>
      </c>
      <c r="E353" s="3" t="n">
        <v>0</v>
      </c>
      <c r="G353" s="4" t="s">
        <v>13</v>
      </c>
      <c r="H353" s="4" t="s">
        <v>1064</v>
      </c>
    </row>
    <row r="354" customFormat="false" ht="17.15" hidden="false" customHeight="false" outlineLevel="0" collapsed="false">
      <c r="A354" s="0" t="s">
        <v>1065</v>
      </c>
      <c r="B354" s="0" t="s">
        <v>1066</v>
      </c>
      <c r="C354" s="0" t="s">
        <v>12</v>
      </c>
      <c r="E354" s="3" t="n">
        <v>0</v>
      </c>
      <c r="G354" s="4" t="s">
        <v>13</v>
      </c>
      <c r="H354" s="4" t="s">
        <v>1067</v>
      </c>
    </row>
    <row r="355" customFormat="false" ht="17.15" hidden="false" customHeight="false" outlineLevel="0" collapsed="false">
      <c r="A355" s="0" t="s">
        <v>1068</v>
      </c>
      <c r="B355" s="0" t="s">
        <v>1069</v>
      </c>
      <c r="C355" s="0" t="s">
        <v>142</v>
      </c>
      <c r="E355" s="3" t="n">
        <v>33.41403216</v>
      </c>
      <c r="G355" s="4" t="s">
        <v>13</v>
      </c>
      <c r="H355" s="4" t="s">
        <v>1070</v>
      </c>
    </row>
    <row r="356" customFormat="false" ht="17.15" hidden="false" customHeight="false" outlineLevel="0" collapsed="false">
      <c r="A356" s="0" t="s">
        <v>1071</v>
      </c>
      <c r="B356" s="0" t="s">
        <v>1072</v>
      </c>
      <c r="C356" s="0" t="s">
        <v>142</v>
      </c>
      <c r="E356" s="3" t="n">
        <v>12.67</v>
      </c>
      <c r="G356" s="4" t="s">
        <v>13</v>
      </c>
      <c r="H356" s="4" t="s">
        <v>1073</v>
      </c>
    </row>
    <row r="357" customFormat="false" ht="17.15" hidden="false" customHeight="false" outlineLevel="0" collapsed="false">
      <c r="A357" s="0" t="s">
        <v>1074</v>
      </c>
      <c r="B357" s="0" t="s">
        <v>1075</v>
      </c>
      <c r="C357" s="0" t="s">
        <v>138</v>
      </c>
      <c r="E357" s="3" t="n">
        <v>19.125</v>
      </c>
      <c r="G357" s="4" t="s">
        <v>160</v>
      </c>
      <c r="H357" s="4" t="s">
        <v>1076</v>
      </c>
    </row>
    <row r="358" customFormat="false" ht="17.15" hidden="false" customHeight="false" outlineLevel="0" collapsed="false">
      <c r="A358" s="0" t="s">
        <v>1077</v>
      </c>
      <c r="B358" s="0" t="s">
        <v>1078</v>
      </c>
      <c r="C358" s="0" t="s">
        <v>12</v>
      </c>
      <c r="E358" s="3" t="n">
        <v>0.73</v>
      </c>
      <c r="G358" s="4" t="s">
        <v>13</v>
      </c>
      <c r="H358" s="4" t="s">
        <v>1079</v>
      </c>
    </row>
    <row r="359" customFormat="false" ht="17.15" hidden="false" customHeight="false" outlineLevel="0" collapsed="false">
      <c r="A359" s="0" t="s">
        <v>1080</v>
      </c>
      <c r="B359" s="0" t="s">
        <v>1081</v>
      </c>
      <c r="C359" s="0" t="s">
        <v>12</v>
      </c>
      <c r="E359" s="3" t="n">
        <v>0.73</v>
      </c>
      <c r="G359" s="4" t="s">
        <v>13</v>
      </c>
      <c r="H359" s="4" t="s">
        <v>1082</v>
      </c>
    </row>
    <row r="360" customFormat="false" ht="17.15" hidden="false" customHeight="false" outlineLevel="0" collapsed="false">
      <c r="A360" s="0" t="s">
        <v>1083</v>
      </c>
      <c r="B360" s="0" t="s">
        <v>1084</v>
      </c>
      <c r="C360" s="0" t="s">
        <v>142</v>
      </c>
      <c r="E360" s="3" t="n">
        <v>38.3403893327246</v>
      </c>
      <c r="G360" s="4" t="s">
        <v>13</v>
      </c>
      <c r="H360" s="4" t="s">
        <v>1085</v>
      </c>
    </row>
    <row r="361" customFormat="false" ht="17.15" hidden="false" customHeight="false" outlineLevel="0" collapsed="false">
      <c r="A361" s="0" t="s">
        <v>1086</v>
      </c>
      <c r="B361" s="0" t="s">
        <v>1087</v>
      </c>
      <c r="C361" s="0" t="s">
        <v>142</v>
      </c>
      <c r="E361" s="3" t="n">
        <v>12.67</v>
      </c>
      <c r="G361" s="4" t="s">
        <v>13</v>
      </c>
      <c r="H361" s="4" t="s">
        <v>1088</v>
      </c>
    </row>
    <row r="362" customFormat="false" ht="17.15" hidden="false" customHeight="false" outlineLevel="0" collapsed="false">
      <c r="A362" s="0" t="s">
        <v>1089</v>
      </c>
      <c r="B362" s="0" t="s">
        <v>1090</v>
      </c>
      <c r="C362" s="0" t="s">
        <v>138</v>
      </c>
      <c r="E362" s="3" t="n">
        <v>23.15655</v>
      </c>
      <c r="G362" s="4" t="s">
        <v>160</v>
      </c>
      <c r="H362" s="4" t="s">
        <v>1091</v>
      </c>
    </row>
    <row r="363" customFormat="false" ht="17.15" hidden="false" customHeight="false" outlineLevel="0" collapsed="false">
      <c r="A363" s="0" t="s">
        <v>1092</v>
      </c>
      <c r="B363" s="0" t="s">
        <v>1093</v>
      </c>
      <c r="C363" s="0" t="s">
        <v>12</v>
      </c>
      <c r="E363" s="3" t="n">
        <v>0.403</v>
      </c>
      <c r="G363" s="4" t="s">
        <v>13</v>
      </c>
      <c r="H363" s="4" t="s">
        <v>1094</v>
      </c>
    </row>
    <row r="364" customFormat="false" ht="17.15" hidden="false" customHeight="false" outlineLevel="0" collapsed="false">
      <c r="A364" s="0" t="s">
        <v>1095</v>
      </c>
      <c r="B364" s="0" t="s">
        <v>1096</v>
      </c>
      <c r="C364" s="0" t="s">
        <v>12</v>
      </c>
      <c r="E364" s="3" t="n">
        <v>0.396179366526544</v>
      </c>
      <c r="G364" s="4" t="s">
        <v>13</v>
      </c>
      <c r="H364" s="4" t="s">
        <v>1097</v>
      </c>
    </row>
    <row r="365" customFormat="false" ht="17.15" hidden="false" customHeight="false" outlineLevel="0" collapsed="false">
      <c r="A365" s="0" t="s">
        <v>1098</v>
      </c>
      <c r="B365" s="0" t="s">
        <v>1099</v>
      </c>
      <c r="C365" s="0" t="s">
        <v>142</v>
      </c>
      <c r="E365" s="3" t="n">
        <v>41.3326208898258</v>
      </c>
      <c r="G365" s="4" t="s">
        <v>13</v>
      </c>
      <c r="H365" s="4" t="s">
        <v>1100</v>
      </c>
    </row>
    <row r="366" customFormat="false" ht="17.15" hidden="false" customHeight="false" outlineLevel="0" collapsed="false">
      <c r="A366" s="0" t="s">
        <v>1101</v>
      </c>
      <c r="B366" s="0" t="s">
        <v>1102</v>
      </c>
      <c r="C366" s="0" t="s">
        <v>142</v>
      </c>
      <c r="E366" s="3" t="n">
        <v>12.67</v>
      </c>
      <c r="G366" s="4" t="s">
        <v>13</v>
      </c>
      <c r="H366" s="4" t="s">
        <v>1103</v>
      </c>
    </row>
    <row r="367" customFormat="false" ht="17.15" hidden="false" customHeight="false" outlineLevel="0" collapsed="false">
      <c r="A367" s="0" t="s">
        <v>1104</v>
      </c>
      <c r="B367" s="0" t="s">
        <v>1105</v>
      </c>
      <c r="C367" s="0" t="s">
        <v>138</v>
      </c>
      <c r="E367" s="3" t="n">
        <v>32.6315</v>
      </c>
      <c r="G367" s="4" t="s">
        <v>160</v>
      </c>
      <c r="H367" s="4" t="s">
        <v>1106</v>
      </c>
    </row>
    <row r="368" customFormat="false" ht="17.15" hidden="false" customHeight="false" outlineLevel="0" collapsed="false">
      <c r="A368" s="0" t="s">
        <v>1107</v>
      </c>
      <c r="B368" s="0" t="s">
        <v>1108</v>
      </c>
      <c r="C368" s="0" t="s">
        <v>12</v>
      </c>
      <c r="E368" s="3" t="n">
        <v>0</v>
      </c>
      <c r="G368" s="4" t="s">
        <v>13</v>
      </c>
      <c r="H368" s="4" t="s">
        <v>1109</v>
      </c>
    </row>
    <row r="369" customFormat="false" ht="17.15" hidden="false" customHeight="false" outlineLevel="0" collapsed="false">
      <c r="A369" s="0" t="s">
        <v>1110</v>
      </c>
      <c r="B369" s="0" t="s">
        <v>1111</v>
      </c>
      <c r="C369" s="0" t="s">
        <v>12</v>
      </c>
      <c r="E369" s="3" t="n">
        <v>0.554335434150153</v>
      </c>
      <c r="G369" s="4" t="s">
        <v>13</v>
      </c>
      <c r="H369" s="4" t="s">
        <v>1112</v>
      </c>
    </row>
    <row r="370" customFormat="false" ht="17.15" hidden="false" customHeight="false" outlineLevel="0" collapsed="false">
      <c r="A370" s="0" t="s">
        <v>1113</v>
      </c>
      <c r="B370" s="0" t="s">
        <v>1114</v>
      </c>
      <c r="C370" s="0" t="s">
        <v>142</v>
      </c>
      <c r="E370" s="3" t="n">
        <v>41.3326208898258</v>
      </c>
      <c r="G370" s="4" t="s">
        <v>13</v>
      </c>
      <c r="H370" s="4" t="s">
        <v>1115</v>
      </c>
    </row>
    <row r="371" customFormat="false" ht="17.15" hidden="false" customHeight="false" outlineLevel="0" collapsed="false">
      <c r="A371" s="0" t="s">
        <v>1116</v>
      </c>
      <c r="B371" s="0" t="s">
        <v>1117</v>
      </c>
      <c r="C371" s="0" t="s">
        <v>142</v>
      </c>
      <c r="E371" s="3" t="n">
        <v>12.67</v>
      </c>
      <c r="G371" s="4" t="s">
        <v>13</v>
      </c>
      <c r="H371" s="4" t="s">
        <v>1118</v>
      </c>
    </row>
    <row r="372" customFormat="false" ht="17.15" hidden="false" customHeight="false" outlineLevel="0" collapsed="false">
      <c r="A372" s="0" t="s">
        <v>1119</v>
      </c>
      <c r="B372" s="0" t="s">
        <v>1120</v>
      </c>
      <c r="C372" s="0" t="s">
        <v>138</v>
      </c>
      <c r="E372" s="3" t="n">
        <v>35.89465</v>
      </c>
      <c r="G372" s="4" t="s">
        <v>160</v>
      </c>
      <c r="H372" s="4" t="s">
        <v>1121</v>
      </c>
    </row>
    <row r="373" customFormat="false" ht="17.15" hidden="false" customHeight="false" outlineLevel="0" collapsed="false">
      <c r="A373" s="0" t="s">
        <v>1122</v>
      </c>
      <c r="B373" s="0" t="s">
        <v>1123</v>
      </c>
      <c r="C373" s="0" t="s">
        <v>12</v>
      </c>
      <c r="E373" s="3" t="n">
        <v>0</v>
      </c>
      <c r="G373" s="4" t="s">
        <v>13</v>
      </c>
      <c r="H373" s="4" t="s">
        <v>1124</v>
      </c>
    </row>
    <row r="374" customFormat="false" ht="17.15" hidden="false" customHeight="false" outlineLevel="0" collapsed="false">
      <c r="A374" s="0" t="s">
        <v>1125</v>
      </c>
      <c r="B374" s="0" t="s">
        <v>1126</v>
      </c>
      <c r="C374" s="0" t="s">
        <v>12</v>
      </c>
      <c r="E374" s="3" t="n">
        <v>0.629924193744744</v>
      </c>
      <c r="G374" s="4" t="s">
        <v>13</v>
      </c>
      <c r="H374" s="4" t="s">
        <v>1127</v>
      </c>
    </row>
    <row r="375" customFormat="false" ht="17.15" hidden="false" customHeight="false" outlineLevel="0" collapsed="false">
      <c r="A375" s="0" t="s">
        <v>1128</v>
      </c>
      <c r="B375" s="0" t="s">
        <v>1129</v>
      </c>
      <c r="C375" s="0" t="s">
        <v>138</v>
      </c>
      <c r="G375" s="0" t="s">
        <v>13</v>
      </c>
      <c r="H375" s="0" t="s">
        <v>1130</v>
      </c>
    </row>
    <row r="376" customFormat="false" ht="17.15" hidden="false" customHeight="false" outlineLevel="0" collapsed="false">
      <c r="A376" s="0" t="s">
        <v>1131</v>
      </c>
      <c r="B376" s="0" t="s">
        <v>1132</v>
      </c>
      <c r="C376" s="0" t="s">
        <v>138</v>
      </c>
      <c r="G376" s="0" t="s">
        <v>13</v>
      </c>
      <c r="H376" s="0" t="s">
        <v>1133</v>
      </c>
    </row>
    <row r="377" customFormat="false" ht="17.15" hidden="false" customHeight="false" outlineLevel="0" collapsed="false">
      <c r="A377" s="0" t="s">
        <v>1134</v>
      </c>
      <c r="B377" s="0" t="s">
        <v>1135</v>
      </c>
      <c r="C377" s="0" t="s">
        <v>138</v>
      </c>
      <c r="E377" s="3" t="n">
        <v>26.04619</v>
      </c>
      <c r="G377" s="4" t="s">
        <v>13</v>
      </c>
      <c r="H377" s="4" t="s">
        <v>1136</v>
      </c>
    </row>
    <row r="378" customFormat="false" ht="17.15" hidden="false" customHeight="false" outlineLevel="0" collapsed="false">
      <c r="A378" s="0" t="s">
        <v>1137</v>
      </c>
      <c r="B378" s="0" t="s">
        <v>1138</v>
      </c>
      <c r="C378" s="0" t="s">
        <v>138</v>
      </c>
      <c r="E378" s="3" t="n">
        <v>27.597437</v>
      </c>
      <c r="G378" s="4" t="s">
        <v>13</v>
      </c>
      <c r="H378" s="4" t="s">
        <v>1139</v>
      </c>
    </row>
    <row r="379" customFormat="false" ht="17.15" hidden="false" customHeight="false" outlineLevel="0" collapsed="false">
      <c r="A379" s="0" t="s">
        <v>1140</v>
      </c>
      <c r="B379" s="0" t="s">
        <v>1141</v>
      </c>
      <c r="C379" s="0" t="s">
        <v>138</v>
      </c>
      <c r="E379" s="3" t="n">
        <v>29.148684</v>
      </c>
      <c r="G379" s="4" t="s">
        <v>13</v>
      </c>
      <c r="H379" s="4" t="s">
        <v>1142</v>
      </c>
    </row>
    <row r="380" customFormat="false" ht="17.15" hidden="false" customHeight="false" outlineLevel="0" collapsed="false">
      <c r="A380" s="0" t="s">
        <v>1143</v>
      </c>
      <c r="B380" s="0" t="s">
        <v>1144</v>
      </c>
      <c r="C380" s="0" t="s">
        <v>138</v>
      </c>
      <c r="E380" s="3" t="n">
        <v>29.148684</v>
      </c>
      <c r="G380" s="4" t="s">
        <v>13</v>
      </c>
      <c r="H380" s="4" t="s">
        <v>1145</v>
      </c>
    </row>
    <row r="381" customFormat="false" ht="17.15" hidden="false" customHeight="false" outlineLevel="0" collapsed="false">
      <c r="A381" s="0" t="s">
        <v>1146</v>
      </c>
      <c r="B381" s="0" t="s">
        <v>1147</v>
      </c>
      <c r="C381" s="0" t="s">
        <v>138</v>
      </c>
      <c r="E381" s="3" t="n">
        <v>37.692264</v>
      </c>
      <c r="G381" s="4" t="s">
        <v>13</v>
      </c>
      <c r="H381" s="4" t="s">
        <v>1148</v>
      </c>
    </row>
    <row r="382" customFormat="false" ht="17.15" hidden="false" customHeight="false" outlineLevel="0" collapsed="false">
      <c r="A382" s="0" t="s">
        <v>1149</v>
      </c>
      <c r="B382" s="0" t="s">
        <v>1150</v>
      </c>
      <c r="C382" s="0" t="s">
        <v>134</v>
      </c>
      <c r="E382" s="3" t="n">
        <v>0</v>
      </c>
      <c r="G382" s="4" t="s">
        <v>13</v>
      </c>
      <c r="H382" s="4" t="s">
        <v>1151</v>
      </c>
    </row>
    <row r="383" customFormat="false" ht="17.15" hidden="false" customHeight="false" outlineLevel="0" collapsed="false">
      <c r="A383" s="0" t="s">
        <v>1152</v>
      </c>
      <c r="B383" s="0" t="s">
        <v>1153</v>
      </c>
      <c r="C383" s="0" t="s">
        <v>134</v>
      </c>
      <c r="E383" s="3" t="n">
        <v>0</v>
      </c>
      <c r="G383" s="4" t="s">
        <v>13</v>
      </c>
      <c r="H383" s="4" t="s">
        <v>1154</v>
      </c>
    </row>
    <row r="384" customFormat="false" ht="17.15" hidden="false" customHeight="false" outlineLevel="0" collapsed="false">
      <c r="A384" s="0" t="s">
        <v>1155</v>
      </c>
      <c r="B384" s="0" t="s">
        <v>1156</v>
      </c>
      <c r="C384" s="0" t="s">
        <v>134</v>
      </c>
      <c r="E384" s="3" t="n">
        <v>0</v>
      </c>
      <c r="G384" s="4" t="s">
        <v>13</v>
      </c>
      <c r="H384" s="4" t="s">
        <v>1157</v>
      </c>
    </row>
    <row r="385" customFormat="false" ht="17.15" hidden="false" customHeight="false" outlineLevel="0" collapsed="false">
      <c r="A385" s="0" t="s">
        <v>1158</v>
      </c>
      <c r="B385" s="0" t="s">
        <v>1159</v>
      </c>
      <c r="C385" s="0" t="s">
        <v>134</v>
      </c>
      <c r="E385" s="3" t="n">
        <v>0</v>
      </c>
      <c r="G385" s="4" t="s">
        <v>13</v>
      </c>
      <c r="H385" s="4" t="s">
        <v>1160</v>
      </c>
    </row>
    <row r="386" customFormat="false" ht="17.15" hidden="false" customHeight="false" outlineLevel="0" collapsed="false">
      <c r="A386" s="0" t="s">
        <v>1161</v>
      </c>
      <c r="B386" s="0" t="s">
        <v>1162</v>
      </c>
      <c r="C386" s="0" t="s">
        <v>134</v>
      </c>
      <c r="E386" s="3" t="n">
        <v>0</v>
      </c>
      <c r="G386" s="4" t="s">
        <v>13</v>
      </c>
      <c r="H386" s="4" t="s">
        <v>1163</v>
      </c>
    </row>
    <row r="387" customFormat="false" ht="17.15" hidden="false" customHeight="false" outlineLevel="0" collapsed="false">
      <c r="A387" s="0" t="s">
        <v>1164</v>
      </c>
      <c r="B387" s="0" t="s">
        <v>1165</v>
      </c>
      <c r="C387" s="0" t="s">
        <v>134</v>
      </c>
      <c r="E387" s="3" t="n">
        <v>0</v>
      </c>
      <c r="G387" s="4" t="s">
        <v>13</v>
      </c>
      <c r="H387" s="4" t="s">
        <v>1166</v>
      </c>
    </row>
    <row r="388" customFormat="false" ht="17.15" hidden="false" customHeight="false" outlineLevel="0" collapsed="false">
      <c r="A388" s="0" t="s">
        <v>1167</v>
      </c>
      <c r="B388" s="0" t="s">
        <v>1168</v>
      </c>
      <c r="C388" s="0" t="s">
        <v>138</v>
      </c>
      <c r="E388" s="3" t="n">
        <v>4.066</v>
      </c>
      <c r="G388" s="4" t="s">
        <v>149</v>
      </c>
      <c r="H388" s="4" t="s">
        <v>1169</v>
      </c>
    </row>
    <row r="389" customFormat="false" ht="17.15" hidden="false" customHeight="false" outlineLevel="0" collapsed="false">
      <c r="A389" s="1" t="s">
        <v>1170</v>
      </c>
    </row>
    <row r="390" customFormat="false" ht="17.15" hidden="false" customHeight="false" outlineLevel="0" collapsed="false">
      <c r="A390" s="0" t="s">
        <v>1171</v>
      </c>
      <c r="B390" s="0" t="s">
        <v>1172</v>
      </c>
      <c r="C390" s="0" t="s">
        <v>142</v>
      </c>
      <c r="E390" s="3" t="n">
        <v>27.510214</v>
      </c>
      <c r="G390" s="4" t="s">
        <v>13</v>
      </c>
      <c r="H390" s="4" t="s">
        <v>1173</v>
      </c>
    </row>
    <row r="391" customFormat="false" ht="17.15" hidden="false" customHeight="false" outlineLevel="0" collapsed="false">
      <c r="A391" s="0" t="s">
        <v>1174</v>
      </c>
      <c r="B391" s="0" t="s">
        <v>1175</v>
      </c>
      <c r="C391" s="0" t="s">
        <v>142</v>
      </c>
      <c r="E391" s="3" t="n">
        <v>12.67</v>
      </c>
      <c r="G391" s="4" t="s">
        <v>13</v>
      </c>
      <c r="H391" s="4" t="s">
        <v>1176</v>
      </c>
    </row>
    <row r="392" customFormat="false" ht="17.15" hidden="false" customHeight="false" outlineLevel="0" collapsed="false">
      <c r="A392" s="0" t="s">
        <v>1177</v>
      </c>
      <c r="B392" s="0" t="s">
        <v>1178</v>
      </c>
      <c r="C392" s="0" t="s">
        <v>142</v>
      </c>
      <c r="E392" s="3" t="n">
        <v>26.009088</v>
      </c>
      <c r="G392" s="4" t="s">
        <v>13</v>
      </c>
      <c r="H392" s="4" t="s">
        <v>1179</v>
      </c>
    </row>
    <row r="393" customFormat="false" ht="17.15" hidden="false" customHeight="false" outlineLevel="0" collapsed="false">
      <c r="A393" s="0" t="s">
        <v>1180</v>
      </c>
      <c r="B393" s="0" t="s">
        <v>1181</v>
      </c>
      <c r="C393" s="0" t="s">
        <v>142</v>
      </c>
      <c r="E393" s="3" t="n">
        <v>12.67</v>
      </c>
      <c r="G393" s="4" t="s">
        <v>13</v>
      </c>
      <c r="H393" s="4" t="s">
        <v>1182</v>
      </c>
    </row>
    <row r="394" customFormat="false" ht="17.15" hidden="false" customHeight="false" outlineLevel="0" collapsed="false">
      <c r="A394" s="0" t="s">
        <v>1183</v>
      </c>
      <c r="B394" s="0" t="s">
        <v>1184</v>
      </c>
      <c r="C394" s="0" t="s">
        <v>142</v>
      </c>
      <c r="E394" s="3" t="n">
        <v>33.41403216</v>
      </c>
      <c r="G394" s="4" t="s">
        <v>13</v>
      </c>
      <c r="H394" s="4" t="s">
        <v>1185</v>
      </c>
    </row>
    <row r="395" customFormat="false" ht="17.15" hidden="false" customHeight="false" outlineLevel="0" collapsed="false">
      <c r="A395" s="0" t="s">
        <v>1186</v>
      </c>
      <c r="B395" s="0" t="s">
        <v>1187</v>
      </c>
      <c r="C395" s="0" t="s">
        <v>142</v>
      </c>
      <c r="E395" s="3" t="n">
        <v>12.67</v>
      </c>
      <c r="G395" s="4" t="s">
        <v>13</v>
      </c>
      <c r="H395" s="4" t="s">
        <v>1188</v>
      </c>
    </row>
    <row r="396" customFormat="false" ht="17.15" hidden="false" customHeight="false" outlineLevel="0" collapsed="false">
      <c r="A396" s="0" t="s">
        <v>1189</v>
      </c>
      <c r="B396" s="0" t="s">
        <v>1190</v>
      </c>
      <c r="C396" s="0" t="s">
        <v>142</v>
      </c>
      <c r="E396" s="3" t="n">
        <v>38.3403893327246</v>
      </c>
      <c r="G396" s="4" t="s">
        <v>13</v>
      </c>
      <c r="H396" s="4" t="s">
        <v>1191</v>
      </c>
    </row>
    <row r="397" customFormat="false" ht="17.15" hidden="false" customHeight="false" outlineLevel="0" collapsed="false">
      <c r="A397" s="0" t="s">
        <v>1192</v>
      </c>
      <c r="B397" s="0" t="s">
        <v>1193</v>
      </c>
      <c r="C397" s="0" t="s">
        <v>142</v>
      </c>
      <c r="E397" s="3" t="n">
        <v>12.67</v>
      </c>
      <c r="G397" s="4" t="s">
        <v>13</v>
      </c>
      <c r="H397" s="4" t="s">
        <v>1194</v>
      </c>
    </row>
    <row r="398" customFormat="false" ht="17.15" hidden="false" customHeight="false" outlineLevel="0" collapsed="false">
      <c r="A398" s="0" t="s">
        <v>1195</v>
      </c>
      <c r="B398" s="0" t="s">
        <v>1196</v>
      </c>
      <c r="C398" s="0" t="s">
        <v>142</v>
      </c>
      <c r="E398" s="3" t="n">
        <v>41.3326208898258</v>
      </c>
      <c r="G398" s="4" t="s">
        <v>13</v>
      </c>
      <c r="H398" s="4" t="s">
        <v>1197</v>
      </c>
    </row>
    <row r="399" customFormat="false" ht="17.15" hidden="false" customHeight="false" outlineLevel="0" collapsed="false">
      <c r="A399" s="0" t="s">
        <v>1198</v>
      </c>
      <c r="B399" s="0" t="s">
        <v>1199</v>
      </c>
      <c r="C399" s="0" t="s">
        <v>142</v>
      </c>
      <c r="E399" s="3" t="n">
        <v>12.67</v>
      </c>
      <c r="G399" s="4" t="s">
        <v>13</v>
      </c>
      <c r="H399" s="4" t="s">
        <v>1200</v>
      </c>
    </row>
    <row r="400" customFormat="false" ht="17.15" hidden="false" customHeight="false" outlineLevel="0" collapsed="false">
      <c r="A400" s="0" t="s">
        <v>1201</v>
      </c>
      <c r="B400" s="0" t="s">
        <v>1202</v>
      </c>
      <c r="C400" s="0" t="s">
        <v>142</v>
      </c>
      <c r="E400" s="3" t="n">
        <v>41.3326208898258</v>
      </c>
      <c r="G400" s="4" t="s">
        <v>13</v>
      </c>
      <c r="H400" s="4" t="s">
        <v>1203</v>
      </c>
    </row>
    <row r="401" customFormat="false" ht="17.15" hidden="false" customHeight="false" outlineLevel="0" collapsed="false">
      <c r="A401" s="0" t="s">
        <v>1204</v>
      </c>
      <c r="B401" s="0" t="s">
        <v>1205</v>
      </c>
      <c r="C401" s="0" t="s">
        <v>142</v>
      </c>
      <c r="E401" s="3" t="n">
        <v>12.67</v>
      </c>
      <c r="G401" s="4" t="s">
        <v>13</v>
      </c>
      <c r="H401" s="4" t="s">
        <v>1206</v>
      </c>
    </row>
    <row r="402" customFormat="false" ht="17.15" hidden="false" customHeight="false" outlineLevel="0" collapsed="false">
      <c r="A402" s="0" t="s">
        <v>1207</v>
      </c>
      <c r="B402" s="0" t="s">
        <v>1208</v>
      </c>
      <c r="C402" s="0" t="s">
        <v>134</v>
      </c>
      <c r="E402" s="3" t="n">
        <v>0</v>
      </c>
      <c r="G402" s="4" t="s">
        <v>13</v>
      </c>
      <c r="H402" s="4" t="s">
        <v>1209</v>
      </c>
    </row>
    <row r="403" customFormat="false" ht="17.15" hidden="false" customHeight="false" outlineLevel="0" collapsed="false">
      <c r="A403" s="0" t="s">
        <v>1210</v>
      </c>
      <c r="B403" s="0" t="s">
        <v>1211</v>
      </c>
      <c r="C403" s="0" t="s">
        <v>134</v>
      </c>
      <c r="E403" s="3" t="n">
        <v>0</v>
      </c>
      <c r="G403" s="4" t="s">
        <v>13</v>
      </c>
      <c r="H403" s="4" t="s">
        <v>1212</v>
      </c>
    </row>
    <row r="404" customFormat="false" ht="17.15" hidden="false" customHeight="false" outlineLevel="0" collapsed="false">
      <c r="A404" s="0" t="s">
        <v>1213</v>
      </c>
      <c r="B404" s="0" t="s">
        <v>1214</v>
      </c>
      <c r="C404" s="0" t="s">
        <v>134</v>
      </c>
      <c r="E404" s="3" t="n">
        <v>0</v>
      </c>
      <c r="G404" s="4" t="s">
        <v>13</v>
      </c>
      <c r="H404" s="4" t="s">
        <v>1215</v>
      </c>
    </row>
    <row r="405" customFormat="false" ht="17.15" hidden="false" customHeight="false" outlineLevel="0" collapsed="false">
      <c r="A405" s="0" t="s">
        <v>1216</v>
      </c>
      <c r="B405" s="0" t="s">
        <v>1217</v>
      </c>
      <c r="C405" s="0" t="s">
        <v>134</v>
      </c>
      <c r="E405" s="3" t="n">
        <v>0</v>
      </c>
      <c r="G405" s="4" t="s">
        <v>13</v>
      </c>
      <c r="H405" s="4" t="s">
        <v>1218</v>
      </c>
    </row>
    <row r="406" customFormat="false" ht="17.15" hidden="false" customHeight="false" outlineLevel="0" collapsed="false">
      <c r="A406" s="0" t="s">
        <v>1219</v>
      </c>
      <c r="B406" s="0" t="s">
        <v>1220</v>
      </c>
      <c r="C406" s="0" t="s">
        <v>134</v>
      </c>
      <c r="E406" s="3" t="n">
        <v>0</v>
      </c>
      <c r="G406" s="4" t="s">
        <v>13</v>
      </c>
      <c r="H406" s="4" t="s">
        <v>1221</v>
      </c>
    </row>
    <row r="407" customFormat="false" ht="17.15" hidden="false" customHeight="false" outlineLevel="0" collapsed="false">
      <c r="A407" s="0" t="s">
        <v>1222</v>
      </c>
      <c r="B407" s="0" t="s">
        <v>1223</v>
      </c>
      <c r="C407" s="0" t="s">
        <v>134</v>
      </c>
      <c r="E407" s="3" t="n">
        <v>0</v>
      </c>
      <c r="G407" s="4" t="s">
        <v>13</v>
      </c>
      <c r="H407" s="4" t="s">
        <v>1224</v>
      </c>
    </row>
    <row r="408" customFormat="false" ht="17.15" hidden="false" customHeight="false" outlineLevel="0" collapsed="false">
      <c r="A408" s="0" t="s">
        <v>1225</v>
      </c>
      <c r="B408" s="0" t="s">
        <v>1226</v>
      </c>
      <c r="C408" s="0" t="s">
        <v>12</v>
      </c>
      <c r="E408" s="3" t="n">
        <v>0</v>
      </c>
      <c r="G408" s="4" t="s">
        <v>13</v>
      </c>
      <c r="H408" s="4" t="s">
        <v>1227</v>
      </c>
    </row>
    <row r="409" customFormat="false" ht="17.15" hidden="false" customHeight="false" outlineLevel="0" collapsed="false">
      <c r="A409" s="0" t="s">
        <v>1228</v>
      </c>
      <c r="B409" s="0" t="s">
        <v>1229</v>
      </c>
      <c r="C409" s="0" t="s">
        <v>12</v>
      </c>
      <c r="E409" s="3" t="n">
        <v>0</v>
      </c>
      <c r="G409" s="4" t="s">
        <v>13</v>
      </c>
      <c r="H409" s="4" t="s">
        <v>1230</v>
      </c>
    </row>
    <row r="410" customFormat="false" ht="17.15" hidden="false" customHeight="false" outlineLevel="0" collapsed="false">
      <c r="A410" s="0" t="s">
        <v>1231</v>
      </c>
      <c r="B410" s="0" t="s">
        <v>1232</v>
      </c>
      <c r="C410" s="0" t="s">
        <v>12</v>
      </c>
      <c r="E410" s="3" t="n">
        <v>1.4302</v>
      </c>
      <c r="G410" s="4" t="s">
        <v>13</v>
      </c>
      <c r="H410" s="4" t="s">
        <v>1233</v>
      </c>
    </row>
    <row r="411" customFormat="false" ht="17.15" hidden="false" customHeight="false" outlineLevel="0" collapsed="false">
      <c r="A411" s="0" t="s">
        <v>1234</v>
      </c>
      <c r="B411" s="0" t="s">
        <v>1235</v>
      </c>
      <c r="C411" s="0" t="s">
        <v>12</v>
      </c>
      <c r="E411" s="3" t="n">
        <v>0.585</v>
      </c>
      <c r="G411" s="4" t="s">
        <v>13</v>
      </c>
      <c r="H411" s="4" t="s">
        <v>1236</v>
      </c>
    </row>
    <row r="412" customFormat="false" ht="17.15" hidden="false" customHeight="false" outlineLevel="0" collapsed="false">
      <c r="A412" s="0" t="s">
        <v>1237</v>
      </c>
      <c r="B412" s="0" t="s">
        <v>1238</v>
      </c>
      <c r="C412" s="0" t="s">
        <v>12</v>
      </c>
      <c r="E412" s="3" t="n">
        <v>0</v>
      </c>
      <c r="G412" s="4" t="s">
        <v>13</v>
      </c>
      <c r="H412" s="4" t="s">
        <v>1239</v>
      </c>
    </row>
    <row r="413" customFormat="false" ht="17.15" hidden="false" customHeight="false" outlineLevel="0" collapsed="false">
      <c r="A413" s="0" t="s">
        <v>1240</v>
      </c>
      <c r="B413" s="0" t="s">
        <v>1241</v>
      </c>
      <c r="C413" s="0" t="s">
        <v>12</v>
      </c>
      <c r="E413" s="3" t="n">
        <v>0</v>
      </c>
      <c r="G413" s="4" t="s">
        <v>13</v>
      </c>
      <c r="H413" s="4" t="s">
        <v>1242</v>
      </c>
    </row>
    <row r="414" customFormat="false" ht="17.15" hidden="false" customHeight="false" outlineLevel="0" collapsed="false">
      <c r="A414" s="0" t="s">
        <v>1243</v>
      </c>
      <c r="B414" s="0" t="s">
        <v>1244</v>
      </c>
      <c r="C414" s="0" t="s">
        <v>138</v>
      </c>
      <c r="G414" s="0" t="s">
        <v>13</v>
      </c>
      <c r="H414" s="0" t="s">
        <v>1245</v>
      </c>
    </row>
    <row r="415" customFormat="false" ht="17.15" hidden="false" customHeight="false" outlineLevel="0" collapsed="false">
      <c r="A415" s="0" t="s">
        <v>1246</v>
      </c>
      <c r="B415" s="0" t="s">
        <v>1247</v>
      </c>
      <c r="C415" s="0" t="s">
        <v>138</v>
      </c>
      <c r="G415" s="0" t="s">
        <v>13</v>
      </c>
      <c r="H415" s="0" t="s">
        <v>1248</v>
      </c>
    </row>
    <row r="416" customFormat="false" ht="17.15" hidden="false" customHeight="false" outlineLevel="0" collapsed="false">
      <c r="A416" s="0" t="s">
        <v>1249</v>
      </c>
      <c r="B416" s="0" t="s">
        <v>1250</v>
      </c>
      <c r="C416" s="0" t="s">
        <v>138</v>
      </c>
      <c r="E416" s="3" t="n">
        <v>74.058119</v>
      </c>
      <c r="G416" s="4" t="s">
        <v>13</v>
      </c>
      <c r="H416" s="4" t="s">
        <v>1251</v>
      </c>
    </row>
    <row r="417" customFormat="false" ht="17.15" hidden="false" customHeight="false" outlineLevel="0" collapsed="false">
      <c r="A417" s="0" t="s">
        <v>1252</v>
      </c>
      <c r="B417" s="0" t="s">
        <v>1253</v>
      </c>
      <c r="C417" s="0" t="s">
        <v>138</v>
      </c>
      <c r="E417" s="3" t="n">
        <v>136.252477</v>
      </c>
      <c r="G417" s="4" t="s">
        <v>13</v>
      </c>
      <c r="H417" s="4" t="s">
        <v>1254</v>
      </c>
    </row>
    <row r="418" customFormat="false" ht="17.15" hidden="false" customHeight="false" outlineLevel="0" collapsed="false">
      <c r="A418" s="0" t="s">
        <v>1255</v>
      </c>
      <c r="B418" s="0" t="s">
        <v>1256</v>
      </c>
      <c r="C418" s="0" t="s">
        <v>138</v>
      </c>
      <c r="E418" s="3" t="n">
        <v>144.12072</v>
      </c>
      <c r="G418" s="4" t="s">
        <v>13</v>
      </c>
      <c r="H418" s="4" t="s">
        <v>1257</v>
      </c>
    </row>
    <row r="419" customFormat="false" ht="17.15" hidden="false" customHeight="false" outlineLevel="0" collapsed="false">
      <c r="A419" s="0" t="s">
        <v>1258</v>
      </c>
      <c r="B419" s="0" t="s">
        <v>1259</v>
      </c>
      <c r="C419" s="0" t="s">
        <v>138</v>
      </c>
      <c r="E419" s="3" t="n">
        <v>111.172527</v>
      </c>
      <c r="G419" s="4" t="s">
        <v>13</v>
      </c>
      <c r="H419" s="4" t="s">
        <v>1260</v>
      </c>
    </row>
    <row r="420" customFormat="false" ht="17.15" hidden="false" customHeight="false" outlineLevel="0" collapsed="false">
      <c r="A420" s="0" t="s">
        <v>1261</v>
      </c>
      <c r="B420" s="0" t="s">
        <v>1262</v>
      </c>
      <c r="C420" s="0" t="s">
        <v>134</v>
      </c>
      <c r="E420" s="3" t="n">
        <v>0.238210067173108</v>
      </c>
      <c r="G420" s="4" t="s">
        <v>13</v>
      </c>
      <c r="H420" s="4" t="s">
        <v>1263</v>
      </c>
    </row>
    <row r="421" customFormat="false" ht="17.15" hidden="false" customHeight="false" outlineLevel="0" collapsed="false">
      <c r="A421" s="0" t="s">
        <v>1264</v>
      </c>
      <c r="B421" s="0" t="s">
        <v>1265</v>
      </c>
      <c r="C421" s="0" t="s">
        <v>134</v>
      </c>
      <c r="E421" s="3" t="n">
        <v>0.238210067173108</v>
      </c>
      <c r="G421" s="4" t="s">
        <v>13</v>
      </c>
      <c r="H421" s="4" t="s">
        <v>1266</v>
      </c>
    </row>
    <row r="422" customFormat="false" ht="17.15" hidden="false" customHeight="false" outlineLevel="0" collapsed="false">
      <c r="A422" s="0" t="s">
        <v>1267</v>
      </c>
      <c r="B422" s="0" t="s">
        <v>1268</v>
      </c>
      <c r="C422" s="0" t="s">
        <v>134</v>
      </c>
      <c r="E422" s="3" t="n">
        <v>0.238210067173108</v>
      </c>
      <c r="G422" s="4" t="s">
        <v>13</v>
      </c>
      <c r="H422" s="4" t="s">
        <v>1269</v>
      </c>
    </row>
    <row r="423" customFormat="false" ht="17.15" hidden="false" customHeight="false" outlineLevel="0" collapsed="false">
      <c r="A423" s="0" t="s">
        <v>1270</v>
      </c>
      <c r="B423" s="0" t="s">
        <v>1271</v>
      </c>
      <c r="C423" s="0" t="s">
        <v>134</v>
      </c>
      <c r="E423" s="3" t="n">
        <v>0.273101862203342</v>
      </c>
      <c r="G423" s="4" t="s">
        <v>13</v>
      </c>
      <c r="H423" s="4" t="s">
        <v>1272</v>
      </c>
    </row>
    <row r="424" customFormat="false" ht="17.15" hidden="false" customHeight="false" outlineLevel="0" collapsed="false">
      <c r="A424" s="0" t="s">
        <v>1273</v>
      </c>
      <c r="B424" s="0" t="s">
        <v>1274</v>
      </c>
      <c r="C424" s="0" t="s">
        <v>134</v>
      </c>
      <c r="E424" s="3" t="n">
        <v>0.269621396123668</v>
      </c>
      <c r="G424" s="4" t="s">
        <v>13</v>
      </c>
      <c r="H424" s="4" t="s">
        <v>1275</v>
      </c>
    </row>
    <row r="425" customFormat="false" ht="17.15" hidden="false" customHeight="false" outlineLevel="0" collapsed="false">
      <c r="A425" s="0" t="s">
        <v>1276</v>
      </c>
      <c r="B425" s="0" t="s">
        <v>1277</v>
      </c>
      <c r="C425" s="0" t="s">
        <v>134</v>
      </c>
      <c r="E425" s="3" t="n">
        <v>0.272187509408712</v>
      </c>
      <c r="G425" s="4" t="s">
        <v>13</v>
      </c>
      <c r="H425" s="4" t="s">
        <v>1278</v>
      </c>
    </row>
    <row r="426" customFormat="false" ht="17.15" hidden="false" customHeight="false" outlineLevel="0" collapsed="false">
      <c r="A426" s="0" t="s">
        <v>1279</v>
      </c>
      <c r="B426" s="0" t="s">
        <v>1280</v>
      </c>
      <c r="C426" s="0" t="s">
        <v>12</v>
      </c>
      <c r="E426" s="3" t="n">
        <v>0</v>
      </c>
      <c r="G426" s="4" t="s">
        <v>13</v>
      </c>
      <c r="H426" s="4" t="s">
        <v>1281</v>
      </c>
    </row>
    <row r="427" customFormat="false" ht="17.15" hidden="false" customHeight="false" outlineLevel="0" collapsed="false">
      <c r="A427" s="0" t="s">
        <v>1282</v>
      </c>
      <c r="B427" s="0" t="s">
        <v>1283</v>
      </c>
      <c r="C427" s="0" t="s">
        <v>12</v>
      </c>
      <c r="E427" s="3" t="n">
        <v>0</v>
      </c>
      <c r="G427" s="4" t="s">
        <v>13</v>
      </c>
      <c r="H427" s="4" t="s">
        <v>1284</v>
      </c>
    </row>
    <row r="428" customFormat="false" ht="17.15" hidden="false" customHeight="false" outlineLevel="0" collapsed="false">
      <c r="A428" s="0" t="s">
        <v>1285</v>
      </c>
      <c r="B428" s="0" t="s">
        <v>1286</v>
      </c>
      <c r="C428" s="0" t="s">
        <v>12</v>
      </c>
      <c r="E428" s="3" t="n">
        <v>0</v>
      </c>
      <c r="G428" s="4" t="s">
        <v>13</v>
      </c>
      <c r="H428" s="4" t="s">
        <v>1287</v>
      </c>
    </row>
    <row r="429" customFormat="false" ht="17.15" hidden="false" customHeight="false" outlineLevel="0" collapsed="false">
      <c r="A429" s="0" t="s">
        <v>1288</v>
      </c>
      <c r="B429" s="0" t="s">
        <v>1289</v>
      </c>
      <c r="C429" s="0" t="s">
        <v>12</v>
      </c>
      <c r="E429" s="3" t="n">
        <v>0</v>
      </c>
      <c r="G429" s="4" t="s">
        <v>13</v>
      </c>
      <c r="H429" s="4" t="s">
        <v>1290</v>
      </c>
    </row>
    <row r="430" customFormat="false" ht="17.15" hidden="false" customHeight="false" outlineLevel="0" collapsed="false">
      <c r="A430" s="0" t="s">
        <v>1291</v>
      </c>
      <c r="B430" s="0" t="s">
        <v>1292</v>
      </c>
      <c r="C430" s="0" t="s">
        <v>12</v>
      </c>
      <c r="E430" s="3" t="n">
        <v>0</v>
      </c>
      <c r="G430" s="4" t="s">
        <v>13</v>
      </c>
      <c r="H430" s="4" t="s">
        <v>1293</v>
      </c>
    </row>
    <row r="431" customFormat="false" ht="17.15" hidden="false" customHeight="false" outlineLevel="0" collapsed="false">
      <c r="A431" s="0" t="s">
        <v>1294</v>
      </c>
      <c r="B431" s="0" t="s">
        <v>1295</v>
      </c>
      <c r="C431" s="0" t="s">
        <v>12</v>
      </c>
      <c r="E431" s="3" t="n">
        <v>0</v>
      </c>
      <c r="G431" s="4" t="s">
        <v>13</v>
      </c>
      <c r="H431" s="4" t="s">
        <v>1296</v>
      </c>
    </row>
    <row r="432" customFormat="false" ht="17.15" hidden="false" customHeight="false" outlineLevel="0" collapsed="false">
      <c r="A432" s="0" t="s">
        <v>1297</v>
      </c>
      <c r="B432" s="0" t="s">
        <v>1298</v>
      </c>
      <c r="C432" s="0" t="s">
        <v>138</v>
      </c>
      <c r="G432" s="0" t="s">
        <v>13</v>
      </c>
      <c r="H432" s="0" t="s">
        <v>1299</v>
      </c>
    </row>
    <row r="433" customFormat="false" ht="17.15" hidden="false" customHeight="false" outlineLevel="0" collapsed="false">
      <c r="A433" s="0" t="s">
        <v>1300</v>
      </c>
      <c r="B433" s="0" t="s">
        <v>1301</v>
      </c>
      <c r="C433" s="0" t="s">
        <v>138</v>
      </c>
      <c r="G433" s="0" t="s">
        <v>13</v>
      </c>
      <c r="H433" s="0" t="s">
        <v>1302</v>
      </c>
    </row>
    <row r="434" customFormat="false" ht="17.15" hidden="false" customHeight="false" outlineLevel="0" collapsed="false">
      <c r="A434" s="0" t="s">
        <v>1303</v>
      </c>
      <c r="B434" s="0" t="s">
        <v>1304</v>
      </c>
      <c r="C434" s="0" t="s">
        <v>138</v>
      </c>
      <c r="E434" s="3" t="n">
        <v>16.666667</v>
      </c>
      <c r="G434" s="4" t="s">
        <v>13</v>
      </c>
      <c r="H434" s="4" t="s">
        <v>1305</v>
      </c>
    </row>
    <row r="435" customFormat="false" ht="17.15" hidden="false" customHeight="false" outlineLevel="0" collapsed="false">
      <c r="A435" s="0" t="s">
        <v>1306</v>
      </c>
      <c r="B435" s="0" t="s">
        <v>1307</v>
      </c>
      <c r="C435" s="0" t="s">
        <v>138</v>
      </c>
      <c r="E435" s="3" t="n">
        <v>16.666667</v>
      </c>
      <c r="G435" s="4" t="s">
        <v>13</v>
      </c>
      <c r="H435" s="4" t="s">
        <v>1308</v>
      </c>
    </row>
    <row r="436" customFormat="false" ht="17.15" hidden="false" customHeight="false" outlineLevel="0" collapsed="false">
      <c r="A436" s="0" t="s">
        <v>1309</v>
      </c>
      <c r="B436" s="0" t="s">
        <v>1310</v>
      </c>
      <c r="C436" s="0" t="s">
        <v>138</v>
      </c>
      <c r="E436" s="3" t="n">
        <v>16.666667</v>
      </c>
      <c r="G436" s="4" t="s">
        <v>13</v>
      </c>
      <c r="H436" s="4" t="s">
        <v>1311</v>
      </c>
    </row>
    <row r="437" customFormat="false" ht="17.15" hidden="false" customHeight="false" outlineLevel="0" collapsed="false">
      <c r="A437" s="0" t="s">
        <v>1312</v>
      </c>
      <c r="B437" s="0" t="s">
        <v>1313</v>
      </c>
      <c r="C437" s="0" t="s">
        <v>138</v>
      </c>
      <c r="E437" s="3" t="n">
        <v>0</v>
      </c>
      <c r="G437" s="4" t="s">
        <v>13</v>
      </c>
      <c r="H437" s="4" t="s">
        <v>1314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8"/>
    <col collapsed="false" customWidth="true" hidden="false" outlineLevel="0" max="9" min="4" style="0" width="10"/>
  </cols>
  <sheetData>
    <row r="1" customFormat="false" ht="17.15" hidden="false" customHeight="false" outlineLevel="0" collapsed="false">
      <c r="A1" s="1" t="s">
        <v>1315</v>
      </c>
    </row>
    <row r="3" customFormat="false" ht="15" hidden="false" customHeight="false" outlineLevel="0" collapsed="false">
      <c r="A3" s="6" t="s">
        <v>1316</v>
      </c>
    </row>
    <row r="4" customFormat="false" ht="15" hidden="false" customHeight="false" outlineLevel="0" collapsed="false">
      <c r="A4" s="2" t="s">
        <v>1</v>
      </c>
      <c r="B4" s="2" t="s">
        <v>2</v>
      </c>
      <c r="C4" s="2"/>
      <c r="D4" s="7" t="s">
        <v>1317</v>
      </c>
      <c r="E4" s="7" t="s">
        <v>1318</v>
      </c>
      <c r="F4" s="7" t="s">
        <v>1319</v>
      </c>
      <c r="G4" s="7" t="s">
        <v>1320</v>
      </c>
      <c r="H4" s="7" t="s">
        <v>1321</v>
      </c>
      <c r="I4" s="7" t="s">
        <v>1322</v>
      </c>
    </row>
    <row r="5" customFormat="false" ht="17.15" hidden="false" customHeight="false" outlineLevel="0" collapsed="false">
      <c r="A5" s="0" t="s">
        <v>1323</v>
      </c>
      <c r="B5" s="0" t="s">
        <v>1324</v>
      </c>
      <c r="D5" s="8" t="n">
        <f aca="false">IF(ISNUMBER(ai2_msft_2024),ai2_msft_2024,"")</f>
        <v>46.3369</v>
      </c>
      <c r="E5" s="8" t="n">
        <f aca="false">IF(ISNUMBER(ai2_msft_2025),ai2_msft_2025,"")</f>
        <v>76.712075</v>
      </c>
      <c r="F5" s="8" t="n">
        <f aca="false">IF(ISNUMBER(ai2_msft_2026),ai2_msft_2026,"")</f>
        <v>131.229375</v>
      </c>
      <c r="G5" s="8" t="n">
        <f aca="false">IF(ISNUMBER(ai2_msft_2027),ai2_msft_2027,"")</f>
        <v>174.08595</v>
      </c>
      <c r="H5" s="8" t="n">
        <f aca="false">IF(ISNUMBER(ai2_msft_2028),ai2_msft_2028,"")</f>
        <v>198.883</v>
      </c>
      <c r="I5" s="8" t="n">
        <f aca="false">IF(ISNUMBER(ai2_msft_2029),ai2_msft_2029,"")</f>
        <v>224.1719025</v>
      </c>
    </row>
    <row r="6" customFormat="false" ht="17.15" hidden="false" customHeight="false" outlineLevel="0" collapsed="false">
      <c r="A6" s="0" t="s">
        <v>1325</v>
      </c>
      <c r="B6" s="0" t="s">
        <v>1326</v>
      </c>
      <c r="D6" s="8" t="n">
        <f aca="false">IF(ISNUMBER(D5),(pit_msft_2024/(pit_msft_2024+pfac_msft_2024)*D5+pfac_msft_2024/(pit_msft_2024+pfac_msft_2024)*IF(AND(ISNUMBER(""),ISNUMBER("")),wb1*""+wb2*"",IF(ISNUMBER(""),"",D5)))/(pit_msft_2024+pfac_msft_2024),site_msft_2024)</f>
        <v>1.2662200199435</v>
      </c>
      <c r="E6" s="8" t="n">
        <f aca="false">IF(ISNUMBER(E5),(pit_msft_2025/(pit_msft_2025+pfac_msft_2025)*E5+pfac_msft_2025/(pit_msft_2025+pfac_msft_2025)*IF(AND(ISNUMBER(D5),ISNUMBER("")),wb1*D5+wb2*"",IF(ISNUMBER(D5),D5,E5)))/(pit_msft_2025+pfac_msft_2025),site_msft_2025)</f>
        <v>1.89413391980359</v>
      </c>
      <c r="F6" s="8" t="n">
        <f aca="false">IF(ISNUMBER(F5),(pit_msft_2026/(pit_msft_2026+pfac_msft_2026)*F5+pfac_msft_2026/(pit_msft_2026+pfac_msft_2026)*IF(AND(ISNUMBER(E5),ISNUMBER(D5)),wb1*E5+wb2*D5,IF(ISNUMBER(E5),E5,F5)))/(pit_msft_2026+pfac_msft_2026),site_msft_2026)</f>
        <v>2.73280981276305</v>
      </c>
      <c r="G6" s="8" t="n">
        <f aca="false">IF(ISNUMBER(G5),(pit_msft_2027/(pit_msft_2027+pfac_msft_2027)*G5+pfac_msft_2027/(pit_msft_2027+pfac_msft_2027)*IF(AND(ISNUMBER(F5),ISNUMBER(E5)),wb1*F5+wb2*E5,IF(ISNUMBER(F5),F5,G5)))/(pit_msft_2027+pfac_msft_2027),site_msft_2027)</f>
        <v>3.56447576934396</v>
      </c>
      <c r="H6" s="8" t="n">
        <f aca="false">IF(ISNUMBER(H5),(pit_msft_2028/(pit_msft_2028+pfac_msft_2028)*H5+pfac_msft_2028/(pit_msft_2028+pfac_msft_2028)*IF(AND(ISNUMBER(G5),ISNUMBER(F5)),wb1*G5+wb2*F5,IF(ISNUMBER(G5),G5,H5)))/(pit_msft_2028+pfac_msft_2028),site_msft_2028)</f>
        <v>4.06597876464757</v>
      </c>
      <c r="I6" s="8" t="n">
        <f aca="false">IF(ISNUMBER(I5),(pit_msft_2029/(pit_msft_2029+pfac_msft_2029)*I5+pfac_msft_2029/(pit_msft_2029+pfac_msft_2029)*IF(AND(ISNUMBER(H5),ISNUMBER(G5)),wb1*H5+wb2*G5,IF(ISNUMBER(H5),H5,I5)))/(pit_msft_2029+pfac_msft_2029),site_msft_2029)</f>
        <v>4.6644209987717</v>
      </c>
    </row>
    <row r="7" customFormat="false" ht="17.15" hidden="false" customHeight="false" outlineLevel="0" collapsed="false">
      <c r="A7" s="0" t="s">
        <v>1327</v>
      </c>
      <c r="B7" s="0" t="s">
        <v>1328</v>
      </c>
      <c r="E7" s="8" t="n">
        <f aca="false">(1-lag)*E6+lag*D6-inv_k*(E6-D6)</f>
        <v>1.59587481737004</v>
      </c>
      <c r="F7" s="8" t="n">
        <f aca="false">(1-lag)*F6+lag*E6-inv_k*(F6-E6)</f>
        <v>2.3344387636073</v>
      </c>
      <c r="G7" s="8" t="n">
        <f aca="false">(1-lag)*G6+lag*F6-inv_k*(G6-F6)</f>
        <v>3.16943443996803</v>
      </c>
      <c r="H7" s="8" t="n">
        <f aca="false">(1-lag)*H6+lag*G6-inv_k*(H6-G6)</f>
        <v>3.82776484187835</v>
      </c>
      <c r="I7" s="8" t="n">
        <f aca="false">(1-lag)*I6+lag*H6-inv_k*(I6-H6)</f>
        <v>4.38016093756274</v>
      </c>
    </row>
    <row r="8" customFormat="false" ht="17.15" hidden="false" customHeight="false" outlineLevel="0" collapsed="false">
      <c r="A8" s="0" t="s">
        <v>1329</v>
      </c>
      <c r="B8" s="0" t="s">
        <v>1330</v>
      </c>
      <c r="D8" s="8" t="str">
        <f aca="false">""</f>
        <v/>
      </c>
      <c r="E8" s="8" t="n">
        <f aca="false">(6/12*cap2_msft_2025+6/12*gcap_msft_2026)*ai_sh</f>
        <v>89.186675</v>
      </c>
      <c r="F8" s="8" t="n">
        <f aca="false">(6/12*gcap_msft_2026+6/12*gcap_msft_2027)*ai_sh</f>
        <v>148.5375</v>
      </c>
      <c r="G8" s="8" t="n">
        <f aca="false">(6/12*gcap_msft_2027+6/12*gcap_msft_2028)*ai_sh</f>
        <v>185.939575275</v>
      </c>
      <c r="H8" s="8" t="n">
        <f aca="false">(6/12*gcap_msft_2028+6/12*gcap_msft_2029)*ai_sh</f>
        <v>202.7978586</v>
      </c>
      <c r="I8" s="8" t="n">
        <f aca="false">(6/12*gcap_msft_2029+6/12*gcap_msft_2030)*ai_sh</f>
        <v>197.6117298</v>
      </c>
    </row>
    <row r="9" customFormat="false" ht="17.15" hidden="false" customHeight="false" outlineLevel="0" collapsed="false">
      <c r="A9" s="0" t="s">
        <v>1331</v>
      </c>
      <c r="B9" s="0" t="s">
        <v>1326</v>
      </c>
      <c r="D9" s="8" t="n">
        <f aca="false">IF(ISNUMBER(D8),(pit_msft_2024/(pit_msft_2024+pfac_msft_2024)*D8+pfac_msft_2024/(pit_msft_2024+pfac_msft_2024)*IF(AND(ISNUMBER(""),ISNUMBER("")),wb1*""+wb2*"",IF(ISNUMBER(""),"",D8)))/(pit_msft_2024+pfac_msft_2024),site_msft_2024)</f>
        <v>0</v>
      </c>
      <c r="E9" s="8" t="n">
        <f aca="false">IF(ISNUMBER(E8),(pit_msft_2025/(pit_msft_2025+pfac_msft_2025)*E8+pfac_msft_2025/(pit_msft_2025+pfac_msft_2025)*IF(AND(ISNUMBER(D8),ISNUMBER("")),wb1*D8+wb2*"",IF(ISNUMBER(D8),D8,E8)))/(pit_msft_2025+pfac_msft_2025),site_msft_2025)</f>
        <v>2.51576435599185</v>
      </c>
      <c r="F9" s="8" t="n">
        <f aca="false">IF(ISNUMBER(F8),(pit_msft_2026/(pit_msft_2026+pfac_msft_2026)*F8+pfac_msft_2026/(pit_msft_2026+pfac_msft_2026)*IF(AND(ISNUMBER(E8),ISNUMBER(D8)),wb1*E8+wb2*D8,IF(ISNUMBER(E8),E8,F8)))/(pit_msft_2026+pfac_msft_2026),site_msft_2026)</f>
        <v>3.22245015720519</v>
      </c>
      <c r="G9" s="8" t="n">
        <f aca="false">IF(ISNUMBER(G8),(pit_msft_2027/(pit_msft_2027+pfac_msft_2027)*G8+pfac_msft_2027/(pit_msft_2027+pfac_msft_2027)*IF(AND(ISNUMBER(F8),ISNUMBER(E8)),wb1*F8+wb2*E8,IF(ISNUMBER(F8),F8,G8)))/(pit_msft_2027+pfac_msft_2027),site_msft_2027)</f>
        <v>3.85144347642322</v>
      </c>
      <c r="H9" s="8" t="n">
        <f aca="false">IF(ISNUMBER(H8),(pit_msft_2028/(pit_msft_2028+pfac_msft_2028)*H8+pfac_msft_2028/(pit_msft_2028+pfac_msft_2028)*IF(AND(ISNUMBER(G8),ISNUMBER(F8)),wb1*G8+wb2*F8,IF(ISNUMBER(G8),G8,H8)))/(pit_msft_2028+pfac_msft_2028),site_msft_2028)</f>
        <v>4.20542058770135</v>
      </c>
      <c r="I9" s="8" t="n">
        <f aca="false">IF(ISNUMBER(I8),(pit_msft_2029/(pit_msft_2029+pfac_msft_2029)*I8+pfac_msft_2029/(pit_msft_2029+pfac_msft_2029)*IF(AND(ISNUMBER(H8),ISNUMBER(G8)),wb1*H8+wb2*G8,IF(ISNUMBER(H8),H8,I8)))/(pit_msft_2029+pfac_msft_2029),site_msft_2029)</f>
        <v>4.26588923952249</v>
      </c>
    </row>
    <row r="10" customFormat="false" ht="17.15" hidden="false" customHeight="false" outlineLevel="0" collapsed="false">
      <c r="A10" s="0" t="s">
        <v>1332</v>
      </c>
      <c r="B10" s="0" t="s">
        <v>1328</v>
      </c>
      <c r="E10" s="8" t="n">
        <f aca="false">(1-lag)*E9+lag*D9-inv_k*(E9-D9)</f>
        <v>1.32077628689572</v>
      </c>
      <c r="F10" s="8" t="n">
        <f aca="false">(1-lag)*F9+lag*E9-inv_k*(F9-E9)</f>
        <v>2.88677440162885</v>
      </c>
      <c r="G10" s="8" t="n">
        <f aca="false">(1-lag)*G9+lag*F9-inv_k*(G9-F9)</f>
        <v>3.55267164979465</v>
      </c>
      <c r="H10" s="8" t="n">
        <f aca="false">(1-lag)*H9+lag*G9-inv_k*(H9-G9)</f>
        <v>4.03728145984424</v>
      </c>
      <c r="I10" s="8" t="n">
        <f aca="false">(1-lag)*I9+lag*H9-inv_k*(I9-H9)</f>
        <v>4.23716662990745</v>
      </c>
    </row>
    <row r="11" customFormat="false" ht="17.15" hidden="false" customHeight="false" outlineLevel="0" collapsed="false">
      <c r="A11" s="0" t="s">
        <v>1333</v>
      </c>
      <c r="B11" s="0" t="s">
        <v>1334</v>
      </c>
      <c r="E11" s="8" t="n">
        <f aca="false">E10*(1-nnv_msft_2025)</f>
        <v>1.00615407887364</v>
      </c>
      <c r="F11" s="8" t="n">
        <f aca="false">F10*(1-nnv_msft_2026)</f>
        <v>2.19911567750323</v>
      </c>
      <c r="G11" s="8" t="n">
        <f aca="false">G10*(1-nnv_msft_2027)</f>
        <v>2.58243040643872</v>
      </c>
      <c r="H11" s="8" t="n">
        <f aca="false">H10*(1-nnv_msft_2028)</f>
        <v>2.94874399609684</v>
      </c>
      <c r="I11" s="8" t="n">
        <f aca="false">I10*(1-nnv_msft_2029)</f>
        <v>3.08386279796323</v>
      </c>
    </row>
    <row r="12" customFormat="false" ht="17.15" hidden="false" customHeight="false" outlineLevel="0" collapsed="false">
      <c r="A12" s="0" t="s">
        <v>1335</v>
      </c>
      <c r="B12" s="0" t="s">
        <v>1336</v>
      </c>
      <c r="D12" s="8" t="n">
        <f aca="false">site_msft_2024</f>
        <v>0</v>
      </c>
      <c r="E12" s="8" t="n">
        <f aca="false">site_msft_2025</f>
        <v>2.13527</v>
      </c>
      <c r="F12" s="8" t="n">
        <f aca="false">site_msft_2026</f>
        <v>0.770955</v>
      </c>
      <c r="G12" s="8" t="n">
        <f aca="false">site_msft_2027</f>
        <v>1.04</v>
      </c>
      <c r="H12" s="8" t="n">
        <f aca="false">site_msft_2028</f>
        <v>1.67</v>
      </c>
      <c r="I12" s="8" t="n">
        <f aca="false">site_msft_2029</f>
        <v>0.144</v>
      </c>
    </row>
    <row r="13" customFormat="false" ht="17.15" hidden="false" customHeight="false" outlineLevel="0" collapsed="false">
      <c r="A13" s="0" t="s">
        <v>1337</v>
      </c>
      <c r="B13" s="0" t="s">
        <v>1338</v>
      </c>
      <c r="D13" s="8" t="n">
        <f aca="false">main_msft_2024</f>
        <v>0</v>
      </c>
      <c r="E13" s="8" t="n">
        <f aca="false">main_msft_2025</f>
        <v>2.13527</v>
      </c>
      <c r="F13" s="8" t="n">
        <f aca="false">main_msft_2026</f>
        <v>0.770955</v>
      </c>
      <c r="G13" s="8" t="n">
        <f aca="false">main_msft_2027</f>
        <v>3.56447576934396</v>
      </c>
      <c r="H13" s="8" t="n">
        <f aca="false">main_msft_2028</f>
        <v>4.06597876464757</v>
      </c>
      <c r="I13" s="8" t="n">
        <f aca="false">main_msft_2029</f>
        <v>4.6644209987717</v>
      </c>
    </row>
    <row r="14" customFormat="false" ht="17.15" hidden="false" customHeight="false" outlineLevel="0" collapsed="false">
      <c r="A14" s="0" t="s">
        <v>1339</v>
      </c>
      <c r="B14" s="0" t="s">
        <v>1340</v>
      </c>
      <c r="D14" s="8" t="str">
        <f aca="false">IF(ISNUMBER(ai2_googl_2024),ai2_googl_2024,"")</f>
        <v/>
      </c>
      <c r="E14" s="8" t="n">
        <f aca="false">IF(ISNUMBER(ai2_googl_2025),ai2_googl_2025,"")</f>
        <v>77.72995</v>
      </c>
      <c r="F14" s="8" t="n">
        <f aca="false">IF(ISNUMBER(ai2_googl_2026),ai2_googl_2026,"")</f>
        <v>170</v>
      </c>
      <c r="G14" s="8" t="n">
        <f aca="false">IF(ISNUMBER(ai2_googl_2027),ai2_googl_2027,"")</f>
        <v>255.83215</v>
      </c>
      <c r="H14" s="8" t="n">
        <f aca="false">IF(ISNUMBER(ai2_googl_2028),ai2_googl_2028,"")</f>
        <v>288.53335</v>
      </c>
      <c r="I14" s="8" t="n">
        <f aca="false">IF(ISNUMBER(ai2_googl_2029),ai2_googl_2029,"")</f>
        <v>317.386685</v>
      </c>
    </row>
    <row r="15" customFormat="false" ht="17.15" hidden="false" customHeight="false" outlineLevel="0" collapsed="false">
      <c r="A15" s="0" t="s">
        <v>1341</v>
      </c>
      <c r="B15" s="0" t="s">
        <v>1342</v>
      </c>
      <c r="D15" s="8" t="n">
        <f aca="false">IF(ISNUMBER(D14),(pit_googl_2024/(pit_googl_2024+pfac_googl_2024)*D14+pfac_googl_2024/(pit_googl_2024+pfac_googl_2024)*IF(AND(ISNUMBER(""),ISNUMBER("")),wb1*""+wb2*"",IF(ISNUMBER(""),"",D14)))/(pit_googl_2024+pfac_googl_2024),site_googl_2024)</f>
        <v>1.32980834349181</v>
      </c>
      <c r="E15" s="8" t="n">
        <f aca="false">IF(ISNUMBER(E14),(pit_googl_2025/(pit_googl_2025+pfac_googl_2025)*E14+pfac_googl_2025/(pit_googl_2025+pfac_googl_2025)*IF(AND(ISNUMBER(D14),ISNUMBER("")),wb1*D14+wb2*"",IF(ISNUMBER(D14),D14,E14)))/(pit_googl_2025+pfac_googl_2025),site_googl_2025)</f>
        <v>2.15653802290354</v>
      </c>
      <c r="F15" s="8" t="n">
        <f aca="false">IF(ISNUMBER(F14),(pit_googl_2026/(pit_googl_2026+pfac_googl_2026)*F14+pfac_googl_2026/(pit_googl_2026+pfac_googl_2026)*IF(AND(ISNUMBER(E14),ISNUMBER(D14)),wb1*E14+wb2*D14,IF(ISNUMBER(E14),E14,F14)))/(pit_googl_2026+pfac_googl_2026),site_googl_2026)</f>
        <v>3.85777511610307</v>
      </c>
      <c r="G15" s="8" t="n">
        <f aca="false">IF(ISNUMBER(G14),(pit_googl_2027/(pit_googl_2027+pfac_googl_2027)*G14+pfac_googl_2027/(pit_googl_2027+pfac_googl_2027)*IF(AND(ISNUMBER(F14),ISNUMBER(E14)),wb1*F14+wb2*E14,IF(ISNUMBER(F14),F14,G14)))/(pit_googl_2027+pfac_googl_2027),site_googl_2027)</f>
        <v>5.69768565998842</v>
      </c>
      <c r="H15" s="8" t="n">
        <f aca="false">IF(ISNUMBER(H14),(pit_googl_2028/(pit_googl_2028+pfac_googl_2028)*H14+pfac_googl_2028/(pit_googl_2028+pfac_googl_2028)*IF(AND(ISNUMBER(G14),ISNUMBER(F14)),wb1*G14+wb2*F14,IF(ISNUMBER(G14),G14,H14)))/(pit_googl_2028+pfac_googl_2028),site_googl_2028)</f>
        <v>6.77682412398345</v>
      </c>
      <c r="I15" s="8" t="n">
        <f aca="false">IF(ISNUMBER(I14),(pit_googl_2029/(pit_googl_2029+pfac_googl_2029)*I14+pfac_googl_2029/(pit_googl_2029+pfac_googl_2029)*IF(AND(ISNUMBER(H14),ISNUMBER(G14)),wb1*H14+wb2*G14,IF(ISNUMBER(H14),H14,I14)))/(pit_googl_2029+pfac_googl_2029),site_googl_2029)</f>
        <v>7.68929590970477</v>
      </c>
    </row>
    <row r="16" customFormat="false" ht="17.15" hidden="false" customHeight="false" outlineLevel="0" collapsed="false">
      <c r="A16" s="0" t="s">
        <v>1343</v>
      </c>
      <c r="B16" s="0" t="s">
        <v>1344</v>
      </c>
      <c r="E16" s="8" t="n">
        <f aca="false">(1-lag)*E15+lag*D15-inv_k*(E15-D15)</f>
        <v>1.76384142518297</v>
      </c>
      <c r="F16" s="8" t="n">
        <f aca="false">(1-lag)*F15+lag*E15-inv_k*(F15-E15)</f>
        <v>3.04968749683329</v>
      </c>
      <c r="G16" s="8" t="n">
        <f aca="false">(1-lag)*G15+lag*F15-inv_k*(G15-F15)</f>
        <v>4.82372815164288</v>
      </c>
      <c r="H16" s="8" t="n">
        <f aca="false">(1-lag)*H15+lag*G15-inv_k*(H15-G15)</f>
        <v>6.26423335358581</v>
      </c>
      <c r="I16" s="8" t="n">
        <f aca="false">(1-lag)*I15+lag*H15-inv_k*(I15-H15)</f>
        <v>7.25587181148715</v>
      </c>
    </row>
    <row r="17" customFormat="false" ht="17.15" hidden="false" customHeight="false" outlineLevel="0" collapsed="false">
      <c r="A17" s="0" t="s">
        <v>1345</v>
      </c>
      <c r="B17" s="0" t="s">
        <v>1346</v>
      </c>
      <c r="D17" s="8" t="n">
        <f aca="false">gcap_googl_2024*ai_sh</f>
        <v>44.65475</v>
      </c>
      <c r="E17" s="8" t="n">
        <f aca="false">gcap_googl_2025*ai_sh</f>
        <v>77.72995</v>
      </c>
      <c r="F17" s="8" t="n">
        <f aca="false">gcap_googl_2026*ai_sh</f>
        <v>170</v>
      </c>
      <c r="G17" s="8" t="n">
        <f aca="false">gcap_googl_2027*ai_sh</f>
        <v>246.810369</v>
      </c>
      <c r="H17" s="8" t="n">
        <f aca="false">gcap_googl_2028*ai_sh</f>
        <v>269.78900975</v>
      </c>
      <c r="I17" s="8" t="n">
        <f aca="false">gcap_googl_2029*ai_sh</f>
        <v>248.6767412</v>
      </c>
    </row>
    <row r="18" customFormat="false" ht="17.15" hidden="false" customHeight="false" outlineLevel="0" collapsed="false">
      <c r="A18" s="0" t="s">
        <v>1347</v>
      </c>
      <c r="B18" s="0" t="s">
        <v>1342</v>
      </c>
      <c r="D18" s="8" t="n">
        <f aca="false">IF(ISNUMBER(D17),(pit_googl_2024/(pit_googl_2024+pfac_googl_2024)*D17+pfac_googl_2024/(pit_googl_2024+pfac_googl_2024)*IF(AND(ISNUMBER(""),ISNUMBER("")),wb1*""+wb2*"",IF(ISNUMBER(""),"",D17)))/(pit_googl_2024+pfac_googl_2024),site_googl_2024)</f>
        <v>1.22628577156267</v>
      </c>
      <c r="E18" s="8" t="n">
        <f aca="false">IF(ISNUMBER(E17),(pit_googl_2025/(pit_googl_2025+pfac_googl_2025)*E17+pfac_googl_2025/(pit_googl_2025+pfac_googl_2025)*IF(AND(ISNUMBER(D17),ISNUMBER("")),wb1*D17+wb2*"",IF(ISNUMBER(D17),D17,E17)))/(pit_googl_2025+pfac_googl_2025),site_googl_2025)</f>
        <v>1.90684085060084</v>
      </c>
      <c r="F18" s="8" t="n">
        <f aca="false">IF(ISNUMBER(F17),(pit_googl_2026/(pit_googl_2026+pfac_googl_2026)*F17+pfac_googl_2026/(pit_googl_2026+pfac_googl_2026)*IF(AND(ISNUMBER(E17),ISNUMBER(D17)),wb1*E17+wb2*D17,IF(ISNUMBER(E17),E17,F17)))/(pit_googl_2026+pfac_googl_2026),site_googl_2026)</f>
        <v>3.74469414665129</v>
      </c>
      <c r="G18" s="8" t="n">
        <f aca="false">IF(ISNUMBER(G17),(pit_googl_2027/(pit_googl_2027+pfac_googl_2027)*G17+pfac_googl_2027/(pit_googl_2027+pfac_googl_2027)*IF(AND(ISNUMBER(F17),ISNUMBER(E17)),wb1*F17+wb2*E17,IF(ISNUMBER(F17),F17,G17)))/(pit_googl_2027+pfac_googl_2027),site_googl_2027)</f>
        <v>5.52479710641755</v>
      </c>
      <c r="H18" s="8" t="n">
        <f aca="false">IF(ISNUMBER(H17),(pit_googl_2028/(pit_googl_2028+pfac_googl_2028)*H17+pfac_googl_2028/(pit_googl_2028+pfac_googl_2028)*IF(AND(ISNUMBER(G17),ISNUMBER(F17)),wb1*G17+wb2*F17,IF(ISNUMBER(G17),G17,H17)))/(pit_googl_2028+pfac_googl_2028),site_googl_2028)</f>
        <v>6.39420249958533</v>
      </c>
      <c r="I18" s="8" t="n">
        <f aca="false">IF(ISNUMBER(I17),(pit_googl_2029/(pit_googl_2029+pfac_googl_2029)*I17+pfac_googl_2029/(pit_googl_2029+pfac_googl_2029)*IF(AND(ISNUMBER(H17),ISNUMBER(G17)),wb1*H17+wb2*G17,IF(ISNUMBER(H17),H17,I17)))/(pit_googl_2029+pfac_googl_2029),site_googl_2029)</f>
        <v>6.30314197516365</v>
      </c>
    </row>
    <row r="19" customFormat="false" ht="17.15" hidden="false" customHeight="false" outlineLevel="0" collapsed="false">
      <c r="A19" s="0" t="s">
        <v>1348</v>
      </c>
      <c r="B19" s="0" t="s">
        <v>1344</v>
      </c>
      <c r="E19" s="8" t="n">
        <f aca="false">(1-lag)*E18+lag*D18-inv_k*(E18-D18)</f>
        <v>1.58357718805771</v>
      </c>
      <c r="F19" s="8" t="n">
        <f aca="false">(1-lag)*F18+lag*E18-inv_k*(F18-E18)</f>
        <v>2.87171383102733</v>
      </c>
      <c r="G19" s="8" t="n">
        <f aca="false">(1-lag)*G18+lag*F18-inv_k*(G18-F18)</f>
        <v>4.67924820052858</v>
      </c>
      <c r="H19" s="8" t="n">
        <f aca="false">(1-lag)*H18+lag*G18-inv_k*(H18-G18)</f>
        <v>5.98123493783063</v>
      </c>
      <c r="I19" s="8" t="n">
        <f aca="false">(1-lag)*I18+lag*H18-inv_k*(I18-H18)</f>
        <v>6.34639572426395</v>
      </c>
    </row>
    <row r="20" customFormat="false" ht="17.15" hidden="false" customHeight="false" outlineLevel="0" collapsed="false">
      <c r="A20" s="0" t="s">
        <v>1349</v>
      </c>
      <c r="B20" s="0" t="s">
        <v>1350</v>
      </c>
      <c r="E20" s="8" t="n">
        <f aca="false">E19*(1-nnv_googl_2025)</f>
        <v>0.391143565450253</v>
      </c>
      <c r="F20" s="8" t="n">
        <f aca="false">F19*(1-nnv_googl_2026)</f>
        <v>0.70931331626375</v>
      </c>
      <c r="G20" s="8" t="n">
        <f aca="false">G19*(1-nnv_googl_2027)</f>
        <v>1.15577430553056</v>
      </c>
      <c r="H20" s="8" t="n">
        <f aca="false">H19*(1-nnv_googl_2028)</f>
        <v>1.47736502964417</v>
      </c>
      <c r="I20" s="8" t="n">
        <f aca="false">I19*(1-nnv_googl_2029)</f>
        <v>1.5675597438932</v>
      </c>
    </row>
    <row r="21" customFormat="false" ht="17.15" hidden="false" customHeight="false" outlineLevel="0" collapsed="false">
      <c r="A21" s="0" t="s">
        <v>1351</v>
      </c>
      <c r="B21" s="0" t="s">
        <v>1352</v>
      </c>
      <c r="D21" s="8" t="n">
        <f aca="false">site_googl_2024</f>
        <v>1.32980834349181</v>
      </c>
      <c r="E21" s="8" t="n">
        <f aca="false">site_googl_2025</f>
        <v>2.40961330082622</v>
      </c>
      <c r="F21" s="8" t="n">
        <f aca="false">site_googl_2026</f>
        <v>1.29267912772586</v>
      </c>
      <c r="G21" s="8" t="n">
        <f aca="false">site_googl_2027</f>
        <v>1.626</v>
      </c>
      <c r="H21" s="8" t="n">
        <f aca="false">site_googl_2028</f>
        <v>0.833333333333334</v>
      </c>
      <c r="I21" s="8" t="n">
        <f aca="false">site_googl_2029</f>
        <v>0</v>
      </c>
    </row>
    <row r="22" customFormat="false" ht="17.15" hidden="false" customHeight="false" outlineLevel="0" collapsed="false">
      <c r="A22" s="0" t="s">
        <v>1353</v>
      </c>
      <c r="B22" s="0" t="s">
        <v>1354</v>
      </c>
      <c r="D22" s="8" t="n">
        <f aca="false">main_googl_2024</f>
        <v>1.32980834349181</v>
      </c>
      <c r="E22" s="8" t="n">
        <f aca="false">main_googl_2025</f>
        <v>2.40961330082622</v>
      </c>
      <c r="F22" s="8" t="n">
        <f aca="false">main_googl_2026</f>
        <v>1.29267912772586</v>
      </c>
      <c r="G22" s="8" t="n">
        <f aca="false">main_googl_2027</f>
        <v>5.69768565998842</v>
      </c>
      <c r="H22" s="8" t="n">
        <f aca="false">main_googl_2028</f>
        <v>6.77682412398346</v>
      </c>
      <c r="I22" s="8" t="n">
        <f aca="false">main_googl_2029</f>
        <v>7.68929590970478</v>
      </c>
    </row>
    <row r="23" customFormat="false" ht="17.15" hidden="false" customHeight="false" outlineLevel="0" collapsed="false">
      <c r="A23" s="0" t="s">
        <v>1355</v>
      </c>
      <c r="B23" s="0" t="s">
        <v>1356</v>
      </c>
      <c r="D23" s="8" t="str">
        <f aca="false">IF(ISNUMBER(ai2_amzn_2024),ai2_amzn_2024,"")</f>
        <v/>
      </c>
      <c r="E23" s="8" t="n">
        <f aca="false">IF(ISNUMBER(ai2_amzn_2025),ai2_amzn_2025,"")</f>
        <v>87.2576</v>
      </c>
      <c r="F23" s="8" t="n">
        <f aca="false">IF(ISNUMBER(ai2_amzn_2026),ai2_amzn_2026,"")</f>
        <v>149.6</v>
      </c>
      <c r="G23" s="8" t="n">
        <f aca="false">IF(ISNUMBER(ai2_amzn_2027),ai2_amzn_2027,"")</f>
        <v>187.04284</v>
      </c>
      <c r="H23" s="8" t="n">
        <f aca="false">IF(ISNUMBER(ai2_amzn_2028),ai2_amzn_2028,"")</f>
        <v>199.19036</v>
      </c>
      <c r="I23" s="8" t="n">
        <f aca="false">IF(ISNUMBER(ai2_amzn_2029),ai2_amzn_2029,"")</f>
        <v>219.109396</v>
      </c>
    </row>
    <row r="24" customFormat="false" ht="17.15" hidden="false" customHeight="false" outlineLevel="0" collapsed="false">
      <c r="A24" s="0" t="s">
        <v>1357</v>
      </c>
      <c r="B24" s="0" t="s">
        <v>1358</v>
      </c>
      <c r="D24" s="8" t="n">
        <f aca="false">IF(ISNUMBER(D23),(pit_amzn_2024/(pit_amzn_2024+pfac_amzn_2024)*D23+pfac_amzn_2024/(pit_amzn_2024+pfac_amzn_2024)*IF(AND(ISNUMBER(""),ISNUMBER("")),wb1*""+wb2*"",IF(ISNUMBER(""),"",D23)))/(pit_amzn_2024+pfac_amzn_2024),site_amzn_2024)</f>
        <v>0</v>
      </c>
      <c r="E24" s="8" t="n">
        <f aca="false">IF(ISNUMBER(E23),(pit_amzn_2025/(pit_amzn_2025+pfac_amzn_2025)*E23+pfac_amzn_2025/(pit_amzn_2025+pfac_amzn_2025)*IF(AND(ISNUMBER(D23),ISNUMBER("")),wb1*D23+wb2*"",IF(ISNUMBER(D23),D23,E23)))/(pit_amzn_2025+pfac_amzn_2025),site_amzn_2025)</f>
        <v>2.6200438487091</v>
      </c>
      <c r="F24" s="8" t="n">
        <f aca="false">IF(ISNUMBER(F23),(pit_amzn_2026/(pit_amzn_2026+pfac_amzn_2026)*F23+pfac_amzn_2026/(pit_amzn_2026+pfac_amzn_2026)*IF(AND(ISNUMBER(E23),ISNUMBER(D23)),wb1*E23+wb2*D23,IF(ISNUMBER(E23),E23,F23)))/(pit_amzn_2026+pfac_amzn_2026),site_amzn_2026)</f>
        <v>3.72830685774426</v>
      </c>
      <c r="G24" s="8" t="n">
        <f aca="false">IF(ISNUMBER(G23),(pit_amzn_2027/(pit_amzn_2027+pfac_amzn_2027)*G23+pfac_amzn_2027/(pit_amzn_2027+pfac_amzn_2027)*IF(AND(ISNUMBER(F23),ISNUMBER(E23)),wb1*F23+wb2*E23,IF(ISNUMBER(F23),F23,G23)))/(pit_amzn_2027+pfac_amzn_2027),site_amzn_2027)</f>
        <v>4.54496548273742</v>
      </c>
      <c r="H24" s="8" t="n">
        <f aca="false">IF(ISNUMBER(H23),(pit_amzn_2028/(pit_amzn_2028+pfac_amzn_2028)*H23+pfac_amzn_2028/(pit_amzn_2028+pfac_amzn_2028)*IF(AND(ISNUMBER(G23),ISNUMBER(F23)),wb1*G23+wb2*F23,IF(ISNUMBER(G23),G23,H23)))/(pit_amzn_2028+pfac_amzn_2028),site_amzn_2028)</f>
        <v>4.99623819927339</v>
      </c>
      <c r="I24" s="8" t="n">
        <f aca="false">IF(ISNUMBER(I23),(pit_amzn_2029/(pit_amzn_2029+pfac_amzn_2029)*I23+pfac_amzn_2029/(pit_amzn_2029+pfac_amzn_2029)*IF(AND(ISNUMBER(H23),ISNUMBER(G23)),wb1*H23+wb2*G23,IF(ISNUMBER(H23),H23,I23)))/(pit_amzn_2029+pfac_amzn_2029),site_amzn_2029)</f>
        <v>5.54650880690247</v>
      </c>
    </row>
    <row r="25" customFormat="false" ht="17.15" hidden="false" customHeight="false" outlineLevel="0" collapsed="false">
      <c r="A25" s="0" t="s">
        <v>1359</v>
      </c>
      <c r="B25" s="0" t="s">
        <v>1360</v>
      </c>
      <c r="E25" s="8" t="n">
        <f aca="false">(1-lag)*E24+lag*D24-inv_k*(E24-D24)</f>
        <v>1.37552302057228</v>
      </c>
      <c r="F25" s="8" t="n">
        <f aca="false">(1-lag)*F24+lag*E24-inv_k*(F24-E24)</f>
        <v>3.20188192845256</v>
      </c>
      <c r="G25" s="8" t="n">
        <f aca="false">(1-lag)*G24+lag*F24-inv_k*(G24-F24)</f>
        <v>4.15705263586567</v>
      </c>
      <c r="H25" s="8" t="n">
        <f aca="false">(1-lag)*H24+lag*G24-inv_k*(H24-G24)</f>
        <v>4.78188365891881</v>
      </c>
      <c r="I25" s="8" t="n">
        <f aca="false">(1-lag)*I24+lag*H24-inv_k*(I24-H24)</f>
        <v>5.28513026827866</v>
      </c>
    </row>
    <row r="26" customFormat="false" ht="17.15" hidden="false" customHeight="false" outlineLevel="0" collapsed="false">
      <c r="A26" s="0" t="s">
        <v>1361</v>
      </c>
      <c r="B26" s="0" t="s">
        <v>1362</v>
      </c>
      <c r="D26" s="8" t="n">
        <f aca="false">gcap_amzn_2024*ai_amzn</f>
        <v>52.80744</v>
      </c>
      <c r="E26" s="8" t="n">
        <f aca="false">gcap_amzn_2025*ai_amzn</f>
        <v>87.2576</v>
      </c>
      <c r="F26" s="8" t="n">
        <f aca="false">gcap_amzn_2026*ai_amzn</f>
        <v>149.6</v>
      </c>
      <c r="G26" s="8" t="n">
        <f aca="false">gcap_amzn_2027*ai_amzn</f>
        <v>172.09445848</v>
      </c>
      <c r="H26" s="8" t="n">
        <f aca="false">gcap_amzn_2028*ai_amzn</f>
        <v>181.54066624</v>
      </c>
      <c r="I26" s="8" t="n">
        <f aca="false">gcap_amzn_2029*ai_amzn</f>
        <v>189.3160052</v>
      </c>
    </row>
    <row r="27" customFormat="false" ht="17.15" hidden="false" customHeight="false" outlineLevel="0" collapsed="false">
      <c r="A27" s="0" t="s">
        <v>1363</v>
      </c>
      <c r="B27" s="0" t="s">
        <v>1358</v>
      </c>
      <c r="D27" s="8" t="n">
        <f aca="false">IF(ISNUMBER(D26),(pit_amzn_2024/(pit_amzn_2024+pfac_amzn_2024)*D26+pfac_amzn_2024/(pit_amzn_2024+pfac_amzn_2024)*IF(AND(ISNUMBER(""),ISNUMBER("")),wb1*""+wb2*"",IF(ISNUMBER(""),"",D26)))/(pit_amzn_2024+pfac_amzn_2024),site_amzn_2024)</f>
        <v>1.56238534864816</v>
      </c>
      <c r="E27" s="8" t="n">
        <f aca="false">IF(ISNUMBER(E26),(pit_amzn_2025/(pit_amzn_2025+pfac_amzn_2025)*E26+pfac_amzn_2025/(pit_amzn_2025+pfac_amzn_2025)*IF(AND(ISNUMBER(D26),ISNUMBER("")),wb1*D26+wb2*"",IF(ISNUMBER(D26),D26,E26)))/(pit_amzn_2025+pfac_amzn_2025),site_amzn_2025)</f>
        <v>2.32934283296825</v>
      </c>
      <c r="F27" s="8" t="n">
        <f aca="false">IF(ISNUMBER(F26),(pit_amzn_2026/(pit_amzn_2026+pfac_amzn_2026)*F26+pfac_amzn_2026/(pit_amzn_2026+pfac_amzn_2026)*IF(AND(ISNUMBER(E26),ISNUMBER(D26)),wb1*E26+wb2*D26,IF(ISNUMBER(E26),E26,F26)))/(pit_amzn_2026+pfac_amzn_2026),site_amzn_2026)</f>
        <v>3.60214892289839</v>
      </c>
      <c r="G27" s="8" t="n">
        <f aca="false">IF(ISNUMBER(G26),(pit_amzn_2027/(pit_amzn_2027+pfac_amzn_2027)*G26+pfac_amzn_2027/(pit_amzn_2027+pfac_amzn_2027)*IF(AND(ISNUMBER(F26),ISNUMBER(E26)),wb1*F26+wb2*E26,IF(ISNUMBER(F26),F26,G26)))/(pit_amzn_2027+pfac_amzn_2027),site_amzn_2027)</f>
        <v>4.24515505663672</v>
      </c>
      <c r="H27" s="8" t="n">
        <f aca="false">IF(ISNUMBER(H26),(pit_amzn_2028/(pit_amzn_2028+pfac_amzn_2028)*H26+pfac_amzn_2028/(pit_amzn_2028+pfac_amzn_2028)*IF(AND(ISNUMBER(G26),ISNUMBER(F26)),wb1*G26+wb2*F26,IF(ISNUMBER(G26),G26,H26)))/(pit_amzn_2028+pfac_amzn_2028),site_amzn_2028)</f>
        <v>4.60085769114469</v>
      </c>
      <c r="I27" s="8" t="n">
        <f aca="false">IF(ISNUMBER(I26),(pit_amzn_2029/(pit_amzn_2029+pfac_amzn_2029)*I26+pfac_amzn_2029/(pit_amzn_2029+pfac_amzn_2029)*IF(AND(ISNUMBER(H26),ISNUMBER(G26)),wb1*H26+wb2*G26,IF(ISNUMBER(H26),H26,I26)))/(pit_amzn_2029+pfac_amzn_2029),site_amzn_2029)</f>
        <v>4.85567033897056</v>
      </c>
    </row>
    <row r="28" customFormat="false" ht="17.15" hidden="false" customHeight="false" outlineLevel="0" collapsed="false">
      <c r="A28" s="0" t="s">
        <v>1364</v>
      </c>
      <c r="B28" s="0" t="s">
        <v>1360</v>
      </c>
      <c r="E28" s="8" t="n">
        <f aca="false">(1-lag)*E27+lag*D27-inv_k*(E27-D27)</f>
        <v>1.96503802791621</v>
      </c>
      <c r="F28" s="8" t="n">
        <f aca="false">(1-lag)*F27+lag*E27-inv_k*(F27-E27)</f>
        <v>2.99756603018157</v>
      </c>
      <c r="G28" s="8" t="n">
        <f aca="false">(1-lag)*G27+lag*F27-inv_k*(G27-F27)</f>
        <v>3.93972714311101</v>
      </c>
      <c r="H28" s="8" t="n">
        <f aca="false">(1-lag)*H27+lag*G27-inv_k*(H27-G27)</f>
        <v>4.4318989397534</v>
      </c>
      <c r="I28" s="8" t="n">
        <f aca="false">(1-lag)*I27+lag*H27-inv_k*(I27-H27)</f>
        <v>4.73463433125327</v>
      </c>
    </row>
    <row r="29" customFormat="false" ht="17.15" hidden="false" customHeight="false" outlineLevel="0" collapsed="false">
      <c r="A29" s="0" t="s">
        <v>1365</v>
      </c>
      <c r="B29" s="0" t="s">
        <v>1366</v>
      </c>
      <c r="E29" s="8" t="n">
        <f aca="false">E28*(1-nnv_amzn_2025)</f>
        <v>0.648462549212348</v>
      </c>
      <c r="F29" s="8" t="n">
        <f aca="false">F28*(1-nnv_amzn_2026)</f>
        <v>0.989196789959919</v>
      </c>
      <c r="G29" s="8" t="n">
        <f aca="false">G28*(1-nnv_amzn_2027)</f>
        <v>1.30010995722663</v>
      </c>
      <c r="H29" s="8" t="n">
        <f aca="false">H28*(1-nnv_amzn_2028)</f>
        <v>1.46252665011862</v>
      </c>
      <c r="I29" s="8" t="n">
        <f aca="false">I28*(1-nnv_amzn_2029)</f>
        <v>1.56242932931358</v>
      </c>
    </row>
    <row r="30" customFormat="false" ht="17.15" hidden="false" customHeight="false" outlineLevel="0" collapsed="false">
      <c r="A30" s="0" t="s">
        <v>1367</v>
      </c>
      <c r="B30" s="0" t="s">
        <v>1368</v>
      </c>
      <c r="D30" s="8" t="n">
        <f aca="false">site_amzn_2024</f>
        <v>0</v>
      </c>
      <c r="E30" s="8" t="n">
        <f aca="false">site_amzn_2025</f>
        <v>1.38971599402093</v>
      </c>
      <c r="F30" s="8" t="n">
        <f aca="false">site_amzn_2026</f>
        <v>0.527</v>
      </c>
      <c r="G30" s="8" t="n">
        <f aca="false">site_amzn_2027</f>
        <v>0.364</v>
      </c>
      <c r="H30" s="8" t="n">
        <f aca="false">site_amzn_2028</f>
        <v>1.744</v>
      </c>
      <c r="I30" s="8" t="n">
        <f aca="false">site_amzn_2029</f>
        <v>0.0620000000000003</v>
      </c>
    </row>
    <row r="31" customFormat="false" ht="17.15" hidden="false" customHeight="false" outlineLevel="0" collapsed="false">
      <c r="A31" s="0" t="s">
        <v>1369</v>
      </c>
      <c r="B31" s="0" t="s">
        <v>1370</v>
      </c>
      <c r="D31" s="8" t="n">
        <f aca="false">main_amzn_2024</f>
        <v>0</v>
      </c>
      <c r="E31" s="8" t="n">
        <f aca="false">main_amzn_2025</f>
        <v>1.38971599402093</v>
      </c>
      <c r="F31" s="8" t="n">
        <f aca="false">main_amzn_2026</f>
        <v>0.527</v>
      </c>
      <c r="G31" s="8" t="n">
        <f aca="false">main_amzn_2027</f>
        <v>4.54496548273742</v>
      </c>
      <c r="H31" s="8" t="n">
        <f aca="false">main_amzn_2028</f>
        <v>4.99623819927339</v>
      </c>
      <c r="I31" s="8" t="n">
        <f aca="false">main_amzn_2029</f>
        <v>5.54650880690247</v>
      </c>
    </row>
    <row r="32" customFormat="false" ht="17.15" hidden="false" customHeight="false" outlineLevel="0" collapsed="false">
      <c r="A32" s="0" t="s">
        <v>1371</v>
      </c>
      <c r="B32" s="0" t="s">
        <v>1372</v>
      </c>
      <c r="D32" s="8" t="str">
        <f aca="false">IF(ISNUMBER(ai2_meta_2024),ai2_meta_2024,"")</f>
        <v/>
      </c>
      <c r="E32" s="8" t="str">
        <f aca="false">IF(ISNUMBER(ai2_meta_2025),ai2_meta_2025,"")</f>
        <v/>
      </c>
      <c r="F32" s="8" t="n">
        <f aca="false">IF(ISNUMBER(ai2_meta_2026),ai2_meta_2026,"")</f>
        <v>119</v>
      </c>
      <c r="G32" s="8" t="n">
        <f aca="false">IF(ISNUMBER(ai2_meta_2027),ai2_meta_2027,"")</f>
        <v>130.9</v>
      </c>
      <c r="H32" s="8" t="n">
        <f aca="false">IF(ISNUMBER(ai2_meta_2028),ai2_meta_2028,"")</f>
        <v>143.99</v>
      </c>
      <c r="I32" s="8" t="n">
        <f aca="false">IF(ISNUMBER(ai2_meta_2029),ai2_meta_2029,"")</f>
        <v>158.389</v>
      </c>
    </row>
    <row r="33" customFormat="false" ht="17.15" hidden="false" customHeight="false" outlineLevel="0" collapsed="false">
      <c r="A33" s="0" t="s">
        <v>1373</v>
      </c>
      <c r="B33" s="0" t="s">
        <v>1374</v>
      </c>
      <c r="D33" s="8" t="n">
        <f aca="false">IF(ISNUMBER(D32),(pit_meta_2024/(pit_meta_2024+pfac_meta_2024)*D32+pfac_meta_2024/(pit_meta_2024+pfac_meta_2024)*IF(AND(ISNUMBER(""),ISNUMBER("")),wb1*""+wb2*"",IF(ISNUMBER(""),"",D32)))/(pit_meta_2024+pfac_meta_2024),site_meta_2024)</f>
        <v>0</v>
      </c>
      <c r="E33" s="8" t="n">
        <f aca="false">IF(ISNUMBER(E32),(pit_meta_2025/(pit_meta_2025+pfac_meta_2025)*E32+pfac_meta_2025/(pit_meta_2025+pfac_meta_2025)*IF(AND(ISNUMBER(D32),ISNUMBER("")),wb1*D32+wb2*"",IF(ISNUMBER(D32),D32,E32)))/(pit_meta_2025+pfac_meta_2025),site_meta_2025)</f>
        <v>1.50812</v>
      </c>
      <c r="F33" s="8" t="n">
        <f aca="false">IF(ISNUMBER(F32),(pit_meta_2026/(pit_meta_2026+pfac_meta_2026)*F32+pfac_meta_2026/(pit_meta_2026+pfac_meta_2026)*IF(AND(ISNUMBER(E32),ISNUMBER(D32)),wb1*E32+wb2*D32,IF(ISNUMBER(E32),E32,F32)))/(pit_meta_2026+pfac_meta_2026),site_meta_2026)</f>
        <v>2.62796503624796</v>
      </c>
      <c r="G33" s="8" t="n">
        <f aca="false">IF(ISNUMBER(G32),(pit_meta_2027/(pit_meta_2027+pfac_meta_2027)*G32+pfac_meta_2027/(pit_meta_2027+pfac_meta_2027)*IF(AND(ISNUMBER(F32),ISNUMBER(E32)),wb1*F32+wb2*E32,IF(ISNUMBER(F32),F32,G32)))/(pit_meta_2027+pfac_meta_2027),site_meta_2027)</f>
        <v>2.62451187863681</v>
      </c>
      <c r="H33" s="8" t="n">
        <f aca="false">IF(ISNUMBER(H32),(pit_meta_2028/(pit_meta_2028+pfac_meta_2028)*H32+pfac_meta_2028/(pit_meta_2028+pfac_meta_2028)*IF(AND(ISNUMBER(G32),ISNUMBER(F32)),wb1*G32+wb2*F32,IF(ISNUMBER(G32),G32,H32)))/(pit_meta_2028+pfac_meta_2028),site_meta_2028)</f>
        <v>2.73641202658015</v>
      </c>
      <c r="I33" s="8" t="n">
        <f aca="false">IF(ISNUMBER(I32),(pit_meta_2029/(pit_meta_2029+pfac_meta_2029)*I32+pfac_meta_2029/(pit_meta_2029+pfac_meta_2029)*IF(AND(ISNUMBER(H32),ISNUMBER(G32)),wb1*H32+wb2*G32,IF(ISNUMBER(H32),H32,I32)))/(pit_meta_2029+pfac_meta_2029),site_meta_2029)</f>
        <v>3.01174825182942</v>
      </c>
    </row>
    <row r="34" customFormat="false" ht="17.15" hidden="false" customHeight="false" outlineLevel="0" collapsed="false">
      <c r="A34" s="0" t="s">
        <v>1375</v>
      </c>
      <c r="B34" s="0" t="s">
        <v>1376</v>
      </c>
      <c r="E34" s="8" t="n">
        <f aca="false">(1-lag)*E33+lag*D33-inv_k*(E33-D33)</f>
        <v>0.791763</v>
      </c>
      <c r="F34" s="8" t="n">
        <f aca="false">(1-lag)*F33+lag*E33-inv_k*(F33-E33)</f>
        <v>2.09603864403018</v>
      </c>
      <c r="G34" s="8" t="n">
        <f aca="false">(1-lag)*G33+lag*F33-inv_k*(G33-F33)</f>
        <v>2.62615212850211</v>
      </c>
      <c r="H34" s="8" t="n">
        <f aca="false">(1-lag)*H33+lag*G33-inv_k*(H33-G33)</f>
        <v>2.68325945630706</v>
      </c>
      <c r="I34" s="8" t="n">
        <f aca="false">(1-lag)*I33+lag*H33-inv_k*(I33-H33)</f>
        <v>2.88096354483602</v>
      </c>
    </row>
    <row r="35" customFormat="false" ht="17.15" hidden="false" customHeight="false" outlineLevel="0" collapsed="false">
      <c r="A35" s="0" t="s">
        <v>1377</v>
      </c>
      <c r="B35" s="0" t="s">
        <v>1378</v>
      </c>
      <c r="D35" s="8" t="n">
        <f aca="false">gcap_meta_2024*ai_sh</f>
        <v>33.34125</v>
      </c>
      <c r="E35" s="8" t="n">
        <f aca="false">gcap_meta_2025*ai_sh</f>
        <v>61.38275</v>
      </c>
      <c r="F35" s="8" t="n">
        <f aca="false">gcap_meta_2026*ai_sh</f>
        <v>119</v>
      </c>
      <c r="G35" s="8" t="n">
        <f aca="false">gcap_meta_2027*ai_sh</f>
        <v>174.8499963</v>
      </c>
      <c r="H35" s="8" t="n">
        <f aca="false">gcap_meta_2028*ai_sh</f>
        <v>186.39077355</v>
      </c>
      <c r="I35" s="8" t="n">
        <f aca="false">gcap_meta_2029*ai_sh</f>
        <v>165.57988355</v>
      </c>
    </row>
    <row r="36" customFormat="false" ht="17.15" hidden="false" customHeight="false" outlineLevel="0" collapsed="false">
      <c r="A36" s="0" t="s">
        <v>1379</v>
      </c>
      <c r="B36" s="0" t="s">
        <v>1374</v>
      </c>
      <c r="D36" s="8" t="n">
        <f aca="false">IF(ISNUMBER(D35),(pit_meta_2024/(pit_meta_2024+pfac_meta_2024)*D35+pfac_meta_2024/(pit_meta_2024+pfac_meta_2024)*IF(AND(ISNUMBER(""),ISNUMBER("")),wb1*""+wb2*"",IF(ISNUMBER(""),"",D35)))/(pit_meta_2024+pfac_meta_2024),site_meta_2024)</f>
        <v>0.817493736320288</v>
      </c>
      <c r="E36" s="8" t="n">
        <f aca="false">IF(ISNUMBER(E35),(pit_meta_2025/(pit_meta_2025+pfac_meta_2025)*E35+pfac_meta_2025/(pit_meta_2025+pfac_meta_2025)*IF(AND(ISNUMBER(D35),ISNUMBER("")),wb1*D35+wb2*"",IF(ISNUMBER(D35),D35,E35)))/(pit_meta_2025+pfac_meta_2025),site_meta_2025)</f>
        <v>1.33044623899154</v>
      </c>
      <c r="F36" s="8" t="n">
        <f aca="false">IF(ISNUMBER(F35),(pit_meta_2026/(pit_meta_2026+pfac_meta_2026)*F35+pfac_meta_2026/(pit_meta_2026+pfac_meta_2026)*IF(AND(ISNUMBER(E35),ISNUMBER(D35)),wb1*E35+wb2*D35,IF(ISNUMBER(E35),E35,F35)))/(pit_meta_2026+pfac_meta_2026),site_meta_2026)</f>
        <v>2.20112683043242</v>
      </c>
      <c r="G36" s="8" t="n">
        <f aca="false">IF(ISNUMBER(G35),(pit_meta_2027/(pit_meta_2027+pfac_meta_2027)*G35+pfac_meta_2027/(pit_meta_2027+pfac_meta_2027)*IF(AND(ISNUMBER(F35),ISNUMBER(E35)),wb1*F35+wb2*E35,IF(ISNUMBER(F35),F35,G35)))/(pit_meta_2027+pfac_meta_2027),site_meta_2027)</f>
        <v>3.15406141077207</v>
      </c>
      <c r="H36" s="8" t="n">
        <f aca="false">IF(ISNUMBER(H35),(pit_meta_2028/(pit_meta_2028+pfac_meta_2028)*H35+pfac_meta_2028/(pit_meta_2028+pfac_meta_2028)*IF(AND(ISNUMBER(G35),ISNUMBER(F35)),wb1*G35+wb2*F35,IF(ISNUMBER(G35),G35,H35)))/(pit_meta_2028+pfac_meta_2028),site_meta_2028)</f>
        <v>3.47282806845288</v>
      </c>
      <c r="I36" s="8" t="n">
        <f aca="false">IF(ISNUMBER(I35),(pit_meta_2029/(pit_meta_2029+pfac_meta_2029)*I35+pfac_meta_2029/(pit_meta_2029+pfac_meta_2029)*IF(AND(ISNUMBER(H35),ISNUMBER(G35)),wb1*H35+wb2*G35,IF(ISNUMBER(H35),H35,I35)))/(pit_meta_2029+pfac_meta_2029),site_meta_2029)</f>
        <v>3.32152343881153</v>
      </c>
    </row>
    <row r="37" customFormat="false" ht="17.15" hidden="false" customHeight="false" outlineLevel="0" collapsed="false">
      <c r="A37" s="0" t="s">
        <v>1380</v>
      </c>
      <c r="B37" s="0" t="s">
        <v>1376</v>
      </c>
      <c r="E37" s="8" t="n">
        <f aca="false">(1-lag)*E36+lag*D36-inv_k*(E36-D36)</f>
        <v>1.08679380022269</v>
      </c>
      <c r="F37" s="8" t="n">
        <f aca="false">(1-lag)*F36+lag*E36-inv_k*(F36-E36)</f>
        <v>1.787553549498</v>
      </c>
      <c r="G37" s="8" t="n">
        <f aca="false">(1-lag)*G36+lag*F36-inv_k*(G36-F36)</f>
        <v>2.70141748511073</v>
      </c>
      <c r="H37" s="8" t="n">
        <f aca="false">(1-lag)*H36+lag*G36-inv_k*(H36-G36)</f>
        <v>3.32141390605449</v>
      </c>
      <c r="I37" s="8" t="n">
        <f aca="false">(1-lag)*I36+lag*H36-inv_k*(I36-H36)</f>
        <v>3.39339313789117</v>
      </c>
    </row>
    <row r="38" customFormat="false" ht="17.15" hidden="false" customHeight="false" outlineLevel="0" collapsed="false">
      <c r="A38" s="0" t="s">
        <v>1381</v>
      </c>
      <c r="B38" s="0" t="s">
        <v>1382</v>
      </c>
      <c r="E38" s="8" t="n">
        <f aca="false">E37*(1-nnv_meta_2025)</f>
        <v>0.827908576068328</v>
      </c>
      <c r="F38" s="8" t="n">
        <f aca="false">F37*(1-nnv_meta_2026)</f>
        <v>1.36174029839655</v>
      </c>
      <c r="G38" s="8" t="n">
        <f aca="false">G37*(1-nnv_meta_2027)</f>
        <v>1.96365533933832</v>
      </c>
      <c r="H38" s="8" t="n">
        <f aca="false">H37*(1-nnv_meta_2028)</f>
        <v>2.42588965159952</v>
      </c>
      <c r="I38" s="8" t="n">
        <f aca="false">I37*(1-nnv_meta_2029)</f>
        <v>2.46975391124396</v>
      </c>
    </row>
    <row r="39" customFormat="false" ht="17.15" hidden="false" customHeight="false" outlineLevel="0" collapsed="false">
      <c r="A39" s="0" t="s">
        <v>1383</v>
      </c>
      <c r="B39" s="0" t="s">
        <v>1384</v>
      </c>
      <c r="D39" s="8" t="n">
        <f aca="false">site_meta_2024</f>
        <v>0</v>
      </c>
      <c r="E39" s="8" t="n">
        <f aca="false">site_meta_2025</f>
        <v>1.50812</v>
      </c>
      <c r="F39" s="8" t="n">
        <f aca="false">site_meta_2026</f>
        <v>0.676</v>
      </c>
      <c r="G39" s="8" t="n">
        <f aca="false">site_meta_2027</f>
        <v>0.615</v>
      </c>
      <c r="H39" s="8" t="n">
        <f aca="false">site_meta_2028</f>
        <v>2.99433333333333</v>
      </c>
      <c r="I39" s="8" t="n">
        <f aca="false">site_meta_2029</f>
        <v>0.968</v>
      </c>
    </row>
    <row r="40" customFormat="false" ht="17.15" hidden="false" customHeight="false" outlineLevel="0" collapsed="false">
      <c r="A40" s="0" t="s">
        <v>1385</v>
      </c>
      <c r="B40" s="0" t="s">
        <v>1386</v>
      </c>
      <c r="D40" s="8" t="n">
        <f aca="false">main_meta_2024</f>
        <v>0</v>
      </c>
      <c r="E40" s="8" t="n">
        <f aca="false">main_meta_2025</f>
        <v>1.50812</v>
      </c>
      <c r="F40" s="8" t="n">
        <f aca="false">main_meta_2026</f>
        <v>0.676</v>
      </c>
      <c r="G40" s="8" t="n">
        <f aca="false">main_meta_2027</f>
        <v>0.615</v>
      </c>
      <c r="H40" s="8" t="n">
        <f aca="false">main_meta_2028</f>
        <v>2.73641202658016</v>
      </c>
      <c r="I40" s="8" t="n">
        <f aca="false">main_meta_2029</f>
        <v>3.01174825182942</v>
      </c>
    </row>
    <row r="41" customFormat="false" ht="17.15" hidden="false" customHeight="false" outlineLevel="0" collapsed="false">
      <c r="A41" s="0" t="s">
        <v>1387</v>
      </c>
      <c r="B41" s="0" t="s">
        <v>1388</v>
      </c>
      <c r="D41" s="8" t="str">
        <f aca="false">IF(ISNUMBER(ai2_orcl_2024),ai2_orcl_2024,"")</f>
        <v/>
      </c>
      <c r="E41" s="8" t="n">
        <f aca="false">IF(ISNUMBER(ai2_orcl_2025),ai2_orcl_2025,"")</f>
        <v>35.1132166666667</v>
      </c>
      <c r="F41" s="8" t="n">
        <f aca="false">IF(ISNUMBER(ai2_orcl_2026),ai2_orcl_2026,"")</f>
        <v>65.5785625</v>
      </c>
      <c r="G41" s="8" t="n">
        <f aca="false">IF(ISNUMBER(ai2_orcl_2027),ai2_orcl_2027,"")</f>
        <v>82.8207416666667</v>
      </c>
      <c r="H41" s="8" t="n">
        <f aca="false">IF(ISNUMBER(ai2_orcl_2028),ai2_orcl_2028,"")</f>
        <v>77.8278416666667</v>
      </c>
      <c r="I41" s="8" t="n">
        <f aca="false">IF(ISNUMBER(ai2_orcl_2029),ai2_orcl_2029,"")</f>
        <v>76.3278466666667</v>
      </c>
    </row>
    <row r="42" customFormat="false" ht="17.15" hidden="false" customHeight="false" outlineLevel="0" collapsed="false">
      <c r="A42" s="0" t="s">
        <v>1389</v>
      </c>
      <c r="B42" s="0" t="s">
        <v>1390</v>
      </c>
      <c r="D42" s="8" t="n">
        <f aca="false">IF(ISNUMBER(D41),(pit_orcl_2024/(pit_orcl_2024+pfac_orcl_2024)*D41+pfac_orcl_2024/(pit_orcl_2024+pfac_orcl_2024)*IF(AND(ISNUMBER(""),ISNUMBER("")),wb1*""+wb2*"",IF(ISNUMBER(""),"",D41)))/(pit_orcl_2024+pfac_orcl_2024),site_orcl_2024)</f>
        <v>0</v>
      </c>
      <c r="E42" s="8" t="n">
        <f aca="false">IF(ISNUMBER(E41),(pit_orcl_2025/(pit_orcl_2025+pfac_orcl_2025)*E41+pfac_orcl_2025/(pit_orcl_2025+pfac_orcl_2025)*IF(AND(ISNUMBER(D41),ISNUMBER("")),wb1*D41+wb2*"",IF(ISNUMBER(D41),D41,E41)))/(pit_orcl_2025+pfac_orcl_2025),site_orcl_2025)</f>
        <v>0.885776418247533</v>
      </c>
      <c r="F42" s="8" t="n">
        <f aca="false">IF(ISNUMBER(F41),(pit_orcl_2026/(pit_orcl_2026+pfac_orcl_2026)*F41+pfac_orcl_2026/(pit_orcl_2026+pfac_orcl_2026)*IF(AND(ISNUMBER(E41),ISNUMBER(D41)),wb1*E41+wb2*D41,IF(ISNUMBER(E41),E41,F41)))/(pit_orcl_2026+pfac_orcl_2026),site_orcl_2026)</f>
        <v>1.26669929939621</v>
      </c>
      <c r="G42" s="8" t="n">
        <f aca="false">IF(ISNUMBER(G41),(pit_orcl_2027/(pit_orcl_2027+pfac_orcl_2027)*G41+pfac_orcl_2027/(pit_orcl_2027+pfac_orcl_2027)*IF(AND(ISNUMBER(F41),ISNUMBER(E41)),wb1*F41+wb2*E41,IF(ISNUMBER(F41),F41,G41)))/(pit_orcl_2027+pfac_orcl_2027),site_orcl_2027)</f>
        <v>1.53296918960021</v>
      </c>
      <c r="H42" s="8" t="n">
        <f aca="false">IF(ISNUMBER(H41),(pit_orcl_2028/(pit_orcl_2028+pfac_orcl_2028)*H41+pfac_orcl_2028/(pit_orcl_2028+pfac_orcl_2028)*IF(AND(ISNUMBER(G41),ISNUMBER(F41)),wb1*G41+wb2*F41,IF(ISNUMBER(G41),G41,H41)))/(pit_orcl_2028+pfac_orcl_2028),site_orcl_2028)</f>
        <v>1.51024789659781</v>
      </c>
      <c r="I42" s="8" t="n">
        <f aca="false">IF(ISNUMBER(I41),(pit_orcl_2029/(pit_orcl_2029+pfac_orcl_2029)*I41+pfac_orcl_2029/(pit_orcl_2029+pfac_orcl_2029)*IF(AND(ISNUMBER(H41),ISNUMBER(G41)),wb1*H41+wb2*G41,IF(ISNUMBER(H41),H41,I41)))/(pit_orcl_2029+pfac_orcl_2029),site_orcl_2029)</f>
        <v>1.51737350859667</v>
      </c>
    </row>
    <row r="43" customFormat="false" ht="17.15" hidden="false" customHeight="false" outlineLevel="0" collapsed="false">
      <c r="A43" s="0" t="s">
        <v>1391</v>
      </c>
      <c r="B43" s="0" t="s">
        <v>1392</v>
      </c>
      <c r="E43" s="8" t="n">
        <f aca="false">(1-lag)*E42+lag*D42-inv_k*(E42-D42)</f>
        <v>0.465032619579955</v>
      </c>
      <c r="F43" s="8" t="n">
        <f aca="false">(1-lag)*F42+lag*E42-inv_k*(F42-E42)</f>
        <v>1.08576093085059</v>
      </c>
      <c r="G43" s="8" t="n">
        <f aca="false">(1-lag)*G42+lag*F42-inv_k*(G42-F42)</f>
        <v>1.40649099175331</v>
      </c>
      <c r="H43" s="8" t="n">
        <f aca="false">(1-lag)*H42+lag*G42-inv_k*(H42-G42)</f>
        <v>1.52104051077395</v>
      </c>
      <c r="I43" s="8" t="n">
        <f aca="false">(1-lag)*I42+lag*H42-inv_k*(I42-H42)</f>
        <v>1.51398884289721</v>
      </c>
    </row>
    <row r="44" customFormat="false" ht="17.15" hidden="false" customHeight="false" outlineLevel="0" collapsed="false">
      <c r="A44" s="0" t="s">
        <v>1393</v>
      </c>
      <c r="B44" s="0" t="s">
        <v>1394</v>
      </c>
      <c r="D44" s="8" t="str">
        <f aca="false">""</f>
        <v/>
      </c>
      <c r="E44" s="8" t="n">
        <f aca="false">(5/12*cap2_orcl_2025+7/12*gcap_orcl_2026)*ai_sh</f>
        <v>35.1132166666667</v>
      </c>
      <c r="F44" s="8" t="n">
        <f aca="false">(5/12*gcap_orcl_2026+7/12*gcap_orcl_2027)*ai_sh</f>
        <v>65.5785625</v>
      </c>
      <c r="G44" s="8" t="n">
        <f aca="false">(5/12*gcap_orcl_2027+7/12*gcap_orcl_2028)*ai_sh</f>
        <v>75.599189975</v>
      </c>
      <c r="H44" s="8" t="n">
        <f aca="false">(5/12*gcap_orcl_2028+7/12*gcap_orcl_2029)*ai_sh</f>
        <v>49.4435487791667</v>
      </c>
      <c r="I44" s="8" t="n">
        <f aca="false">(5/12*gcap_orcl_2029+7/12*gcap_orcl_2030)*ai_sh</f>
        <v>23.382754125</v>
      </c>
    </row>
    <row r="45" customFormat="false" ht="17.15" hidden="false" customHeight="false" outlineLevel="0" collapsed="false">
      <c r="A45" s="0" t="s">
        <v>1395</v>
      </c>
      <c r="B45" s="0" t="s">
        <v>1390</v>
      </c>
      <c r="D45" s="8" t="n">
        <f aca="false">IF(ISNUMBER(D44),(pit_orcl_2024/(pit_orcl_2024+pfac_orcl_2024)*D44+pfac_orcl_2024/(pit_orcl_2024+pfac_orcl_2024)*IF(AND(ISNUMBER(""),ISNUMBER("")),wb1*""+wb2*"",IF(ISNUMBER(""),"",D44)))/(pit_orcl_2024+pfac_orcl_2024),site_orcl_2024)</f>
        <v>0</v>
      </c>
      <c r="E45" s="8" t="n">
        <f aca="false">IF(ISNUMBER(E44),(pit_orcl_2025/(pit_orcl_2025+pfac_orcl_2025)*E44+pfac_orcl_2025/(pit_orcl_2025+pfac_orcl_2025)*IF(AND(ISNUMBER(D44),ISNUMBER("")),wb1*D44+wb2*"",IF(ISNUMBER(D44),D44,E44)))/(pit_orcl_2025+pfac_orcl_2025),site_orcl_2025)</f>
        <v>0.885776418247532</v>
      </c>
      <c r="F45" s="8" t="n">
        <f aca="false">IF(ISNUMBER(F44),(pit_orcl_2026/(pit_orcl_2026+pfac_orcl_2026)*F44+pfac_orcl_2026/(pit_orcl_2026+pfac_orcl_2026)*IF(AND(ISNUMBER(E44),ISNUMBER(D44)),wb1*E44+wb2*D44,IF(ISNUMBER(E44),E44,F44)))/(pit_orcl_2026+pfac_orcl_2026),site_orcl_2026)</f>
        <v>1.26669929939621</v>
      </c>
      <c r="G45" s="8" t="n">
        <f aca="false">IF(ISNUMBER(G44),(pit_orcl_2027/(pit_orcl_2027+pfac_orcl_2027)*G44+pfac_orcl_2027/(pit_orcl_2027+pfac_orcl_2027)*IF(AND(ISNUMBER(F44),ISNUMBER(E44)),wb1*F44+wb2*E44,IF(ISNUMBER(F44),F44,G44)))/(pit_orcl_2027+pfac_orcl_2027),site_orcl_2027)</f>
        <v>1.42175083118347</v>
      </c>
      <c r="H45" s="8" t="n">
        <f aca="false">IF(ISNUMBER(H44),(pit_orcl_2028/(pit_orcl_2028+pfac_orcl_2028)*H44+pfac_orcl_2028/(pit_orcl_2028+pfac_orcl_2028)*IF(AND(ISNUMBER(G44),ISNUMBER(F44)),wb1*G44+wb2*F44,IF(ISNUMBER(G44),G44,H44)))/(pit_orcl_2028+pfac_orcl_2028),site_orcl_2028)</f>
        <v>1.06923453221276</v>
      </c>
      <c r="I45" s="8" t="n">
        <f aca="false">IF(ISNUMBER(I44),(pit_orcl_2029/(pit_orcl_2029+pfac_orcl_2029)*I44+pfac_orcl_2029/(pit_orcl_2029+pfac_orcl_2029)*IF(AND(ISNUMBER(H44),ISNUMBER(G44)),wb1*H44+wb2*G44,IF(ISNUMBER(H44),H44,I44)))/(pit_orcl_2029+pfac_orcl_2029),site_orcl_2029)</f>
        <v>0.642469547070952</v>
      </c>
    </row>
    <row r="46" customFormat="false" ht="17.15" hidden="false" customHeight="false" outlineLevel="0" collapsed="false">
      <c r="A46" s="0" t="s">
        <v>1396</v>
      </c>
      <c r="B46" s="0" t="s">
        <v>1392</v>
      </c>
      <c r="E46" s="8" t="n">
        <f aca="false">(1-lag)*E45+lag*D45-inv_k*(E45-D45)</f>
        <v>0.465032619579954</v>
      </c>
      <c r="F46" s="8" t="n">
        <f aca="false">(1-lag)*F45+lag*E45-inv_k*(F45-E45)</f>
        <v>1.08576093085059</v>
      </c>
      <c r="G46" s="8" t="n">
        <f aca="false">(1-lag)*G45+lag*F45-inv_k*(G45-F45)</f>
        <v>1.34810135358452</v>
      </c>
      <c r="H46" s="8" t="n">
        <f aca="false">(1-lag)*H45+lag*G45-inv_k*(H45-G45)</f>
        <v>1.23667977422385</v>
      </c>
      <c r="I46" s="8" t="n">
        <f aca="false">(1-lag)*I45+lag*H45-inv_k*(I45-H45)</f>
        <v>0.845182915013309</v>
      </c>
    </row>
    <row r="47" customFormat="false" ht="17.15" hidden="false" customHeight="false" outlineLevel="0" collapsed="false">
      <c r="A47" s="0" t="s">
        <v>1397</v>
      </c>
      <c r="B47" s="0" t="s">
        <v>1398</v>
      </c>
      <c r="E47" s="8" t="n">
        <f aca="false">E46*(1-nnv_orcl_2025)</f>
        <v>0.354257168032127</v>
      </c>
      <c r="F47" s="8" t="n">
        <f aca="false">F46*(1-nnv_orcl_2026)</f>
        <v>0.827121746578734</v>
      </c>
      <c r="G47" s="8" t="n">
        <f aca="false">G46*(1-nnv_orcl_2027)</f>
        <v>0.979932363481744</v>
      </c>
      <c r="H47" s="8" t="n">
        <f aca="false">H46*(1-nnv_orcl_2028)</f>
        <v>0.90324444693971</v>
      </c>
      <c r="I47" s="8" t="n">
        <f aca="false">I46*(1-nnv_orcl_2029)</f>
        <v>0.615134682381041</v>
      </c>
    </row>
    <row r="48" customFormat="false" ht="17.15" hidden="false" customHeight="false" outlineLevel="0" collapsed="false">
      <c r="A48" s="0" t="s">
        <v>1399</v>
      </c>
      <c r="B48" s="0" t="s">
        <v>1400</v>
      </c>
      <c r="D48" s="8" t="n">
        <f aca="false">site_orcl_2024</f>
        <v>0</v>
      </c>
      <c r="E48" s="8" t="n">
        <f aca="false">site_orcl_2025</f>
        <v>0.816405</v>
      </c>
      <c r="F48" s="8" t="n">
        <f aca="false">site_orcl_2026</f>
        <v>1.54613</v>
      </c>
      <c r="G48" s="8" t="n">
        <f aca="false">site_orcl_2027</f>
        <v>0.944166666666667</v>
      </c>
      <c r="H48" s="8" t="n">
        <f aca="false">site_orcl_2028</f>
        <v>4.91166666666667</v>
      </c>
      <c r="I48" s="8" t="n">
        <f aca="false">site_orcl_2029</f>
        <v>0</v>
      </c>
    </row>
    <row r="49" customFormat="false" ht="17.15" hidden="false" customHeight="false" outlineLevel="0" collapsed="false">
      <c r="A49" s="0" t="s">
        <v>1401</v>
      </c>
      <c r="B49" s="0" t="s">
        <v>1402</v>
      </c>
      <c r="D49" s="8" t="n">
        <f aca="false">main_orcl_2024</f>
        <v>0</v>
      </c>
      <c r="E49" s="8" t="n">
        <f aca="false">main_orcl_2025</f>
        <v>0.816405</v>
      </c>
      <c r="F49" s="8" t="n">
        <f aca="false">main_orcl_2026</f>
        <v>1.54613</v>
      </c>
      <c r="G49" s="8" t="n">
        <f aca="false">main_orcl_2027</f>
        <v>1.53296918960021</v>
      </c>
      <c r="H49" s="8" t="n">
        <f aca="false">main_orcl_2028</f>
        <v>1.51024789659781</v>
      </c>
      <c r="I49" s="8" t="n">
        <f aca="false">main_orcl_2029</f>
        <v>1.51737350859666</v>
      </c>
    </row>
    <row r="50" customFormat="false" ht="17.15" hidden="false" customHeight="false" outlineLevel="0" collapsed="false">
      <c r="A50" s="0" t="s">
        <v>1403</v>
      </c>
      <c r="B50" s="0" t="s">
        <v>1404</v>
      </c>
      <c r="D50" s="8" t="str">
        <f aca="false">IF(ISNUMBER(ai2_crwv_2024),ai2_crwv_2024,"")</f>
        <v/>
      </c>
      <c r="E50" s="8" t="str">
        <f aca="false">IF(ISNUMBER(ai2_crwv_2025),ai2_crwv_2025,"")</f>
        <v/>
      </c>
      <c r="F50" s="8" t="n">
        <f aca="false">IF(ISNUMBER(ai2_crwv_2026),ai2_crwv_2026,"")</f>
        <v>31.45</v>
      </c>
      <c r="G50" s="8" t="n">
        <f aca="false">IF(ISNUMBER(ai2_crwv_2027),ai2_crwv_2027,"")</f>
        <v>39.5046</v>
      </c>
      <c r="H50" s="8" t="n">
        <f aca="false">IF(ISNUMBER(ai2_crwv_2028),ai2_crwv_2028,"")</f>
        <v>42.60965</v>
      </c>
      <c r="I50" s="8" t="n">
        <f aca="false">IF(ISNUMBER(ai2_crwv_2029),ai2_crwv_2029,"")</f>
        <v>46.870615</v>
      </c>
    </row>
    <row r="51" customFormat="false" ht="17.15" hidden="false" customHeight="false" outlineLevel="0" collapsed="false">
      <c r="A51" s="0" t="s">
        <v>1405</v>
      </c>
      <c r="B51" s="0" t="s">
        <v>1406</v>
      </c>
      <c r="D51" s="8" t="n">
        <f aca="false">IF(ISNUMBER(D50),(pit_crwv_2024/(pit_crwv_2024+pfac_crwv_2024)*D50+pfac_crwv_2024/(pit_crwv_2024+pfac_crwv_2024)*IF(AND(ISNUMBER(""),ISNUMBER("")),wb1*""+wb2*"",IF(ISNUMBER(""),"",D50)))/(pit_crwv_2024+pfac_crwv_2024),site_crwv_2024)</f>
        <v>0.29</v>
      </c>
      <c r="E51" s="8" t="n">
        <f aca="false">IF(ISNUMBER(E50),(pit_crwv_2025/(pit_crwv_2025+pfac_crwv_2025)*E50+pfac_crwv_2025/(pit_crwv_2025+pfac_crwv_2025)*IF(AND(ISNUMBER(D50),ISNUMBER("")),wb1*D50+wb2*"",IF(ISNUMBER(D50),D50,E50)))/(pit_crwv_2025+pfac_crwv_2025),site_crwv_2025)</f>
        <v>0.49</v>
      </c>
      <c r="F51" s="8" t="n">
        <f aca="false">IF(ISNUMBER(F50),(pit_crwv_2026/(pit_crwv_2026+pfac_crwv_2026)*F50+pfac_crwv_2026/(pit_crwv_2026+pfac_crwv_2026)*IF(AND(ISNUMBER(E50),ISNUMBER(D50)),wb1*E50+wb2*D50,IF(ISNUMBER(E50),E50,F50)))/(pit_crwv_2026+pfac_crwv_2026),site_crwv_2026)</f>
        <v>0.6824489639016</v>
      </c>
      <c r="G51" s="8" t="n">
        <f aca="false">IF(ISNUMBER(G50),(pit_crwv_2027/(pit_crwv_2027+pfac_crwv_2027)*G50+pfac_crwv_2027/(pit_crwv_2027+pfac_crwv_2027)*IF(AND(ISNUMBER(F50),ISNUMBER(E50)),wb1*F50+wb2*E50,IF(ISNUMBER(F50),F50,G50)))/(pit_crwv_2027+pfac_crwv_2027),site_crwv_2027)</f>
        <v>0.735222622408663</v>
      </c>
      <c r="H51" s="8" t="n">
        <f aca="false">IF(ISNUMBER(H50),(pit_crwv_2028/(pit_crwv_2028+pfac_crwv_2028)*H50+pfac_crwv_2028/(pit_crwv_2028+pfac_crwv_2028)*IF(AND(ISNUMBER(G50),ISNUMBER(F50)),wb1*G50+wb2*F50,IF(ISNUMBER(G50),G50,H50)))/(pit_crwv_2028+pfac_crwv_2028),site_crwv_2028)</f>
        <v>0.758042293208188</v>
      </c>
      <c r="I51" s="8" t="n">
        <f aca="false">IF(ISNUMBER(I50),(pit_crwv_2029/(pit_crwv_2029+pfac_crwv_2029)*I50+pfac_crwv_2029/(pit_crwv_2029+pfac_crwv_2029)*IF(AND(ISNUMBER(H50),ISNUMBER(G50)),wb1*H50+wb2*G50,IF(ISNUMBER(H50),H50,I50)))/(pit_crwv_2029+pfac_crwv_2029),site_crwv_2029)</f>
        <v>0.842675104355277</v>
      </c>
    </row>
    <row r="52" customFormat="false" ht="17.15" hidden="false" customHeight="false" outlineLevel="0" collapsed="false">
      <c r="A52" s="0" t="s">
        <v>1407</v>
      </c>
      <c r="B52" s="0" t="s">
        <v>1408</v>
      </c>
      <c r="E52" s="8" t="n">
        <f aca="false">(1-lag)*E51+lag*D51-inv_k*(E51-D51)</f>
        <v>0.395</v>
      </c>
      <c r="F52" s="8" t="n">
        <f aca="false">(1-lag)*F51+lag*E51-inv_k*(F51-E51)</f>
        <v>0.59103570604834</v>
      </c>
      <c r="G52" s="8" t="n">
        <f aca="false">(1-lag)*G51+lag*F51-inv_k*(G51-F51)</f>
        <v>0.710155134617808</v>
      </c>
      <c r="H52" s="8" t="n">
        <f aca="false">(1-lag)*H51+lag*G51-inv_k*(H51-G51)</f>
        <v>0.747202949578414</v>
      </c>
      <c r="I52" s="8" t="n">
        <f aca="false">(1-lag)*I51+lag*H51-inv_k*(I51-H51)</f>
        <v>0.80247451906041</v>
      </c>
    </row>
    <row r="53" customFormat="false" ht="17.15" hidden="false" customHeight="false" outlineLevel="0" collapsed="false">
      <c r="A53" s="0" t="s">
        <v>1409</v>
      </c>
      <c r="B53" s="0" t="s">
        <v>1410</v>
      </c>
      <c r="D53" s="8" t="str">
        <f aca="false">""</f>
        <v/>
      </c>
      <c r="E53" s="8" t="str">
        <f aca="false">""</f>
        <v/>
      </c>
      <c r="F53" s="8" t="n">
        <f aca="false">gcap_crwv_2026*ai_sh</f>
        <v>28.0313</v>
      </c>
      <c r="G53" s="8" t="n">
        <f aca="false">gcap_crwv_2027*ai_sh</f>
        <v>33.45858485</v>
      </c>
      <c r="H53" s="8" t="n">
        <f aca="false">gcap_crwv_2028*ai_sh</f>
        <v>27.6353649</v>
      </c>
      <c r="I53" s="8" t="n">
        <f aca="false">gcap_crwv_2029*ai_sh</f>
        <v>27.7951071</v>
      </c>
    </row>
    <row r="54" customFormat="false" ht="17.15" hidden="false" customHeight="false" outlineLevel="0" collapsed="false">
      <c r="A54" s="0" t="s">
        <v>1411</v>
      </c>
      <c r="B54" s="0" t="s">
        <v>1406</v>
      </c>
      <c r="D54" s="8" t="n">
        <f aca="false">IF(ISNUMBER(D53),(pit_crwv_2024/(pit_crwv_2024+pfac_crwv_2024)*D53+pfac_crwv_2024/(pit_crwv_2024+pfac_crwv_2024)*IF(AND(ISNUMBER(""),ISNUMBER("")),wb1*""+wb2*"",IF(ISNUMBER(""),"",D53)))/(pit_crwv_2024+pfac_crwv_2024),site_crwv_2024)</f>
        <v>0.29</v>
      </c>
      <c r="E54" s="8" t="n">
        <f aca="false">IF(ISNUMBER(E53),(pit_crwv_2025/(pit_crwv_2025+pfac_crwv_2025)*E53+pfac_crwv_2025/(pit_crwv_2025+pfac_crwv_2025)*IF(AND(ISNUMBER(D53),ISNUMBER("")),wb1*D53+wb2*"",IF(ISNUMBER(D53),D53,E53)))/(pit_crwv_2025+pfac_crwv_2025),site_crwv_2025)</f>
        <v>0.49</v>
      </c>
      <c r="F54" s="8" t="n">
        <f aca="false">IF(ISNUMBER(F53),(pit_crwv_2026/(pit_crwv_2026+pfac_crwv_2026)*F53+pfac_crwv_2026/(pit_crwv_2026+pfac_crwv_2026)*IF(AND(ISNUMBER(E53),ISNUMBER(D53)),wb1*E53+wb2*D53,IF(ISNUMBER(E53),E53,F53)))/(pit_crwv_2026+pfac_crwv_2026),site_crwv_2026)</f>
        <v>0.608264917068837</v>
      </c>
      <c r="G54" s="8" t="n">
        <f aca="false">IF(ISNUMBER(G53),(pit_crwv_2027/(pit_crwv_2027+pfac_crwv_2027)*G53+pfac_crwv_2027/(pit_crwv_2027+pfac_crwv_2027)*IF(AND(ISNUMBER(F53),ISNUMBER(E53)),wb1*F53+wb2*E53,IF(ISNUMBER(F53),F53,G53)))/(pit_crwv_2027+pfac_crwv_2027),site_crwv_2027)</f>
        <v>0.629490424531811</v>
      </c>
      <c r="H54" s="8" t="n">
        <f aca="false">IF(ISNUMBER(H53),(pit_crwv_2028/(pit_crwv_2028+pfac_crwv_2028)*H53+pfac_crwv_2028/(pit_crwv_2028+pfac_crwv_2028)*IF(AND(ISNUMBER(G53),ISNUMBER(F53)),wb1*G53+wb2*F53,IF(ISNUMBER(G53),G53,H53)))/(pit_crwv_2028+pfac_crwv_2028),site_crwv_2028)</f>
        <v>0.525250960902376</v>
      </c>
      <c r="I54" s="8" t="n">
        <f aca="false">IF(ISNUMBER(I53),(pit_crwv_2029/(pit_crwv_2029+pfac_crwv_2029)*I53+pfac_crwv_2029/(pit_crwv_2029+pfac_crwv_2029)*IF(AND(ISNUMBER(H53),ISNUMBER(G53)),wb1*H53+wb2*G53,IF(ISNUMBER(H53),H53,I53)))/(pit_crwv_2029+pfac_crwv_2029),site_crwv_2029)</f>
        <v>0.526654910671929</v>
      </c>
    </row>
    <row r="55" customFormat="false" ht="17.15" hidden="false" customHeight="false" outlineLevel="0" collapsed="false">
      <c r="A55" s="0" t="s">
        <v>1412</v>
      </c>
      <c r="B55" s="0" t="s">
        <v>1408</v>
      </c>
      <c r="E55" s="8" t="n">
        <f aca="false">(1-lag)*E54+lag*D54-inv_k*(E54-D54)</f>
        <v>0.395</v>
      </c>
      <c r="F55" s="8" t="n">
        <f aca="false">(1-lag)*F54+lag*E54-inv_k*(F54-E54)</f>
        <v>0.552089081461139</v>
      </c>
      <c r="G55" s="8" t="n">
        <f aca="false">(1-lag)*G54+lag*F54-inv_k*(G54-F54)</f>
        <v>0.619408308486898</v>
      </c>
      <c r="H55" s="8" t="n">
        <f aca="false">(1-lag)*H54+lag*G54-inv_k*(H54-G54)</f>
        <v>0.574764706126358</v>
      </c>
      <c r="I55" s="8" t="n">
        <f aca="false">(1-lag)*I54+lag*H54-inv_k*(I54-H54)</f>
        <v>0.525988034531391</v>
      </c>
    </row>
    <row r="56" customFormat="false" ht="17.15" hidden="false" customHeight="false" outlineLevel="0" collapsed="false">
      <c r="A56" s="0" t="s">
        <v>1413</v>
      </c>
      <c r="B56" s="0" t="s">
        <v>1414</v>
      </c>
      <c r="E56" s="8" t="n">
        <f aca="false">E55*(1-nnv_crwv_2025)</f>
        <v>0.395</v>
      </c>
      <c r="F56" s="8" t="n">
        <f aca="false">F55*(1-nnv_crwv_2026)</f>
        <v>0.552089081461139</v>
      </c>
      <c r="G56" s="8" t="n">
        <f aca="false">G55*(1-nnv_crwv_2027)</f>
        <v>0.619408308486898</v>
      </c>
      <c r="H56" s="8" t="n">
        <f aca="false">H55*(1-nnv_crwv_2028)</f>
        <v>0.574764706126358</v>
      </c>
      <c r="I56" s="8" t="n">
        <f aca="false">I55*(1-nnv_crwv_2029)</f>
        <v>0.525988034531391</v>
      </c>
    </row>
    <row r="57" customFormat="false" ht="17.15" hidden="false" customHeight="false" outlineLevel="0" collapsed="false">
      <c r="A57" s="0" t="s">
        <v>1415</v>
      </c>
      <c r="B57" s="0" t="s">
        <v>1416</v>
      </c>
      <c r="D57" s="8" t="n">
        <f aca="false">site_crwv_2024</f>
        <v>0.29</v>
      </c>
      <c r="E57" s="8" t="n">
        <f aca="false">site_crwv_2025</f>
        <v>0.49</v>
      </c>
      <c r="F57" s="8" t="n">
        <f aca="false">site_crwv_2026</f>
        <v>1</v>
      </c>
      <c r="G57" s="8" t="n">
        <f aca="false">site_crwv_2027</f>
        <v>1.5375</v>
      </c>
      <c r="H57" s="8" t="n">
        <f aca="false">site_crwv_2028</f>
        <v>1.5375</v>
      </c>
      <c r="I57" s="8" t="n">
        <f aca="false">site_crwv_2029</f>
        <v>1.5375</v>
      </c>
    </row>
    <row r="58" customFormat="false" ht="17.15" hidden="false" customHeight="false" outlineLevel="0" collapsed="false">
      <c r="A58" s="0" t="s">
        <v>1417</v>
      </c>
      <c r="B58" s="0" t="s">
        <v>1418</v>
      </c>
      <c r="D58" s="8" t="n">
        <f aca="false">main_crwv_2024</f>
        <v>0.29</v>
      </c>
      <c r="E58" s="8" t="n">
        <f aca="false">main_crwv_2025</f>
        <v>0.49</v>
      </c>
      <c r="F58" s="8" t="n">
        <f aca="false">main_crwv_2026</f>
        <v>1</v>
      </c>
      <c r="G58" s="8" t="n">
        <f aca="false">main_crwv_2027</f>
        <v>1.5375</v>
      </c>
      <c r="H58" s="8" t="n">
        <f aca="false">main_crwv_2028</f>
        <v>0.758042293208187</v>
      </c>
      <c r="I58" s="8" t="n">
        <f aca="false">main_crwv_2029</f>
        <v>0.842675104355277</v>
      </c>
    </row>
    <row r="59" customFormat="false" ht="17.15" hidden="false" customHeight="false" outlineLevel="0" collapsed="false">
      <c r="A59" s="0" t="s">
        <v>1419</v>
      </c>
      <c r="B59" s="0" t="s">
        <v>1420</v>
      </c>
      <c r="D59" s="8" t="str">
        <f aca="false">IF(ISNUMBER(ai2_nbis_2024),ai2_nbis_2024,"")</f>
        <v/>
      </c>
      <c r="E59" s="8" t="n">
        <f aca="false">IF(ISNUMBER(ai2_nbis_2025),ai2_nbis_2025,"")</f>
        <v>3.4561</v>
      </c>
      <c r="F59" s="8" t="n">
        <f aca="false">IF(ISNUMBER(ai2_nbis_2026),ai2_nbis_2026,"")</f>
        <v>19.125</v>
      </c>
      <c r="G59" s="8" t="n">
        <f aca="false">IF(ISNUMBER(ai2_nbis_2027),ai2_nbis_2027,"")</f>
        <v>23.15655</v>
      </c>
      <c r="H59" s="8" t="n">
        <f aca="false">IF(ISNUMBER(ai2_nbis_2028),ai2_nbis_2028,"")</f>
        <v>32.6315</v>
      </c>
      <c r="I59" s="8" t="n">
        <f aca="false">IF(ISNUMBER(ai2_nbis_2029),ai2_nbis_2029,"")</f>
        <v>35.89465</v>
      </c>
    </row>
    <row r="60" customFormat="false" ht="17.15" hidden="false" customHeight="false" outlineLevel="0" collapsed="false">
      <c r="A60" s="0" t="s">
        <v>1421</v>
      </c>
      <c r="B60" s="0" t="s">
        <v>1422</v>
      </c>
      <c r="D60" s="8" t="n">
        <f aca="false">IF(ISNUMBER(D59),(pit_nbis_2024/(pit_nbis_2024+pfac_nbis_2024)*D59+pfac_nbis_2024/(pit_nbis_2024+pfac_nbis_2024)*IF(AND(ISNUMBER(""),ISNUMBER("")),wb1*""+wb2*"",IF(ISNUMBER(""),"",D59)))/(pit_nbis_2024+pfac_nbis_2024),site_nbis_2024)</f>
        <v>0</v>
      </c>
      <c r="E60" s="8" t="n">
        <f aca="false">IF(ISNUMBER(E59),(pit_nbis_2025/(pit_nbis_2025+pfac_nbis_2025)*E59+pfac_nbis_2025/(pit_nbis_2025+pfac_nbis_2025)*IF(AND(ISNUMBER(D59),ISNUMBER("")),wb1*D59+wb2*"",IF(ISNUMBER(D59),D59,E59)))/(pit_nbis_2025+pfac_nbis_2025),site_nbis_2025)</f>
        <v>0.0893531926088847</v>
      </c>
      <c r="F60" s="8" t="n">
        <f aca="false">IF(ISNUMBER(F59),(pit_nbis_2026/(pit_nbis_2026+pfac_nbis_2026)*F59+pfac_nbis_2026/(pit_nbis_2026+pfac_nbis_2026)*IF(AND(ISNUMBER(E59),ISNUMBER(D59)),wb1*E59+wb2*D59,IF(ISNUMBER(E59),E59,F59)))/(pit_nbis_2026+pfac_nbis_2026),site_nbis_2026)</f>
        <v>0.321523721659491</v>
      </c>
      <c r="G60" s="8" t="n">
        <f aca="false">IF(ISNUMBER(G59),(pit_nbis_2027/(pit_nbis_2027+pfac_nbis_2027)*G59+pfac_nbis_2027/(pit_nbis_2027+pfac_nbis_2027)*IF(AND(ISNUMBER(F59),ISNUMBER(E59)),wb1*F59+wb2*E59,IF(ISNUMBER(F59),F59,G59)))/(pit_nbis_2027+pfac_nbis_2027),site_nbis_2027)</f>
        <v>0.396179366526544</v>
      </c>
      <c r="H60" s="8" t="n">
        <f aca="false">IF(ISNUMBER(H59),(pit_nbis_2028/(pit_nbis_2028+pfac_nbis_2028)*H59+pfac_nbis_2028/(pit_nbis_2028+pfac_nbis_2028)*IF(AND(ISNUMBER(G59),ISNUMBER(F59)),wb1*G59+wb2*F59,IF(ISNUMBER(G59),G59,H59)))/(pit_nbis_2028+pfac_nbis_2028),site_nbis_2028)</f>
        <v>0.554335434150153</v>
      </c>
      <c r="I60" s="8" t="n">
        <f aca="false">IF(ISNUMBER(I59),(pit_nbis_2029/(pit_nbis_2029+pfac_nbis_2029)*I59+pfac_nbis_2029/(pit_nbis_2029+pfac_nbis_2029)*IF(AND(ISNUMBER(H59),ISNUMBER(G59)),wb1*H59+wb2*G59,IF(ISNUMBER(H59),H59,I59)))/(pit_nbis_2029+pfac_nbis_2029),site_nbis_2029)</f>
        <v>0.629924193744744</v>
      </c>
    </row>
    <row r="61" customFormat="false" ht="17.15" hidden="false" customHeight="false" outlineLevel="0" collapsed="false">
      <c r="A61" s="0" t="s">
        <v>1423</v>
      </c>
      <c r="B61" s="0" t="s">
        <v>1424</v>
      </c>
      <c r="E61" s="8" t="n">
        <f aca="false">(1-lag)*E60+lag*D60-inv_k*(E60-D60)</f>
        <v>0.0469104261196645</v>
      </c>
      <c r="F61" s="8" t="n">
        <f aca="false">(1-lag)*F60+lag*E60-inv_k*(F60-E60)</f>
        <v>0.211242720360453</v>
      </c>
      <c r="G61" s="8" t="n">
        <f aca="false">(1-lag)*G60+lag*F60-inv_k*(G60-F60)</f>
        <v>0.360717935214694</v>
      </c>
      <c r="H61" s="8" t="n">
        <f aca="false">(1-lag)*H60+lag*G60-inv_k*(H60-G60)</f>
        <v>0.479211302028939</v>
      </c>
      <c r="I61" s="8" t="n">
        <f aca="false">(1-lag)*I60+lag*H60-inv_k*(I60-H60)</f>
        <v>0.594019532937313</v>
      </c>
    </row>
    <row r="62" customFormat="false" ht="17.15" hidden="false" customHeight="false" outlineLevel="0" collapsed="false">
      <c r="A62" s="0" t="s">
        <v>1425</v>
      </c>
      <c r="B62" s="0" t="s">
        <v>1426</v>
      </c>
      <c r="D62" s="8" t="str">
        <f aca="false">""</f>
        <v/>
      </c>
      <c r="E62" s="8" t="n">
        <f aca="false">cap2_nbis_2025*ai_sh</f>
        <v>3.4561</v>
      </c>
      <c r="F62" s="8" t="n">
        <f aca="false">gcap_nbis_2026*ai_sh</f>
        <v>22.1392615</v>
      </c>
      <c r="G62" s="8" t="n">
        <f aca="false">gcap_nbis_2027*ai_sh</f>
        <v>23.45782145</v>
      </c>
      <c r="H62" s="8" t="n">
        <f aca="false">gcap_nbis_2028*ai_sh</f>
        <v>24.7763814</v>
      </c>
      <c r="I62" s="8" t="n">
        <f aca="false">gcap_nbis_2029*ai_sh</f>
        <v>24.7763814</v>
      </c>
    </row>
    <row r="63" customFormat="false" ht="17.15" hidden="false" customHeight="false" outlineLevel="0" collapsed="false">
      <c r="A63" s="0" t="s">
        <v>1427</v>
      </c>
      <c r="B63" s="0" t="s">
        <v>1422</v>
      </c>
      <c r="D63" s="8" t="n">
        <f aca="false">IF(ISNUMBER(D62),(pit_nbis_2024/(pit_nbis_2024+pfac_nbis_2024)*D62+pfac_nbis_2024/(pit_nbis_2024+pfac_nbis_2024)*IF(AND(ISNUMBER(""),ISNUMBER("")),wb1*""+wb2*"",IF(ISNUMBER(""),"",D62)))/(pit_nbis_2024+pfac_nbis_2024),site_nbis_2024)</f>
        <v>0</v>
      </c>
      <c r="E63" s="8" t="n">
        <f aca="false">IF(ISNUMBER(E62),(pit_nbis_2025/(pit_nbis_2025+pfac_nbis_2025)*E62+pfac_nbis_2025/(pit_nbis_2025+pfac_nbis_2025)*IF(AND(ISNUMBER(D62),ISNUMBER("")),wb1*D62+wb2*"",IF(ISNUMBER(D62),D62,E62)))/(pit_nbis_2025+pfac_nbis_2025),site_nbis_2025)</f>
        <v>0.0893531926088847</v>
      </c>
      <c r="F63" s="8" t="n">
        <f aca="false">IF(ISNUMBER(F62),(pit_nbis_2026/(pit_nbis_2026+pfac_nbis_2026)*F62+pfac_nbis_2026/(pit_nbis_2026+pfac_nbis_2026)*IF(AND(ISNUMBER(E62),ISNUMBER(D62)),wb1*E62+wb2*D62,IF(ISNUMBER(E62),E62,F62)))/(pit_nbis_2026+pfac_nbis_2026),site_nbis_2026)</f>
        <v>0.368948888862446</v>
      </c>
      <c r="G63" s="8" t="n">
        <f aca="false">IF(ISNUMBER(G62),(pit_nbis_2027/(pit_nbis_2027+pfac_nbis_2027)*G62+pfac_nbis_2027/(pit_nbis_2027+pfac_nbis_2027)*IF(AND(ISNUMBER(F62),ISNUMBER(E62)),wb1*F62+wb2*E62,IF(ISNUMBER(F62),F62,G62)))/(pit_nbis_2027+pfac_nbis_2027),site_nbis_2027)</f>
        <v>0.407957040143515</v>
      </c>
      <c r="H63" s="8" t="n">
        <f aca="false">IF(ISNUMBER(H62),(pit_nbis_2028/(pit_nbis_2028+pfac_nbis_2028)*H62+pfac_nbis_2028/(pit_nbis_2028+pfac_nbis_2028)*IF(AND(ISNUMBER(G62),ISNUMBER(F62)),wb1*G62+wb2*F62,IF(ISNUMBER(G62),G62,H62)))/(pit_nbis_2028+pfac_nbis_2028),site_nbis_2028)</f>
        <v>0.450206743161261</v>
      </c>
      <c r="I63" s="8" t="n">
        <f aca="false">IF(ISNUMBER(I62),(pit_nbis_2029/(pit_nbis_2029+pfac_nbis_2029)*I62+pfac_nbis_2029/(pit_nbis_2029+pfac_nbis_2029)*IF(AND(ISNUMBER(H62),ISNUMBER(G62)),wb1*H62+wb2*G62,IF(ISNUMBER(H62),H62,I62)))/(pit_nbis_2029+pfac_nbis_2029),site_nbis_2029)</f>
        <v>0.45593532101388</v>
      </c>
    </row>
    <row r="64" customFormat="false" ht="17.15" hidden="false" customHeight="false" outlineLevel="0" collapsed="false">
      <c r="A64" s="0" t="s">
        <v>1428</v>
      </c>
      <c r="B64" s="0" t="s">
        <v>1424</v>
      </c>
      <c r="E64" s="8" t="n">
        <f aca="false">(1-lag)*E63+lag*D63-inv_k*(E63-D63)</f>
        <v>0.0469104261196644</v>
      </c>
      <c r="F64" s="8" t="n">
        <f aca="false">(1-lag)*F63+lag*E63-inv_k*(F63-E63)</f>
        <v>0.236140933142005</v>
      </c>
      <c r="G64" s="8" t="n">
        <f aca="false">(1-lag)*G63+lag*F63-inv_k*(G63-F63)</f>
        <v>0.389428168285007</v>
      </c>
      <c r="H64" s="8" t="n">
        <f aca="false">(1-lag)*H63+lag*G63-inv_k*(H63-G63)</f>
        <v>0.430138134227831</v>
      </c>
      <c r="I64" s="8" t="n">
        <f aca="false">(1-lag)*I63+lag*H63-inv_k*(I63-H63)</f>
        <v>0.453214246533886</v>
      </c>
    </row>
    <row r="65" customFormat="false" ht="17.15" hidden="false" customHeight="false" outlineLevel="0" collapsed="false">
      <c r="A65" s="0" t="s">
        <v>1429</v>
      </c>
      <c r="B65" s="0" t="s">
        <v>1430</v>
      </c>
      <c r="E65" s="8" t="n">
        <f aca="false">E64*(1-nnv_nbis_2025)</f>
        <v>0.0469104261196644</v>
      </c>
      <c r="F65" s="8" t="n">
        <f aca="false">F64*(1-nnv_nbis_2026)</f>
        <v>0.236140933142005</v>
      </c>
      <c r="G65" s="8" t="n">
        <f aca="false">G64*(1-nnv_nbis_2027)</f>
        <v>0.389428168285007</v>
      </c>
      <c r="H65" s="8" t="n">
        <f aca="false">H64*(1-nnv_nbis_2028)</f>
        <v>0.430138134227831</v>
      </c>
      <c r="I65" s="8" t="n">
        <f aca="false">I64*(1-nnv_nbis_2029)</f>
        <v>0.453214246533886</v>
      </c>
    </row>
    <row r="66" customFormat="false" ht="17.15" hidden="false" customHeight="false" outlineLevel="0" collapsed="false">
      <c r="A66" s="0" t="s">
        <v>1431</v>
      </c>
      <c r="B66" s="0" t="s">
        <v>1432</v>
      </c>
      <c r="D66" s="8" t="n">
        <f aca="false">site_nbis_2024</f>
        <v>0</v>
      </c>
      <c r="E66" s="8" t="n">
        <f aca="false">site_nbis_2025</f>
        <v>0</v>
      </c>
      <c r="F66" s="8" t="n">
        <f aca="false">site_nbis_2026</f>
        <v>0.73</v>
      </c>
      <c r="G66" s="8" t="n">
        <f aca="false">site_nbis_2027</f>
        <v>0.403</v>
      </c>
      <c r="H66" s="8" t="n">
        <f aca="false">site_nbis_2028</f>
        <v>0</v>
      </c>
      <c r="I66" s="8" t="n">
        <f aca="false">site_nbis_2029</f>
        <v>0</v>
      </c>
    </row>
    <row r="67" customFormat="false" ht="17.15" hidden="false" customHeight="false" outlineLevel="0" collapsed="false">
      <c r="A67" s="0" t="s">
        <v>1433</v>
      </c>
      <c r="B67" s="0" t="s">
        <v>1434</v>
      </c>
      <c r="D67" s="8" t="n">
        <f aca="false">main_nbis_2024</f>
        <v>0</v>
      </c>
      <c r="E67" s="8" t="n">
        <f aca="false">main_nbis_2025</f>
        <v>0</v>
      </c>
      <c r="F67" s="8" t="n">
        <f aca="false">main_nbis_2026</f>
        <v>0.73</v>
      </c>
      <c r="G67" s="8" t="n">
        <f aca="false">main_nbis_2027</f>
        <v>0.396179366526544</v>
      </c>
      <c r="H67" s="8" t="n">
        <f aca="false">main_nbis_2028</f>
        <v>0.554335434150153</v>
      </c>
      <c r="I67" s="8" t="n">
        <f aca="false">main_nbis_2029</f>
        <v>0.629924193744744</v>
      </c>
    </row>
    <row r="68" customFormat="false" ht="17.15" hidden="false" customHeight="false" outlineLevel="0" collapsed="false">
      <c r="A68" s="0" t="s">
        <v>1435</v>
      </c>
      <c r="B68" s="0" t="s">
        <v>1436</v>
      </c>
      <c r="D68" s="8" t="str">
        <f aca="false">IF(ISNUMBER(gai_xai_2024),gai_xai_2024,"")</f>
        <v/>
      </c>
      <c r="E68" s="8" t="str">
        <f aca="false">IF(ISNUMBER(gai_xai_2025),gai_xai_2025,"")</f>
        <v/>
      </c>
      <c r="F68" s="8" t="n">
        <f aca="false">IF(ISNUMBER(gai_xai_2026),gai_xai_2026,"")</f>
        <v>74.058119</v>
      </c>
      <c r="G68" s="8" t="n">
        <f aca="false">IF(ISNUMBER(gai_xai_2027),gai_xai_2027,"")</f>
        <v>136.252477</v>
      </c>
      <c r="H68" s="8" t="n">
        <f aca="false">IF(ISNUMBER(gai_xai_2028),gai_xai_2028,"")</f>
        <v>144.12072</v>
      </c>
      <c r="I68" s="8" t="n">
        <f aca="false">IF(ISNUMBER(gai_xai_2029),gai_xai_2029,"")</f>
        <v>111.172527</v>
      </c>
    </row>
    <row r="69" customFormat="false" ht="17.15" hidden="false" customHeight="false" outlineLevel="0" collapsed="false">
      <c r="A69" s="0" t="s">
        <v>1437</v>
      </c>
      <c r="B69" s="0" t="s">
        <v>1438</v>
      </c>
      <c r="D69" s="8" t="n">
        <f aca="false">IF(ISNUMBER(D68),(pitN_2024/(pitN_2024+pfacN_2024)*D68+pfacN_2024/(pitN_2024+pfacN_2024)*IF(AND(ISNUMBER(""),ISNUMBER("")),wb1*""+wb2*"",IF(ISNUMBER(""),"",D68)))/(pitN_2024+pfacN_2024),site_xai_2024)</f>
        <v>0</v>
      </c>
      <c r="E69" s="8" t="n">
        <f aca="false">IF(ISNUMBER(E68),(pitN_2025/(pitN_2025+pfacN_2025)*E68+pfacN_2025/(pitN_2025+pfacN_2025)*IF(AND(ISNUMBER(D68),ISNUMBER("")),wb1*D68+wb2*"",IF(ISNUMBER(D68),D68,E68)))/(pitN_2025+pfacN_2025),site_xai_2025)</f>
        <v>0</v>
      </c>
      <c r="F69" s="8" t="n">
        <f aca="false">IF(ISNUMBER(F68),(pitN_2026/(pitN_2026+pfacN_2026)*F68+pfacN_2026/(pitN_2026+pfacN_2026)*IF(AND(ISNUMBER(E68),ISNUMBER(D68)),wb1*E68+wb2*D68,IF(ISNUMBER(E68),E68,F68)))/(pitN_2026+pfacN_2026),site_xai_2026)</f>
        <v>1.60702342066936</v>
      </c>
      <c r="G69" s="8" t="n">
        <f aca="false">IF(ISNUMBER(G68),(pitN_2027/(pitN_2027+pfacN_2027)*G68+pfacN_2027/(pitN_2027+pfacN_2027)*IF(AND(ISNUMBER(F68),ISNUMBER(E68)),wb1*F68+wb2*E68,IF(ISNUMBER(F68),F68,G68)))/(pitN_2027+pfacN_2027),site_xai_2027)</f>
        <v>2.36823509451502</v>
      </c>
      <c r="H69" s="8" t="n">
        <f aca="false">IF(ISNUMBER(H68),(pitN_2028/(pitN_2028+pfacN_2028)*H68+pfacN_2028/(pitN_2028+pfacN_2028)*IF(AND(ISNUMBER(G68),ISNUMBER(F68)),wb1*G68+wb2*F68,IF(ISNUMBER(G68),G68,H68)))/(pitN_2028+pfacN_2028),site_xai_2028)</f>
        <v>2.49948463520021</v>
      </c>
      <c r="I69" s="8" t="n">
        <f aca="false">IF(ISNUMBER(I68),(pitN_2029/(pitN_2029+pfacN_2029)*I68+pfacN_2029/(pitN_2029+pfacN_2029)*IF(AND(ISNUMBER(H68),ISNUMBER(G68)),wb1*H68+wb2*G68,IF(ISNUMBER(H68),H68,I68)))/(pitN_2029+pfacN_2029),site_xai_2029)</f>
        <v>2.18470428873966</v>
      </c>
    </row>
    <row r="70" customFormat="false" ht="17.15" hidden="false" customHeight="false" outlineLevel="0" collapsed="false">
      <c r="A70" s="0" t="s">
        <v>1439</v>
      </c>
      <c r="B70" s="0" t="s">
        <v>1440</v>
      </c>
      <c r="E70" s="8" t="n">
        <f aca="false">IF(ISNUMBER(gai_xai_2024),(1-lag)*E69+lag*D69-inv_k*(E69-D69),E69)</f>
        <v>0</v>
      </c>
      <c r="F70" s="8" t="n">
        <f aca="false">IF(ISNUMBER(gai_xai_2025),(1-lag)*F69+lag*E69-inv_k*(F69-E69),F69)</f>
        <v>1.60702342066936</v>
      </c>
      <c r="G70" s="8" t="n">
        <f aca="false">IF(ISNUMBER(gai_xai_2026),(1-lag)*G69+lag*F69-inv_k*(G69-F69),G69)</f>
        <v>2.00665954943833</v>
      </c>
      <c r="H70" s="8" t="n">
        <f aca="false">IF(ISNUMBER(gai_xai_2027),(1-lag)*H69+lag*G69-inv_k*(H69-G69),H69)</f>
        <v>2.43714110337474</v>
      </c>
      <c r="I70" s="8" t="n">
        <f aca="false">IF(ISNUMBER(gai_xai_2028),(1-lag)*I69+lag*H69-inv_k*(I69-H69),I69)</f>
        <v>2.33422495330842</v>
      </c>
    </row>
    <row r="71" customFormat="false" ht="17.15" hidden="false" customHeight="false" outlineLevel="0" collapsed="false">
      <c r="A71" s="0" t="s">
        <v>1441</v>
      </c>
      <c r="B71" s="0" t="s">
        <v>1442</v>
      </c>
      <c r="E71" s="8" t="n">
        <f aca="false">E70*(1-nnv_xai_2025)</f>
        <v>0</v>
      </c>
      <c r="F71" s="8" t="n">
        <f aca="false">F70*(1-nnv_xai_2026)</f>
        <v>1.60702342066936</v>
      </c>
      <c r="G71" s="8" t="n">
        <f aca="false">G70*(1-nnv_xai_2027)</f>
        <v>2.00665954943833</v>
      </c>
      <c r="H71" s="8" t="n">
        <f aca="false">H70*(1-nnv_xai_2028)</f>
        <v>2.43714110337474</v>
      </c>
      <c r="I71" s="8" t="n">
        <f aca="false">I70*(1-nnv_xai_2029)</f>
        <v>2.33422495330842</v>
      </c>
    </row>
    <row r="72" customFormat="false" ht="17.15" hidden="false" customHeight="false" outlineLevel="0" collapsed="false">
      <c r="A72" s="0" t="s">
        <v>1443</v>
      </c>
      <c r="B72" s="0" t="s">
        <v>1444</v>
      </c>
      <c r="D72" s="8" t="n">
        <f aca="false">site_xai_2024</f>
        <v>0</v>
      </c>
      <c r="E72" s="8" t="n">
        <f aca="false">site_xai_2025</f>
        <v>0</v>
      </c>
      <c r="F72" s="8" t="n">
        <f aca="false">site_xai_2026</f>
        <v>1.4302</v>
      </c>
      <c r="G72" s="8" t="n">
        <f aca="false">site_xai_2027</f>
        <v>0.585</v>
      </c>
      <c r="H72" s="8" t="n">
        <f aca="false">site_xai_2028</f>
        <v>0</v>
      </c>
      <c r="I72" s="8" t="n">
        <f aca="false">site_xai_2029</f>
        <v>0</v>
      </c>
    </row>
    <row r="73" customFormat="false" ht="17.15" hidden="false" customHeight="false" outlineLevel="0" collapsed="false">
      <c r="A73" s="0" t="s">
        <v>1445</v>
      </c>
      <c r="B73" s="0" t="s">
        <v>1446</v>
      </c>
      <c r="D73" s="8" t="str">
        <f aca="false">IF(ISNUMBER(gai_ant_2024),gai_ant_2024,"")</f>
        <v/>
      </c>
      <c r="E73" s="8" t="str">
        <f aca="false">IF(ISNUMBER(gai_ant_2025),gai_ant_2025,"")</f>
        <v/>
      </c>
      <c r="F73" s="8" t="n">
        <f aca="false">IF(ISNUMBER(gai_ant_2026),gai_ant_2026,"")</f>
        <v>16.666667</v>
      </c>
      <c r="G73" s="8" t="n">
        <f aca="false">IF(ISNUMBER(gai_ant_2027),gai_ant_2027,"")</f>
        <v>16.666667</v>
      </c>
      <c r="H73" s="8" t="n">
        <f aca="false">IF(ISNUMBER(gai_ant_2028),gai_ant_2028,"")</f>
        <v>16.666667</v>
      </c>
      <c r="I73" s="8" t="n">
        <f aca="false">IF(ISNUMBER(gai_ant_2029),gai_ant_2029,"")</f>
        <v>0</v>
      </c>
    </row>
    <row r="74" customFormat="false" ht="17.15" hidden="false" customHeight="false" outlineLevel="0" collapsed="false">
      <c r="A74" s="0" t="s">
        <v>1447</v>
      </c>
      <c r="B74" s="0" t="s">
        <v>1448</v>
      </c>
      <c r="D74" s="8" t="n">
        <f aca="false">IF(ISNUMBER(D73),(pitN_2024/(pitN_2024+pfacN_2024)*D73+pfacN_2024/(pitN_2024+pfacN_2024)*IF(AND(ISNUMBER(""),ISNUMBER("")),wb1*""+wb2*"",IF(ISNUMBER(""),"",D73)))/(pitN_2024+pfacN_2024),site_ant_2024)</f>
        <v>0</v>
      </c>
      <c r="E74" s="8" t="n">
        <f aca="false">IF(ISNUMBER(E73),(pitN_2025/(pitN_2025+pfacN_2025)*E73+pfacN_2025/(pitN_2025+pfacN_2025)*IF(AND(ISNUMBER(D73),ISNUMBER("")),wb1*D73+wb2*"",IF(ISNUMBER(D73),D73,E73)))/(pitN_2025+pfacN_2025),site_ant_2025)</f>
        <v>0</v>
      </c>
      <c r="F74" s="8" t="n">
        <f aca="false">IF(ISNUMBER(F73),(pitN_2026/(pitN_2026+pfacN_2026)*F73+pfacN_2026/(pitN_2026+pfacN_2026)*IF(AND(ISNUMBER(E73),ISNUMBER(D73)),wb1*E73+wb2*D73,IF(ISNUMBER(E73),E73,F73)))/(pitN_2026+pfacN_2026),site_ant_2026)</f>
        <v>0.36165817570248</v>
      </c>
      <c r="G74" s="8" t="n">
        <f aca="false">IF(ISNUMBER(G73),(pitN_2027/(pitN_2027+pfacN_2027)*G73+pfacN_2027/(pitN_2027+pfacN_2027)*IF(AND(ISNUMBER(F73),ISNUMBER(E73)),wb1*F73+wb2*E73,IF(ISNUMBER(F73),F73,G73)))/(pitN_2027+pfacN_2027),site_ant_2027)</f>
        <v>0.326730833032632</v>
      </c>
      <c r="H74" s="8" t="n">
        <f aca="false">IF(ISNUMBER(H73),(pitN_2028/(pitN_2028+pfacN_2028)*H73+pfacN_2028/(pitN_2028+pfacN_2028)*IF(AND(ISNUMBER(G73),ISNUMBER(F73)),wb1*G73+wb2*F73,IF(ISNUMBER(G73),G73,H73)))/(pitN_2028+pfacN_2028),site_ant_2028)</f>
        <v>0.308627002270922</v>
      </c>
      <c r="I74" s="8" t="n">
        <f aca="false">IF(ISNUMBER(I73),(pitN_2029/(pitN_2029+pfacN_2029)*I73+pfacN_2029/(pitN_2029+pfacN_2029)*IF(AND(ISNUMBER(H73),ISNUMBER(G73)),wb1*H73+wb2*G73,IF(ISNUMBER(H73),H73,I73)))/(pitN_2029+pfacN_2029),site_ant_2029)</f>
        <v>0.0724095248404747</v>
      </c>
    </row>
    <row r="75" customFormat="false" ht="17.15" hidden="false" customHeight="false" outlineLevel="0" collapsed="false">
      <c r="A75" s="0" t="s">
        <v>1449</v>
      </c>
      <c r="B75" s="0" t="s">
        <v>1450</v>
      </c>
      <c r="E75" s="8" t="n">
        <f aca="false">IF(ISNUMBER(gai_ant_2024),(1-lag)*E74+lag*D74-inv_k*(E74-D74),E74)</f>
        <v>0</v>
      </c>
      <c r="F75" s="8" t="n">
        <f aca="false">IF(ISNUMBER(gai_ant_2025),(1-lag)*F74+lag*E74-inv_k*(F74-E74),F74)</f>
        <v>0.36165817570248</v>
      </c>
      <c r="G75" s="8" t="n">
        <f aca="false">IF(ISNUMBER(gai_ant_2026),(1-lag)*G74+lag*F74-inv_k*(G74-F74),G74)</f>
        <v>0.34332132080081</v>
      </c>
      <c r="H75" s="8" t="n">
        <f aca="false">IF(ISNUMBER(gai_ant_2027),(1-lag)*H74+lag*G74-inv_k*(H74-G74),H74)</f>
        <v>0.317226321882734</v>
      </c>
      <c r="I75" s="8" t="n">
        <f aca="false">IF(ISNUMBER(gai_ant_2028),(1-lag)*I74+lag*H74-inv_k*(I74-H74),I74)</f>
        <v>0.184612826619937</v>
      </c>
    </row>
    <row r="76" customFormat="false" ht="17.15" hidden="false" customHeight="false" outlineLevel="0" collapsed="false">
      <c r="A76" s="0" t="s">
        <v>1451</v>
      </c>
      <c r="B76" s="0" t="s">
        <v>1452</v>
      </c>
      <c r="E76" s="8" t="n">
        <f aca="false">E75*(1-nnv_ant_2025)</f>
        <v>0</v>
      </c>
      <c r="F76" s="8" t="n">
        <f aca="false">F75*(1-nnv_ant_2026)</f>
        <v>0.275507557374688</v>
      </c>
      <c r="G76" s="8" t="n">
        <f aca="false">G75*(1-nnv_ant_2027)</f>
        <v>0.249559628755998</v>
      </c>
      <c r="H76" s="8" t="n">
        <f aca="false">H75*(1-nnv_ant_2028)</f>
        <v>0.231695318089535</v>
      </c>
      <c r="I76" s="8" t="n">
        <f aca="false">I75*(1-nnv_ant_2029)</f>
        <v>0.134363521137354</v>
      </c>
    </row>
    <row r="77" customFormat="false" ht="17.15" hidden="false" customHeight="false" outlineLevel="0" collapsed="false">
      <c r="A77" s="0" t="s">
        <v>1453</v>
      </c>
      <c r="B77" s="0" t="s">
        <v>1454</v>
      </c>
      <c r="D77" s="8" t="n">
        <f aca="false">site_ant_2024</f>
        <v>0</v>
      </c>
      <c r="E77" s="8" t="n">
        <f aca="false">site_ant_2025</f>
        <v>0</v>
      </c>
      <c r="F77" s="8" t="n">
        <f aca="false">site_ant_2026</f>
        <v>0</v>
      </c>
      <c r="G77" s="8" t="n">
        <f aca="false">site_ant_2027</f>
        <v>0</v>
      </c>
      <c r="H77" s="8" t="n">
        <f aca="false">site_ant_2028</f>
        <v>0</v>
      </c>
      <c r="I77" s="8" t="n">
        <f aca="false">site_ant_2029</f>
        <v>0</v>
      </c>
    </row>
    <row r="78" customFormat="false" ht="17.15" hidden="false" customHeight="false" outlineLevel="0" collapsed="false">
      <c r="A78" s="0" t="s">
        <v>1455</v>
      </c>
      <c r="B78" s="5" t="s">
        <v>1456</v>
      </c>
      <c r="D78" s="9" t="n">
        <f aca="false">D6+D15+D24+D33+D42+D51+D60</f>
        <v>2.88602836343531</v>
      </c>
      <c r="E78" s="9" t="n">
        <f aca="false">E6+E15+E24+E33+E42+E51+E60</f>
        <v>9.64396540227264</v>
      </c>
      <c r="F78" s="9" t="n">
        <f aca="false">F6+F15+F24+F33+F42+F51+F60</f>
        <v>15.2175288078156</v>
      </c>
      <c r="G78" s="9" t="n">
        <f aca="false">G6+G15+G24+G33+G42+G51+G60</f>
        <v>19.096009969242</v>
      </c>
      <c r="H78" s="9" t="n">
        <f aca="false">H6+H15+H24+H33+H42+H51+H60</f>
        <v>21.3980787384407</v>
      </c>
      <c r="I78" s="9" t="n">
        <f aca="false">I6+I15+I24+I33+I42+I51+I60</f>
        <v>23.901946773905</v>
      </c>
    </row>
    <row r="79" customFormat="false" ht="17.15" hidden="false" customHeight="false" outlineLevel="0" collapsed="false">
      <c r="A79" s="0" t="s">
        <v>1457</v>
      </c>
      <c r="B79" s="5" t="s">
        <v>1458</v>
      </c>
      <c r="D79" s="9" t="n">
        <f aca="false">D7+D16+D25+D34+D43+D52+D61</f>
        <v>0</v>
      </c>
      <c r="E79" s="9" t="n">
        <f aca="false">E7+E16+E25+E34+E43+E52+E61</f>
        <v>6.43394530882491</v>
      </c>
      <c r="F79" s="9" t="n">
        <f aca="false">F7+F16+F25+F34+F43+F52+F61</f>
        <v>12.5700861901827</v>
      </c>
      <c r="G79" s="9" t="n">
        <f aca="false">G7+G16+G25+G34+G43+G52+G61</f>
        <v>17.2537314175645</v>
      </c>
      <c r="H79" s="9" t="n">
        <f aca="false">H7+H16+H25+H34+H43+H52+H61</f>
        <v>20.3045960730713</v>
      </c>
      <c r="I79" s="9" t="n">
        <f aca="false">I7+I16+I25+I34+I43+I52+I61</f>
        <v>22.7126094570595</v>
      </c>
    </row>
    <row r="80" customFormat="false" ht="17.15" hidden="false" customHeight="false" outlineLevel="0" collapsed="false">
      <c r="A80" s="0" t="s">
        <v>1459</v>
      </c>
      <c r="B80" s="5" t="s">
        <v>1460</v>
      </c>
      <c r="D80" s="9" t="n">
        <f aca="false">D9+D18+D27+D36+D45+D54+D63</f>
        <v>3.89616485653111</v>
      </c>
      <c r="E80" s="9" t="n">
        <f aca="false">E9+E18+E27+E36+E45+E54+E63</f>
        <v>9.54752388940888</v>
      </c>
      <c r="F80" s="9" t="n">
        <f aca="false">F9+F18+F27+F36+F45+F54+F63</f>
        <v>15.0143331625148</v>
      </c>
      <c r="G80" s="9" t="n">
        <f aca="false">G9+G18+G27+G36+G45+G54+G63</f>
        <v>19.2346553461083</v>
      </c>
      <c r="H80" s="9" t="n">
        <f aca="false">H9+H18+H27+H36+H45+H54+H63</f>
        <v>20.7180010831606</v>
      </c>
      <c r="I80" s="9" t="n">
        <f aca="false">I9+I18+I27+I36+I45+I54+I63</f>
        <v>20.371284771225</v>
      </c>
    </row>
    <row r="81" customFormat="false" ht="17.15" hidden="false" customHeight="false" outlineLevel="0" collapsed="false">
      <c r="A81" s="0" t="s">
        <v>1461</v>
      </c>
      <c r="B81" s="5" t="s">
        <v>1462</v>
      </c>
      <c r="D81" s="9" t="n">
        <f aca="false">D10+D19+D28+D37+D46+D55+D64</f>
        <v>0</v>
      </c>
      <c r="E81" s="9" t="n">
        <f aca="false">E10+E19+E28+E37+E46+E55+E64</f>
        <v>6.86312834879194</v>
      </c>
      <c r="F81" s="9" t="n">
        <f aca="false">F10+F19+F28+F37+F46+F55+F64</f>
        <v>12.4175987577895</v>
      </c>
      <c r="G81" s="9" t="n">
        <f aca="false">G10+G19+G28+G37+G46+G55+G64</f>
        <v>17.2300023089014</v>
      </c>
      <c r="H81" s="9" t="n">
        <f aca="false">H10+H19+H28+H37+H46+H55+H64</f>
        <v>20.0134118580608</v>
      </c>
      <c r="I81" s="9" t="n">
        <f aca="false">I10+I19+I28+I37+I46+I55+I64</f>
        <v>20.5359750193944</v>
      </c>
    </row>
    <row r="82" customFormat="false" ht="15" hidden="false" customHeight="false" outlineLevel="0" collapsed="false">
      <c r="A82" s="0" t="s">
        <v>1463</v>
      </c>
      <c r="B82" s="5" t="s">
        <v>1464</v>
      </c>
      <c r="D82" s="9" t="n">
        <f aca="false">D12+D21+D30+D39+D48+D57+D66</f>
        <v>1.61980834349181</v>
      </c>
      <c r="E82" s="9" t="n">
        <f aca="false">E12+E21+E30+E39+E48+E57+E66</f>
        <v>8.74912429484715</v>
      </c>
      <c r="F82" s="9" t="n">
        <f aca="false">F12+F21+F30+F39+F48+F57+F66</f>
        <v>6.54276412772586</v>
      </c>
      <c r="G82" s="9" t="n">
        <f aca="false">G12+G21+G30+G39+G48+G57+G66</f>
        <v>6.52966666666667</v>
      </c>
      <c r="H82" s="9" t="n">
        <f aca="false">H12+H21+H30+H39+H48+H57+H66</f>
        <v>13.6908333333333</v>
      </c>
      <c r="I82" s="9" t="n">
        <f aca="false">I12+I21+I30+I39+I48+I57+I66</f>
        <v>2.7115</v>
      </c>
    </row>
    <row r="83" customFormat="false" ht="17.15" hidden="false" customHeight="false" outlineLevel="0" collapsed="false">
      <c r="A83" s="0" t="s">
        <v>1465</v>
      </c>
      <c r="B83" s="5" t="s">
        <v>1466</v>
      </c>
      <c r="D83" s="9" t="n">
        <f aca="false">D13+D22+D31+D40+D49+D58+D67</f>
        <v>1.61980834349181</v>
      </c>
      <c r="E83" s="9" t="n">
        <f aca="false">E13+E22+E31+E40+E49+E58+E67</f>
        <v>8.74912429484715</v>
      </c>
      <c r="F83" s="9" t="n">
        <f aca="false">F13+F22+F31+F40+F49+F58+F67</f>
        <v>6.54276412772586</v>
      </c>
      <c r="G83" s="9" t="n">
        <f aca="false">G13+G22+G31+G40+G49+G58+G67</f>
        <v>17.8887754681966</v>
      </c>
      <c r="H83" s="9" t="n">
        <f aca="false">H13+H22+H31+H40+H49+H58+H67</f>
        <v>21.3980787384407</v>
      </c>
      <c r="I83" s="9" t="n">
        <f aca="false">I13+I22+I31+I40+I49+I58+I67</f>
        <v>23.9019467739051</v>
      </c>
    </row>
    <row r="84" customFormat="false" ht="17.15" hidden="false" customHeight="false" outlineLevel="0" collapsed="false">
      <c r="A84" s="0" t="s">
        <v>1467</v>
      </c>
      <c r="B84" s="5" t="s">
        <v>1468</v>
      </c>
      <c r="D84" s="9" t="n">
        <f aca="false">D11+D20+D29+D38+D47+D56+D65</f>
        <v>0</v>
      </c>
      <c r="E84" s="9" t="n">
        <f aca="false">E11+E20+E29+E38+E47+E56+E65</f>
        <v>3.66983636375636</v>
      </c>
      <c r="F84" s="9" t="n">
        <f aca="false">F11+F20+F29+F38+F47+F56+F65</f>
        <v>6.87471784330533</v>
      </c>
      <c r="G84" s="9" t="n">
        <f aca="false">G11+G20+G29+G38+G47+G56+G65</f>
        <v>8.99073884878788</v>
      </c>
      <c r="H84" s="9" t="n">
        <f aca="false">H11+H20+H29+H38+H47+H56+H65</f>
        <v>10.222672614753</v>
      </c>
      <c r="I84" s="9" t="n">
        <f aca="false">I11+I20+I29+I38+I47+I56+I65</f>
        <v>10.2779427458603</v>
      </c>
    </row>
    <row r="85" customFormat="false" ht="17.15" hidden="false" customHeight="false" outlineLevel="0" collapsed="false">
      <c r="A85" s="0" t="s">
        <v>1469</v>
      </c>
      <c r="B85" s="5" t="s">
        <v>1470</v>
      </c>
      <c r="D85" s="9" t="n">
        <f aca="false">D71+D76</f>
        <v>0</v>
      </c>
      <c r="E85" s="9" t="n">
        <f aca="false">E71+E76</f>
        <v>0</v>
      </c>
      <c r="F85" s="9" t="n">
        <f aca="false">F71+F76</f>
        <v>1.88253097804405</v>
      </c>
      <c r="G85" s="9" t="n">
        <f aca="false">G71+G76</f>
        <v>2.25621917819433</v>
      </c>
      <c r="H85" s="9" t="n">
        <f aca="false">H71+H76</f>
        <v>2.66883642146428</v>
      </c>
      <c r="I85" s="9" t="n">
        <f aca="false">I71+I76</f>
        <v>2.46858847444577</v>
      </c>
    </row>
    <row r="86" customFormat="false" ht="15" hidden="false" customHeight="false" outlineLevel="0" collapsed="false">
      <c r="A86" s="0" t="s">
        <v>1471</v>
      </c>
      <c r="B86" s="5" t="s">
        <v>1472</v>
      </c>
      <c r="D86" s="9" t="n">
        <f aca="false">D69+D74</f>
        <v>0</v>
      </c>
      <c r="E86" s="9" t="n">
        <f aca="false">E69+E74</f>
        <v>0</v>
      </c>
      <c r="F86" s="9" t="n">
        <f aca="false">F69+F74</f>
        <v>1.96868159637184</v>
      </c>
      <c r="G86" s="9" t="n">
        <f aca="false">G69+G74</f>
        <v>2.69496592754765</v>
      </c>
      <c r="H86" s="9" t="n">
        <f aca="false">H69+H74</f>
        <v>2.80811163747113</v>
      </c>
      <c r="I86" s="9" t="n">
        <f aca="false">I69+I74</f>
        <v>2.25711381358013</v>
      </c>
    </row>
    <row r="87" customFormat="false" ht="15" hidden="false" customHeight="false" outlineLevel="0" collapsed="false">
      <c r="A87" s="0" t="s">
        <v>1473</v>
      </c>
      <c r="B87" s="5" t="s">
        <v>1474</v>
      </c>
      <c r="D87" s="9" t="n">
        <f aca="false">D70+D75</f>
        <v>0</v>
      </c>
      <c r="E87" s="9" t="n">
        <f aca="false">E70+E75</f>
        <v>0</v>
      </c>
      <c r="F87" s="9" t="n">
        <f aca="false">F70+F75</f>
        <v>1.96868159637184</v>
      </c>
      <c r="G87" s="9" t="n">
        <f aca="false">G70+G75</f>
        <v>2.34998087023914</v>
      </c>
      <c r="H87" s="9" t="n">
        <f aca="false">H70+H75</f>
        <v>2.75436742525748</v>
      </c>
      <c r="I87" s="9" t="n">
        <f aca="false">I70+I75</f>
        <v>2.51883777992835</v>
      </c>
    </row>
    <row r="88" customFormat="false" ht="15" hidden="false" customHeight="false" outlineLevel="0" collapsed="false">
      <c r="A88" s="0" t="s">
        <v>1475</v>
      </c>
      <c r="B88" s="5" t="s">
        <v>1476</v>
      </c>
      <c r="D88" s="9" t="n">
        <f aca="false">D72+D77</f>
        <v>0</v>
      </c>
      <c r="E88" s="9" t="n">
        <f aca="false">E72+E77</f>
        <v>0</v>
      </c>
      <c r="F88" s="9" t="n">
        <f aca="false">F72+F77</f>
        <v>1.4302</v>
      </c>
      <c r="G88" s="9" t="n">
        <f aca="false">G72+G77</f>
        <v>0.585</v>
      </c>
      <c r="H88" s="9" t="n">
        <f aca="false">H72+H77</f>
        <v>0</v>
      </c>
      <c r="I88" s="9" t="n">
        <f aca="false">I72+I77</f>
        <v>0</v>
      </c>
    </row>
    <row r="90" customFormat="false" ht="17.15" hidden="false" customHeight="false" outlineLevel="0" collapsed="false">
      <c r="A90" s="6" t="s">
        <v>1477</v>
      </c>
    </row>
    <row r="91" customFormat="false" ht="15" hidden="false" customHeight="false" outlineLevel="0" collapsed="false">
      <c r="A91" s="2" t="s">
        <v>1</v>
      </c>
      <c r="B91" s="2" t="s">
        <v>2</v>
      </c>
      <c r="C91" s="7"/>
      <c r="D91" s="7" t="s">
        <v>1317</v>
      </c>
      <c r="E91" s="7" t="s">
        <v>1318</v>
      </c>
      <c r="F91" s="7" t="s">
        <v>1319</v>
      </c>
      <c r="G91" s="7" t="s">
        <v>1320</v>
      </c>
      <c r="H91" s="7" t="s">
        <v>1321</v>
      </c>
      <c r="I91" s="7" t="s">
        <v>1322</v>
      </c>
    </row>
    <row r="92" customFormat="false" ht="17.15" hidden="false" customHeight="false" outlineLevel="0" collapsed="false">
      <c r="A92" s="0" t="s">
        <v>1478</v>
      </c>
      <c r="B92" s="0" t="s">
        <v>1324</v>
      </c>
      <c r="D92" s="8" t="n">
        <f aca="false">IF(ISNUMBER(ai2_msft_2024),ai2_msft_2024/ai_sh*ai_sh_lo,"")</f>
        <v>40.8855</v>
      </c>
      <c r="E92" s="8" t="n">
        <f aca="false">IF(ISNUMBER(ai2_msft_2025),ai2_msft_2025/ai_sh*ai_sh_lo,"")</f>
        <v>67.687125</v>
      </c>
      <c r="F92" s="8" t="n">
        <f aca="false">IF(ISNUMBER(ai2_msft_2026),ai2_msft_2026/ai_sh*ai_sh_lo,"")</f>
        <v>115.790625</v>
      </c>
      <c r="G92" s="8" t="n">
        <f aca="false">IF(ISNUMBER(ai2_msft_2027),ai2_msft_2027/ai_sh*ai_sh_lo,"")</f>
        <v>153.60525</v>
      </c>
      <c r="H92" s="8" t="n">
        <f aca="false">IF(ISNUMBER(ai2_msft_2028),ai2_msft_2028/ai_sh*ai_sh_lo,"")</f>
        <v>175.485</v>
      </c>
      <c r="I92" s="8" t="n">
        <f aca="false">IF(ISNUMBER(ai2_msft_2029),ai2_msft_2029/ai_sh*ai_sh_lo,"")</f>
        <v>197.7987375</v>
      </c>
    </row>
    <row r="93" customFormat="false" ht="17.15" hidden="false" customHeight="false" outlineLevel="0" collapsed="false">
      <c r="A93" s="0" t="s">
        <v>1479</v>
      </c>
      <c r="B93" s="0" t="s">
        <v>1326</v>
      </c>
      <c r="D93" s="8" t="n">
        <f aca="false">IF(ISNUMBER(D92),(pit_msft_2024/(pit_msft_2024+pfac_msft_2024)*D92+pfac_msft_2024/(pit_msft_2024+pfac_msft_2024)*IF(AND(ISNUMBER(""),ISNUMBER("")),wb1*""+wb2*"",IF(ISNUMBER(""),"",D92)))/(pit_msft_2024+pfac_msft_2024),site_msft_2024)</f>
        <v>1.11725295877367</v>
      </c>
      <c r="E93" s="8" t="n">
        <f aca="false">IF(ISNUMBER(E92),(pit_msft_2025/(pit_msft_2025+pfac_msft_2025)*E92+pfac_msft_2025/(pit_msft_2025+pfac_msft_2025)*IF(AND(ISNUMBER(D92),ISNUMBER("")),wb1*D92+wb2*"",IF(ISNUMBER(D92),D92,E92)))/(pit_msft_2025+pfac_msft_2025),site_msft_2025)</f>
        <v>1.67129463512081</v>
      </c>
      <c r="F93" s="8" t="n">
        <f aca="false">IF(ISNUMBER(F92),(pit_msft_2026/(pit_msft_2026+pfac_msft_2026)*F92+pfac_msft_2026/(pit_msft_2026+pfac_msft_2026)*IF(AND(ISNUMBER(E92),ISNUMBER(D92)),wb1*E92+wb2*D92,IF(ISNUMBER(E92),E92,F92)))/(pit_msft_2026+pfac_msft_2026),site_msft_2026)</f>
        <v>2.41130277596739</v>
      </c>
      <c r="G93" s="8" t="n">
        <f aca="false">IF(ISNUMBER(G92),(pit_msft_2027/(pit_msft_2027+pfac_msft_2027)*G92+pfac_msft_2027/(pit_msft_2027+pfac_msft_2027)*IF(AND(ISNUMBER(F92),ISNUMBER(E92)),wb1*F92+wb2*E92,IF(ISNUMBER(F92),F92,G92)))/(pit_msft_2027+pfac_msft_2027),site_msft_2027)</f>
        <v>3.14512567883291</v>
      </c>
      <c r="H93" s="8" t="n">
        <f aca="false">IF(ISNUMBER(H92),(pit_msft_2028/(pit_msft_2028+pfac_msft_2028)*H92+pfac_msft_2028/(pit_msft_2028+pfac_msft_2028)*IF(AND(ISNUMBER(G92),ISNUMBER(F92)),wb1*G92+wb2*F92,IF(ISNUMBER(G92),G92,H92)))/(pit_msft_2028+pfac_msft_2028),site_msft_2028)</f>
        <v>3.58762832174786</v>
      </c>
      <c r="I93" s="8" t="n">
        <f aca="false">IF(ISNUMBER(I92),(pit_msft_2029/(pit_msft_2029+pfac_msft_2029)*I92+pfac_msft_2029/(pit_msft_2029+pfac_msft_2029)*IF(AND(ISNUMBER(H92),ISNUMBER(G92)),wb1*H92+wb2*G92,IF(ISNUMBER(H92),H92,I92)))/(pit_msft_2029+pfac_msft_2029),site_msft_2029)</f>
        <v>4.1156655871515</v>
      </c>
    </row>
    <row r="94" customFormat="false" ht="17.15" hidden="false" customHeight="false" outlineLevel="0" collapsed="false">
      <c r="A94" s="0" t="s">
        <v>1480</v>
      </c>
      <c r="B94" s="0" t="s">
        <v>1328</v>
      </c>
      <c r="E94" s="8" t="n">
        <f aca="false">(1-lag)*E93+lag*D93-inv_k*(E93-D93)</f>
        <v>1.40812483885592</v>
      </c>
      <c r="F94" s="8" t="n">
        <f aca="false">(1-lag)*F93+lag*E93-inv_k*(F93-E93)</f>
        <v>2.05979890906527</v>
      </c>
      <c r="G94" s="8" t="n">
        <f aca="false">(1-lag)*G93+lag*F93-inv_k*(G93-F93)</f>
        <v>2.79655979997179</v>
      </c>
      <c r="H94" s="8" t="n">
        <f aca="false">(1-lag)*H93+lag*G93-inv_k*(H93-G93)</f>
        <v>3.37743956636325</v>
      </c>
      <c r="I94" s="8" t="n">
        <f aca="false">(1-lag)*I93+lag*H93-inv_k*(I93-H93)</f>
        <v>3.86484788608477</v>
      </c>
    </row>
    <row r="95" customFormat="false" ht="17.15" hidden="false" customHeight="false" outlineLevel="0" collapsed="false">
      <c r="A95" s="0" t="s">
        <v>1481</v>
      </c>
      <c r="B95" s="0" t="s">
        <v>1330</v>
      </c>
      <c r="D95" s="8" t="str">
        <f aca="false">""</f>
        <v/>
      </c>
      <c r="E95" s="8" t="n">
        <f aca="false">(6/12*cap2_msft_2025+6/12*gcap_msft_2026)*ai_sh_lo</f>
        <v>78.694125</v>
      </c>
      <c r="F95" s="8" t="n">
        <f aca="false">(6/12*gcap_msft_2026+6/12*gcap_msft_2027)*ai_sh_lo</f>
        <v>131.0625</v>
      </c>
      <c r="G95" s="8" t="n">
        <f aca="false">(6/12*gcap_msft_2027+6/12*gcap_msft_2028)*ai_sh_lo</f>
        <v>164.064331125</v>
      </c>
      <c r="H95" s="8" t="n">
        <f aca="false">(6/12*gcap_msft_2028+6/12*gcap_msft_2029)*ai_sh_lo</f>
        <v>178.939287</v>
      </c>
      <c r="I95" s="8" t="n">
        <f aca="false">(6/12*gcap_msft_2029+6/12*gcap_msft_2030)*ai_sh_lo</f>
        <v>174.363291</v>
      </c>
    </row>
    <row r="96" customFormat="false" ht="17.15" hidden="false" customHeight="false" outlineLevel="0" collapsed="false">
      <c r="A96" s="0" t="s">
        <v>1482</v>
      </c>
      <c r="B96" s="0" t="s">
        <v>1326</v>
      </c>
      <c r="D96" s="8" t="n">
        <f aca="false">IF(ISNUMBER(D95),(pit_msft_2024/(pit_msft_2024+pfac_msft_2024)*D95+pfac_msft_2024/(pit_msft_2024+pfac_msft_2024)*IF(AND(ISNUMBER(""),ISNUMBER("")),wb1*""+wb2*"",IF(ISNUMBER(""),"",D95)))/(pit_msft_2024+pfac_msft_2024),site_msft_2024)</f>
        <v>0</v>
      </c>
      <c r="E96" s="8" t="n">
        <f aca="false">IF(ISNUMBER(E95),(pit_msft_2025/(pit_msft_2025+pfac_msft_2025)*E95+pfac_msft_2025/(pit_msft_2025+pfac_msft_2025)*IF(AND(ISNUMBER(D95),ISNUMBER("")),wb1*D95+wb2*"",IF(ISNUMBER(D95),D95,E95)))/(pit_msft_2025+pfac_msft_2025),site_msft_2025)</f>
        <v>2.21979207881634</v>
      </c>
      <c r="F96" s="8" t="n">
        <f aca="false">IF(ISNUMBER(F95),(pit_msft_2026/(pit_msft_2026+pfac_msft_2026)*F95+pfac_msft_2026/(pit_msft_2026+pfac_msft_2026)*IF(AND(ISNUMBER(E95),ISNUMBER(D95)),wb1*E95+wb2*D95,IF(ISNUMBER(E95),E95,F95)))/(pit_msft_2026+pfac_msft_2026),site_msft_2026)</f>
        <v>2.84333837400458</v>
      </c>
      <c r="G96" s="8" t="n">
        <f aca="false">IF(ISNUMBER(G95),(pit_msft_2027/(pit_msft_2027+pfac_msft_2027)*G95+pfac_msft_2027/(pit_msft_2027+pfac_msft_2027)*IF(AND(ISNUMBER(F95),ISNUMBER(E95)),wb1*F95+wb2*E95,IF(ISNUMBER(F95),F95,G95)))/(pit_msft_2027+pfac_msft_2027),site_msft_2027)</f>
        <v>3.39833247919696</v>
      </c>
      <c r="H96" s="8" t="n">
        <f aca="false">IF(ISNUMBER(H95),(pit_msft_2028/(pit_msft_2028+pfac_msft_2028)*H95+pfac_msft_2028/(pit_msft_2028+pfac_msft_2028)*IF(AND(ISNUMBER(G95),ISNUMBER(F95)),wb1*G95+wb2*F95,IF(ISNUMBER(G95),G95,H95)))/(pit_msft_2028+pfac_msft_2028),site_msft_2028)</f>
        <v>3.71066522444237</v>
      </c>
      <c r="I96" s="8" t="n">
        <f aca="false">IF(ISNUMBER(I95),(pit_msft_2029/(pit_msft_2029+pfac_msft_2029)*I95+pfac_msft_2029/(pit_msft_2029+pfac_msft_2029)*IF(AND(ISNUMBER(H95),ISNUMBER(G95)),wb1*H95+wb2*G95,IF(ISNUMBER(H95),H95,I95)))/(pit_msft_2029+pfac_msft_2029),site_msft_2029)</f>
        <v>3.76401991722572</v>
      </c>
    </row>
    <row r="97" customFormat="false" ht="17.15" hidden="false" customHeight="false" outlineLevel="0" collapsed="false">
      <c r="A97" s="0" t="s">
        <v>1483</v>
      </c>
      <c r="B97" s="0" t="s">
        <v>1328</v>
      </c>
      <c r="E97" s="8" t="n">
        <f aca="false">(1-lag)*E96+lag*D96-inv_k*(E96-D96)</f>
        <v>1.16539084137858</v>
      </c>
      <c r="F97" s="8" t="n">
        <f aca="false">(1-lag)*F96+lag*E96-inv_k*(F96-E96)</f>
        <v>2.54715388379016</v>
      </c>
      <c r="G97" s="8" t="n">
        <f aca="false">(1-lag)*G96+lag*F96-inv_k*(G96-F96)</f>
        <v>3.13471027923058</v>
      </c>
      <c r="H97" s="8" t="n">
        <f aca="false">(1-lag)*H96+lag*G96-inv_k*(H96-G96)</f>
        <v>3.5623071704508</v>
      </c>
      <c r="I97" s="8" t="n">
        <f aca="false">(1-lag)*I96+lag*H96-inv_k*(I96-H96)</f>
        <v>3.73867643815363</v>
      </c>
    </row>
    <row r="98" customFormat="false" ht="17.15" hidden="false" customHeight="false" outlineLevel="0" collapsed="false">
      <c r="A98" s="0" t="s">
        <v>1484</v>
      </c>
      <c r="B98" s="0" t="s">
        <v>1334</v>
      </c>
      <c r="E98" s="8" t="n">
        <f aca="false">E97*(1-nnv_msft_2025)</f>
        <v>0.88778301077086</v>
      </c>
      <c r="F98" s="8" t="n">
        <f aca="false">F97*(1-nnv_msft_2026)</f>
        <v>1.94039618603226</v>
      </c>
      <c r="G98" s="8" t="n">
        <f aca="false">G97*(1-nnv_msft_2027)</f>
        <v>2.27861506450475</v>
      </c>
      <c r="H98" s="8" t="n">
        <f aca="false">H97*(1-nnv_msft_2028)</f>
        <v>2.6018329377325</v>
      </c>
      <c r="I98" s="8" t="n">
        <f aca="false">I97*(1-nnv_msft_2029)</f>
        <v>2.72105540996756</v>
      </c>
    </row>
    <row r="99" customFormat="false" ht="17.15" hidden="false" customHeight="false" outlineLevel="0" collapsed="false">
      <c r="A99" s="0" t="s">
        <v>1485</v>
      </c>
      <c r="B99" s="0" t="s">
        <v>1336</v>
      </c>
      <c r="D99" s="8" t="n">
        <f aca="false">site_msft_2024</f>
        <v>0</v>
      </c>
      <c r="E99" s="8" t="n">
        <f aca="false">site_msft_2025</f>
        <v>2.13527</v>
      </c>
      <c r="F99" s="8" t="n">
        <f aca="false">site_msft_2026</f>
        <v>0.770955</v>
      </c>
      <c r="G99" s="8" t="n">
        <f aca="false">site_msft_2027</f>
        <v>1.04</v>
      </c>
      <c r="H99" s="8" t="n">
        <f aca="false">site_msft_2028</f>
        <v>1.67</v>
      </c>
      <c r="I99" s="8" t="n">
        <f aca="false">site_msft_2029</f>
        <v>0.144</v>
      </c>
    </row>
    <row r="100" customFormat="false" ht="17.15" hidden="false" customHeight="false" outlineLevel="0" collapsed="false">
      <c r="A100" s="0" t="s">
        <v>1486</v>
      </c>
      <c r="B100" s="0" t="s">
        <v>1338</v>
      </c>
      <c r="D100" s="8" t="n">
        <f aca="false">main_msft_2024</f>
        <v>0</v>
      </c>
      <c r="E100" s="8" t="n">
        <f aca="false">main_msft_2025</f>
        <v>2.13527</v>
      </c>
      <c r="F100" s="8" t="n">
        <f aca="false">main_msft_2026</f>
        <v>0.770955</v>
      </c>
      <c r="G100" s="8" t="n">
        <f aca="false">main_msft_2027</f>
        <v>3.56447576934396</v>
      </c>
      <c r="H100" s="8" t="n">
        <f aca="false">main_msft_2028</f>
        <v>4.06597876464757</v>
      </c>
      <c r="I100" s="8" t="n">
        <f aca="false">main_msft_2029</f>
        <v>4.6644209987717</v>
      </c>
    </row>
    <row r="101" customFormat="false" ht="17.15" hidden="false" customHeight="false" outlineLevel="0" collapsed="false">
      <c r="A101" s="0" t="s">
        <v>1487</v>
      </c>
      <c r="B101" s="0" t="s">
        <v>1340</v>
      </c>
      <c r="D101" s="8" t="str">
        <f aca="false">IF(ISNUMBER(ai2_googl_2024),ai2_googl_2024/ai_sh*ai_sh_lo,"")</f>
        <v/>
      </c>
      <c r="E101" s="8" t="n">
        <f aca="false">IF(ISNUMBER(ai2_googl_2025),ai2_googl_2025/ai_sh*ai_sh_lo,"")</f>
        <v>68.58525</v>
      </c>
      <c r="F101" s="8" t="n">
        <f aca="false">IF(ISNUMBER(ai2_googl_2026),ai2_googl_2026/ai_sh*ai_sh_lo,"")</f>
        <v>150</v>
      </c>
      <c r="G101" s="8" t="n">
        <f aca="false">IF(ISNUMBER(ai2_googl_2027),ai2_googl_2027/ai_sh*ai_sh_lo,"")</f>
        <v>225.73425</v>
      </c>
      <c r="H101" s="8" t="n">
        <f aca="false">IF(ISNUMBER(ai2_googl_2028),ai2_googl_2028/ai_sh*ai_sh_lo,"")</f>
        <v>254.58825</v>
      </c>
      <c r="I101" s="8" t="n">
        <f aca="false">IF(ISNUMBER(ai2_googl_2029),ai2_googl_2029/ai_sh*ai_sh_lo,"")</f>
        <v>280.047075</v>
      </c>
    </row>
    <row r="102" customFormat="false" ht="17.15" hidden="false" customHeight="false" outlineLevel="0" collapsed="false">
      <c r="A102" s="0" t="s">
        <v>1488</v>
      </c>
      <c r="B102" s="0" t="s">
        <v>1342</v>
      </c>
      <c r="D102" s="8" t="n">
        <f aca="false">IF(ISNUMBER(D101),(pit_googl_2024/(pit_googl_2024+pfac_googl_2024)*D101+pfac_googl_2024/(pit_googl_2024+pfac_googl_2024)*IF(AND(ISNUMBER(""),ISNUMBER("")),wb1*""+wb2*"",IF(ISNUMBER(""),"",D101)))/(pit_googl_2024+pfac_googl_2024),site_googl_2024)</f>
        <v>1.32980834349181</v>
      </c>
      <c r="E102" s="8" t="n">
        <f aca="false">IF(ISNUMBER(E101),(pit_googl_2025/(pit_googl_2025+pfac_googl_2025)*E101+pfac_googl_2025/(pit_googl_2025+pfac_googl_2025)*IF(AND(ISNUMBER(D101),ISNUMBER("")),wb1*D101+wb2*"",IF(ISNUMBER(D101),D101,E101)))/(pit_googl_2025+pfac_googl_2025),site_googl_2025)</f>
        <v>1.90282766726783</v>
      </c>
      <c r="F102" s="8" t="n">
        <f aca="false">IF(ISNUMBER(F101),(pit_googl_2026/(pit_googl_2026+pfac_googl_2026)*F101+pfac_googl_2026/(pit_googl_2026+pfac_googl_2026)*IF(AND(ISNUMBER(E101),ISNUMBER(D101)),wb1*E101+wb2*D101,IF(ISNUMBER(E101),E101,F101)))/(pit_googl_2026+pfac_googl_2026),site_googl_2026)</f>
        <v>3.40391922009095</v>
      </c>
      <c r="G102" s="8" t="n">
        <f aca="false">IF(ISNUMBER(G101),(pit_googl_2027/(pit_googl_2027+pfac_googl_2027)*G101+pfac_googl_2027/(pit_googl_2027+pfac_googl_2027)*IF(AND(ISNUMBER(F101),ISNUMBER(E101)),wb1*F101+wb2*E101,IF(ISNUMBER(F101),F101,G101)))/(pit_googl_2027+pfac_googl_2027),site_googl_2027)</f>
        <v>5.02736969998978</v>
      </c>
      <c r="H102" s="8" t="n">
        <f aca="false">IF(ISNUMBER(H101),(pit_googl_2028/(pit_googl_2028+pfac_googl_2028)*H101+pfac_googl_2028/(pit_googl_2028+pfac_googl_2028)*IF(AND(ISNUMBER(G101),ISNUMBER(F101)),wb1*G101+wb2*F101,IF(ISNUMBER(G101),G101,H101)))/(pit_googl_2028+pfac_googl_2028),site_googl_2028)</f>
        <v>5.97955069763246</v>
      </c>
      <c r="I102" s="8" t="n">
        <f aca="false">IF(ISNUMBER(I101),(pit_googl_2029/(pit_googl_2029+pfac_googl_2029)*I101+pfac_googl_2029/(pit_googl_2029+pfac_googl_2029)*IF(AND(ISNUMBER(H101),ISNUMBER(G101)),wb1*H101+wb2*G101,IF(ISNUMBER(H101),H101,I101)))/(pit_googl_2029+pfac_googl_2029),site_googl_2029)</f>
        <v>6.78467286150421</v>
      </c>
    </row>
    <row r="103" customFormat="false" ht="17.15" hidden="false" customHeight="false" outlineLevel="0" collapsed="false">
      <c r="A103" s="0" t="s">
        <v>1489</v>
      </c>
      <c r="B103" s="0" t="s">
        <v>1344</v>
      </c>
      <c r="E103" s="8" t="n">
        <f aca="false">(1-lag)*E102+lag*D102-inv_k*(E102-D102)</f>
        <v>1.63064348847422</v>
      </c>
      <c r="F103" s="8" t="n">
        <f aca="false">(1-lag)*F102+lag*E102-inv_k*(F102-E102)</f>
        <v>2.69090073249997</v>
      </c>
      <c r="G103" s="8" t="n">
        <f aca="false">(1-lag)*G102+lag*F102-inv_k*(G102-F102)</f>
        <v>4.25623072203784</v>
      </c>
      <c r="H103" s="8" t="n">
        <f aca="false">(1-lag)*H102+lag*G102-inv_k*(H102-G102)</f>
        <v>5.52726472375219</v>
      </c>
      <c r="I103" s="8" t="n">
        <f aca="false">(1-lag)*I102+lag*H102-inv_k*(I102-H102)</f>
        <v>6.40223983366513</v>
      </c>
    </row>
    <row r="104" customFormat="false" ht="17.15" hidden="false" customHeight="false" outlineLevel="0" collapsed="false">
      <c r="A104" s="0" t="s">
        <v>1490</v>
      </c>
      <c r="B104" s="0" t="s">
        <v>1346</v>
      </c>
      <c r="D104" s="8" t="n">
        <f aca="false">gcap_googl_2024*ai_sh_lo</f>
        <v>39.40125</v>
      </c>
      <c r="E104" s="8" t="n">
        <f aca="false">gcap_googl_2025*ai_sh_lo</f>
        <v>68.58525</v>
      </c>
      <c r="F104" s="8" t="n">
        <f aca="false">gcap_googl_2026*ai_sh_lo</f>
        <v>150</v>
      </c>
      <c r="G104" s="8" t="n">
        <f aca="false">gcap_googl_2027*ai_sh_lo</f>
        <v>217.773855</v>
      </c>
      <c r="H104" s="8" t="n">
        <f aca="false">gcap_googl_2028*ai_sh_lo</f>
        <v>238.04912625</v>
      </c>
      <c r="I104" s="8" t="n">
        <f aca="false">gcap_googl_2029*ai_sh_lo</f>
        <v>219.420654</v>
      </c>
    </row>
    <row r="105" customFormat="false" ht="17.15" hidden="false" customHeight="false" outlineLevel="0" collapsed="false">
      <c r="A105" s="0" t="s">
        <v>1491</v>
      </c>
      <c r="B105" s="0" t="s">
        <v>1342</v>
      </c>
      <c r="D105" s="8" t="n">
        <f aca="false">IF(ISNUMBER(D104),(pit_googl_2024/(pit_googl_2024+pfac_googl_2024)*D104+pfac_googl_2024/(pit_googl_2024+pfac_googl_2024)*IF(AND(ISNUMBER(""),ISNUMBER("")),wb1*""+wb2*"",IF(ISNUMBER(""),"",D104)))/(pit_googl_2024+pfac_googl_2024),site_googl_2024)</f>
        <v>1.08201685726117</v>
      </c>
      <c r="E105" s="8" t="n">
        <f aca="false">IF(ISNUMBER(E104),(pit_googl_2025/(pit_googl_2025+pfac_googl_2025)*E104+pfac_googl_2025/(pit_googl_2025+pfac_googl_2025)*IF(AND(ISNUMBER(D104),ISNUMBER("")),wb1*D104+wb2*"",IF(ISNUMBER(D104),D104,E104)))/(pit_googl_2025+pfac_googl_2025),site_googl_2025)</f>
        <v>1.68250663288309</v>
      </c>
      <c r="F105" s="8" t="n">
        <f aca="false">IF(ISNUMBER(F104),(pit_googl_2026/(pit_googl_2026+pfac_googl_2026)*F104+pfac_googl_2026/(pit_googl_2026+pfac_googl_2026)*IF(AND(ISNUMBER(E104),ISNUMBER(D104)),wb1*E104+wb2*D104,IF(ISNUMBER(E104),E104,F104)))/(pit_googl_2026+pfac_googl_2026),site_googl_2026)</f>
        <v>3.30414189410408</v>
      </c>
      <c r="G105" s="8" t="n">
        <f aca="false">IF(ISNUMBER(G104),(pit_googl_2027/(pit_googl_2027+pfac_googl_2027)*G104+pfac_googl_2027/(pit_googl_2027+pfac_googl_2027)*IF(AND(ISNUMBER(F104),ISNUMBER(E104)),wb1*F104+wb2*E104,IF(ISNUMBER(F104),F104,G104)))/(pit_googl_2027+pfac_googl_2027),site_googl_2027)</f>
        <v>4.87482097625078</v>
      </c>
      <c r="H105" s="8" t="n">
        <f aca="false">IF(ISNUMBER(H104),(pit_googl_2028/(pit_googl_2028+pfac_googl_2028)*H104+pfac_googl_2028/(pit_googl_2028+pfac_googl_2028)*IF(AND(ISNUMBER(G104),ISNUMBER(F104)),wb1*G104+wb2*F104,IF(ISNUMBER(G104),G104,H104)))/(pit_googl_2028+pfac_googl_2028),site_googl_2028)</f>
        <v>5.64194338198706</v>
      </c>
      <c r="I105" s="8" t="n">
        <f aca="false">IF(ISNUMBER(I104),(pit_googl_2029/(pit_googl_2029+pfac_googl_2029)*I104+pfac_googl_2029/(pit_googl_2029+pfac_googl_2029)*IF(AND(ISNUMBER(H104),ISNUMBER(G104)),wb1*H104+wb2*G104,IF(ISNUMBER(H104),H104,I104)))/(pit_googl_2029+pfac_googl_2029),site_googl_2029)</f>
        <v>5.56159586043852</v>
      </c>
    </row>
    <row r="106" customFormat="false" ht="17.15" hidden="false" customHeight="false" outlineLevel="0" collapsed="false">
      <c r="A106" s="0" t="s">
        <v>1492</v>
      </c>
      <c r="B106" s="0" t="s">
        <v>1344</v>
      </c>
      <c r="E106" s="8" t="n">
        <f aca="false">(1-lag)*E105+lag*D105-inv_k*(E105-D105)</f>
        <v>1.39727398946268</v>
      </c>
      <c r="F106" s="8" t="n">
        <f aca="false">(1-lag)*F105+lag*E105-inv_k*(F105-E105)</f>
        <v>2.53386514502411</v>
      </c>
      <c r="G106" s="8" t="n">
        <f aca="false">(1-lag)*G105+lag*F105-inv_k*(G105-F105)</f>
        <v>4.1287484122311</v>
      </c>
      <c r="H106" s="8" t="n">
        <f aca="false">(1-lag)*H105+lag*G105-inv_k*(H105-G105)</f>
        <v>5.27756023926233</v>
      </c>
      <c r="I106" s="8" t="n">
        <f aca="false">(1-lag)*I105+lag*H105-inv_k*(I105-H105)</f>
        <v>5.59976093317408</v>
      </c>
    </row>
    <row r="107" customFormat="false" ht="17.15" hidden="false" customHeight="false" outlineLevel="0" collapsed="false">
      <c r="A107" s="0" t="s">
        <v>1493</v>
      </c>
      <c r="B107" s="0" t="s">
        <v>1350</v>
      </c>
      <c r="E107" s="8" t="n">
        <f aca="false">E106*(1-nnv_googl_2025)</f>
        <v>0.345126675397282</v>
      </c>
      <c r="F107" s="8" t="n">
        <f aca="false">F106*(1-nnv_googl_2026)</f>
        <v>0.625864690820955</v>
      </c>
      <c r="G107" s="8" t="n">
        <f aca="false">G106*(1-nnv_googl_2027)</f>
        <v>1.01980085782108</v>
      </c>
      <c r="H107" s="8" t="n">
        <f aca="false">H106*(1-nnv_googl_2028)</f>
        <v>1.30355737909779</v>
      </c>
      <c r="I107" s="8" t="n">
        <f aca="false">I106*(1-nnv_googl_2029)</f>
        <v>1.383140950494</v>
      </c>
    </row>
    <row r="108" customFormat="false" ht="17.15" hidden="false" customHeight="false" outlineLevel="0" collapsed="false">
      <c r="A108" s="0" t="s">
        <v>1494</v>
      </c>
      <c r="B108" s="0" t="s">
        <v>1352</v>
      </c>
      <c r="D108" s="8" t="n">
        <f aca="false">site_googl_2024</f>
        <v>1.32980834349181</v>
      </c>
      <c r="E108" s="8" t="n">
        <f aca="false">site_googl_2025</f>
        <v>2.40961330082622</v>
      </c>
      <c r="F108" s="8" t="n">
        <f aca="false">site_googl_2026</f>
        <v>1.29267912772586</v>
      </c>
      <c r="G108" s="8" t="n">
        <f aca="false">site_googl_2027</f>
        <v>1.626</v>
      </c>
      <c r="H108" s="8" t="n">
        <f aca="false">site_googl_2028</f>
        <v>0.833333333333334</v>
      </c>
      <c r="I108" s="8" t="n">
        <f aca="false">site_googl_2029</f>
        <v>0</v>
      </c>
    </row>
    <row r="109" customFormat="false" ht="17.15" hidden="false" customHeight="false" outlineLevel="0" collapsed="false">
      <c r="A109" s="0" t="s">
        <v>1495</v>
      </c>
      <c r="B109" s="0" t="s">
        <v>1354</v>
      </c>
      <c r="D109" s="8" t="n">
        <f aca="false">main_googl_2024</f>
        <v>1.32980834349181</v>
      </c>
      <c r="E109" s="8" t="n">
        <f aca="false">main_googl_2025</f>
        <v>2.40961330082622</v>
      </c>
      <c r="F109" s="8" t="n">
        <f aca="false">main_googl_2026</f>
        <v>1.29267912772586</v>
      </c>
      <c r="G109" s="8" t="n">
        <f aca="false">main_googl_2027</f>
        <v>5.69768565998842</v>
      </c>
      <c r="H109" s="8" t="n">
        <f aca="false">main_googl_2028</f>
        <v>6.77682412398346</v>
      </c>
      <c r="I109" s="8" t="n">
        <f aca="false">main_googl_2029</f>
        <v>7.68929590970478</v>
      </c>
    </row>
    <row r="110" customFormat="false" ht="17.15" hidden="false" customHeight="false" outlineLevel="0" collapsed="false">
      <c r="A110" s="0" t="s">
        <v>1496</v>
      </c>
      <c r="B110" s="0" t="s">
        <v>1356</v>
      </c>
      <c r="D110" s="8" t="str">
        <f aca="false">IF(ISNUMBER(ai2_amzn_2024),ai2_amzn_2024/ai_amzn*ai_amzn_lo,"")</f>
        <v/>
      </c>
      <c r="E110" s="8" t="n">
        <f aca="false">IF(ISNUMBER(ai2_amzn_2025),ai2_amzn_2025/ai_amzn*ai_amzn_lo,"")</f>
        <v>76.992</v>
      </c>
      <c r="F110" s="8" t="n">
        <f aca="false">IF(ISNUMBER(ai2_amzn_2026),ai2_amzn_2026/ai_amzn*ai_amzn_lo,"")</f>
        <v>132</v>
      </c>
      <c r="G110" s="8" t="n">
        <f aca="false">IF(ISNUMBER(ai2_amzn_2027),ai2_amzn_2027/ai_amzn*ai_amzn_lo,"")</f>
        <v>165.0378</v>
      </c>
      <c r="H110" s="8" t="n">
        <f aca="false">IF(ISNUMBER(ai2_amzn_2028),ai2_amzn_2028/ai_amzn*ai_amzn_lo,"")</f>
        <v>175.7562</v>
      </c>
      <c r="I110" s="8" t="n">
        <f aca="false">IF(ISNUMBER(ai2_amzn_2029),ai2_amzn_2029/ai_amzn*ai_amzn_lo,"")</f>
        <v>193.33182</v>
      </c>
    </row>
    <row r="111" customFormat="false" ht="17.15" hidden="false" customHeight="false" outlineLevel="0" collapsed="false">
      <c r="A111" s="0" t="s">
        <v>1497</v>
      </c>
      <c r="B111" s="0" t="s">
        <v>1358</v>
      </c>
      <c r="D111" s="8" t="n">
        <f aca="false">IF(ISNUMBER(D110),(pit_amzn_2024/(pit_amzn_2024+pfac_amzn_2024)*D110+pfac_amzn_2024/(pit_amzn_2024+pfac_amzn_2024)*IF(AND(ISNUMBER(""),ISNUMBER("")),wb1*""+wb2*"",IF(ISNUMBER(""),"",D110)))/(pit_amzn_2024+pfac_amzn_2024),site_amzn_2024)</f>
        <v>0</v>
      </c>
      <c r="E111" s="8" t="n">
        <f aca="false">IF(ISNUMBER(E110),(pit_amzn_2025/(pit_amzn_2025+pfac_amzn_2025)*E110+pfac_amzn_2025/(pit_amzn_2025+pfac_amzn_2025)*IF(AND(ISNUMBER(D110),ISNUMBER("")),wb1*D110+wb2*"",IF(ISNUMBER(D110),D110,E110)))/(pit_amzn_2025+pfac_amzn_2025),site_amzn_2025)</f>
        <v>2.31180339591979</v>
      </c>
      <c r="F111" s="8" t="n">
        <f aca="false">IF(ISNUMBER(F110),(pit_amzn_2026/(pit_amzn_2026+pfac_amzn_2026)*F110+pfac_amzn_2026/(pit_amzn_2026+pfac_amzn_2026)*IF(AND(ISNUMBER(E110),ISNUMBER(D110)),wb1*E110+wb2*D110,IF(ISNUMBER(E110),E110,F110)))/(pit_amzn_2026+pfac_amzn_2026),site_amzn_2026)</f>
        <v>3.28968252153905</v>
      </c>
      <c r="G111" s="8" t="n">
        <f aca="false">IF(ISNUMBER(G110),(pit_amzn_2027/(pit_amzn_2027+pfac_amzn_2027)*G110+pfac_amzn_2027/(pit_amzn_2027+pfac_amzn_2027)*IF(AND(ISNUMBER(F110),ISNUMBER(E110)),wb1*F110+wb2*E110,IF(ISNUMBER(F110),F110,G110)))/(pit_amzn_2027+pfac_amzn_2027),site_amzn_2027)</f>
        <v>4.0102636612389</v>
      </c>
      <c r="H111" s="8" t="n">
        <f aca="false">IF(ISNUMBER(H110),(pit_amzn_2028/(pit_amzn_2028+pfac_amzn_2028)*H110+pfac_amzn_2028/(pit_amzn_2028+pfac_amzn_2028)*IF(AND(ISNUMBER(G110),ISNUMBER(F110)),wb1*G110+wb2*F110,IF(ISNUMBER(G110),G110,H110)))/(pit_amzn_2028+pfac_amzn_2028),site_amzn_2028)</f>
        <v>4.40844546994711</v>
      </c>
      <c r="I111" s="8" t="n">
        <f aca="false">IF(ISNUMBER(I110),(pit_amzn_2029/(pit_amzn_2029+pfac_amzn_2029)*I110+pfac_amzn_2029/(pit_amzn_2029+pfac_amzn_2029)*IF(AND(ISNUMBER(H110),ISNUMBER(G110)),wb1*H110+wb2*G110,IF(ISNUMBER(H110),H110,I110)))/(pit_amzn_2029+pfac_amzn_2029),site_amzn_2029)</f>
        <v>4.89397835903159</v>
      </c>
    </row>
    <row r="112" customFormat="false" ht="17.15" hidden="false" customHeight="false" outlineLevel="0" collapsed="false">
      <c r="A112" s="0" t="s">
        <v>1498</v>
      </c>
      <c r="B112" s="0" t="s">
        <v>1360</v>
      </c>
      <c r="E112" s="8" t="n">
        <f aca="false">(1-lag)*E111+lag*D111-inv_k*(E111-D111)</f>
        <v>1.21369678285789</v>
      </c>
      <c r="F112" s="8" t="n">
        <f aca="false">(1-lag)*F111+lag*E111-inv_k*(F111-E111)</f>
        <v>2.82518993686991</v>
      </c>
      <c r="G112" s="8" t="n">
        <f aca="false">(1-lag)*G111+lag*F111-inv_k*(G111-F111)</f>
        <v>3.66798761988147</v>
      </c>
      <c r="H112" s="8" t="n">
        <f aca="false">(1-lag)*H111+lag*G111-inv_k*(H111-G111)</f>
        <v>4.21930911081071</v>
      </c>
      <c r="I112" s="8" t="n">
        <f aca="false">(1-lag)*I111+lag*H111-inv_k*(I111-H111)</f>
        <v>4.66335023671646</v>
      </c>
    </row>
    <row r="113" customFormat="false" ht="17.15" hidden="false" customHeight="false" outlineLevel="0" collapsed="false">
      <c r="A113" s="0" t="s">
        <v>1499</v>
      </c>
      <c r="B113" s="0" t="s">
        <v>1362</v>
      </c>
      <c r="D113" s="8" t="n">
        <f aca="false">gcap_amzn_2024*ai_amzn_lo</f>
        <v>46.5948</v>
      </c>
      <c r="E113" s="8" t="n">
        <f aca="false">gcap_amzn_2025*ai_amzn_lo</f>
        <v>76.992</v>
      </c>
      <c r="F113" s="8" t="n">
        <f aca="false">gcap_amzn_2026*ai_amzn_lo</f>
        <v>132</v>
      </c>
      <c r="G113" s="8" t="n">
        <f aca="false">gcap_amzn_2027*ai_amzn_lo</f>
        <v>151.8480516</v>
      </c>
      <c r="H113" s="8" t="n">
        <f aca="false">gcap_amzn_2028*ai_amzn_lo</f>
        <v>160.1829408</v>
      </c>
      <c r="I113" s="8" t="n">
        <f aca="false">gcap_amzn_2029*ai_amzn_lo</f>
        <v>167.043534</v>
      </c>
    </row>
    <row r="114" customFormat="false" ht="17.15" hidden="false" customHeight="false" outlineLevel="0" collapsed="false">
      <c r="A114" s="0" t="s">
        <v>1500</v>
      </c>
      <c r="B114" s="0" t="s">
        <v>1358</v>
      </c>
      <c r="D114" s="8" t="n">
        <f aca="false">IF(ISNUMBER(D113),(pit_amzn_2024/(pit_amzn_2024+pfac_amzn_2024)*D113+pfac_amzn_2024/(pit_amzn_2024+pfac_amzn_2024)*IF(AND(ISNUMBER(""),ISNUMBER("")),wb1*""+wb2*"",IF(ISNUMBER(""),"",D113)))/(pit_amzn_2024+pfac_amzn_2024),site_amzn_2024)</f>
        <v>1.37857530763073</v>
      </c>
      <c r="E114" s="8" t="n">
        <f aca="false">IF(ISNUMBER(E113),(pit_amzn_2025/(pit_amzn_2025+pfac_amzn_2025)*E113+pfac_amzn_2025/(pit_amzn_2025+pfac_amzn_2025)*IF(AND(ISNUMBER(D113),ISNUMBER("")),wb1*D113+wb2*"",IF(ISNUMBER(D113),D113,E113)))/(pit_amzn_2025+pfac_amzn_2025),site_amzn_2025)</f>
        <v>2.05530249967786</v>
      </c>
      <c r="F114" s="8" t="n">
        <f aca="false">IF(ISNUMBER(F113),(pit_amzn_2026/(pit_amzn_2026+pfac_amzn_2026)*F113+pfac_amzn_2026/(pit_amzn_2026+pfac_amzn_2026)*IF(AND(ISNUMBER(E113),ISNUMBER(D113)),wb1*E113+wb2*D113,IF(ISNUMBER(E113),E113,F113)))/(pit_amzn_2026+pfac_amzn_2026),site_amzn_2026)</f>
        <v>3.17836669667505</v>
      </c>
      <c r="G114" s="8" t="n">
        <f aca="false">IF(ISNUMBER(G113),(pit_amzn_2027/(pit_amzn_2027+pfac_amzn_2027)*G113+pfac_amzn_2027/(pit_amzn_2027+pfac_amzn_2027)*IF(AND(ISNUMBER(F113),ISNUMBER(E113)),wb1*F113+wb2*E113,IF(ISNUMBER(F113),F113,G113)))/(pit_amzn_2027+pfac_amzn_2027),site_amzn_2027)</f>
        <v>3.74572504997357</v>
      </c>
      <c r="H114" s="8" t="n">
        <f aca="false">IF(ISNUMBER(H113),(pit_amzn_2028/(pit_amzn_2028+pfac_amzn_2028)*H113+pfac_amzn_2028/(pit_amzn_2028+pfac_amzn_2028)*IF(AND(ISNUMBER(G113),ISNUMBER(F113)),wb1*G113+wb2*F113,IF(ISNUMBER(G113),G113,H113)))/(pit_amzn_2028+pfac_amzn_2028),site_amzn_2028)</f>
        <v>4.0595803157159</v>
      </c>
      <c r="I114" s="8" t="n">
        <f aca="false">IF(ISNUMBER(I113),(pit_amzn_2029/(pit_amzn_2029+pfac_amzn_2029)*I113+pfac_amzn_2029/(pit_amzn_2029+pfac_amzn_2029)*IF(AND(ISNUMBER(H113),ISNUMBER(G113)),wb1*H113+wb2*G113,IF(ISNUMBER(H113),H113,I113)))/(pit_amzn_2029+pfac_amzn_2029),site_amzn_2029)</f>
        <v>4.28441500497403</v>
      </c>
    </row>
    <row r="115" customFormat="false" ht="17.15" hidden="false" customHeight="false" outlineLevel="0" collapsed="false">
      <c r="A115" s="0" t="s">
        <v>1501</v>
      </c>
      <c r="B115" s="0" t="s">
        <v>1360</v>
      </c>
      <c r="E115" s="8" t="n">
        <f aca="false">(1-lag)*E114+lag*D114-inv_k*(E114-D114)</f>
        <v>1.73385708345548</v>
      </c>
      <c r="F115" s="8" t="n">
        <f aca="false">(1-lag)*F114+lag*E114-inv_k*(F114-E114)</f>
        <v>2.64491120310139</v>
      </c>
      <c r="G115" s="8" t="n">
        <f aca="false">(1-lag)*G114+lag*F114-inv_k*(G114-F114)</f>
        <v>3.47622983215678</v>
      </c>
      <c r="H115" s="8" t="n">
        <f aca="false">(1-lag)*H114+lag*G114-inv_k*(H114-G114)</f>
        <v>3.9104990644883</v>
      </c>
      <c r="I115" s="8" t="n">
        <f aca="false">(1-lag)*I114+lag*H114-inv_k*(I114-H114)</f>
        <v>4.17761852757642</v>
      </c>
    </row>
    <row r="116" customFormat="false" ht="17.15" hidden="false" customHeight="false" outlineLevel="0" collapsed="false">
      <c r="A116" s="0" t="s">
        <v>1502</v>
      </c>
      <c r="B116" s="0" t="s">
        <v>1366</v>
      </c>
      <c r="E116" s="8" t="n">
        <f aca="false">E115*(1-nnv_amzn_2025)</f>
        <v>0.572172837540307</v>
      </c>
      <c r="F116" s="8" t="n">
        <f aca="false">F115*(1-nnv_amzn_2026)</f>
        <v>0.872820697023458</v>
      </c>
      <c r="G116" s="8" t="n">
        <f aca="false">G115*(1-nnv_amzn_2027)</f>
        <v>1.14715584461174</v>
      </c>
      <c r="H116" s="8" t="n">
        <f aca="false">H115*(1-nnv_amzn_2028)</f>
        <v>1.29046469128114</v>
      </c>
      <c r="I116" s="8" t="n">
        <f aca="false">I115*(1-nnv_amzn_2029)</f>
        <v>1.37861411410022</v>
      </c>
    </row>
    <row r="117" customFormat="false" ht="17.15" hidden="false" customHeight="false" outlineLevel="0" collapsed="false">
      <c r="A117" s="0" t="s">
        <v>1503</v>
      </c>
      <c r="B117" s="0" t="s">
        <v>1368</v>
      </c>
      <c r="D117" s="8" t="n">
        <f aca="false">site_amzn_2024</f>
        <v>0</v>
      </c>
      <c r="E117" s="8" t="n">
        <f aca="false">site_amzn_2025</f>
        <v>1.38971599402093</v>
      </c>
      <c r="F117" s="8" t="n">
        <f aca="false">site_amzn_2026</f>
        <v>0.527</v>
      </c>
      <c r="G117" s="8" t="n">
        <f aca="false">site_amzn_2027</f>
        <v>0.364</v>
      </c>
      <c r="H117" s="8" t="n">
        <f aca="false">site_amzn_2028</f>
        <v>1.744</v>
      </c>
      <c r="I117" s="8" t="n">
        <f aca="false">site_amzn_2029</f>
        <v>0.0620000000000003</v>
      </c>
    </row>
    <row r="118" customFormat="false" ht="17.15" hidden="false" customHeight="false" outlineLevel="0" collapsed="false">
      <c r="A118" s="0" t="s">
        <v>1504</v>
      </c>
      <c r="B118" s="0" t="s">
        <v>1370</v>
      </c>
      <c r="D118" s="8" t="n">
        <f aca="false">main_amzn_2024</f>
        <v>0</v>
      </c>
      <c r="E118" s="8" t="n">
        <f aca="false">main_amzn_2025</f>
        <v>1.38971599402093</v>
      </c>
      <c r="F118" s="8" t="n">
        <f aca="false">main_amzn_2026</f>
        <v>0.527</v>
      </c>
      <c r="G118" s="8" t="n">
        <f aca="false">main_amzn_2027</f>
        <v>4.54496548273742</v>
      </c>
      <c r="H118" s="8" t="n">
        <f aca="false">main_amzn_2028</f>
        <v>4.99623819927339</v>
      </c>
      <c r="I118" s="8" t="n">
        <f aca="false">main_amzn_2029</f>
        <v>5.54650880690247</v>
      </c>
    </row>
    <row r="119" customFormat="false" ht="17.15" hidden="false" customHeight="false" outlineLevel="0" collapsed="false">
      <c r="A119" s="0" t="s">
        <v>1505</v>
      </c>
      <c r="B119" s="0" t="s">
        <v>1372</v>
      </c>
      <c r="D119" s="8" t="str">
        <f aca="false">IF(ISNUMBER(ai2_meta_2024),ai2_meta_2024/ai_sh*ai_sh_lo,"")</f>
        <v/>
      </c>
      <c r="E119" s="8" t="str">
        <f aca="false">IF(ISNUMBER(ai2_meta_2025),ai2_meta_2025/ai_sh*ai_sh_lo,"")</f>
        <v/>
      </c>
      <c r="F119" s="8" t="n">
        <f aca="false">IF(ISNUMBER(ai2_meta_2026),ai2_meta_2026/ai_sh*ai_sh_lo,"")</f>
        <v>105</v>
      </c>
      <c r="G119" s="8" t="n">
        <f aca="false">IF(ISNUMBER(ai2_meta_2027),ai2_meta_2027/ai_sh*ai_sh_lo,"")</f>
        <v>115.5</v>
      </c>
      <c r="H119" s="8" t="n">
        <f aca="false">IF(ISNUMBER(ai2_meta_2028),ai2_meta_2028/ai_sh*ai_sh_lo,"")</f>
        <v>127.05</v>
      </c>
      <c r="I119" s="8" t="n">
        <f aca="false">IF(ISNUMBER(ai2_meta_2029),ai2_meta_2029/ai_sh*ai_sh_lo,"")</f>
        <v>139.755</v>
      </c>
    </row>
    <row r="120" customFormat="false" ht="17.15" hidden="false" customHeight="false" outlineLevel="0" collapsed="false">
      <c r="A120" s="0" t="s">
        <v>1506</v>
      </c>
      <c r="B120" s="0" t="s">
        <v>1374</v>
      </c>
      <c r="D120" s="8" t="n">
        <f aca="false">IF(ISNUMBER(D119),(pit_meta_2024/(pit_meta_2024+pfac_meta_2024)*D119+pfac_meta_2024/(pit_meta_2024+pfac_meta_2024)*IF(AND(ISNUMBER(""),ISNUMBER("")),wb1*""+wb2*"",IF(ISNUMBER(""),"",D119)))/(pit_meta_2024+pfac_meta_2024),site_meta_2024)</f>
        <v>0</v>
      </c>
      <c r="E120" s="8" t="n">
        <f aca="false">IF(ISNUMBER(E119),(pit_meta_2025/(pit_meta_2025+pfac_meta_2025)*E119+pfac_meta_2025/(pit_meta_2025+pfac_meta_2025)*IF(AND(ISNUMBER(D119),ISNUMBER("")),wb1*D119+wb2*"",IF(ISNUMBER(D119),D119,E119)))/(pit_meta_2025+pfac_meta_2025),site_meta_2025)</f>
        <v>1.50812</v>
      </c>
      <c r="F120" s="8" t="n">
        <f aca="false">IF(ISNUMBER(F119),(pit_meta_2026/(pit_meta_2026+pfac_meta_2026)*F119+pfac_meta_2026/(pit_meta_2026+pfac_meta_2026)*IF(AND(ISNUMBER(E119),ISNUMBER(D119)),wb1*E119+wb2*D119,IF(ISNUMBER(E119),E119,F119)))/(pit_meta_2026+pfac_meta_2026),site_meta_2026)</f>
        <v>2.31879267904232</v>
      </c>
      <c r="G120" s="8" t="n">
        <f aca="false">IF(ISNUMBER(G119),(pit_meta_2027/(pit_meta_2027+pfac_meta_2027)*G119+pfac_meta_2027/(pit_meta_2027+pfac_meta_2027)*IF(AND(ISNUMBER(F119),ISNUMBER(E119)),wb1*F119+wb2*E119,IF(ISNUMBER(F119),F119,G119)))/(pit_meta_2027+pfac_meta_2027),site_meta_2027)</f>
        <v>2.31574577526777</v>
      </c>
      <c r="H120" s="8" t="n">
        <f aca="false">IF(ISNUMBER(H119),(pit_meta_2028/(pit_meta_2028+pfac_meta_2028)*H119+pfac_meta_2028/(pit_meta_2028+pfac_meta_2028)*IF(AND(ISNUMBER(G119),ISNUMBER(F119)),wb1*G119+wb2*F119,IF(ISNUMBER(G119),G119,H119)))/(pit_meta_2028+pfac_meta_2028),site_meta_2028)</f>
        <v>2.41448119992367</v>
      </c>
      <c r="I120" s="8" t="n">
        <f aca="false">IF(ISNUMBER(I119),(pit_meta_2029/(pit_meta_2029+pfac_meta_2029)*I119+pfac_meta_2029/(pit_meta_2029+pfac_meta_2029)*IF(AND(ISNUMBER(H119),ISNUMBER(G119)),wb1*H119+wb2*G119,IF(ISNUMBER(H119),H119,I119)))/(pit_meta_2029+pfac_meta_2029),site_meta_2029)</f>
        <v>2.65742492808478</v>
      </c>
    </row>
    <row r="121" customFormat="false" ht="17.15" hidden="false" customHeight="false" outlineLevel="0" collapsed="false">
      <c r="A121" s="0" t="s">
        <v>1507</v>
      </c>
      <c r="B121" s="0" t="s">
        <v>1376</v>
      </c>
      <c r="E121" s="8" t="n">
        <f aca="false">(1-lag)*E120+lag*D120-inv_k*(E120-D120)</f>
        <v>0.791763</v>
      </c>
      <c r="F121" s="8" t="n">
        <f aca="false">(1-lag)*F120+lag*E120-inv_k*(F120-E120)</f>
        <v>1.93372315649722</v>
      </c>
      <c r="G121" s="8" t="n">
        <f aca="false">(1-lag)*G120+lag*F120-inv_k*(G120-F120)</f>
        <v>2.31719305456068</v>
      </c>
      <c r="H121" s="8" t="n">
        <f aca="false">(1-lag)*H120+lag*G120-inv_k*(H120-G120)</f>
        <v>2.36758187321212</v>
      </c>
      <c r="I121" s="8" t="n">
        <f aca="false">(1-lag)*I120+lag*H120-inv_k*(I120-H120)</f>
        <v>2.54202665720825</v>
      </c>
    </row>
    <row r="122" customFormat="false" ht="17.15" hidden="false" customHeight="false" outlineLevel="0" collapsed="false">
      <c r="A122" s="0" t="s">
        <v>1508</v>
      </c>
      <c r="B122" s="0" t="s">
        <v>1378</v>
      </c>
      <c r="D122" s="8" t="n">
        <f aca="false">gcap_meta_2024*ai_sh_lo</f>
        <v>29.41875</v>
      </c>
      <c r="E122" s="8" t="n">
        <f aca="false">gcap_meta_2025*ai_sh_lo</f>
        <v>54.16125</v>
      </c>
      <c r="F122" s="8" t="n">
        <f aca="false">gcap_meta_2026*ai_sh_lo</f>
        <v>105</v>
      </c>
      <c r="G122" s="8" t="n">
        <f aca="false">gcap_meta_2027*ai_sh_lo</f>
        <v>154.2794085</v>
      </c>
      <c r="H122" s="8" t="n">
        <f aca="false">gcap_meta_2028*ai_sh_lo</f>
        <v>164.46244725</v>
      </c>
      <c r="I122" s="8" t="n">
        <f aca="false">gcap_meta_2029*ai_sh_lo</f>
        <v>146.09989725</v>
      </c>
    </row>
    <row r="123" customFormat="false" ht="17.15" hidden="false" customHeight="false" outlineLevel="0" collapsed="false">
      <c r="A123" s="0" t="s">
        <v>1509</v>
      </c>
      <c r="B123" s="0" t="s">
        <v>1374</v>
      </c>
      <c r="D123" s="8" t="n">
        <f aca="false">IF(ISNUMBER(D122),(pit_meta_2024/(pit_meta_2024+pfac_meta_2024)*D122+pfac_meta_2024/(pit_meta_2024+pfac_meta_2024)*IF(AND(ISNUMBER(""),ISNUMBER("")),wb1*""+wb2*"",IF(ISNUMBER(""),"",D122)))/(pit_meta_2024+pfac_meta_2024),site_meta_2024)</f>
        <v>0.721318002635548</v>
      </c>
      <c r="E123" s="8" t="n">
        <f aca="false">IF(ISNUMBER(E122),(pit_meta_2025/(pit_meta_2025+pfac_meta_2025)*E122+pfac_meta_2025/(pit_meta_2025+pfac_meta_2025)*IF(AND(ISNUMBER(D122),ISNUMBER("")),wb1*D122+wb2*"",IF(ISNUMBER(D122),D122,E122)))/(pit_meta_2025+pfac_meta_2025),site_meta_2025)</f>
        <v>1.17392315205136</v>
      </c>
      <c r="F123" s="8" t="n">
        <f aca="false">IF(ISNUMBER(F122),(pit_meta_2026/(pit_meta_2026+pfac_meta_2026)*F122+pfac_meta_2026/(pit_meta_2026+pfac_meta_2026)*IF(AND(ISNUMBER(E122),ISNUMBER(D122)),wb1*E122+wb2*D122,IF(ISNUMBER(E122),E122,F122)))/(pit_meta_2026+pfac_meta_2026),site_meta_2026)</f>
        <v>1.94217073273449</v>
      </c>
      <c r="G123" s="8" t="n">
        <f aca="false">IF(ISNUMBER(G122),(pit_meta_2027/(pit_meta_2027+pfac_meta_2027)*G122+pfac_meta_2027/(pit_meta_2027+pfac_meta_2027)*IF(AND(ISNUMBER(F122),ISNUMBER(E122)),wb1*F122+wb2*E122,IF(ISNUMBER(F122),F122,G122)))/(pit_meta_2027+pfac_meta_2027),site_meta_2027)</f>
        <v>2.78299536244594</v>
      </c>
      <c r="H123" s="8" t="n">
        <f aca="false">IF(ISNUMBER(H122),(pit_meta_2028/(pit_meta_2028+pfac_meta_2028)*H122+pfac_meta_2028/(pit_meta_2028+pfac_meta_2028)*IF(AND(ISNUMBER(G122),ISNUMBER(F122)),wb1*G122+wb2*F122,IF(ISNUMBER(G122),G122,H122)))/(pit_meta_2028+pfac_meta_2028),site_meta_2028)</f>
        <v>3.0642600603996</v>
      </c>
      <c r="I123" s="8" t="n">
        <f aca="false">IF(ISNUMBER(I122),(pit_meta_2029/(pit_meta_2029+pfac_meta_2029)*I122+pfac_meta_2029/(pit_meta_2029+pfac_meta_2029)*IF(AND(ISNUMBER(H122),ISNUMBER(G122)),wb1*H122+wb2*G122,IF(ISNUMBER(H122),H122,I122)))/(pit_meta_2029+pfac_meta_2029),site_meta_2029)</f>
        <v>2.93075597542194</v>
      </c>
    </row>
    <row r="124" customFormat="false" ht="17.15" hidden="false" customHeight="false" outlineLevel="0" collapsed="false">
      <c r="A124" s="0" t="s">
        <v>1510</v>
      </c>
      <c r="B124" s="0" t="s">
        <v>1376</v>
      </c>
      <c r="E124" s="8" t="n">
        <f aca="false">(1-lag)*E123+lag*D123-inv_k*(E123-D123)</f>
        <v>0.958935706078847</v>
      </c>
      <c r="F124" s="8" t="n">
        <f aca="false">(1-lag)*F123+lag*E123-inv_k*(F123-E123)</f>
        <v>1.57725313191</v>
      </c>
      <c r="G124" s="8" t="n">
        <f aca="false">(1-lag)*G123+lag*F123-inv_k*(G123-F123)</f>
        <v>2.383603663333</v>
      </c>
      <c r="H124" s="8" t="n">
        <f aca="false">(1-lag)*H123+lag*G123-inv_k*(H123-G123)</f>
        <v>2.93065932887161</v>
      </c>
      <c r="I124" s="8" t="n">
        <f aca="false">(1-lag)*I123+lag*H123-inv_k*(I123-H123)</f>
        <v>2.99417041578633</v>
      </c>
    </row>
    <row r="125" customFormat="false" ht="17.15" hidden="false" customHeight="false" outlineLevel="0" collapsed="false">
      <c r="A125" s="0" t="s">
        <v>1511</v>
      </c>
      <c r="B125" s="0" t="s">
        <v>1382</v>
      </c>
      <c r="E125" s="8" t="n">
        <f aca="false">E124*(1-nnv_meta_2025)</f>
        <v>0.730507567119113</v>
      </c>
      <c r="F125" s="8" t="n">
        <f aca="false">F124*(1-nnv_meta_2026)</f>
        <v>1.20153555740872</v>
      </c>
      <c r="G125" s="8" t="n">
        <f aca="false">G124*(1-nnv_meta_2027)</f>
        <v>1.73263706412205</v>
      </c>
      <c r="H125" s="8" t="n">
        <f aca="false">H124*(1-nnv_meta_2028)</f>
        <v>2.1404908690584</v>
      </c>
      <c r="I125" s="8" t="n">
        <f aca="false">I124*(1-nnv_meta_2029)</f>
        <v>2.1791946275682</v>
      </c>
    </row>
    <row r="126" customFormat="false" ht="17.15" hidden="false" customHeight="false" outlineLevel="0" collapsed="false">
      <c r="A126" s="0" t="s">
        <v>1512</v>
      </c>
      <c r="B126" s="0" t="s">
        <v>1384</v>
      </c>
      <c r="D126" s="8" t="n">
        <f aca="false">site_meta_2024</f>
        <v>0</v>
      </c>
      <c r="E126" s="8" t="n">
        <f aca="false">site_meta_2025</f>
        <v>1.50812</v>
      </c>
      <c r="F126" s="8" t="n">
        <f aca="false">site_meta_2026</f>
        <v>0.676</v>
      </c>
      <c r="G126" s="8" t="n">
        <f aca="false">site_meta_2027</f>
        <v>0.615</v>
      </c>
      <c r="H126" s="8" t="n">
        <f aca="false">site_meta_2028</f>
        <v>2.99433333333333</v>
      </c>
      <c r="I126" s="8" t="n">
        <f aca="false">site_meta_2029</f>
        <v>0.968</v>
      </c>
    </row>
    <row r="127" customFormat="false" ht="17.15" hidden="false" customHeight="false" outlineLevel="0" collapsed="false">
      <c r="A127" s="0" t="s">
        <v>1513</v>
      </c>
      <c r="B127" s="0" t="s">
        <v>1386</v>
      </c>
      <c r="D127" s="8" t="n">
        <f aca="false">main_meta_2024</f>
        <v>0</v>
      </c>
      <c r="E127" s="8" t="n">
        <f aca="false">main_meta_2025</f>
        <v>1.50812</v>
      </c>
      <c r="F127" s="8" t="n">
        <f aca="false">main_meta_2026</f>
        <v>0.676</v>
      </c>
      <c r="G127" s="8" t="n">
        <f aca="false">main_meta_2027</f>
        <v>0.615</v>
      </c>
      <c r="H127" s="8" t="n">
        <f aca="false">main_meta_2028</f>
        <v>2.73641202658016</v>
      </c>
      <c r="I127" s="8" t="n">
        <f aca="false">main_meta_2029</f>
        <v>3.01174825182942</v>
      </c>
    </row>
    <row r="128" customFormat="false" ht="17.15" hidden="false" customHeight="false" outlineLevel="0" collapsed="false">
      <c r="A128" s="0" t="s">
        <v>1514</v>
      </c>
      <c r="B128" s="0" t="s">
        <v>1388</v>
      </c>
      <c r="D128" s="8" t="str">
        <f aca="false">IF(ISNUMBER(ai2_orcl_2024),ai2_orcl_2024/ai_sh*ai_sh_lo,"")</f>
        <v/>
      </c>
      <c r="E128" s="8" t="n">
        <f aca="false">IF(ISNUMBER(ai2_orcl_2025),ai2_orcl_2025/ai_sh*ai_sh_lo,"")</f>
        <v>30.98225</v>
      </c>
      <c r="F128" s="8" t="n">
        <f aca="false">IF(ISNUMBER(ai2_orcl_2026),ai2_orcl_2026/ai_sh*ai_sh_lo,"")</f>
        <v>57.8634375</v>
      </c>
      <c r="G128" s="8" t="n">
        <f aca="false">IF(ISNUMBER(ai2_orcl_2027),ai2_orcl_2027/ai_sh*ai_sh_lo,"")</f>
        <v>73.077125</v>
      </c>
      <c r="H128" s="8" t="n">
        <f aca="false">IF(ISNUMBER(ai2_orcl_2028),ai2_orcl_2028/ai_sh*ai_sh_lo,"")</f>
        <v>68.671625</v>
      </c>
      <c r="I128" s="8" t="n">
        <f aca="false">IF(ISNUMBER(ai2_orcl_2029),ai2_orcl_2029/ai_sh*ai_sh_lo,"")</f>
        <v>67.3481</v>
      </c>
    </row>
    <row r="129" customFormat="false" ht="17.15" hidden="false" customHeight="false" outlineLevel="0" collapsed="false">
      <c r="A129" s="0" t="s">
        <v>1515</v>
      </c>
      <c r="B129" s="0" t="s">
        <v>1390</v>
      </c>
      <c r="D129" s="8" t="n">
        <f aca="false">IF(ISNUMBER(D128),(pit_orcl_2024/(pit_orcl_2024+pfac_orcl_2024)*D128+pfac_orcl_2024/(pit_orcl_2024+pfac_orcl_2024)*IF(AND(ISNUMBER(""),ISNUMBER("")),wb1*""+wb2*"",IF(ISNUMBER(""),"",D128)))/(pit_orcl_2024+pfac_orcl_2024),site_orcl_2024)</f>
        <v>0</v>
      </c>
      <c r="E129" s="8" t="n">
        <f aca="false">IF(ISNUMBER(E128),(pit_orcl_2025/(pit_orcl_2025+pfac_orcl_2025)*E128+pfac_orcl_2025/(pit_orcl_2025+pfac_orcl_2025)*IF(AND(ISNUMBER(D128),ISNUMBER("")),wb1*D128+wb2*"",IF(ISNUMBER(D128),D128,E128)))/(pit_orcl_2025+pfac_orcl_2025),site_orcl_2025)</f>
        <v>0.78156742786547</v>
      </c>
      <c r="F129" s="8" t="n">
        <f aca="false">IF(ISNUMBER(F128),(pit_orcl_2026/(pit_orcl_2026+pfac_orcl_2026)*F128+pfac_orcl_2026/(pit_orcl_2026+pfac_orcl_2026)*IF(AND(ISNUMBER(E128),ISNUMBER(D128)),wb1*E128+wb2*D128,IF(ISNUMBER(E128),E128,F128)))/(pit_orcl_2026+pfac_orcl_2026),site_orcl_2026)</f>
        <v>1.11767585240842</v>
      </c>
      <c r="G129" s="8" t="n">
        <f aca="false">IF(ISNUMBER(G128),(pit_orcl_2027/(pit_orcl_2027+pfac_orcl_2027)*G128+pfac_orcl_2027/(pit_orcl_2027+pfac_orcl_2027)*IF(AND(ISNUMBER(F128),ISNUMBER(E128)),wb1*F128+wb2*E128,IF(ISNUMBER(F128),F128,G128)))/(pit_orcl_2027+pfac_orcl_2027),site_orcl_2027)</f>
        <v>1.35261987317665</v>
      </c>
      <c r="H129" s="8" t="n">
        <f aca="false">IF(ISNUMBER(H128),(pit_orcl_2028/(pit_orcl_2028+pfac_orcl_2028)*H128+pfac_orcl_2028/(pit_orcl_2028+pfac_orcl_2028)*IF(AND(ISNUMBER(G128),ISNUMBER(F128)),wb1*G128+wb2*F128,IF(ISNUMBER(G128),G128,H128)))/(pit_orcl_2028+pfac_orcl_2028),site_orcl_2028)</f>
        <v>1.33257167346865</v>
      </c>
      <c r="I129" s="8" t="n">
        <f aca="false">IF(ISNUMBER(I128),(pit_orcl_2029/(pit_orcl_2029+pfac_orcl_2029)*I128+pfac_orcl_2029/(pit_orcl_2029+pfac_orcl_2029)*IF(AND(ISNUMBER(H128),ISNUMBER(G128)),wb1*H128+wb2*G128,IF(ISNUMBER(H128),H128,I128)))/(pit_orcl_2029+pfac_orcl_2029),site_orcl_2029)</f>
        <v>1.33885897817353</v>
      </c>
    </row>
    <row r="130" customFormat="false" ht="17.15" hidden="false" customHeight="false" outlineLevel="0" collapsed="false">
      <c r="A130" s="0" t="s">
        <v>1516</v>
      </c>
      <c r="B130" s="0" t="s">
        <v>1392</v>
      </c>
      <c r="E130" s="8" t="n">
        <f aca="false">(1-lag)*E129+lag*D129-inv_k*(E129-D129)</f>
        <v>0.410322899629372</v>
      </c>
      <c r="F130" s="8" t="n">
        <f aca="false">(1-lag)*F129+lag*E129-inv_k*(F129-E129)</f>
        <v>0.95802435075052</v>
      </c>
      <c r="G130" s="8" t="n">
        <f aca="false">(1-lag)*G129+lag*F129-inv_k*(G129-F129)</f>
        <v>1.24102146331174</v>
      </c>
      <c r="H130" s="8" t="n">
        <f aca="false">(1-lag)*H129+lag*G129-inv_k*(H129-G129)</f>
        <v>1.34209456832995</v>
      </c>
      <c r="I130" s="8" t="n">
        <f aca="false">(1-lag)*I129+lag*H129-inv_k*(I129-H129)</f>
        <v>1.33587250843871</v>
      </c>
    </row>
    <row r="131" customFormat="false" ht="17.15" hidden="false" customHeight="false" outlineLevel="0" collapsed="false">
      <c r="A131" s="0" t="s">
        <v>1517</v>
      </c>
      <c r="B131" s="0" t="s">
        <v>1394</v>
      </c>
      <c r="D131" s="8" t="str">
        <f aca="false">""</f>
        <v/>
      </c>
      <c r="E131" s="8" t="n">
        <f aca="false">(5/12*cap2_orcl_2025+7/12*gcap_orcl_2026)*ai_sh_lo</f>
        <v>30.98225</v>
      </c>
      <c r="F131" s="8" t="n">
        <f aca="false">(5/12*gcap_orcl_2026+7/12*gcap_orcl_2027)*ai_sh_lo</f>
        <v>57.8634375</v>
      </c>
      <c r="G131" s="8" t="n">
        <f aca="false">(5/12*gcap_orcl_2027+7/12*gcap_orcl_2028)*ai_sh_lo</f>
        <v>66.705167625</v>
      </c>
      <c r="H131" s="8" t="n">
        <f aca="false">(5/12*gcap_orcl_2028+7/12*gcap_orcl_2029)*ai_sh_lo</f>
        <v>43.6266606875</v>
      </c>
      <c r="I131" s="8" t="n">
        <f aca="false">(5/12*gcap_orcl_2029+7/12*gcap_orcl_2030)*ai_sh_lo</f>
        <v>20.631841875</v>
      </c>
    </row>
    <row r="132" customFormat="false" ht="17.15" hidden="false" customHeight="false" outlineLevel="0" collapsed="false">
      <c r="A132" s="0" t="s">
        <v>1518</v>
      </c>
      <c r="B132" s="0" t="s">
        <v>1390</v>
      </c>
      <c r="D132" s="8" t="n">
        <f aca="false">IF(ISNUMBER(D131),(pit_orcl_2024/(pit_orcl_2024+pfac_orcl_2024)*D131+pfac_orcl_2024/(pit_orcl_2024+pfac_orcl_2024)*IF(AND(ISNUMBER(""),ISNUMBER("")),wb1*""+wb2*"",IF(ISNUMBER(""),"",D131)))/(pit_orcl_2024+pfac_orcl_2024),site_orcl_2024)</f>
        <v>0</v>
      </c>
      <c r="E132" s="8" t="n">
        <f aca="false">IF(ISNUMBER(E131),(pit_orcl_2025/(pit_orcl_2025+pfac_orcl_2025)*E131+pfac_orcl_2025/(pit_orcl_2025+pfac_orcl_2025)*IF(AND(ISNUMBER(D131),ISNUMBER("")),wb1*D131+wb2*"",IF(ISNUMBER(D131),D131,E131)))/(pit_orcl_2025+pfac_orcl_2025),site_orcl_2025)</f>
        <v>0.78156742786547</v>
      </c>
      <c r="F132" s="8" t="n">
        <f aca="false">IF(ISNUMBER(F131),(pit_orcl_2026/(pit_orcl_2026+pfac_orcl_2026)*F131+pfac_orcl_2026/(pit_orcl_2026+pfac_orcl_2026)*IF(AND(ISNUMBER(E131),ISNUMBER(D131)),wb1*E131+wb2*D131,IF(ISNUMBER(E131),E131,F131)))/(pit_orcl_2026+pfac_orcl_2026),site_orcl_2026)</f>
        <v>1.11767585240842</v>
      </c>
      <c r="G132" s="8" t="n">
        <f aca="false">IF(ISNUMBER(G131),(pit_orcl_2027/(pit_orcl_2027+pfac_orcl_2027)*G131+pfac_orcl_2027/(pit_orcl_2027+pfac_orcl_2027)*IF(AND(ISNUMBER(F131),ISNUMBER(E131)),wb1*F131+wb2*E131,IF(ISNUMBER(F131),F131,G131)))/(pit_orcl_2027+pfac_orcl_2027),site_orcl_2027)</f>
        <v>1.25448602751483</v>
      </c>
      <c r="H132" s="8" t="n">
        <f aca="false">IF(ISNUMBER(H131),(pit_orcl_2028/(pit_orcl_2028+pfac_orcl_2028)*H131+pfac_orcl_2028/(pit_orcl_2028+pfac_orcl_2028)*IF(AND(ISNUMBER(G131),ISNUMBER(F131)),wb1*G131+wb2*F131,IF(ISNUMBER(G131),G131,H131)))/(pit_orcl_2028+pfac_orcl_2028),site_orcl_2028)</f>
        <v>0.943442234305373</v>
      </c>
      <c r="I132" s="8" t="n">
        <f aca="false">IF(ISNUMBER(I131),(pit_orcl_2029/(pit_orcl_2029+pfac_orcl_2029)*I131+pfac_orcl_2029/(pit_orcl_2029+pfac_orcl_2029)*IF(AND(ISNUMBER(H131),ISNUMBER(G131)),wb1*H131+wb2*G131,IF(ISNUMBER(H131),H131,I131)))/(pit_orcl_2029+pfac_orcl_2029),site_orcl_2029)</f>
        <v>0.566884894474369</v>
      </c>
    </row>
    <row r="133" customFormat="false" ht="17.15" hidden="false" customHeight="false" outlineLevel="0" collapsed="false">
      <c r="A133" s="0" t="s">
        <v>1519</v>
      </c>
      <c r="B133" s="0" t="s">
        <v>1392</v>
      </c>
      <c r="E133" s="8" t="n">
        <f aca="false">(1-lag)*E132+lag*D132-inv_k*(E132-D132)</f>
        <v>0.410322899629372</v>
      </c>
      <c r="F133" s="8" t="n">
        <f aca="false">(1-lag)*F132+lag*E132-inv_k*(F132-E132)</f>
        <v>0.95802435075052</v>
      </c>
      <c r="G133" s="8" t="n">
        <f aca="false">(1-lag)*G132+lag*F132-inv_k*(G132-F132)</f>
        <v>1.18950119433929</v>
      </c>
      <c r="H133" s="8" t="n">
        <f aca="false">(1-lag)*H132+lag*G132-inv_k*(H132-G132)</f>
        <v>1.09118803607986</v>
      </c>
      <c r="I133" s="8" t="n">
        <f aca="false">(1-lag)*I132+lag*H132-inv_k*(I132-H132)</f>
        <v>0.745749630894096</v>
      </c>
    </row>
    <row r="134" customFormat="false" ht="17.15" hidden="false" customHeight="false" outlineLevel="0" collapsed="false">
      <c r="A134" s="0" t="s">
        <v>1520</v>
      </c>
      <c r="B134" s="0" t="s">
        <v>1398</v>
      </c>
      <c r="E134" s="8" t="n">
        <f aca="false">E133*(1-nnv_orcl_2025)</f>
        <v>0.312579854145995</v>
      </c>
      <c r="F134" s="8" t="n">
        <f aca="false">F133*(1-nnv_orcl_2026)</f>
        <v>0.729813305804765</v>
      </c>
      <c r="G134" s="8" t="n">
        <f aca="false">G133*(1-nnv_orcl_2027)</f>
        <v>0.864646203072127</v>
      </c>
      <c r="H134" s="8" t="n">
        <f aca="false">H133*(1-nnv_orcl_2028)</f>
        <v>0.796980394358568</v>
      </c>
      <c r="I134" s="8" t="n">
        <f aca="false">I133*(1-nnv_orcl_2029)</f>
        <v>0.542765896218566</v>
      </c>
    </row>
    <row r="135" customFormat="false" ht="17.15" hidden="false" customHeight="false" outlineLevel="0" collapsed="false">
      <c r="A135" s="0" t="s">
        <v>1521</v>
      </c>
      <c r="B135" s="0" t="s">
        <v>1400</v>
      </c>
      <c r="D135" s="8" t="n">
        <f aca="false">site_orcl_2024</f>
        <v>0</v>
      </c>
      <c r="E135" s="8" t="n">
        <f aca="false">site_orcl_2025</f>
        <v>0.816405</v>
      </c>
      <c r="F135" s="8" t="n">
        <f aca="false">site_orcl_2026</f>
        <v>1.54613</v>
      </c>
      <c r="G135" s="8" t="n">
        <f aca="false">site_orcl_2027</f>
        <v>0.944166666666667</v>
      </c>
      <c r="H135" s="8" t="n">
        <f aca="false">site_orcl_2028</f>
        <v>4.91166666666667</v>
      </c>
      <c r="I135" s="8" t="n">
        <f aca="false">site_orcl_2029</f>
        <v>0</v>
      </c>
    </row>
    <row r="136" customFormat="false" ht="17.15" hidden="false" customHeight="false" outlineLevel="0" collapsed="false">
      <c r="A136" s="0" t="s">
        <v>1522</v>
      </c>
      <c r="B136" s="0" t="s">
        <v>1402</v>
      </c>
      <c r="D136" s="8" t="n">
        <f aca="false">main_orcl_2024</f>
        <v>0</v>
      </c>
      <c r="E136" s="8" t="n">
        <f aca="false">main_orcl_2025</f>
        <v>0.816405</v>
      </c>
      <c r="F136" s="8" t="n">
        <f aca="false">main_orcl_2026</f>
        <v>1.54613</v>
      </c>
      <c r="G136" s="8" t="n">
        <f aca="false">main_orcl_2027</f>
        <v>1.53296918960021</v>
      </c>
      <c r="H136" s="8" t="n">
        <f aca="false">main_orcl_2028</f>
        <v>1.51024789659781</v>
      </c>
      <c r="I136" s="8" t="n">
        <f aca="false">main_orcl_2029</f>
        <v>1.51737350859666</v>
      </c>
    </row>
    <row r="137" customFormat="false" ht="17.15" hidden="false" customHeight="false" outlineLevel="0" collapsed="false">
      <c r="A137" s="0" t="s">
        <v>1523</v>
      </c>
      <c r="B137" s="0" t="s">
        <v>1404</v>
      </c>
      <c r="D137" s="8" t="str">
        <f aca="false">IF(ISNUMBER(ai2_crwv_2024),ai2_crwv_2024/ai_sh*ai_sh_lo,"")</f>
        <v/>
      </c>
      <c r="E137" s="8" t="str">
        <f aca="false">IF(ISNUMBER(ai2_crwv_2025),ai2_crwv_2025/ai_sh*ai_sh_lo,"")</f>
        <v/>
      </c>
      <c r="F137" s="8" t="n">
        <f aca="false">IF(ISNUMBER(ai2_crwv_2026),ai2_crwv_2026/ai_sh*ai_sh_lo,"")</f>
        <v>27.75</v>
      </c>
      <c r="G137" s="8" t="n">
        <f aca="false">IF(ISNUMBER(ai2_crwv_2027),ai2_crwv_2027/ai_sh*ai_sh_lo,"")</f>
        <v>34.857</v>
      </c>
      <c r="H137" s="8" t="n">
        <f aca="false">IF(ISNUMBER(ai2_crwv_2028),ai2_crwv_2028/ai_sh*ai_sh_lo,"")</f>
        <v>37.59675</v>
      </c>
      <c r="I137" s="8" t="n">
        <f aca="false">IF(ISNUMBER(ai2_crwv_2029),ai2_crwv_2029/ai_sh*ai_sh_lo,"")</f>
        <v>41.356425</v>
      </c>
    </row>
    <row r="138" customFormat="false" ht="17.15" hidden="false" customHeight="false" outlineLevel="0" collapsed="false">
      <c r="A138" s="0" t="s">
        <v>1524</v>
      </c>
      <c r="B138" s="0" t="s">
        <v>1406</v>
      </c>
      <c r="D138" s="8" t="n">
        <f aca="false">IF(ISNUMBER(D137),(pit_crwv_2024/(pit_crwv_2024+pfac_crwv_2024)*D137+pfac_crwv_2024/(pit_crwv_2024+pfac_crwv_2024)*IF(AND(ISNUMBER(""),ISNUMBER("")),wb1*""+wb2*"",IF(ISNUMBER(""),"",D137)))/(pit_crwv_2024+pfac_crwv_2024),site_crwv_2024)</f>
        <v>0.29</v>
      </c>
      <c r="E138" s="8" t="n">
        <f aca="false">IF(ISNUMBER(E137),(pit_crwv_2025/(pit_crwv_2025+pfac_crwv_2025)*E137+pfac_crwv_2025/(pit_crwv_2025+pfac_crwv_2025)*IF(AND(ISNUMBER(D137),ISNUMBER("")),wb1*D137+wb2*"",IF(ISNUMBER(D137),D137,E137)))/(pit_crwv_2025+pfac_crwv_2025),site_crwv_2025)</f>
        <v>0.49</v>
      </c>
      <c r="F138" s="8" t="n">
        <f aca="false">IF(ISNUMBER(F137),(pit_crwv_2026/(pit_crwv_2026+pfac_crwv_2026)*F137+pfac_crwv_2026/(pit_crwv_2026+pfac_crwv_2026)*IF(AND(ISNUMBER(E137),ISNUMBER(D137)),wb1*E137+wb2*D137,IF(ISNUMBER(E137),E137,F137)))/(pit_crwv_2026+pfac_crwv_2026),site_crwv_2026)</f>
        <v>0.602160850501411</v>
      </c>
      <c r="G138" s="8" t="n">
        <f aca="false">IF(ISNUMBER(G137),(pit_crwv_2027/(pit_crwv_2027+pfac_crwv_2027)*G137+pfac_crwv_2027/(pit_crwv_2027+pfac_crwv_2027)*IF(AND(ISNUMBER(F137),ISNUMBER(E137)),wb1*F137+wb2*E137,IF(ISNUMBER(F137),F137,G137)))/(pit_crwv_2027+pfac_crwv_2027),site_crwv_2027)</f>
        <v>0.648725843301762</v>
      </c>
      <c r="H138" s="8" t="n">
        <f aca="false">IF(ISNUMBER(H137),(pit_crwv_2028/(pit_crwv_2028+pfac_crwv_2028)*H137+pfac_crwv_2028/(pit_crwv_2028+pfac_crwv_2028)*IF(AND(ISNUMBER(G137),ISNUMBER(F137)),wb1*G137+wb2*F137,IF(ISNUMBER(G137),G137,H137)))/(pit_crwv_2028+pfac_crwv_2028),site_crwv_2028)</f>
        <v>0.668860846948401</v>
      </c>
      <c r="I138" s="8" t="n">
        <f aca="false">IF(ISNUMBER(I137),(pit_crwv_2029/(pit_crwv_2029+pfac_crwv_2029)*I137+pfac_crwv_2029/(pit_crwv_2029+pfac_crwv_2029)*IF(AND(ISNUMBER(H137),ISNUMBER(G137)),wb1*H137+wb2*G137,IF(ISNUMBER(H137),H137,I137)))/(pit_crwv_2029+pfac_crwv_2029),site_crwv_2029)</f>
        <v>0.743536856784068</v>
      </c>
    </row>
    <row r="139" customFormat="false" ht="17.15" hidden="false" customHeight="false" outlineLevel="0" collapsed="false">
      <c r="A139" s="0" t="s">
        <v>1525</v>
      </c>
      <c r="B139" s="0" t="s">
        <v>1408</v>
      </c>
      <c r="E139" s="8" t="n">
        <f aca="false">(1-lag)*E138+lag*D138-inv_k*(E138-D138)</f>
        <v>0.395</v>
      </c>
      <c r="F139" s="8" t="n">
        <f aca="false">(1-lag)*F138+lag*E138-inv_k*(F138-E138)</f>
        <v>0.548884446513241</v>
      </c>
      <c r="G139" s="8" t="n">
        <f aca="false">(1-lag)*G138+lag*F138-inv_k*(G138-F138)</f>
        <v>0.626607471721595</v>
      </c>
      <c r="H139" s="8" t="n">
        <f aca="false">(1-lag)*H138+lag*G138-inv_k*(H138-G138)</f>
        <v>0.659296720216247</v>
      </c>
      <c r="I139" s="8" t="n">
        <f aca="false">(1-lag)*I138+lag*H138-inv_k*(I138-H138)</f>
        <v>0.708065752112126</v>
      </c>
    </row>
    <row r="140" customFormat="false" ht="17.15" hidden="false" customHeight="false" outlineLevel="0" collapsed="false">
      <c r="A140" s="0" t="s">
        <v>1526</v>
      </c>
      <c r="B140" s="0" t="s">
        <v>1410</v>
      </c>
      <c r="D140" s="8" t="str">
        <f aca="false">""</f>
        <v/>
      </c>
      <c r="E140" s="8" t="str">
        <f aca="false">""</f>
        <v/>
      </c>
      <c r="F140" s="8" t="n">
        <f aca="false">gcap_crwv_2026*ai_sh_lo</f>
        <v>24.7335</v>
      </c>
      <c r="G140" s="8" t="n">
        <f aca="false">gcap_crwv_2027*ai_sh_lo</f>
        <v>29.52228075</v>
      </c>
      <c r="H140" s="8" t="n">
        <f aca="false">gcap_crwv_2028*ai_sh_lo</f>
        <v>24.3841455</v>
      </c>
      <c r="I140" s="8" t="n">
        <f aca="false">gcap_crwv_2029*ai_sh_lo</f>
        <v>24.5250945</v>
      </c>
    </row>
    <row r="141" customFormat="false" ht="17.15" hidden="false" customHeight="false" outlineLevel="0" collapsed="false">
      <c r="A141" s="0" t="s">
        <v>1527</v>
      </c>
      <c r="B141" s="0" t="s">
        <v>1406</v>
      </c>
      <c r="D141" s="8" t="n">
        <f aca="false">IF(ISNUMBER(D140),(pit_crwv_2024/(pit_crwv_2024+pfac_crwv_2024)*D140+pfac_crwv_2024/(pit_crwv_2024+pfac_crwv_2024)*IF(AND(ISNUMBER(""),ISNUMBER("")),wb1*""+wb2*"",IF(ISNUMBER(""),"",D140)))/(pit_crwv_2024+pfac_crwv_2024),site_crwv_2024)</f>
        <v>0.29</v>
      </c>
      <c r="E141" s="8" t="n">
        <f aca="false">IF(ISNUMBER(E140),(pit_crwv_2025/(pit_crwv_2025+pfac_crwv_2025)*E140+pfac_crwv_2025/(pit_crwv_2025+pfac_crwv_2025)*IF(AND(ISNUMBER(D140),ISNUMBER("")),wb1*D140+wb2*"",IF(ISNUMBER(D140),D140,E140)))/(pit_crwv_2025+pfac_crwv_2025),site_crwv_2025)</f>
        <v>0.49</v>
      </c>
      <c r="F141" s="8" t="n">
        <f aca="false">IF(ISNUMBER(F140),(pit_crwv_2026/(pit_crwv_2026+pfac_crwv_2026)*F140+pfac_crwv_2026/(pit_crwv_2026+pfac_crwv_2026)*IF(AND(ISNUMBER(E140),ISNUMBER(D140)),wb1*E140+wb2*D140,IF(ISNUMBER(E140),E140,F140)))/(pit_crwv_2026+pfac_crwv_2026),site_crwv_2026)</f>
        <v>0.53670433859015</v>
      </c>
      <c r="G141" s="8" t="n">
        <f aca="false">IF(ISNUMBER(G140),(pit_crwv_2027/(pit_crwv_2027+pfac_crwv_2027)*G140+pfac_crwv_2027/(pit_crwv_2027+pfac_crwv_2027)*IF(AND(ISNUMBER(F140),ISNUMBER(E140)),wb1*F140+wb2*E140,IF(ISNUMBER(F140),F140,G140)))/(pit_crwv_2027+pfac_crwv_2027),site_crwv_2027)</f>
        <v>0.555432727528068</v>
      </c>
      <c r="H141" s="8" t="n">
        <f aca="false">IF(ISNUMBER(H140),(pit_crwv_2028/(pit_crwv_2028+pfac_crwv_2028)*H140+pfac_crwv_2028/(pit_crwv_2028+pfac_crwv_2028)*IF(AND(ISNUMBER(G140),ISNUMBER(F140)),wb1*G140+wb2*F140,IF(ISNUMBER(G140),G140,H140)))/(pit_crwv_2028+pfac_crwv_2028),site_crwv_2028)</f>
        <v>0.463456730207979</v>
      </c>
      <c r="I141" s="8" t="n">
        <f aca="false">IF(ISNUMBER(I140),(pit_crwv_2029/(pit_crwv_2029+pfac_crwv_2029)*I140+pfac_crwv_2029/(pit_crwv_2029+pfac_crwv_2029)*IF(AND(ISNUMBER(H140),ISNUMBER(G140)),wb1*H140+wb2*G140,IF(ISNUMBER(H140),H140,I140)))/(pit_crwv_2029+pfac_crwv_2029),site_crwv_2029)</f>
        <v>0.464695509416408</v>
      </c>
    </row>
    <row r="142" customFormat="false" ht="17.15" hidden="false" customHeight="false" outlineLevel="0" collapsed="false">
      <c r="A142" s="0" t="s">
        <v>1528</v>
      </c>
      <c r="B142" s="0" t="s">
        <v>1408</v>
      </c>
      <c r="E142" s="8" t="n">
        <f aca="false">(1-lag)*E141+lag*D141-inv_k*(E141-D141)</f>
        <v>0.395</v>
      </c>
      <c r="F142" s="8" t="n">
        <f aca="false">(1-lag)*F141+lag*E141-inv_k*(F141-E141)</f>
        <v>0.514519777759829</v>
      </c>
      <c r="G142" s="8" t="n">
        <f aca="false">(1-lag)*G141+lag*F141-inv_k*(G141-F141)</f>
        <v>0.546536742782557</v>
      </c>
      <c r="H142" s="8" t="n">
        <f aca="false">(1-lag)*H141+lag*G141-inv_k*(H141-G141)</f>
        <v>0.507145328935022</v>
      </c>
      <c r="I142" s="8" t="n">
        <f aca="false">(1-lag)*I141+lag*H141-inv_k*(I141-H141)</f>
        <v>0.464107089292404</v>
      </c>
    </row>
    <row r="143" customFormat="false" ht="17.15" hidden="false" customHeight="false" outlineLevel="0" collapsed="false">
      <c r="A143" s="0" t="s">
        <v>1529</v>
      </c>
      <c r="B143" s="0" t="s">
        <v>1414</v>
      </c>
      <c r="E143" s="8" t="n">
        <f aca="false">E142*(1-nnv_crwv_2025)</f>
        <v>0.395</v>
      </c>
      <c r="F143" s="8" t="n">
        <f aca="false">F142*(1-nnv_crwv_2026)</f>
        <v>0.514519777759829</v>
      </c>
      <c r="G143" s="8" t="n">
        <f aca="false">G142*(1-nnv_crwv_2027)</f>
        <v>0.546536742782557</v>
      </c>
      <c r="H143" s="8" t="n">
        <f aca="false">H142*(1-nnv_crwv_2028)</f>
        <v>0.507145328935022</v>
      </c>
      <c r="I143" s="8" t="n">
        <f aca="false">I142*(1-nnv_crwv_2029)</f>
        <v>0.464107089292404</v>
      </c>
    </row>
    <row r="144" customFormat="false" ht="17.15" hidden="false" customHeight="false" outlineLevel="0" collapsed="false">
      <c r="A144" s="0" t="s">
        <v>1530</v>
      </c>
      <c r="B144" s="0" t="s">
        <v>1416</v>
      </c>
      <c r="D144" s="8" t="n">
        <f aca="false">site_crwv_2024</f>
        <v>0.29</v>
      </c>
      <c r="E144" s="8" t="n">
        <f aca="false">site_crwv_2025</f>
        <v>0.49</v>
      </c>
      <c r="F144" s="8" t="n">
        <f aca="false">site_crwv_2026</f>
        <v>1</v>
      </c>
      <c r="G144" s="8" t="n">
        <f aca="false">site_crwv_2027</f>
        <v>1.5375</v>
      </c>
      <c r="H144" s="8" t="n">
        <f aca="false">site_crwv_2028</f>
        <v>1.5375</v>
      </c>
      <c r="I144" s="8" t="n">
        <f aca="false">site_crwv_2029</f>
        <v>1.5375</v>
      </c>
    </row>
    <row r="145" customFormat="false" ht="17.15" hidden="false" customHeight="false" outlineLevel="0" collapsed="false">
      <c r="A145" s="0" t="s">
        <v>1531</v>
      </c>
      <c r="B145" s="0" t="s">
        <v>1418</v>
      </c>
      <c r="D145" s="8" t="n">
        <f aca="false">main_crwv_2024</f>
        <v>0.29</v>
      </c>
      <c r="E145" s="8" t="n">
        <f aca="false">main_crwv_2025</f>
        <v>0.49</v>
      </c>
      <c r="F145" s="8" t="n">
        <f aca="false">main_crwv_2026</f>
        <v>1</v>
      </c>
      <c r="G145" s="8" t="n">
        <f aca="false">main_crwv_2027</f>
        <v>1.5375</v>
      </c>
      <c r="H145" s="8" t="n">
        <f aca="false">main_crwv_2028</f>
        <v>0.758042293208187</v>
      </c>
      <c r="I145" s="8" t="n">
        <f aca="false">main_crwv_2029</f>
        <v>0.842675104355277</v>
      </c>
    </row>
    <row r="146" customFormat="false" ht="17.15" hidden="false" customHeight="false" outlineLevel="0" collapsed="false">
      <c r="A146" s="0" t="s">
        <v>1532</v>
      </c>
      <c r="B146" s="0" t="s">
        <v>1420</v>
      </c>
      <c r="D146" s="8" t="str">
        <f aca="false">IF(ISNUMBER(ai2_nbis_2024),ai2_nbis_2024/ai_sh*ai_sh_lo,"")</f>
        <v/>
      </c>
      <c r="E146" s="8" t="n">
        <f aca="false">IF(ISNUMBER(ai2_nbis_2025),ai2_nbis_2025/ai_sh*ai_sh_lo,"")</f>
        <v>3.0495</v>
      </c>
      <c r="F146" s="8" t="n">
        <f aca="false">IF(ISNUMBER(ai2_nbis_2026),ai2_nbis_2026/ai_sh*ai_sh_lo,"")</f>
        <v>16.875</v>
      </c>
      <c r="G146" s="8" t="n">
        <f aca="false">IF(ISNUMBER(ai2_nbis_2027),ai2_nbis_2027/ai_sh*ai_sh_lo,"")</f>
        <v>20.43225</v>
      </c>
      <c r="H146" s="8" t="n">
        <f aca="false">IF(ISNUMBER(ai2_nbis_2028),ai2_nbis_2028/ai_sh*ai_sh_lo,"")</f>
        <v>28.7925</v>
      </c>
      <c r="I146" s="8" t="n">
        <f aca="false">IF(ISNUMBER(ai2_nbis_2029),ai2_nbis_2029/ai_sh*ai_sh_lo,"")</f>
        <v>31.67175</v>
      </c>
    </row>
    <row r="147" customFormat="false" ht="17.15" hidden="false" customHeight="false" outlineLevel="0" collapsed="false">
      <c r="A147" s="0" t="s">
        <v>1533</v>
      </c>
      <c r="B147" s="0" t="s">
        <v>1422</v>
      </c>
      <c r="D147" s="8" t="n">
        <f aca="false">IF(ISNUMBER(D146),(pit_nbis_2024/(pit_nbis_2024+pfac_nbis_2024)*D146+pfac_nbis_2024/(pit_nbis_2024+pfac_nbis_2024)*IF(AND(ISNUMBER(""),ISNUMBER("")),wb1*""+wb2*"",IF(ISNUMBER(""),"",D146)))/(pit_nbis_2024+pfac_nbis_2024),site_nbis_2024)</f>
        <v>0</v>
      </c>
      <c r="E147" s="8" t="n">
        <f aca="false">IF(ISNUMBER(E146),(pit_nbis_2025/(pit_nbis_2025+pfac_nbis_2025)*E146+pfac_nbis_2025/(pit_nbis_2025+pfac_nbis_2025)*IF(AND(ISNUMBER(D146),ISNUMBER("")),wb1*D146+wb2*"",IF(ISNUMBER(D146),D146,E146)))/(pit_nbis_2025+pfac_nbis_2025),site_nbis_2025)</f>
        <v>0.0788410523019571</v>
      </c>
      <c r="F147" s="8" t="n">
        <f aca="false">IF(ISNUMBER(F146),(pit_nbis_2026/(pit_nbis_2026+pfac_nbis_2026)*F146+pfac_nbis_2026/(pit_nbis_2026+pfac_nbis_2026)*IF(AND(ISNUMBER(E146),ISNUMBER(D146)),wb1*E146+wb2*D146,IF(ISNUMBER(E146),E146,F146)))/(pit_nbis_2026+pfac_nbis_2026),site_nbis_2026)</f>
        <v>0.283697401464257</v>
      </c>
      <c r="G147" s="8" t="n">
        <f aca="false">IF(ISNUMBER(G146),(pit_nbis_2027/(pit_nbis_2027+pfac_nbis_2027)*G146+pfac_nbis_2027/(pit_nbis_2027+pfac_nbis_2027)*IF(AND(ISNUMBER(F146),ISNUMBER(E146)),wb1*F146+wb2*E146,IF(ISNUMBER(F146),F146,G146)))/(pit_nbis_2027+pfac_nbis_2027),site_nbis_2027)</f>
        <v>0.349570029288127</v>
      </c>
      <c r="H147" s="8" t="n">
        <f aca="false">IF(ISNUMBER(H146),(pit_nbis_2028/(pit_nbis_2028+pfac_nbis_2028)*H146+pfac_nbis_2028/(pit_nbis_2028+pfac_nbis_2028)*IF(AND(ISNUMBER(G146),ISNUMBER(F146)),wb1*G146+wb2*F146,IF(ISNUMBER(G146),G146,H146)))/(pit_nbis_2028+pfac_nbis_2028),site_nbis_2028)</f>
        <v>0.489119500720723</v>
      </c>
      <c r="I147" s="8" t="n">
        <f aca="false">IF(ISNUMBER(I146),(pit_nbis_2029/(pit_nbis_2029+pfac_nbis_2029)*I146+pfac_nbis_2029/(pit_nbis_2029+pfac_nbis_2029)*IF(AND(ISNUMBER(H146),ISNUMBER(G146)),wb1*H146+wb2*G146,IF(ISNUMBER(H146),H146,I146)))/(pit_nbis_2029+pfac_nbis_2029),site_nbis_2029)</f>
        <v>0.555815465068891</v>
      </c>
    </row>
    <row r="148" customFormat="false" ht="17.15" hidden="false" customHeight="false" outlineLevel="0" collapsed="false">
      <c r="A148" s="0" t="s">
        <v>1534</v>
      </c>
      <c r="B148" s="0" t="s">
        <v>1424</v>
      </c>
      <c r="E148" s="8" t="n">
        <f aca="false">(1-lag)*E147+lag*D147-inv_k*(E147-D147)</f>
        <v>0.0413915524585275</v>
      </c>
      <c r="F148" s="8" t="n">
        <f aca="false">(1-lag)*F147+lag*E147-inv_k*(F147-E147)</f>
        <v>0.186390635612164</v>
      </c>
      <c r="G148" s="8" t="n">
        <f aca="false">(1-lag)*G147+lag*F147-inv_k*(G147-F147)</f>
        <v>0.318280531071789</v>
      </c>
      <c r="H148" s="8" t="n">
        <f aca="false">(1-lag)*H147+lag*G147-inv_k*(H147-G147)</f>
        <v>0.42283350179024</v>
      </c>
      <c r="I148" s="8" t="n">
        <f aca="false">(1-lag)*I147+lag*H147-inv_k*(I147-H147)</f>
        <v>0.524134882003511</v>
      </c>
    </row>
    <row r="149" customFormat="false" ht="17.15" hidden="false" customHeight="false" outlineLevel="0" collapsed="false">
      <c r="A149" s="0" t="s">
        <v>1535</v>
      </c>
      <c r="B149" s="0" t="s">
        <v>1426</v>
      </c>
      <c r="D149" s="8" t="str">
        <f aca="false">""</f>
        <v/>
      </c>
      <c r="E149" s="8" t="n">
        <f aca="false">cap2_nbis_2025*ai_sh_lo</f>
        <v>3.0495</v>
      </c>
      <c r="F149" s="8" t="n">
        <f aca="false">gcap_nbis_2026*ai_sh_lo</f>
        <v>19.5346425</v>
      </c>
      <c r="G149" s="8" t="n">
        <f aca="false">gcap_nbis_2027*ai_sh_lo</f>
        <v>20.69807775</v>
      </c>
      <c r="H149" s="8" t="n">
        <f aca="false">gcap_nbis_2028*ai_sh_lo</f>
        <v>21.861513</v>
      </c>
      <c r="I149" s="8" t="n">
        <f aca="false">gcap_nbis_2029*ai_sh_lo</f>
        <v>21.861513</v>
      </c>
    </row>
    <row r="150" customFormat="false" ht="17.15" hidden="false" customHeight="false" outlineLevel="0" collapsed="false">
      <c r="A150" s="0" t="s">
        <v>1536</v>
      </c>
      <c r="B150" s="0" t="s">
        <v>1422</v>
      </c>
      <c r="D150" s="8" t="n">
        <f aca="false">IF(ISNUMBER(D149),(pit_nbis_2024/(pit_nbis_2024+pfac_nbis_2024)*D149+pfac_nbis_2024/(pit_nbis_2024+pfac_nbis_2024)*IF(AND(ISNUMBER(""),ISNUMBER("")),wb1*""+wb2*"",IF(ISNUMBER(""),"",D149)))/(pit_nbis_2024+pfac_nbis_2024),site_nbis_2024)</f>
        <v>0</v>
      </c>
      <c r="E150" s="8" t="n">
        <f aca="false">IF(ISNUMBER(E149),(pit_nbis_2025/(pit_nbis_2025+pfac_nbis_2025)*E149+pfac_nbis_2025/(pit_nbis_2025+pfac_nbis_2025)*IF(AND(ISNUMBER(D149),ISNUMBER("")),wb1*D149+wb2*"",IF(ISNUMBER(D149),D149,E149)))/(pit_nbis_2025+pfac_nbis_2025),site_nbis_2025)</f>
        <v>0.0788410523019571</v>
      </c>
      <c r="F150" s="8" t="n">
        <f aca="false">IF(ISNUMBER(F149),(pit_nbis_2026/(pit_nbis_2026+pfac_nbis_2026)*F149+pfac_nbis_2026/(pit_nbis_2026+pfac_nbis_2026)*IF(AND(ISNUMBER(E149),ISNUMBER(D149)),wb1*E149+wb2*D149,IF(ISNUMBER(E149),E149,F149)))/(pit_nbis_2026+pfac_nbis_2026),site_nbis_2026)</f>
        <v>0.32554313723157</v>
      </c>
      <c r="G150" s="8" t="n">
        <f aca="false">IF(ISNUMBER(G149),(pit_nbis_2027/(pit_nbis_2027+pfac_nbis_2027)*G149+pfac_nbis_2027/(pit_nbis_2027+pfac_nbis_2027)*IF(AND(ISNUMBER(F149),ISNUMBER(E149)),wb1*F149+wb2*E149,IF(ISNUMBER(F149),F149,G149)))/(pit_nbis_2027+pfac_nbis_2027),site_nbis_2027)</f>
        <v>0.359962094244278</v>
      </c>
      <c r="H150" s="8" t="n">
        <f aca="false">IF(ISNUMBER(H149),(pit_nbis_2028/(pit_nbis_2028+pfac_nbis_2028)*H149+pfac_nbis_2028/(pit_nbis_2028+pfac_nbis_2028)*IF(AND(ISNUMBER(G149),ISNUMBER(F149)),wb1*G149+wb2*F149,IF(ISNUMBER(G149),G149,H149)))/(pit_nbis_2028+pfac_nbis_2028),site_nbis_2028)</f>
        <v>0.397241243965818</v>
      </c>
      <c r="I150" s="8" t="n">
        <f aca="false">IF(ISNUMBER(I149),(pit_nbis_2029/(pit_nbis_2029+pfac_nbis_2029)*I149+pfac_nbis_2029/(pit_nbis_2029+pfac_nbis_2029)*IF(AND(ISNUMBER(H149),ISNUMBER(G149)),wb1*H149+wb2*G149,IF(ISNUMBER(H149),H149,I149)))/(pit_nbis_2029+pfac_nbis_2029),site_nbis_2029)</f>
        <v>0.402295871482835</v>
      </c>
    </row>
    <row r="151" customFormat="false" ht="17.15" hidden="false" customHeight="false" outlineLevel="0" collapsed="false">
      <c r="A151" s="0" t="s">
        <v>1537</v>
      </c>
      <c r="B151" s="0" t="s">
        <v>1424</v>
      </c>
      <c r="E151" s="8" t="n">
        <f aca="false">(1-lag)*E150+lag*D150-inv_k*(E150-D150)</f>
        <v>0.0413915524585275</v>
      </c>
      <c r="F151" s="8" t="n">
        <f aca="false">(1-lag)*F150+lag*E150-inv_k*(F150-E150)</f>
        <v>0.208359646890004</v>
      </c>
      <c r="G151" s="8" t="n">
        <f aca="false">(1-lag)*G150+lag*F150-inv_k*(G150-F150)</f>
        <v>0.343613089663242</v>
      </c>
      <c r="H151" s="8" t="n">
        <f aca="false">(1-lag)*H150+lag*G150-inv_k*(H150-G150)</f>
        <v>0.379533647848086</v>
      </c>
      <c r="I151" s="8" t="n">
        <f aca="false">(1-lag)*I150+lag*H150-inv_k*(I150-H150)</f>
        <v>0.399894923412252</v>
      </c>
    </row>
    <row r="152" customFormat="false" ht="17.15" hidden="false" customHeight="false" outlineLevel="0" collapsed="false">
      <c r="A152" s="0" t="s">
        <v>1538</v>
      </c>
      <c r="B152" s="0" t="s">
        <v>1430</v>
      </c>
      <c r="E152" s="8" t="n">
        <f aca="false">E151*(1-nnv_nbis_2025)</f>
        <v>0.0413915524585275</v>
      </c>
      <c r="F152" s="8" t="n">
        <f aca="false">F151*(1-nnv_nbis_2026)</f>
        <v>0.208359646890004</v>
      </c>
      <c r="G152" s="8" t="n">
        <f aca="false">G151*(1-nnv_nbis_2027)</f>
        <v>0.343613089663242</v>
      </c>
      <c r="H152" s="8" t="n">
        <f aca="false">H151*(1-nnv_nbis_2028)</f>
        <v>0.379533647848086</v>
      </c>
      <c r="I152" s="8" t="n">
        <f aca="false">I151*(1-nnv_nbis_2029)</f>
        <v>0.399894923412252</v>
      </c>
    </row>
    <row r="153" customFormat="false" ht="17.15" hidden="false" customHeight="false" outlineLevel="0" collapsed="false">
      <c r="A153" s="0" t="s">
        <v>1539</v>
      </c>
      <c r="B153" s="0" t="s">
        <v>1432</v>
      </c>
      <c r="D153" s="8" t="n">
        <f aca="false">site_nbis_2024</f>
        <v>0</v>
      </c>
      <c r="E153" s="8" t="n">
        <f aca="false">site_nbis_2025</f>
        <v>0</v>
      </c>
      <c r="F153" s="8" t="n">
        <f aca="false">site_nbis_2026</f>
        <v>0.73</v>
      </c>
      <c r="G153" s="8" t="n">
        <f aca="false">site_nbis_2027</f>
        <v>0.403</v>
      </c>
      <c r="H153" s="8" t="n">
        <f aca="false">site_nbis_2028</f>
        <v>0</v>
      </c>
      <c r="I153" s="8" t="n">
        <f aca="false">site_nbis_2029</f>
        <v>0</v>
      </c>
    </row>
    <row r="154" customFormat="false" ht="17.15" hidden="false" customHeight="false" outlineLevel="0" collapsed="false">
      <c r="A154" s="0" t="s">
        <v>1540</v>
      </c>
      <c r="B154" s="0" t="s">
        <v>1434</v>
      </c>
      <c r="D154" s="8" t="n">
        <f aca="false">main_nbis_2024</f>
        <v>0</v>
      </c>
      <c r="E154" s="8" t="n">
        <f aca="false">main_nbis_2025</f>
        <v>0</v>
      </c>
      <c r="F154" s="8" t="n">
        <f aca="false">main_nbis_2026</f>
        <v>0.73</v>
      </c>
      <c r="G154" s="8" t="n">
        <f aca="false">main_nbis_2027</f>
        <v>0.396179366526544</v>
      </c>
      <c r="H154" s="8" t="n">
        <f aca="false">main_nbis_2028</f>
        <v>0.554335434150153</v>
      </c>
      <c r="I154" s="8" t="n">
        <f aca="false">main_nbis_2029</f>
        <v>0.629924193744744</v>
      </c>
    </row>
    <row r="155" customFormat="false" ht="17.15" hidden="false" customHeight="false" outlineLevel="0" collapsed="false">
      <c r="A155" s="0" t="s">
        <v>1541</v>
      </c>
      <c r="B155" s="0" t="s">
        <v>1436</v>
      </c>
      <c r="D155" s="8" t="str">
        <f aca="false">IF(ISNUMBER(gai_xai_2024),gai_xai_2024,"")</f>
        <v/>
      </c>
      <c r="E155" s="8" t="str">
        <f aca="false">IF(ISNUMBER(gai_xai_2025),gai_xai_2025,"")</f>
        <v/>
      </c>
      <c r="F155" s="8" t="n">
        <f aca="false">IF(ISNUMBER(gai_xai_2026),gai_xai_2026,"")</f>
        <v>74.058119</v>
      </c>
      <c r="G155" s="8" t="n">
        <f aca="false">IF(ISNUMBER(gai_xai_2027),gai_xai_2027,"")</f>
        <v>136.252477</v>
      </c>
      <c r="H155" s="8" t="n">
        <f aca="false">IF(ISNUMBER(gai_xai_2028),gai_xai_2028,"")</f>
        <v>144.12072</v>
      </c>
      <c r="I155" s="8" t="n">
        <f aca="false">IF(ISNUMBER(gai_xai_2029),gai_xai_2029,"")</f>
        <v>111.172527</v>
      </c>
    </row>
    <row r="156" customFormat="false" ht="17.15" hidden="false" customHeight="false" outlineLevel="0" collapsed="false">
      <c r="A156" s="0" t="s">
        <v>1542</v>
      </c>
      <c r="B156" s="0" t="s">
        <v>1438</v>
      </c>
      <c r="D156" s="8" t="n">
        <f aca="false">IF(ISNUMBER(D155),(pitN_2024/(pitN_2024+pfacN_2024)*D155+pfacN_2024/(pitN_2024+pfacN_2024)*IF(AND(ISNUMBER(""),ISNUMBER("")),wb1*""+wb2*"",IF(ISNUMBER(""),"",D155)))/(pitN_2024+pfacN_2024),site_xai_2024)</f>
        <v>0</v>
      </c>
      <c r="E156" s="8" t="n">
        <f aca="false">IF(ISNUMBER(E155),(pitN_2025/(pitN_2025+pfacN_2025)*E155+pfacN_2025/(pitN_2025+pfacN_2025)*IF(AND(ISNUMBER(D155),ISNUMBER("")),wb1*D155+wb2*"",IF(ISNUMBER(D155),D155,E155)))/(pitN_2025+pfacN_2025),site_xai_2025)</f>
        <v>0</v>
      </c>
      <c r="F156" s="8" t="n">
        <f aca="false">IF(ISNUMBER(F155),(pitN_2026/(pitN_2026+pfacN_2026)*F155+pfacN_2026/(pitN_2026+pfacN_2026)*IF(AND(ISNUMBER(E155),ISNUMBER(D155)),wb1*E155+wb2*D155,IF(ISNUMBER(E155),E155,F155)))/(pitN_2026+pfacN_2026),site_xai_2026)</f>
        <v>1.60702342066936</v>
      </c>
      <c r="G156" s="8" t="n">
        <f aca="false">IF(ISNUMBER(G155),(pitN_2027/(pitN_2027+pfacN_2027)*G155+pfacN_2027/(pitN_2027+pfacN_2027)*IF(AND(ISNUMBER(F155),ISNUMBER(E155)),wb1*F155+wb2*E155,IF(ISNUMBER(F155),F155,G155)))/(pitN_2027+pfacN_2027),site_xai_2027)</f>
        <v>2.36823509451502</v>
      </c>
      <c r="H156" s="8" t="n">
        <f aca="false">IF(ISNUMBER(H155),(pitN_2028/(pitN_2028+pfacN_2028)*H155+pfacN_2028/(pitN_2028+pfacN_2028)*IF(AND(ISNUMBER(G155),ISNUMBER(F155)),wb1*G155+wb2*F155,IF(ISNUMBER(G155),G155,H155)))/(pitN_2028+pfacN_2028),site_xai_2028)</f>
        <v>2.49948463520021</v>
      </c>
      <c r="I156" s="8" t="n">
        <f aca="false">IF(ISNUMBER(I155),(pitN_2029/(pitN_2029+pfacN_2029)*I155+pfacN_2029/(pitN_2029+pfacN_2029)*IF(AND(ISNUMBER(H155),ISNUMBER(G155)),wb1*H155+wb2*G155,IF(ISNUMBER(H155),H155,I155)))/(pitN_2029+pfacN_2029),site_xai_2029)</f>
        <v>2.18470428873966</v>
      </c>
    </row>
    <row r="157" customFormat="false" ht="17.15" hidden="false" customHeight="false" outlineLevel="0" collapsed="false">
      <c r="A157" s="0" t="s">
        <v>1543</v>
      </c>
      <c r="B157" s="0" t="s">
        <v>1440</v>
      </c>
      <c r="E157" s="8" t="n">
        <f aca="false">IF(ISNUMBER(gai_xai_2024),(1-lag)*E156+lag*D156-inv_k*(E156-D156),E156)</f>
        <v>0</v>
      </c>
      <c r="F157" s="8" t="n">
        <f aca="false">IF(ISNUMBER(gai_xai_2025),(1-lag)*F156+lag*E156-inv_k*(F156-E156),F156)</f>
        <v>1.60702342066936</v>
      </c>
      <c r="G157" s="8" t="n">
        <f aca="false">IF(ISNUMBER(gai_xai_2026),(1-lag)*G156+lag*F156-inv_k*(G156-F156),G156)</f>
        <v>2.00665954943833</v>
      </c>
      <c r="H157" s="8" t="n">
        <f aca="false">IF(ISNUMBER(gai_xai_2027),(1-lag)*H156+lag*G156-inv_k*(H156-G156),H156)</f>
        <v>2.43714110337474</v>
      </c>
      <c r="I157" s="8" t="n">
        <f aca="false">IF(ISNUMBER(gai_xai_2028),(1-lag)*I156+lag*H156-inv_k*(I156-H156),I156)</f>
        <v>2.33422495330842</v>
      </c>
    </row>
    <row r="158" customFormat="false" ht="17.15" hidden="false" customHeight="false" outlineLevel="0" collapsed="false">
      <c r="A158" s="0" t="s">
        <v>1544</v>
      </c>
      <c r="B158" s="0" t="s">
        <v>1442</v>
      </c>
      <c r="E158" s="8" t="n">
        <f aca="false">E157*(1-nnv_xai_2025)</f>
        <v>0</v>
      </c>
      <c r="F158" s="8" t="n">
        <f aca="false">F157*(1-nnv_xai_2026)</f>
        <v>1.60702342066936</v>
      </c>
      <c r="G158" s="8" t="n">
        <f aca="false">G157*(1-nnv_xai_2027)</f>
        <v>2.00665954943833</v>
      </c>
      <c r="H158" s="8" t="n">
        <f aca="false">H157*(1-nnv_xai_2028)</f>
        <v>2.43714110337474</v>
      </c>
      <c r="I158" s="8" t="n">
        <f aca="false">I157*(1-nnv_xai_2029)</f>
        <v>2.33422495330842</v>
      </c>
    </row>
    <row r="159" customFormat="false" ht="17.15" hidden="false" customHeight="false" outlineLevel="0" collapsed="false">
      <c r="A159" s="0" t="s">
        <v>1545</v>
      </c>
      <c r="B159" s="0" t="s">
        <v>1444</v>
      </c>
      <c r="D159" s="8" t="n">
        <f aca="false">site_xai_2024</f>
        <v>0</v>
      </c>
      <c r="E159" s="8" t="n">
        <f aca="false">site_xai_2025</f>
        <v>0</v>
      </c>
      <c r="F159" s="8" t="n">
        <f aca="false">site_xai_2026</f>
        <v>1.4302</v>
      </c>
      <c r="G159" s="8" t="n">
        <f aca="false">site_xai_2027</f>
        <v>0.585</v>
      </c>
      <c r="H159" s="8" t="n">
        <f aca="false">site_xai_2028</f>
        <v>0</v>
      </c>
      <c r="I159" s="8" t="n">
        <f aca="false">site_xai_2029</f>
        <v>0</v>
      </c>
    </row>
    <row r="160" customFormat="false" ht="17.15" hidden="false" customHeight="false" outlineLevel="0" collapsed="false">
      <c r="A160" s="0" t="s">
        <v>1546</v>
      </c>
      <c r="B160" s="0" t="s">
        <v>1446</v>
      </c>
      <c r="D160" s="8" t="str">
        <f aca="false">IF(ISNUMBER(gai_ant_2024),gai_ant_2024,"")</f>
        <v/>
      </c>
      <c r="E160" s="8" t="str">
        <f aca="false">IF(ISNUMBER(gai_ant_2025),gai_ant_2025,"")</f>
        <v/>
      </c>
      <c r="F160" s="8" t="n">
        <f aca="false">IF(ISNUMBER(gai_ant_2026),gai_ant_2026,"")</f>
        <v>16.666667</v>
      </c>
      <c r="G160" s="8" t="n">
        <f aca="false">IF(ISNUMBER(gai_ant_2027),gai_ant_2027,"")</f>
        <v>16.666667</v>
      </c>
      <c r="H160" s="8" t="n">
        <f aca="false">IF(ISNUMBER(gai_ant_2028),gai_ant_2028,"")</f>
        <v>16.666667</v>
      </c>
      <c r="I160" s="8" t="n">
        <f aca="false">IF(ISNUMBER(gai_ant_2029),gai_ant_2029,"")</f>
        <v>0</v>
      </c>
    </row>
    <row r="161" customFormat="false" ht="17.15" hidden="false" customHeight="false" outlineLevel="0" collapsed="false">
      <c r="A161" s="0" t="s">
        <v>1547</v>
      </c>
      <c r="B161" s="0" t="s">
        <v>1448</v>
      </c>
      <c r="D161" s="8" t="n">
        <f aca="false">IF(ISNUMBER(D160),(pitN_2024/(pitN_2024+pfacN_2024)*D160+pfacN_2024/(pitN_2024+pfacN_2024)*IF(AND(ISNUMBER(""),ISNUMBER("")),wb1*""+wb2*"",IF(ISNUMBER(""),"",D160)))/(pitN_2024+pfacN_2024),site_ant_2024)</f>
        <v>0</v>
      </c>
      <c r="E161" s="8" t="n">
        <f aca="false">IF(ISNUMBER(E160),(pitN_2025/(pitN_2025+pfacN_2025)*E160+pfacN_2025/(pitN_2025+pfacN_2025)*IF(AND(ISNUMBER(D160),ISNUMBER("")),wb1*D160+wb2*"",IF(ISNUMBER(D160),D160,E160)))/(pitN_2025+pfacN_2025),site_ant_2025)</f>
        <v>0</v>
      </c>
      <c r="F161" s="8" t="n">
        <f aca="false">IF(ISNUMBER(F160),(pitN_2026/(pitN_2026+pfacN_2026)*F160+pfacN_2026/(pitN_2026+pfacN_2026)*IF(AND(ISNUMBER(E160),ISNUMBER(D160)),wb1*E160+wb2*D160,IF(ISNUMBER(E160),E160,F160)))/(pitN_2026+pfacN_2026),site_ant_2026)</f>
        <v>0.36165817570248</v>
      </c>
      <c r="G161" s="8" t="n">
        <f aca="false">IF(ISNUMBER(G160),(pitN_2027/(pitN_2027+pfacN_2027)*G160+pfacN_2027/(pitN_2027+pfacN_2027)*IF(AND(ISNUMBER(F160),ISNUMBER(E160)),wb1*F160+wb2*E160,IF(ISNUMBER(F160),F160,G160)))/(pitN_2027+pfacN_2027),site_ant_2027)</f>
        <v>0.326730833032632</v>
      </c>
      <c r="H161" s="8" t="n">
        <f aca="false">IF(ISNUMBER(H160),(pitN_2028/(pitN_2028+pfacN_2028)*H160+pfacN_2028/(pitN_2028+pfacN_2028)*IF(AND(ISNUMBER(G160),ISNUMBER(F160)),wb1*G160+wb2*F160,IF(ISNUMBER(G160),G160,H160)))/(pitN_2028+pfacN_2028),site_ant_2028)</f>
        <v>0.308627002270922</v>
      </c>
      <c r="I161" s="8" t="n">
        <f aca="false">IF(ISNUMBER(I160),(pitN_2029/(pitN_2029+pfacN_2029)*I160+pfacN_2029/(pitN_2029+pfacN_2029)*IF(AND(ISNUMBER(H160),ISNUMBER(G160)),wb1*H160+wb2*G160,IF(ISNUMBER(H160),H160,I160)))/(pitN_2029+pfacN_2029),site_ant_2029)</f>
        <v>0.0724095248404747</v>
      </c>
    </row>
    <row r="162" customFormat="false" ht="17.15" hidden="false" customHeight="false" outlineLevel="0" collapsed="false">
      <c r="A162" s="0" t="s">
        <v>1548</v>
      </c>
      <c r="B162" s="0" t="s">
        <v>1450</v>
      </c>
      <c r="E162" s="8" t="n">
        <f aca="false">IF(ISNUMBER(gai_ant_2024),(1-lag)*E161+lag*D161-inv_k*(E161-D161),E161)</f>
        <v>0</v>
      </c>
      <c r="F162" s="8" t="n">
        <f aca="false">IF(ISNUMBER(gai_ant_2025),(1-lag)*F161+lag*E161-inv_k*(F161-E161),F161)</f>
        <v>0.36165817570248</v>
      </c>
      <c r="G162" s="8" t="n">
        <f aca="false">IF(ISNUMBER(gai_ant_2026),(1-lag)*G161+lag*F161-inv_k*(G161-F161),G161)</f>
        <v>0.34332132080081</v>
      </c>
      <c r="H162" s="8" t="n">
        <f aca="false">IF(ISNUMBER(gai_ant_2027),(1-lag)*H161+lag*G161-inv_k*(H161-G161),H161)</f>
        <v>0.317226321882734</v>
      </c>
      <c r="I162" s="8" t="n">
        <f aca="false">IF(ISNUMBER(gai_ant_2028),(1-lag)*I161+lag*H161-inv_k*(I161-H161),I161)</f>
        <v>0.184612826619937</v>
      </c>
    </row>
    <row r="163" customFormat="false" ht="17.15" hidden="false" customHeight="false" outlineLevel="0" collapsed="false">
      <c r="A163" s="0" t="s">
        <v>1549</v>
      </c>
      <c r="B163" s="0" t="s">
        <v>1452</v>
      </c>
      <c r="E163" s="8" t="n">
        <f aca="false">E162*(1-nnv_ant_2025)</f>
        <v>0</v>
      </c>
      <c r="F163" s="8" t="n">
        <f aca="false">F162*(1-nnv_ant_2026)</f>
        <v>0.275507557374688</v>
      </c>
      <c r="G163" s="8" t="n">
        <f aca="false">G162*(1-nnv_ant_2027)</f>
        <v>0.249559628755998</v>
      </c>
      <c r="H163" s="8" t="n">
        <f aca="false">H162*(1-nnv_ant_2028)</f>
        <v>0.231695318089535</v>
      </c>
      <c r="I163" s="8" t="n">
        <f aca="false">I162*(1-nnv_ant_2029)</f>
        <v>0.134363521137354</v>
      </c>
    </row>
    <row r="164" customFormat="false" ht="17.15" hidden="false" customHeight="false" outlineLevel="0" collapsed="false">
      <c r="A164" s="0" t="s">
        <v>1550</v>
      </c>
      <c r="B164" s="0" t="s">
        <v>1454</v>
      </c>
      <c r="D164" s="8" t="n">
        <f aca="false">site_ant_2024</f>
        <v>0</v>
      </c>
      <c r="E164" s="8" t="n">
        <f aca="false">site_ant_2025</f>
        <v>0</v>
      </c>
      <c r="F164" s="8" t="n">
        <f aca="false">site_ant_2026</f>
        <v>0</v>
      </c>
      <c r="G164" s="8" t="n">
        <f aca="false">site_ant_2027</f>
        <v>0</v>
      </c>
      <c r="H164" s="8" t="n">
        <f aca="false">site_ant_2028</f>
        <v>0</v>
      </c>
      <c r="I164" s="8" t="n">
        <f aca="false">site_ant_2029</f>
        <v>0</v>
      </c>
    </row>
    <row r="165" customFormat="false" ht="17.15" hidden="false" customHeight="false" outlineLevel="0" collapsed="false">
      <c r="A165" s="0" t="s">
        <v>1551</v>
      </c>
      <c r="B165" s="5" t="s">
        <v>1456</v>
      </c>
      <c r="D165" s="9" t="n">
        <f aca="false">D93+D102+D111+D120+D129+D138+D147</f>
        <v>2.73706130226548</v>
      </c>
      <c r="E165" s="9" t="n">
        <f aca="false">E93+E102+E111+E120+E129+E138+E147</f>
        <v>8.74445417847586</v>
      </c>
      <c r="F165" s="9" t="n">
        <f aca="false">F93+F102+F111+F120+F129+F138+F147</f>
        <v>13.4272313010138</v>
      </c>
      <c r="G165" s="9" t="n">
        <f aca="false">G93+G102+G111+G120+G129+G138+G147</f>
        <v>16.8494205610959</v>
      </c>
      <c r="H165" s="9" t="n">
        <f aca="false">H93+H102+H111+H120+H129+H138+H147</f>
        <v>18.8806577103889</v>
      </c>
      <c r="I165" s="9" t="n">
        <f aca="false">I93+I102+I111+I120+I129+I138+I147</f>
        <v>21.0899530357986</v>
      </c>
    </row>
    <row r="166" customFormat="false" ht="17.15" hidden="false" customHeight="false" outlineLevel="0" collapsed="false">
      <c r="A166" s="0" t="s">
        <v>1552</v>
      </c>
      <c r="B166" s="5" t="s">
        <v>1458</v>
      </c>
      <c r="D166" s="9" t="n">
        <f aca="false">D94+D103+D112+D121+D130+D139+D148</f>
        <v>0</v>
      </c>
      <c r="E166" s="9" t="n">
        <f aca="false">E94+E103+E112+E121+E130+E139+E148</f>
        <v>5.89094256227593</v>
      </c>
      <c r="F166" s="9" t="n">
        <f aca="false">F94+F103+F112+F121+F130+F139+F148</f>
        <v>11.2029121678083</v>
      </c>
      <c r="G166" s="9" t="n">
        <f aca="false">G94+G103+G112+G121+G130+G139+G148</f>
        <v>15.2238806625569</v>
      </c>
      <c r="H166" s="9" t="n">
        <f aca="false">H94+H103+H112+H121+H130+H139+H148</f>
        <v>17.9158200644747</v>
      </c>
      <c r="I166" s="9" t="n">
        <f aca="false">I94+I103+I112+I121+I130+I139+I148</f>
        <v>20.040537756229</v>
      </c>
    </row>
    <row r="167" customFormat="false" ht="17.15" hidden="false" customHeight="false" outlineLevel="0" collapsed="false">
      <c r="A167" s="0" t="s">
        <v>1553</v>
      </c>
      <c r="B167" s="5" t="s">
        <v>1460</v>
      </c>
      <c r="D167" s="9" t="n">
        <f aca="false">D96+D105+D114+D123+D132+D141+D150</f>
        <v>3.47191016752745</v>
      </c>
      <c r="E167" s="9" t="n">
        <f aca="false">E96+E105+E114+E123+E132+E141+E150</f>
        <v>8.48193284359607</v>
      </c>
      <c r="F167" s="9" t="n">
        <f aca="false">F96+F105+F114+F123+F132+F141+F150</f>
        <v>13.2479410257483</v>
      </c>
      <c r="G167" s="9" t="n">
        <f aca="false">G96+G105+G114+G123+G132+G141+G150</f>
        <v>16.9717547171544</v>
      </c>
      <c r="H167" s="9" t="n">
        <f aca="false">H96+H105+H114+H123+H132+H141+H150</f>
        <v>18.2805891910241</v>
      </c>
      <c r="I167" s="9" t="n">
        <f aca="false">I96+I105+I114+I123+I132+I141+I150</f>
        <v>17.9746630334338</v>
      </c>
    </row>
    <row r="168" customFormat="false" ht="17.15" hidden="false" customHeight="false" outlineLevel="0" collapsed="false">
      <c r="A168" s="0" t="s">
        <v>1554</v>
      </c>
      <c r="B168" s="5" t="s">
        <v>1462</v>
      </c>
      <c r="D168" s="9" t="n">
        <f aca="false">D97+D106+D115+D124+D133+D142+D151</f>
        <v>0</v>
      </c>
      <c r="E168" s="9" t="n">
        <f aca="false">E97+E106+E115+E124+E133+E142+E151</f>
        <v>6.10217207246348</v>
      </c>
      <c r="F168" s="9" t="n">
        <f aca="false">F97+F106+F115+F124+F133+F142+F151</f>
        <v>10.984087139226</v>
      </c>
      <c r="G168" s="9" t="n">
        <f aca="false">G97+G106+G115+G124+G133+G142+G151</f>
        <v>15.2029432137365</v>
      </c>
      <c r="H168" s="9" t="n">
        <f aca="false">H97+H106+H115+H124+H133+H142+H151</f>
        <v>17.658892815936</v>
      </c>
      <c r="I168" s="9" t="n">
        <f aca="false">I97+I106+I115+I124+I133+I142+I151</f>
        <v>18.1199779582892</v>
      </c>
    </row>
    <row r="169" customFormat="false" ht="15" hidden="false" customHeight="false" outlineLevel="0" collapsed="false">
      <c r="A169" s="0" t="s">
        <v>1555</v>
      </c>
      <c r="B169" s="5" t="s">
        <v>1464</v>
      </c>
      <c r="D169" s="9" t="n">
        <f aca="false">D99+D108+D117+D126+D135+D144+D153</f>
        <v>1.61980834349181</v>
      </c>
      <c r="E169" s="9" t="n">
        <f aca="false">E99+E108+E117+E126+E135+E144+E153</f>
        <v>8.74912429484715</v>
      </c>
      <c r="F169" s="9" t="n">
        <f aca="false">F99+F108+F117+F126+F135+F144+F153</f>
        <v>6.54276412772586</v>
      </c>
      <c r="G169" s="9" t="n">
        <f aca="false">G99+G108+G117+G126+G135+G144+G153</f>
        <v>6.52966666666667</v>
      </c>
      <c r="H169" s="9" t="n">
        <f aca="false">H99+H108+H117+H126+H135+H144+H153</f>
        <v>13.6908333333333</v>
      </c>
      <c r="I169" s="9" t="n">
        <f aca="false">I99+I108+I117+I126+I135+I144+I153</f>
        <v>2.7115</v>
      </c>
    </row>
    <row r="170" customFormat="false" ht="17.15" hidden="false" customHeight="false" outlineLevel="0" collapsed="false">
      <c r="A170" s="0" t="s">
        <v>1556</v>
      </c>
      <c r="B170" s="5" t="s">
        <v>1466</v>
      </c>
      <c r="D170" s="9" t="n">
        <f aca="false">D100+D109+D118+D127+D136+D145+D154</f>
        <v>1.61980834349181</v>
      </c>
      <c r="E170" s="9" t="n">
        <f aca="false">E100+E109+E118+E127+E136+E145+E154</f>
        <v>8.74912429484715</v>
      </c>
      <c r="F170" s="9" t="n">
        <f aca="false">F100+F109+F118+F127+F136+F145+F154</f>
        <v>6.54276412772586</v>
      </c>
      <c r="G170" s="9" t="n">
        <f aca="false">G100+G109+G118+G127+G136+G145+G154</f>
        <v>17.8887754681966</v>
      </c>
      <c r="H170" s="9" t="n">
        <f aca="false">H100+H109+H118+H127+H136+H145+H154</f>
        <v>21.3980787384407</v>
      </c>
      <c r="I170" s="9" t="n">
        <f aca="false">I100+I109+I118+I127+I136+I145+I154</f>
        <v>23.9019467739051</v>
      </c>
    </row>
    <row r="171" customFormat="false" ht="17.15" hidden="false" customHeight="false" outlineLevel="0" collapsed="false">
      <c r="A171" s="0" t="s">
        <v>1557</v>
      </c>
      <c r="B171" s="5" t="s">
        <v>1468</v>
      </c>
      <c r="D171" s="9" t="n">
        <f aca="false">D98+D107+D116+D125+D134+D143+D152</f>
        <v>0</v>
      </c>
      <c r="E171" s="9" t="n">
        <f aca="false">E98+E107+E116+E125+E134+E143+E152</f>
        <v>3.28456149743208</v>
      </c>
      <c r="F171" s="9" t="n">
        <f aca="false">F98+F107+F116+F125+F134+F143+F152</f>
        <v>6.09330986174</v>
      </c>
      <c r="G171" s="9" t="n">
        <f aca="false">G98+G107+G116+G125+G134+G143+G152</f>
        <v>7.93300486657754</v>
      </c>
      <c r="H171" s="9" t="n">
        <f aca="false">H98+H107+H116+H125+H134+H143+H152</f>
        <v>9.0200052483115</v>
      </c>
      <c r="I171" s="9" t="n">
        <f aca="false">I98+I107+I116+I125+I134+I143+I152</f>
        <v>9.06877301105319</v>
      </c>
    </row>
    <row r="172" customFormat="false" ht="17.15" hidden="false" customHeight="false" outlineLevel="0" collapsed="false">
      <c r="A172" s="0" t="s">
        <v>1558</v>
      </c>
      <c r="B172" s="5" t="s">
        <v>1470</v>
      </c>
      <c r="D172" s="9" t="n">
        <f aca="false">D158+D163</f>
        <v>0</v>
      </c>
      <c r="E172" s="9" t="n">
        <f aca="false">E158+E163</f>
        <v>0</v>
      </c>
      <c r="F172" s="9" t="n">
        <f aca="false">F158+F163</f>
        <v>1.88253097804405</v>
      </c>
      <c r="G172" s="9" t="n">
        <f aca="false">G158+G163</f>
        <v>2.25621917819433</v>
      </c>
      <c r="H172" s="9" t="n">
        <f aca="false">H158+H163</f>
        <v>2.66883642146428</v>
      </c>
      <c r="I172" s="9" t="n">
        <f aca="false">I158+I163</f>
        <v>2.46858847444577</v>
      </c>
    </row>
    <row r="173" customFormat="false" ht="15" hidden="false" customHeight="false" outlineLevel="0" collapsed="false">
      <c r="A173" s="0" t="s">
        <v>1559</v>
      </c>
      <c r="B173" s="5" t="s">
        <v>1472</v>
      </c>
      <c r="D173" s="9" t="n">
        <f aca="false">D156+D161</f>
        <v>0</v>
      </c>
      <c r="E173" s="9" t="n">
        <f aca="false">E156+E161</f>
        <v>0</v>
      </c>
      <c r="F173" s="9" t="n">
        <f aca="false">F156+F161</f>
        <v>1.96868159637184</v>
      </c>
      <c r="G173" s="9" t="n">
        <f aca="false">G156+G161</f>
        <v>2.69496592754765</v>
      </c>
      <c r="H173" s="9" t="n">
        <f aca="false">H156+H161</f>
        <v>2.80811163747113</v>
      </c>
      <c r="I173" s="9" t="n">
        <f aca="false">I156+I161</f>
        <v>2.25711381358013</v>
      </c>
    </row>
    <row r="174" customFormat="false" ht="15" hidden="false" customHeight="false" outlineLevel="0" collapsed="false">
      <c r="A174" s="0" t="s">
        <v>1560</v>
      </c>
      <c r="B174" s="5" t="s">
        <v>1474</v>
      </c>
      <c r="D174" s="9" t="n">
        <f aca="false">D157+D162</f>
        <v>0</v>
      </c>
      <c r="E174" s="9" t="n">
        <f aca="false">E157+E162</f>
        <v>0</v>
      </c>
      <c r="F174" s="9" t="n">
        <f aca="false">F157+F162</f>
        <v>1.96868159637184</v>
      </c>
      <c r="G174" s="9" t="n">
        <f aca="false">G157+G162</f>
        <v>2.34998087023914</v>
      </c>
      <c r="H174" s="9" t="n">
        <f aca="false">H157+H162</f>
        <v>2.75436742525748</v>
      </c>
      <c r="I174" s="9" t="n">
        <f aca="false">I157+I162</f>
        <v>2.51883777992835</v>
      </c>
    </row>
    <row r="175" customFormat="false" ht="15" hidden="false" customHeight="false" outlineLevel="0" collapsed="false">
      <c r="A175" s="0" t="s">
        <v>1561</v>
      </c>
      <c r="B175" s="5" t="s">
        <v>1476</v>
      </c>
      <c r="D175" s="9" t="n">
        <f aca="false">D159+D164</f>
        <v>0</v>
      </c>
      <c r="E175" s="9" t="n">
        <f aca="false">E159+E164</f>
        <v>0</v>
      </c>
      <c r="F175" s="9" t="n">
        <f aca="false">F159+F164</f>
        <v>1.4302</v>
      </c>
      <c r="G175" s="9" t="n">
        <f aca="false">G159+G164</f>
        <v>0.585</v>
      </c>
      <c r="H175" s="9" t="n">
        <f aca="false">H159+H164</f>
        <v>0</v>
      </c>
      <c r="I175" s="9" t="n">
        <f aca="false">I159+I164</f>
        <v>0</v>
      </c>
    </row>
    <row r="177" customFormat="false" ht="17.15" hidden="false" customHeight="false" outlineLevel="0" collapsed="false">
      <c r="A177" s="6" t="s">
        <v>1562</v>
      </c>
    </row>
    <row r="178" customFormat="false" ht="15" hidden="false" customHeight="false" outlineLevel="0" collapsed="false">
      <c r="A178" s="2" t="s">
        <v>1</v>
      </c>
      <c r="B178" s="2" t="s">
        <v>2</v>
      </c>
      <c r="C178" s="7"/>
      <c r="D178" s="7" t="s">
        <v>1317</v>
      </c>
      <c r="E178" s="7" t="s">
        <v>1318</v>
      </c>
      <c r="F178" s="7" t="s">
        <v>1319</v>
      </c>
      <c r="G178" s="7" t="s">
        <v>1320</v>
      </c>
      <c r="H178" s="7" t="s">
        <v>1321</v>
      </c>
      <c r="I178" s="7" t="s">
        <v>1322</v>
      </c>
    </row>
    <row r="179" customFormat="false" ht="17.15" hidden="false" customHeight="false" outlineLevel="0" collapsed="false">
      <c r="A179" s="0" t="s">
        <v>1563</v>
      </c>
      <c r="B179" s="0" t="s">
        <v>1324</v>
      </c>
      <c r="D179" s="8" t="n">
        <f aca="false">IF(ISNUMBER(ai2_msft_2024),ai2_msft_2024/ai_sh*ai_sh_hi,"")</f>
        <v>51.7883</v>
      </c>
      <c r="E179" s="8" t="n">
        <f aca="false">IF(ISNUMBER(ai2_msft_2025),ai2_msft_2025/ai_sh*ai_sh_hi,"")</f>
        <v>85.737025</v>
      </c>
      <c r="F179" s="8" t="n">
        <f aca="false">IF(ISNUMBER(ai2_msft_2026),ai2_msft_2026/ai_sh*ai_sh_hi,"")</f>
        <v>146.668125</v>
      </c>
      <c r="G179" s="8" t="n">
        <f aca="false">IF(ISNUMBER(ai2_msft_2027),ai2_msft_2027/ai_sh*ai_sh_hi,"")</f>
        <v>194.56665</v>
      </c>
      <c r="H179" s="8" t="n">
        <f aca="false">IF(ISNUMBER(ai2_msft_2028),ai2_msft_2028/ai_sh*ai_sh_hi,"")</f>
        <v>222.281</v>
      </c>
      <c r="I179" s="8" t="n">
        <f aca="false">IF(ISNUMBER(ai2_msft_2029),ai2_msft_2029/ai_sh*ai_sh_hi,"")</f>
        <v>250.5450675</v>
      </c>
    </row>
    <row r="180" customFormat="false" ht="17.15" hidden="false" customHeight="false" outlineLevel="0" collapsed="false">
      <c r="A180" s="0" t="s">
        <v>1564</v>
      </c>
      <c r="B180" s="0" t="s">
        <v>1326</v>
      </c>
      <c r="D180" s="8" t="n">
        <f aca="false">IF(ISNUMBER(D179),(pit_msft_2024/(pit_msft_2024+pfac_msft_2024)*D179+pfac_msft_2024/(pit_msft_2024+pfac_msft_2024)*IF(AND(ISNUMBER(""),ISNUMBER("")),wb1*""+wb2*"",IF(ISNUMBER(""),"",D179)))/(pit_msft_2024+pfac_msft_2024),site_msft_2024)</f>
        <v>1.41518708111332</v>
      </c>
      <c r="E180" s="8" t="n">
        <f aca="false">IF(ISNUMBER(E179),(pit_msft_2025/(pit_msft_2025+pfac_msft_2025)*E179+pfac_msft_2025/(pit_msft_2025+pfac_msft_2025)*IF(AND(ISNUMBER(D179),ISNUMBER("")),wb1*D179+wb2*"",IF(ISNUMBER(D179),D179,E179)))/(pit_msft_2025+pfac_msft_2025),site_msft_2025)</f>
        <v>2.11697320448636</v>
      </c>
      <c r="F180" s="8" t="n">
        <f aca="false">IF(ISNUMBER(F179),(pit_msft_2026/(pit_msft_2026+pfac_msft_2026)*F179+pfac_msft_2026/(pit_msft_2026+pfac_msft_2026)*IF(AND(ISNUMBER(E179),ISNUMBER(D179)),wb1*E179+wb2*D179,IF(ISNUMBER(E179),E179,F179)))/(pit_msft_2026+pfac_msft_2026),site_msft_2026)</f>
        <v>3.0543168495587</v>
      </c>
      <c r="G180" s="8" t="n">
        <f aca="false">IF(ISNUMBER(G179),(pit_msft_2027/(pit_msft_2027+pfac_msft_2027)*G179+pfac_msft_2027/(pit_msft_2027+pfac_msft_2027)*IF(AND(ISNUMBER(F179),ISNUMBER(E179)),wb1*F179+wb2*E179,IF(ISNUMBER(F179),F179,G179)))/(pit_msft_2027+pfac_msft_2027),site_msft_2027)</f>
        <v>3.98382585985501</v>
      </c>
      <c r="H180" s="8" t="n">
        <f aca="false">IF(ISNUMBER(H179),(pit_msft_2028/(pit_msft_2028+pfac_msft_2028)*H179+pfac_msft_2028/(pit_msft_2028+pfac_msft_2028)*IF(AND(ISNUMBER(G179),ISNUMBER(F179)),wb1*G179+wb2*F179,IF(ISNUMBER(G179),G179,H179)))/(pit_msft_2028+pfac_msft_2028),site_msft_2028)</f>
        <v>4.54432920754728</v>
      </c>
      <c r="I180" s="8" t="n">
        <f aca="false">IF(ISNUMBER(I179),(pit_msft_2029/(pit_msft_2029+pfac_msft_2029)*I179+pfac_msft_2029/(pit_msft_2029+pfac_msft_2029)*IF(AND(ISNUMBER(H179),ISNUMBER(G179)),wb1*H179+wb2*G179,IF(ISNUMBER(H179),H179,I179)))/(pit_msft_2029+pfac_msft_2029),site_msft_2029)</f>
        <v>5.2131764103919</v>
      </c>
    </row>
    <row r="181" customFormat="false" ht="17.15" hidden="false" customHeight="false" outlineLevel="0" collapsed="false">
      <c r="A181" s="0" t="s">
        <v>1565</v>
      </c>
      <c r="B181" s="0" t="s">
        <v>1328</v>
      </c>
      <c r="E181" s="8" t="n">
        <f aca="false">(1-lag)*E180+lag*D180-inv_k*(E180-D180)</f>
        <v>1.78362479588417</v>
      </c>
      <c r="F181" s="8" t="n">
        <f aca="false">(1-lag)*F180+lag*E180-inv_k*(F180-E180)</f>
        <v>2.60907861814934</v>
      </c>
      <c r="G181" s="8" t="n">
        <f aca="false">(1-lag)*G180+lag*F180-inv_k*(G180-F180)</f>
        <v>3.54230907996426</v>
      </c>
      <c r="H181" s="8" t="n">
        <f aca="false">(1-lag)*H180+lag*G180-inv_k*(H180-G180)</f>
        <v>4.27809011739346</v>
      </c>
      <c r="I181" s="8" t="n">
        <f aca="false">(1-lag)*I180+lag*H180-inv_k*(I180-H180)</f>
        <v>4.89547398904071</v>
      </c>
    </row>
    <row r="182" customFormat="false" ht="17.15" hidden="false" customHeight="false" outlineLevel="0" collapsed="false">
      <c r="A182" s="0" t="s">
        <v>1566</v>
      </c>
      <c r="B182" s="0" t="s">
        <v>1330</v>
      </c>
      <c r="D182" s="8" t="str">
        <f aca="false">""</f>
        <v/>
      </c>
      <c r="E182" s="8" t="n">
        <f aca="false">(6/12*cap2_msft_2025+6/12*gcap_msft_2026)*ai_sh_hi</f>
        <v>99.679225</v>
      </c>
      <c r="F182" s="8" t="n">
        <f aca="false">(6/12*gcap_msft_2026+6/12*gcap_msft_2027)*ai_sh_hi</f>
        <v>166.0125</v>
      </c>
      <c r="G182" s="8" t="n">
        <f aca="false">(6/12*gcap_msft_2027+6/12*gcap_msft_2028)*ai_sh_hi</f>
        <v>207.814819425</v>
      </c>
      <c r="H182" s="8" t="n">
        <f aca="false">(6/12*gcap_msft_2028+6/12*gcap_msft_2029)*ai_sh_hi</f>
        <v>226.6564302</v>
      </c>
      <c r="I182" s="8" t="n">
        <f aca="false">(6/12*gcap_msft_2029+6/12*gcap_msft_2030)*ai_sh_hi</f>
        <v>220.8601686</v>
      </c>
    </row>
    <row r="183" customFormat="false" ht="17.15" hidden="false" customHeight="false" outlineLevel="0" collapsed="false">
      <c r="A183" s="0" t="s">
        <v>1567</v>
      </c>
      <c r="B183" s="0" t="s">
        <v>1326</v>
      </c>
      <c r="D183" s="8" t="n">
        <f aca="false">IF(ISNUMBER(D182),(pit_msft_2024/(pit_msft_2024+pfac_msft_2024)*D182+pfac_msft_2024/(pit_msft_2024+pfac_msft_2024)*IF(AND(ISNUMBER(""),ISNUMBER("")),wb1*""+wb2*"",IF(ISNUMBER(""),"",D182)))/(pit_msft_2024+pfac_msft_2024),site_msft_2024)</f>
        <v>0</v>
      </c>
      <c r="E183" s="8" t="n">
        <f aca="false">IF(ISNUMBER(E182),(pit_msft_2025/(pit_msft_2025+pfac_msft_2025)*E182+pfac_msft_2025/(pit_msft_2025+pfac_msft_2025)*IF(AND(ISNUMBER(D182),ISNUMBER("")),wb1*D182+wb2*"",IF(ISNUMBER(D182),D182,E182)))/(pit_msft_2025+pfac_msft_2025),site_msft_2025)</f>
        <v>2.81173663316736</v>
      </c>
      <c r="F183" s="8" t="n">
        <f aca="false">IF(ISNUMBER(F182),(pit_msft_2026/(pit_msft_2026+pfac_msft_2026)*F182+pfac_msft_2026/(pit_msft_2026+pfac_msft_2026)*IF(AND(ISNUMBER(E182),ISNUMBER(D182)),wb1*E182+wb2*D182,IF(ISNUMBER(E182),E182,F182)))/(pit_msft_2026+pfac_msft_2026),site_msft_2026)</f>
        <v>3.6015619404058</v>
      </c>
      <c r="G183" s="8" t="n">
        <f aca="false">IF(ISNUMBER(G182),(pit_msft_2027/(pit_msft_2027+pfac_msft_2027)*G182+pfac_msft_2027/(pit_msft_2027+pfac_msft_2027)*IF(AND(ISNUMBER(F182),ISNUMBER(E182)),wb1*F182+wb2*E182,IF(ISNUMBER(F182),F182,G182)))/(pit_msft_2027+pfac_msft_2027),site_msft_2027)</f>
        <v>4.30455447364948</v>
      </c>
      <c r="H183" s="8" t="n">
        <f aca="false">IF(ISNUMBER(H182),(pit_msft_2028/(pit_msft_2028+pfac_msft_2028)*H182+pfac_msft_2028/(pit_msft_2028+pfac_msft_2028)*IF(AND(ISNUMBER(G182),ISNUMBER(F182)),wb1*G182+wb2*F182,IF(ISNUMBER(G182),G182,H182)))/(pit_msft_2028+pfac_msft_2028),site_msft_2028)</f>
        <v>4.70017595096034</v>
      </c>
      <c r="I183" s="8" t="n">
        <f aca="false">IF(ISNUMBER(I182),(pit_msft_2029/(pit_msft_2029+pfac_msft_2029)*I182+pfac_msft_2029/(pit_msft_2029+pfac_msft_2029)*IF(AND(ISNUMBER(H182),ISNUMBER(G182)),wb1*H182+wb2*G182,IF(ISNUMBER(H182),H182,I182)))/(pit_msft_2029+pfac_msft_2029),site_msft_2029)</f>
        <v>4.76775856181925</v>
      </c>
    </row>
    <row r="184" customFormat="false" ht="17.15" hidden="false" customHeight="false" outlineLevel="0" collapsed="false">
      <c r="A184" s="0" t="s">
        <v>1568</v>
      </c>
      <c r="B184" s="0" t="s">
        <v>1328</v>
      </c>
      <c r="E184" s="8" t="n">
        <f aca="false">(1-lag)*E183+lag*D183-inv_k*(E183-D183)</f>
        <v>1.47616173241286</v>
      </c>
      <c r="F184" s="8" t="n">
        <f aca="false">(1-lag)*F183+lag*E183-inv_k*(F183-E183)</f>
        <v>3.22639491946754</v>
      </c>
      <c r="G184" s="8" t="n">
        <f aca="false">(1-lag)*G183+lag*F183-inv_k*(G183-F183)</f>
        <v>3.97063302035873</v>
      </c>
      <c r="H184" s="8" t="n">
        <f aca="false">(1-lag)*H183+lag*G183-inv_k*(H183-G183)</f>
        <v>4.51225574923768</v>
      </c>
      <c r="I184" s="8" t="n">
        <f aca="false">(1-lag)*I183+lag*H183-inv_k*(I183-H183)</f>
        <v>4.73565682166127</v>
      </c>
    </row>
    <row r="185" customFormat="false" ht="17.15" hidden="false" customHeight="false" outlineLevel="0" collapsed="false">
      <c r="A185" s="0" t="s">
        <v>1569</v>
      </c>
      <c r="B185" s="0" t="s">
        <v>1334</v>
      </c>
      <c r="E185" s="8" t="n">
        <f aca="false">E184*(1-nnv_msft_2025)</f>
        <v>1.12452514697642</v>
      </c>
      <c r="F185" s="8" t="n">
        <f aca="false">F184*(1-nnv_msft_2026)</f>
        <v>2.4578351689742</v>
      </c>
      <c r="G185" s="8" t="n">
        <f aca="false">G184*(1-nnv_msft_2027)</f>
        <v>2.88624574837268</v>
      </c>
      <c r="H185" s="8" t="n">
        <f aca="false">H184*(1-nnv_msft_2028)</f>
        <v>3.29565505446117</v>
      </c>
      <c r="I185" s="8" t="n">
        <f aca="false">I184*(1-nnv_msft_2029)</f>
        <v>3.44667018595891</v>
      </c>
    </row>
    <row r="186" customFormat="false" ht="17.15" hidden="false" customHeight="false" outlineLevel="0" collapsed="false">
      <c r="A186" s="0" t="s">
        <v>1570</v>
      </c>
      <c r="B186" s="0" t="s">
        <v>1336</v>
      </c>
      <c r="D186" s="8" t="n">
        <f aca="false">site_msft_2024</f>
        <v>0</v>
      </c>
      <c r="E186" s="8" t="n">
        <f aca="false">site_msft_2025</f>
        <v>2.13527</v>
      </c>
      <c r="F186" s="8" t="n">
        <f aca="false">site_msft_2026</f>
        <v>0.770955</v>
      </c>
      <c r="G186" s="8" t="n">
        <f aca="false">site_msft_2027</f>
        <v>1.04</v>
      </c>
      <c r="H186" s="8" t="n">
        <f aca="false">site_msft_2028</f>
        <v>1.67</v>
      </c>
      <c r="I186" s="8" t="n">
        <f aca="false">site_msft_2029</f>
        <v>0.144</v>
      </c>
    </row>
    <row r="187" customFormat="false" ht="17.15" hidden="false" customHeight="false" outlineLevel="0" collapsed="false">
      <c r="A187" s="0" t="s">
        <v>1571</v>
      </c>
      <c r="B187" s="0" t="s">
        <v>1338</v>
      </c>
      <c r="D187" s="8" t="n">
        <f aca="false">main_msft_2024</f>
        <v>0</v>
      </c>
      <c r="E187" s="8" t="n">
        <f aca="false">main_msft_2025</f>
        <v>2.13527</v>
      </c>
      <c r="F187" s="8" t="n">
        <f aca="false">main_msft_2026</f>
        <v>0.770955</v>
      </c>
      <c r="G187" s="8" t="n">
        <f aca="false">main_msft_2027</f>
        <v>3.56447576934396</v>
      </c>
      <c r="H187" s="8" t="n">
        <f aca="false">main_msft_2028</f>
        <v>4.06597876464757</v>
      </c>
      <c r="I187" s="8" t="n">
        <f aca="false">main_msft_2029</f>
        <v>4.6644209987717</v>
      </c>
    </row>
    <row r="188" customFormat="false" ht="17.15" hidden="false" customHeight="false" outlineLevel="0" collapsed="false">
      <c r="A188" s="0" t="s">
        <v>1572</v>
      </c>
      <c r="B188" s="0" t="s">
        <v>1340</v>
      </c>
      <c r="D188" s="8" t="str">
        <f aca="false">IF(ISNUMBER(ai2_googl_2024),ai2_googl_2024/ai_sh*ai_sh_hi,"")</f>
        <v/>
      </c>
      <c r="E188" s="8" t="n">
        <f aca="false">IF(ISNUMBER(ai2_googl_2025),ai2_googl_2025/ai_sh*ai_sh_hi,"")</f>
        <v>86.87465</v>
      </c>
      <c r="F188" s="8" t="n">
        <f aca="false">IF(ISNUMBER(ai2_googl_2026),ai2_googl_2026/ai_sh*ai_sh_hi,"")</f>
        <v>190</v>
      </c>
      <c r="G188" s="8" t="n">
        <f aca="false">IF(ISNUMBER(ai2_googl_2027),ai2_googl_2027/ai_sh*ai_sh_hi,"")</f>
        <v>285.93005</v>
      </c>
      <c r="H188" s="8" t="n">
        <f aca="false">IF(ISNUMBER(ai2_googl_2028),ai2_googl_2028/ai_sh*ai_sh_hi,"")</f>
        <v>322.47845</v>
      </c>
      <c r="I188" s="8" t="n">
        <f aca="false">IF(ISNUMBER(ai2_googl_2029),ai2_googl_2029/ai_sh*ai_sh_hi,"")</f>
        <v>354.726295</v>
      </c>
    </row>
    <row r="189" customFormat="false" ht="17.15" hidden="false" customHeight="false" outlineLevel="0" collapsed="false">
      <c r="A189" s="0" t="s">
        <v>1573</v>
      </c>
      <c r="B189" s="0" t="s">
        <v>1342</v>
      </c>
      <c r="D189" s="8" t="n">
        <f aca="false">IF(ISNUMBER(D188),(pit_googl_2024/(pit_googl_2024+pfac_googl_2024)*D188+pfac_googl_2024/(pit_googl_2024+pfac_googl_2024)*IF(AND(ISNUMBER(""),ISNUMBER("")),wb1*""+wb2*"",IF(ISNUMBER(""),"",D188)))/(pit_googl_2024+pfac_googl_2024),site_googl_2024)</f>
        <v>1.32980834349181</v>
      </c>
      <c r="E189" s="8" t="n">
        <f aca="false">IF(ISNUMBER(E188),(pit_googl_2025/(pit_googl_2025+pfac_googl_2025)*E188+pfac_googl_2025/(pit_googl_2025+pfac_googl_2025)*IF(AND(ISNUMBER(D188),ISNUMBER("")),wb1*D188+wb2*"",IF(ISNUMBER(D188),D188,E188)))/(pit_googl_2025+pfac_googl_2025),site_googl_2025)</f>
        <v>2.41024837853925</v>
      </c>
      <c r="F189" s="8" t="n">
        <f aca="false">IF(ISNUMBER(F188),(pit_googl_2026/(pit_googl_2026+pfac_googl_2026)*F188+pfac_googl_2026/(pit_googl_2026+pfac_googl_2026)*IF(AND(ISNUMBER(E188),ISNUMBER(D188)),wb1*E188+wb2*D188,IF(ISNUMBER(E188),E188,F188)))/(pit_googl_2026+pfac_googl_2026),site_googl_2026)</f>
        <v>4.3116310121152</v>
      </c>
      <c r="G189" s="8" t="n">
        <f aca="false">IF(ISNUMBER(G188),(pit_googl_2027/(pit_googl_2027+pfac_googl_2027)*G188+pfac_googl_2027/(pit_googl_2027+pfac_googl_2027)*IF(AND(ISNUMBER(F188),ISNUMBER(E188)),wb1*F188+wb2*E188,IF(ISNUMBER(F188),F188,G188)))/(pit_googl_2027+pfac_googl_2027),site_googl_2027)</f>
        <v>6.36800161998706</v>
      </c>
      <c r="H189" s="8" t="n">
        <f aca="false">IF(ISNUMBER(H188),(pit_googl_2028/(pit_googl_2028+pfac_googl_2028)*H188+pfac_googl_2028/(pit_googl_2028+pfac_googl_2028)*IF(AND(ISNUMBER(G188),ISNUMBER(F188)),wb1*G188+wb2*F188,IF(ISNUMBER(G188),G188,H188)))/(pit_googl_2028+pfac_googl_2028),site_googl_2028)</f>
        <v>7.57409755033445</v>
      </c>
      <c r="I189" s="8" t="n">
        <f aca="false">IF(ISNUMBER(I188),(pit_googl_2029/(pit_googl_2029+pfac_googl_2029)*I188+pfac_googl_2029/(pit_googl_2029+pfac_googl_2029)*IF(AND(ISNUMBER(H188),ISNUMBER(G188)),wb1*H188+wb2*G188,IF(ISNUMBER(H188),H188,I188)))/(pit_googl_2029+pfac_googl_2029),site_googl_2029)</f>
        <v>8.59391895790533</v>
      </c>
    </row>
    <row r="190" customFormat="false" ht="17.15" hidden="false" customHeight="false" outlineLevel="0" collapsed="false">
      <c r="A190" s="0" t="s">
        <v>1574</v>
      </c>
      <c r="B190" s="0" t="s">
        <v>1344</v>
      </c>
      <c r="E190" s="8" t="n">
        <f aca="false">(1-lag)*E189+lag*D189-inv_k*(E189-D189)</f>
        <v>1.89703936189172</v>
      </c>
      <c r="F190" s="8" t="n">
        <f aca="false">(1-lag)*F189+lag*E189-inv_k*(F189-E189)</f>
        <v>3.40847426116662</v>
      </c>
      <c r="G190" s="8" t="n">
        <f aca="false">(1-lag)*G189+lag*F189-inv_k*(G189-F189)</f>
        <v>5.39122558124793</v>
      </c>
      <c r="H190" s="8" t="n">
        <f aca="false">(1-lag)*H189+lag*G189-inv_k*(H189-G189)</f>
        <v>7.00120198341944</v>
      </c>
      <c r="I190" s="8" t="n">
        <f aca="false">(1-lag)*I189+lag*H189-inv_k*(I189-H189)</f>
        <v>8.10950378930916</v>
      </c>
    </row>
    <row r="191" customFormat="false" ht="17.15" hidden="false" customHeight="false" outlineLevel="0" collapsed="false">
      <c r="A191" s="0" t="s">
        <v>1575</v>
      </c>
      <c r="B191" s="0" t="s">
        <v>1346</v>
      </c>
      <c r="D191" s="8" t="n">
        <f aca="false">gcap_googl_2024*ai_sh_hi</f>
        <v>49.90825</v>
      </c>
      <c r="E191" s="8" t="n">
        <f aca="false">gcap_googl_2025*ai_sh_hi</f>
        <v>86.87465</v>
      </c>
      <c r="F191" s="8" t="n">
        <f aca="false">gcap_googl_2026*ai_sh_hi</f>
        <v>190</v>
      </c>
      <c r="G191" s="8" t="n">
        <f aca="false">gcap_googl_2027*ai_sh_hi</f>
        <v>275.846883</v>
      </c>
      <c r="H191" s="8" t="n">
        <f aca="false">gcap_googl_2028*ai_sh_hi</f>
        <v>301.52889325</v>
      </c>
      <c r="I191" s="8" t="n">
        <f aca="false">gcap_googl_2029*ai_sh_hi</f>
        <v>277.9328284</v>
      </c>
    </row>
    <row r="192" customFormat="false" ht="17.15" hidden="false" customHeight="false" outlineLevel="0" collapsed="false">
      <c r="A192" s="0" t="s">
        <v>1576</v>
      </c>
      <c r="B192" s="0" t="s">
        <v>1342</v>
      </c>
      <c r="D192" s="8" t="n">
        <f aca="false">IF(ISNUMBER(D191),(pit_googl_2024/(pit_googl_2024+pfac_googl_2024)*D191+pfac_googl_2024/(pit_googl_2024+pfac_googl_2024)*IF(AND(ISNUMBER(""),ISNUMBER("")),wb1*""+wb2*"",IF(ISNUMBER(""),"",D191)))/(pit_googl_2024+pfac_googl_2024),site_googl_2024)</f>
        <v>1.37055468586415</v>
      </c>
      <c r="E192" s="8" t="n">
        <f aca="false">IF(ISNUMBER(E191),(pit_googl_2025/(pit_googl_2025+pfac_googl_2025)*E191+pfac_googl_2025/(pit_googl_2025+pfac_googl_2025)*IF(AND(ISNUMBER(D191),ISNUMBER("")),wb1*D191+wb2*"",IF(ISNUMBER(D191),D191,E191)))/(pit_googl_2025+pfac_googl_2025),site_googl_2025)</f>
        <v>2.13117506831858</v>
      </c>
      <c r="F192" s="8" t="n">
        <f aca="false">IF(ISNUMBER(F191),(pit_googl_2026/(pit_googl_2026+pfac_googl_2026)*F191+pfac_googl_2026/(pit_googl_2026+pfac_googl_2026)*IF(AND(ISNUMBER(E191),ISNUMBER(D191)),wb1*E191+wb2*D191,IF(ISNUMBER(E191),E191,F191)))/(pit_googl_2026+pfac_googl_2026),site_googl_2026)</f>
        <v>4.1852463991985</v>
      </c>
      <c r="G192" s="8" t="n">
        <f aca="false">IF(ISNUMBER(G191),(pit_googl_2027/(pit_googl_2027+pfac_googl_2027)*G191+pfac_googl_2027/(pit_googl_2027+pfac_googl_2027)*IF(AND(ISNUMBER(F191),ISNUMBER(E191)),wb1*F191+wb2*E191,IF(ISNUMBER(F191),F191,G191)))/(pit_googl_2027+pfac_googl_2027),site_googl_2027)</f>
        <v>6.17477323658432</v>
      </c>
      <c r="H192" s="8" t="n">
        <f aca="false">IF(ISNUMBER(H191),(pit_googl_2028/(pit_googl_2028+pfac_googl_2028)*H191+pfac_googl_2028/(pit_googl_2028+pfac_googl_2028)*IF(AND(ISNUMBER(G191),ISNUMBER(F191)),wb1*G191+wb2*F191,IF(ISNUMBER(G191),G191,H191)))/(pit_googl_2028+pfac_googl_2028),site_googl_2028)</f>
        <v>7.14646161718361</v>
      </c>
      <c r="I192" s="8" t="n">
        <f aca="false">IF(ISNUMBER(I191),(pit_googl_2029/(pit_googl_2029+pfac_googl_2029)*I191+pfac_googl_2029/(pit_googl_2029+pfac_googl_2029)*IF(AND(ISNUMBER(H191),ISNUMBER(G191)),wb1*H191+wb2*G191,IF(ISNUMBER(H191),H191,I191)))/(pit_googl_2029+pfac_googl_2029),site_googl_2029)</f>
        <v>7.04468808988879</v>
      </c>
    </row>
    <row r="193" customFormat="false" ht="17.15" hidden="false" customHeight="false" outlineLevel="0" collapsed="false">
      <c r="A193" s="0" t="s">
        <v>1577</v>
      </c>
      <c r="B193" s="0" t="s">
        <v>1344</v>
      </c>
      <c r="E193" s="8" t="n">
        <f aca="false">(1-lag)*E192+lag*D192-inv_k*(E192-D192)</f>
        <v>1.76988038665273</v>
      </c>
      <c r="F193" s="8" t="n">
        <f aca="false">(1-lag)*F192+lag*E192-inv_k*(F192-E192)</f>
        <v>3.20956251703054</v>
      </c>
      <c r="G193" s="8" t="n">
        <f aca="false">(1-lag)*G192+lag*F192-inv_k*(G192-F192)</f>
        <v>5.22974798882605</v>
      </c>
      <c r="H193" s="8" t="n">
        <f aca="false">(1-lag)*H192+lag*G192-inv_k*(H192-G192)</f>
        <v>6.68490963639895</v>
      </c>
      <c r="I193" s="8" t="n">
        <f aca="false">(1-lag)*I192+lag*H192-inv_k*(I192-H192)</f>
        <v>7.09303051535383</v>
      </c>
    </row>
    <row r="194" customFormat="false" ht="17.15" hidden="false" customHeight="false" outlineLevel="0" collapsed="false">
      <c r="A194" s="0" t="s">
        <v>1578</v>
      </c>
      <c r="B194" s="0" t="s">
        <v>1350</v>
      </c>
      <c r="E194" s="8" t="n">
        <f aca="false">E193*(1-nnv_googl_2025)</f>
        <v>0.437160455503224</v>
      </c>
      <c r="F194" s="8" t="n">
        <f aca="false">F193*(1-nnv_googl_2026)</f>
        <v>0.792761941706543</v>
      </c>
      <c r="G194" s="8" t="n">
        <f aca="false">G193*(1-nnv_googl_2027)</f>
        <v>1.29174775324004</v>
      </c>
      <c r="H194" s="8" t="n">
        <f aca="false">H193*(1-nnv_googl_2028)</f>
        <v>1.65117268019054</v>
      </c>
      <c r="I194" s="8" t="n">
        <f aca="false">I193*(1-nnv_googl_2029)</f>
        <v>1.7519785372924</v>
      </c>
    </row>
    <row r="195" customFormat="false" ht="17.15" hidden="false" customHeight="false" outlineLevel="0" collapsed="false">
      <c r="A195" s="0" t="s">
        <v>1579</v>
      </c>
      <c r="B195" s="0" t="s">
        <v>1352</v>
      </c>
      <c r="D195" s="8" t="n">
        <f aca="false">site_googl_2024</f>
        <v>1.32980834349181</v>
      </c>
      <c r="E195" s="8" t="n">
        <f aca="false">site_googl_2025</f>
        <v>2.40961330082622</v>
      </c>
      <c r="F195" s="8" t="n">
        <f aca="false">site_googl_2026</f>
        <v>1.29267912772586</v>
      </c>
      <c r="G195" s="8" t="n">
        <f aca="false">site_googl_2027</f>
        <v>1.626</v>
      </c>
      <c r="H195" s="8" t="n">
        <f aca="false">site_googl_2028</f>
        <v>0.833333333333334</v>
      </c>
      <c r="I195" s="8" t="n">
        <f aca="false">site_googl_2029</f>
        <v>0</v>
      </c>
    </row>
    <row r="196" customFormat="false" ht="17.15" hidden="false" customHeight="false" outlineLevel="0" collapsed="false">
      <c r="A196" s="0" t="s">
        <v>1580</v>
      </c>
      <c r="B196" s="0" t="s">
        <v>1354</v>
      </c>
      <c r="D196" s="8" t="n">
        <f aca="false">main_googl_2024</f>
        <v>1.32980834349181</v>
      </c>
      <c r="E196" s="8" t="n">
        <f aca="false">main_googl_2025</f>
        <v>2.40961330082622</v>
      </c>
      <c r="F196" s="8" t="n">
        <f aca="false">main_googl_2026</f>
        <v>1.29267912772586</v>
      </c>
      <c r="G196" s="8" t="n">
        <f aca="false">main_googl_2027</f>
        <v>5.69768565998842</v>
      </c>
      <c r="H196" s="8" t="n">
        <f aca="false">main_googl_2028</f>
        <v>6.77682412398346</v>
      </c>
      <c r="I196" s="8" t="n">
        <f aca="false">main_googl_2029</f>
        <v>7.68929590970478</v>
      </c>
    </row>
    <row r="197" customFormat="false" ht="17.15" hidden="false" customHeight="false" outlineLevel="0" collapsed="false">
      <c r="A197" s="0" t="s">
        <v>1581</v>
      </c>
      <c r="B197" s="0" t="s">
        <v>1356</v>
      </c>
      <c r="D197" s="8" t="str">
        <f aca="false">IF(ISNUMBER(ai2_amzn_2024),ai2_amzn_2024/ai_amzn*ai_amzn_hi,"")</f>
        <v/>
      </c>
      <c r="E197" s="8" t="n">
        <f aca="false">IF(ISNUMBER(ai2_amzn_2025),ai2_amzn_2025/ai_amzn*ai_amzn_hi,"")</f>
        <v>96.24</v>
      </c>
      <c r="F197" s="8" t="n">
        <f aca="false">IF(ISNUMBER(ai2_amzn_2026),ai2_amzn_2026/ai_amzn*ai_amzn_hi,"")</f>
        <v>165</v>
      </c>
      <c r="G197" s="8" t="n">
        <f aca="false">IF(ISNUMBER(ai2_amzn_2027),ai2_amzn_2027/ai_amzn*ai_amzn_hi,"")</f>
        <v>206.29725</v>
      </c>
      <c r="H197" s="8" t="n">
        <f aca="false">IF(ISNUMBER(ai2_amzn_2028),ai2_amzn_2028/ai_amzn*ai_amzn_hi,"")</f>
        <v>219.69525</v>
      </c>
      <c r="I197" s="8" t="n">
        <f aca="false">IF(ISNUMBER(ai2_amzn_2029),ai2_amzn_2029/ai_amzn*ai_amzn_hi,"")</f>
        <v>241.664775</v>
      </c>
    </row>
    <row r="198" customFormat="false" ht="17.15" hidden="false" customHeight="false" outlineLevel="0" collapsed="false">
      <c r="A198" s="0" t="s">
        <v>1582</v>
      </c>
      <c r="B198" s="0" t="s">
        <v>1358</v>
      </c>
      <c r="D198" s="8" t="n">
        <f aca="false">IF(ISNUMBER(D197),(pit_amzn_2024/(pit_amzn_2024+pfac_amzn_2024)*D197+pfac_amzn_2024/(pit_amzn_2024+pfac_amzn_2024)*IF(AND(ISNUMBER(""),ISNUMBER("")),wb1*""+wb2*"",IF(ISNUMBER(""),"",D197)))/(pit_amzn_2024+pfac_amzn_2024),site_amzn_2024)</f>
        <v>0</v>
      </c>
      <c r="E198" s="8" t="n">
        <f aca="false">IF(ISNUMBER(E197),(pit_amzn_2025/(pit_amzn_2025+pfac_amzn_2025)*E197+pfac_amzn_2025/(pit_amzn_2025+pfac_amzn_2025)*IF(AND(ISNUMBER(D197),ISNUMBER("")),wb1*D197+wb2*"",IF(ISNUMBER(D197),D197,E197)))/(pit_amzn_2025+pfac_amzn_2025),site_amzn_2025)</f>
        <v>2.88975424489974</v>
      </c>
      <c r="F198" s="8" t="n">
        <f aca="false">IF(ISNUMBER(F197),(pit_amzn_2026/(pit_amzn_2026+pfac_amzn_2026)*F197+pfac_amzn_2026/(pit_amzn_2026+pfac_amzn_2026)*IF(AND(ISNUMBER(E197),ISNUMBER(D197)),wb1*E197+wb2*D197,IF(ISNUMBER(E197),E197,F197)))/(pit_amzn_2026+pfac_amzn_2026),site_amzn_2026)</f>
        <v>4.11210315192382</v>
      </c>
      <c r="G198" s="8" t="n">
        <f aca="false">IF(ISNUMBER(G197),(pit_amzn_2027/(pit_amzn_2027+pfac_amzn_2027)*G197+pfac_amzn_2027/(pit_amzn_2027+pfac_amzn_2027)*IF(AND(ISNUMBER(F197),ISNUMBER(E197)),wb1*F197+wb2*E197,IF(ISNUMBER(F197),F197,G197)))/(pit_amzn_2027+pfac_amzn_2027),site_amzn_2027)</f>
        <v>5.01282957654863</v>
      </c>
      <c r="H198" s="8" t="n">
        <f aca="false">IF(ISNUMBER(H197),(pit_amzn_2028/(pit_amzn_2028+pfac_amzn_2028)*H197+pfac_amzn_2028/(pit_amzn_2028+pfac_amzn_2028)*IF(AND(ISNUMBER(G197),ISNUMBER(F197)),wb1*G197+wb2*F197,IF(ISNUMBER(G197),G197,H197)))/(pit_amzn_2028+pfac_amzn_2028),site_amzn_2028)</f>
        <v>5.51055683743389</v>
      </c>
      <c r="I198" s="8" t="n">
        <f aca="false">IF(ISNUMBER(I197),(pit_amzn_2029/(pit_amzn_2029+pfac_amzn_2029)*I197+pfac_amzn_2029/(pit_amzn_2029+pfac_amzn_2029)*IF(AND(ISNUMBER(H197),ISNUMBER(G197)),wb1*H197+wb2*G197,IF(ISNUMBER(H197),H197,I197)))/(pit_amzn_2029+pfac_amzn_2029),site_amzn_2029)</f>
        <v>6.11747294878949</v>
      </c>
    </row>
    <row r="199" customFormat="false" ht="17.15" hidden="false" customHeight="false" outlineLevel="0" collapsed="false">
      <c r="A199" s="0" t="s">
        <v>1583</v>
      </c>
      <c r="B199" s="0" t="s">
        <v>1360</v>
      </c>
      <c r="E199" s="8" t="n">
        <f aca="false">(1-lag)*E198+lag*D198-inv_k*(E198-D198)</f>
        <v>1.51712097857236</v>
      </c>
      <c r="F199" s="8" t="n">
        <f aca="false">(1-lag)*F198+lag*E198-inv_k*(F198-E198)</f>
        <v>3.53148742108738</v>
      </c>
      <c r="G199" s="8" t="n">
        <f aca="false">(1-lag)*G198+lag*F198-inv_k*(G198-F198)</f>
        <v>4.58498452485184</v>
      </c>
      <c r="H199" s="8" t="n">
        <f aca="false">(1-lag)*H198+lag*G198-inv_k*(H198-G198)</f>
        <v>5.27413638851339</v>
      </c>
      <c r="I199" s="8" t="n">
        <f aca="false">(1-lag)*I198+lag*H198-inv_k*(I198-H198)</f>
        <v>5.82918779589558</v>
      </c>
    </row>
    <row r="200" customFormat="false" ht="17.15" hidden="false" customHeight="false" outlineLevel="0" collapsed="false">
      <c r="A200" s="0" t="s">
        <v>1584</v>
      </c>
      <c r="B200" s="0" t="s">
        <v>1362</v>
      </c>
      <c r="D200" s="8" t="n">
        <f aca="false">gcap_amzn_2024*ai_amzn_hi</f>
        <v>58.2435</v>
      </c>
      <c r="E200" s="8" t="n">
        <f aca="false">gcap_amzn_2025*ai_amzn_hi</f>
        <v>96.24</v>
      </c>
      <c r="F200" s="8" t="n">
        <f aca="false">gcap_amzn_2026*ai_amzn_hi</f>
        <v>165</v>
      </c>
      <c r="G200" s="8" t="n">
        <f aca="false">gcap_amzn_2027*ai_amzn_hi</f>
        <v>189.8100645</v>
      </c>
      <c r="H200" s="8" t="n">
        <f aca="false">gcap_amzn_2028*ai_amzn_hi</f>
        <v>200.228676</v>
      </c>
      <c r="I200" s="8" t="n">
        <f aca="false">gcap_amzn_2029*ai_amzn_hi</f>
        <v>208.8044175</v>
      </c>
    </row>
    <row r="201" customFormat="false" ht="17.15" hidden="false" customHeight="false" outlineLevel="0" collapsed="false">
      <c r="A201" s="0" t="s">
        <v>1585</v>
      </c>
      <c r="B201" s="0" t="s">
        <v>1358</v>
      </c>
      <c r="D201" s="8" t="n">
        <f aca="false">IF(ISNUMBER(D200),(pit_amzn_2024/(pit_amzn_2024+pfac_amzn_2024)*D200+pfac_amzn_2024/(pit_amzn_2024+pfac_amzn_2024)*IF(AND(ISNUMBER(""),ISNUMBER("")),wb1*""+wb2*"",IF(ISNUMBER(""),"",D200)))/(pit_amzn_2024+pfac_amzn_2024),site_amzn_2024)</f>
        <v>1.72321913453841</v>
      </c>
      <c r="E201" s="8" t="n">
        <f aca="false">IF(ISNUMBER(E200),(pit_amzn_2025/(pit_amzn_2025+pfac_amzn_2025)*E200+pfac_amzn_2025/(pit_amzn_2025+pfac_amzn_2025)*IF(AND(ISNUMBER(D200),ISNUMBER("")),wb1*D200+wb2*"",IF(ISNUMBER(D200),D200,E200)))/(pit_amzn_2025+pfac_amzn_2025),site_amzn_2025)</f>
        <v>2.56912812459733</v>
      </c>
      <c r="F201" s="8" t="n">
        <f aca="false">IF(ISNUMBER(F200),(pit_amzn_2026/(pit_amzn_2026+pfac_amzn_2026)*F200+pfac_amzn_2026/(pit_amzn_2026+pfac_amzn_2026)*IF(AND(ISNUMBER(E200),ISNUMBER(D200)),wb1*E200+wb2*D200,IF(ISNUMBER(E200),E200,F200)))/(pit_amzn_2026+pfac_amzn_2026),site_amzn_2026)</f>
        <v>3.97295837084382</v>
      </c>
      <c r="G201" s="8" t="n">
        <f aca="false">IF(ISNUMBER(G200),(pit_amzn_2027/(pit_amzn_2027+pfac_amzn_2027)*G200+pfac_amzn_2027/(pit_amzn_2027+pfac_amzn_2027)*IF(AND(ISNUMBER(F200),ISNUMBER(E200)),wb1*F200+wb2*E200,IF(ISNUMBER(F200),F200,G200)))/(pit_amzn_2027+pfac_amzn_2027),site_amzn_2027)</f>
        <v>4.68215631246697</v>
      </c>
      <c r="H201" s="8" t="n">
        <f aca="false">IF(ISNUMBER(H200),(pit_amzn_2028/(pit_amzn_2028+pfac_amzn_2028)*H200+pfac_amzn_2028/(pit_amzn_2028+pfac_amzn_2028)*IF(AND(ISNUMBER(G200),ISNUMBER(F200)),wb1*G200+wb2*F200,IF(ISNUMBER(G200),G200,H200)))/(pit_amzn_2028+pfac_amzn_2028),site_amzn_2028)</f>
        <v>5.07447539464488</v>
      </c>
      <c r="I201" s="8" t="n">
        <f aca="false">IF(ISNUMBER(I200),(pit_amzn_2029/(pit_amzn_2029+pfac_amzn_2029)*I200+pfac_amzn_2029/(pit_amzn_2029+pfac_amzn_2029)*IF(AND(ISNUMBER(H200),ISNUMBER(G200)),wb1*H200+wb2*G200,IF(ISNUMBER(H200),H200,I200)))/(pit_amzn_2029+pfac_amzn_2029),site_amzn_2029)</f>
        <v>5.35551875621753</v>
      </c>
    </row>
    <row r="202" customFormat="false" ht="17.15" hidden="false" customHeight="false" outlineLevel="0" collapsed="false">
      <c r="A202" s="0" t="s">
        <v>1586</v>
      </c>
      <c r="B202" s="0" t="s">
        <v>1360</v>
      </c>
      <c r="E202" s="8" t="n">
        <f aca="false">(1-lag)*E201+lag*D201-inv_k*(E201-D201)</f>
        <v>2.16732135431934</v>
      </c>
      <c r="F202" s="8" t="n">
        <f aca="false">(1-lag)*F201+lag*E201-inv_k*(F201-E201)</f>
        <v>3.30613900387673</v>
      </c>
      <c r="G202" s="8" t="n">
        <f aca="false">(1-lag)*G201+lag*F201-inv_k*(G201-F201)</f>
        <v>4.34528729019597</v>
      </c>
      <c r="H202" s="8" t="n">
        <f aca="false">(1-lag)*H201+lag*G201-inv_k*(H201-G201)</f>
        <v>4.88812383061037</v>
      </c>
      <c r="I202" s="8" t="n">
        <f aca="false">(1-lag)*I201+lag*H201-inv_k*(I201-H201)</f>
        <v>5.22202315947052</v>
      </c>
    </row>
    <row r="203" customFormat="false" ht="17.15" hidden="false" customHeight="false" outlineLevel="0" collapsed="false">
      <c r="A203" s="0" t="s">
        <v>1587</v>
      </c>
      <c r="B203" s="0" t="s">
        <v>1366</v>
      </c>
      <c r="E203" s="8" t="n">
        <f aca="false">E202*(1-nnv_amzn_2025)</f>
        <v>0.715216046925383</v>
      </c>
      <c r="F203" s="8" t="n">
        <f aca="false">F202*(1-nnv_amzn_2026)</f>
        <v>1.09102587127932</v>
      </c>
      <c r="G203" s="8" t="n">
        <f aca="false">G202*(1-nnv_amzn_2027)</f>
        <v>1.43394480576467</v>
      </c>
      <c r="H203" s="8" t="n">
        <f aca="false">H202*(1-nnv_amzn_2028)</f>
        <v>1.61308086410142</v>
      </c>
      <c r="I203" s="8" t="n">
        <f aca="false">I202*(1-nnv_amzn_2029)</f>
        <v>1.72326764262527</v>
      </c>
    </row>
    <row r="204" customFormat="false" ht="17.15" hidden="false" customHeight="false" outlineLevel="0" collapsed="false">
      <c r="A204" s="0" t="s">
        <v>1588</v>
      </c>
      <c r="B204" s="0" t="s">
        <v>1368</v>
      </c>
      <c r="D204" s="8" t="n">
        <f aca="false">site_amzn_2024</f>
        <v>0</v>
      </c>
      <c r="E204" s="8" t="n">
        <f aca="false">site_amzn_2025</f>
        <v>1.38971599402093</v>
      </c>
      <c r="F204" s="8" t="n">
        <f aca="false">site_amzn_2026</f>
        <v>0.527</v>
      </c>
      <c r="G204" s="8" t="n">
        <f aca="false">site_amzn_2027</f>
        <v>0.364</v>
      </c>
      <c r="H204" s="8" t="n">
        <f aca="false">site_amzn_2028</f>
        <v>1.744</v>
      </c>
      <c r="I204" s="8" t="n">
        <f aca="false">site_amzn_2029</f>
        <v>0.0620000000000003</v>
      </c>
    </row>
    <row r="205" customFormat="false" ht="17.15" hidden="false" customHeight="false" outlineLevel="0" collapsed="false">
      <c r="A205" s="0" t="s">
        <v>1589</v>
      </c>
      <c r="B205" s="0" t="s">
        <v>1370</v>
      </c>
      <c r="D205" s="8" t="n">
        <f aca="false">main_amzn_2024</f>
        <v>0</v>
      </c>
      <c r="E205" s="8" t="n">
        <f aca="false">main_amzn_2025</f>
        <v>1.38971599402093</v>
      </c>
      <c r="F205" s="8" t="n">
        <f aca="false">main_amzn_2026</f>
        <v>0.527</v>
      </c>
      <c r="G205" s="8" t="n">
        <f aca="false">main_amzn_2027</f>
        <v>4.54496548273742</v>
      </c>
      <c r="H205" s="8" t="n">
        <f aca="false">main_amzn_2028</f>
        <v>4.99623819927339</v>
      </c>
      <c r="I205" s="8" t="n">
        <f aca="false">main_amzn_2029</f>
        <v>5.54650880690247</v>
      </c>
    </row>
    <row r="206" customFormat="false" ht="17.15" hidden="false" customHeight="false" outlineLevel="0" collapsed="false">
      <c r="A206" s="0" t="s">
        <v>1590</v>
      </c>
      <c r="B206" s="0" t="s">
        <v>1372</v>
      </c>
      <c r="D206" s="8" t="str">
        <f aca="false">IF(ISNUMBER(ai2_meta_2024),ai2_meta_2024/ai_sh*ai_sh_hi,"")</f>
        <v/>
      </c>
      <c r="E206" s="8" t="str">
        <f aca="false">IF(ISNUMBER(ai2_meta_2025),ai2_meta_2025/ai_sh*ai_sh_hi,"")</f>
        <v/>
      </c>
      <c r="F206" s="8" t="n">
        <f aca="false">IF(ISNUMBER(ai2_meta_2026),ai2_meta_2026/ai_sh*ai_sh_hi,"")</f>
        <v>133</v>
      </c>
      <c r="G206" s="8" t="n">
        <f aca="false">IF(ISNUMBER(ai2_meta_2027),ai2_meta_2027/ai_sh*ai_sh_hi,"")</f>
        <v>146.3</v>
      </c>
      <c r="H206" s="8" t="n">
        <f aca="false">IF(ISNUMBER(ai2_meta_2028),ai2_meta_2028/ai_sh*ai_sh_hi,"")</f>
        <v>160.93</v>
      </c>
      <c r="I206" s="8" t="n">
        <f aca="false">IF(ISNUMBER(ai2_meta_2029),ai2_meta_2029/ai_sh*ai_sh_hi,"")</f>
        <v>177.023</v>
      </c>
    </row>
    <row r="207" customFormat="false" ht="17.15" hidden="false" customHeight="false" outlineLevel="0" collapsed="false">
      <c r="A207" s="0" t="s">
        <v>1591</v>
      </c>
      <c r="B207" s="0" t="s">
        <v>1374</v>
      </c>
      <c r="D207" s="8" t="n">
        <f aca="false">IF(ISNUMBER(D206),(pit_meta_2024/(pit_meta_2024+pfac_meta_2024)*D206+pfac_meta_2024/(pit_meta_2024+pfac_meta_2024)*IF(AND(ISNUMBER(""),ISNUMBER("")),wb1*""+wb2*"",IF(ISNUMBER(""),"",D206)))/(pit_meta_2024+pfac_meta_2024),site_meta_2024)</f>
        <v>0</v>
      </c>
      <c r="E207" s="8" t="n">
        <f aca="false">IF(ISNUMBER(E206),(pit_meta_2025/(pit_meta_2025+pfac_meta_2025)*E206+pfac_meta_2025/(pit_meta_2025+pfac_meta_2025)*IF(AND(ISNUMBER(D206),ISNUMBER("")),wb1*D206+wb2*"",IF(ISNUMBER(D206),D206,E206)))/(pit_meta_2025+pfac_meta_2025),site_meta_2025)</f>
        <v>1.50812</v>
      </c>
      <c r="F207" s="8" t="n">
        <f aca="false">IF(ISNUMBER(F206),(pit_meta_2026/(pit_meta_2026+pfac_meta_2026)*F206+pfac_meta_2026/(pit_meta_2026+pfac_meta_2026)*IF(AND(ISNUMBER(E206),ISNUMBER(D206)),wb1*E206+wb2*D206,IF(ISNUMBER(E206),E206,F206)))/(pit_meta_2026+pfac_meta_2026),site_meta_2026)</f>
        <v>2.93713739345361</v>
      </c>
      <c r="G207" s="8" t="n">
        <f aca="false">IF(ISNUMBER(G206),(pit_meta_2027/(pit_meta_2027+pfac_meta_2027)*G206+pfac_meta_2027/(pit_meta_2027+pfac_meta_2027)*IF(AND(ISNUMBER(F206),ISNUMBER(E206)),wb1*F206+wb2*E206,IF(ISNUMBER(F206),F206,G206)))/(pit_meta_2027+pfac_meta_2027),site_meta_2027)</f>
        <v>2.93327798200584</v>
      </c>
      <c r="H207" s="8" t="n">
        <f aca="false">IF(ISNUMBER(H206),(pit_meta_2028/(pit_meta_2028+pfac_meta_2028)*H206+pfac_meta_2028/(pit_meta_2028+pfac_meta_2028)*IF(AND(ISNUMBER(G206),ISNUMBER(F206)),wb1*G206+wb2*F206,IF(ISNUMBER(G206),G206,H206)))/(pit_meta_2028+pfac_meta_2028),site_meta_2028)</f>
        <v>3.05834285323664</v>
      </c>
      <c r="I207" s="8" t="n">
        <f aca="false">IF(ISNUMBER(I206),(pit_meta_2029/(pit_meta_2029+pfac_meta_2029)*I206+pfac_meta_2029/(pit_meta_2029+pfac_meta_2029)*IF(AND(ISNUMBER(H206),ISNUMBER(G206)),wb1*H206+wb2*G206,IF(ISNUMBER(H206),H206,I206)))/(pit_meta_2029+pfac_meta_2029),site_meta_2029)</f>
        <v>3.36607157557406</v>
      </c>
    </row>
    <row r="208" customFormat="false" ht="17.15" hidden="false" customHeight="false" outlineLevel="0" collapsed="false">
      <c r="A208" s="0" t="s">
        <v>1592</v>
      </c>
      <c r="B208" s="0" t="s">
        <v>1376</v>
      </c>
      <c r="E208" s="8" t="n">
        <f aca="false">(1-lag)*E207+lag*D207-inv_k*(E207-D207)</f>
        <v>0.791763</v>
      </c>
      <c r="F208" s="8" t="n">
        <f aca="false">(1-lag)*F207+lag*E207-inv_k*(F207-E207)</f>
        <v>2.25835413156314</v>
      </c>
      <c r="G208" s="8" t="n">
        <f aca="false">(1-lag)*G207+lag*F207-inv_k*(G207-F207)</f>
        <v>2.93511120244353</v>
      </c>
      <c r="H208" s="8" t="n">
        <f aca="false">(1-lag)*H207+lag*G207-inv_k*(H207-G207)</f>
        <v>2.99893703940201</v>
      </c>
      <c r="I208" s="8" t="n">
        <f aca="false">(1-lag)*I207+lag*H207-inv_k*(I207-H207)</f>
        <v>3.21990043246379</v>
      </c>
    </row>
    <row r="209" customFormat="false" ht="17.15" hidden="false" customHeight="false" outlineLevel="0" collapsed="false">
      <c r="A209" s="0" t="s">
        <v>1593</v>
      </c>
      <c r="B209" s="0" t="s">
        <v>1378</v>
      </c>
      <c r="D209" s="8" t="n">
        <f aca="false">gcap_meta_2024*ai_sh_hi</f>
        <v>37.26375</v>
      </c>
      <c r="E209" s="8" t="n">
        <f aca="false">gcap_meta_2025*ai_sh_hi</f>
        <v>68.60425</v>
      </c>
      <c r="F209" s="8" t="n">
        <f aca="false">gcap_meta_2026*ai_sh_hi</f>
        <v>133</v>
      </c>
      <c r="G209" s="8" t="n">
        <f aca="false">gcap_meta_2027*ai_sh_hi</f>
        <v>195.4205841</v>
      </c>
      <c r="H209" s="8" t="n">
        <f aca="false">gcap_meta_2028*ai_sh_hi</f>
        <v>208.31909985</v>
      </c>
      <c r="I209" s="8" t="n">
        <f aca="false">gcap_meta_2029*ai_sh_hi</f>
        <v>185.05986985</v>
      </c>
    </row>
    <row r="210" customFormat="false" ht="17.15" hidden="false" customHeight="false" outlineLevel="0" collapsed="false">
      <c r="A210" s="0" t="s">
        <v>1594</v>
      </c>
      <c r="B210" s="0" t="s">
        <v>1374</v>
      </c>
      <c r="D210" s="8" t="n">
        <f aca="false">IF(ISNUMBER(D209),(pit_meta_2024/(pit_meta_2024+pfac_meta_2024)*D209+pfac_meta_2024/(pit_meta_2024+pfac_meta_2024)*IF(AND(ISNUMBER(""),ISNUMBER("")),wb1*""+wb2*"",IF(ISNUMBER(""),"",D209)))/(pit_meta_2024+pfac_meta_2024),site_meta_2024)</f>
        <v>0.913669470005028</v>
      </c>
      <c r="E210" s="8" t="n">
        <f aca="false">IF(ISNUMBER(E209),(pit_meta_2025/(pit_meta_2025+pfac_meta_2025)*E209+pfac_meta_2025/(pit_meta_2025+pfac_meta_2025)*IF(AND(ISNUMBER(D209),ISNUMBER("")),wb1*D209+wb2*"",IF(ISNUMBER(D209),D209,E209)))/(pit_meta_2025+pfac_meta_2025),site_meta_2025)</f>
        <v>1.48696932593172</v>
      </c>
      <c r="F210" s="8" t="n">
        <f aca="false">IF(ISNUMBER(F209),(pit_meta_2026/(pit_meta_2026+pfac_meta_2026)*F209+pfac_meta_2026/(pit_meta_2026+pfac_meta_2026)*IF(AND(ISNUMBER(E209),ISNUMBER(D209)),wb1*E209+wb2*D209,IF(ISNUMBER(E209),E209,F209)))/(pit_meta_2026+pfac_meta_2026),site_meta_2026)</f>
        <v>2.46008292813035</v>
      </c>
      <c r="G210" s="8" t="n">
        <f aca="false">IF(ISNUMBER(G209),(pit_meta_2027/(pit_meta_2027+pfac_meta_2027)*G209+pfac_meta_2027/(pit_meta_2027+pfac_meta_2027)*IF(AND(ISNUMBER(F209),ISNUMBER(E209)),wb1*F209+wb2*E209,IF(ISNUMBER(F209),F209,G209)))/(pit_meta_2027+pfac_meta_2027),site_meta_2027)</f>
        <v>3.52512745909819</v>
      </c>
      <c r="H210" s="8" t="n">
        <f aca="false">IF(ISNUMBER(H209),(pit_meta_2028/(pit_meta_2028+pfac_meta_2028)*H209+pfac_meta_2028/(pit_meta_2028+pfac_meta_2028)*IF(AND(ISNUMBER(G209),ISNUMBER(F209)),wb1*G209+wb2*F209,IF(ISNUMBER(G209),G209,H209)))/(pit_meta_2028+pfac_meta_2028),site_meta_2028)</f>
        <v>3.88139607650616</v>
      </c>
      <c r="I210" s="8" t="n">
        <f aca="false">IF(ISNUMBER(I209),(pit_meta_2029/(pit_meta_2029+pfac_meta_2029)*I209+pfac_meta_2029/(pit_meta_2029+pfac_meta_2029)*IF(AND(ISNUMBER(H209),ISNUMBER(G209)),wb1*H209+wb2*G209,IF(ISNUMBER(H209),H209,I209)))/(pit_meta_2029+pfac_meta_2029),site_meta_2029)</f>
        <v>3.71229090220112</v>
      </c>
    </row>
    <row r="211" customFormat="false" ht="17.15" hidden="false" customHeight="false" outlineLevel="0" collapsed="false">
      <c r="A211" s="0" t="s">
        <v>1595</v>
      </c>
      <c r="B211" s="0" t="s">
        <v>1376</v>
      </c>
      <c r="E211" s="8" t="n">
        <f aca="false">(1-lag)*E210+lag*D210-inv_k*(E210-D210)</f>
        <v>1.21465189436654</v>
      </c>
      <c r="F211" s="8" t="n">
        <f aca="false">(1-lag)*F210+lag*E210-inv_k*(F210-E210)</f>
        <v>1.997853967086</v>
      </c>
      <c r="G211" s="8" t="n">
        <f aca="false">(1-lag)*G210+lag*F210-inv_k*(G210-F210)</f>
        <v>3.01923130688847</v>
      </c>
      <c r="H211" s="8" t="n">
        <f aca="false">(1-lag)*H210+lag*G210-inv_k*(H210-G210)</f>
        <v>3.71216848323737</v>
      </c>
      <c r="I211" s="8" t="n">
        <f aca="false">(1-lag)*I210+lag*H210-inv_k*(I210-H210)</f>
        <v>3.79261585999601</v>
      </c>
    </row>
    <row r="212" customFormat="false" ht="17.15" hidden="false" customHeight="false" outlineLevel="0" collapsed="false">
      <c r="A212" s="0" t="s">
        <v>1596</v>
      </c>
      <c r="B212" s="0" t="s">
        <v>1382</v>
      </c>
      <c r="E212" s="8" t="n">
        <f aca="false">E211*(1-nnv_meta_2025)</f>
        <v>0.925309585017543</v>
      </c>
      <c r="F212" s="8" t="n">
        <f aca="false">F211*(1-nnv_meta_2026)</f>
        <v>1.52194503938438</v>
      </c>
      <c r="G212" s="8" t="n">
        <f aca="false">G211*(1-nnv_meta_2027)</f>
        <v>2.1946736145546</v>
      </c>
      <c r="H212" s="8" t="n">
        <f aca="false">H211*(1-nnv_meta_2028)</f>
        <v>2.71128843414063</v>
      </c>
      <c r="I212" s="8" t="n">
        <f aca="false">I211*(1-nnv_meta_2029)</f>
        <v>2.76031319491972</v>
      </c>
    </row>
    <row r="213" customFormat="false" ht="17.15" hidden="false" customHeight="false" outlineLevel="0" collapsed="false">
      <c r="A213" s="0" t="s">
        <v>1597</v>
      </c>
      <c r="B213" s="0" t="s">
        <v>1384</v>
      </c>
      <c r="D213" s="8" t="n">
        <f aca="false">site_meta_2024</f>
        <v>0</v>
      </c>
      <c r="E213" s="8" t="n">
        <f aca="false">site_meta_2025</f>
        <v>1.50812</v>
      </c>
      <c r="F213" s="8" t="n">
        <f aca="false">site_meta_2026</f>
        <v>0.676</v>
      </c>
      <c r="G213" s="8" t="n">
        <f aca="false">site_meta_2027</f>
        <v>0.615</v>
      </c>
      <c r="H213" s="8" t="n">
        <f aca="false">site_meta_2028</f>
        <v>2.99433333333333</v>
      </c>
      <c r="I213" s="8" t="n">
        <f aca="false">site_meta_2029</f>
        <v>0.968</v>
      </c>
    </row>
    <row r="214" customFormat="false" ht="17.15" hidden="false" customHeight="false" outlineLevel="0" collapsed="false">
      <c r="A214" s="0" t="s">
        <v>1598</v>
      </c>
      <c r="B214" s="0" t="s">
        <v>1386</v>
      </c>
      <c r="D214" s="8" t="n">
        <f aca="false">main_meta_2024</f>
        <v>0</v>
      </c>
      <c r="E214" s="8" t="n">
        <f aca="false">main_meta_2025</f>
        <v>1.50812</v>
      </c>
      <c r="F214" s="8" t="n">
        <f aca="false">main_meta_2026</f>
        <v>0.676</v>
      </c>
      <c r="G214" s="8" t="n">
        <f aca="false">main_meta_2027</f>
        <v>0.615</v>
      </c>
      <c r="H214" s="8" t="n">
        <f aca="false">main_meta_2028</f>
        <v>2.73641202658016</v>
      </c>
      <c r="I214" s="8" t="n">
        <f aca="false">main_meta_2029</f>
        <v>3.01174825182942</v>
      </c>
    </row>
    <row r="215" customFormat="false" ht="17.15" hidden="false" customHeight="false" outlineLevel="0" collapsed="false">
      <c r="A215" s="0" t="s">
        <v>1599</v>
      </c>
      <c r="B215" s="0" t="s">
        <v>1388</v>
      </c>
      <c r="D215" s="8" t="str">
        <f aca="false">IF(ISNUMBER(ai2_orcl_2024),ai2_orcl_2024/ai_sh*ai_sh_hi,"")</f>
        <v/>
      </c>
      <c r="E215" s="8" t="n">
        <f aca="false">IF(ISNUMBER(ai2_orcl_2025),ai2_orcl_2025/ai_sh*ai_sh_hi,"")</f>
        <v>39.2441833333334</v>
      </c>
      <c r="F215" s="8" t="n">
        <f aca="false">IF(ISNUMBER(ai2_orcl_2026),ai2_orcl_2026/ai_sh*ai_sh_hi,"")</f>
        <v>73.2936875</v>
      </c>
      <c r="G215" s="8" t="n">
        <f aca="false">IF(ISNUMBER(ai2_orcl_2027),ai2_orcl_2027/ai_sh*ai_sh_hi,"")</f>
        <v>92.5643583333334</v>
      </c>
      <c r="H215" s="8" t="n">
        <f aca="false">IF(ISNUMBER(ai2_orcl_2028),ai2_orcl_2028/ai_sh*ai_sh_hi,"")</f>
        <v>86.9840583333334</v>
      </c>
      <c r="I215" s="8" t="n">
        <f aca="false">IF(ISNUMBER(ai2_orcl_2029),ai2_orcl_2029/ai_sh*ai_sh_hi,"")</f>
        <v>85.3075933333334</v>
      </c>
    </row>
    <row r="216" customFormat="false" ht="17.15" hidden="false" customHeight="false" outlineLevel="0" collapsed="false">
      <c r="A216" s="0" t="s">
        <v>1600</v>
      </c>
      <c r="B216" s="0" t="s">
        <v>1390</v>
      </c>
      <c r="D216" s="8" t="n">
        <f aca="false">IF(ISNUMBER(D215),(pit_orcl_2024/(pit_orcl_2024+pfac_orcl_2024)*D215+pfac_orcl_2024/(pit_orcl_2024+pfac_orcl_2024)*IF(AND(ISNUMBER(""),ISNUMBER("")),wb1*""+wb2*"",IF(ISNUMBER(""),"",D215)))/(pit_orcl_2024+pfac_orcl_2024),site_orcl_2024)</f>
        <v>0</v>
      </c>
      <c r="E216" s="8" t="n">
        <f aca="false">IF(ISNUMBER(E215),(pit_orcl_2025/(pit_orcl_2025+pfac_orcl_2025)*E215+pfac_orcl_2025/(pit_orcl_2025+pfac_orcl_2025)*IF(AND(ISNUMBER(D215),ISNUMBER("")),wb1*D215+wb2*"",IF(ISNUMBER(D215),D215,E215)))/(pit_orcl_2025+pfac_orcl_2025),site_orcl_2025)</f>
        <v>0.989985408629596</v>
      </c>
      <c r="F216" s="8" t="n">
        <f aca="false">IF(ISNUMBER(F215),(pit_orcl_2026/(pit_orcl_2026+pfac_orcl_2026)*F215+pfac_orcl_2026/(pit_orcl_2026+pfac_orcl_2026)*IF(AND(ISNUMBER(E215),ISNUMBER(D215)),wb1*E215+wb2*D215,IF(ISNUMBER(E215),E215,F215)))/(pit_orcl_2026+pfac_orcl_2026),site_orcl_2026)</f>
        <v>1.415722746384</v>
      </c>
      <c r="G216" s="8" t="n">
        <f aca="false">IF(ISNUMBER(G215),(pit_orcl_2027/(pit_orcl_2027+pfac_orcl_2027)*G215+pfac_orcl_2027/(pit_orcl_2027+pfac_orcl_2027)*IF(AND(ISNUMBER(F215),ISNUMBER(E215)),wb1*F215+wb2*E215,IF(ISNUMBER(F215),F215,G215)))/(pit_orcl_2027+pfac_orcl_2027),site_orcl_2027)</f>
        <v>1.71331850602376</v>
      </c>
      <c r="H216" s="8" t="n">
        <f aca="false">IF(ISNUMBER(H215),(pit_orcl_2028/(pit_orcl_2028+pfac_orcl_2028)*H215+pfac_orcl_2028/(pit_orcl_2028+pfac_orcl_2028)*IF(AND(ISNUMBER(G215),ISNUMBER(F215)),wb1*G215+wb2*F215,IF(ISNUMBER(G215),G215,H215)))/(pit_orcl_2028+pfac_orcl_2028),site_orcl_2028)</f>
        <v>1.68792411972696</v>
      </c>
      <c r="I216" s="8" t="n">
        <f aca="false">IF(ISNUMBER(I215),(pit_orcl_2029/(pit_orcl_2029+pfac_orcl_2029)*I215+pfac_orcl_2029/(pit_orcl_2029+pfac_orcl_2029)*IF(AND(ISNUMBER(H215),ISNUMBER(G215)),wb1*H215+wb2*G215,IF(ISNUMBER(H215),H215,I215)))/(pit_orcl_2029+pfac_orcl_2029),site_orcl_2029)</f>
        <v>1.6958880390198</v>
      </c>
    </row>
    <row r="217" customFormat="false" ht="17.15" hidden="false" customHeight="false" outlineLevel="0" collapsed="false">
      <c r="A217" s="0" t="s">
        <v>1601</v>
      </c>
      <c r="B217" s="0" t="s">
        <v>1392</v>
      </c>
      <c r="E217" s="8" t="n">
        <f aca="false">(1-lag)*E216+lag*D216-inv_k*(E216-D216)</f>
        <v>0.519742339530538</v>
      </c>
      <c r="F217" s="8" t="n">
        <f aca="false">(1-lag)*F216+lag*E216-inv_k*(F216-E216)</f>
        <v>1.21349751095066</v>
      </c>
      <c r="G217" s="8" t="n">
        <f aca="false">(1-lag)*G216+lag*F216-inv_k*(G216-F216)</f>
        <v>1.57196052019488</v>
      </c>
      <c r="H217" s="8" t="n">
        <f aca="false">(1-lag)*H216+lag*G216-inv_k*(H216-G216)</f>
        <v>1.69998645321794</v>
      </c>
      <c r="I217" s="8" t="n">
        <f aca="false">(1-lag)*I216+lag*H216-inv_k*(I216-H216)</f>
        <v>1.6921051773557</v>
      </c>
    </row>
    <row r="218" customFormat="false" ht="17.15" hidden="false" customHeight="false" outlineLevel="0" collapsed="false">
      <c r="A218" s="0" t="s">
        <v>1602</v>
      </c>
      <c r="B218" s="0" t="s">
        <v>1394</v>
      </c>
      <c r="D218" s="8" t="str">
        <f aca="false">""</f>
        <v/>
      </c>
      <c r="E218" s="8" t="n">
        <f aca="false">(5/12*cap2_orcl_2025+7/12*gcap_orcl_2026)*ai_sh_hi</f>
        <v>39.2441833333333</v>
      </c>
      <c r="F218" s="8" t="n">
        <f aca="false">(5/12*gcap_orcl_2026+7/12*gcap_orcl_2027)*ai_sh_hi</f>
        <v>73.2936875</v>
      </c>
      <c r="G218" s="8" t="n">
        <f aca="false">(5/12*gcap_orcl_2027+7/12*gcap_orcl_2028)*ai_sh_hi</f>
        <v>84.493212325</v>
      </c>
      <c r="H218" s="8" t="n">
        <f aca="false">(5/12*gcap_orcl_2028+7/12*gcap_orcl_2029)*ai_sh_hi</f>
        <v>55.2604368708333</v>
      </c>
      <c r="I218" s="8" t="n">
        <f aca="false">(5/12*gcap_orcl_2029+7/12*gcap_orcl_2030)*ai_sh_hi</f>
        <v>26.133666375</v>
      </c>
    </row>
    <row r="219" customFormat="false" ht="17.15" hidden="false" customHeight="false" outlineLevel="0" collapsed="false">
      <c r="A219" s="0" t="s">
        <v>1603</v>
      </c>
      <c r="B219" s="0" t="s">
        <v>1390</v>
      </c>
      <c r="D219" s="8" t="n">
        <f aca="false">IF(ISNUMBER(D218),(pit_orcl_2024/(pit_orcl_2024+pfac_orcl_2024)*D218+pfac_orcl_2024/(pit_orcl_2024+pfac_orcl_2024)*IF(AND(ISNUMBER(""),ISNUMBER("")),wb1*""+wb2*"",IF(ISNUMBER(""),"",D218)))/(pit_orcl_2024+pfac_orcl_2024),site_orcl_2024)</f>
        <v>0</v>
      </c>
      <c r="E219" s="8" t="n">
        <f aca="false">IF(ISNUMBER(E218),(pit_orcl_2025/(pit_orcl_2025+pfac_orcl_2025)*E218+pfac_orcl_2025/(pit_orcl_2025+pfac_orcl_2025)*IF(AND(ISNUMBER(D218),ISNUMBER("")),wb1*D218+wb2*"",IF(ISNUMBER(D218),D218,E218)))/(pit_orcl_2025+pfac_orcl_2025),site_orcl_2025)</f>
        <v>0.989985408629595</v>
      </c>
      <c r="F219" s="8" t="n">
        <f aca="false">IF(ISNUMBER(F218),(pit_orcl_2026/(pit_orcl_2026+pfac_orcl_2026)*F218+pfac_orcl_2026/(pit_orcl_2026+pfac_orcl_2026)*IF(AND(ISNUMBER(E218),ISNUMBER(D218)),wb1*E218+wb2*D218,IF(ISNUMBER(E218),E218,F218)))/(pit_orcl_2026+pfac_orcl_2026),site_orcl_2026)</f>
        <v>1.415722746384</v>
      </c>
      <c r="G219" s="8" t="n">
        <f aca="false">IF(ISNUMBER(G218),(pit_orcl_2027/(pit_orcl_2027+pfac_orcl_2027)*G218+pfac_orcl_2027/(pit_orcl_2027+pfac_orcl_2027)*IF(AND(ISNUMBER(F218),ISNUMBER(E218)),wb1*F218+wb2*E218,IF(ISNUMBER(F218),F218,G218)))/(pit_orcl_2027+pfac_orcl_2027),site_orcl_2027)</f>
        <v>1.58901563485212</v>
      </c>
      <c r="H219" s="8" t="n">
        <f aca="false">IF(ISNUMBER(H218),(pit_orcl_2028/(pit_orcl_2028+pfac_orcl_2028)*H218+pfac_orcl_2028/(pit_orcl_2028+pfac_orcl_2028)*IF(AND(ISNUMBER(G218),ISNUMBER(F218)),wb1*G218+wb2*F218,IF(ISNUMBER(G218),G218,H218)))/(pit_orcl_2028+pfac_orcl_2028),site_orcl_2028)</f>
        <v>1.19502683012014</v>
      </c>
      <c r="I219" s="8" t="n">
        <f aca="false">IF(ISNUMBER(I218),(pit_orcl_2029/(pit_orcl_2029+pfac_orcl_2029)*I218+pfac_orcl_2029/(pit_orcl_2029+pfac_orcl_2029)*IF(AND(ISNUMBER(H218),ISNUMBER(G218)),wb1*H218+wb2*G218,IF(ISNUMBER(H218),H218,I218)))/(pit_orcl_2029+pfac_orcl_2029),site_orcl_2029)</f>
        <v>0.718054199667534</v>
      </c>
    </row>
    <row r="220" customFormat="false" ht="17.15" hidden="false" customHeight="false" outlineLevel="0" collapsed="false">
      <c r="A220" s="0" t="s">
        <v>1604</v>
      </c>
      <c r="B220" s="0" t="s">
        <v>1392</v>
      </c>
      <c r="E220" s="8" t="n">
        <f aca="false">(1-lag)*E219+lag*D219-inv_k*(E219-D219)</f>
        <v>0.519742339530537</v>
      </c>
      <c r="F220" s="8" t="n">
        <f aca="false">(1-lag)*F219+lag*E219-inv_k*(F219-E219)</f>
        <v>1.21349751095066</v>
      </c>
      <c r="G220" s="8" t="n">
        <f aca="false">(1-lag)*G219+lag*F219-inv_k*(G219-F219)</f>
        <v>1.50670151282976</v>
      </c>
      <c r="H220" s="8" t="n">
        <f aca="false">(1-lag)*H219+lag*G219-inv_k*(H219-G219)</f>
        <v>1.38217151236783</v>
      </c>
      <c r="I220" s="8" t="n">
        <f aca="false">(1-lag)*I219+lag*H219-inv_k*(I219-H219)</f>
        <v>0.944616199132521</v>
      </c>
    </row>
    <row r="221" customFormat="false" ht="17.15" hidden="false" customHeight="false" outlineLevel="0" collapsed="false">
      <c r="A221" s="0" t="s">
        <v>1605</v>
      </c>
      <c r="B221" s="0" t="s">
        <v>1398</v>
      </c>
      <c r="E221" s="8" t="n">
        <f aca="false">E220*(1-nnv_orcl_2025)</f>
        <v>0.39593448191826</v>
      </c>
      <c r="F221" s="8" t="n">
        <f aca="false">F220*(1-nnv_orcl_2026)</f>
        <v>0.924430187352702</v>
      </c>
      <c r="G221" s="8" t="n">
        <f aca="false">G220*(1-nnv_orcl_2027)</f>
        <v>1.09521852389136</v>
      </c>
      <c r="H221" s="8" t="n">
        <f aca="false">H220*(1-nnv_orcl_2028)</f>
        <v>1.00950849952085</v>
      </c>
      <c r="I221" s="8" t="n">
        <f aca="false">I220*(1-nnv_orcl_2029)</f>
        <v>0.687503468543516</v>
      </c>
    </row>
    <row r="222" customFormat="false" ht="17.15" hidden="false" customHeight="false" outlineLevel="0" collapsed="false">
      <c r="A222" s="0" t="s">
        <v>1606</v>
      </c>
      <c r="B222" s="0" t="s">
        <v>1400</v>
      </c>
      <c r="D222" s="8" t="n">
        <f aca="false">site_orcl_2024</f>
        <v>0</v>
      </c>
      <c r="E222" s="8" t="n">
        <f aca="false">site_orcl_2025</f>
        <v>0.816405</v>
      </c>
      <c r="F222" s="8" t="n">
        <f aca="false">site_orcl_2026</f>
        <v>1.54613</v>
      </c>
      <c r="G222" s="8" t="n">
        <f aca="false">site_orcl_2027</f>
        <v>0.944166666666667</v>
      </c>
      <c r="H222" s="8" t="n">
        <f aca="false">site_orcl_2028</f>
        <v>4.91166666666667</v>
      </c>
      <c r="I222" s="8" t="n">
        <f aca="false">site_orcl_2029</f>
        <v>0</v>
      </c>
    </row>
    <row r="223" customFormat="false" ht="17.15" hidden="false" customHeight="false" outlineLevel="0" collapsed="false">
      <c r="A223" s="0" t="s">
        <v>1607</v>
      </c>
      <c r="B223" s="0" t="s">
        <v>1402</v>
      </c>
      <c r="D223" s="8" t="n">
        <f aca="false">main_orcl_2024</f>
        <v>0</v>
      </c>
      <c r="E223" s="8" t="n">
        <f aca="false">main_orcl_2025</f>
        <v>0.816405</v>
      </c>
      <c r="F223" s="8" t="n">
        <f aca="false">main_orcl_2026</f>
        <v>1.54613</v>
      </c>
      <c r="G223" s="8" t="n">
        <f aca="false">main_orcl_2027</f>
        <v>1.53296918960021</v>
      </c>
      <c r="H223" s="8" t="n">
        <f aca="false">main_orcl_2028</f>
        <v>1.51024789659781</v>
      </c>
      <c r="I223" s="8" t="n">
        <f aca="false">main_orcl_2029</f>
        <v>1.51737350859666</v>
      </c>
    </row>
    <row r="224" customFormat="false" ht="17.15" hidden="false" customHeight="false" outlineLevel="0" collapsed="false">
      <c r="A224" s="0" t="s">
        <v>1608</v>
      </c>
      <c r="B224" s="0" t="s">
        <v>1404</v>
      </c>
      <c r="D224" s="8" t="str">
        <f aca="false">IF(ISNUMBER(ai2_crwv_2024),ai2_crwv_2024/ai_sh*ai_sh_hi,"")</f>
        <v/>
      </c>
      <c r="E224" s="8" t="str">
        <f aca="false">IF(ISNUMBER(ai2_crwv_2025),ai2_crwv_2025/ai_sh*ai_sh_hi,"")</f>
        <v/>
      </c>
      <c r="F224" s="8" t="n">
        <f aca="false">IF(ISNUMBER(ai2_crwv_2026),ai2_crwv_2026/ai_sh*ai_sh_hi,"")</f>
        <v>35.15</v>
      </c>
      <c r="G224" s="8" t="n">
        <f aca="false">IF(ISNUMBER(ai2_crwv_2027),ai2_crwv_2027/ai_sh*ai_sh_hi,"")</f>
        <v>44.1522</v>
      </c>
      <c r="H224" s="8" t="n">
        <f aca="false">IF(ISNUMBER(ai2_crwv_2028),ai2_crwv_2028/ai_sh*ai_sh_hi,"")</f>
        <v>47.62255</v>
      </c>
      <c r="I224" s="8" t="n">
        <f aca="false">IF(ISNUMBER(ai2_crwv_2029),ai2_crwv_2029/ai_sh*ai_sh_hi,"")</f>
        <v>52.384805</v>
      </c>
    </row>
    <row r="225" customFormat="false" ht="17.15" hidden="false" customHeight="false" outlineLevel="0" collapsed="false">
      <c r="A225" s="0" t="s">
        <v>1609</v>
      </c>
      <c r="B225" s="0" t="s">
        <v>1406</v>
      </c>
      <c r="D225" s="8" t="n">
        <f aca="false">IF(ISNUMBER(D224),(pit_crwv_2024/(pit_crwv_2024+pfac_crwv_2024)*D224+pfac_crwv_2024/(pit_crwv_2024+pfac_crwv_2024)*IF(AND(ISNUMBER(""),ISNUMBER("")),wb1*""+wb2*"",IF(ISNUMBER(""),"",D224)))/(pit_crwv_2024+pfac_crwv_2024),site_crwv_2024)</f>
        <v>0.29</v>
      </c>
      <c r="E225" s="8" t="n">
        <f aca="false">IF(ISNUMBER(E224),(pit_crwv_2025/(pit_crwv_2025+pfac_crwv_2025)*E224+pfac_crwv_2025/(pit_crwv_2025+pfac_crwv_2025)*IF(AND(ISNUMBER(D224),ISNUMBER("")),wb1*D224+wb2*"",IF(ISNUMBER(D224),D224,E224)))/(pit_crwv_2025+pfac_crwv_2025),site_crwv_2025)</f>
        <v>0.49</v>
      </c>
      <c r="F225" s="8" t="n">
        <f aca="false">IF(ISNUMBER(F224),(pit_crwv_2026/(pit_crwv_2026+pfac_crwv_2026)*F224+pfac_crwv_2026/(pit_crwv_2026+pfac_crwv_2026)*IF(AND(ISNUMBER(E224),ISNUMBER(D224)),wb1*E224+wb2*D224,IF(ISNUMBER(E224),E224,F224)))/(pit_crwv_2026+pfac_crwv_2026),site_crwv_2026)</f>
        <v>0.762737077301788</v>
      </c>
      <c r="G225" s="8" t="n">
        <f aca="false">IF(ISNUMBER(G224),(pit_crwv_2027/(pit_crwv_2027+pfac_crwv_2027)*G224+pfac_crwv_2027/(pit_crwv_2027+pfac_crwv_2027)*IF(AND(ISNUMBER(F224),ISNUMBER(E224)),wb1*F224+wb2*E224,IF(ISNUMBER(F224),F224,G224)))/(pit_crwv_2027+pfac_crwv_2027),site_crwv_2027)</f>
        <v>0.821719401515565</v>
      </c>
      <c r="H225" s="8" t="n">
        <f aca="false">IF(ISNUMBER(H224),(pit_crwv_2028/(pit_crwv_2028+pfac_crwv_2028)*H224+pfac_crwv_2028/(pit_crwv_2028+pfac_crwv_2028)*IF(AND(ISNUMBER(G224),ISNUMBER(F224)),wb1*G224+wb2*F224,IF(ISNUMBER(G224),G224,H224)))/(pit_crwv_2028+pfac_crwv_2028),site_crwv_2028)</f>
        <v>0.847223739467975</v>
      </c>
      <c r="I225" s="8" t="n">
        <f aca="false">IF(ISNUMBER(I224),(pit_crwv_2029/(pit_crwv_2029+pfac_crwv_2029)*I224+pfac_crwv_2029/(pit_crwv_2029+pfac_crwv_2029)*IF(AND(ISNUMBER(H224),ISNUMBER(G224)),wb1*H224+wb2*G224,IF(ISNUMBER(H224),H224,I224)))/(pit_crwv_2029+pfac_crwv_2029),site_crwv_2029)</f>
        <v>0.941813351926486</v>
      </c>
    </row>
    <row r="226" customFormat="false" ht="17.15" hidden="false" customHeight="false" outlineLevel="0" collapsed="false">
      <c r="A226" s="0" t="s">
        <v>1610</v>
      </c>
      <c r="B226" s="0" t="s">
        <v>1408</v>
      </c>
      <c r="E226" s="8" t="n">
        <f aca="false">(1-lag)*E225+lag*D225-inv_k*(E225-D225)</f>
        <v>0.395</v>
      </c>
      <c r="F226" s="8" t="n">
        <f aca="false">(1-lag)*F225+lag*E225-inv_k*(F225-E225)</f>
        <v>0.633186965583439</v>
      </c>
      <c r="G226" s="8" t="n">
        <f aca="false">(1-lag)*G225+lag*F225-inv_k*(G225-F225)</f>
        <v>0.793702797514021</v>
      </c>
      <c r="H226" s="8" t="n">
        <f aca="false">(1-lag)*H225+lag*G225-inv_k*(H225-G225)</f>
        <v>0.83510917894058</v>
      </c>
      <c r="I226" s="8" t="n">
        <f aca="false">(1-lag)*I225+lag*H225-inv_k*(I225-H225)</f>
        <v>0.896883286008693</v>
      </c>
    </row>
    <row r="227" customFormat="false" ht="17.15" hidden="false" customHeight="false" outlineLevel="0" collapsed="false">
      <c r="A227" s="0" t="s">
        <v>1611</v>
      </c>
      <c r="B227" s="0" t="s">
        <v>1410</v>
      </c>
      <c r="D227" s="8" t="str">
        <f aca="false">""</f>
        <v/>
      </c>
      <c r="E227" s="8" t="str">
        <f aca="false">""</f>
        <v/>
      </c>
      <c r="F227" s="8" t="n">
        <f aca="false">gcap_crwv_2026*ai_sh_hi</f>
        <v>31.3291</v>
      </c>
      <c r="G227" s="8" t="n">
        <f aca="false">gcap_crwv_2027*ai_sh_hi</f>
        <v>37.39488895</v>
      </c>
      <c r="H227" s="8" t="n">
        <f aca="false">gcap_crwv_2028*ai_sh_hi</f>
        <v>30.8865843</v>
      </c>
      <c r="I227" s="8" t="n">
        <f aca="false">gcap_crwv_2029*ai_sh_hi</f>
        <v>31.0651197</v>
      </c>
    </row>
    <row r="228" customFormat="false" ht="17.15" hidden="false" customHeight="false" outlineLevel="0" collapsed="false">
      <c r="A228" s="0" t="s">
        <v>1612</v>
      </c>
      <c r="B228" s="0" t="s">
        <v>1406</v>
      </c>
      <c r="D228" s="8" t="n">
        <f aca="false">IF(ISNUMBER(D227),(pit_crwv_2024/(pit_crwv_2024+pfac_crwv_2024)*D227+pfac_crwv_2024/(pit_crwv_2024+pfac_crwv_2024)*IF(AND(ISNUMBER(""),ISNUMBER("")),wb1*""+wb2*"",IF(ISNUMBER(""),"",D227)))/(pit_crwv_2024+pfac_crwv_2024),site_crwv_2024)</f>
        <v>0.29</v>
      </c>
      <c r="E228" s="8" t="n">
        <f aca="false">IF(ISNUMBER(E227),(pit_crwv_2025/(pit_crwv_2025+pfac_crwv_2025)*E227+pfac_crwv_2025/(pit_crwv_2025+pfac_crwv_2025)*IF(AND(ISNUMBER(D227),ISNUMBER("")),wb1*D227+wb2*"",IF(ISNUMBER(D227),D227,E227)))/(pit_crwv_2025+pfac_crwv_2025),site_crwv_2025)</f>
        <v>0.49</v>
      </c>
      <c r="F228" s="8" t="n">
        <f aca="false">IF(ISNUMBER(F227),(pit_crwv_2026/(pit_crwv_2026+pfac_crwv_2026)*F227+pfac_crwv_2026/(pit_crwv_2026+pfac_crwv_2026)*IF(AND(ISNUMBER(E227),ISNUMBER(D227)),wb1*E227+wb2*D227,IF(ISNUMBER(E227),E227,F227)))/(pit_crwv_2026+pfac_crwv_2026),site_crwv_2026)</f>
        <v>0.679825495547523</v>
      </c>
      <c r="G228" s="8" t="n">
        <f aca="false">IF(ISNUMBER(G227),(pit_crwv_2027/(pit_crwv_2027+pfac_crwv_2027)*G227+pfac_crwv_2027/(pit_crwv_2027+pfac_crwv_2027)*IF(AND(ISNUMBER(F227),ISNUMBER(E227)),wb1*F227+wb2*E227,IF(ISNUMBER(F227),F227,G227)))/(pit_crwv_2027+pfac_crwv_2027),site_crwv_2027)</f>
        <v>0.703548121535553</v>
      </c>
      <c r="H228" s="8" t="n">
        <f aca="false">IF(ISNUMBER(H227),(pit_crwv_2028/(pit_crwv_2028+pfac_crwv_2028)*H227+pfac_crwv_2028/(pit_crwv_2028+pfac_crwv_2028)*IF(AND(ISNUMBER(G227),ISNUMBER(F227)),wb1*G227+wb2*F227,IF(ISNUMBER(G227),G227,H227)))/(pit_crwv_2028+pfac_crwv_2028),site_crwv_2028)</f>
        <v>0.587045191596774</v>
      </c>
      <c r="I228" s="8" t="n">
        <f aca="false">IF(ISNUMBER(I227),(pit_crwv_2029/(pit_crwv_2029+pfac_crwv_2029)*I227+pfac_crwv_2029/(pit_crwv_2029+pfac_crwv_2029)*IF(AND(ISNUMBER(H227),ISNUMBER(G227)),wb1*H227+wb2*G227,IF(ISNUMBER(H227),H227,I227)))/(pit_crwv_2029+pfac_crwv_2029),site_crwv_2029)</f>
        <v>0.58861431192745</v>
      </c>
    </row>
    <row r="229" customFormat="false" ht="17.15" hidden="false" customHeight="false" outlineLevel="0" collapsed="false">
      <c r="A229" s="0" t="s">
        <v>1613</v>
      </c>
      <c r="B229" s="0" t="s">
        <v>1408</v>
      </c>
      <c r="E229" s="8" t="n">
        <f aca="false">(1-lag)*E228+lag*D228-inv_k*(E228-D228)</f>
        <v>0.395</v>
      </c>
      <c r="F229" s="8" t="n">
        <f aca="false">(1-lag)*F228+lag*E228-inv_k*(F228-E228)</f>
        <v>0.58965838516245</v>
      </c>
      <c r="G229" s="8" t="n">
        <f aca="false">(1-lag)*G228+lag*F228-inv_k*(G228-F228)</f>
        <v>0.692279874191239</v>
      </c>
      <c r="H229" s="8" t="n">
        <f aca="false">(1-lag)*H228+lag*G228-inv_k*(H228-G228)</f>
        <v>0.642384083317694</v>
      </c>
      <c r="I229" s="8" t="n">
        <f aca="false">(1-lag)*I228+lag*H228-inv_k*(I228-H228)</f>
        <v>0.587868979770378</v>
      </c>
    </row>
    <row r="230" customFormat="false" ht="17.15" hidden="false" customHeight="false" outlineLevel="0" collapsed="false">
      <c r="A230" s="0" t="s">
        <v>1614</v>
      </c>
      <c r="B230" s="0" t="s">
        <v>1414</v>
      </c>
      <c r="E230" s="8" t="n">
        <f aca="false">E229*(1-nnv_crwv_2025)</f>
        <v>0.395</v>
      </c>
      <c r="F230" s="8" t="n">
        <f aca="false">F229*(1-nnv_crwv_2026)</f>
        <v>0.58965838516245</v>
      </c>
      <c r="G230" s="8" t="n">
        <f aca="false">G229*(1-nnv_crwv_2027)</f>
        <v>0.692279874191239</v>
      </c>
      <c r="H230" s="8" t="n">
        <f aca="false">H229*(1-nnv_crwv_2028)</f>
        <v>0.642384083317694</v>
      </c>
      <c r="I230" s="8" t="n">
        <f aca="false">I229*(1-nnv_crwv_2029)</f>
        <v>0.587868979770378</v>
      </c>
    </row>
    <row r="231" customFormat="false" ht="17.15" hidden="false" customHeight="false" outlineLevel="0" collapsed="false">
      <c r="A231" s="0" t="s">
        <v>1615</v>
      </c>
      <c r="B231" s="0" t="s">
        <v>1416</v>
      </c>
      <c r="D231" s="8" t="n">
        <f aca="false">site_crwv_2024</f>
        <v>0.29</v>
      </c>
      <c r="E231" s="8" t="n">
        <f aca="false">site_crwv_2025</f>
        <v>0.49</v>
      </c>
      <c r="F231" s="8" t="n">
        <f aca="false">site_crwv_2026</f>
        <v>1</v>
      </c>
      <c r="G231" s="8" t="n">
        <f aca="false">site_crwv_2027</f>
        <v>1.5375</v>
      </c>
      <c r="H231" s="8" t="n">
        <f aca="false">site_crwv_2028</f>
        <v>1.5375</v>
      </c>
      <c r="I231" s="8" t="n">
        <f aca="false">site_crwv_2029</f>
        <v>1.5375</v>
      </c>
    </row>
    <row r="232" customFormat="false" ht="17.15" hidden="false" customHeight="false" outlineLevel="0" collapsed="false">
      <c r="A232" s="0" t="s">
        <v>1616</v>
      </c>
      <c r="B232" s="0" t="s">
        <v>1418</v>
      </c>
      <c r="D232" s="8" t="n">
        <f aca="false">main_crwv_2024</f>
        <v>0.29</v>
      </c>
      <c r="E232" s="8" t="n">
        <f aca="false">main_crwv_2025</f>
        <v>0.49</v>
      </c>
      <c r="F232" s="8" t="n">
        <f aca="false">main_crwv_2026</f>
        <v>1</v>
      </c>
      <c r="G232" s="8" t="n">
        <f aca="false">main_crwv_2027</f>
        <v>1.5375</v>
      </c>
      <c r="H232" s="8" t="n">
        <f aca="false">main_crwv_2028</f>
        <v>0.758042293208187</v>
      </c>
      <c r="I232" s="8" t="n">
        <f aca="false">main_crwv_2029</f>
        <v>0.842675104355277</v>
      </c>
    </row>
    <row r="233" customFormat="false" ht="17.15" hidden="false" customHeight="false" outlineLevel="0" collapsed="false">
      <c r="A233" s="0" t="s">
        <v>1617</v>
      </c>
      <c r="B233" s="0" t="s">
        <v>1420</v>
      </c>
      <c r="D233" s="8" t="str">
        <f aca="false">IF(ISNUMBER(ai2_nbis_2024),ai2_nbis_2024/ai_sh*ai_sh_hi,"")</f>
        <v/>
      </c>
      <c r="E233" s="8" t="n">
        <f aca="false">IF(ISNUMBER(ai2_nbis_2025),ai2_nbis_2025/ai_sh*ai_sh_hi,"")</f>
        <v>3.8627</v>
      </c>
      <c r="F233" s="8" t="n">
        <f aca="false">IF(ISNUMBER(ai2_nbis_2026),ai2_nbis_2026/ai_sh*ai_sh_hi,"")</f>
        <v>21.375</v>
      </c>
      <c r="G233" s="8" t="n">
        <f aca="false">IF(ISNUMBER(ai2_nbis_2027),ai2_nbis_2027/ai_sh*ai_sh_hi,"")</f>
        <v>25.88085</v>
      </c>
      <c r="H233" s="8" t="n">
        <f aca="false">IF(ISNUMBER(ai2_nbis_2028),ai2_nbis_2028/ai_sh*ai_sh_hi,"")</f>
        <v>36.4705</v>
      </c>
      <c r="I233" s="8" t="n">
        <f aca="false">IF(ISNUMBER(ai2_nbis_2029),ai2_nbis_2029/ai_sh*ai_sh_hi,"")</f>
        <v>40.11755</v>
      </c>
    </row>
    <row r="234" customFormat="false" ht="17.15" hidden="false" customHeight="false" outlineLevel="0" collapsed="false">
      <c r="A234" s="0" t="s">
        <v>1618</v>
      </c>
      <c r="B234" s="0" t="s">
        <v>1422</v>
      </c>
      <c r="D234" s="8" t="n">
        <f aca="false">IF(ISNUMBER(D233),(pit_nbis_2024/(pit_nbis_2024+pfac_nbis_2024)*D233+pfac_nbis_2024/(pit_nbis_2024+pfac_nbis_2024)*IF(AND(ISNUMBER(""),ISNUMBER("")),wb1*""+wb2*"",IF(ISNUMBER(""),"",D233)))/(pit_nbis_2024+pfac_nbis_2024),site_nbis_2024)</f>
        <v>0</v>
      </c>
      <c r="E234" s="8" t="n">
        <f aca="false">IF(ISNUMBER(E233),(pit_nbis_2025/(pit_nbis_2025+pfac_nbis_2025)*E233+pfac_nbis_2025/(pit_nbis_2025+pfac_nbis_2025)*IF(AND(ISNUMBER(D233),ISNUMBER("")),wb1*D233+wb2*"",IF(ISNUMBER(D233),D233,E233)))/(pit_nbis_2025+pfac_nbis_2025),site_nbis_2025)</f>
        <v>0.0998653329158123</v>
      </c>
      <c r="F234" s="8" t="n">
        <f aca="false">IF(ISNUMBER(F233),(pit_nbis_2026/(pit_nbis_2026+pfac_nbis_2026)*F233+pfac_nbis_2026/(pit_nbis_2026+pfac_nbis_2026)*IF(AND(ISNUMBER(E233),ISNUMBER(D233)),wb1*E233+wb2*D233,IF(ISNUMBER(E233),E233,F233)))/(pit_nbis_2026+pfac_nbis_2026),site_nbis_2026)</f>
        <v>0.359350041854725</v>
      </c>
      <c r="G234" s="8" t="n">
        <f aca="false">IF(ISNUMBER(G233),(pit_nbis_2027/(pit_nbis_2027+pfac_nbis_2027)*G233+pfac_nbis_2027/(pit_nbis_2027+pfac_nbis_2027)*IF(AND(ISNUMBER(F233),ISNUMBER(E233)),wb1*F233+wb2*E233,IF(ISNUMBER(F233),F233,G233)))/(pit_nbis_2027+pfac_nbis_2027),site_nbis_2027)</f>
        <v>0.442788703764961</v>
      </c>
      <c r="H234" s="8" t="n">
        <f aca="false">IF(ISNUMBER(H233),(pit_nbis_2028/(pit_nbis_2028+pfac_nbis_2028)*H233+pfac_nbis_2028/(pit_nbis_2028+pfac_nbis_2028)*IF(AND(ISNUMBER(G233),ISNUMBER(F233)),wb1*G233+wb2*F233,IF(ISNUMBER(G233),G233,H233)))/(pit_nbis_2028+pfac_nbis_2028),site_nbis_2028)</f>
        <v>0.619551367579582</v>
      </c>
      <c r="I234" s="8" t="n">
        <f aca="false">IF(ISNUMBER(I233),(pit_nbis_2029/(pit_nbis_2029+pfac_nbis_2029)*I233+pfac_nbis_2029/(pit_nbis_2029+pfac_nbis_2029)*IF(AND(ISNUMBER(H233),ISNUMBER(G233)),wb1*H233+wb2*G233,IF(ISNUMBER(H233),H233,I233)))/(pit_nbis_2029+pfac_nbis_2029),site_nbis_2029)</f>
        <v>0.704032922420596</v>
      </c>
    </row>
    <row r="235" customFormat="false" ht="17.15" hidden="false" customHeight="false" outlineLevel="0" collapsed="false">
      <c r="A235" s="0" t="s">
        <v>1619</v>
      </c>
      <c r="B235" s="0" t="s">
        <v>1424</v>
      </c>
      <c r="E235" s="8" t="n">
        <f aca="false">(1-lag)*E234+lag*D234-inv_k*(E234-D234)</f>
        <v>0.0524292997808015</v>
      </c>
      <c r="F235" s="8" t="n">
        <f aca="false">(1-lag)*F234+lag*E234-inv_k*(F234-E234)</f>
        <v>0.236094805108742</v>
      </c>
      <c r="G235" s="8" t="n">
        <f aca="false">(1-lag)*G234+lag*F234-inv_k*(G234-F234)</f>
        <v>0.403155339357599</v>
      </c>
      <c r="H235" s="8" t="n">
        <f aca="false">(1-lag)*H234+lag*G234-inv_k*(H234-G234)</f>
        <v>0.535589102267637</v>
      </c>
      <c r="I235" s="8" t="n">
        <f aca="false">(1-lag)*I234+lag*H234-inv_k*(I234-H234)</f>
        <v>0.663904183871114</v>
      </c>
    </row>
    <row r="236" customFormat="false" ht="17.15" hidden="false" customHeight="false" outlineLevel="0" collapsed="false">
      <c r="A236" s="0" t="s">
        <v>1620</v>
      </c>
      <c r="B236" s="0" t="s">
        <v>1426</v>
      </c>
      <c r="D236" s="8" t="str">
        <f aca="false">""</f>
        <v/>
      </c>
      <c r="E236" s="8" t="n">
        <f aca="false">cap2_nbis_2025*ai_sh_hi</f>
        <v>3.8627</v>
      </c>
      <c r="F236" s="8" t="n">
        <f aca="false">gcap_nbis_2026*ai_sh_hi</f>
        <v>24.7438805</v>
      </c>
      <c r="G236" s="8" t="n">
        <f aca="false">gcap_nbis_2027*ai_sh_hi</f>
        <v>26.21756515</v>
      </c>
      <c r="H236" s="8" t="n">
        <f aca="false">gcap_nbis_2028*ai_sh_hi</f>
        <v>27.6912498</v>
      </c>
      <c r="I236" s="8" t="n">
        <f aca="false">gcap_nbis_2029*ai_sh_hi</f>
        <v>27.6912498</v>
      </c>
    </row>
    <row r="237" customFormat="false" ht="17.15" hidden="false" customHeight="false" outlineLevel="0" collapsed="false">
      <c r="A237" s="0" t="s">
        <v>1621</v>
      </c>
      <c r="B237" s="0" t="s">
        <v>1422</v>
      </c>
      <c r="D237" s="8" t="n">
        <f aca="false">IF(ISNUMBER(D236),(pit_nbis_2024/(pit_nbis_2024+pfac_nbis_2024)*D236+pfac_nbis_2024/(pit_nbis_2024+pfac_nbis_2024)*IF(AND(ISNUMBER(""),ISNUMBER("")),wb1*""+wb2*"",IF(ISNUMBER(""),"",D236)))/(pit_nbis_2024+pfac_nbis_2024),site_nbis_2024)</f>
        <v>0</v>
      </c>
      <c r="E237" s="8" t="n">
        <f aca="false">IF(ISNUMBER(E236),(pit_nbis_2025/(pit_nbis_2025+pfac_nbis_2025)*E236+pfac_nbis_2025/(pit_nbis_2025+pfac_nbis_2025)*IF(AND(ISNUMBER(D236),ISNUMBER("")),wb1*D236+wb2*"",IF(ISNUMBER(D236),D236,E236)))/(pit_nbis_2025+pfac_nbis_2025),site_nbis_2025)</f>
        <v>0.0998653329158123</v>
      </c>
      <c r="F237" s="8" t="n">
        <f aca="false">IF(ISNUMBER(F236),(pit_nbis_2026/(pit_nbis_2026+pfac_nbis_2026)*F236+pfac_nbis_2026/(pit_nbis_2026+pfac_nbis_2026)*IF(AND(ISNUMBER(E236),ISNUMBER(D236)),wb1*E236+wb2*D236,IF(ISNUMBER(E236),E236,F236)))/(pit_nbis_2026+pfac_nbis_2026),site_nbis_2026)</f>
        <v>0.412354640493322</v>
      </c>
      <c r="G237" s="8" t="n">
        <f aca="false">IF(ISNUMBER(G236),(pit_nbis_2027/(pit_nbis_2027+pfac_nbis_2027)*G236+pfac_nbis_2027/(pit_nbis_2027+pfac_nbis_2027)*IF(AND(ISNUMBER(F236),ISNUMBER(E236)),wb1*F236+wb2*E236,IF(ISNUMBER(F236),F236,G236)))/(pit_nbis_2027+pfac_nbis_2027),site_nbis_2027)</f>
        <v>0.455951986042752</v>
      </c>
      <c r="H237" s="8" t="n">
        <f aca="false">IF(ISNUMBER(H236),(pit_nbis_2028/(pit_nbis_2028+pfac_nbis_2028)*H236+pfac_nbis_2028/(pit_nbis_2028+pfac_nbis_2028)*IF(AND(ISNUMBER(G236),ISNUMBER(F236)),wb1*G236+wb2*F236,IF(ISNUMBER(G236),G236,H236)))/(pit_nbis_2028+pfac_nbis_2028),site_nbis_2028)</f>
        <v>0.503172242356703</v>
      </c>
      <c r="I237" s="8" t="n">
        <f aca="false">IF(ISNUMBER(I236),(pit_nbis_2029/(pit_nbis_2029+pfac_nbis_2029)*I236+pfac_nbis_2029/(pit_nbis_2029+pfac_nbis_2029)*IF(AND(ISNUMBER(H236),ISNUMBER(G236)),wb1*H236+wb2*G236,IF(ISNUMBER(H236),H236,I236)))/(pit_nbis_2029+pfac_nbis_2029),site_nbis_2029)</f>
        <v>0.509574770544924</v>
      </c>
    </row>
    <row r="238" customFormat="false" ht="17.15" hidden="false" customHeight="false" outlineLevel="0" collapsed="false">
      <c r="A238" s="0" t="s">
        <v>1622</v>
      </c>
      <c r="B238" s="0" t="s">
        <v>1424</v>
      </c>
      <c r="E238" s="8" t="n">
        <f aca="false">(1-lag)*E237+lag*D237-inv_k*(E237-D237)</f>
        <v>0.0524292997808014</v>
      </c>
      <c r="F238" s="8" t="n">
        <f aca="false">(1-lag)*F237+lag*E237-inv_k*(F237-E237)</f>
        <v>0.263922219394005</v>
      </c>
      <c r="G238" s="8" t="n">
        <f aca="false">(1-lag)*G237+lag*F237-inv_k*(G237-F237)</f>
        <v>0.435243246906773</v>
      </c>
      <c r="H238" s="8" t="n">
        <f aca="false">(1-lag)*H237+lag*G237-inv_k*(H237-G237)</f>
        <v>0.480742620607576</v>
      </c>
      <c r="I238" s="8" t="n">
        <f aca="false">(1-lag)*I237+lag*H237-inv_k*(I237-H237)</f>
        <v>0.506533569655519</v>
      </c>
    </row>
    <row r="239" customFormat="false" ht="17.15" hidden="false" customHeight="false" outlineLevel="0" collapsed="false">
      <c r="A239" s="0" t="s">
        <v>1623</v>
      </c>
      <c r="B239" s="0" t="s">
        <v>1430</v>
      </c>
      <c r="E239" s="8" t="n">
        <f aca="false">E238*(1-nnv_nbis_2025)</f>
        <v>0.0524292997808014</v>
      </c>
      <c r="F239" s="8" t="n">
        <f aca="false">F238*(1-nnv_nbis_2026)</f>
        <v>0.263922219394005</v>
      </c>
      <c r="G239" s="8" t="n">
        <f aca="false">G238*(1-nnv_nbis_2027)</f>
        <v>0.435243246906773</v>
      </c>
      <c r="H239" s="8" t="n">
        <f aca="false">H238*(1-nnv_nbis_2028)</f>
        <v>0.480742620607576</v>
      </c>
      <c r="I239" s="8" t="n">
        <f aca="false">I238*(1-nnv_nbis_2029)</f>
        <v>0.506533569655519</v>
      </c>
    </row>
    <row r="240" customFormat="false" ht="17.15" hidden="false" customHeight="false" outlineLevel="0" collapsed="false">
      <c r="A240" s="0" t="s">
        <v>1624</v>
      </c>
      <c r="B240" s="0" t="s">
        <v>1432</v>
      </c>
      <c r="D240" s="8" t="n">
        <f aca="false">site_nbis_2024</f>
        <v>0</v>
      </c>
      <c r="E240" s="8" t="n">
        <f aca="false">site_nbis_2025</f>
        <v>0</v>
      </c>
      <c r="F240" s="8" t="n">
        <f aca="false">site_nbis_2026</f>
        <v>0.73</v>
      </c>
      <c r="G240" s="8" t="n">
        <f aca="false">site_nbis_2027</f>
        <v>0.403</v>
      </c>
      <c r="H240" s="8" t="n">
        <f aca="false">site_nbis_2028</f>
        <v>0</v>
      </c>
      <c r="I240" s="8" t="n">
        <f aca="false">site_nbis_2029</f>
        <v>0</v>
      </c>
    </row>
    <row r="241" customFormat="false" ht="17.15" hidden="false" customHeight="false" outlineLevel="0" collapsed="false">
      <c r="A241" s="0" t="s">
        <v>1625</v>
      </c>
      <c r="B241" s="0" t="s">
        <v>1434</v>
      </c>
      <c r="D241" s="8" t="n">
        <f aca="false">main_nbis_2024</f>
        <v>0</v>
      </c>
      <c r="E241" s="8" t="n">
        <f aca="false">main_nbis_2025</f>
        <v>0</v>
      </c>
      <c r="F241" s="8" t="n">
        <f aca="false">main_nbis_2026</f>
        <v>0.73</v>
      </c>
      <c r="G241" s="8" t="n">
        <f aca="false">main_nbis_2027</f>
        <v>0.396179366526544</v>
      </c>
      <c r="H241" s="8" t="n">
        <f aca="false">main_nbis_2028</f>
        <v>0.554335434150153</v>
      </c>
      <c r="I241" s="8" t="n">
        <f aca="false">main_nbis_2029</f>
        <v>0.629924193744744</v>
      </c>
    </row>
    <row r="242" customFormat="false" ht="17.15" hidden="false" customHeight="false" outlineLevel="0" collapsed="false">
      <c r="A242" s="0" t="s">
        <v>1626</v>
      </c>
      <c r="B242" s="0" t="s">
        <v>1436</v>
      </c>
      <c r="D242" s="8" t="str">
        <f aca="false">IF(ISNUMBER(gai_xai_2024),gai_xai_2024,"")</f>
        <v/>
      </c>
      <c r="E242" s="8" t="str">
        <f aca="false">IF(ISNUMBER(gai_xai_2025),gai_xai_2025,"")</f>
        <v/>
      </c>
      <c r="F242" s="8" t="n">
        <f aca="false">IF(ISNUMBER(gai_xai_2026),gai_xai_2026,"")</f>
        <v>74.058119</v>
      </c>
      <c r="G242" s="8" t="n">
        <f aca="false">IF(ISNUMBER(gai_xai_2027),gai_xai_2027,"")</f>
        <v>136.252477</v>
      </c>
      <c r="H242" s="8" t="n">
        <f aca="false">IF(ISNUMBER(gai_xai_2028),gai_xai_2028,"")</f>
        <v>144.12072</v>
      </c>
      <c r="I242" s="8" t="n">
        <f aca="false">IF(ISNUMBER(gai_xai_2029),gai_xai_2029,"")</f>
        <v>111.172527</v>
      </c>
    </row>
    <row r="243" customFormat="false" ht="17.15" hidden="false" customHeight="false" outlineLevel="0" collapsed="false">
      <c r="A243" s="0" t="s">
        <v>1627</v>
      </c>
      <c r="B243" s="0" t="s">
        <v>1438</v>
      </c>
      <c r="D243" s="8" t="n">
        <f aca="false">IF(ISNUMBER(D242),(pitN_2024/(pitN_2024+pfacN_2024)*D242+pfacN_2024/(pitN_2024+pfacN_2024)*IF(AND(ISNUMBER(""),ISNUMBER("")),wb1*""+wb2*"",IF(ISNUMBER(""),"",D242)))/(pitN_2024+pfacN_2024),site_xai_2024)</f>
        <v>0</v>
      </c>
      <c r="E243" s="8" t="n">
        <f aca="false">IF(ISNUMBER(E242),(pitN_2025/(pitN_2025+pfacN_2025)*E242+pfacN_2025/(pitN_2025+pfacN_2025)*IF(AND(ISNUMBER(D242),ISNUMBER("")),wb1*D242+wb2*"",IF(ISNUMBER(D242),D242,E242)))/(pitN_2025+pfacN_2025),site_xai_2025)</f>
        <v>0</v>
      </c>
      <c r="F243" s="8" t="n">
        <f aca="false">IF(ISNUMBER(F242),(pitN_2026/(pitN_2026+pfacN_2026)*F242+pfacN_2026/(pitN_2026+pfacN_2026)*IF(AND(ISNUMBER(E242),ISNUMBER(D242)),wb1*E242+wb2*D242,IF(ISNUMBER(E242),E242,F242)))/(pitN_2026+pfacN_2026),site_xai_2026)</f>
        <v>1.60702342066936</v>
      </c>
      <c r="G243" s="8" t="n">
        <f aca="false">IF(ISNUMBER(G242),(pitN_2027/(pitN_2027+pfacN_2027)*G242+pfacN_2027/(pitN_2027+pfacN_2027)*IF(AND(ISNUMBER(F242),ISNUMBER(E242)),wb1*F242+wb2*E242,IF(ISNUMBER(F242),F242,G242)))/(pitN_2027+pfacN_2027),site_xai_2027)</f>
        <v>2.36823509451502</v>
      </c>
      <c r="H243" s="8" t="n">
        <f aca="false">IF(ISNUMBER(H242),(pitN_2028/(pitN_2028+pfacN_2028)*H242+pfacN_2028/(pitN_2028+pfacN_2028)*IF(AND(ISNUMBER(G242),ISNUMBER(F242)),wb1*G242+wb2*F242,IF(ISNUMBER(G242),G242,H242)))/(pitN_2028+pfacN_2028),site_xai_2028)</f>
        <v>2.49948463520021</v>
      </c>
      <c r="I243" s="8" t="n">
        <f aca="false">IF(ISNUMBER(I242),(pitN_2029/(pitN_2029+pfacN_2029)*I242+pfacN_2029/(pitN_2029+pfacN_2029)*IF(AND(ISNUMBER(H242),ISNUMBER(G242)),wb1*H242+wb2*G242,IF(ISNUMBER(H242),H242,I242)))/(pitN_2029+pfacN_2029),site_xai_2029)</f>
        <v>2.18470428873966</v>
      </c>
    </row>
    <row r="244" customFormat="false" ht="17.15" hidden="false" customHeight="false" outlineLevel="0" collapsed="false">
      <c r="A244" s="0" t="s">
        <v>1628</v>
      </c>
      <c r="B244" s="0" t="s">
        <v>1440</v>
      </c>
      <c r="E244" s="8" t="n">
        <f aca="false">IF(ISNUMBER(gai_xai_2024),(1-lag)*E243+lag*D243-inv_k*(E243-D243),E243)</f>
        <v>0</v>
      </c>
      <c r="F244" s="8" t="n">
        <f aca="false">IF(ISNUMBER(gai_xai_2025),(1-lag)*F243+lag*E243-inv_k*(F243-E243),F243)</f>
        <v>1.60702342066936</v>
      </c>
      <c r="G244" s="8" t="n">
        <f aca="false">IF(ISNUMBER(gai_xai_2026),(1-lag)*G243+lag*F243-inv_k*(G243-F243),G243)</f>
        <v>2.00665954943833</v>
      </c>
      <c r="H244" s="8" t="n">
        <f aca="false">IF(ISNUMBER(gai_xai_2027),(1-lag)*H243+lag*G243-inv_k*(H243-G243),H243)</f>
        <v>2.43714110337474</v>
      </c>
      <c r="I244" s="8" t="n">
        <f aca="false">IF(ISNUMBER(gai_xai_2028),(1-lag)*I243+lag*H243-inv_k*(I243-H243),I243)</f>
        <v>2.33422495330842</v>
      </c>
    </row>
    <row r="245" customFormat="false" ht="17.15" hidden="false" customHeight="false" outlineLevel="0" collapsed="false">
      <c r="A245" s="0" t="s">
        <v>1629</v>
      </c>
      <c r="B245" s="0" t="s">
        <v>1442</v>
      </c>
      <c r="E245" s="8" t="n">
        <f aca="false">E244*(1-nnv_xai_2025)</f>
        <v>0</v>
      </c>
      <c r="F245" s="8" t="n">
        <f aca="false">F244*(1-nnv_xai_2026)</f>
        <v>1.60702342066936</v>
      </c>
      <c r="G245" s="8" t="n">
        <f aca="false">G244*(1-nnv_xai_2027)</f>
        <v>2.00665954943833</v>
      </c>
      <c r="H245" s="8" t="n">
        <f aca="false">H244*(1-nnv_xai_2028)</f>
        <v>2.43714110337474</v>
      </c>
      <c r="I245" s="8" t="n">
        <f aca="false">I244*(1-nnv_xai_2029)</f>
        <v>2.33422495330842</v>
      </c>
    </row>
    <row r="246" customFormat="false" ht="17.15" hidden="false" customHeight="false" outlineLevel="0" collapsed="false">
      <c r="A246" s="0" t="s">
        <v>1630</v>
      </c>
      <c r="B246" s="0" t="s">
        <v>1444</v>
      </c>
      <c r="D246" s="8" t="n">
        <f aca="false">site_xai_2024</f>
        <v>0</v>
      </c>
      <c r="E246" s="8" t="n">
        <f aca="false">site_xai_2025</f>
        <v>0</v>
      </c>
      <c r="F246" s="8" t="n">
        <f aca="false">site_xai_2026</f>
        <v>1.4302</v>
      </c>
      <c r="G246" s="8" t="n">
        <f aca="false">site_xai_2027</f>
        <v>0.585</v>
      </c>
      <c r="H246" s="8" t="n">
        <f aca="false">site_xai_2028</f>
        <v>0</v>
      </c>
      <c r="I246" s="8" t="n">
        <f aca="false">site_xai_2029</f>
        <v>0</v>
      </c>
    </row>
    <row r="247" customFormat="false" ht="17.15" hidden="false" customHeight="false" outlineLevel="0" collapsed="false">
      <c r="A247" s="0" t="s">
        <v>1631</v>
      </c>
      <c r="B247" s="0" t="s">
        <v>1446</v>
      </c>
      <c r="D247" s="8" t="str">
        <f aca="false">IF(ISNUMBER(gai_ant_2024),gai_ant_2024,"")</f>
        <v/>
      </c>
      <c r="E247" s="8" t="str">
        <f aca="false">IF(ISNUMBER(gai_ant_2025),gai_ant_2025,"")</f>
        <v/>
      </c>
      <c r="F247" s="8" t="n">
        <f aca="false">IF(ISNUMBER(gai_ant_2026),gai_ant_2026,"")</f>
        <v>16.666667</v>
      </c>
      <c r="G247" s="8" t="n">
        <f aca="false">IF(ISNUMBER(gai_ant_2027),gai_ant_2027,"")</f>
        <v>16.666667</v>
      </c>
      <c r="H247" s="8" t="n">
        <f aca="false">IF(ISNUMBER(gai_ant_2028),gai_ant_2028,"")</f>
        <v>16.666667</v>
      </c>
      <c r="I247" s="8" t="n">
        <f aca="false">IF(ISNUMBER(gai_ant_2029),gai_ant_2029,"")</f>
        <v>0</v>
      </c>
    </row>
    <row r="248" customFormat="false" ht="17.15" hidden="false" customHeight="false" outlineLevel="0" collapsed="false">
      <c r="A248" s="0" t="s">
        <v>1632</v>
      </c>
      <c r="B248" s="0" t="s">
        <v>1448</v>
      </c>
      <c r="D248" s="8" t="n">
        <f aca="false">IF(ISNUMBER(D247),(pitN_2024/(pitN_2024+pfacN_2024)*D247+pfacN_2024/(pitN_2024+pfacN_2024)*IF(AND(ISNUMBER(""),ISNUMBER("")),wb1*""+wb2*"",IF(ISNUMBER(""),"",D247)))/(pitN_2024+pfacN_2024),site_ant_2024)</f>
        <v>0</v>
      </c>
      <c r="E248" s="8" t="n">
        <f aca="false">IF(ISNUMBER(E247),(pitN_2025/(pitN_2025+pfacN_2025)*E247+pfacN_2025/(pitN_2025+pfacN_2025)*IF(AND(ISNUMBER(D247),ISNUMBER("")),wb1*D247+wb2*"",IF(ISNUMBER(D247),D247,E247)))/(pitN_2025+pfacN_2025),site_ant_2025)</f>
        <v>0</v>
      </c>
      <c r="F248" s="8" t="n">
        <f aca="false">IF(ISNUMBER(F247),(pitN_2026/(pitN_2026+pfacN_2026)*F247+pfacN_2026/(pitN_2026+pfacN_2026)*IF(AND(ISNUMBER(E247),ISNUMBER(D247)),wb1*E247+wb2*D247,IF(ISNUMBER(E247),E247,F247)))/(pitN_2026+pfacN_2026),site_ant_2026)</f>
        <v>0.36165817570248</v>
      </c>
      <c r="G248" s="8" t="n">
        <f aca="false">IF(ISNUMBER(G247),(pitN_2027/(pitN_2027+pfacN_2027)*G247+pfacN_2027/(pitN_2027+pfacN_2027)*IF(AND(ISNUMBER(F247),ISNUMBER(E247)),wb1*F247+wb2*E247,IF(ISNUMBER(F247),F247,G247)))/(pitN_2027+pfacN_2027),site_ant_2027)</f>
        <v>0.326730833032632</v>
      </c>
      <c r="H248" s="8" t="n">
        <f aca="false">IF(ISNUMBER(H247),(pitN_2028/(pitN_2028+pfacN_2028)*H247+pfacN_2028/(pitN_2028+pfacN_2028)*IF(AND(ISNUMBER(G247),ISNUMBER(F247)),wb1*G247+wb2*F247,IF(ISNUMBER(G247),G247,H247)))/(pitN_2028+pfacN_2028),site_ant_2028)</f>
        <v>0.308627002270922</v>
      </c>
      <c r="I248" s="8" t="n">
        <f aca="false">IF(ISNUMBER(I247),(pitN_2029/(pitN_2029+pfacN_2029)*I247+pfacN_2029/(pitN_2029+pfacN_2029)*IF(AND(ISNUMBER(H247),ISNUMBER(G247)),wb1*H247+wb2*G247,IF(ISNUMBER(H247),H247,I247)))/(pitN_2029+pfacN_2029),site_ant_2029)</f>
        <v>0.0724095248404747</v>
      </c>
    </row>
    <row r="249" customFormat="false" ht="17.15" hidden="false" customHeight="false" outlineLevel="0" collapsed="false">
      <c r="A249" s="0" t="s">
        <v>1633</v>
      </c>
      <c r="B249" s="0" t="s">
        <v>1450</v>
      </c>
      <c r="E249" s="8" t="n">
        <f aca="false">IF(ISNUMBER(gai_ant_2024),(1-lag)*E248+lag*D248-inv_k*(E248-D248),E248)</f>
        <v>0</v>
      </c>
      <c r="F249" s="8" t="n">
        <f aca="false">IF(ISNUMBER(gai_ant_2025),(1-lag)*F248+lag*E248-inv_k*(F248-E248),F248)</f>
        <v>0.36165817570248</v>
      </c>
      <c r="G249" s="8" t="n">
        <f aca="false">IF(ISNUMBER(gai_ant_2026),(1-lag)*G248+lag*F248-inv_k*(G248-F248),G248)</f>
        <v>0.34332132080081</v>
      </c>
      <c r="H249" s="8" t="n">
        <f aca="false">IF(ISNUMBER(gai_ant_2027),(1-lag)*H248+lag*G248-inv_k*(H248-G248),H248)</f>
        <v>0.317226321882734</v>
      </c>
      <c r="I249" s="8" t="n">
        <f aca="false">IF(ISNUMBER(gai_ant_2028),(1-lag)*I248+lag*H248-inv_k*(I248-H248),I248)</f>
        <v>0.184612826619937</v>
      </c>
    </row>
    <row r="250" customFormat="false" ht="17.15" hidden="false" customHeight="false" outlineLevel="0" collapsed="false">
      <c r="A250" s="0" t="s">
        <v>1634</v>
      </c>
      <c r="B250" s="0" t="s">
        <v>1452</v>
      </c>
      <c r="E250" s="8" t="n">
        <f aca="false">E249*(1-nnv_ant_2025)</f>
        <v>0</v>
      </c>
      <c r="F250" s="8" t="n">
        <f aca="false">F249*(1-nnv_ant_2026)</f>
        <v>0.275507557374688</v>
      </c>
      <c r="G250" s="8" t="n">
        <f aca="false">G249*(1-nnv_ant_2027)</f>
        <v>0.249559628755998</v>
      </c>
      <c r="H250" s="8" t="n">
        <f aca="false">H249*(1-nnv_ant_2028)</f>
        <v>0.231695318089535</v>
      </c>
      <c r="I250" s="8" t="n">
        <f aca="false">I249*(1-nnv_ant_2029)</f>
        <v>0.134363521137354</v>
      </c>
    </row>
    <row r="251" customFormat="false" ht="17.15" hidden="false" customHeight="false" outlineLevel="0" collapsed="false">
      <c r="A251" s="0" t="s">
        <v>1635</v>
      </c>
      <c r="B251" s="0" t="s">
        <v>1454</v>
      </c>
      <c r="D251" s="8" t="n">
        <f aca="false">site_ant_2024</f>
        <v>0</v>
      </c>
      <c r="E251" s="8" t="n">
        <f aca="false">site_ant_2025</f>
        <v>0</v>
      </c>
      <c r="F251" s="8" t="n">
        <f aca="false">site_ant_2026</f>
        <v>0</v>
      </c>
      <c r="G251" s="8" t="n">
        <f aca="false">site_ant_2027</f>
        <v>0</v>
      </c>
      <c r="H251" s="8" t="n">
        <f aca="false">site_ant_2028</f>
        <v>0</v>
      </c>
      <c r="I251" s="8" t="n">
        <f aca="false">site_ant_2029</f>
        <v>0</v>
      </c>
    </row>
    <row r="252" customFormat="false" ht="17.15" hidden="false" customHeight="false" outlineLevel="0" collapsed="false">
      <c r="A252" s="0" t="s">
        <v>1636</v>
      </c>
      <c r="B252" s="5" t="s">
        <v>1456</v>
      </c>
      <c r="D252" s="9" t="n">
        <f aca="false">D180+D189+D198+D207+D216+D225+D234</f>
        <v>3.03499542460513</v>
      </c>
      <c r="E252" s="9" t="n">
        <f aca="false">E180+E189+E198+E207+E216+E225+E234</f>
        <v>10.5049465694708</v>
      </c>
      <c r="F252" s="9" t="n">
        <f aca="false">F180+F189+F198+F207+F216+F225+F234</f>
        <v>16.9529982725918</v>
      </c>
      <c r="G252" s="9" t="n">
        <f aca="false">G180+G189+G198+G207+G216+G225+G234</f>
        <v>21.2757616497008</v>
      </c>
      <c r="H252" s="9" t="n">
        <f aca="false">H180+H189+H198+H207+H216+H225+H234</f>
        <v>23.8420256753268</v>
      </c>
      <c r="I252" s="9" t="n">
        <f aca="false">I180+I189+I198+I207+I216+I225+I234</f>
        <v>26.6323742060277</v>
      </c>
    </row>
    <row r="253" customFormat="false" ht="17.15" hidden="false" customHeight="false" outlineLevel="0" collapsed="false">
      <c r="A253" s="0" t="s">
        <v>1637</v>
      </c>
      <c r="B253" s="5" t="s">
        <v>1458</v>
      </c>
      <c r="D253" s="9" t="n">
        <f aca="false">D181+D190+D199+D208+D217+D226+D235</f>
        <v>0</v>
      </c>
      <c r="E253" s="9" t="n">
        <f aca="false">E181+E190+E199+E208+E217+E226+E235</f>
        <v>6.95671977565958</v>
      </c>
      <c r="F253" s="9" t="n">
        <f aca="false">F181+F190+F199+F208+F217+F226+F235</f>
        <v>13.8901737136093</v>
      </c>
      <c r="G253" s="9" t="n">
        <f aca="false">G181+G190+G199+G208+G217+G226+G235</f>
        <v>19.2224490455741</v>
      </c>
      <c r="H253" s="9" t="n">
        <f aca="false">H181+H190+H199+H208+H217+H226+H235</f>
        <v>22.6230502631545</v>
      </c>
      <c r="I253" s="9" t="n">
        <f aca="false">I181+I190+I199+I208+I217+I226+I235</f>
        <v>25.3069586539447</v>
      </c>
    </row>
    <row r="254" customFormat="false" ht="17.15" hidden="false" customHeight="false" outlineLevel="0" collapsed="false">
      <c r="A254" s="0" t="s">
        <v>1638</v>
      </c>
      <c r="B254" s="5" t="s">
        <v>1460</v>
      </c>
      <c r="D254" s="9" t="n">
        <f aca="false">D183+D192+D201+D210+D219+D228+D237</f>
        <v>4.2974432904076</v>
      </c>
      <c r="E254" s="9" t="n">
        <f aca="false">E183+E192+E201+E210+E219+E228+E237</f>
        <v>10.5788598935604</v>
      </c>
      <c r="F254" s="9" t="n">
        <f aca="false">F183+F192+F201+F210+F219+F228+F237</f>
        <v>16.7277525210033</v>
      </c>
      <c r="G254" s="9" t="n">
        <f aca="false">G183+G192+G201+G210+G219+G228+G237</f>
        <v>21.4351272242294</v>
      </c>
      <c r="H254" s="9" t="n">
        <f aca="false">H183+H192+H201+H210+H219+H228+H237</f>
        <v>23.0877533033686</v>
      </c>
      <c r="I254" s="9" t="n">
        <f aca="false">I183+I192+I201+I210+I219+I228+I237</f>
        <v>22.6964995922666</v>
      </c>
    </row>
    <row r="255" customFormat="false" ht="17.15" hidden="false" customHeight="false" outlineLevel="0" collapsed="false">
      <c r="A255" s="0" t="s">
        <v>1639</v>
      </c>
      <c r="B255" s="5" t="s">
        <v>1462</v>
      </c>
      <c r="D255" s="9" t="n">
        <f aca="false">D184+D193+D202+D211+D220+D229+D238</f>
        <v>0</v>
      </c>
      <c r="E255" s="9" t="n">
        <f aca="false">E184+E193+E202+E211+E220+E229+E238</f>
        <v>7.59518700706281</v>
      </c>
      <c r="F255" s="9" t="n">
        <f aca="false">F184+F193+F202+F211+F220+F229+F238</f>
        <v>13.8070285229679</v>
      </c>
      <c r="G255" s="9" t="n">
        <f aca="false">G184+G193+G202+G211+G220+G229+G238</f>
        <v>19.199124240197</v>
      </c>
      <c r="H255" s="9" t="n">
        <f aca="false">H184+H193+H202+H211+H220+H229+H238</f>
        <v>22.3027559157775</v>
      </c>
      <c r="I255" s="9" t="n">
        <f aca="false">I184+I193+I202+I211+I220+I229+I238</f>
        <v>22.88234510504</v>
      </c>
    </row>
    <row r="256" customFormat="false" ht="15" hidden="false" customHeight="false" outlineLevel="0" collapsed="false">
      <c r="A256" s="0" t="s">
        <v>1640</v>
      </c>
      <c r="B256" s="5" t="s">
        <v>1464</v>
      </c>
      <c r="D256" s="9" t="n">
        <f aca="false">D186+D195+D204+D213+D222+D231+D240</f>
        <v>1.61980834349181</v>
      </c>
      <c r="E256" s="9" t="n">
        <f aca="false">E186+E195+E204+E213+E222+E231+E240</f>
        <v>8.74912429484715</v>
      </c>
      <c r="F256" s="9" t="n">
        <f aca="false">F186+F195+F204+F213+F222+F231+F240</f>
        <v>6.54276412772586</v>
      </c>
      <c r="G256" s="9" t="n">
        <f aca="false">G186+G195+G204+G213+G222+G231+G240</f>
        <v>6.52966666666667</v>
      </c>
      <c r="H256" s="9" t="n">
        <f aca="false">H186+H195+H204+H213+H222+H231+H240</f>
        <v>13.6908333333333</v>
      </c>
      <c r="I256" s="9" t="n">
        <f aca="false">I186+I195+I204+I213+I222+I231+I240</f>
        <v>2.7115</v>
      </c>
    </row>
    <row r="257" customFormat="false" ht="17.15" hidden="false" customHeight="false" outlineLevel="0" collapsed="false">
      <c r="A257" s="0" t="s">
        <v>1641</v>
      </c>
      <c r="B257" s="5" t="s">
        <v>1466</v>
      </c>
      <c r="D257" s="9" t="n">
        <f aca="false">D187+D196+D205+D214+D223+D232+D241</f>
        <v>1.61980834349181</v>
      </c>
      <c r="E257" s="9" t="n">
        <f aca="false">E187+E196+E205+E214+E223+E232+E241</f>
        <v>8.74912429484715</v>
      </c>
      <c r="F257" s="9" t="n">
        <f aca="false">F187+F196+F205+F214+F223+F232+F241</f>
        <v>6.54276412772586</v>
      </c>
      <c r="G257" s="9" t="n">
        <f aca="false">G187+G196+G205+G214+G223+G232+G241</f>
        <v>17.8887754681966</v>
      </c>
      <c r="H257" s="9" t="n">
        <f aca="false">H187+H196+H205+H214+H223+H232+H241</f>
        <v>21.3980787384407</v>
      </c>
      <c r="I257" s="9" t="n">
        <f aca="false">I187+I196+I205+I214+I223+I232+I241</f>
        <v>23.9019467739051</v>
      </c>
    </row>
    <row r="258" customFormat="false" ht="17.15" hidden="false" customHeight="false" outlineLevel="0" collapsed="false">
      <c r="A258" s="0" t="s">
        <v>1642</v>
      </c>
      <c r="B258" s="5" t="s">
        <v>1468</v>
      </c>
      <c r="D258" s="9" t="n">
        <f aca="false">D185+D194+D203+D212+D221+D230+D239</f>
        <v>0</v>
      </c>
      <c r="E258" s="9" t="n">
        <f aca="false">E185+E194+E203+E212+E221+E230+E239</f>
        <v>4.04557501612164</v>
      </c>
      <c r="F258" s="9" t="n">
        <f aca="false">F185+F194+F203+F212+F221+F230+F239</f>
        <v>7.64157881325361</v>
      </c>
      <c r="G258" s="9" t="n">
        <f aca="false">G185+G194+G203+G212+G221+G230+G239</f>
        <v>10.0293535669214</v>
      </c>
      <c r="H258" s="9" t="n">
        <f aca="false">H185+H194+H203+H212+H221+H230+H239</f>
        <v>11.4038322363399</v>
      </c>
      <c r="I258" s="9" t="n">
        <f aca="false">I185+I194+I203+I212+I221+I230+I239</f>
        <v>11.4641355787657</v>
      </c>
    </row>
    <row r="259" customFormat="false" ht="17.15" hidden="false" customHeight="false" outlineLevel="0" collapsed="false">
      <c r="A259" s="0" t="s">
        <v>1643</v>
      </c>
      <c r="B259" s="5" t="s">
        <v>1470</v>
      </c>
      <c r="D259" s="9" t="n">
        <f aca="false">D245+D250</f>
        <v>0</v>
      </c>
      <c r="E259" s="9" t="n">
        <f aca="false">E245+E250</f>
        <v>0</v>
      </c>
      <c r="F259" s="9" t="n">
        <f aca="false">F245+F250</f>
        <v>1.88253097804405</v>
      </c>
      <c r="G259" s="9" t="n">
        <f aca="false">G245+G250</f>
        <v>2.25621917819433</v>
      </c>
      <c r="H259" s="9" t="n">
        <f aca="false">H245+H250</f>
        <v>2.66883642146428</v>
      </c>
      <c r="I259" s="9" t="n">
        <f aca="false">I245+I250</f>
        <v>2.46858847444577</v>
      </c>
    </row>
    <row r="260" customFormat="false" ht="15" hidden="false" customHeight="false" outlineLevel="0" collapsed="false">
      <c r="A260" s="0" t="s">
        <v>1644</v>
      </c>
      <c r="B260" s="5" t="s">
        <v>1472</v>
      </c>
      <c r="D260" s="9" t="n">
        <f aca="false">D243+D248</f>
        <v>0</v>
      </c>
      <c r="E260" s="9" t="n">
        <f aca="false">E243+E248</f>
        <v>0</v>
      </c>
      <c r="F260" s="9" t="n">
        <f aca="false">F243+F248</f>
        <v>1.96868159637184</v>
      </c>
      <c r="G260" s="9" t="n">
        <f aca="false">G243+G248</f>
        <v>2.69496592754765</v>
      </c>
      <c r="H260" s="9" t="n">
        <f aca="false">H243+H248</f>
        <v>2.80811163747113</v>
      </c>
      <c r="I260" s="9" t="n">
        <f aca="false">I243+I248</f>
        <v>2.25711381358013</v>
      </c>
    </row>
    <row r="261" customFormat="false" ht="15" hidden="false" customHeight="false" outlineLevel="0" collapsed="false">
      <c r="A261" s="0" t="s">
        <v>1645</v>
      </c>
      <c r="B261" s="5" t="s">
        <v>1474</v>
      </c>
      <c r="D261" s="9" t="n">
        <f aca="false">D244+D249</f>
        <v>0</v>
      </c>
      <c r="E261" s="9" t="n">
        <f aca="false">E244+E249</f>
        <v>0</v>
      </c>
      <c r="F261" s="9" t="n">
        <f aca="false">F244+F249</f>
        <v>1.96868159637184</v>
      </c>
      <c r="G261" s="9" t="n">
        <f aca="false">G244+G249</f>
        <v>2.34998087023914</v>
      </c>
      <c r="H261" s="9" t="n">
        <f aca="false">H244+H249</f>
        <v>2.75436742525748</v>
      </c>
      <c r="I261" s="9" t="n">
        <f aca="false">I244+I249</f>
        <v>2.51883777992835</v>
      </c>
    </row>
    <row r="262" customFormat="false" ht="15" hidden="false" customHeight="false" outlineLevel="0" collapsed="false">
      <c r="A262" s="0" t="s">
        <v>1646</v>
      </c>
      <c r="B262" s="5" t="s">
        <v>1476</v>
      </c>
      <c r="D262" s="9" t="n">
        <f aca="false">D246+D251</f>
        <v>0</v>
      </c>
      <c r="E262" s="9" t="n">
        <f aca="false">E246+E251</f>
        <v>0</v>
      </c>
      <c r="F262" s="9" t="n">
        <f aca="false">F246+F251</f>
        <v>1.4302</v>
      </c>
      <c r="G262" s="9" t="n">
        <f aca="false">G246+G251</f>
        <v>0.585</v>
      </c>
      <c r="H262" s="9" t="n">
        <f aca="false">H246+H251</f>
        <v>0</v>
      </c>
      <c r="I262" s="9" t="n">
        <f aca="false">I246+I251</f>
        <v>0</v>
      </c>
    </row>
    <row r="264" customFormat="false" ht="17.15" hidden="false" customHeight="false" outlineLevel="0" collapsed="false">
      <c r="A264" s="6" t="s">
        <v>1647</v>
      </c>
    </row>
    <row r="265" customFormat="false" ht="15" hidden="false" customHeight="false" outlineLevel="0" collapsed="false">
      <c r="A265" s="2" t="s">
        <v>1</v>
      </c>
      <c r="B265" s="2" t="s">
        <v>2</v>
      </c>
      <c r="C265" s="7"/>
      <c r="D265" s="7" t="s">
        <v>1317</v>
      </c>
      <c r="E265" s="7" t="s">
        <v>1318</v>
      </c>
      <c r="F265" s="7" t="s">
        <v>1319</v>
      </c>
      <c r="G265" s="7" t="s">
        <v>1320</v>
      </c>
      <c r="H265" s="7" t="s">
        <v>1321</v>
      </c>
      <c r="I265" s="7" t="s">
        <v>1322</v>
      </c>
    </row>
    <row r="266" customFormat="false" ht="17.15" hidden="false" customHeight="false" outlineLevel="0" collapsed="false">
      <c r="A266" s="0" t="s">
        <v>1648</v>
      </c>
      <c r="B266" s="0" t="s">
        <v>1324</v>
      </c>
      <c r="D266" s="8" t="n">
        <f aca="false">IF(ISNUMBER(ai2_msft_2024),ai2_msft_2024,"")</f>
        <v>46.3369</v>
      </c>
      <c r="E266" s="8" t="n">
        <f aca="false">IF(ISNUMBER(ai2_msft_2025),ai2_msft_2025,"")</f>
        <v>76.712075</v>
      </c>
      <c r="F266" s="8" t="n">
        <f aca="false">IF(ISNUMBER(ai2_msft_2026),ai2_msft_2026,"")</f>
        <v>131.229375</v>
      </c>
      <c r="G266" s="8" t="n">
        <f aca="false">IF(ISNUMBER(ai2_msft_2027),ai2_msft_2027,"")</f>
        <v>174.08595</v>
      </c>
      <c r="H266" s="8" t="n">
        <f aca="false">IF(ISNUMBER(ai2_msft_2028),ai2_msft_2028,"")</f>
        <v>198.883</v>
      </c>
      <c r="I266" s="8" t="n">
        <f aca="false">IF(ISNUMBER(ai2_msft_2029),ai2_msft_2029,"")</f>
        <v>224.1719025</v>
      </c>
    </row>
    <row r="267" customFormat="false" ht="17.15" hidden="false" customHeight="false" outlineLevel="0" collapsed="false">
      <c r="A267" s="0" t="s">
        <v>1649</v>
      </c>
      <c r="B267" s="0" t="s">
        <v>1326</v>
      </c>
      <c r="D267" s="8" t="n">
        <f aca="false">IF(ISNUMBER(D266),(pit_msft_2024/(pit_msft_2024+pfac_msft_2024)*D266+pfac_msft_2024/(pit_msft_2024+pfac_msft_2024)*IF(AND(ISNUMBER(""),ISNUMBER("")),wb1_lo*""+wb2_lo*"",IF(ISNUMBER(""),"",D266)))/(pit_msft_2024+pfac_msft_2024),site_msft_2024)</f>
        <v>1.2662200199435</v>
      </c>
      <c r="E267" s="8" t="n">
        <f aca="false">IF(ISNUMBER(E266),(pit_msft_2025/(pit_msft_2025+pfac_msft_2025)*E266+pfac_msft_2025/(pit_msft_2025+pfac_msft_2025)*IF(AND(ISNUMBER(D266),ISNUMBER("")),wb1_lo*D266+wb2_lo*"",IF(ISNUMBER(D266),D266,E266)))/(pit_msft_2025+pfac_msft_2025),site_msft_2025)</f>
        <v>1.89413391980359</v>
      </c>
      <c r="F267" s="8" t="n">
        <f aca="false">IF(ISNUMBER(F266),(pit_msft_2026/(pit_msft_2026+pfac_msft_2026)*F266+pfac_msft_2026/(pit_msft_2026+pfac_msft_2026)*IF(AND(ISNUMBER(E266),ISNUMBER(D266)),wb1_lo*E266+wb2_lo*D266,IF(ISNUMBER(E266),E266,F266)))/(pit_msft_2026+pfac_msft_2026),site_msft_2026)</f>
        <v>2.83319556951971</v>
      </c>
      <c r="G267" s="8" t="n">
        <f aca="false">IF(ISNUMBER(G266),(pit_msft_2027/(pit_msft_2027+pfac_msft_2027)*G266+pfac_msft_2027/(pit_msft_2027+pfac_msft_2027)*IF(AND(ISNUMBER(F266),ISNUMBER(E266)),wb1_lo*F266+wb2_lo*E266,IF(ISNUMBER(F266),F266,G266)))/(pit_msft_2027+pfac_msft_2027),site_msft_2027)</f>
        <v>3.71891578944627</v>
      </c>
      <c r="H267" s="8" t="n">
        <f aca="false">IF(ISNUMBER(H266),(pit_msft_2028/(pit_msft_2028+pfac_msft_2028)*H266+pfac_msft_2028/(pit_msft_2028+pfac_msft_2028)*IF(AND(ISNUMBER(G266),ISNUMBER(F266)),wb1_lo*G266+wb2_lo*F266,IF(ISNUMBER(G266),G266,H266)))/(pit_msft_2028+pfac_msft_2028),site_msft_2028)</f>
        <v>4.17594597512608</v>
      </c>
      <c r="I267" s="8" t="n">
        <f aca="false">IF(ISNUMBER(I266),(pit_msft_2029/(pit_msft_2029+pfac_msft_2029)*I266+pfac_msft_2029/(pit_msft_2029+pfac_msft_2029)*IF(AND(ISNUMBER(H266),ISNUMBER(G266)),wb1_lo*H266+wb2_lo*G266,IF(ISNUMBER(H266),H266,I266)))/(pit_msft_2029+pfac_msft_2029),site_msft_2029)</f>
        <v>4.72815847521363</v>
      </c>
    </row>
    <row r="268" customFormat="false" ht="17.15" hidden="false" customHeight="false" outlineLevel="0" collapsed="false">
      <c r="A268" s="0" t="s">
        <v>1650</v>
      </c>
      <c r="B268" s="0" t="s">
        <v>1328</v>
      </c>
      <c r="E268" s="8" t="n">
        <f aca="false">(1-lag)*E267+lag*D267-inv_k*(E267-D267)</f>
        <v>1.59587481737004</v>
      </c>
      <c r="F268" s="8" t="n">
        <f aca="false">(1-lag)*F267+lag*E267-inv_k*(F267-E267)</f>
        <v>2.38714128590455</v>
      </c>
      <c r="G268" s="8" t="n">
        <f aca="false">(1-lag)*G267+lag*F267-inv_k*(G267-F267)</f>
        <v>3.29819868498116</v>
      </c>
      <c r="H268" s="8" t="n">
        <f aca="false">(1-lag)*H267+lag*G267-inv_k*(H267-G267)</f>
        <v>3.95885663692817</v>
      </c>
      <c r="I268" s="8" t="n">
        <f aca="false">(1-lag)*I267+lag*H267-inv_k*(I267-H267)</f>
        <v>4.46585753767205</v>
      </c>
    </row>
    <row r="269" customFormat="false" ht="17.15" hidden="false" customHeight="false" outlineLevel="0" collapsed="false">
      <c r="A269" s="0" t="s">
        <v>1651</v>
      </c>
      <c r="B269" s="0" t="s">
        <v>1330</v>
      </c>
      <c r="D269" s="8" t="str">
        <f aca="false">""</f>
        <v/>
      </c>
      <c r="E269" s="8" t="n">
        <f aca="false">(6/12*cap2_msft_2025+6/12*gcap_msft_2026)*ai_sh</f>
        <v>89.186675</v>
      </c>
      <c r="F269" s="8" t="n">
        <f aca="false">(6/12*gcap_msft_2026+6/12*gcap_msft_2027)*ai_sh</f>
        <v>148.5375</v>
      </c>
      <c r="G269" s="8" t="n">
        <f aca="false">(6/12*gcap_msft_2027+6/12*gcap_msft_2028)*ai_sh</f>
        <v>185.939575275</v>
      </c>
      <c r="H269" s="8" t="n">
        <f aca="false">(6/12*gcap_msft_2028+6/12*gcap_msft_2029)*ai_sh</f>
        <v>202.7978586</v>
      </c>
      <c r="I269" s="8" t="n">
        <f aca="false">(6/12*gcap_msft_2029+6/12*gcap_msft_2030)*ai_sh</f>
        <v>197.6117298</v>
      </c>
    </row>
    <row r="270" customFormat="false" ht="17.15" hidden="false" customHeight="false" outlineLevel="0" collapsed="false">
      <c r="A270" s="0" t="s">
        <v>1652</v>
      </c>
      <c r="B270" s="0" t="s">
        <v>1326</v>
      </c>
      <c r="D270" s="8" t="n">
        <f aca="false">IF(ISNUMBER(D269),(pit_msft_2024/(pit_msft_2024+pfac_msft_2024)*D269+pfac_msft_2024/(pit_msft_2024+pfac_msft_2024)*IF(AND(ISNUMBER(""),ISNUMBER("")),wb1_lo*""+wb2_lo*"",IF(ISNUMBER(""),"",D269)))/(pit_msft_2024+pfac_msft_2024),site_msft_2024)</f>
        <v>0</v>
      </c>
      <c r="E270" s="8" t="n">
        <f aca="false">IF(ISNUMBER(E269),(pit_msft_2025/(pit_msft_2025+pfac_msft_2025)*E269+pfac_msft_2025/(pit_msft_2025+pfac_msft_2025)*IF(AND(ISNUMBER(D269),ISNUMBER("")),wb1_lo*D269+wb2_lo*"",IF(ISNUMBER(D269),D269,E269)))/(pit_msft_2025+pfac_msft_2025),site_msft_2025)</f>
        <v>2.51576435599185</v>
      </c>
      <c r="F270" s="8" t="n">
        <f aca="false">IF(ISNUMBER(F269),(pit_msft_2026/(pit_msft_2026+pfac_msft_2026)*F269+pfac_msft_2026/(pit_msft_2026+pfac_msft_2026)*IF(AND(ISNUMBER(E269),ISNUMBER(D269)),wb1_lo*E269+wb2_lo*D269,IF(ISNUMBER(E269),E269,F269)))/(pit_msft_2026+pfac_msft_2026),site_msft_2026)</f>
        <v>3.22245015720519</v>
      </c>
      <c r="G270" s="8" t="n">
        <f aca="false">IF(ISNUMBER(G269),(pit_msft_2027/(pit_msft_2027+pfac_msft_2027)*G269+pfac_msft_2027/(pit_msft_2027+pfac_msft_2027)*IF(AND(ISNUMBER(F269),ISNUMBER(E269)),wb1_lo*F269+wb2_lo*E269,IF(ISNUMBER(F269),F269,G269)))/(pit_msft_2027+pfac_msft_2027),site_msft_2027)</f>
        <v>4.0195762087135</v>
      </c>
      <c r="H270" s="8" t="n">
        <f aca="false">IF(ISNUMBER(H269),(pit_msft_2028/(pit_msft_2028+pfac_msft_2028)*H269+pfac_msft_2028/(pit_msft_2028+pfac_msft_2028)*IF(AND(ISNUMBER(G269),ISNUMBER(F269)),wb1_lo*G269+wb2_lo*F269,IF(ISNUMBER(G269),G269,H269)))/(pit_msft_2028+pfac_msft_2028),site_msft_2028)</f>
        <v>4.3013919032836</v>
      </c>
      <c r="I270" s="8" t="n">
        <f aca="false">IF(ISNUMBER(I269),(pit_msft_2029/(pit_msft_2029+pfac_msft_2029)*I269+pfac_msft_2029/(pit_msft_2029+pfac_msft_2029)*IF(AND(ISNUMBER(H269),ISNUMBER(G269)),wb1_lo*H269+wb2_lo*G269,IF(ISNUMBER(H269),H269,I269)))/(pit_msft_2029+pfac_msft_2029),site_msft_2029)</f>
        <v>4.3092211857128</v>
      </c>
    </row>
    <row r="271" customFormat="false" ht="17.15" hidden="false" customHeight="false" outlineLevel="0" collapsed="false">
      <c r="A271" s="0" t="s">
        <v>1653</v>
      </c>
      <c r="B271" s="0" t="s">
        <v>1328</v>
      </c>
      <c r="E271" s="8" t="n">
        <f aca="false">(1-lag)*E270+lag*D270-inv_k*(E270-D270)</f>
        <v>1.32077628689572</v>
      </c>
      <c r="F271" s="8" t="n">
        <f aca="false">(1-lag)*F270+lag*E270-inv_k*(F270-E270)</f>
        <v>2.88677440162885</v>
      </c>
      <c r="G271" s="8" t="n">
        <f aca="false">(1-lag)*G270+lag*F270-inv_k*(G270-F270)</f>
        <v>3.64094133424705</v>
      </c>
      <c r="H271" s="8" t="n">
        <f aca="false">(1-lag)*H270+lag*G270-inv_k*(H270-G270)</f>
        <v>4.1675294483628</v>
      </c>
      <c r="I271" s="8" t="n">
        <f aca="false">(1-lag)*I270+lag*H270-inv_k*(I270-H270)</f>
        <v>4.30550227655893</v>
      </c>
    </row>
    <row r="272" customFormat="false" ht="17.15" hidden="false" customHeight="false" outlineLevel="0" collapsed="false">
      <c r="A272" s="0" t="s">
        <v>1654</v>
      </c>
      <c r="B272" s="0" t="s">
        <v>1334</v>
      </c>
      <c r="E272" s="8" t="n">
        <f aca="false">E271*(1-nnv_msft_2025)</f>
        <v>1.00615407887364</v>
      </c>
      <c r="F272" s="8" t="n">
        <f aca="false">F271*(1-nnv_msft_2026)</f>
        <v>2.19911567750323</v>
      </c>
      <c r="G272" s="8" t="n">
        <f aca="false">G271*(1-nnv_msft_2027)</f>
        <v>2.64659347569106</v>
      </c>
      <c r="H272" s="8" t="n">
        <f aca="false">H271*(1-nnv_msft_2028)</f>
        <v>3.04387434010872</v>
      </c>
      <c r="I272" s="8" t="n">
        <f aca="false">I271*(1-nnv_msft_2029)</f>
        <v>3.13359833514881</v>
      </c>
    </row>
    <row r="273" customFormat="false" ht="17.15" hidden="false" customHeight="false" outlineLevel="0" collapsed="false">
      <c r="A273" s="0" t="s">
        <v>1655</v>
      </c>
      <c r="B273" s="0" t="s">
        <v>1336</v>
      </c>
      <c r="D273" s="8" t="n">
        <f aca="false">site_msft_2024</f>
        <v>0</v>
      </c>
      <c r="E273" s="8" t="n">
        <f aca="false">site_msft_2025</f>
        <v>2.13527</v>
      </c>
      <c r="F273" s="8" t="n">
        <f aca="false">site_msft_2026</f>
        <v>0.770955</v>
      </c>
      <c r="G273" s="8" t="n">
        <f aca="false">site_msft_2027</f>
        <v>1.04</v>
      </c>
      <c r="H273" s="8" t="n">
        <f aca="false">site_msft_2028</f>
        <v>1.67</v>
      </c>
      <c r="I273" s="8" t="n">
        <f aca="false">site_msft_2029</f>
        <v>0.144</v>
      </c>
    </row>
    <row r="274" customFormat="false" ht="17.15" hidden="false" customHeight="false" outlineLevel="0" collapsed="false">
      <c r="A274" s="0" t="s">
        <v>1656</v>
      </c>
      <c r="B274" s="0" t="s">
        <v>1338</v>
      </c>
      <c r="D274" s="8" t="n">
        <f aca="false">main_msft_2024</f>
        <v>0</v>
      </c>
      <c r="E274" s="8" t="n">
        <f aca="false">main_msft_2025</f>
        <v>2.13527</v>
      </c>
      <c r="F274" s="8" t="n">
        <f aca="false">main_msft_2026</f>
        <v>0.770955</v>
      </c>
      <c r="G274" s="8" t="n">
        <f aca="false">main_msft_2027</f>
        <v>3.56447576934396</v>
      </c>
      <c r="H274" s="8" t="n">
        <f aca="false">main_msft_2028</f>
        <v>4.06597876464757</v>
      </c>
      <c r="I274" s="8" t="n">
        <f aca="false">main_msft_2029</f>
        <v>4.6644209987717</v>
      </c>
    </row>
    <row r="275" customFormat="false" ht="17.15" hidden="false" customHeight="false" outlineLevel="0" collapsed="false">
      <c r="A275" s="0" t="s">
        <v>1657</v>
      </c>
      <c r="B275" s="0" t="s">
        <v>1340</v>
      </c>
      <c r="D275" s="8" t="str">
        <f aca="false">IF(ISNUMBER(ai2_googl_2024),ai2_googl_2024,"")</f>
        <v/>
      </c>
      <c r="E275" s="8" t="n">
        <f aca="false">IF(ISNUMBER(ai2_googl_2025),ai2_googl_2025,"")</f>
        <v>77.72995</v>
      </c>
      <c r="F275" s="8" t="n">
        <f aca="false">IF(ISNUMBER(ai2_googl_2026),ai2_googl_2026,"")</f>
        <v>170</v>
      </c>
      <c r="G275" s="8" t="n">
        <f aca="false">IF(ISNUMBER(ai2_googl_2027),ai2_googl_2027,"")</f>
        <v>255.83215</v>
      </c>
      <c r="H275" s="8" t="n">
        <f aca="false">IF(ISNUMBER(ai2_googl_2028),ai2_googl_2028,"")</f>
        <v>288.53335</v>
      </c>
      <c r="I275" s="8" t="n">
        <f aca="false">IF(ISNUMBER(ai2_googl_2029),ai2_googl_2029,"")</f>
        <v>317.386685</v>
      </c>
    </row>
    <row r="276" customFormat="false" ht="17.15" hidden="false" customHeight="false" outlineLevel="0" collapsed="false">
      <c r="A276" s="0" t="s">
        <v>1658</v>
      </c>
      <c r="B276" s="0" t="s">
        <v>1342</v>
      </c>
      <c r="D276" s="8" t="n">
        <f aca="false">IF(ISNUMBER(D275),(pit_googl_2024/(pit_googl_2024+pfac_googl_2024)*D275+pfac_googl_2024/(pit_googl_2024+pfac_googl_2024)*IF(AND(ISNUMBER(""),ISNUMBER("")),wb1_lo*""+wb2_lo*"",IF(ISNUMBER(""),"",D275)))/(pit_googl_2024+pfac_googl_2024),site_googl_2024)</f>
        <v>1.32980834349181</v>
      </c>
      <c r="E276" s="8" t="n">
        <f aca="false">IF(ISNUMBER(E275),(pit_googl_2025/(pit_googl_2025+pfac_googl_2025)*E275+pfac_googl_2025/(pit_googl_2025+pfac_googl_2025)*IF(AND(ISNUMBER(D275),ISNUMBER("")),wb1_lo*D275+wb2_lo*"",IF(ISNUMBER(D275),D275,E275)))/(pit_googl_2025+pfac_googl_2025),site_googl_2025)</f>
        <v>2.15653802290354</v>
      </c>
      <c r="F276" s="8" t="n">
        <f aca="false">IF(ISNUMBER(F275),(pit_googl_2026/(pit_googl_2026+pfac_googl_2026)*F275+pfac_googl_2026/(pit_googl_2026+pfac_googl_2026)*IF(AND(ISNUMBER(E275),ISNUMBER(D275)),wb1_lo*E275+wb2_lo*D275,IF(ISNUMBER(E275),E275,F275)))/(pit_googl_2026+pfac_googl_2026),site_googl_2026)</f>
        <v>3.85777511610307</v>
      </c>
      <c r="G276" s="8" t="n">
        <f aca="false">IF(ISNUMBER(G275),(pit_googl_2027/(pit_googl_2027+pfac_googl_2027)*G275+pfac_googl_2027/(pit_googl_2027+pfac_googl_2027)*IF(AND(ISNUMBER(F275),ISNUMBER(E275)),wb1_lo*F275+wb2_lo*E275,IF(ISNUMBER(F275),F275,G275)))/(pit_googl_2027+pfac_googl_2027),site_googl_2027)</f>
        <v>5.99381402276186</v>
      </c>
      <c r="H276" s="8" t="n">
        <f aca="false">IF(ISNUMBER(H275),(pit_googl_2028/(pit_googl_2028+pfac_googl_2028)*H275+pfac_googl_2028/(pit_googl_2028+pfac_googl_2028)*IF(AND(ISNUMBER(G275),ISNUMBER(F275)),wb1_lo*G275+wb2_lo*F275,IF(ISNUMBER(G275),G275,H275)))/(pit_googl_2028+pfac_googl_2028),site_googl_2028)</f>
        <v>7.04216238453379</v>
      </c>
      <c r="I276" s="8" t="n">
        <f aca="false">IF(ISNUMBER(I275),(pit_googl_2029/(pit_googl_2029+pfac_googl_2029)*I275+pfac_googl_2029/(pit_googl_2029+pfac_googl_2029)*IF(AND(ISNUMBER(H275),ISNUMBER(G275)),wb1_lo*H275+wb2_lo*G275,IF(ISNUMBER(H275),H275,I275)))/(pit_googl_2029+pfac_googl_2029),site_googl_2029)</f>
        <v>7.79038716194427</v>
      </c>
    </row>
    <row r="277" customFormat="false" ht="17.15" hidden="false" customHeight="false" outlineLevel="0" collapsed="false">
      <c r="A277" s="0" t="s">
        <v>1659</v>
      </c>
      <c r="B277" s="0" t="s">
        <v>1344</v>
      </c>
      <c r="E277" s="8" t="n">
        <f aca="false">(1-lag)*E276+lag*D276-inv_k*(E276-D276)</f>
        <v>1.76384142518297</v>
      </c>
      <c r="F277" s="8" t="n">
        <f aca="false">(1-lag)*F276+lag*E276-inv_k*(F276-E276)</f>
        <v>3.04968749683329</v>
      </c>
      <c r="G277" s="8" t="n">
        <f aca="false">(1-lag)*G276+lag*F276-inv_k*(G276-F276)</f>
        <v>4.97919554209894</v>
      </c>
      <c r="H277" s="8" t="n">
        <f aca="false">(1-lag)*H276+lag*G276-inv_k*(H276-G276)</f>
        <v>6.54419691269213</v>
      </c>
      <c r="I277" s="8" t="n">
        <f aca="false">(1-lag)*I276+lag*H276-inv_k*(I276-H276)</f>
        <v>7.43498039267429</v>
      </c>
    </row>
    <row r="278" customFormat="false" ht="17.15" hidden="false" customHeight="false" outlineLevel="0" collapsed="false">
      <c r="A278" s="0" t="s">
        <v>1660</v>
      </c>
      <c r="B278" s="0" t="s">
        <v>1346</v>
      </c>
      <c r="D278" s="8" t="n">
        <f aca="false">gcap_googl_2024*ai_sh</f>
        <v>44.65475</v>
      </c>
      <c r="E278" s="8" t="n">
        <f aca="false">gcap_googl_2025*ai_sh</f>
        <v>77.72995</v>
      </c>
      <c r="F278" s="8" t="n">
        <f aca="false">gcap_googl_2026*ai_sh</f>
        <v>170</v>
      </c>
      <c r="G278" s="8" t="n">
        <f aca="false">gcap_googl_2027*ai_sh</f>
        <v>246.810369</v>
      </c>
      <c r="H278" s="8" t="n">
        <f aca="false">gcap_googl_2028*ai_sh</f>
        <v>269.78900975</v>
      </c>
      <c r="I278" s="8" t="n">
        <f aca="false">gcap_googl_2029*ai_sh</f>
        <v>248.6767412</v>
      </c>
    </row>
    <row r="279" customFormat="false" ht="17.15" hidden="false" customHeight="false" outlineLevel="0" collapsed="false">
      <c r="A279" s="0" t="s">
        <v>1661</v>
      </c>
      <c r="B279" s="0" t="s">
        <v>1342</v>
      </c>
      <c r="D279" s="8" t="n">
        <f aca="false">IF(ISNUMBER(D278),(pit_googl_2024/(pit_googl_2024+pfac_googl_2024)*D278+pfac_googl_2024/(pit_googl_2024+pfac_googl_2024)*IF(AND(ISNUMBER(""),ISNUMBER("")),wb1_lo*""+wb2_lo*"",IF(ISNUMBER(""),"",D278)))/(pit_googl_2024+pfac_googl_2024),site_googl_2024)</f>
        <v>1.22628577156267</v>
      </c>
      <c r="E279" s="8" t="n">
        <f aca="false">IF(ISNUMBER(E278),(pit_googl_2025/(pit_googl_2025+pfac_googl_2025)*E278+pfac_googl_2025/(pit_googl_2025+pfac_googl_2025)*IF(AND(ISNUMBER(D278),ISNUMBER("")),wb1_lo*D278+wb2_lo*"",IF(ISNUMBER(D278),D278,E278)))/(pit_googl_2025+pfac_googl_2025),site_googl_2025)</f>
        <v>1.90684085060084</v>
      </c>
      <c r="F279" s="8" t="n">
        <f aca="false">IF(ISNUMBER(F278),(pit_googl_2026/(pit_googl_2026+pfac_googl_2026)*F278+pfac_googl_2026/(pit_googl_2026+pfac_googl_2026)*IF(AND(ISNUMBER(E278),ISNUMBER(D278)),wb1_lo*E278+wb2_lo*D278,IF(ISNUMBER(E278),E278,F278)))/(pit_googl_2026+pfac_googl_2026),site_googl_2026)</f>
        <v>3.85777511610307</v>
      </c>
      <c r="G279" s="8" t="n">
        <f aca="false">IF(ISNUMBER(G278),(pit_googl_2027/(pit_googl_2027+pfac_googl_2027)*G278+pfac_googl_2027/(pit_googl_2027+pfac_googl_2027)*IF(AND(ISNUMBER(F278),ISNUMBER(E278)),wb1_lo*F278+wb2_lo*E278,IF(ISNUMBER(F278),F278,G278)))/(pit_googl_2027+pfac_googl_2027),site_googl_2027)</f>
        <v>5.82092546919099</v>
      </c>
      <c r="H279" s="8" t="n">
        <f aca="false">IF(ISNUMBER(H278),(pit_googl_2028/(pit_googl_2028+pfac_googl_2028)*H278+pfac_googl_2028/(pit_googl_2028+pfac_googl_2028)*IF(AND(ISNUMBER(G278),ISNUMBER(F278)),wb1_lo*G278+wb2_lo*F278,IF(ISNUMBER(G278),G278,H278)))/(pit_googl_2028+pfac_googl_2028),site_googl_2028)</f>
        <v>6.63165116774394</v>
      </c>
      <c r="I279" s="8" t="n">
        <f aca="false">IF(ISNUMBER(I278),(pit_googl_2029/(pit_googl_2029+pfac_googl_2029)*I278+pfac_googl_2029/(pit_googl_2029+pfac_googl_2029)*IF(AND(ISNUMBER(H278),ISNUMBER(G278)),wb1_lo*H278+wb2_lo*G278,IF(ISNUMBER(H278),H278,I278)))/(pit_googl_2029+pfac_googl_2029),site_googl_2029)</f>
        <v>6.3741772756474</v>
      </c>
    </row>
    <row r="280" customFormat="false" ht="17.15" hidden="false" customHeight="false" outlineLevel="0" collapsed="false">
      <c r="A280" s="0" t="s">
        <v>1662</v>
      </c>
      <c r="B280" s="0" t="s">
        <v>1344</v>
      </c>
      <c r="E280" s="8" t="n">
        <f aca="false">(1-lag)*E279+lag*D279-inv_k*(E279-D279)</f>
        <v>1.58357718805771</v>
      </c>
      <c r="F280" s="8" t="n">
        <f aca="false">(1-lag)*F279+lag*E279-inv_k*(F279-E279)</f>
        <v>2.93108133998951</v>
      </c>
      <c r="G280" s="8" t="n">
        <f aca="false">(1-lag)*G279+lag*F279-inv_k*(G279-F279)</f>
        <v>4.88842905147423</v>
      </c>
      <c r="H280" s="8" t="n">
        <f aca="false">(1-lag)*H279+lag*G279-inv_k*(H279-G279)</f>
        <v>6.24655646093129</v>
      </c>
      <c r="I280" s="8" t="n">
        <f aca="false">(1-lag)*I279+lag*H279-inv_k*(I279-H279)</f>
        <v>6.49647737439326</v>
      </c>
    </row>
    <row r="281" customFormat="false" ht="17.15" hidden="false" customHeight="false" outlineLevel="0" collapsed="false">
      <c r="A281" s="0" t="s">
        <v>1663</v>
      </c>
      <c r="B281" s="0" t="s">
        <v>1350</v>
      </c>
      <c r="E281" s="8" t="n">
        <f aca="false">E280*(1-nnv_googl_2025)</f>
        <v>0.391143565450253</v>
      </c>
      <c r="F281" s="8" t="n">
        <f aca="false">F280*(1-nnv_googl_2026)</f>
        <v>0.723977090977409</v>
      </c>
      <c r="G281" s="8" t="n">
        <f aca="false">G280*(1-nnv_googl_2027)</f>
        <v>1.20744197571413</v>
      </c>
      <c r="H281" s="8" t="n">
        <f aca="false">H280*(1-nnv_googl_2028)</f>
        <v>1.54289944585003</v>
      </c>
      <c r="I281" s="8" t="n">
        <f aca="false">I280*(1-nnv_googl_2029)</f>
        <v>1.60462991147513</v>
      </c>
    </row>
    <row r="282" customFormat="false" ht="17.15" hidden="false" customHeight="false" outlineLevel="0" collapsed="false">
      <c r="A282" s="0" t="s">
        <v>1664</v>
      </c>
      <c r="B282" s="0" t="s">
        <v>1352</v>
      </c>
      <c r="D282" s="8" t="n">
        <f aca="false">site_googl_2024</f>
        <v>1.32980834349181</v>
      </c>
      <c r="E282" s="8" t="n">
        <f aca="false">site_googl_2025</f>
        <v>2.40961330082622</v>
      </c>
      <c r="F282" s="8" t="n">
        <f aca="false">site_googl_2026</f>
        <v>1.29267912772586</v>
      </c>
      <c r="G282" s="8" t="n">
        <f aca="false">site_googl_2027</f>
        <v>1.626</v>
      </c>
      <c r="H282" s="8" t="n">
        <f aca="false">site_googl_2028</f>
        <v>0.833333333333334</v>
      </c>
      <c r="I282" s="8" t="n">
        <f aca="false">site_googl_2029</f>
        <v>0</v>
      </c>
    </row>
    <row r="283" customFormat="false" ht="17.15" hidden="false" customHeight="false" outlineLevel="0" collapsed="false">
      <c r="A283" s="0" t="s">
        <v>1665</v>
      </c>
      <c r="B283" s="0" t="s">
        <v>1354</v>
      </c>
      <c r="D283" s="8" t="n">
        <f aca="false">main_googl_2024</f>
        <v>1.32980834349181</v>
      </c>
      <c r="E283" s="8" t="n">
        <f aca="false">main_googl_2025</f>
        <v>2.40961330082622</v>
      </c>
      <c r="F283" s="8" t="n">
        <f aca="false">main_googl_2026</f>
        <v>1.29267912772586</v>
      </c>
      <c r="G283" s="8" t="n">
        <f aca="false">main_googl_2027</f>
        <v>5.69768565998842</v>
      </c>
      <c r="H283" s="8" t="n">
        <f aca="false">main_googl_2028</f>
        <v>6.77682412398346</v>
      </c>
      <c r="I283" s="8" t="n">
        <f aca="false">main_googl_2029</f>
        <v>7.68929590970478</v>
      </c>
    </row>
    <row r="284" customFormat="false" ht="17.15" hidden="false" customHeight="false" outlineLevel="0" collapsed="false">
      <c r="A284" s="0" t="s">
        <v>1666</v>
      </c>
      <c r="B284" s="0" t="s">
        <v>1356</v>
      </c>
      <c r="D284" s="8" t="str">
        <f aca="false">IF(ISNUMBER(ai2_amzn_2024),ai2_amzn_2024,"")</f>
        <v/>
      </c>
      <c r="E284" s="8" t="n">
        <f aca="false">IF(ISNUMBER(ai2_amzn_2025),ai2_amzn_2025,"")</f>
        <v>87.2576</v>
      </c>
      <c r="F284" s="8" t="n">
        <f aca="false">IF(ISNUMBER(ai2_amzn_2026),ai2_amzn_2026,"")</f>
        <v>149.6</v>
      </c>
      <c r="G284" s="8" t="n">
        <f aca="false">IF(ISNUMBER(ai2_amzn_2027),ai2_amzn_2027,"")</f>
        <v>187.04284</v>
      </c>
      <c r="H284" s="8" t="n">
        <f aca="false">IF(ISNUMBER(ai2_amzn_2028),ai2_amzn_2028,"")</f>
        <v>199.19036</v>
      </c>
      <c r="I284" s="8" t="n">
        <f aca="false">IF(ISNUMBER(ai2_amzn_2029),ai2_amzn_2029,"")</f>
        <v>219.109396</v>
      </c>
    </row>
    <row r="285" customFormat="false" ht="17.15" hidden="false" customHeight="false" outlineLevel="0" collapsed="false">
      <c r="A285" s="0" t="s">
        <v>1667</v>
      </c>
      <c r="B285" s="0" t="s">
        <v>1358</v>
      </c>
      <c r="D285" s="8" t="n">
        <f aca="false">IF(ISNUMBER(D284),(pit_amzn_2024/(pit_amzn_2024+pfac_amzn_2024)*D284+pfac_amzn_2024/(pit_amzn_2024+pfac_amzn_2024)*IF(AND(ISNUMBER(""),ISNUMBER("")),wb1_lo*""+wb2_lo*"",IF(ISNUMBER(""),"",D284)))/(pit_amzn_2024+pfac_amzn_2024),site_amzn_2024)</f>
        <v>0</v>
      </c>
      <c r="E285" s="8" t="n">
        <f aca="false">IF(ISNUMBER(E284),(pit_amzn_2025/(pit_amzn_2025+pfac_amzn_2025)*E284+pfac_amzn_2025/(pit_amzn_2025+pfac_amzn_2025)*IF(AND(ISNUMBER(D284),ISNUMBER("")),wb1_lo*D284+wb2_lo*"",IF(ISNUMBER(D284),D284,E284)))/(pit_amzn_2025+pfac_amzn_2025),site_amzn_2025)</f>
        <v>2.6200438487091</v>
      </c>
      <c r="F285" s="8" t="n">
        <f aca="false">IF(ISNUMBER(F284),(pit_amzn_2026/(pit_amzn_2026+pfac_amzn_2026)*F284+pfac_amzn_2026/(pit_amzn_2026+pfac_amzn_2026)*IF(AND(ISNUMBER(E284),ISNUMBER(D284)),wb1_lo*E284+wb2_lo*D284,IF(ISNUMBER(E284),E284,F284)))/(pit_amzn_2026+pfac_amzn_2026),site_amzn_2026)</f>
        <v>3.72830685774426</v>
      </c>
      <c r="G285" s="8" t="n">
        <f aca="false">IF(ISNUMBER(G284),(pit_amzn_2027/(pit_amzn_2027+pfac_amzn_2027)*G284+pfac_amzn_2027/(pit_amzn_2027+pfac_amzn_2027)*IF(AND(ISNUMBER(F284),ISNUMBER(E284)),wb1_lo*F284+wb2_lo*E284,IF(ISNUMBER(F284),F284,G284)))/(pit_amzn_2027+pfac_amzn_2027),site_amzn_2027)</f>
        <v>4.75383625682402</v>
      </c>
      <c r="H285" s="8" t="n">
        <f aca="false">IF(ISNUMBER(H284),(pit_amzn_2028/(pit_amzn_2028+pfac_amzn_2028)*H284+pfac_amzn_2028/(pit_amzn_2028+pfac_amzn_2028)*IF(AND(ISNUMBER(G284),ISNUMBER(F284)),wb1_lo*G284+wb2_lo*F284,IF(ISNUMBER(G284),G284,H284)))/(pit_amzn_2028+pfac_amzn_2028),site_amzn_2028)</f>
        <v>5.11531081756494</v>
      </c>
      <c r="I285" s="8" t="n">
        <f aca="false">IF(ISNUMBER(I284),(pit_amzn_2029/(pit_amzn_2029+pfac_amzn_2029)*I284+pfac_amzn_2029/(pit_amzn_2029+pfac_amzn_2029)*IF(AND(ISNUMBER(H284),ISNUMBER(G284)),wb1_lo*H284+wb2_lo*G284,IF(ISNUMBER(H284),H284,I284)))/(pit_amzn_2029+pfac_amzn_2029),site_amzn_2029)</f>
        <v>5.58513934379948</v>
      </c>
    </row>
    <row r="286" customFormat="false" ht="17.15" hidden="false" customHeight="false" outlineLevel="0" collapsed="false">
      <c r="A286" s="0" t="s">
        <v>1668</v>
      </c>
      <c r="B286" s="0" t="s">
        <v>1360</v>
      </c>
      <c r="E286" s="8" t="n">
        <f aca="false">(1-lag)*E285+lag*D285-inv_k*(E285-D285)</f>
        <v>1.37552302057228</v>
      </c>
      <c r="F286" s="8" t="n">
        <f aca="false">(1-lag)*F285+lag*E285-inv_k*(F285-E285)</f>
        <v>3.20188192845256</v>
      </c>
      <c r="G286" s="8" t="n">
        <f aca="false">(1-lag)*G285+lag*F285-inv_k*(G285-F285)</f>
        <v>4.26670979226113</v>
      </c>
      <c r="H286" s="8" t="n">
        <f aca="false">(1-lag)*H285+lag*G285-inv_k*(H285-G285)</f>
        <v>4.943610401213</v>
      </c>
      <c r="I286" s="8" t="n">
        <f aca="false">(1-lag)*I285+lag*H285-inv_k*(I285-H285)</f>
        <v>5.36197079383807</v>
      </c>
    </row>
    <row r="287" customFormat="false" ht="17.15" hidden="false" customHeight="false" outlineLevel="0" collapsed="false">
      <c r="A287" s="0" t="s">
        <v>1669</v>
      </c>
      <c r="B287" s="0" t="s">
        <v>1362</v>
      </c>
      <c r="D287" s="8" t="n">
        <f aca="false">gcap_amzn_2024*ai_amzn</f>
        <v>52.80744</v>
      </c>
      <c r="E287" s="8" t="n">
        <f aca="false">gcap_amzn_2025*ai_amzn</f>
        <v>87.2576</v>
      </c>
      <c r="F287" s="8" t="n">
        <f aca="false">gcap_amzn_2026*ai_amzn</f>
        <v>149.6</v>
      </c>
      <c r="G287" s="8" t="n">
        <f aca="false">gcap_amzn_2027*ai_amzn</f>
        <v>172.09445848</v>
      </c>
      <c r="H287" s="8" t="n">
        <f aca="false">gcap_amzn_2028*ai_amzn</f>
        <v>181.54066624</v>
      </c>
      <c r="I287" s="8" t="n">
        <f aca="false">gcap_amzn_2029*ai_amzn</f>
        <v>189.3160052</v>
      </c>
    </row>
    <row r="288" customFormat="false" ht="17.15" hidden="false" customHeight="false" outlineLevel="0" collapsed="false">
      <c r="A288" s="0" t="s">
        <v>1670</v>
      </c>
      <c r="B288" s="0" t="s">
        <v>1358</v>
      </c>
      <c r="D288" s="8" t="n">
        <f aca="false">IF(ISNUMBER(D287),(pit_amzn_2024/(pit_amzn_2024+pfac_amzn_2024)*D287+pfac_amzn_2024/(pit_amzn_2024+pfac_amzn_2024)*IF(AND(ISNUMBER(""),ISNUMBER("")),wb1_lo*""+wb2_lo*"",IF(ISNUMBER(""),"",D287)))/(pit_amzn_2024+pfac_amzn_2024),site_amzn_2024)</f>
        <v>1.56238534864816</v>
      </c>
      <c r="E288" s="8" t="n">
        <f aca="false">IF(ISNUMBER(E287),(pit_amzn_2025/(pit_amzn_2025+pfac_amzn_2025)*E287+pfac_amzn_2025/(pit_amzn_2025+pfac_amzn_2025)*IF(AND(ISNUMBER(D287),ISNUMBER("")),wb1_lo*D287+wb2_lo*"",IF(ISNUMBER(D287),D287,E287)))/(pit_amzn_2025+pfac_amzn_2025),site_amzn_2025)</f>
        <v>2.32934283296825</v>
      </c>
      <c r="F288" s="8" t="n">
        <f aca="false">IF(ISNUMBER(F287),(pit_amzn_2026/(pit_amzn_2026+pfac_amzn_2026)*F287+pfac_amzn_2026/(pit_amzn_2026+pfac_amzn_2026)*IF(AND(ISNUMBER(E287),ISNUMBER(D287)),wb1_lo*E287+wb2_lo*D287,IF(ISNUMBER(E287),E287,F287)))/(pit_amzn_2026+pfac_amzn_2026),site_amzn_2026)</f>
        <v>3.72830685774426</v>
      </c>
      <c r="G288" s="8" t="n">
        <f aca="false">IF(ISNUMBER(G287),(pit_amzn_2027/(pit_amzn_2027+pfac_amzn_2027)*G287+pfac_amzn_2027/(pit_amzn_2027+pfac_amzn_2027)*IF(AND(ISNUMBER(F287),ISNUMBER(E287)),wb1_lo*F287+wb2_lo*E287,IF(ISNUMBER(F287),F287,G287)))/(pit_amzn_2027+pfac_amzn_2027),site_amzn_2027)</f>
        <v>4.45402583072331</v>
      </c>
      <c r="H288" s="8" t="n">
        <f aca="false">IF(ISNUMBER(H287),(pit_amzn_2028/(pit_amzn_2028+pfac_amzn_2028)*H287+pfac_amzn_2028/(pit_amzn_2028+pfac_amzn_2028)*IF(AND(ISNUMBER(G287),ISNUMBER(F287)),wb1_lo*G287+wb2_lo*F287,IF(ISNUMBER(G287),G287,H287)))/(pit_amzn_2028+pfac_amzn_2028),site_amzn_2028)</f>
        <v>4.67239270473511</v>
      </c>
      <c r="I288" s="8" t="n">
        <f aca="false">IF(ISNUMBER(I287),(pit_amzn_2029/(pit_amzn_2029+pfac_amzn_2029)*I287+pfac_amzn_2029/(pit_amzn_2029+pfac_amzn_2029)*IF(AND(ISNUMBER(H287),ISNUMBER(G287)),wb1_lo*H287+wb2_lo*G287,IF(ISNUMBER(H287),H287,I287)))/(pit_amzn_2029+pfac_amzn_2029),site_amzn_2029)</f>
        <v>4.88571038643782</v>
      </c>
    </row>
    <row r="289" customFormat="false" ht="17.15" hidden="false" customHeight="false" outlineLevel="0" collapsed="false">
      <c r="A289" s="0" t="s">
        <v>1671</v>
      </c>
      <c r="B289" s="0" t="s">
        <v>1360</v>
      </c>
      <c r="E289" s="8" t="n">
        <f aca="false">(1-lag)*E288+lag*D288-inv_k*(E288-D288)</f>
        <v>1.96503802791621</v>
      </c>
      <c r="F289" s="8" t="n">
        <f aca="false">(1-lag)*F288+lag*E288-inv_k*(F288-E288)</f>
        <v>3.06379894597566</v>
      </c>
      <c r="G289" s="8" t="n">
        <f aca="false">(1-lag)*G288+lag*F288-inv_k*(G288-F288)</f>
        <v>4.10930931855826</v>
      </c>
      <c r="H289" s="8" t="n">
        <f aca="false">(1-lag)*H288+lag*G288-inv_k*(H288-G288)</f>
        <v>4.56866843957951</v>
      </c>
      <c r="I289" s="8" t="n">
        <f aca="false">(1-lag)*I288+lag*H288-inv_k*(I288-H288)</f>
        <v>4.78438448762904</v>
      </c>
    </row>
    <row r="290" customFormat="false" ht="17.15" hidden="false" customHeight="false" outlineLevel="0" collapsed="false">
      <c r="A290" s="0" t="s">
        <v>1672</v>
      </c>
      <c r="B290" s="0" t="s">
        <v>1366</v>
      </c>
      <c r="E290" s="8" t="n">
        <f aca="false">E289*(1-nnv_amzn_2025)</f>
        <v>0.648462549212348</v>
      </c>
      <c r="F290" s="8" t="n">
        <f aca="false">F289*(1-nnv_amzn_2026)</f>
        <v>1.01105365217197</v>
      </c>
      <c r="G290" s="8" t="n">
        <f aca="false">G289*(1-nnv_amzn_2027)</f>
        <v>1.35607207512423</v>
      </c>
      <c r="H290" s="8" t="n">
        <f aca="false">H289*(1-nnv_amzn_2028)</f>
        <v>1.50766058506124</v>
      </c>
      <c r="I290" s="8" t="n">
        <f aca="false">I289*(1-nnv_amzn_2029)</f>
        <v>1.57884688091758</v>
      </c>
    </row>
    <row r="291" customFormat="false" ht="17.15" hidden="false" customHeight="false" outlineLevel="0" collapsed="false">
      <c r="A291" s="0" t="s">
        <v>1673</v>
      </c>
      <c r="B291" s="0" t="s">
        <v>1368</v>
      </c>
      <c r="D291" s="8" t="n">
        <f aca="false">site_amzn_2024</f>
        <v>0</v>
      </c>
      <c r="E291" s="8" t="n">
        <f aca="false">site_amzn_2025</f>
        <v>1.38971599402093</v>
      </c>
      <c r="F291" s="8" t="n">
        <f aca="false">site_amzn_2026</f>
        <v>0.527</v>
      </c>
      <c r="G291" s="8" t="n">
        <f aca="false">site_amzn_2027</f>
        <v>0.364</v>
      </c>
      <c r="H291" s="8" t="n">
        <f aca="false">site_amzn_2028</f>
        <v>1.744</v>
      </c>
      <c r="I291" s="8" t="n">
        <f aca="false">site_amzn_2029</f>
        <v>0.0620000000000003</v>
      </c>
    </row>
    <row r="292" customFormat="false" ht="17.15" hidden="false" customHeight="false" outlineLevel="0" collapsed="false">
      <c r="A292" s="0" t="s">
        <v>1674</v>
      </c>
      <c r="B292" s="0" t="s">
        <v>1370</v>
      </c>
      <c r="D292" s="8" t="n">
        <f aca="false">main_amzn_2024</f>
        <v>0</v>
      </c>
      <c r="E292" s="8" t="n">
        <f aca="false">main_amzn_2025</f>
        <v>1.38971599402093</v>
      </c>
      <c r="F292" s="8" t="n">
        <f aca="false">main_amzn_2026</f>
        <v>0.527</v>
      </c>
      <c r="G292" s="8" t="n">
        <f aca="false">main_amzn_2027</f>
        <v>4.54496548273742</v>
      </c>
      <c r="H292" s="8" t="n">
        <f aca="false">main_amzn_2028</f>
        <v>4.99623819927339</v>
      </c>
      <c r="I292" s="8" t="n">
        <f aca="false">main_amzn_2029</f>
        <v>5.54650880690247</v>
      </c>
    </row>
    <row r="293" customFormat="false" ht="17.15" hidden="false" customHeight="false" outlineLevel="0" collapsed="false">
      <c r="A293" s="0" t="s">
        <v>1675</v>
      </c>
      <c r="B293" s="0" t="s">
        <v>1372</v>
      </c>
      <c r="D293" s="8" t="str">
        <f aca="false">IF(ISNUMBER(ai2_meta_2024),ai2_meta_2024,"")</f>
        <v/>
      </c>
      <c r="E293" s="8" t="str">
        <f aca="false">IF(ISNUMBER(ai2_meta_2025),ai2_meta_2025,"")</f>
        <v/>
      </c>
      <c r="F293" s="8" t="n">
        <f aca="false">IF(ISNUMBER(ai2_meta_2026),ai2_meta_2026,"")</f>
        <v>119</v>
      </c>
      <c r="G293" s="8" t="n">
        <f aca="false">IF(ISNUMBER(ai2_meta_2027),ai2_meta_2027,"")</f>
        <v>130.9</v>
      </c>
      <c r="H293" s="8" t="n">
        <f aca="false">IF(ISNUMBER(ai2_meta_2028),ai2_meta_2028,"")</f>
        <v>143.99</v>
      </c>
      <c r="I293" s="8" t="n">
        <f aca="false">IF(ISNUMBER(ai2_meta_2029),ai2_meta_2029,"")</f>
        <v>158.389</v>
      </c>
    </row>
    <row r="294" customFormat="false" ht="17.15" hidden="false" customHeight="false" outlineLevel="0" collapsed="false">
      <c r="A294" s="0" t="s">
        <v>1676</v>
      </c>
      <c r="B294" s="0" t="s">
        <v>1374</v>
      </c>
      <c r="D294" s="8" t="n">
        <f aca="false">IF(ISNUMBER(D293),(pit_meta_2024/(pit_meta_2024+pfac_meta_2024)*D293+pfac_meta_2024/(pit_meta_2024+pfac_meta_2024)*IF(AND(ISNUMBER(""),ISNUMBER("")),wb1_lo*""+wb2_lo*"",IF(ISNUMBER(""),"",D293)))/(pit_meta_2024+pfac_meta_2024),site_meta_2024)</f>
        <v>0</v>
      </c>
      <c r="E294" s="8" t="n">
        <f aca="false">IF(ISNUMBER(E293),(pit_meta_2025/(pit_meta_2025+pfac_meta_2025)*E293+pfac_meta_2025/(pit_meta_2025+pfac_meta_2025)*IF(AND(ISNUMBER(D293),ISNUMBER("")),wb1_lo*D293+wb2_lo*"",IF(ISNUMBER(D293),D293,E293)))/(pit_meta_2025+pfac_meta_2025),site_meta_2025)</f>
        <v>1.50812</v>
      </c>
      <c r="F294" s="8" t="n">
        <f aca="false">IF(ISNUMBER(F293),(pit_meta_2026/(pit_meta_2026+pfac_meta_2026)*F293+pfac_meta_2026/(pit_meta_2026+pfac_meta_2026)*IF(AND(ISNUMBER(E293),ISNUMBER(D293)),wb1_lo*E293+wb2_lo*D293,IF(ISNUMBER(E293),E293,F293)))/(pit_meta_2026+pfac_meta_2026),site_meta_2026)</f>
        <v>2.62796503624796</v>
      </c>
      <c r="G294" s="8" t="n">
        <f aca="false">IF(ISNUMBER(G293),(pit_meta_2027/(pit_meta_2027+pfac_meta_2027)*G293+pfac_meta_2027/(pit_meta_2027+pfac_meta_2027)*IF(AND(ISNUMBER(F293),ISNUMBER(E293)),wb1_lo*F293+wb2_lo*E293,IF(ISNUMBER(F293),F293,G293)))/(pit_meta_2027+pfac_meta_2027),site_meta_2027)</f>
        <v>2.62451187863681</v>
      </c>
      <c r="H294" s="8" t="n">
        <f aca="false">IF(ISNUMBER(H293),(pit_meta_2028/(pit_meta_2028+pfac_meta_2028)*H293+pfac_meta_2028/(pit_meta_2028+pfac_meta_2028)*IF(AND(ISNUMBER(G293),ISNUMBER(F293)),wb1_lo*G293+wb2_lo*F293,IF(ISNUMBER(G293),G293,H293)))/(pit_meta_2028+pfac_meta_2028),site_meta_2028)</f>
        <v>2.7642671514898</v>
      </c>
      <c r="I294" s="8" t="n">
        <f aca="false">IF(ISNUMBER(I293),(pit_meta_2029/(pit_meta_2029+pfac_meta_2029)*I293+pfac_meta_2029/(pit_meta_2029+pfac_meta_2029)*IF(AND(ISNUMBER(H293),ISNUMBER(G293)),wb1_lo*H293+wb2_lo*G293,IF(ISNUMBER(H293),H293,I293)))/(pit_meta_2029+pfac_meta_2029),site_meta_2029)</f>
        <v>3.04241143665279</v>
      </c>
    </row>
    <row r="295" customFormat="false" ht="17.15" hidden="false" customHeight="false" outlineLevel="0" collapsed="false">
      <c r="A295" s="0" t="s">
        <v>1677</v>
      </c>
      <c r="B295" s="0" t="s">
        <v>1376</v>
      </c>
      <c r="E295" s="8" t="n">
        <f aca="false">(1-lag)*E294+lag*D294-inv_k*(E294-D294)</f>
        <v>0.791763</v>
      </c>
      <c r="F295" s="8" t="n">
        <f aca="false">(1-lag)*F294+lag*E294-inv_k*(F294-E294)</f>
        <v>2.09603864403018</v>
      </c>
      <c r="G295" s="8" t="n">
        <f aca="false">(1-lag)*G294+lag*F294-inv_k*(G294-F294)</f>
        <v>2.62615212850211</v>
      </c>
      <c r="H295" s="8" t="n">
        <f aca="false">(1-lag)*H294+lag*G294-inv_k*(H294-G294)</f>
        <v>2.69788339688463</v>
      </c>
      <c r="I295" s="8" t="n">
        <f aca="false">(1-lag)*I294+lag*H294-inv_k*(I294-H294)</f>
        <v>2.91029290120037</v>
      </c>
    </row>
    <row r="296" customFormat="false" ht="17.15" hidden="false" customHeight="false" outlineLevel="0" collapsed="false">
      <c r="A296" s="0" t="s">
        <v>1678</v>
      </c>
      <c r="B296" s="0" t="s">
        <v>1378</v>
      </c>
      <c r="D296" s="8" t="n">
        <f aca="false">gcap_meta_2024*ai_sh</f>
        <v>33.34125</v>
      </c>
      <c r="E296" s="8" t="n">
        <f aca="false">gcap_meta_2025*ai_sh</f>
        <v>61.38275</v>
      </c>
      <c r="F296" s="8" t="n">
        <f aca="false">gcap_meta_2026*ai_sh</f>
        <v>119</v>
      </c>
      <c r="G296" s="8" t="n">
        <f aca="false">gcap_meta_2027*ai_sh</f>
        <v>174.8499963</v>
      </c>
      <c r="H296" s="8" t="n">
        <f aca="false">gcap_meta_2028*ai_sh</f>
        <v>186.39077355</v>
      </c>
      <c r="I296" s="8" t="n">
        <f aca="false">gcap_meta_2029*ai_sh</f>
        <v>165.57988355</v>
      </c>
    </row>
    <row r="297" customFormat="false" ht="17.15" hidden="false" customHeight="false" outlineLevel="0" collapsed="false">
      <c r="A297" s="0" t="s">
        <v>1679</v>
      </c>
      <c r="B297" s="0" t="s">
        <v>1374</v>
      </c>
      <c r="D297" s="8" t="n">
        <f aca="false">IF(ISNUMBER(D296),(pit_meta_2024/(pit_meta_2024+pfac_meta_2024)*D296+pfac_meta_2024/(pit_meta_2024+pfac_meta_2024)*IF(AND(ISNUMBER(""),ISNUMBER("")),wb1_lo*""+wb2_lo*"",IF(ISNUMBER(""),"",D296)))/(pit_meta_2024+pfac_meta_2024),site_meta_2024)</f>
        <v>0.817493736320288</v>
      </c>
      <c r="E297" s="8" t="n">
        <f aca="false">IF(ISNUMBER(E296),(pit_meta_2025/(pit_meta_2025+pfac_meta_2025)*E296+pfac_meta_2025/(pit_meta_2025+pfac_meta_2025)*IF(AND(ISNUMBER(D296),ISNUMBER("")),wb1_lo*D296+wb2_lo*"",IF(ISNUMBER(D296),D296,E296)))/(pit_meta_2025+pfac_meta_2025),site_meta_2025)</f>
        <v>1.33044623899154</v>
      </c>
      <c r="F297" s="8" t="n">
        <f aca="false">IF(ISNUMBER(F296),(pit_meta_2026/(pit_meta_2026+pfac_meta_2026)*F296+pfac_meta_2026/(pit_meta_2026+pfac_meta_2026)*IF(AND(ISNUMBER(E296),ISNUMBER(D296)),wb1_lo*E296+wb2_lo*D296,IF(ISNUMBER(E296),E296,F296)))/(pit_meta_2026+pfac_meta_2026),site_meta_2026)</f>
        <v>2.28466617790427</v>
      </c>
      <c r="G297" s="8" t="n">
        <f aca="false">IF(ISNUMBER(G296),(pit_meta_2027/(pit_meta_2027+pfac_meta_2027)*G296+pfac_meta_2027/(pit_meta_2027+pfac_meta_2027)*IF(AND(ISNUMBER(F296),ISNUMBER(E296)),wb1_lo*F296+wb2_lo*E296,IF(ISNUMBER(F296),F296,G296)))/(pit_meta_2027+pfac_meta_2027),site_meta_2027)</f>
        <v>3.30138115128194</v>
      </c>
      <c r="H297" s="8" t="n">
        <f aca="false">IF(ISNUMBER(H296),(pit_meta_2028/(pit_meta_2028+pfac_meta_2028)*H296+pfac_meta_2028/(pit_meta_2028+pfac_meta_2028)*IF(AND(ISNUMBER(G296),ISNUMBER(F296)),wb1_lo*G296+wb2_lo*F296,IF(ISNUMBER(G296),G296,H296)))/(pit_meta_2028+pfac_meta_2028),site_meta_2028)</f>
        <v>3.60355988552346</v>
      </c>
      <c r="I297" s="8" t="n">
        <f aca="false">IF(ISNUMBER(I296),(pit_meta_2029/(pit_meta_2029+pfac_meta_2029)*I296+pfac_meta_2029/(pit_meta_2029+pfac_meta_2029)*IF(AND(ISNUMBER(H296),ISNUMBER(G296)),wb1_lo*H296+wb2_lo*G296,IF(ISNUMBER(H296),H296,I296)))/(pit_meta_2029+pfac_meta_2029),site_meta_2029)</f>
        <v>3.34855758593315</v>
      </c>
    </row>
    <row r="298" customFormat="false" ht="17.15" hidden="false" customHeight="false" outlineLevel="0" collapsed="false">
      <c r="A298" s="0" t="s">
        <v>1680</v>
      </c>
      <c r="B298" s="0" t="s">
        <v>1376</v>
      </c>
      <c r="E298" s="8" t="n">
        <f aca="false">(1-lag)*E297+lag*D297-inv_k*(E297-D297)</f>
        <v>1.08679380022269</v>
      </c>
      <c r="F298" s="8" t="n">
        <f aca="false">(1-lag)*F297+lag*E297-inv_k*(F297-E297)</f>
        <v>1.83141170692072</v>
      </c>
      <c r="G298" s="8" t="n">
        <f aca="false">(1-lag)*G297+lag*F297-inv_k*(G297-F297)</f>
        <v>2.81844153892754</v>
      </c>
      <c r="H298" s="8" t="n">
        <f aca="false">(1-lag)*H297+lag*G297-inv_k*(H297-G297)</f>
        <v>3.46002498675874</v>
      </c>
      <c r="I298" s="8" t="n">
        <f aca="false">(1-lag)*I297+lag*H297-inv_k*(I297-H297)</f>
        <v>3.46968367823855</v>
      </c>
    </row>
    <row r="299" customFormat="false" ht="17.15" hidden="false" customHeight="false" outlineLevel="0" collapsed="false">
      <c r="A299" s="0" t="s">
        <v>1681</v>
      </c>
      <c r="B299" s="0" t="s">
        <v>1382</v>
      </c>
      <c r="E299" s="8" t="n">
        <f aca="false">E298*(1-nnv_meta_2025)</f>
        <v>0.827908576068328</v>
      </c>
      <c r="F299" s="8" t="n">
        <f aca="false">F298*(1-nnv_meta_2026)</f>
        <v>1.39515100119352</v>
      </c>
      <c r="G299" s="8" t="n">
        <f aca="false">G298*(1-nnv_meta_2027)</f>
        <v>2.04871990613518</v>
      </c>
      <c r="H299" s="8" t="n">
        <f aca="false">H298*(1-nnv_meta_2028)</f>
        <v>2.52712821920607</v>
      </c>
      <c r="I299" s="8" t="n">
        <f aca="false">I298*(1-nnv_meta_2029)</f>
        <v>2.52527911942274</v>
      </c>
    </row>
    <row r="300" customFormat="false" ht="17.15" hidden="false" customHeight="false" outlineLevel="0" collapsed="false">
      <c r="A300" s="0" t="s">
        <v>1682</v>
      </c>
      <c r="B300" s="0" t="s">
        <v>1384</v>
      </c>
      <c r="D300" s="8" t="n">
        <f aca="false">site_meta_2024</f>
        <v>0</v>
      </c>
      <c r="E300" s="8" t="n">
        <f aca="false">site_meta_2025</f>
        <v>1.50812</v>
      </c>
      <c r="F300" s="8" t="n">
        <f aca="false">site_meta_2026</f>
        <v>0.676</v>
      </c>
      <c r="G300" s="8" t="n">
        <f aca="false">site_meta_2027</f>
        <v>0.615</v>
      </c>
      <c r="H300" s="8" t="n">
        <f aca="false">site_meta_2028</f>
        <v>2.99433333333333</v>
      </c>
      <c r="I300" s="8" t="n">
        <f aca="false">site_meta_2029</f>
        <v>0.968</v>
      </c>
    </row>
    <row r="301" customFormat="false" ht="17.15" hidden="false" customHeight="false" outlineLevel="0" collapsed="false">
      <c r="A301" s="0" t="s">
        <v>1683</v>
      </c>
      <c r="B301" s="0" t="s">
        <v>1386</v>
      </c>
      <c r="D301" s="8" t="n">
        <f aca="false">main_meta_2024</f>
        <v>0</v>
      </c>
      <c r="E301" s="8" t="n">
        <f aca="false">main_meta_2025</f>
        <v>1.50812</v>
      </c>
      <c r="F301" s="8" t="n">
        <f aca="false">main_meta_2026</f>
        <v>0.676</v>
      </c>
      <c r="G301" s="8" t="n">
        <f aca="false">main_meta_2027</f>
        <v>0.615</v>
      </c>
      <c r="H301" s="8" t="n">
        <f aca="false">main_meta_2028</f>
        <v>2.73641202658016</v>
      </c>
      <c r="I301" s="8" t="n">
        <f aca="false">main_meta_2029</f>
        <v>3.01174825182942</v>
      </c>
    </row>
    <row r="302" customFormat="false" ht="17.15" hidden="false" customHeight="false" outlineLevel="0" collapsed="false">
      <c r="A302" s="0" t="s">
        <v>1684</v>
      </c>
      <c r="B302" s="0" t="s">
        <v>1388</v>
      </c>
      <c r="D302" s="8" t="str">
        <f aca="false">IF(ISNUMBER(ai2_orcl_2024),ai2_orcl_2024,"")</f>
        <v/>
      </c>
      <c r="E302" s="8" t="n">
        <f aca="false">IF(ISNUMBER(ai2_orcl_2025),ai2_orcl_2025,"")</f>
        <v>35.1132166666667</v>
      </c>
      <c r="F302" s="8" t="n">
        <f aca="false">IF(ISNUMBER(ai2_orcl_2026),ai2_orcl_2026,"")</f>
        <v>65.5785625</v>
      </c>
      <c r="G302" s="8" t="n">
        <f aca="false">IF(ISNUMBER(ai2_orcl_2027),ai2_orcl_2027,"")</f>
        <v>82.8207416666667</v>
      </c>
      <c r="H302" s="8" t="n">
        <f aca="false">IF(ISNUMBER(ai2_orcl_2028),ai2_orcl_2028,"")</f>
        <v>77.8278416666667</v>
      </c>
      <c r="I302" s="8" t="n">
        <f aca="false">IF(ISNUMBER(ai2_orcl_2029),ai2_orcl_2029,"")</f>
        <v>76.3278466666667</v>
      </c>
    </row>
    <row r="303" customFormat="false" ht="17.15" hidden="false" customHeight="false" outlineLevel="0" collapsed="false">
      <c r="A303" s="0" t="s">
        <v>1685</v>
      </c>
      <c r="B303" s="0" t="s">
        <v>1390</v>
      </c>
      <c r="D303" s="8" t="n">
        <f aca="false">IF(ISNUMBER(D302),(pit_orcl_2024/(pit_orcl_2024+pfac_orcl_2024)*D302+pfac_orcl_2024/(pit_orcl_2024+pfac_orcl_2024)*IF(AND(ISNUMBER(""),ISNUMBER("")),wb1_lo*""+wb2_lo*"",IF(ISNUMBER(""),"",D302)))/(pit_orcl_2024+pfac_orcl_2024),site_orcl_2024)</f>
        <v>0</v>
      </c>
      <c r="E303" s="8" t="n">
        <f aca="false">IF(ISNUMBER(E302),(pit_orcl_2025/(pit_orcl_2025+pfac_orcl_2025)*E302+pfac_orcl_2025/(pit_orcl_2025+pfac_orcl_2025)*IF(AND(ISNUMBER(D302),ISNUMBER("")),wb1_lo*D302+wb2_lo*"",IF(ISNUMBER(D302),D302,E302)))/(pit_orcl_2025+pfac_orcl_2025),site_orcl_2025)</f>
        <v>0.885776418247533</v>
      </c>
      <c r="F303" s="8" t="n">
        <f aca="false">IF(ISNUMBER(F302),(pit_orcl_2026/(pit_orcl_2026+pfac_orcl_2026)*F302+pfac_orcl_2026/(pit_orcl_2026+pfac_orcl_2026)*IF(AND(ISNUMBER(E302),ISNUMBER(D302)),wb1_lo*E302+wb2_lo*D302,IF(ISNUMBER(E302),E302,F302)))/(pit_orcl_2026+pfac_orcl_2026),site_orcl_2026)</f>
        <v>1.26669929939621</v>
      </c>
      <c r="G303" s="8" t="n">
        <f aca="false">IF(ISNUMBER(G302),(pit_orcl_2027/(pit_orcl_2027+pfac_orcl_2027)*G302+pfac_orcl_2027/(pit_orcl_2027+pfac_orcl_2027)*IF(AND(ISNUMBER(F302),ISNUMBER(E302)),wb1_lo*F302+wb2_lo*E302,IF(ISNUMBER(F302),F302,G302)))/(pit_orcl_2027+pfac_orcl_2027),site_orcl_2027)</f>
        <v>1.61086507742391</v>
      </c>
      <c r="H303" s="8" t="n">
        <f aca="false">IF(ISNUMBER(H302),(pit_orcl_2028/(pit_orcl_2028+pfac_orcl_2028)*H302+pfac_orcl_2028/(pit_orcl_2028+pfac_orcl_2028)*IF(AND(ISNUMBER(G302),ISNUMBER(F302)),wb1_lo*G302+wb2_lo*F302,IF(ISNUMBER(G302),G302,H302)))/(pit_orcl_2028+pfac_orcl_2028),site_orcl_2028)</f>
        <v>1.55060781713579</v>
      </c>
      <c r="I303" s="8" t="n">
        <f aca="false">IF(ISNUMBER(I302),(pit_orcl_2029/(pit_orcl_2029+pfac_orcl_2029)*I302+pfac_orcl_2029/(pit_orcl_2029+pfac_orcl_2029)*IF(AND(ISNUMBER(H302),ISNUMBER(G302)),wb1_lo*H302+wb2_lo*G302,IF(ISNUMBER(H302),H302,I302)))/(pit_orcl_2029+pfac_orcl_2029),site_orcl_2029)</f>
        <v>1.50567769381404</v>
      </c>
    </row>
    <row r="304" customFormat="false" ht="17.15" hidden="false" customHeight="false" outlineLevel="0" collapsed="false">
      <c r="A304" s="0" t="s">
        <v>1686</v>
      </c>
      <c r="B304" s="0" t="s">
        <v>1392</v>
      </c>
      <c r="E304" s="8" t="n">
        <f aca="false">(1-lag)*E303+lag*D303-inv_k*(E303-D303)</f>
        <v>0.465032619579955</v>
      </c>
      <c r="F304" s="8" t="n">
        <f aca="false">(1-lag)*F303+lag*E303-inv_k*(F303-E303)</f>
        <v>1.08576093085059</v>
      </c>
      <c r="G304" s="8" t="n">
        <f aca="false">(1-lag)*G303+lag*F303-inv_k*(G303-F303)</f>
        <v>1.44738633286075</v>
      </c>
      <c r="H304" s="8" t="n">
        <f aca="false">(1-lag)*H303+lag*G303-inv_k*(H303-G303)</f>
        <v>1.57923001577265</v>
      </c>
      <c r="I304" s="8" t="n">
        <f aca="false">(1-lag)*I303+lag*H303-inv_k*(I303-H303)</f>
        <v>1.52701950239187</v>
      </c>
    </row>
    <row r="305" customFormat="false" ht="17.15" hidden="false" customHeight="false" outlineLevel="0" collapsed="false">
      <c r="A305" s="0" t="s">
        <v>1687</v>
      </c>
      <c r="B305" s="0" t="s">
        <v>1394</v>
      </c>
      <c r="D305" s="8" t="str">
        <f aca="false">""</f>
        <v/>
      </c>
      <c r="E305" s="8" t="n">
        <f aca="false">(5/12*cap2_orcl_2025+7/12*gcap_orcl_2026)*ai_sh</f>
        <v>35.1132166666667</v>
      </c>
      <c r="F305" s="8" t="n">
        <f aca="false">(5/12*gcap_orcl_2026+7/12*gcap_orcl_2027)*ai_sh</f>
        <v>65.5785625</v>
      </c>
      <c r="G305" s="8" t="n">
        <f aca="false">(5/12*gcap_orcl_2027+7/12*gcap_orcl_2028)*ai_sh</f>
        <v>75.599189975</v>
      </c>
      <c r="H305" s="8" t="n">
        <f aca="false">(5/12*gcap_orcl_2028+7/12*gcap_orcl_2029)*ai_sh</f>
        <v>49.4435487791667</v>
      </c>
      <c r="I305" s="8" t="n">
        <f aca="false">(5/12*gcap_orcl_2029+7/12*gcap_orcl_2030)*ai_sh</f>
        <v>23.382754125</v>
      </c>
    </row>
    <row r="306" customFormat="false" ht="17.15" hidden="false" customHeight="false" outlineLevel="0" collapsed="false">
      <c r="A306" s="0" t="s">
        <v>1688</v>
      </c>
      <c r="B306" s="0" t="s">
        <v>1390</v>
      </c>
      <c r="D306" s="8" t="n">
        <f aca="false">IF(ISNUMBER(D305),(pit_orcl_2024/(pit_orcl_2024+pfac_orcl_2024)*D305+pfac_orcl_2024/(pit_orcl_2024+pfac_orcl_2024)*IF(AND(ISNUMBER(""),ISNUMBER("")),wb1_lo*""+wb2_lo*"",IF(ISNUMBER(""),"",D305)))/(pit_orcl_2024+pfac_orcl_2024),site_orcl_2024)</f>
        <v>0</v>
      </c>
      <c r="E306" s="8" t="n">
        <f aca="false">IF(ISNUMBER(E305),(pit_orcl_2025/(pit_orcl_2025+pfac_orcl_2025)*E305+pfac_orcl_2025/(pit_orcl_2025+pfac_orcl_2025)*IF(AND(ISNUMBER(D305),ISNUMBER("")),wb1_lo*D305+wb2_lo*"",IF(ISNUMBER(D305),D305,E305)))/(pit_orcl_2025+pfac_orcl_2025),site_orcl_2025)</f>
        <v>0.885776418247532</v>
      </c>
      <c r="F306" s="8" t="n">
        <f aca="false">IF(ISNUMBER(F305),(pit_orcl_2026/(pit_orcl_2026+pfac_orcl_2026)*F305+pfac_orcl_2026/(pit_orcl_2026+pfac_orcl_2026)*IF(AND(ISNUMBER(E305),ISNUMBER(D305)),wb1_lo*E305+wb2_lo*D305,IF(ISNUMBER(E305),E305,F305)))/(pit_orcl_2026+pfac_orcl_2026),site_orcl_2026)</f>
        <v>1.26669929939621</v>
      </c>
      <c r="G306" s="8" t="n">
        <f aca="false">IF(ISNUMBER(G305),(pit_orcl_2027/(pit_orcl_2027+pfac_orcl_2027)*G305+pfac_orcl_2027/(pit_orcl_2027+pfac_orcl_2027)*IF(AND(ISNUMBER(F305),ISNUMBER(E305)),wb1_lo*F305+wb2_lo*E305,IF(ISNUMBER(F305),F305,G305)))/(pit_orcl_2027+pfac_orcl_2027),site_orcl_2027)</f>
        <v>1.49964671900717</v>
      </c>
      <c r="H306" s="8" t="n">
        <f aca="false">IF(ISNUMBER(H305),(pit_orcl_2028/(pit_orcl_2028+pfac_orcl_2028)*H305+pfac_orcl_2028/(pit_orcl_2028+pfac_orcl_2028)*IF(AND(ISNUMBER(G305),ISNUMBER(F305)),wb1_lo*G305+wb2_lo*F305,IF(ISNUMBER(G305),G305,H305)))/(pit_orcl_2028+pfac_orcl_2028),site_orcl_2028)</f>
        <v>1.09269048431269</v>
      </c>
      <c r="I306" s="8" t="n">
        <f aca="false">IF(ISNUMBER(I305),(pit_orcl_2029/(pit_orcl_2029+pfac_orcl_2029)*I305+pfac_orcl_2029/(pit_orcl_2029+pfac_orcl_2029)*IF(AND(ISNUMBER(H305),ISNUMBER(G305)),wb1_lo*H305+wb2_lo*G305,IF(ISNUMBER(H305),H305,I305)))/(pit_orcl_2029+pfac_orcl_2029),site_orcl_2029)</f>
        <v>0.581200237662124</v>
      </c>
    </row>
    <row r="307" customFormat="false" ht="17.15" hidden="false" customHeight="false" outlineLevel="0" collapsed="false">
      <c r="A307" s="0" t="s">
        <v>1689</v>
      </c>
      <c r="B307" s="0" t="s">
        <v>1392</v>
      </c>
      <c r="E307" s="8" t="n">
        <f aca="false">(1-lag)*E306+lag*D306-inv_k*(E306-D306)</f>
        <v>0.465032619579954</v>
      </c>
      <c r="F307" s="8" t="n">
        <f aca="false">(1-lag)*F306+lag*E306-inv_k*(F306-E306)</f>
        <v>1.08576093085059</v>
      </c>
      <c r="G307" s="8" t="n">
        <f aca="false">(1-lag)*G306+lag*F306-inv_k*(G306-F306)</f>
        <v>1.38899669469197</v>
      </c>
      <c r="H307" s="8" t="n">
        <f aca="false">(1-lag)*H306+lag*G306-inv_k*(H306-G306)</f>
        <v>1.28599469579257</v>
      </c>
      <c r="I307" s="8" t="n">
        <f aca="false">(1-lag)*I306+lag*H306-inv_k*(I306-H306)</f>
        <v>0.824158104821142</v>
      </c>
    </row>
    <row r="308" customFormat="false" ht="17.15" hidden="false" customHeight="false" outlineLevel="0" collapsed="false">
      <c r="A308" s="0" t="s">
        <v>1690</v>
      </c>
      <c r="B308" s="0" t="s">
        <v>1398</v>
      </c>
      <c r="E308" s="8" t="n">
        <f aca="false">E307*(1-nnv_orcl_2025)</f>
        <v>0.354257168032127</v>
      </c>
      <c r="F308" s="8" t="n">
        <f aca="false">F307*(1-nnv_orcl_2026)</f>
        <v>0.827121746578734</v>
      </c>
      <c r="G308" s="8" t="n">
        <f aca="false">G307*(1-nnv_orcl_2027)</f>
        <v>1.0096591107773</v>
      </c>
      <c r="H308" s="8" t="n">
        <f aca="false">H307*(1-nnv_orcl_2028)</f>
        <v>0.939263010505344</v>
      </c>
      <c r="I308" s="8" t="n">
        <f aca="false">I307*(1-nnv_orcl_2029)</f>
        <v>0.599832562910871</v>
      </c>
    </row>
    <row r="309" customFormat="false" ht="17.15" hidden="false" customHeight="false" outlineLevel="0" collapsed="false">
      <c r="A309" s="0" t="s">
        <v>1691</v>
      </c>
      <c r="B309" s="0" t="s">
        <v>1400</v>
      </c>
      <c r="D309" s="8" t="n">
        <f aca="false">site_orcl_2024</f>
        <v>0</v>
      </c>
      <c r="E309" s="8" t="n">
        <f aca="false">site_orcl_2025</f>
        <v>0.816405</v>
      </c>
      <c r="F309" s="8" t="n">
        <f aca="false">site_orcl_2026</f>
        <v>1.54613</v>
      </c>
      <c r="G309" s="8" t="n">
        <f aca="false">site_orcl_2027</f>
        <v>0.944166666666667</v>
      </c>
      <c r="H309" s="8" t="n">
        <f aca="false">site_orcl_2028</f>
        <v>4.91166666666667</v>
      </c>
      <c r="I309" s="8" t="n">
        <f aca="false">site_orcl_2029</f>
        <v>0</v>
      </c>
    </row>
    <row r="310" customFormat="false" ht="17.15" hidden="false" customHeight="false" outlineLevel="0" collapsed="false">
      <c r="A310" s="0" t="s">
        <v>1692</v>
      </c>
      <c r="B310" s="0" t="s">
        <v>1402</v>
      </c>
      <c r="D310" s="8" t="n">
        <f aca="false">main_orcl_2024</f>
        <v>0</v>
      </c>
      <c r="E310" s="8" t="n">
        <f aca="false">main_orcl_2025</f>
        <v>0.816405</v>
      </c>
      <c r="F310" s="8" t="n">
        <f aca="false">main_orcl_2026</f>
        <v>1.54613</v>
      </c>
      <c r="G310" s="8" t="n">
        <f aca="false">main_orcl_2027</f>
        <v>1.53296918960021</v>
      </c>
      <c r="H310" s="8" t="n">
        <f aca="false">main_orcl_2028</f>
        <v>1.51024789659781</v>
      </c>
      <c r="I310" s="8" t="n">
        <f aca="false">main_orcl_2029</f>
        <v>1.51737350859666</v>
      </c>
    </row>
    <row r="311" customFormat="false" ht="17.15" hidden="false" customHeight="false" outlineLevel="0" collapsed="false">
      <c r="A311" s="0" t="s">
        <v>1693</v>
      </c>
      <c r="B311" s="0" t="s">
        <v>1404</v>
      </c>
      <c r="D311" s="8" t="str">
        <f aca="false">IF(ISNUMBER(ai2_crwv_2024),ai2_crwv_2024,"")</f>
        <v/>
      </c>
      <c r="E311" s="8" t="str">
        <f aca="false">IF(ISNUMBER(ai2_crwv_2025),ai2_crwv_2025,"")</f>
        <v/>
      </c>
      <c r="F311" s="8" t="n">
        <f aca="false">IF(ISNUMBER(ai2_crwv_2026),ai2_crwv_2026,"")</f>
        <v>31.45</v>
      </c>
      <c r="G311" s="8" t="n">
        <f aca="false">IF(ISNUMBER(ai2_crwv_2027),ai2_crwv_2027,"")</f>
        <v>39.5046</v>
      </c>
      <c r="H311" s="8" t="n">
        <f aca="false">IF(ISNUMBER(ai2_crwv_2028),ai2_crwv_2028,"")</f>
        <v>42.60965</v>
      </c>
      <c r="I311" s="8" t="n">
        <f aca="false">IF(ISNUMBER(ai2_crwv_2029),ai2_crwv_2029,"")</f>
        <v>46.870615</v>
      </c>
    </row>
    <row r="312" customFormat="false" ht="17.15" hidden="false" customHeight="false" outlineLevel="0" collapsed="false">
      <c r="A312" s="0" t="s">
        <v>1694</v>
      </c>
      <c r="B312" s="0" t="s">
        <v>1406</v>
      </c>
      <c r="D312" s="8" t="n">
        <f aca="false">IF(ISNUMBER(D311),(pit_crwv_2024/(pit_crwv_2024+pfac_crwv_2024)*D311+pfac_crwv_2024/(pit_crwv_2024+pfac_crwv_2024)*IF(AND(ISNUMBER(""),ISNUMBER("")),wb1_lo*""+wb2_lo*"",IF(ISNUMBER(""),"",D311)))/(pit_crwv_2024+pfac_crwv_2024),site_crwv_2024)</f>
        <v>0.29</v>
      </c>
      <c r="E312" s="8" t="n">
        <f aca="false">IF(ISNUMBER(E311),(pit_crwv_2025/(pit_crwv_2025+pfac_crwv_2025)*E311+pfac_crwv_2025/(pit_crwv_2025+pfac_crwv_2025)*IF(AND(ISNUMBER(D311),ISNUMBER("")),wb1_lo*D311+wb2_lo*"",IF(ISNUMBER(D311),D311,E311)))/(pit_crwv_2025+pfac_crwv_2025),site_crwv_2025)</f>
        <v>0.49</v>
      </c>
      <c r="F312" s="8" t="n">
        <f aca="false">IF(ISNUMBER(F311),(pit_crwv_2026/(pit_crwv_2026+pfac_crwv_2026)*F311+pfac_crwv_2026/(pit_crwv_2026+pfac_crwv_2026)*IF(AND(ISNUMBER(E311),ISNUMBER(D311)),wb1_lo*E311+wb2_lo*D311,IF(ISNUMBER(E311),E311,F311)))/(pit_crwv_2026+pfac_crwv_2026),site_crwv_2026)</f>
        <v>0.6824489639016</v>
      </c>
      <c r="G312" s="8" t="n">
        <f aca="false">IF(ISNUMBER(G311),(pit_crwv_2027/(pit_crwv_2027+pfac_crwv_2027)*G311+pfac_crwv_2027/(pit_crwv_2027+pfac_crwv_2027)*IF(AND(ISNUMBER(F311),ISNUMBER(E311)),wb1_lo*F311+wb2_lo*E311,IF(ISNUMBER(F311),F311,G311)))/(pit_crwv_2027+pfac_crwv_2027),site_crwv_2027)</f>
        <v>0.735222622408663</v>
      </c>
      <c r="H312" s="8" t="n">
        <f aca="false">IF(ISNUMBER(H311),(pit_crwv_2028/(pit_crwv_2028+pfac_crwv_2028)*H311+pfac_crwv_2028/(pit_crwv_2028+pfac_crwv_2028)*IF(AND(ISNUMBER(G311),ISNUMBER(F311)),wb1_lo*G311+wb2_lo*F311,IF(ISNUMBER(G311),G311,H311)))/(pit_crwv_2028+pfac_crwv_2028),site_crwv_2028)</f>
        <v>0.775539185621653</v>
      </c>
      <c r="I312" s="8" t="n">
        <f aca="false">IF(ISNUMBER(I311),(pit_crwv_2029/(pit_crwv_2029+pfac_crwv_2029)*I311+pfac_crwv_2029/(pit_crwv_2029+pfac_crwv_2029)*IF(AND(ISNUMBER(H311),ISNUMBER(G311)),wb1_lo*H311+wb2_lo*G311,IF(ISNUMBER(H311),H311,I311)))/(pit_crwv_2029+pfac_crwv_2029),site_crwv_2029)</f>
        <v>0.849420160073554</v>
      </c>
    </row>
    <row r="313" customFormat="false" ht="17.15" hidden="false" customHeight="false" outlineLevel="0" collapsed="false">
      <c r="A313" s="0" t="s">
        <v>1695</v>
      </c>
      <c r="B313" s="0" t="s">
        <v>1408</v>
      </c>
      <c r="E313" s="8" t="n">
        <f aca="false">(1-lag)*E312+lag*D312-inv_k*(E312-D312)</f>
        <v>0.395</v>
      </c>
      <c r="F313" s="8" t="n">
        <f aca="false">(1-lag)*F312+lag*E312-inv_k*(F312-E312)</f>
        <v>0.59103570604834</v>
      </c>
      <c r="G313" s="8" t="n">
        <f aca="false">(1-lag)*G312+lag*F312-inv_k*(G312-F312)</f>
        <v>0.710155134617808</v>
      </c>
      <c r="H313" s="8" t="n">
        <f aca="false">(1-lag)*H312+lag*G312-inv_k*(H312-G312)</f>
        <v>0.756388818095483</v>
      </c>
      <c r="I313" s="8" t="n">
        <f aca="false">(1-lag)*I312+lag*H312-inv_k*(I312-H312)</f>
        <v>0.814326697208901</v>
      </c>
    </row>
    <row r="314" customFormat="false" ht="17.15" hidden="false" customHeight="false" outlineLevel="0" collapsed="false">
      <c r="A314" s="0" t="s">
        <v>1696</v>
      </c>
      <c r="B314" s="0" t="s">
        <v>1410</v>
      </c>
      <c r="D314" s="8" t="str">
        <f aca="false">""</f>
        <v/>
      </c>
      <c r="E314" s="8" t="str">
        <f aca="false">""</f>
        <v/>
      </c>
      <c r="F314" s="8" t="n">
        <f aca="false">gcap_crwv_2026*ai_sh</f>
        <v>28.0313</v>
      </c>
      <c r="G314" s="8" t="n">
        <f aca="false">gcap_crwv_2027*ai_sh</f>
        <v>33.45858485</v>
      </c>
      <c r="H314" s="8" t="n">
        <f aca="false">gcap_crwv_2028*ai_sh</f>
        <v>27.6353649</v>
      </c>
      <c r="I314" s="8" t="n">
        <f aca="false">gcap_crwv_2029*ai_sh</f>
        <v>27.7951071</v>
      </c>
    </row>
    <row r="315" customFormat="false" ht="17.15" hidden="false" customHeight="false" outlineLevel="0" collapsed="false">
      <c r="A315" s="0" t="s">
        <v>1697</v>
      </c>
      <c r="B315" s="0" t="s">
        <v>1406</v>
      </c>
      <c r="D315" s="8" t="n">
        <f aca="false">IF(ISNUMBER(D314),(pit_crwv_2024/(pit_crwv_2024+pfac_crwv_2024)*D314+pfac_crwv_2024/(pit_crwv_2024+pfac_crwv_2024)*IF(AND(ISNUMBER(""),ISNUMBER("")),wb1_lo*""+wb2_lo*"",IF(ISNUMBER(""),"",D314)))/(pit_crwv_2024+pfac_crwv_2024),site_crwv_2024)</f>
        <v>0.29</v>
      </c>
      <c r="E315" s="8" t="n">
        <f aca="false">IF(ISNUMBER(E314),(pit_crwv_2025/(pit_crwv_2025+pfac_crwv_2025)*E314+pfac_crwv_2025/(pit_crwv_2025+pfac_crwv_2025)*IF(AND(ISNUMBER(D314),ISNUMBER("")),wb1_lo*D314+wb2_lo*"",IF(ISNUMBER(D314),D314,E314)))/(pit_crwv_2025+pfac_crwv_2025),site_crwv_2025)</f>
        <v>0.49</v>
      </c>
      <c r="F315" s="8" t="n">
        <f aca="false">IF(ISNUMBER(F314),(pit_crwv_2026/(pit_crwv_2026+pfac_crwv_2026)*F314+pfac_crwv_2026/(pit_crwv_2026+pfac_crwv_2026)*IF(AND(ISNUMBER(E314),ISNUMBER(D314)),wb1_lo*E314+wb2_lo*D314,IF(ISNUMBER(E314),E314,F314)))/(pit_crwv_2026+pfac_crwv_2026),site_crwv_2026)</f>
        <v>0.608264917068837</v>
      </c>
      <c r="G315" s="8" t="n">
        <f aca="false">IF(ISNUMBER(G314),(pit_crwv_2027/(pit_crwv_2027+pfac_crwv_2027)*G314+pfac_crwv_2027/(pit_crwv_2027+pfac_crwv_2027)*IF(AND(ISNUMBER(F314),ISNUMBER(E314)),wb1_lo*F314+wb2_lo*E314,IF(ISNUMBER(F314),F314,G314)))/(pit_crwv_2027+pfac_crwv_2027),site_crwv_2027)</f>
        <v>0.629490424531811</v>
      </c>
      <c r="H315" s="8" t="n">
        <f aca="false">IF(ISNUMBER(H314),(pit_crwv_2028/(pit_crwv_2028+pfac_crwv_2028)*H314+pfac_crwv_2028/(pit_crwv_2028+pfac_crwv_2028)*IF(AND(ISNUMBER(G314),ISNUMBER(F314)),wb1_lo*G314+wb2_lo*F314,IF(ISNUMBER(G314),G314,H314)))/(pit_crwv_2028+pfac_crwv_2028),site_crwv_2028)</f>
        <v>0.537040574181456</v>
      </c>
      <c r="I315" s="8" t="n">
        <f aca="false">IF(ISNUMBER(I314),(pit_crwv_2029/(pit_crwv_2029+pfac_crwv_2029)*I314+pfac_crwv_2029/(pit_crwv_2029+pfac_crwv_2029)*IF(AND(ISNUMBER(H314),ISNUMBER(G314)),wb1_lo*H314+wb2_lo*G314,IF(ISNUMBER(H314),H314,I314)))/(pit_crwv_2029+pfac_crwv_2029),site_crwv_2029)</f>
        <v>0.51400521323629</v>
      </c>
    </row>
    <row r="316" customFormat="false" ht="17.15" hidden="false" customHeight="false" outlineLevel="0" collapsed="false">
      <c r="A316" s="0" t="s">
        <v>1698</v>
      </c>
      <c r="B316" s="0" t="s">
        <v>1408</v>
      </c>
      <c r="E316" s="8" t="n">
        <f aca="false">(1-lag)*E315+lag*D315-inv_k*(E315-D315)</f>
        <v>0.395</v>
      </c>
      <c r="F316" s="8" t="n">
        <f aca="false">(1-lag)*F315+lag*E315-inv_k*(F315-E315)</f>
        <v>0.552089081461139</v>
      </c>
      <c r="G316" s="8" t="n">
        <f aca="false">(1-lag)*G315+lag*F315-inv_k*(G315-F315)</f>
        <v>0.619408308486898</v>
      </c>
      <c r="H316" s="8" t="n">
        <f aca="false">(1-lag)*H315+lag*G315-inv_k*(H315-G315)</f>
        <v>0.580954253097875</v>
      </c>
      <c r="I316" s="8" t="n">
        <f aca="false">(1-lag)*I315+lag*H315-inv_k*(I315-H315)</f>
        <v>0.524947009685244</v>
      </c>
    </row>
    <row r="317" customFormat="false" ht="17.15" hidden="false" customHeight="false" outlineLevel="0" collapsed="false">
      <c r="A317" s="0" t="s">
        <v>1699</v>
      </c>
      <c r="B317" s="0" t="s">
        <v>1414</v>
      </c>
      <c r="E317" s="8" t="n">
        <f aca="false">E316*(1-nnv_crwv_2025)</f>
        <v>0.395</v>
      </c>
      <c r="F317" s="8" t="n">
        <f aca="false">F316*(1-nnv_crwv_2026)</f>
        <v>0.552089081461139</v>
      </c>
      <c r="G317" s="8" t="n">
        <f aca="false">G316*(1-nnv_crwv_2027)</f>
        <v>0.619408308486898</v>
      </c>
      <c r="H317" s="8" t="n">
        <f aca="false">H316*(1-nnv_crwv_2028)</f>
        <v>0.580954253097875</v>
      </c>
      <c r="I317" s="8" t="n">
        <f aca="false">I316*(1-nnv_crwv_2029)</f>
        <v>0.524947009685244</v>
      </c>
    </row>
    <row r="318" customFormat="false" ht="17.15" hidden="false" customHeight="false" outlineLevel="0" collapsed="false">
      <c r="A318" s="0" t="s">
        <v>1700</v>
      </c>
      <c r="B318" s="0" t="s">
        <v>1416</v>
      </c>
      <c r="D318" s="8" t="n">
        <f aca="false">site_crwv_2024</f>
        <v>0.29</v>
      </c>
      <c r="E318" s="8" t="n">
        <f aca="false">site_crwv_2025</f>
        <v>0.49</v>
      </c>
      <c r="F318" s="8" t="n">
        <f aca="false">site_crwv_2026</f>
        <v>1</v>
      </c>
      <c r="G318" s="8" t="n">
        <f aca="false">site_crwv_2027</f>
        <v>1.5375</v>
      </c>
      <c r="H318" s="8" t="n">
        <f aca="false">site_crwv_2028</f>
        <v>1.5375</v>
      </c>
      <c r="I318" s="8" t="n">
        <f aca="false">site_crwv_2029</f>
        <v>1.5375</v>
      </c>
    </row>
    <row r="319" customFormat="false" ht="17.15" hidden="false" customHeight="false" outlineLevel="0" collapsed="false">
      <c r="A319" s="0" t="s">
        <v>1701</v>
      </c>
      <c r="B319" s="0" t="s">
        <v>1418</v>
      </c>
      <c r="D319" s="8" t="n">
        <f aca="false">main_crwv_2024</f>
        <v>0.29</v>
      </c>
      <c r="E319" s="8" t="n">
        <f aca="false">main_crwv_2025</f>
        <v>0.49</v>
      </c>
      <c r="F319" s="8" t="n">
        <f aca="false">main_crwv_2026</f>
        <v>1</v>
      </c>
      <c r="G319" s="8" t="n">
        <f aca="false">main_crwv_2027</f>
        <v>1.5375</v>
      </c>
      <c r="H319" s="8" t="n">
        <f aca="false">main_crwv_2028</f>
        <v>0.758042293208187</v>
      </c>
      <c r="I319" s="8" t="n">
        <f aca="false">main_crwv_2029</f>
        <v>0.842675104355277</v>
      </c>
    </row>
    <row r="320" customFormat="false" ht="17.15" hidden="false" customHeight="false" outlineLevel="0" collapsed="false">
      <c r="A320" s="0" t="s">
        <v>1702</v>
      </c>
      <c r="B320" s="0" t="s">
        <v>1420</v>
      </c>
      <c r="D320" s="8" t="str">
        <f aca="false">IF(ISNUMBER(ai2_nbis_2024),ai2_nbis_2024,"")</f>
        <v/>
      </c>
      <c r="E320" s="8" t="n">
        <f aca="false">IF(ISNUMBER(ai2_nbis_2025),ai2_nbis_2025,"")</f>
        <v>3.4561</v>
      </c>
      <c r="F320" s="8" t="n">
        <f aca="false">IF(ISNUMBER(ai2_nbis_2026),ai2_nbis_2026,"")</f>
        <v>19.125</v>
      </c>
      <c r="G320" s="8" t="n">
        <f aca="false">IF(ISNUMBER(ai2_nbis_2027),ai2_nbis_2027,"")</f>
        <v>23.15655</v>
      </c>
      <c r="H320" s="8" t="n">
        <f aca="false">IF(ISNUMBER(ai2_nbis_2028),ai2_nbis_2028,"")</f>
        <v>32.6315</v>
      </c>
      <c r="I320" s="8" t="n">
        <f aca="false">IF(ISNUMBER(ai2_nbis_2029),ai2_nbis_2029,"")</f>
        <v>35.89465</v>
      </c>
    </row>
    <row r="321" customFormat="false" ht="17.15" hidden="false" customHeight="false" outlineLevel="0" collapsed="false">
      <c r="A321" s="0" t="s">
        <v>1703</v>
      </c>
      <c r="B321" s="0" t="s">
        <v>1422</v>
      </c>
      <c r="D321" s="8" t="n">
        <f aca="false">IF(ISNUMBER(D320),(pit_nbis_2024/(pit_nbis_2024+pfac_nbis_2024)*D320+pfac_nbis_2024/(pit_nbis_2024+pfac_nbis_2024)*IF(AND(ISNUMBER(""),ISNUMBER("")),wb1_lo*""+wb2_lo*"",IF(ISNUMBER(""),"",D320)))/(pit_nbis_2024+pfac_nbis_2024),site_nbis_2024)</f>
        <v>0</v>
      </c>
      <c r="E321" s="8" t="n">
        <f aca="false">IF(ISNUMBER(E320),(pit_nbis_2025/(pit_nbis_2025+pfac_nbis_2025)*E320+pfac_nbis_2025/(pit_nbis_2025+pfac_nbis_2025)*IF(AND(ISNUMBER(D320),ISNUMBER("")),wb1_lo*D320+wb2_lo*"",IF(ISNUMBER(D320),D320,E320)))/(pit_nbis_2025+pfac_nbis_2025),site_nbis_2025)</f>
        <v>0.0893531926088847</v>
      </c>
      <c r="F321" s="8" t="n">
        <f aca="false">IF(ISNUMBER(F320),(pit_nbis_2026/(pit_nbis_2026+pfac_nbis_2026)*F320+pfac_nbis_2026/(pit_nbis_2026+pfac_nbis_2026)*IF(AND(ISNUMBER(E320),ISNUMBER(D320)),wb1_lo*E320+wb2_lo*D320,IF(ISNUMBER(E320),E320,F320)))/(pit_nbis_2026+pfac_nbis_2026),site_nbis_2026)</f>
        <v>0.321523721659491</v>
      </c>
      <c r="G321" s="8" t="n">
        <f aca="false">IF(ISNUMBER(G320),(pit_nbis_2027/(pit_nbis_2027+pfac_nbis_2027)*G320+pfac_nbis_2027/(pit_nbis_2027+pfac_nbis_2027)*IF(AND(ISNUMBER(F320),ISNUMBER(E320)),wb1_lo*F320+wb2_lo*E320,IF(ISNUMBER(F320),F320,G320)))/(pit_nbis_2027+pfac_nbis_2027),site_nbis_2027)</f>
        <v>0.434327021988487</v>
      </c>
      <c r="H321" s="8" t="n">
        <f aca="false">IF(ISNUMBER(H320),(pit_nbis_2028/(pit_nbis_2028+pfac_nbis_2028)*H320+pfac_nbis_2028/(pit_nbis_2028+pfac_nbis_2028)*IF(AND(ISNUMBER(G320),ISNUMBER(F320)),wb1_lo*G320+wb2_lo*F320,IF(ISNUMBER(G320),G320,H320)))/(pit_nbis_2028+pfac_nbis_2028),site_nbis_2028)</f>
        <v>0.563093112571118</v>
      </c>
      <c r="I321" s="8" t="n">
        <f aca="false">IF(ISNUMBER(I320),(pit_nbis_2029/(pit_nbis_2029+pfac_nbis_2029)*I320+pfac_nbis_2029/(pit_nbis_2029+pfac_nbis_2029)*IF(AND(ISNUMBER(H320),ISNUMBER(G320)),wb1_lo*H320+wb2_lo*G320,IF(ISNUMBER(H320),H320,I320)))/(pit_nbis_2029+pfac_nbis_2029),site_nbis_2029)</f>
        <v>0.650506492154715</v>
      </c>
    </row>
    <row r="322" customFormat="false" ht="17.15" hidden="false" customHeight="false" outlineLevel="0" collapsed="false">
      <c r="A322" s="0" t="s">
        <v>1704</v>
      </c>
      <c r="B322" s="0" t="s">
        <v>1424</v>
      </c>
      <c r="E322" s="8" t="n">
        <f aca="false">(1-lag)*E321+lag*D321-inv_k*(E321-D321)</f>
        <v>0.0469104261196645</v>
      </c>
      <c r="F322" s="8" t="n">
        <f aca="false">(1-lag)*F321+lag*E321-inv_k*(F321-E321)</f>
        <v>0.211242720360453</v>
      </c>
      <c r="G322" s="8" t="n">
        <f aca="false">(1-lag)*G321+lag*F321-inv_k*(G321-F321)</f>
        <v>0.380745454332214</v>
      </c>
      <c r="H322" s="8" t="n">
        <f aca="false">(1-lag)*H321+lag*G321-inv_k*(H321-G321)</f>
        <v>0.501929219544368</v>
      </c>
      <c r="I322" s="8" t="n">
        <f aca="false">(1-lag)*I321+lag*H321-inv_k*(I321-H321)</f>
        <v>0.608985136852506</v>
      </c>
    </row>
    <row r="323" customFormat="false" ht="17.15" hidden="false" customHeight="false" outlineLevel="0" collapsed="false">
      <c r="A323" s="0" t="s">
        <v>1705</v>
      </c>
      <c r="B323" s="0" t="s">
        <v>1426</v>
      </c>
      <c r="D323" s="8" t="str">
        <f aca="false">""</f>
        <v/>
      </c>
      <c r="E323" s="8" t="n">
        <f aca="false">cap2_nbis_2025*ai_sh</f>
        <v>3.4561</v>
      </c>
      <c r="F323" s="8" t="n">
        <f aca="false">gcap_nbis_2026*ai_sh</f>
        <v>22.1392615</v>
      </c>
      <c r="G323" s="8" t="n">
        <f aca="false">gcap_nbis_2027*ai_sh</f>
        <v>23.45782145</v>
      </c>
      <c r="H323" s="8" t="n">
        <f aca="false">gcap_nbis_2028*ai_sh</f>
        <v>24.7763814</v>
      </c>
      <c r="I323" s="8" t="n">
        <f aca="false">gcap_nbis_2029*ai_sh</f>
        <v>24.7763814</v>
      </c>
    </row>
    <row r="324" customFormat="false" ht="17.15" hidden="false" customHeight="false" outlineLevel="0" collapsed="false">
      <c r="A324" s="0" t="s">
        <v>1706</v>
      </c>
      <c r="B324" s="0" t="s">
        <v>1422</v>
      </c>
      <c r="D324" s="8" t="n">
        <f aca="false">IF(ISNUMBER(D323),(pit_nbis_2024/(pit_nbis_2024+pfac_nbis_2024)*D323+pfac_nbis_2024/(pit_nbis_2024+pfac_nbis_2024)*IF(AND(ISNUMBER(""),ISNUMBER("")),wb1_lo*""+wb2_lo*"",IF(ISNUMBER(""),"",D323)))/(pit_nbis_2024+pfac_nbis_2024),site_nbis_2024)</f>
        <v>0</v>
      </c>
      <c r="E324" s="8" t="n">
        <f aca="false">IF(ISNUMBER(E323),(pit_nbis_2025/(pit_nbis_2025+pfac_nbis_2025)*E323+pfac_nbis_2025/(pit_nbis_2025+pfac_nbis_2025)*IF(AND(ISNUMBER(D323),ISNUMBER("")),wb1_lo*D323+wb2_lo*"",IF(ISNUMBER(D323),D323,E323)))/(pit_nbis_2025+pfac_nbis_2025),site_nbis_2025)</f>
        <v>0.0893531926088847</v>
      </c>
      <c r="F324" s="8" t="n">
        <f aca="false">IF(ISNUMBER(F323),(pit_nbis_2026/(pit_nbis_2026+pfac_nbis_2026)*F323+pfac_nbis_2026/(pit_nbis_2026+pfac_nbis_2026)*IF(AND(ISNUMBER(E323),ISNUMBER(D323)),wb1_lo*E323+wb2_lo*D323,IF(ISNUMBER(E323),E323,F323)))/(pit_nbis_2026+pfac_nbis_2026),site_nbis_2026)</f>
        <v>0.368948888862446</v>
      </c>
      <c r="G324" s="8" t="n">
        <f aca="false">IF(ISNUMBER(G323),(pit_nbis_2027/(pit_nbis_2027+pfac_nbis_2027)*G323+pfac_nbis_2027/(pit_nbis_2027+pfac_nbis_2027)*IF(AND(ISNUMBER(F323),ISNUMBER(E323)),wb1_lo*F323+wb2_lo*E323,IF(ISNUMBER(F323),F323,G323)))/(pit_nbis_2027+pfac_nbis_2027),site_nbis_2027)</f>
        <v>0.453443245801974</v>
      </c>
      <c r="H324" s="8" t="n">
        <f aca="false">IF(ISNUMBER(H323),(pit_nbis_2028/(pit_nbis_2028+pfac_nbis_2028)*H323+pfac_nbis_2028/(pit_nbis_2028+pfac_nbis_2028)*IF(AND(ISNUMBER(G323),ISNUMBER(F323)),wb1_lo*G323+wb2_lo*F323,IF(ISNUMBER(G323),G323,H323)))/(pit_nbis_2028+pfac_nbis_2028),site_nbis_2028)</f>
        <v>0.45307103208757</v>
      </c>
      <c r="I324" s="8" t="n">
        <f aca="false">IF(ISNUMBER(I323),(pit_nbis_2029/(pit_nbis_2029+pfac_nbis_2029)*I323+pfac_nbis_2029/(pit_nbis_2029+pfac_nbis_2029)*IF(AND(ISNUMBER(H323),ISNUMBER(G323)),wb1_lo*H323+wb2_lo*G323,IF(ISNUMBER(H323),H323,I323)))/(pit_nbis_2029+pfac_nbis_2029),site_nbis_2029)</f>
        <v>0.458799609940189</v>
      </c>
    </row>
    <row r="325" customFormat="false" ht="17.15" hidden="false" customHeight="false" outlineLevel="0" collapsed="false">
      <c r="A325" s="0" t="s">
        <v>1707</v>
      </c>
      <c r="B325" s="0" t="s">
        <v>1424</v>
      </c>
      <c r="E325" s="8" t="n">
        <f aca="false">(1-lag)*E324+lag*D324-inv_k*(E324-D324)</f>
        <v>0.0469104261196644</v>
      </c>
      <c r="F325" s="8" t="n">
        <f aca="false">(1-lag)*F324+lag*E324-inv_k*(F324-E324)</f>
        <v>0.236140933142005</v>
      </c>
      <c r="G325" s="8" t="n">
        <f aca="false">(1-lag)*G324+lag*F324-inv_k*(G324-F324)</f>
        <v>0.413308426255698</v>
      </c>
      <c r="H325" s="8" t="n">
        <f aca="false">(1-lag)*H324+lag*G324-inv_k*(H324-G324)</f>
        <v>0.453247833601912</v>
      </c>
      <c r="I325" s="8" t="n">
        <f aca="false">(1-lag)*I324+lag*H324-inv_k*(I324-H324)</f>
        <v>0.456078535460195</v>
      </c>
    </row>
    <row r="326" customFormat="false" ht="17.15" hidden="false" customHeight="false" outlineLevel="0" collapsed="false">
      <c r="A326" s="0" t="s">
        <v>1708</v>
      </c>
      <c r="B326" s="0" t="s">
        <v>1430</v>
      </c>
      <c r="E326" s="8" t="n">
        <f aca="false">E325*(1-nnv_nbis_2025)</f>
        <v>0.0469104261196644</v>
      </c>
      <c r="F326" s="8" t="n">
        <f aca="false">F325*(1-nnv_nbis_2026)</f>
        <v>0.236140933142005</v>
      </c>
      <c r="G326" s="8" t="n">
        <f aca="false">G325*(1-nnv_nbis_2027)</f>
        <v>0.413308426255698</v>
      </c>
      <c r="H326" s="8" t="n">
        <f aca="false">H325*(1-nnv_nbis_2028)</f>
        <v>0.453247833601912</v>
      </c>
      <c r="I326" s="8" t="n">
        <f aca="false">I325*(1-nnv_nbis_2029)</f>
        <v>0.456078535460195</v>
      </c>
    </row>
    <row r="327" customFormat="false" ht="17.15" hidden="false" customHeight="false" outlineLevel="0" collapsed="false">
      <c r="A327" s="0" t="s">
        <v>1709</v>
      </c>
      <c r="B327" s="0" t="s">
        <v>1432</v>
      </c>
      <c r="D327" s="8" t="n">
        <f aca="false">site_nbis_2024</f>
        <v>0</v>
      </c>
      <c r="E327" s="8" t="n">
        <f aca="false">site_nbis_2025</f>
        <v>0</v>
      </c>
      <c r="F327" s="8" t="n">
        <f aca="false">site_nbis_2026</f>
        <v>0.73</v>
      </c>
      <c r="G327" s="8" t="n">
        <f aca="false">site_nbis_2027</f>
        <v>0.403</v>
      </c>
      <c r="H327" s="8" t="n">
        <f aca="false">site_nbis_2028</f>
        <v>0</v>
      </c>
      <c r="I327" s="8" t="n">
        <f aca="false">site_nbis_2029</f>
        <v>0</v>
      </c>
    </row>
    <row r="328" customFormat="false" ht="17.15" hidden="false" customHeight="false" outlineLevel="0" collapsed="false">
      <c r="A328" s="0" t="s">
        <v>1710</v>
      </c>
      <c r="B328" s="0" t="s">
        <v>1434</v>
      </c>
      <c r="D328" s="8" t="n">
        <f aca="false">main_nbis_2024</f>
        <v>0</v>
      </c>
      <c r="E328" s="8" t="n">
        <f aca="false">main_nbis_2025</f>
        <v>0</v>
      </c>
      <c r="F328" s="8" t="n">
        <f aca="false">main_nbis_2026</f>
        <v>0.73</v>
      </c>
      <c r="G328" s="8" t="n">
        <f aca="false">main_nbis_2027</f>
        <v>0.396179366526544</v>
      </c>
      <c r="H328" s="8" t="n">
        <f aca="false">main_nbis_2028</f>
        <v>0.554335434150153</v>
      </c>
      <c r="I328" s="8" t="n">
        <f aca="false">main_nbis_2029</f>
        <v>0.629924193744744</v>
      </c>
    </row>
    <row r="329" customFormat="false" ht="17.15" hidden="false" customHeight="false" outlineLevel="0" collapsed="false">
      <c r="A329" s="0" t="s">
        <v>1711</v>
      </c>
      <c r="B329" s="0" t="s">
        <v>1436</v>
      </c>
      <c r="D329" s="8" t="str">
        <f aca="false">IF(ISNUMBER(gai_xai_2024),gai_xai_2024,"")</f>
        <v/>
      </c>
      <c r="E329" s="8" t="str">
        <f aca="false">IF(ISNUMBER(gai_xai_2025),gai_xai_2025,"")</f>
        <v/>
      </c>
      <c r="F329" s="8" t="n">
        <f aca="false">IF(ISNUMBER(gai_xai_2026),gai_xai_2026,"")</f>
        <v>74.058119</v>
      </c>
      <c r="G329" s="8" t="n">
        <f aca="false">IF(ISNUMBER(gai_xai_2027),gai_xai_2027,"")</f>
        <v>136.252477</v>
      </c>
      <c r="H329" s="8" t="n">
        <f aca="false">IF(ISNUMBER(gai_xai_2028),gai_xai_2028,"")</f>
        <v>144.12072</v>
      </c>
      <c r="I329" s="8" t="n">
        <f aca="false">IF(ISNUMBER(gai_xai_2029),gai_xai_2029,"")</f>
        <v>111.172527</v>
      </c>
    </row>
    <row r="330" customFormat="false" ht="17.15" hidden="false" customHeight="false" outlineLevel="0" collapsed="false">
      <c r="A330" s="0" t="s">
        <v>1712</v>
      </c>
      <c r="B330" s="0" t="s">
        <v>1438</v>
      </c>
      <c r="D330" s="8" t="n">
        <f aca="false">IF(ISNUMBER(D329),(pitN_2024/(pitN_2024+pfacN_2024)*D329+pfacN_2024/(pitN_2024+pfacN_2024)*IF(AND(ISNUMBER(""),ISNUMBER("")),wb1_lo*""+wb2_lo*"",IF(ISNUMBER(""),"",D329)))/(pitN_2024+pfacN_2024),site_xai_2024)</f>
        <v>0</v>
      </c>
      <c r="E330" s="8" t="n">
        <f aca="false">IF(ISNUMBER(E329),(pitN_2025/(pitN_2025+pfacN_2025)*E329+pfacN_2025/(pitN_2025+pfacN_2025)*IF(AND(ISNUMBER(D329),ISNUMBER("")),wb1_lo*D329+wb2_lo*"",IF(ISNUMBER(D329),D329,E329)))/(pitN_2025+pfacN_2025),site_xai_2025)</f>
        <v>0</v>
      </c>
      <c r="F330" s="8" t="n">
        <f aca="false">IF(ISNUMBER(F329),(pitN_2026/(pitN_2026+pfacN_2026)*F329+pfacN_2026/(pitN_2026+pfacN_2026)*IF(AND(ISNUMBER(E329),ISNUMBER(D329)),wb1_lo*E329+wb2_lo*D329,IF(ISNUMBER(E329),E329,F329)))/(pitN_2026+pfacN_2026),site_xai_2026)</f>
        <v>1.60702342066936</v>
      </c>
      <c r="G330" s="8" t="n">
        <f aca="false">IF(ISNUMBER(G329),(pitN_2027/(pitN_2027+pfacN_2027)*G329+pfacN_2027/(pitN_2027+pfacN_2027)*IF(AND(ISNUMBER(F329),ISNUMBER(E329)),wb1_lo*F329+wb2_lo*E329,IF(ISNUMBER(F329),F329,G329)))/(pitN_2027+pfacN_2027),site_xai_2027)</f>
        <v>2.36823509451502</v>
      </c>
      <c r="H330" s="8" t="n">
        <f aca="false">IF(ISNUMBER(H329),(pitN_2028/(pitN_2028+pfacN_2028)*H329+pfacN_2028/(pitN_2028+pfacN_2028)*IF(AND(ISNUMBER(G329),ISNUMBER(F329)),wb1_lo*G329+wb2_lo*F329,IF(ISNUMBER(G329),G329,H329)))/(pitN_2028+pfacN_2028),site_xai_2028)</f>
        <v>2.63458854981428</v>
      </c>
      <c r="I330" s="8" t="n">
        <f aca="false">IF(ISNUMBER(I329),(pitN_2029/(pitN_2029+pfacN_2029)*I329+pfacN_2029/(pitN_2029+pfacN_2029)*IF(AND(ISNUMBER(H329),ISNUMBER(G329)),wb1_lo*H329+wb2_lo*G329,IF(ISNUMBER(H329),H329,I329)))/(pitN_2029+pfacN_2029),site_xai_2029)</f>
        <v>2.2017963605066</v>
      </c>
    </row>
    <row r="331" customFormat="false" ht="17.15" hidden="false" customHeight="false" outlineLevel="0" collapsed="false">
      <c r="A331" s="0" t="s">
        <v>1713</v>
      </c>
      <c r="B331" s="0" t="s">
        <v>1440</v>
      </c>
      <c r="E331" s="8" t="n">
        <f aca="false">IF(ISNUMBER(gai_xai_2024),(1-lag)*E330+lag*D330-inv_k*(E330-D330),E330)</f>
        <v>0</v>
      </c>
      <c r="F331" s="8" t="n">
        <f aca="false">IF(ISNUMBER(gai_xai_2025),(1-lag)*F330+lag*E330-inv_k*(F330-E330),F330)</f>
        <v>1.60702342066936</v>
      </c>
      <c r="G331" s="8" t="n">
        <f aca="false">IF(ISNUMBER(gai_xai_2026),(1-lag)*G330+lag*F330-inv_k*(G330-F330),G330)</f>
        <v>2.00665954943833</v>
      </c>
      <c r="H331" s="8" t="n">
        <f aca="false">IF(ISNUMBER(gai_xai_2027),(1-lag)*H330+lag*G330-inv_k*(H330-G330),H330)</f>
        <v>2.50807065854713</v>
      </c>
      <c r="I331" s="8" t="n">
        <f aca="false">IF(ISNUMBER(gai_xai_2028),(1-lag)*I330+lag*H330-inv_k*(I330-H330),I330)</f>
        <v>2.40737265042775</v>
      </c>
    </row>
    <row r="332" customFormat="false" ht="17.15" hidden="false" customHeight="false" outlineLevel="0" collapsed="false">
      <c r="A332" s="0" t="s">
        <v>1714</v>
      </c>
      <c r="B332" s="0" t="s">
        <v>1442</v>
      </c>
      <c r="E332" s="8" t="n">
        <f aca="false">E331*(1-nnv_xai_2025)</f>
        <v>0</v>
      </c>
      <c r="F332" s="8" t="n">
        <f aca="false">F331*(1-nnv_xai_2026)</f>
        <v>1.60702342066936</v>
      </c>
      <c r="G332" s="8" t="n">
        <f aca="false">G331*(1-nnv_xai_2027)</f>
        <v>2.00665954943833</v>
      </c>
      <c r="H332" s="8" t="n">
        <f aca="false">H331*(1-nnv_xai_2028)</f>
        <v>2.50807065854713</v>
      </c>
      <c r="I332" s="8" t="n">
        <f aca="false">I331*(1-nnv_xai_2029)</f>
        <v>2.40737265042775</v>
      </c>
    </row>
    <row r="333" customFormat="false" ht="17.15" hidden="false" customHeight="false" outlineLevel="0" collapsed="false">
      <c r="A333" s="0" t="s">
        <v>1715</v>
      </c>
      <c r="B333" s="0" t="s">
        <v>1444</v>
      </c>
      <c r="D333" s="8" t="n">
        <f aca="false">site_xai_2024</f>
        <v>0</v>
      </c>
      <c r="E333" s="8" t="n">
        <f aca="false">site_xai_2025</f>
        <v>0</v>
      </c>
      <c r="F333" s="8" t="n">
        <f aca="false">site_xai_2026</f>
        <v>1.4302</v>
      </c>
      <c r="G333" s="8" t="n">
        <f aca="false">site_xai_2027</f>
        <v>0.585</v>
      </c>
      <c r="H333" s="8" t="n">
        <f aca="false">site_xai_2028</f>
        <v>0</v>
      </c>
      <c r="I333" s="8" t="n">
        <f aca="false">site_xai_2029</f>
        <v>0</v>
      </c>
    </row>
    <row r="334" customFormat="false" ht="17.15" hidden="false" customHeight="false" outlineLevel="0" collapsed="false">
      <c r="A334" s="0" t="s">
        <v>1716</v>
      </c>
      <c r="B334" s="0" t="s">
        <v>1446</v>
      </c>
      <c r="D334" s="8" t="str">
        <f aca="false">IF(ISNUMBER(gai_ant_2024),gai_ant_2024,"")</f>
        <v/>
      </c>
      <c r="E334" s="8" t="str">
        <f aca="false">IF(ISNUMBER(gai_ant_2025),gai_ant_2025,"")</f>
        <v/>
      </c>
      <c r="F334" s="8" t="n">
        <f aca="false">IF(ISNUMBER(gai_ant_2026),gai_ant_2026,"")</f>
        <v>16.666667</v>
      </c>
      <c r="G334" s="8" t="n">
        <f aca="false">IF(ISNUMBER(gai_ant_2027),gai_ant_2027,"")</f>
        <v>16.666667</v>
      </c>
      <c r="H334" s="8" t="n">
        <f aca="false">IF(ISNUMBER(gai_ant_2028),gai_ant_2028,"")</f>
        <v>16.666667</v>
      </c>
      <c r="I334" s="8" t="n">
        <f aca="false">IF(ISNUMBER(gai_ant_2029),gai_ant_2029,"")</f>
        <v>0</v>
      </c>
    </row>
    <row r="335" customFormat="false" ht="17.15" hidden="false" customHeight="false" outlineLevel="0" collapsed="false">
      <c r="A335" s="0" t="s">
        <v>1717</v>
      </c>
      <c r="B335" s="0" t="s">
        <v>1448</v>
      </c>
      <c r="D335" s="8" t="n">
        <f aca="false">IF(ISNUMBER(D334),(pitN_2024/(pitN_2024+pfacN_2024)*D334+pfacN_2024/(pitN_2024+pfacN_2024)*IF(AND(ISNUMBER(""),ISNUMBER("")),wb1_lo*""+wb2_lo*"",IF(ISNUMBER(""),"",D334)))/(pitN_2024+pfacN_2024),site_ant_2024)</f>
        <v>0</v>
      </c>
      <c r="E335" s="8" t="n">
        <f aca="false">IF(ISNUMBER(E334),(pitN_2025/(pitN_2025+pfacN_2025)*E334+pfacN_2025/(pitN_2025+pfacN_2025)*IF(AND(ISNUMBER(D334),ISNUMBER("")),wb1_lo*D334+wb2_lo*"",IF(ISNUMBER(D334),D334,E334)))/(pitN_2025+pfacN_2025),site_ant_2025)</f>
        <v>0</v>
      </c>
      <c r="F335" s="8" t="n">
        <f aca="false">IF(ISNUMBER(F334),(pitN_2026/(pitN_2026+pfacN_2026)*F334+pfacN_2026/(pitN_2026+pfacN_2026)*IF(AND(ISNUMBER(E334),ISNUMBER(D334)),wb1_lo*E334+wb2_lo*D334,IF(ISNUMBER(E334),E334,F334)))/(pitN_2026+pfacN_2026),site_ant_2026)</f>
        <v>0.36165817570248</v>
      </c>
      <c r="G335" s="8" t="n">
        <f aca="false">IF(ISNUMBER(G334),(pitN_2027/(pitN_2027+pfacN_2027)*G334+pfacN_2027/(pitN_2027+pfacN_2027)*IF(AND(ISNUMBER(F334),ISNUMBER(E334)),wb1_lo*F334+wb2_lo*E334,IF(ISNUMBER(F334),F334,G334)))/(pitN_2027+pfacN_2027),site_ant_2027)</f>
        <v>0.326730833032632</v>
      </c>
      <c r="H335" s="8" t="n">
        <f aca="false">IF(ISNUMBER(H334),(pitN_2028/(pitN_2028+pfacN_2028)*H334+pfacN_2028/(pitN_2028+pfacN_2028)*IF(AND(ISNUMBER(G334),ISNUMBER(F334)),wb1_lo*G334+wb2_lo*F334,IF(ISNUMBER(G334),G334,H334)))/(pitN_2028+pfacN_2028),site_ant_2028)</f>
        <v>0.308627002270922</v>
      </c>
      <c r="I335" s="8" t="n">
        <f aca="false">IF(ISNUMBER(I334),(pitN_2029/(pitN_2029+pfacN_2029)*I334+pfacN_2029/(pitN_2029+pfacN_2029)*IF(AND(ISNUMBER(H334),ISNUMBER(G334)),wb1_lo*H334+wb2_lo*G334,IF(ISNUMBER(H334),H334,I334)))/(pitN_2029+pfacN_2029),site_ant_2029)</f>
        <v>0.0724095248404747</v>
      </c>
    </row>
    <row r="336" customFormat="false" ht="17.15" hidden="false" customHeight="false" outlineLevel="0" collapsed="false">
      <c r="A336" s="0" t="s">
        <v>1718</v>
      </c>
      <c r="B336" s="0" t="s">
        <v>1450</v>
      </c>
      <c r="E336" s="8" t="n">
        <f aca="false">IF(ISNUMBER(gai_ant_2024),(1-lag)*E335+lag*D335-inv_k*(E335-D335),E335)</f>
        <v>0</v>
      </c>
      <c r="F336" s="8" t="n">
        <f aca="false">IF(ISNUMBER(gai_ant_2025),(1-lag)*F335+lag*E335-inv_k*(F335-E335),F335)</f>
        <v>0.36165817570248</v>
      </c>
      <c r="G336" s="8" t="n">
        <f aca="false">IF(ISNUMBER(gai_ant_2026),(1-lag)*G335+lag*F335-inv_k*(G335-F335),G335)</f>
        <v>0.34332132080081</v>
      </c>
      <c r="H336" s="8" t="n">
        <f aca="false">IF(ISNUMBER(gai_ant_2027),(1-lag)*H335+lag*G335-inv_k*(H335-G335),H335)</f>
        <v>0.317226321882734</v>
      </c>
      <c r="I336" s="8" t="n">
        <f aca="false">IF(ISNUMBER(gai_ant_2028),(1-lag)*I335+lag*H335-inv_k*(I335-H335),I335)</f>
        <v>0.184612826619937</v>
      </c>
    </row>
    <row r="337" customFormat="false" ht="17.15" hidden="false" customHeight="false" outlineLevel="0" collapsed="false">
      <c r="A337" s="0" t="s">
        <v>1719</v>
      </c>
      <c r="B337" s="0" t="s">
        <v>1452</v>
      </c>
      <c r="E337" s="8" t="n">
        <f aca="false">E336*(1-nnv_ant_2025)</f>
        <v>0</v>
      </c>
      <c r="F337" s="8" t="n">
        <f aca="false">F336*(1-nnv_ant_2026)</f>
        <v>0.275507557374688</v>
      </c>
      <c r="G337" s="8" t="n">
        <f aca="false">G336*(1-nnv_ant_2027)</f>
        <v>0.249559628755998</v>
      </c>
      <c r="H337" s="8" t="n">
        <f aca="false">H336*(1-nnv_ant_2028)</f>
        <v>0.231695318089535</v>
      </c>
      <c r="I337" s="8" t="n">
        <f aca="false">I336*(1-nnv_ant_2029)</f>
        <v>0.134363521137354</v>
      </c>
    </row>
    <row r="338" customFormat="false" ht="17.15" hidden="false" customHeight="false" outlineLevel="0" collapsed="false">
      <c r="A338" s="0" t="s">
        <v>1720</v>
      </c>
      <c r="B338" s="0" t="s">
        <v>1454</v>
      </c>
      <c r="D338" s="8" t="n">
        <f aca="false">site_ant_2024</f>
        <v>0</v>
      </c>
      <c r="E338" s="8" t="n">
        <f aca="false">site_ant_2025</f>
        <v>0</v>
      </c>
      <c r="F338" s="8" t="n">
        <f aca="false">site_ant_2026</f>
        <v>0</v>
      </c>
      <c r="G338" s="8" t="n">
        <f aca="false">site_ant_2027</f>
        <v>0</v>
      </c>
      <c r="H338" s="8" t="n">
        <f aca="false">site_ant_2028</f>
        <v>0</v>
      </c>
      <c r="I338" s="8" t="n">
        <f aca="false">site_ant_2029</f>
        <v>0</v>
      </c>
    </row>
    <row r="339" customFormat="false" ht="17.15" hidden="false" customHeight="false" outlineLevel="0" collapsed="false">
      <c r="A339" s="0" t="s">
        <v>1721</v>
      </c>
      <c r="B339" s="5" t="s">
        <v>1456</v>
      </c>
      <c r="D339" s="9" t="n">
        <f aca="false">D267+D276+D285+D294+D303+D312+D321</f>
        <v>2.88602836343531</v>
      </c>
      <c r="E339" s="9" t="n">
        <f aca="false">E267+E276+E285+E294+E303+E312+E321</f>
        <v>9.64396540227264</v>
      </c>
      <c r="F339" s="9" t="n">
        <f aca="false">F267+F276+F285+F294+F303+F312+F321</f>
        <v>15.3179145645723</v>
      </c>
      <c r="G339" s="9" t="n">
        <f aca="false">G267+G276+G285+G294+G303+G312+G321</f>
        <v>19.87149266949</v>
      </c>
      <c r="H339" s="9" t="n">
        <f aca="false">H267+H276+H285+H294+H303+H312+H321</f>
        <v>21.9869264440432</v>
      </c>
      <c r="I339" s="9" t="n">
        <f aca="false">I267+I276+I285+I294+I303+I312+I321</f>
        <v>24.1517007636525</v>
      </c>
    </row>
    <row r="340" customFormat="false" ht="17.15" hidden="false" customHeight="false" outlineLevel="0" collapsed="false">
      <c r="A340" s="0" t="s">
        <v>1722</v>
      </c>
      <c r="B340" s="5" t="s">
        <v>1458</v>
      </c>
      <c r="D340" s="9" t="n">
        <f aca="false">D268+D277+D286+D295+D304+D313+D322</f>
        <v>0</v>
      </c>
      <c r="E340" s="9" t="n">
        <f aca="false">E268+E277+E286+E295+E304+E313+E322</f>
        <v>6.43394530882491</v>
      </c>
      <c r="F340" s="9" t="n">
        <f aca="false">F268+F277+F286+F295+F304+F313+F322</f>
        <v>12.62278871248</v>
      </c>
      <c r="G340" s="9" t="n">
        <f aca="false">G268+G277+G286+G295+G304+G313+G322</f>
        <v>17.7085430696541</v>
      </c>
      <c r="H340" s="9" t="n">
        <f aca="false">H268+H277+H286+H295+H304+H313+H322</f>
        <v>20.9820954011304</v>
      </c>
      <c r="I340" s="9" t="n">
        <f aca="false">I268+I277+I286+I295+I304+I313+I322</f>
        <v>23.1234329618381</v>
      </c>
    </row>
    <row r="341" customFormat="false" ht="17.15" hidden="false" customHeight="false" outlineLevel="0" collapsed="false">
      <c r="A341" s="0" t="s">
        <v>1723</v>
      </c>
      <c r="B341" s="5" t="s">
        <v>1460</v>
      </c>
      <c r="D341" s="9" t="n">
        <f aca="false">D270+D279+D288+D297+D306+D315+D324</f>
        <v>3.89616485653111</v>
      </c>
      <c r="E341" s="9" t="n">
        <f aca="false">E270+E279+E288+E297+E306+E315+E324</f>
        <v>9.54752388940888</v>
      </c>
      <c r="F341" s="9" t="n">
        <f aca="false">F270+F279+F288+F297+F306+F315+F324</f>
        <v>15.3371114142843</v>
      </c>
      <c r="G341" s="9" t="n">
        <f aca="false">G270+G279+G288+G297+G306+G315+G324</f>
        <v>20.1784890492507</v>
      </c>
      <c r="H341" s="9" t="n">
        <f aca="false">H270+H279+H288+H297+H306+H315+H324</f>
        <v>21.2917977518678</v>
      </c>
      <c r="I341" s="9" t="n">
        <f aca="false">I270+I279+I288+I297+I306+I315+I324</f>
        <v>20.4716714945698</v>
      </c>
    </row>
    <row r="342" customFormat="false" ht="17.15" hidden="false" customHeight="false" outlineLevel="0" collapsed="false">
      <c r="A342" s="0" t="s">
        <v>1724</v>
      </c>
      <c r="B342" s="5" t="s">
        <v>1462</v>
      </c>
      <c r="D342" s="9" t="n">
        <f aca="false">D271+D280+D289+D298+D307+D316+D325</f>
        <v>0</v>
      </c>
      <c r="E342" s="9" t="n">
        <f aca="false">E271+E280+E289+E298+E307+E316+E325</f>
        <v>6.86312834879194</v>
      </c>
      <c r="F342" s="9" t="n">
        <f aca="false">F271+F280+F289+F298+F307+F316+F325</f>
        <v>12.5870573399685</v>
      </c>
      <c r="G342" s="9" t="n">
        <f aca="false">G271+G280+G289+G298+G307+G316+G325</f>
        <v>17.8788346726417</v>
      </c>
      <c r="H342" s="9" t="n">
        <f aca="false">H271+H280+H289+H298+H307+H316+H325</f>
        <v>20.7629761181247</v>
      </c>
      <c r="I342" s="9" t="n">
        <f aca="false">I271+I280+I289+I298+I307+I316+I325</f>
        <v>20.8612314667864</v>
      </c>
    </row>
    <row r="343" customFormat="false" ht="15" hidden="false" customHeight="false" outlineLevel="0" collapsed="false">
      <c r="A343" s="0" t="s">
        <v>1725</v>
      </c>
      <c r="B343" s="5" t="s">
        <v>1464</v>
      </c>
      <c r="D343" s="9" t="n">
        <f aca="false">D273+D282+D291+D300+D309+D318+D327</f>
        <v>1.61980834349181</v>
      </c>
      <c r="E343" s="9" t="n">
        <f aca="false">E273+E282+E291+E300+E309+E318+E327</f>
        <v>8.74912429484715</v>
      </c>
      <c r="F343" s="9" t="n">
        <f aca="false">F273+F282+F291+F300+F309+F318+F327</f>
        <v>6.54276412772586</v>
      </c>
      <c r="G343" s="9" t="n">
        <f aca="false">G273+G282+G291+G300+G309+G318+G327</f>
        <v>6.52966666666667</v>
      </c>
      <c r="H343" s="9" t="n">
        <f aca="false">H273+H282+H291+H300+H309+H318+H327</f>
        <v>13.6908333333333</v>
      </c>
      <c r="I343" s="9" t="n">
        <f aca="false">I273+I282+I291+I300+I309+I318+I327</f>
        <v>2.7115</v>
      </c>
    </row>
    <row r="344" customFormat="false" ht="17.15" hidden="false" customHeight="false" outlineLevel="0" collapsed="false">
      <c r="A344" s="0" t="s">
        <v>1726</v>
      </c>
      <c r="B344" s="5" t="s">
        <v>1466</v>
      </c>
      <c r="D344" s="9" t="n">
        <f aca="false">D274+D283+D292+D301+D310+D319+D328</f>
        <v>1.61980834349181</v>
      </c>
      <c r="E344" s="9" t="n">
        <f aca="false">E274+E283+E292+E301+E310+E319+E328</f>
        <v>8.74912429484715</v>
      </c>
      <c r="F344" s="9" t="n">
        <f aca="false">F274+F283+F292+F301+F310+F319+F328</f>
        <v>6.54276412772586</v>
      </c>
      <c r="G344" s="9" t="n">
        <f aca="false">G274+G283+G292+G301+G310+G319+G328</f>
        <v>17.8887754681966</v>
      </c>
      <c r="H344" s="9" t="n">
        <f aca="false">H274+H283+H292+H301+H310+H319+H328</f>
        <v>21.3980787384407</v>
      </c>
      <c r="I344" s="9" t="n">
        <f aca="false">I274+I283+I292+I301+I310+I319+I328</f>
        <v>23.9019467739051</v>
      </c>
    </row>
    <row r="345" customFormat="false" ht="17.15" hidden="false" customHeight="false" outlineLevel="0" collapsed="false">
      <c r="A345" s="0" t="s">
        <v>1727</v>
      </c>
      <c r="B345" s="5" t="s">
        <v>1468</v>
      </c>
      <c r="D345" s="9" t="n">
        <f aca="false">D272+D281+D290+D299+D308+D317+D326</f>
        <v>0</v>
      </c>
      <c r="E345" s="9" t="n">
        <f aca="false">E272+E281+E290+E299+E308+E317+E326</f>
        <v>3.66983636375636</v>
      </c>
      <c r="F345" s="9" t="n">
        <f aca="false">F272+F281+F290+F299+F308+F317+F326</f>
        <v>6.944649183028</v>
      </c>
      <c r="G345" s="9" t="n">
        <f aca="false">G272+G281+G290+G299+G308+G317+G326</f>
        <v>9.3012032781845</v>
      </c>
      <c r="H345" s="9" t="n">
        <f aca="false">H272+H281+H290+H299+H308+H317+H326</f>
        <v>10.5950276874312</v>
      </c>
      <c r="I345" s="9" t="n">
        <f aca="false">I272+I281+I290+I299+I308+I317+I326</f>
        <v>10.4232123550206</v>
      </c>
    </row>
    <row r="346" customFormat="false" ht="17.15" hidden="false" customHeight="false" outlineLevel="0" collapsed="false">
      <c r="A346" s="0" t="s">
        <v>1728</v>
      </c>
      <c r="B346" s="5" t="s">
        <v>1470</v>
      </c>
      <c r="D346" s="9" t="n">
        <f aca="false">D332+D337</f>
        <v>0</v>
      </c>
      <c r="E346" s="9" t="n">
        <f aca="false">E332+E337</f>
        <v>0</v>
      </c>
      <c r="F346" s="9" t="n">
        <f aca="false">F332+F337</f>
        <v>1.88253097804405</v>
      </c>
      <c r="G346" s="9" t="n">
        <f aca="false">G332+G337</f>
        <v>2.25621917819433</v>
      </c>
      <c r="H346" s="9" t="n">
        <f aca="false">H332+H337</f>
        <v>2.73976597663666</v>
      </c>
      <c r="I346" s="9" t="n">
        <f aca="false">I332+I337</f>
        <v>2.5417361715651</v>
      </c>
    </row>
    <row r="347" customFormat="false" ht="15" hidden="false" customHeight="false" outlineLevel="0" collapsed="false">
      <c r="A347" s="0" t="s">
        <v>1729</v>
      </c>
      <c r="B347" s="5" t="s">
        <v>1472</v>
      </c>
      <c r="D347" s="9" t="n">
        <f aca="false">D330+D335</f>
        <v>0</v>
      </c>
      <c r="E347" s="9" t="n">
        <f aca="false">E330+E335</f>
        <v>0</v>
      </c>
      <c r="F347" s="9" t="n">
        <f aca="false">F330+F335</f>
        <v>1.96868159637184</v>
      </c>
      <c r="G347" s="9" t="n">
        <f aca="false">G330+G335</f>
        <v>2.69496592754765</v>
      </c>
      <c r="H347" s="9" t="n">
        <f aca="false">H330+H335</f>
        <v>2.9432155520852</v>
      </c>
      <c r="I347" s="9" t="n">
        <f aca="false">I330+I335</f>
        <v>2.27420588534707</v>
      </c>
    </row>
    <row r="348" customFormat="false" ht="15" hidden="false" customHeight="false" outlineLevel="0" collapsed="false">
      <c r="A348" s="0" t="s">
        <v>1730</v>
      </c>
      <c r="B348" s="5" t="s">
        <v>1474</v>
      </c>
      <c r="D348" s="9" t="n">
        <f aca="false">D331+D336</f>
        <v>0</v>
      </c>
      <c r="E348" s="9" t="n">
        <f aca="false">E331+E336</f>
        <v>0</v>
      </c>
      <c r="F348" s="9" t="n">
        <f aca="false">F331+F336</f>
        <v>1.96868159637184</v>
      </c>
      <c r="G348" s="9" t="n">
        <f aca="false">G331+G336</f>
        <v>2.34998087023914</v>
      </c>
      <c r="H348" s="9" t="n">
        <f aca="false">H331+H336</f>
        <v>2.82529698042986</v>
      </c>
      <c r="I348" s="9" t="n">
        <f aca="false">I331+I336</f>
        <v>2.59198547704768</v>
      </c>
    </row>
    <row r="349" customFormat="false" ht="15" hidden="false" customHeight="false" outlineLevel="0" collapsed="false">
      <c r="A349" s="0" t="s">
        <v>1731</v>
      </c>
      <c r="B349" s="5" t="s">
        <v>1476</v>
      </c>
      <c r="D349" s="9" t="n">
        <f aca="false">D333+D338</f>
        <v>0</v>
      </c>
      <c r="E349" s="9" t="n">
        <f aca="false">E333+E338</f>
        <v>0</v>
      </c>
      <c r="F349" s="9" t="n">
        <f aca="false">F333+F338</f>
        <v>1.4302</v>
      </c>
      <c r="G349" s="9" t="n">
        <f aca="false">G333+G338</f>
        <v>0.585</v>
      </c>
      <c r="H349" s="9" t="n">
        <f aca="false">H333+H338</f>
        <v>0</v>
      </c>
      <c r="I349" s="9" t="n">
        <f aca="false">I333+I338</f>
        <v>0</v>
      </c>
    </row>
    <row r="351" customFormat="false" ht="17.15" hidden="false" customHeight="false" outlineLevel="0" collapsed="false">
      <c r="A351" s="6" t="s">
        <v>1732</v>
      </c>
    </row>
    <row r="352" customFormat="false" ht="15" hidden="false" customHeight="false" outlineLevel="0" collapsed="false">
      <c r="A352" s="2" t="s">
        <v>1</v>
      </c>
      <c r="B352" s="2" t="s">
        <v>2</v>
      </c>
      <c r="C352" s="7"/>
      <c r="D352" s="7" t="s">
        <v>1317</v>
      </c>
      <c r="E352" s="7" t="s">
        <v>1318</v>
      </c>
      <c r="F352" s="7" t="s">
        <v>1319</v>
      </c>
      <c r="G352" s="7" t="s">
        <v>1320</v>
      </c>
      <c r="H352" s="7" t="s">
        <v>1321</v>
      </c>
      <c r="I352" s="7" t="s">
        <v>1322</v>
      </c>
    </row>
    <row r="353" customFormat="false" ht="17.15" hidden="false" customHeight="false" outlineLevel="0" collapsed="false">
      <c r="A353" s="0" t="s">
        <v>1733</v>
      </c>
      <c r="B353" s="0" t="s">
        <v>1324</v>
      </c>
      <c r="D353" s="8" t="n">
        <f aca="false">IF(ISNUMBER(ai2_msft_2024),ai2_msft_2024,"")</f>
        <v>46.3369</v>
      </c>
      <c r="E353" s="8" t="n">
        <f aca="false">IF(ISNUMBER(ai2_msft_2025),ai2_msft_2025,"")</f>
        <v>76.712075</v>
      </c>
      <c r="F353" s="8" t="n">
        <f aca="false">IF(ISNUMBER(ai2_msft_2026),ai2_msft_2026,"")</f>
        <v>131.229375</v>
      </c>
      <c r="G353" s="8" t="n">
        <f aca="false">IF(ISNUMBER(ai2_msft_2027),ai2_msft_2027,"")</f>
        <v>174.08595</v>
      </c>
      <c r="H353" s="8" t="n">
        <f aca="false">IF(ISNUMBER(ai2_msft_2028),ai2_msft_2028,"")</f>
        <v>198.883</v>
      </c>
      <c r="I353" s="8" t="n">
        <f aca="false">IF(ISNUMBER(ai2_msft_2029),ai2_msft_2029,"")</f>
        <v>224.1719025</v>
      </c>
    </row>
    <row r="354" customFormat="false" ht="17.15" hidden="false" customHeight="false" outlineLevel="0" collapsed="false">
      <c r="A354" s="0" t="s">
        <v>1734</v>
      </c>
      <c r="B354" s="0" t="s">
        <v>1326</v>
      </c>
      <c r="D354" s="8" t="n">
        <f aca="false">IF(ISNUMBER(D353),(pit_msft_2024/(pit_msft_2024+pfac_msft_2024)*D353+pfac_msft_2024/(pit_msft_2024+pfac_msft_2024)*IF(AND(ISNUMBER(""),ISNUMBER("")),wb1_hi*""+wb2_hi*"",IF(ISNUMBER(""),"",D353)))/(pit_msft_2024+pfac_msft_2024),site_msft_2024)</f>
        <v>1.2662200199435</v>
      </c>
      <c r="E354" s="8" t="n">
        <f aca="false">IF(ISNUMBER(E353),(pit_msft_2025/(pit_msft_2025+pfac_msft_2025)*E353+pfac_msft_2025/(pit_msft_2025+pfac_msft_2025)*IF(AND(ISNUMBER(D353),ISNUMBER("")),wb1_hi*D353+wb2_hi*"",IF(ISNUMBER(D353),D353,E353)))/(pit_msft_2025+pfac_msft_2025),site_msft_2025)</f>
        <v>1.89413391980359</v>
      </c>
      <c r="F354" s="8" t="n">
        <f aca="false">IF(ISNUMBER(F353),(pit_msft_2026/(pit_msft_2026+pfac_msft_2026)*F353+pfac_msft_2026/(pit_msft_2026+pfac_msft_2026)*IF(AND(ISNUMBER(E353),ISNUMBER(D353)),wb1_hi*E353+wb2_hi*D353,IF(ISNUMBER(E353),E353,F353)))/(pit_msft_2026+pfac_msft_2026),site_msft_2026)</f>
        <v>2.63242405600638</v>
      </c>
      <c r="G354" s="8" t="n">
        <f aca="false">IF(ISNUMBER(G353),(pit_msft_2027/(pit_msft_2027+pfac_msft_2027)*G353+pfac_msft_2027/(pit_msft_2027+pfac_msft_2027)*IF(AND(ISNUMBER(F353),ISNUMBER(E353)),wb1_hi*F353+wb2_hi*E353,IF(ISNUMBER(F353),F353,G353)))/(pit_msft_2027+pfac_msft_2027),site_msft_2027)</f>
        <v>3.41003574924165</v>
      </c>
      <c r="H354" s="8" t="n">
        <f aca="false">IF(ISNUMBER(H353),(pit_msft_2028/(pit_msft_2028+pfac_msft_2028)*H353+pfac_msft_2028/(pit_msft_2028+pfac_msft_2028)*IF(AND(ISNUMBER(G353),ISNUMBER(F353)),wb1_hi*G353+wb2_hi*F353,IF(ISNUMBER(G353),G353,H353)))/(pit_msft_2028+pfac_msft_2028),site_msft_2028)</f>
        <v>3.95601155416906</v>
      </c>
      <c r="I354" s="8" t="n">
        <f aca="false">IF(ISNUMBER(I353),(pit_msft_2029/(pit_msft_2029+pfac_msft_2029)*I353+pfac_msft_2029/(pit_msft_2029+pfac_msft_2029)*IF(AND(ISNUMBER(H353),ISNUMBER(G353)),wb1_hi*H353+wb2_hi*G353,IF(ISNUMBER(H353),H353,I353)))/(pit_msft_2029+pfac_msft_2029),site_msft_2029)</f>
        <v>4.60068352232977</v>
      </c>
    </row>
    <row r="355" customFormat="false" ht="17.15" hidden="false" customHeight="false" outlineLevel="0" collapsed="false">
      <c r="A355" s="0" t="s">
        <v>1735</v>
      </c>
      <c r="B355" s="0" t="s">
        <v>1328</v>
      </c>
      <c r="E355" s="8" t="n">
        <f aca="false">(1-lag)*E354+lag*D354-inv_k*(E354-D354)</f>
        <v>1.59587481737004</v>
      </c>
      <c r="F355" s="8" t="n">
        <f aca="false">(1-lag)*F354+lag*E354-inv_k*(F354-E354)</f>
        <v>2.28173624131005</v>
      </c>
      <c r="G355" s="8" t="n">
        <f aca="false">(1-lag)*G354+lag*F354-inv_k*(G354-F354)</f>
        <v>3.04067019495489</v>
      </c>
      <c r="H355" s="8" t="n">
        <f aca="false">(1-lag)*H354+lag*G354-inv_k*(H354-G354)</f>
        <v>3.69667304682854</v>
      </c>
      <c r="I355" s="8" t="n">
        <f aca="false">(1-lag)*I354+lag*H354-inv_k*(I354-H354)</f>
        <v>4.29446433745343</v>
      </c>
    </row>
    <row r="356" customFormat="false" ht="17.15" hidden="false" customHeight="false" outlineLevel="0" collapsed="false">
      <c r="A356" s="0" t="s">
        <v>1736</v>
      </c>
      <c r="B356" s="0" t="s">
        <v>1330</v>
      </c>
      <c r="D356" s="8" t="str">
        <f aca="false">""</f>
        <v/>
      </c>
      <c r="E356" s="8" t="n">
        <f aca="false">(6/12*cap2_msft_2025+6/12*gcap_msft_2026)*ai_sh</f>
        <v>89.186675</v>
      </c>
      <c r="F356" s="8" t="n">
        <f aca="false">(6/12*gcap_msft_2026+6/12*gcap_msft_2027)*ai_sh</f>
        <v>148.5375</v>
      </c>
      <c r="G356" s="8" t="n">
        <f aca="false">(6/12*gcap_msft_2027+6/12*gcap_msft_2028)*ai_sh</f>
        <v>185.939575275</v>
      </c>
      <c r="H356" s="8" t="n">
        <f aca="false">(6/12*gcap_msft_2028+6/12*gcap_msft_2029)*ai_sh</f>
        <v>202.7978586</v>
      </c>
      <c r="I356" s="8" t="n">
        <f aca="false">(6/12*gcap_msft_2029+6/12*gcap_msft_2030)*ai_sh</f>
        <v>197.6117298</v>
      </c>
    </row>
    <row r="357" customFormat="false" ht="17.15" hidden="false" customHeight="false" outlineLevel="0" collapsed="false">
      <c r="A357" s="0" t="s">
        <v>1737</v>
      </c>
      <c r="B357" s="0" t="s">
        <v>1326</v>
      </c>
      <c r="D357" s="8" t="n">
        <f aca="false">IF(ISNUMBER(D356),(pit_msft_2024/(pit_msft_2024+pfac_msft_2024)*D356+pfac_msft_2024/(pit_msft_2024+pfac_msft_2024)*IF(AND(ISNUMBER(""),ISNUMBER("")),wb1_hi*""+wb2_hi*"",IF(ISNUMBER(""),"",D356)))/(pit_msft_2024+pfac_msft_2024),site_msft_2024)</f>
        <v>0</v>
      </c>
      <c r="E357" s="8" t="n">
        <f aca="false">IF(ISNUMBER(E356),(pit_msft_2025/(pit_msft_2025+pfac_msft_2025)*E356+pfac_msft_2025/(pit_msft_2025+pfac_msft_2025)*IF(AND(ISNUMBER(D356),ISNUMBER("")),wb1_hi*D356+wb2_hi*"",IF(ISNUMBER(D356),D356,E356)))/(pit_msft_2025+pfac_msft_2025),site_msft_2025)</f>
        <v>2.51576435599185</v>
      </c>
      <c r="F357" s="8" t="n">
        <f aca="false">IF(ISNUMBER(F356),(pit_msft_2026/(pit_msft_2026+pfac_msft_2026)*F356+pfac_msft_2026/(pit_msft_2026+pfac_msft_2026)*IF(AND(ISNUMBER(E356),ISNUMBER(D356)),wb1_hi*E356+wb2_hi*D356,IF(ISNUMBER(E356),E356,F356)))/(pit_msft_2026+pfac_msft_2026),site_msft_2026)</f>
        <v>3.22245015720519</v>
      </c>
      <c r="G357" s="8" t="n">
        <f aca="false">IF(ISNUMBER(G356),(pit_msft_2027/(pit_msft_2027+pfac_msft_2027)*G356+pfac_msft_2027/(pit_msft_2027+pfac_msft_2027)*IF(AND(ISNUMBER(F356),ISNUMBER(E356)),wb1_hi*F356+wb2_hi*E356,IF(ISNUMBER(F356),F356,G356)))/(pit_msft_2027+pfac_msft_2027),site_msft_2027)</f>
        <v>3.68331074413294</v>
      </c>
      <c r="H357" s="8" t="n">
        <f aca="false">IF(ISNUMBER(H356),(pit_msft_2028/(pit_msft_2028+pfac_msft_2028)*H356+pfac_msft_2028/(pit_msft_2028+pfac_msft_2028)*IF(AND(ISNUMBER(G356),ISNUMBER(F356)),wb1_hi*G356+wb2_hi*F356,IF(ISNUMBER(G356),G356,H356)))/(pit_msft_2028+pfac_msft_2028),site_msft_2028)</f>
        <v>4.10944927211911</v>
      </c>
      <c r="I357" s="8" t="n">
        <f aca="false">IF(ISNUMBER(I356),(pit_msft_2029/(pit_msft_2029+pfac_msft_2029)*I356+pfac_msft_2029/(pit_msft_2029+pfac_msft_2029)*IF(AND(ISNUMBER(H356),ISNUMBER(G356)),wb1_hi*H356+wb2_hi*G356,IF(ISNUMBER(H356),H356,I356)))/(pit_msft_2029+pfac_msft_2029),site_msft_2029)</f>
        <v>4.22255729333217</v>
      </c>
    </row>
    <row r="358" customFormat="false" ht="17.15" hidden="false" customHeight="false" outlineLevel="0" collapsed="false">
      <c r="A358" s="0" t="s">
        <v>1738</v>
      </c>
      <c r="B358" s="0" t="s">
        <v>1328</v>
      </c>
      <c r="E358" s="8" t="n">
        <f aca="false">(1-lag)*E357+lag*D357-inv_k*(E357-D357)</f>
        <v>1.32077628689572</v>
      </c>
      <c r="F358" s="8" t="n">
        <f aca="false">(1-lag)*F357+lag*E357-inv_k*(F357-E357)</f>
        <v>2.88677440162885</v>
      </c>
      <c r="G358" s="8" t="n">
        <f aca="false">(1-lag)*G357+lag*F357-inv_k*(G357-F357)</f>
        <v>3.46440196534226</v>
      </c>
      <c r="H358" s="8" t="n">
        <f aca="false">(1-lag)*H357+lag*G357-inv_k*(H357-G357)</f>
        <v>3.90703347132568</v>
      </c>
      <c r="I358" s="8" t="n">
        <f aca="false">(1-lag)*I357+lag*H357-inv_k*(I357-H357)</f>
        <v>4.16883098325597</v>
      </c>
    </row>
    <row r="359" customFormat="false" ht="17.15" hidden="false" customHeight="false" outlineLevel="0" collapsed="false">
      <c r="A359" s="0" t="s">
        <v>1739</v>
      </c>
      <c r="B359" s="0" t="s">
        <v>1334</v>
      </c>
      <c r="E359" s="8" t="n">
        <f aca="false">E358*(1-nnv_msft_2025)</f>
        <v>1.00615407887364</v>
      </c>
      <c r="F359" s="8" t="n">
        <f aca="false">F358*(1-nnv_msft_2026)</f>
        <v>2.19911567750323</v>
      </c>
      <c r="G359" s="8" t="n">
        <f aca="false">G358*(1-nnv_msft_2027)</f>
        <v>2.51826733718637</v>
      </c>
      <c r="H359" s="8" t="n">
        <f aca="false">H358*(1-nnv_msft_2028)</f>
        <v>2.85361365208495</v>
      </c>
      <c r="I359" s="8" t="n">
        <f aca="false">I358*(1-nnv_msft_2029)</f>
        <v>3.03412726077765</v>
      </c>
    </row>
    <row r="360" customFormat="false" ht="17.15" hidden="false" customHeight="false" outlineLevel="0" collapsed="false">
      <c r="A360" s="0" t="s">
        <v>1740</v>
      </c>
      <c r="B360" s="0" t="s">
        <v>1336</v>
      </c>
      <c r="D360" s="8" t="n">
        <f aca="false">site_msft_2024</f>
        <v>0</v>
      </c>
      <c r="E360" s="8" t="n">
        <f aca="false">site_msft_2025</f>
        <v>2.13527</v>
      </c>
      <c r="F360" s="8" t="n">
        <f aca="false">site_msft_2026</f>
        <v>0.770955</v>
      </c>
      <c r="G360" s="8" t="n">
        <f aca="false">site_msft_2027</f>
        <v>1.04</v>
      </c>
      <c r="H360" s="8" t="n">
        <f aca="false">site_msft_2028</f>
        <v>1.67</v>
      </c>
      <c r="I360" s="8" t="n">
        <f aca="false">site_msft_2029</f>
        <v>0.144</v>
      </c>
    </row>
    <row r="361" customFormat="false" ht="17.15" hidden="false" customHeight="false" outlineLevel="0" collapsed="false">
      <c r="A361" s="0" t="s">
        <v>1741</v>
      </c>
      <c r="B361" s="0" t="s">
        <v>1338</v>
      </c>
      <c r="D361" s="8" t="n">
        <f aca="false">main_msft_2024</f>
        <v>0</v>
      </c>
      <c r="E361" s="8" t="n">
        <f aca="false">main_msft_2025</f>
        <v>2.13527</v>
      </c>
      <c r="F361" s="8" t="n">
        <f aca="false">main_msft_2026</f>
        <v>0.770955</v>
      </c>
      <c r="G361" s="8" t="n">
        <f aca="false">main_msft_2027</f>
        <v>3.56447576934396</v>
      </c>
      <c r="H361" s="8" t="n">
        <f aca="false">main_msft_2028</f>
        <v>4.06597876464757</v>
      </c>
      <c r="I361" s="8" t="n">
        <f aca="false">main_msft_2029</f>
        <v>4.6644209987717</v>
      </c>
    </row>
    <row r="362" customFormat="false" ht="17.15" hidden="false" customHeight="false" outlineLevel="0" collapsed="false">
      <c r="A362" s="0" t="s">
        <v>1742</v>
      </c>
      <c r="B362" s="0" t="s">
        <v>1340</v>
      </c>
      <c r="D362" s="8" t="str">
        <f aca="false">IF(ISNUMBER(ai2_googl_2024),ai2_googl_2024,"")</f>
        <v/>
      </c>
      <c r="E362" s="8" t="n">
        <f aca="false">IF(ISNUMBER(ai2_googl_2025),ai2_googl_2025,"")</f>
        <v>77.72995</v>
      </c>
      <c r="F362" s="8" t="n">
        <f aca="false">IF(ISNUMBER(ai2_googl_2026),ai2_googl_2026,"")</f>
        <v>170</v>
      </c>
      <c r="G362" s="8" t="n">
        <f aca="false">IF(ISNUMBER(ai2_googl_2027),ai2_googl_2027,"")</f>
        <v>255.83215</v>
      </c>
      <c r="H362" s="8" t="n">
        <f aca="false">IF(ISNUMBER(ai2_googl_2028),ai2_googl_2028,"")</f>
        <v>288.53335</v>
      </c>
      <c r="I362" s="8" t="n">
        <f aca="false">IF(ISNUMBER(ai2_googl_2029),ai2_googl_2029,"")</f>
        <v>317.386685</v>
      </c>
    </row>
    <row r="363" customFormat="false" ht="17.15" hidden="false" customHeight="false" outlineLevel="0" collapsed="false">
      <c r="A363" s="0" t="s">
        <v>1743</v>
      </c>
      <c r="B363" s="0" t="s">
        <v>1342</v>
      </c>
      <c r="D363" s="8" t="n">
        <f aca="false">IF(ISNUMBER(D362),(pit_googl_2024/(pit_googl_2024+pfac_googl_2024)*D362+pfac_googl_2024/(pit_googl_2024+pfac_googl_2024)*IF(AND(ISNUMBER(""),ISNUMBER("")),wb1_hi*""+wb2_hi*"",IF(ISNUMBER(""),"",D362)))/(pit_googl_2024+pfac_googl_2024),site_googl_2024)</f>
        <v>1.32980834349181</v>
      </c>
      <c r="E363" s="8" t="n">
        <f aca="false">IF(ISNUMBER(E362),(pit_googl_2025/(pit_googl_2025+pfac_googl_2025)*E362+pfac_googl_2025/(pit_googl_2025+pfac_googl_2025)*IF(AND(ISNUMBER(D362),ISNUMBER("")),wb1_hi*D362+wb2_hi*"",IF(ISNUMBER(D362),D362,E362)))/(pit_googl_2025+pfac_googl_2025),site_googl_2025)</f>
        <v>2.15653802290354</v>
      </c>
      <c r="F363" s="8" t="n">
        <f aca="false">IF(ISNUMBER(F362),(pit_googl_2026/(pit_googl_2026+pfac_googl_2026)*F362+pfac_googl_2026/(pit_googl_2026+pfac_googl_2026)*IF(AND(ISNUMBER(E362),ISNUMBER(D362)),wb1_hi*E362+wb2_hi*D362,IF(ISNUMBER(E362),E362,F362)))/(pit_googl_2026+pfac_googl_2026),site_googl_2026)</f>
        <v>3.85777511610307</v>
      </c>
      <c r="G363" s="8" t="n">
        <f aca="false">IF(ISNUMBER(G362),(pit_googl_2027/(pit_googl_2027+pfac_googl_2027)*G362+pfac_googl_2027/(pit_googl_2027+pfac_googl_2027)*IF(AND(ISNUMBER(F362),ISNUMBER(E362)),wb1_hi*F362+wb2_hi*E362,IF(ISNUMBER(F362),F362,G362)))/(pit_googl_2027+pfac_googl_2027),site_googl_2027)</f>
        <v>5.40155729721498</v>
      </c>
      <c r="H363" s="8" t="n">
        <f aca="false">IF(ISNUMBER(H362),(pit_googl_2028/(pit_googl_2028+pfac_googl_2028)*H362+pfac_googl_2028/(pit_googl_2028+pfac_googl_2028)*IF(AND(ISNUMBER(G362),ISNUMBER(F362)),wb1_hi*G362+wb2_hi*F362,IF(ISNUMBER(G362),G362,H362)))/(pit_googl_2028+pfac_googl_2028),site_googl_2028)</f>
        <v>6.51148586343311</v>
      </c>
      <c r="I363" s="8" t="n">
        <f aca="false">IF(ISNUMBER(I362),(pit_googl_2029/(pit_googl_2029+pfac_googl_2029)*I362+pfac_googl_2029/(pit_googl_2029+pfac_googl_2029)*IF(AND(ISNUMBER(H362),ISNUMBER(G362)),wb1_hi*H362+wb2_hi*G362,IF(ISNUMBER(H362),H362,I362)))/(pit_googl_2029+pfac_googl_2029),site_googl_2029)</f>
        <v>7.58820465746527</v>
      </c>
    </row>
    <row r="364" customFormat="false" ht="17.15" hidden="false" customHeight="false" outlineLevel="0" collapsed="false">
      <c r="A364" s="0" t="s">
        <v>1744</v>
      </c>
      <c r="B364" s="0" t="s">
        <v>1344</v>
      </c>
      <c r="E364" s="8" t="n">
        <f aca="false">(1-lag)*E363+lag*D363-inv_k*(E363-D363)</f>
        <v>1.76384142518297</v>
      </c>
      <c r="F364" s="8" t="n">
        <f aca="false">(1-lag)*F363+lag*E363-inv_k*(F363-E363)</f>
        <v>3.04968749683329</v>
      </c>
      <c r="G364" s="8" t="n">
        <f aca="false">(1-lag)*G363+lag*F363-inv_k*(G363-F363)</f>
        <v>4.66826076118682</v>
      </c>
      <c r="H364" s="8" t="n">
        <f aca="false">(1-lag)*H363+lag*G363-inv_k*(H363-G363)</f>
        <v>5.9842697944795</v>
      </c>
      <c r="I364" s="8" t="n">
        <f aca="false">(1-lag)*I363+lag*H363-inv_k*(I363-H363)</f>
        <v>7.0767632303</v>
      </c>
    </row>
    <row r="365" customFormat="false" ht="17.15" hidden="false" customHeight="false" outlineLevel="0" collapsed="false">
      <c r="A365" s="0" t="s">
        <v>1745</v>
      </c>
      <c r="B365" s="0" t="s">
        <v>1346</v>
      </c>
      <c r="D365" s="8" t="n">
        <f aca="false">gcap_googl_2024*ai_sh</f>
        <v>44.65475</v>
      </c>
      <c r="E365" s="8" t="n">
        <f aca="false">gcap_googl_2025*ai_sh</f>
        <v>77.72995</v>
      </c>
      <c r="F365" s="8" t="n">
        <f aca="false">gcap_googl_2026*ai_sh</f>
        <v>170</v>
      </c>
      <c r="G365" s="8" t="n">
        <f aca="false">gcap_googl_2027*ai_sh</f>
        <v>246.810369</v>
      </c>
      <c r="H365" s="8" t="n">
        <f aca="false">gcap_googl_2028*ai_sh</f>
        <v>269.78900975</v>
      </c>
      <c r="I365" s="8" t="n">
        <f aca="false">gcap_googl_2029*ai_sh</f>
        <v>248.6767412</v>
      </c>
    </row>
    <row r="366" customFormat="false" ht="17.15" hidden="false" customHeight="false" outlineLevel="0" collapsed="false">
      <c r="A366" s="0" t="s">
        <v>1746</v>
      </c>
      <c r="B366" s="0" t="s">
        <v>1342</v>
      </c>
      <c r="D366" s="8" t="n">
        <f aca="false">IF(ISNUMBER(D365),(pit_googl_2024/(pit_googl_2024+pfac_googl_2024)*D365+pfac_googl_2024/(pit_googl_2024+pfac_googl_2024)*IF(AND(ISNUMBER(""),ISNUMBER("")),wb1_hi*""+wb2_hi*"",IF(ISNUMBER(""),"",D365)))/(pit_googl_2024+pfac_googl_2024),site_googl_2024)</f>
        <v>1.22628577156267</v>
      </c>
      <c r="E366" s="8" t="n">
        <f aca="false">IF(ISNUMBER(E365),(pit_googl_2025/(pit_googl_2025+pfac_googl_2025)*E365+pfac_googl_2025/(pit_googl_2025+pfac_googl_2025)*IF(AND(ISNUMBER(D365),ISNUMBER("")),wb1_hi*D365+wb2_hi*"",IF(ISNUMBER(D365),D365,E365)))/(pit_googl_2025+pfac_googl_2025),site_googl_2025)</f>
        <v>1.90684085060084</v>
      </c>
      <c r="F366" s="8" t="n">
        <f aca="false">IF(ISNUMBER(F365),(pit_googl_2026/(pit_googl_2026+pfac_googl_2026)*F365+pfac_googl_2026/(pit_googl_2026+pfac_googl_2026)*IF(AND(ISNUMBER(E365),ISNUMBER(D365)),wb1_hi*E365+wb2_hi*D365,IF(ISNUMBER(E365),E365,F365)))/(pit_googl_2026+pfac_googl_2026),site_googl_2026)</f>
        <v>3.63161317719951</v>
      </c>
      <c r="G366" s="8" t="n">
        <f aca="false">IF(ISNUMBER(G365),(pit_googl_2027/(pit_googl_2027+pfac_googl_2027)*G365+pfac_googl_2027/(pit_googl_2027+pfac_googl_2027)*IF(AND(ISNUMBER(F365),ISNUMBER(E365)),wb1_hi*F365+wb2_hi*E365,IF(ISNUMBER(F365),F365,G365)))/(pit_googl_2027+pfac_googl_2027),site_googl_2027)</f>
        <v>5.2286687436441</v>
      </c>
      <c r="H366" s="8" t="n">
        <f aca="false">IF(ISNUMBER(H365),(pit_googl_2028/(pit_googl_2028+pfac_googl_2028)*H365+pfac_googl_2028/(pit_googl_2028+pfac_googl_2028)*IF(AND(ISNUMBER(G365),ISNUMBER(F365)),wb1_hi*G365+wb2_hi*F365,IF(ISNUMBER(G365),G365,H365)))/(pit_googl_2028+pfac_googl_2028),site_googl_2028)</f>
        <v>6.15675383142673</v>
      </c>
      <c r="I366" s="8" t="n">
        <f aca="false">IF(ISNUMBER(I365),(pit_googl_2029/(pit_googl_2029+pfac_googl_2029)*I365+pfac_googl_2029/(pit_googl_2029+pfac_googl_2029)*IF(AND(ISNUMBER(H365),ISNUMBER(G365)),wb1_hi*H365+wb2_hi*G365,IF(ISNUMBER(H365),H365,I365)))/(pit_googl_2029+pfac_googl_2029),site_googl_2029)</f>
        <v>6.23210667467991</v>
      </c>
    </row>
    <row r="367" customFormat="false" ht="17.15" hidden="false" customHeight="false" outlineLevel="0" collapsed="false">
      <c r="A367" s="0" t="s">
        <v>1747</v>
      </c>
      <c r="B367" s="0" t="s">
        <v>1344</v>
      </c>
      <c r="E367" s="8" t="n">
        <f aca="false">(1-lag)*E366+lag*D366-inv_k*(E366-D366)</f>
        <v>1.58357718805771</v>
      </c>
      <c r="F367" s="8" t="n">
        <f aca="false">(1-lag)*F366+lag*E366-inv_k*(F366-E366)</f>
        <v>2.81234632206514</v>
      </c>
      <c r="G367" s="8" t="n">
        <f aca="false">(1-lag)*G366+lag*F366-inv_k*(G366-F366)</f>
        <v>4.47006734958292</v>
      </c>
      <c r="H367" s="8" t="n">
        <f aca="false">(1-lag)*H366+lag*G366-inv_k*(H366-G366)</f>
        <v>5.71591341472998</v>
      </c>
      <c r="I367" s="8" t="n">
        <f aca="false">(1-lag)*I366+lag*H366-inv_k*(I366-H366)</f>
        <v>6.19631407413465</v>
      </c>
    </row>
    <row r="368" customFormat="false" ht="17.15" hidden="false" customHeight="false" outlineLevel="0" collapsed="false">
      <c r="A368" s="0" t="s">
        <v>1748</v>
      </c>
      <c r="B368" s="0" t="s">
        <v>1350</v>
      </c>
      <c r="E368" s="8" t="n">
        <f aca="false">E367*(1-nnv_googl_2025)</f>
        <v>0.391143565450253</v>
      </c>
      <c r="F368" s="8" t="n">
        <f aca="false">F367*(1-nnv_googl_2026)</f>
        <v>0.69464954155009</v>
      </c>
      <c r="G368" s="8" t="n">
        <f aca="false">G367*(1-nnv_googl_2027)</f>
        <v>1.10410663534698</v>
      </c>
      <c r="H368" s="8" t="n">
        <f aca="false">H367*(1-nnv_googl_2028)</f>
        <v>1.41183061343831</v>
      </c>
      <c r="I368" s="8" t="n">
        <f aca="false">I367*(1-nnv_googl_2029)</f>
        <v>1.53048957631126</v>
      </c>
    </row>
    <row r="369" customFormat="false" ht="17.15" hidden="false" customHeight="false" outlineLevel="0" collapsed="false">
      <c r="A369" s="0" t="s">
        <v>1749</v>
      </c>
      <c r="B369" s="0" t="s">
        <v>1352</v>
      </c>
      <c r="D369" s="8" t="n">
        <f aca="false">site_googl_2024</f>
        <v>1.32980834349181</v>
      </c>
      <c r="E369" s="8" t="n">
        <f aca="false">site_googl_2025</f>
        <v>2.40961330082622</v>
      </c>
      <c r="F369" s="8" t="n">
        <f aca="false">site_googl_2026</f>
        <v>1.29267912772586</v>
      </c>
      <c r="G369" s="8" t="n">
        <f aca="false">site_googl_2027</f>
        <v>1.626</v>
      </c>
      <c r="H369" s="8" t="n">
        <f aca="false">site_googl_2028</f>
        <v>0.833333333333334</v>
      </c>
      <c r="I369" s="8" t="n">
        <f aca="false">site_googl_2029</f>
        <v>0</v>
      </c>
    </row>
    <row r="370" customFormat="false" ht="17.15" hidden="false" customHeight="false" outlineLevel="0" collapsed="false">
      <c r="A370" s="0" t="s">
        <v>1750</v>
      </c>
      <c r="B370" s="0" t="s">
        <v>1354</v>
      </c>
      <c r="D370" s="8" t="n">
        <f aca="false">main_googl_2024</f>
        <v>1.32980834349181</v>
      </c>
      <c r="E370" s="8" t="n">
        <f aca="false">main_googl_2025</f>
        <v>2.40961330082622</v>
      </c>
      <c r="F370" s="8" t="n">
        <f aca="false">main_googl_2026</f>
        <v>1.29267912772586</v>
      </c>
      <c r="G370" s="8" t="n">
        <f aca="false">main_googl_2027</f>
        <v>5.69768565998842</v>
      </c>
      <c r="H370" s="8" t="n">
        <f aca="false">main_googl_2028</f>
        <v>6.77682412398346</v>
      </c>
      <c r="I370" s="8" t="n">
        <f aca="false">main_googl_2029</f>
        <v>7.68929590970478</v>
      </c>
    </row>
    <row r="371" customFormat="false" ht="17.15" hidden="false" customHeight="false" outlineLevel="0" collapsed="false">
      <c r="A371" s="0" t="s">
        <v>1751</v>
      </c>
      <c r="B371" s="0" t="s">
        <v>1356</v>
      </c>
      <c r="D371" s="8" t="str">
        <f aca="false">IF(ISNUMBER(ai2_amzn_2024),ai2_amzn_2024,"")</f>
        <v/>
      </c>
      <c r="E371" s="8" t="n">
        <f aca="false">IF(ISNUMBER(ai2_amzn_2025),ai2_amzn_2025,"")</f>
        <v>87.2576</v>
      </c>
      <c r="F371" s="8" t="n">
        <f aca="false">IF(ISNUMBER(ai2_amzn_2026),ai2_amzn_2026,"")</f>
        <v>149.6</v>
      </c>
      <c r="G371" s="8" t="n">
        <f aca="false">IF(ISNUMBER(ai2_amzn_2027),ai2_amzn_2027,"")</f>
        <v>187.04284</v>
      </c>
      <c r="H371" s="8" t="n">
        <f aca="false">IF(ISNUMBER(ai2_amzn_2028),ai2_amzn_2028,"")</f>
        <v>199.19036</v>
      </c>
      <c r="I371" s="8" t="n">
        <f aca="false">IF(ISNUMBER(ai2_amzn_2029),ai2_amzn_2029,"")</f>
        <v>219.109396</v>
      </c>
    </row>
    <row r="372" customFormat="false" ht="17.15" hidden="false" customHeight="false" outlineLevel="0" collapsed="false">
      <c r="A372" s="0" t="s">
        <v>1752</v>
      </c>
      <c r="B372" s="0" t="s">
        <v>1358</v>
      </c>
      <c r="D372" s="8" t="n">
        <f aca="false">IF(ISNUMBER(D371),(pit_amzn_2024/(pit_amzn_2024+pfac_amzn_2024)*D371+pfac_amzn_2024/(pit_amzn_2024+pfac_amzn_2024)*IF(AND(ISNUMBER(""),ISNUMBER("")),wb1_hi*""+wb2_hi*"",IF(ISNUMBER(""),"",D371)))/(pit_amzn_2024+pfac_amzn_2024),site_amzn_2024)</f>
        <v>0</v>
      </c>
      <c r="E372" s="8" t="n">
        <f aca="false">IF(ISNUMBER(E371),(pit_amzn_2025/(pit_amzn_2025+pfac_amzn_2025)*E371+pfac_amzn_2025/(pit_amzn_2025+pfac_amzn_2025)*IF(AND(ISNUMBER(D371),ISNUMBER("")),wb1_hi*D371+wb2_hi*"",IF(ISNUMBER(D371),D371,E371)))/(pit_amzn_2025+pfac_amzn_2025),site_amzn_2025)</f>
        <v>2.6200438487091</v>
      </c>
      <c r="F372" s="8" t="n">
        <f aca="false">IF(ISNUMBER(F371),(pit_amzn_2026/(pit_amzn_2026+pfac_amzn_2026)*F371+pfac_amzn_2026/(pit_amzn_2026+pfac_amzn_2026)*IF(AND(ISNUMBER(E371),ISNUMBER(D371)),wb1_hi*E371+wb2_hi*D371,IF(ISNUMBER(E371),E371,F371)))/(pit_amzn_2026+pfac_amzn_2026),site_amzn_2026)</f>
        <v>3.72830685774426</v>
      </c>
      <c r="G372" s="8" t="n">
        <f aca="false">IF(ISNUMBER(G371),(pit_amzn_2027/(pit_amzn_2027+pfac_amzn_2027)*G371+pfac_amzn_2027/(pit_amzn_2027+pfac_amzn_2027)*IF(AND(ISNUMBER(F371),ISNUMBER(E371)),wb1_hi*F371+wb2_hi*E371,IF(ISNUMBER(F371),F371,G371)))/(pit_amzn_2027+pfac_amzn_2027),site_amzn_2027)</f>
        <v>4.33609470865083</v>
      </c>
      <c r="H372" s="8" t="n">
        <f aca="false">IF(ISNUMBER(H371),(pit_amzn_2028/(pit_amzn_2028+pfac_amzn_2028)*H371+pfac_amzn_2028/(pit_amzn_2028+pfac_amzn_2028)*IF(AND(ISNUMBER(G371),ISNUMBER(F371)),wb1_hi*G371+wb2_hi*F371,IF(ISNUMBER(G371),G371,H371)))/(pit_amzn_2028+pfac_amzn_2028),site_amzn_2028)</f>
        <v>4.87716558098185</v>
      </c>
      <c r="I372" s="8" t="n">
        <f aca="false">IF(ISNUMBER(I371),(pit_amzn_2029/(pit_amzn_2029+pfac_amzn_2029)*I371+pfac_amzn_2029/(pit_amzn_2029+pfac_amzn_2029)*IF(AND(ISNUMBER(H371),ISNUMBER(G371)),wb1_hi*H371+wb2_hi*G371,IF(ISNUMBER(H371),H371,I371)))/(pit_amzn_2029+pfac_amzn_2029),site_amzn_2029)</f>
        <v>5.50787827000546</v>
      </c>
    </row>
    <row r="373" customFormat="false" ht="17.15" hidden="false" customHeight="false" outlineLevel="0" collapsed="false">
      <c r="A373" s="0" t="s">
        <v>1753</v>
      </c>
      <c r="B373" s="0" t="s">
        <v>1360</v>
      </c>
      <c r="E373" s="8" t="n">
        <f aca="false">(1-lag)*E372+lag*D372-inv_k*(E372-D372)</f>
        <v>1.37552302057228</v>
      </c>
      <c r="F373" s="8" t="n">
        <f aca="false">(1-lag)*F372+lag*E372-inv_k*(F372-E372)</f>
        <v>3.20188192845256</v>
      </c>
      <c r="G373" s="8" t="n">
        <f aca="false">(1-lag)*G372+lag*F372-inv_k*(G372-F372)</f>
        <v>4.04739547947021</v>
      </c>
      <c r="H373" s="8" t="n">
        <f aca="false">(1-lag)*H372+lag*G372-inv_k*(H372-G372)</f>
        <v>4.62015691662462</v>
      </c>
      <c r="I373" s="8" t="n">
        <f aca="false">(1-lag)*I372+lag*H372-inv_k*(I372-H372)</f>
        <v>5.20828974271925</v>
      </c>
    </row>
    <row r="374" customFormat="false" ht="17.15" hidden="false" customHeight="false" outlineLevel="0" collapsed="false">
      <c r="A374" s="0" t="s">
        <v>1754</v>
      </c>
      <c r="B374" s="0" t="s">
        <v>1362</v>
      </c>
      <c r="D374" s="8" t="n">
        <f aca="false">gcap_amzn_2024*ai_amzn</f>
        <v>52.80744</v>
      </c>
      <c r="E374" s="8" t="n">
        <f aca="false">gcap_amzn_2025*ai_amzn</f>
        <v>87.2576</v>
      </c>
      <c r="F374" s="8" t="n">
        <f aca="false">gcap_amzn_2026*ai_amzn</f>
        <v>149.6</v>
      </c>
      <c r="G374" s="8" t="n">
        <f aca="false">gcap_amzn_2027*ai_amzn</f>
        <v>172.09445848</v>
      </c>
      <c r="H374" s="8" t="n">
        <f aca="false">gcap_amzn_2028*ai_amzn</f>
        <v>181.54066624</v>
      </c>
      <c r="I374" s="8" t="n">
        <f aca="false">gcap_amzn_2029*ai_amzn</f>
        <v>189.3160052</v>
      </c>
    </row>
    <row r="375" customFormat="false" ht="17.15" hidden="false" customHeight="false" outlineLevel="0" collapsed="false">
      <c r="A375" s="0" t="s">
        <v>1755</v>
      </c>
      <c r="B375" s="0" t="s">
        <v>1358</v>
      </c>
      <c r="D375" s="8" t="n">
        <f aca="false">IF(ISNUMBER(D374),(pit_amzn_2024/(pit_amzn_2024+pfac_amzn_2024)*D374+pfac_amzn_2024/(pit_amzn_2024+pfac_amzn_2024)*IF(AND(ISNUMBER(""),ISNUMBER("")),wb1_hi*""+wb2_hi*"",IF(ISNUMBER(""),"",D374)))/(pit_amzn_2024+pfac_amzn_2024),site_amzn_2024)</f>
        <v>1.56238534864816</v>
      </c>
      <c r="E375" s="8" t="n">
        <f aca="false">IF(ISNUMBER(E374),(pit_amzn_2025/(pit_amzn_2025+pfac_amzn_2025)*E374+pfac_amzn_2025/(pit_amzn_2025+pfac_amzn_2025)*IF(AND(ISNUMBER(D374),ISNUMBER("")),wb1_hi*D374+wb2_hi*"",IF(ISNUMBER(D374),D374,E374)))/(pit_amzn_2025+pfac_amzn_2025),site_amzn_2025)</f>
        <v>2.32934283296825</v>
      </c>
      <c r="F375" s="8" t="n">
        <f aca="false">IF(ISNUMBER(F374),(pit_amzn_2026/(pit_amzn_2026+pfac_amzn_2026)*F374+pfac_amzn_2026/(pit_amzn_2026+pfac_amzn_2026)*IF(AND(ISNUMBER(E374),ISNUMBER(D374)),wb1_hi*E374+wb2_hi*D374,IF(ISNUMBER(E374),E374,F374)))/(pit_amzn_2026+pfac_amzn_2026),site_amzn_2026)</f>
        <v>3.47599098805252</v>
      </c>
      <c r="G375" s="8" t="n">
        <f aca="false">IF(ISNUMBER(G374),(pit_amzn_2027/(pit_amzn_2027+pfac_amzn_2027)*G374+pfac_amzn_2027/(pit_amzn_2027+pfac_amzn_2027)*IF(AND(ISNUMBER(F374),ISNUMBER(E374)),wb1_hi*F374+wb2_hi*E374,IF(ISNUMBER(F374),F374,G374)))/(pit_amzn_2027+pfac_amzn_2027),site_amzn_2027)</f>
        <v>4.03628428255013</v>
      </c>
      <c r="H375" s="8" t="n">
        <f aca="false">IF(ISNUMBER(H374),(pit_amzn_2028/(pit_amzn_2028+pfac_amzn_2028)*H374+pfac_amzn_2028/(pit_amzn_2028+pfac_amzn_2028)*IF(AND(ISNUMBER(G374),ISNUMBER(F374)),wb1_hi*G374+wb2_hi*F374,IF(ISNUMBER(G374),G374,H374)))/(pit_amzn_2028+pfac_amzn_2028),site_amzn_2028)</f>
        <v>4.52932267755427</v>
      </c>
      <c r="I375" s="8" t="n">
        <f aca="false">IF(ISNUMBER(I374),(pit_amzn_2029/(pit_amzn_2029+pfac_amzn_2029)*I374+pfac_amzn_2029/(pit_amzn_2029+pfac_amzn_2029)*IF(AND(ISNUMBER(H374),ISNUMBER(G374)),wb1_hi*H374+wb2_hi*G374,IF(ISNUMBER(H374),H374,I374)))/(pit_amzn_2029+pfac_amzn_2029),site_amzn_2029)</f>
        <v>4.8256302915033</v>
      </c>
    </row>
    <row r="376" customFormat="false" ht="17.15" hidden="false" customHeight="false" outlineLevel="0" collapsed="false">
      <c r="A376" s="0" t="s">
        <v>1756</v>
      </c>
      <c r="B376" s="0" t="s">
        <v>1360</v>
      </c>
      <c r="E376" s="8" t="n">
        <f aca="false">(1-lag)*E375+lag*D375-inv_k*(E375-D375)</f>
        <v>1.96503802791621</v>
      </c>
      <c r="F376" s="8" t="n">
        <f aca="false">(1-lag)*F375+lag*E375-inv_k*(F375-E375)</f>
        <v>2.93133311438749</v>
      </c>
      <c r="G376" s="8" t="n">
        <f aca="false">(1-lag)*G375+lag*F375-inv_k*(G375-F375)</f>
        <v>3.77014496766376</v>
      </c>
      <c r="H376" s="8" t="n">
        <f aca="false">(1-lag)*H375+lag*G375-inv_k*(H375-G375)</f>
        <v>4.2951294399273</v>
      </c>
      <c r="I376" s="8" t="n">
        <f aca="false">(1-lag)*I375+lag*H375-inv_k*(I375-H375)</f>
        <v>4.68488417487751</v>
      </c>
    </row>
    <row r="377" customFormat="false" ht="17.15" hidden="false" customHeight="false" outlineLevel="0" collapsed="false">
      <c r="A377" s="0" t="s">
        <v>1757</v>
      </c>
      <c r="B377" s="0" t="s">
        <v>1366</v>
      </c>
      <c r="E377" s="8" t="n">
        <f aca="false">E376*(1-nnv_amzn_2025)</f>
        <v>0.648462549212348</v>
      </c>
      <c r="F377" s="8" t="n">
        <f aca="false">F376*(1-nnv_amzn_2026)</f>
        <v>0.967339927747872</v>
      </c>
      <c r="G377" s="8" t="n">
        <f aca="false">G376*(1-nnv_amzn_2027)</f>
        <v>1.24414783932904</v>
      </c>
      <c r="H377" s="8" t="n">
        <f aca="false">H376*(1-nnv_amzn_2028)</f>
        <v>1.41739271517601</v>
      </c>
      <c r="I377" s="8" t="n">
        <f aca="false">I376*(1-nnv_amzn_2029)</f>
        <v>1.54601177770958</v>
      </c>
    </row>
    <row r="378" customFormat="false" ht="17.15" hidden="false" customHeight="false" outlineLevel="0" collapsed="false">
      <c r="A378" s="0" t="s">
        <v>1758</v>
      </c>
      <c r="B378" s="0" t="s">
        <v>1368</v>
      </c>
      <c r="D378" s="8" t="n">
        <f aca="false">site_amzn_2024</f>
        <v>0</v>
      </c>
      <c r="E378" s="8" t="n">
        <f aca="false">site_amzn_2025</f>
        <v>1.38971599402093</v>
      </c>
      <c r="F378" s="8" t="n">
        <f aca="false">site_amzn_2026</f>
        <v>0.527</v>
      </c>
      <c r="G378" s="8" t="n">
        <f aca="false">site_amzn_2027</f>
        <v>0.364</v>
      </c>
      <c r="H378" s="8" t="n">
        <f aca="false">site_amzn_2028</f>
        <v>1.744</v>
      </c>
      <c r="I378" s="8" t="n">
        <f aca="false">site_amzn_2029</f>
        <v>0.0620000000000003</v>
      </c>
    </row>
    <row r="379" customFormat="false" ht="17.15" hidden="false" customHeight="false" outlineLevel="0" collapsed="false">
      <c r="A379" s="0" t="s">
        <v>1759</v>
      </c>
      <c r="B379" s="0" t="s">
        <v>1370</v>
      </c>
      <c r="D379" s="8" t="n">
        <f aca="false">main_amzn_2024</f>
        <v>0</v>
      </c>
      <c r="E379" s="8" t="n">
        <f aca="false">main_amzn_2025</f>
        <v>1.38971599402093</v>
      </c>
      <c r="F379" s="8" t="n">
        <f aca="false">main_amzn_2026</f>
        <v>0.527</v>
      </c>
      <c r="G379" s="8" t="n">
        <f aca="false">main_amzn_2027</f>
        <v>4.54496548273742</v>
      </c>
      <c r="H379" s="8" t="n">
        <f aca="false">main_amzn_2028</f>
        <v>4.99623819927339</v>
      </c>
      <c r="I379" s="8" t="n">
        <f aca="false">main_amzn_2029</f>
        <v>5.54650880690247</v>
      </c>
    </row>
    <row r="380" customFormat="false" ht="17.15" hidden="false" customHeight="false" outlineLevel="0" collapsed="false">
      <c r="A380" s="0" t="s">
        <v>1760</v>
      </c>
      <c r="B380" s="0" t="s">
        <v>1372</v>
      </c>
      <c r="D380" s="8" t="str">
        <f aca="false">IF(ISNUMBER(ai2_meta_2024),ai2_meta_2024,"")</f>
        <v/>
      </c>
      <c r="E380" s="8" t="str">
        <f aca="false">IF(ISNUMBER(ai2_meta_2025),ai2_meta_2025,"")</f>
        <v/>
      </c>
      <c r="F380" s="8" t="n">
        <f aca="false">IF(ISNUMBER(ai2_meta_2026),ai2_meta_2026,"")</f>
        <v>119</v>
      </c>
      <c r="G380" s="8" t="n">
        <f aca="false">IF(ISNUMBER(ai2_meta_2027),ai2_meta_2027,"")</f>
        <v>130.9</v>
      </c>
      <c r="H380" s="8" t="n">
        <f aca="false">IF(ISNUMBER(ai2_meta_2028),ai2_meta_2028,"")</f>
        <v>143.99</v>
      </c>
      <c r="I380" s="8" t="n">
        <f aca="false">IF(ISNUMBER(ai2_meta_2029),ai2_meta_2029,"")</f>
        <v>158.389</v>
      </c>
    </row>
    <row r="381" customFormat="false" ht="17.15" hidden="false" customHeight="false" outlineLevel="0" collapsed="false">
      <c r="A381" s="0" t="s">
        <v>1761</v>
      </c>
      <c r="B381" s="0" t="s">
        <v>1374</v>
      </c>
      <c r="D381" s="8" t="n">
        <f aca="false">IF(ISNUMBER(D380),(pit_meta_2024/(pit_meta_2024+pfac_meta_2024)*D380+pfac_meta_2024/(pit_meta_2024+pfac_meta_2024)*IF(AND(ISNUMBER(""),ISNUMBER("")),wb1_hi*""+wb2_hi*"",IF(ISNUMBER(""),"",D380)))/(pit_meta_2024+pfac_meta_2024),site_meta_2024)</f>
        <v>0</v>
      </c>
      <c r="E381" s="8" t="n">
        <f aca="false">IF(ISNUMBER(E380),(pit_meta_2025/(pit_meta_2025+pfac_meta_2025)*E380+pfac_meta_2025/(pit_meta_2025+pfac_meta_2025)*IF(AND(ISNUMBER(D380),ISNUMBER("")),wb1_hi*D380+wb2_hi*"",IF(ISNUMBER(D380),D380,E380)))/(pit_meta_2025+pfac_meta_2025),site_meta_2025)</f>
        <v>1.50812</v>
      </c>
      <c r="F381" s="8" t="n">
        <f aca="false">IF(ISNUMBER(F380),(pit_meta_2026/(pit_meta_2026+pfac_meta_2026)*F380+pfac_meta_2026/(pit_meta_2026+pfac_meta_2026)*IF(AND(ISNUMBER(E380),ISNUMBER(D380)),wb1_hi*E380+wb2_hi*D380,IF(ISNUMBER(E380),E380,F380)))/(pit_meta_2026+pfac_meta_2026),site_meta_2026)</f>
        <v>2.62796503624796</v>
      </c>
      <c r="G381" s="8" t="n">
        <f aca="false">IF(ISNUMBER(G380),(pit_meta_2027/(pit_meta_2027+pfac_meta_2027)*G380+pfac_meta_2027/(pit_meta_2027+pfac_meta_2027)*IF(AND(ISNUMBER(F380),ISNUMBER(E380)),wb1_hi*F380+wb2_hi*E380,IF(ISNUMBER(F380),F380,G380)))/(pit_meta_2027+pfac_meta_2027),site_meta_2027)</f>
        <v>2.62451187863681</v>
      </c>
      <c r="H381" s="8" t="n">
        <f aca="false">IF(ISNUMBER(H380),(pit_meta_2028/(pit_meta_2028+pfac_meta_2028)*H380+pfac_meta_2028/(pit_meta_2028+pfac_meta_2028)*IF(AND(ISNUMBER(G380),ISNUMBER(F380)),wb1_hi*G380+wb2_hi*F380,IF(ISNUMBER(G380),G380,H380)))/(pit_meta_2028+pfac_meta_2028),site_meta_2028)</f>
        <v>2.70855690167051</v>
      </c>
      <c r="I381" s="8" t="n">
        <f aca="false">IF(ISNUMBER(I380),(pit_meta_2029/(pit_meta_2029+pfac_meta_2029)*I380+pfac_meta_2029/(pit_meta_2029+pfac_meta_2029)*IF(AND(ISNUMBER(H380),ISNUMBER(G380)),wb1_hi*H380+wb2_hi*G380,IF(ISNUMBER(H380),H380,I380)))/(pit_meta_2029+pfac_meta_2029),site_meta_2029)</f>
        <v>2.98108506700605</v>
      </c>
    </row>
    <row r="382" customFormat="false" ht="17.15" hidden="false" customHeight="false" outlineLevel="0" collapsed="false">
      <c r="A382" s="0" t="s">
        <v>1762</v>
      </c>
      <c r="B382" s="0" t="s">
        <v>1376</v>
      </c>
      <c r="E382" s="8" t="n">
        <f aca="false">(1-lag)*E381+lag*D381-inv_k*(E381-D381)</f>
        <v>0.791763</v>
      </c>
      <c r="F382" s="8" t="n">
        <f aca="false">(1-lag)*F381+lag*E381-inv_k*(F381-E381)</f>
        <v>2.09603864403018</v>
      </c>
      <c r="G382" s="8" t="n">
        <f aca="false">(1-lag)*G381+lag*F381-inv_k*(G381-F381)</f>
        <v>2.62615212850211</v>
      </c>
      <c r="H382" s="8" t="n">
        <f aca="false">(1-lag)*H381+lag*G381-inv_k*(H381-G381)</f>
        <v>2.6686355157295</v>
      </c>
      <c r="I382" s="8" t="n">
        <f aca="false">(1-lag)*I381+lag*H381-inv_k*(I381-H381)</f>
        <v>2.85163418847167</v>
      </c>
    </row>
    <row r="383" customFormat="false" ht="17.15" hidden="false" customHeight="false" outlineLevel="0" collapsed="false">
      <c r="A383" s="0" t="s">
        <v>1763</v>
      </c>
      <c r="B383" s="0" t="s">
        <v>1378</v>
      </c>
      <c r="D383" s="8" t="n">
        <f aca="false">gcap_meta_2024*ai_sh</f>
        <v>33.34125</v>
      </c>
      <c r="E383" s="8" t="n">
        <f aca="false">gcap_meta_2025*ai_sh</f>
        <v>61.38275</v>
      </c>
      <c r="F383" s="8" t="n">
        <f aca="false">gcap_meta_2026*ai_sh</f>
        <v>119</v>
      </c>
      <c r="G383" s="8" t="n">
        <f aca="false">gcap_meta_2027*ai_sh</f>
        <v>174.8499963</v>
      </c>
      <c r="H383" s="8" t="n">
        <f aca="false">gcap_meta_2028*ai_sh</f>
        <v>186.39077355</v>
      </c>
      <c r="I383" s="8" t="n">
        <f aca="false">gcap_meta_2029*ai_sh</f>
        <v>165.57988355</v>
      </c>
    </row>
    <row r="384" customFormat="false" ht="17.15" hidden="false" customHeight="false" outlineLevel="0" collapsed="false">
      <c r="A384" s="0" t="s">
        <v>1764</v>
      </c>
      <c r="B384" s="0" t="s">
        <v>1374</v>
      </c>
      <c r="D384" s="8" t="n">
        <f aca="false">IF(ISNUMBER(D383),(pit_meta_2024/(pit_meta_2024+pfac_meta_2024)*D383+pfac_meta_2024/(pit_meta_2024+pfac_meta_2024)*IF(AND(ISNUMBER(""),ISNUMBER("")),wb1_hi*""+wb2_hi*"",IF(ISNUMBER(""),"",D383)))/(pit_meta_2024+pfac_meta_2024),site_meta_2024)</f>
        <v>0.817493736320288</v>
      </c>
      <c r="E384" s="8" t="n">
        <f aca="false">IF(ISNUMBER(E383),(pit_meta_2025/(pit_meta_2025+pfac_meta_2025)*E383+pfac_meta_2025/(pit_meta_2025+pfac_meta_2025)*IF(AND(ISNUMBER(D383),ISNUMBER("")),wb1_hi*D383+wb2_hi*"",IF(ISNUMBER(D383),D383,E383)))/(pit_meta_2025+pfac_meta_2025),site_meta_2025)</f>
        <v>1.33044623899154</v>
      </c>
      <c r="F384" s="8" t="n">
        <f aca="false">IF(ISNUMBER(F383),(pit_meta_2026/(pit_meta_2026+pfac_meta_2026)*F383+pfac_meta_2026/(pit_meta_2026+pfac_meta_2026)*IF(AND(ISNUMBER(E383),ISNUMBER(D383)),wb1_hi*E383+wb2_hi*D383,IF(ISNUMBER(E383),E383,F383)))/(pit_meta_2026+pfac_meta_2026),site_meta_2026)</f>
        <v>2.11758748296057</v>
      </c>
      <c r="G384" s="8" t="n">
        <f aca="false">IF(ISNUMBER(G383),(pit_meta_2027/(pit_meta_2027+pfac_meta_2027)*G383+pfac_meta_2027/(pit_meta_2027+pfac_meta_2027)*IF(AND(ISNUMBER(F383),ISNUMBER(E383)),wb1_hi*F383+wb2_hi*E383,IF(ISNUMBER(F383),F383,G383)))/(pit_meta_2027+pfac_meta_2027),site_meta_2027)</f>
        <v>3.0067416702622</v>
      </c>
      <c r="H384" s="8" t="n">
        <f aca="false">IF(ISNUMBER(H383),(pit_meta_2028/(pit_meta_2028+pfac_meta_2028)*H383+pfac_meta_2028/(pit_meta_2028+pfac_meta_2028)*IF(AND(ISNUMBER(G383),ISNUMBER(F383)),wb1_hi*G383+wb2_hi*F383,IF(ISNUMBER(G383),G383,H383)))/(pit_meta_2028+pfac_meta_2028),site_meta_2028)</f>
        <v>3.3420962513823</v>
      </c>
      <c r="I384" s="8" t="n">
        <f aca="false">IF(ISNUMBER(I383),(pit_meta_2029/(pit_meta_2029+pfac_meta_2029)*I383+pfac_meta_2029/(pit_meta_2029+pfac_meta_2029)*IF(AND(ISNUMBER(H383),ISNUMBER(G383)),wb1_hi*H383+wb2_hi*G383,IF(ISNUMBER(H383),H383,I383)))/(pit_meta_2029+pfac_meta_2029),site_meta_2029)</f>
        <v>3.2944892916899</v>
      </c>
    </row>
    <row r="385" customFormat="false" ht="17.15" hidden="false" customHeight="false" outlineLevel="0" collapsed="false">
      <c r="A385" s="0" t="s">
        <v>1765</v>
      </c>
      <c r="B385" s="0" t="s">
        <v>1376</v>
      </c>
      <c r="E385" s="8" t="n">
        <f aca="false">(1-lag)*E384+lag*D384-inv_k*(E384-D384)</f>
        <v>1.08679380022269</v>
      </c>
      <c r="F385" s="8" t="n">
        <f aca="false">(1-lag)*F384+lag*E384-inv_k*(F384-E384)</f>
        <v>1.74369539207528</v>
      </c>
      <c r="G385" s="8" t="n">
        <f aca="false">(1-lag)*G384+lag*F384-inv_k*(G384-F384)</f>
        <v>2.58439343129392</v>
      </c>
      <c r="H385" s="8" t="n">
        <f aca="false">(1-lag)*H384+lag*G384-inv_k*(H384-G384)</f>
        <v>3.18280282535025</v>
      </c>
      <c r="I385" s="8" t="n">
        <f aca="false">(1-lag)*I384+lag*H384-inv_k*(I384-H384)</f>
        <v>3.31710259754379</v>
      </c>
    </row>
    <row r="386" customFormat="false" ht="17.15" hidden="false" customHeight="false" outlineLevel="0" collapsed="false">
      <c r="A386" s="0" t="s">
        <v>1766</v>
      </c>
      <c r="B386" s="0" t="s">
        <v>1382</v>
      </c>
      <c r="E386" s="8" t="n">
        <f aca="false">E385*(1-nnv_meta_2025)</f>
        <v>0.827908576068328</v>
      </c>
      <c r="F386" s="8" t="n">
        <f aca="false">F385*(1-nnv_meta_2026)</f>
        <v>1.32832959559959</v>
      </c>
      <c r="G386" s="8" t="n">
        <f aca="false">G385*(1-nnv_meta_2027)</f>
        <v>1.87859077254147</v>
      </c>
      <c r="H386" s="8" t="n">
        <f aca="false">H385*(1-nnv_meta_2028)</f>
        <v>2.32465108399296</v>
      </c>
      <c r="I386" s="8" t="n">
        <f aca="false">I385*(1-nnv_meta_2029)</f>
        <v>2.41422870306518</v>
      </c>
    </row>
    <row r="387" customFormat="false" ht="17.15" hidden="false" customHeight="false" outlineLevel="0" collapsed="false">
      <c r="A387" s="0" t="s">
        <v>1767</v>
      </c>
      <c r="B387" s="0" t="s">
        <v>1384</v>
      </c>
      <c r="D387" s="8" t="n">
        <f aca="false">site_meta_2024</f>
        <v>0</v>
      </c>
      <c r="E387" s="8" t="n">
        <f aca="false">site_meta_2025</f>
        <v>1.50812</v>
      </c>
      <c r="F387" s="8" t="n">
        <f aca="false">site_meta_2026</f>
        <v>0.676</v>
      </c>
      <c r="G387" s="8" t="n">
        <f aca="false">site_meta_2027</f>
        <v>0.615</v>
      </c>
      <c r="H387" s="8" t="n">
        <f aca="false">site_meta_2028</f>
        <v>2.99433333333333</v>
      </c>
      <c r="I387" s="8" t="n">
        <f aca="false">site_meta_2029</f>
        <v>0.968</v>
      </c>
    </row>
    <row r="388" customFormat="false" ht="17.15" hidden="false" customHeight="false" outlineLevel="0" collapsed="false">
      <c r="A388" s="0" t="s">
        <v>1768</v>
      </c>
      <c r="B388" s="0" t="s">
        <v>1386</v>
      </c>
      <c r="D388" s="8" t="n">
        <f aca="false">main_meta_2024</f>
        <v>0</v>
      </c>
      <c r="E388" s="8" t="n">
        <f aca="false">main_meta_2025</f>
        <v>1.50812</v>
      </c>
      <c r="F388" s="8" t="n">
        <f aca="false">main_meta_2026</f>
        <v>0.676</v>
      </c>
      <c r="G388" s="8" t="n">
        <f aca="false">main_meta_2027</f>
        <v>0.615</v>
      </c>
      <c r="H388" s="8" t="n">
        <f aca="false">main_meta_2028</f>
        <v>2.73641202658016</v>
      </c>
      <c r="I388" s="8" t="n">
        <f aca="false">main_meta_2029</f>
        <v>3.01174825182942</v>
      </c>
    </row>
    <row r="389" customFormat="false" ht="17.15" hidden="false" customHeight="false" outlineLevel="0" collapsed="false">
      <c r="A389" s="0" t="s">
        <v>1769</v>
      </c>
      <c r="B389" s="0" t="s">
        <v>1388</v>
      </c>
      <c r="D389" s="8" t="str">
        <f aca="false">IF(ISNUMBER(ai2_orcl_2024),ai2_orcl_2024,"")</f>
        <v/>
      </c>
      <c r="E389" s="8" t="n">
        <f aca="false">IF(ISNUMBER(ai2_orcl_2025),ai2_orcl_2025,"")</f>
        <v>35.1132166666667</v>
      </c>
      <c r="F389" s="8" t="n">
        <f aca="false">IF(ISNUMBER(ai2_orcl_2026),ai2_orcl_2026,"")</f>
        <v>65.5785625</v>
      </c>
      <c r="G389" s="8" t="n">
        <f aca="false">IF(ISNUMBER(ai2_orcl_2027),ai2_orcl_2027,"")</f>
        <v>82.8207416666667</v>
      </c>
      <c r="H389" s="8" t="n">
        <f aca="false">IF(ISNUMBER(ai2_orcl_2028),ai2_orcl_2028,"")</f>
        <v>77.8278416666667</v>
      </c>
      <c r="I389" s="8" t="n">
        <f aca="false">IF(ISNUMBER(ai2_orcl_2029),ai2_orcl_2029,"")</f>
        <v>76.3278466666667</v>
      </c>
    </row>
    <row r="390" customFormat="false" ht="17.15" hidden="false" customHeight="false" outlineLevel="0" collapsed="false">
      <c r="A390" s="0" t="s">
        <v>1770</v>
      </c>
      <c r="B390" s="0" t="s">
        <v>1390</v>
      </c>
      <c r="D390" s="8" t="n">
        <f aca="false">IF(ISNUMBER(D389),(pit_orcl_2024/(pit_orcl_2024+pfac_orcl_2024)*D389+pfac_orcl_2024/(pit_orcl_2024+pfac_orcl_2024)*IF(AND(ISNUMBER(""),ISNUMBER("")),wb1_hi*""+wb2_hi*"",IF(ISNUMBER(""),"",D389)))/(pit_orcl_2024+pfac_orcl_2024),site_orcl_2024)</f>
        <v>0</v>
      </c>
      <c r="E390" s="8" t="n">
        <f aca="false">IF(ISNUMBER(E389),(pit_orcl_2025/(pit_orcl_2025+pfac_orcl_2025)*E389+pfac_orcl_2025/(pit_orcl_2025+pfac_orcl_2025)*IF(AND(ISNUMBER(D389),ISNUMBER("")),wb1_hi*D389+wb2_hi*"",IF(ISNUMBER(D389),D389,E389)))/(pit_orcl_2025+pfac_orcl_2025),site_orcl_2025)</f>
        <v>0.885776418247533</v>
      </c>
      <c r="F390" s="8" t="n">
        <f aca="false">IF(ISNUMBER(F389),(pit_orcl_2026/(pit_orcl_2026+pfac_orcl_2026)*F389+pfac_orcl_2026/(pit_orcl_2026+pfac_orcl_2026)*IF(AND(ISNUMBER(E389),ISNUMBER(D389)),wb1_hi*E389+wb2_hi*D389,IF(ISNUMBER(E389),E389,F389)))/(pit_orcl_2026+pfac_orcl_2026),site_orcl_2026)</f>
        <v>1.26669929939621</v>
      </c>
      <c r="G390" s="8" t="n">
        <f aca="false">IF(ISNUMBER(G389),(pit_orcl_2027/(pit_orcl_2027+pfac_orcl_2027)*G389+pfac_orcl_2027/(pit_orcl_2027+pfac_orcl_2027)*IF(AND(ISNUMBER(F389),ISNUMBER(E389)),wb1_hi*F389+wb2_hi*E389,IF(ISNUMBER(F389),F389,G389)))/(pit_orcl_2027+pfac_orcl_2027),site_orcl_2027)</f>
        <v>1.45507330177651</v>
      </c>
      <c r="H390" s="8" t="n">
        <f aca="false">IF(ISNUMBER(H389),(pit_orcl_2028/(pit_orcl_2028+pfac_orcl_2028)*H389+pfac_orcl_2028/(pit_orcl_2028+pfac_orcl_2028)*IF(AND(ISNUMBER(G389),ISNUMBER(F389)),wb1_hi*G389+wb2_hi*F389,IF(ISNUMBER(G389),G389,H389)))/(pit_orcl_2028+pfac_orcl_2028),site_orcl_2028)</f>
        <v>1.46988797605982</v>
      </c>
      <c r="I390" s="8" t="n">
        <f aca="false">IF(ISNUMBER(I389),(pit_orcl_2029/(pit_orcl_2029+pfac_orcl_2029)*I389+pfac_orcl_2029/(pit_orcl_2029+pfac_orcl_2029)*IF(AND(ISNUMBER(H389),ISNUMBER(G389)),wb1_hi*H389+wb2_hi*G389,IF(ISNUMBER(H389),H389,I389)))/(pit_orcl_2029+pfac_orcl_2029),site_orcl_2029)</f>
        <v>1.52906932337929</v>
      </c>
    </row>
    <row r="391" customFormat="false" ht="17.15" hidden="false" customHeight="false" outlineLevel="0" collapsed="false">
      <c r="A391" s="0" t="s">
        <v>1771</v>
      </c>
      <c r="B391" s="0" t="s">
        <v>1392</v>
      </c>
      <c r="E391" s="8" t="n">
        <f aca="false">(1-lag)*E390+lag*D390-inv_k*(E390-D390)</f>
        <v>0.465032619579955</v>
      </c>
      <c r="F391" s="8" t="n">
        <f aca="false">(1-lag)*F390+lag*E390-inv_k*(F390-E390)</f>
        <v>1.08576093085059</v>
      </c>
      <c r="G391" s="8" t="n">
        <f aca="false">(1-lag)*G390+lag*F390-inv_k*(G390-F390)</f>
        <v>1.36559565064587</v>
      </c>
      <c r="H391" s="8" t="n">
        <f aca="false">(1-lag)*H390+lag*G390-inv_k*(H390-G390)</f>
        <v>1.46285100577525</v>
      </c>
      <c r="I391" s="8" t="n">
        <f aca="false">(1-lag)*I390+lag*H390-inv_k*(I390-H390)</f>
        <v>1.50095818340254</v>
      </c>
    </row>
    <row r="392" customFormat="false" ht="17.15" hidden="false" customHeight="false" outlineLevel="0" collapsed="false">
      <c r="A392" s="0" t="s">
        <v>1772</v>
      </c>
      <c r="B392" s="0" t="s">
        <v>1394</v>
      </c>
      <c r="D392" s="8" t="str">
        <f aca="false">""</f>
        <v/>
      </c>
      <c r="E392" s="8" t="n">
        <f aca="false">(5/12*cap2_orcl_2025+7/12*gcap_orcl_2026)*ai_sh</f>
        <v>35.1132166666667</v>
      </c>
      <c r="F392" s="8" t="n">
        <f aca="false">(5/12*gcap_orcl_2026+7/12*gcap_orcl_2027)*ai_sh</f>
        <v>65.5785625</v>
      </c>
      <c r="G392" s="8" t="n">
        <f aca="false">(5/12*gcap_orcl_2027+7/12*gcap_orcl_2028)*ai_sh</f>
        <v>75.599189975</v>
      </c>
      <c r="H392" s="8" t="n">
        <f aca="false">(5/12*gcap_orcl_2028+7/12*gcap_orcl_2029)*ai_sh</f>
        <v>49.4435487791667</v>
      </c>
      <c r="I392" s="8" t="n">
        <f aca="false">(5/12*gcap_orcl_2029+7/12*gcap_orcl_2030)*ai_sh</f>
        <v>23.382754125</v>
      </c>
    </row>
    <row r="393" customFormat="false" ht="17.15" hidden="false" customHeight="false" outlineLevel="0" collapsed="false">
      <c r="A393" s="0" t="s">
        <v>1773</v>
      </c>
      <c r="B393" s="0" t="s">
        <v>1390</v>
      </c>
      <c r="D393" s="8" t="n">
        <f aca="false">IF(ISNUMBER(D392),(pit_orcl_2024/(pit_orcl_2024+pfac_orcl_2024)*D392+pfac_orcl_2024/(pit_orcl_2024+pfac_orcl_2024)*IF(AND(ISNUMBER(""),ISNUMBER("")),wb1_hi*""+wb2_hi*"",IF(ISNUMBER(""),"",D392)))/(pit_orcl_2024+pfac_orcl_2024),site_orcl_2024)</f>
        <v>0</v>
      </c>
      <c r="E393" s="8" t="n">
        <f aca="false">IF(ISNUMBER(E392),(pit_orcl_2025/(pit_orcl_2025+pfac_orcl_2025)*E392+pfac_orcl_2025/(pit_orcl_2025+pfac_orcl_2025)*IF(AND(ISNUMBER(D392),ISNUMBER("")),wb1_hi*D392+wb2_hi*"",IF(ISNUMBER(D392),D392,E392)))/(pit_orcl_2025+pfac_orcl_2025),site_orcl_2025)</f>
        <v>0.885776418247532</v>
      </c>
      <c r="F393" s="8" t="n">
        <f aca="false">IF(ISNUMBER(F392),(pit_orcl_2026/(pit_orcl_2026+pfac_orcl_2026)*F392+pfac_orcl_2026/(pit_orcl_2026+pfac_orcl_2026)*IF(AND(ISNUMBER(E392),ISNUMBER(D392)),wb1_hi*E392+wb2_hi*D392,IF(ISNUMBER(E392),E392,F392)))/(pit_orcl_2026+pfac_orcl_2026),site_orcl_2026)</f>
        <v>1.26669929939621</v>
      </c>
      <c r="G393" s="8" t="n">
        <f aca="false">IF(ISNUMBER(G392),(pit_orcl_2027/(pit_orcl_2027+pfac_orcl_2027)*G392+pfac_orcl_2027/(pit_orcl_2027+pfac_orcl_2027)*IF(AND(ISNUMBER(F392),ISNUMBER(E392)),wb1_hi*F392+wb2_hi*E392,IF(ISNUMBER(F392),F392,G392)))/(pit_orcl_2027+pfac_orcl_2027),site_orcl_2027)</f>
        <v>1.34385494335977</v>
      </c>
      <c r="H393" s="8" t="n">
        <f aca="false">IF(ISNUMBER(H392),(pit_orcl_2028/(pit_orcl_2028+pfac_orcl_2028)*H392+pfac_orcl_2028/(pit_orcl_2028+pfac_orcl_2028)*IF(AND(ISNUMBER(G392),ISNUMBER(F392)),wb1_hi*G392+wb2_hi*F392,IF(ISNUMBER(G392),G392,H392)))/(pit_orcl_2028+pfac_orcl_2028),site_orcl_2028)</f>
        <v>1.04577858011282</v>
      </c>
      <c r="I393" s="8" t="n">
        <f aca="false">IF(ISNUMBER(I392),(pit_orcl_2029/(pit_orcl_2029+pfac_orcl_2029)*I392+pfac_orcl_2029/(pit_orcl_2029+pfac_orcl_2029)*IF(AND(ISNUMBER(H392),ISNUMBER(G392)),wb1_hi*H392+wb2_hi*G392,IF(ISNUMBER(H392),H392,I392)))/(pit_orcl_2029+pfac_orcl_2029),site_orcl_2029)</f>
        <v>0.703738856479779</v>
      </c>
    </row>
    <row r="394" customFormat="false" ht="17.15" hidden="false" customHeight="false" outlineLevel="0" collapsed="false">
      <c r="A394" s="0" t="s">
        <v>1774</v>
      </c>
      <c r="B394" s="0" t="s">
        <v>1392</v>
      </c>
      <c r="E394" s="8" t="n">
        <f aca="false">(1-lag)*E393+lag*D393-inv_k*(E393-D393)</f>
        <v>0.465032619579954</v>
      </c>
      <c r="F394" s="8" t="n">
        <f aca="false">(1-lag)*F393+lag*E393-inv_k*(F393-E393)</f>
        <v>1.08576093085059</v>
      </c>
      <c r="G394" s="8" t="n">
        <f aca="false">(1-lag)*G393+lag*F393-inv_k*(G393-F393)</f>
        <v>1.30720601247708</v>
      </c>
      <c r="H394" s="8" t="n">
        <f aca="false">(1-lag)*H393+lag*G393-inv_k*(H393-G393)</f>
        <v>1.18736485265512</v>
      </c>
      <c r="I394" s="8" t="n">
        <f aca="false">(1-lag)*I393+lag*H393-inv_k*(I393-H393)</f>
        <v>0.866207725205476</v>
      </c>
    </row>
    <row r="395" customFormat="false" ht="17.15" hidden="false" customHeight="false" outlineLevel="0" collapsed="false">
      <c r="A395" s="0" t="s">
        <v>1775</v>
      </c>
      <c r="B395" s="0" t="s">
        <v>1398</v>
      </c>
      <c r="E395" s="8" t="n">
        <f aca="false">E394*(1-nnv_orcl_2025)</f>
        <v>0.354257168032127</v>
      </c>
      <c r="F395" s="8" t="n">
        <f aca="false">F394*(1-nnv_orcl_2026)</f>
        <v>0.827121746578734</v>
      </c>
      <c r="G395" s="8" t="n">
        <f aca="false">G394*(1-nnv_orcl_2027)</f>
        <v>0.950205616186184</v>
      </c>
      <c r="H395" s="8" t="n">
        <f aca="false">H394*(1-nnv_orcl_2028)</f>
        <v>0.867225883374076</v>
      </c>
      <c r="I395" s="8" t="n">
        <f aca="false">I394*(1-nnv_orcl_2029)</f>
        <v>0.630436801851211</v>
      </c>
    </row>
    <row r="396" customFormat="false" ht="17.15" hidden="false" customHeight="false" outlineLevel="0" collapsed="false">
      <c r="A396" s="0" t="s">
        <v>1776</v>
      </c>
      <c r="B396" s="0" t="s">
        <v>1400</v>
      </c>
      <c r="D396" s="8" t="n">
        <f aca="false">site_orcl_2024</f>
        <v>0</v>
      </c>
      <c r="E396" s="8" t="n">
        <f aca="false">site_orcl_2025</f>
        <v>0.816405</v>
      </c>
      <c r="F396" s="8" t="n">
        <f aca="false">site_orcl_2026</f>
        <v>1.54613</v>
      </c>
      <c r="G396" s="8" t="n">
        <f aca="false">site_orcl_2027</f>
        <v>0.944166666666667</v>
      </c>
      <c r="H396" s="8" t="n">
        <f aca="false">site_orcl_2028</f>
        <v>4.91166666666667</v>
      </c>
      <c r="I396" s="8" t="n">
        <f aca="false">site_orcl_2029</f>
        <v>0</v>
      </c>
    </row>
    <row r="397" customFormat="false" ht="17.15" hidden="false" customHeight="false" outlineLevel="0" collapsed="false">
      <c r="A397" s="0" t="s">
        <v>1777</v>
      </c>
      <c r="B397" s="0" t="s">
        <v>1402</v>
      </c>
      <c r="D397" s="8" t="n">
        <f aca="false">main_orcl_2024</f>
        <v>0</v>
      </c>
      <c r="E397" s="8" t="n">
        <f aca="false">main_orcl_2025</f>
        <v>0.816405</v>
      </c>
      <c r="F397" s="8" t="n">
        <f aca="false">main_orcl_2026</f>
        <v>1.54613</v>
      </c>
      <c r="G397" s="8" t="n">
        <f aca="false">main_orcl_2027</f>
        <v>1.53296918960021</v>
      </c>
      <c r="H397" s="8" t="n">
        <f aca="false">main_orcl_2028</f>
        <v>1.51024789659781</v>
      </c>
      <c r="I397" s="8" t="n">
        <f aca="false">main_orcl_2029</f>
        <v>1.51737350859666</v>
      </c>
    </row>
    <row r="398" customFormat="false" ht="17.15" hidden="false" customHeight="false" outlineLevel="0" collapsed="false">
      <c r="A398" s="0" t="s">
        <v>1778</v>
      </c>
      <c r="B398" s="0" t="s">
        <v>1404</v>
      </c>
      <c r="D398" s="8" t="str">
        <f aca="false">IF(ISNUMBER(ai2_crwv_2024),ai2_crwv_2024,"")</f>
        <v/>
      </c>
      <c r="E398" s="8" t="str">
        <f aca="false">IF(ISNUMBER(ai2_crwv_2025),ai2_crwv_2025,"")</f>
        <v/>
      </c>
      <c r="F398" s="8" t="n">
        <f aca="false">IF(ISNUMBER(ai2_crwv_2026),ai2_crwv_2026,"")</f>
        <v>31.45</v>
      </c>
      <c r="G398" s="8" t="n">
        <f aca="false">IF(ISNUMBER(ai2_crwv_2027),ai2_crwv_2027,"")</f>
        <v>39.5046</v>
      </c>
      <c r="H398" s="8" t="n">
        <f aca="false">IF(ISNUMBER(ai2_crwv_2028),ai2_crwv_2028,"")</f>
        <v>42.60965</v>
      </c>
      <c r="I398" s="8" t="n">
        <f aca="false">IF(ISNUMBER(ai2_crwv_2029),ai2_crwv_2029,"")</f>
        <v>46.870615</v>
      </c>
    </row>
    <row r="399" customFormat="false" ht="17.15" hidden="false" customHeight="false" outlineLevel="0" collapsed="false">
      <c r="A399" s="0" t="s">
        <v>1779</v>
      </c>
      <c r="B399" s="0" t="s">
        <v>1406</v>
      </c>
      <c r="D399" s="8" t="n">
        <f aca="false">IF(ISNUMBER(D398),(pit_crwv_2024/(pit_crwv_2024+pfac_crwv_2024)*D398+pfac_crwv_2024/(pit_crwv_2024+pfac_crwv_2024)*IF(AND(ISNUMBER(""),ISNUMBER("")),wb1_hi*""+wb2_hi*"",IF(ISNUMBER(""),"",D398)))/(pit_crwv_2024+pfac_crwv_2024),site_crwv_2024)</f>
        <v>0.29</v>
      </c>
      <c r="E399" s="8" t="n">
        <f aca="false">IF(ISNUMBER(E398),(pit_crwv_2025/(pit_crwv_2025+pfac_crwv_2025)*E398+pfac_crwv_2025/(pit_crwv_2025+pfac_crwv_2025)*IF(AND(ISNUMBER(D398),ISNUMBER("")),wb1_hi*D398+wb2_hi*"",IF(ISNUMBER(D398),D398,E398)))/(pit_crwv_2025+pfac_crwv_2025),site_crwv_2025)</f>
        <v>0.49</v>
      </c>
      <c r="F399" s="8" t="n">
        <f aca="false">IF(ISNUMBER(F398),(pit_crwv_2026/(pit_crwv_2026+pfac_crwv_2026)*F398+pfac_crwv_2026/(pit_crwv_2026+pfac_crwv_2026)*IF(AND(ISNUMBER(E398),ISNUMBER(D398)),wb1_hi*E398+wb2_hi*D398,IF(ISNUMBER(E398),E398,F398)))/(pit_crwv_2026+pfac_crwv_2026),site_crwv_2026)</f>
        <v>0.6824489639016</v>
      </c>
      <c r="G399" s="8" t="n">
        <f aca="false">IF(ISNUMBER(G398),(pit_crwv_2027/(pit_crwv_2027+pfac_crwv_2027)*G398+pfac_crwv_2027/(pit_crwv_2027+pfac_crwv_2027)*IF(AND(ISNUMBER(F398),ISNUMBER(E398)),wb1_hi*F398+wb2_hi*E398,IF(ISNUMBER(F398),F398,G398)))/(pit_crwv_2027+pfac_crwv_2027),site_crwv_2027)</f>
        <v>0.735222622408663</v>
      </c>
      <c r="H399" s="8" t="n">
        <f aca="false">IF(ISNUMBER(H398),(pit_crwv_2028/(pit_crwv_2028+pfac_crwv_2028)*H398+pfac_crwv_2028/(pit_crwv_2028+pfac_crwv_2028)*IF(AND(ISNUMBER(G398),ISNUMBER(F398)),wb1_hi*G398+wb2_hi*F398,IF(ISNUMBER(G398),G398,H398)))/(pit_crwv_2028+pfac_crwv_2028),site_crwv_2028)</f>
        <v>0.740545400794723</v>
      </c>
      <c r="I399" s="8" t="n">
        <f aca="false">IF(ISNUMBER(I398),(pit_crwv_2029/(pit_crwv_2029+pfac_crwv_2029)*I398+pfac_crwv_2029/(pit_crwv_2029+pfac_crwv_2029)*IF(AND(ISNUMBER(H398),ISNUMBER(G398)),wb1_hi*H398+wb2_hi*G398,IF(ISNUMBER(H398),H398,I398)))/(pit_crwv_2029+pfac_crwv_2029),site_crwv_2029)</f>
        <v>0.835930048637001</v>
      </c>
    </row>
    <row r="400" customFormat="false" ht="17.15" hidden="false" customHeight="false" outlineLevel="0" collapsed="false">
      <c r="A400" s="0" t="s">
        <v>1780</v>
      </c>
      <c r="B400" s="0" t="s">
        <v>1408</v>
      </c>
      <c r="E400" s="8" t="n">
        <f aca="false">(1-lag)*E399+lag*D399-inv_k*(E399-D399)</f>
        <v>0.395</v>
      </c>
      <c r="F400" s="8" t="n">
        <f aca="false">(1-lag)*F399+lag*E399-inv_k*(F399-E399)</f>
        <v>0.59103570604834</v>
      </c>
      <c r="G400" s="8" t="n">
        <f aca="false">(1-lag)*G399+lag*F399-inv_k*(G399-F399)</f>
        <v>0.710155134617808</v>
      </c>
      <c r="H400" s="8" t="n">
        <f aca="false">(1-lag)*H399+lag*G399-inv_k*(H399-G399)</f>
        <v>0.738017081061345</v>
      </c>
      <c r="I400" s="8" t="n">
        <f aca="false">(1-lag)*I399+lag*H399-inv_k*(I399-H399)</f>
        <v>0.790622340911919</v>
      </c>
    </row>
    <row r="401" customFormat="false" ht="17.15" hidden="false" customHeight="false" outlineLevel="0" collapsed="false">
      <c r="A401" s="0" t="s">
        <v>1781</v>
      </c>
      <c r="B401" s="0" t="s">
        <v>1410</v>
      </c>
      <c r="D401" s="8" t="str">
        <f aca="false">""</f>
        <v/>
      </c>
      <c r="E401" s="8" t="str">
        <f aca="false">""</f>
        <v/>
      </c>
      <c r="F401" s="8" t="n">
        <f aca="false">gcap_crwv_2026*ai_sh</f>
        <v>28.0313</v>
      </c>
      <c r="G401" s="8" t="n">
        <f aca="false">gcap_crwv_2027*ai_sh</f>
        <v>33.45858485</v>
      </c>
      <c r="H401" s="8" t="n">
        <f aca="false">gcap_crwv_2028*ai_sh</f>
        <v>27.6353649</v>
      </c>
      <c r="I401" s="8" t="n">
        <f aca="false">gcap_crwv_2029*ai_sh</f>
        <v>27.7951071</v>
      </c>
    </row>
    <row r="402" customFormat="false" ht="17.15" hidden="false" customHeight="false" outlineLevel="0" collapsed="false">
      <c r="A402" s="0" t="s">
        <v>1782</v>
      </c>
      <c r="B402" s="0" t="s">
        <v>1406</v>
      </c>
      <c r="D402" s="8" t="n">
        <f aca="false">IF(ISNUMBER(D401),(pit_crwv_2024/(pit_crwv_2024+pfac_crwv_2024)*D401+pfac_crwv_2024/(pit_crwv_2024+pfac_crwv_2024)*IF(AND(ISNUMBER(""),ISNUMBER("")),wb1_hi*""+wb2_hi*"",IF(ISNUMBER(""),"",D401)))/(pit_crwv_2024+pfac_crwv_2024),site_crwv_2024)</f>
        <v>0.29</v>
      </c>
      <c r="E402" s="8" t="n">
        <f aca="false">IF(ISNUMBER(E401),(pit_crwv_2025/(pit_crwv_2025+pfac_crwv_2025)*E401+pfac_crwv_2025/(pit_crwv_2025+pfac_crwv_2025)*IF(AND(ISNUMBER(D401),ISNUMBER("")),wb1_hi*D401+wb2_hi*"",IF(ISNUMBER(D401),D401,E401)))/(pit_crwv_2025+pfac_crwv_2025),site_crwv_2025)</f>
        <v>0.49</v>
      </c>
      <c r="F402" s="8" t="n">
        <f aca="false">IF(ISNUMBER(F401),(pit_crwv_2026/(pit_crwv_2026+pfac_crwv_2026)*F401+pfac_crwv_2026/(pit_crwv_2026+pfac_crwv_2026)*IF(AND(ISNUMBER(E401),ISNUMBER(D401)),wb1_hi*E401+wb2_hi*D401,IF(ISNUMBER(E401),E401,F401)))/(pit_crwv_2026+pfac_crwv_2026),site_crwv_2026)</f>
        <v>0.608264917068837</v>
      </c>
      <c r="G402" s="8" t="n">
        <f aca="false">IF(ISNUMBER(G401),(pit_crwv_2027/(pit_crwv_2027+pfac_crwv_2027)*G401+pfac_crwv_2027/(pit_crwv_2027+pfac_crwv_2027)*IF(AND(ISNUMBER(F401),ISNUMBER(E401)),wb1_hi*F401+wb2_hi*E401,IF(ISNUMBER(F401),F401,G401)))/(pit_crwv_2027+pfac_crwv_2027),site_crwv_2027)</f>
        <v>0.629490424531811</v>
      </c>
      <c r="H402" s="8" t="n">
        <f aca="false">IF(ISNUMBER(H401),(pit_crwv_2028/(pit_crwv_2028+pfac_crwv_2028)*H401+pfac_crwv_2028/(pit_crwv_2028+pfac_crwv_2028)*IF(AND(ISNUMBER(G401),ISNUMBER(F401)),wb1_hi*G401+wb2_hi*F401,IF(ISNUMBER(G401),G401,H401)))/(pit_crwv_2028+pfac_crwv_2028),site_crwv_2028)</f>
        <v>0.513461347623296</v>
      </c>
      <c r="I402" s="8" t="n">
        <f aca="false">IF(ISNUMBER(I401),(pit_crwv_2029/(pit_crwv_2029+pfac_crwv_2029)*I401+pfac_crwv_2029/(pit_crwv_2029+pfac_crwv_2029)*IF(AND(ISNUMBER(H401),ISNUMBER(G401)),wb1_hi*H401+wb2_hi*G401,IF(ISNUMBER(H401),H401,I401)))/(pit_crwv_2029+pfac_crwv_2029),site_crwv_2029)</f>
        <v>0.539304608107567</v>
      </c>
    </row>
    <row r="403" customFormat="false" ht="17.15" hidden="false" customHeight="false" outlineLevel="0" collapsed="false">
      <c r="A403" s="0" t="s">
        <v>1783</v>
      </c>
      <c r="B403" s="0" t="s">
        <v>1408</v>
      </c>
      <c r="E403" s="8" t="n">
        <f aca="false">(1-lag)*E402+lag*D402-inv_k*(E402-D402)</f>
        <v>0.395</v>
      </c>
      <c r="F403" s="8" t="n">
        <f aca="false">(1-lag)*F402+lag*E402-inv_k*(F402-E402)</f>
        <v>0.552089081461139</v>
      </c>
      <c r="G403" s="8" t="n">
        <f aca="false">(1-lag)*G402+lag*F402-inv_k*(G402-F402)</f>
        <v>0.619408308486898</v>
      </c>
      <c r="H403" s="8" t="n">
        <f aca="false">(1-lag)*H402+lag*G402-inv_k*(H402-G402)</f>
        <v>0.568575159154841</v>
      </c>
      <c r="I403" s="8" t="n">
        <f aca="false">(1-lag)*I402+lag*H402-inv_k*(I402-H402)</f>
        <v>0.527029059377538</v>
      </c>
    </row>
    <row r="404" customFormat="false" ht="17.15" hidden="false" customHeight="false" outlineLevel="0" collapsed="false">
      <c r="A404" s="0" t="s">
        <v>1784</v>
      </c>
      <c r="B404" s="0" t="s">
        <v>1414</v>
      </c>
      <c r="E404" s="8" t="n">
        <f aca="false">E403*(1-nnv_crwv_2025)</f>
        <v>0.395</v>
      </c>
      <c r="F404" s="8" t="n">
        <f aca="false">F403*(1-nnv_crwv_2026)</f>
        <v>0.552089081461139</v>
      </c>
      <c r="G404" s="8" t="n">
        <f aca="false">G403*(1-nnv_crwv_2027)</f>
        <v>0.619408308486898</v>
      </c>
      <c r="H404" s="8" t="n">
        <f aca="false">H403*(1-nnv_crwv_2028)</f>
        <v>0.568575159154841</v>
      </c>
      <c r="I404" s="8" t="n">
        <f aca="false">I403*(1-nnv_crwv_2029)</f>
        <v>0.527029059377538</v>
      </c>
    </row>
    <row r="405" customFormat="false" ht="17.15" hidden="false" customHeight="false" outlineLevel="0" collapsed="false">
      <c r="A405" s="0" t="s">
        <v>1785</v>
      </c>
      <c r="B405" s="0" t="s">
        <v>1416</v>
      </c>
      <c r="D405" s="8" t="n">
        <f aca="false">site_crwv_2024</f>
        <v>0.29</v>
      </c>
      <c r="E405" s="8" t="n">
        <f aca="false">site_crwv_2025</f>
        <v>0.49</v>
      </c>
      <c r="F405" s="8" t="n">
        <f aca="false">site_crwv_2026</f>
        <v>1</v>
      </c>
      <c r="G405" s="8" t="n">
        <f aca="false">site_crwv_2027</f>
        <v>1.5375</v>
      </c>
      <c r="H405" s="8" t="n">
        <f aca="false">site_crwv_2028</f>
        <v>1.5375</v>
      </c>
      <c r="I405" s="8" t="n">
        <f aca="false">site_crwv_2029</f>
        <v>1.5375</v>
      </c>
    </row>
    <row r="406" customFormat="false" ht="17.15" hidden="false" customHeight="false" outlineLevel="0" collapsed="false">
      <c r="A406" s="0" t="s">
        <v>1786</v>
      </c>
      <c r="B406" s="0" t="s">
        <v>1418</v>
      </c>
      <c r="D406" s="8" t="n">
        <f aca="false">main_crwv_2024</f>
        <v>0.29</v>
      </c>
      <c r="E406" s="8" t="n">
        <f aca="false">main_crwv_2025</f>
        <v>0.49</v>
      </c>
      <c r="F406" s="8" t="n">
        <f aca="false">main_crwv_2026</f>
        <v>1</v>
      </c>
      <c r="G406" s="8" t="n">
        <f aca="false">main_crwv_2027</f>
        <v>1.5375</v>
      </c>
      <c r="H406" s="8" t="n">
        <f aca="false">main_crwv_2028</f>
        <v>0.758042293208187</v>
      </c>
      <c r="I406" s="8" t="n">
        <f aca="false">main_crwv_2029</f>
        <v>0.842675104355277</v>
      </c>
    </row>
    <row r="407" customFormat="false" ht="17.15" hidden="false" customHeight="false" outlineLevel="0" collapsed="false">
      <c r="A407" s="0" t="s">
        <v>1787</v>
      </c>
      <c r="B407" s="0" t="s">
        <v>1420</v>
      </c>
      <c r="D407" s="8" t="str">
        <f aca="false">IF(ISNUMBER(ai2_nbis_2024),ai2_nbis_2024,"")</f>
        <v/>
      </c>
      <c r="E407" s="8" t="n">
        <f aca="false">IF(ISNUMBER(ai2_nbis_2025),ai2_nbis_2025,"")</f>
        <v>3.4561</v>
      </c>
      <c r="F407" s="8" t="n">
        <f aca="false">IF(ISNUMBER(ai2_nbis_2026),ai2_nbis_2026,"")</f>
        <v>19.125</v>
      </c>
      <c r="G407" s="8" t="n">
        <f aca="false">IF(ISNUMBER(ai2_nbis_2027),ai2_nbis_2027,"")</f>
        <v>23.15655</v>
      </c>
      <c r="H407" s="8" t="n">
        <f aca="false">IF(ISNUMBER(ai2_nbis_2028),ai2_nbis_2028,"")</f>
        <v>32.6315</v>
      </c>
      <c r="I407" s="8" t="n">
        <f aca="false">IF(ISNUMBER(ai2_nbis_2029),ai2_nbis_2029,"")</f>
        <v>35.89465</v>
      </c>
    </row>
    <row r="408" customFormat="false" ht="17.15" hidden="false" customHeight="false" outlineLevel="0" collapsed="false">
      <c r="A408" s="0" t="s">
        <v>1788</v>
      </c>
      <c r="B408" s="0" t="s">
        <v>1422</v>
      </c>
      <c r="D408" s="8" t="n">
        <f aca="false">IF(ISNUMBER(D407),(pit_nbis_2024/(pit_nbis_2024+pfac_nbis_2024)*D407+pfac_nbis_2024/(pit_nbis_2024+pfac_nbis_2024)*IF(AND(ISNUMBER(""),ISNUMBER("")),wb1_hi*""+wb2_hi*"",IF(ISNUMBER(""),"",D407)))/(pit_nbis_2024+pfac_nbis_2024),site_nbis_2024)</f>
        <v>0</v>
      </c>
      <c r="E408" s="8" t="n">
        <f aca="false">IF(ISNUMBER(E407),(pit_nbis_2025/(pit_nbis_2025+pfac_nbis_2025)*E407+pfac_nbis_2025/(pit_nbis_2025+pfac_nbis_2025)*IF(AND(ISNUMBER(D407),ISNUMBER("")),wb1_hi*D407+wb2_hi*"",IF(ISNUMBER(D407),D407,E407)))/(pit_nbis_2025+pfac_nbis_2025),site_nbis_2025)</f>
        <v>0.0893531926088847</v>
      </c>
      <c r="F408" s="8" t="n">
        <f aca="false">IF(ISNUMBER(F407),(pit_nbis_2026/(pit_nbis_2026+pfac_nbis_2026)*F407+pfac_nbis_2026/(pit_nbis_2026+pfac_nbis_2026)*IF(AND(ISNUMBER(E407),ISNUMBER(D407)),wb1_hi*E407+wb2_hi*D407,IF(ISNUMBER(E407),E407,F407)))/(pit_nbis_2026+pfac_nbis_2026),site_nbis_2026)</f>
        <v>0.321523721659491</v>
      </c>
      <c r="G408" s="8" t="n">
        <f aca="false">IF(ISNUMBER(G407),(pit_nbis_2027/(pit_nbis_2027+pfac_nbis_2027)*G407+pfac_nbis_2027/(pit_nbis_2027+pfac_nbis_2027)*IF(AND(ISNUMBER(F407),ISNUMBER(E407)),wb1_hi*F407+wb2_hi*E407,IF(ISNUMBER(F407),F407,G407)))/(pit_nbis_2027+pfac_nbis_2027),site_nbis_2027)</f>
        <v>0.358031711064601</v>
      </c>
      <c r="H408" s="8" t="n">
        <f aca="false">IF(ISNUMBER(H407),(pit_nbis_2028/(pit_nbis_2028+pfac_nbis_2028)*H407+pfac_nbis_2028/(pit_nbis_2028+pfac_nbis_2028)*IF(AND(ISNUMBER(G407),ISNUMBER(F407)),wb1_hi*G407+wb2_hi*F407,IF(ISNUMBER(G407),G407,H407)))/(pit_nbis_2028+pfac_nbis_2028),site_nbis_2028)</f>
        <v>0.545577755729188</v>
      </c>
      <c r="I408" s="8" t="n">
        <f aca="false">IF(ISNUMBER(I407),(pit_nbis_2029/(pit_nbis_2029+pfac_nbis_2029)*I407+pfac_nbis_2029/(pit_nbis_2029+pfac_nbis_2029)*IF(AND(ISNUMBER(H407),ISNUMBER(G407)),wb1_hi*H407+wb2_hi*G407,IF(ISNUMBER(H407),H407,I407)))/(pit_nbis_2029+pfac_nbis_2029),site_nbis_2029)</f>
        <v>0.609341895334772</v>
      </c>
    </row>
    <row r="409" customFormat="false" ht="17.15" hidden="false" customHeight="false" outlineLevel="0" collapsed="false">
      <c r="A409" s="0" t="s">
        <v>1789</v>
      </c>
      <c r="B409" s="0" t="s">
        <v>1424</v>
      </c>
      <c r="E409" s="8" t="n">
        <f aca="false">(1-lag)*E408+lag*D408-inv_k*(E408-D408)</f>
        <v>0.0469104261196645</v>
      </c>
      <c r="F409" s="8" t="n">
        <f aca="false">(1-lag)*F408+lag*E408-inv_k*(F408-E408)</f>
        <v>0.211242720360453</v>
      </c>
      <c r="G409" s="8" t="n">
        <f aca="false">(1-lag)*G408+lag*F408-inv_k*(G408-F408)</f>
        <v>0.340690416097174</v>
      </c>
      <c r="H409" s="8" t="n">
        <f aca="false">(1-lag)*H408+lag*G408-inv_k*(H408-G408)</f>
        <v>0.456493384513509</v>
      </c>
      <c r="I409" s="8" t="n">
        <f aca="false">(1-lag)*I408+lag*H408-inv_k*(I408-H408)</f>
        <v>0.579053929022119</v>
      </c>
    </row>
    <row r="410" customFormat="false" ht="17.15" hidden="false" customHeight="false" outlineLevel="0" collapsed="false">
      <c r="A410" s="0" t="s">
        <v>1790</v>
      </c>
      <c r="B410" s="0" t="s">
        <v>1426</v>
      </c>
      <c r="D410" s="8" t="str">
        <f aca="false">""</f>
        <v/>
      </c>
      <c r="E410" s="8" t="n">
        <f aca="false">cap2_nbis_2025*ai_sh</f>
        <v>3.4561</v>
      </c>
      <c r="F410" s="8" t="n">
        <f aca="false">gcap_nbis_2026*ai_sh</f>
        <v>22.1392615</v>
      </c>
      <c r="G410" s="8" t="n">
        <f aca="false">gcap_nbis_2027*ai_sh</f>
        <v>23.45782145</v>
      </c>
      <c r="H410" s="8" t="n">
        <f aca="false">gcap_nbis_2028*ai_sh</f>
        <v>24.7763814</v>
      </c>
      <c r="I410" s="8" t="n">
        <f aca="false">gcap_nbis_2029*ai_sh</f>
        <v>24.7763814</v>
      </c>
    </row>
    <row r="411" customFormat="false" ht="17.15" hidden="false" customHeight="false" outlineLevel="0" collapsed="false">
      <c r="A411" s="0" t="s">
        <v>1791</v>
      </c>
      <c r="B411" s="0" t="s">
        <v>1422</v>
      </c>
      <c r="D411" s="8" t="n">
        <f aca="false">IF(ISNUMBER(D410),(pit_nbis_2024/(pit_nbis_2024+pfac_nbis_2024)*D410+pfac_nbis_2024/(pit_nbis_2024+pfac_nbis_2024)*IF(AND(ISNUMBER(""),ISNUMBER("")),wb1_hi*""+wb2_hi*"",IF(ISNUMBER(""),"",D410)))/(pit_nbis_2024+pfac_nbis_2024),site_nbis_2024)</f>
        <v>0</v>
      </c>
      <c r="E411" s="8" t="n">
        <f aca="false">IF(ISNUMBER(E410),(pit_nbis_2025/(pit_nbis_2025+pfac_nbis_2025)*E410+pfac_nbis_2025/(pit_nbis_2025+pfac_nbis_2025)*IF(AND(ISNUMBER(D410),ISNUMBER("")),wb1_hi*D410+wb2_hi*"",IF(ISNUMBER(D410),D410,E410)))/(pit_nbis_2025+pfac_nbis_2025),site_nbis_2025)</f>
        <v>0.0893531926088847</v>
      </c>
      <c r="F411" s="8" t="n">
        <f aca="false">IF(ISNUMBER(F410),(pit_nbis_2026/(pit_nbis_2026+pfac_nbis_2026)*F410+pfac_nbis_2026/(pit_nbis_2026+pfac_nbis_2026)*IF(AND(ISNUMBER(E410),ISNUMBER(D410)),wb1_hi*E410+wb2_hi*D410,IF(ISNUMBER(E410),E410,F410)))/(pit_nbis_2026+pfac_nbis_2026),site_nbis_2026)</f>
        <v>0.368948888862446</v>
      </c>
      <c r="G411" s="8" t="n">
        <f aca="false">IF(ISNUMBER(G410),(pit_nbis_2027/(pit_nbis_2027+pfac_nbis_2027)*G410+pfac_nbis_2027/(pit_nbis_2027+pfac_nbis_2027)*IF(AND(ISNUMBER(F410),ISNUMBER(E410)),wb1_hi*F410+wb2_hi*E410,IF(ISNUMBER(F410),F410,G410)))/(pit_nbis_2027+pfac_nbis_2027),site_nbis_2027)</f>
        <v>0.362470834485055</v>
      </c>
      <c r="H411" s="8" t="n">
        <f aca="false">IF(ISNUMBER(H410),(pit_nbis_2028/(pit_nbis_2028+pfac_nbis_2028)*H410+pfac_nbis_2028/(pit_nbis_2028+pfac_nbis_2028)*IF(AND(ISNUMBER(G410),ISNUMBER(F410)),wb1_hi*G410+wb2_hi*F410,IF(ISNUMBER(G410),G410,H410)))/(pit_nbis_2028+pfac_nbis_2028),site_nbis_2028)</f>
        <v>0.447342454234951</v>
      </c>
      <c r="I411" s="8" t="n">
        <f aca="false">IF(ISNUMBER(I410),(pit_nbis_2029/(pit_nbis_2029+pfac_nbis_2029)*I410+pfac_nbis_2029/(pit_nbis_2029+pfac_nbis_2029)*IF(AND(ISNUMBER(H410),ISNUMBER(G410)),wb1_hi*H410+wb2_hi*G410,IF(ISNUMBER(H410),H410,I410)))/(pit_nbis_2029+pfac_nbis_2029),site_nbis_2029)</f>
        <v>0.45307103208757</v>
      </c>
    </row>
    <row r="412" customFormat="false" ht="17.15" hidden="false" customHeight="false" outlineLevel="0" collapsed="false">
      <c r="A412" s="0" t="s">
        <v>1792</v>
      </c>
      <c r="B412" s="0" t="s">
        <v>1424</v>
      </c>
      <c r="E412" s="8" t="n">
        <f aca="false">(1-lag)*E411+lag*D411-inv_k*(E411-D411)</f>
        <v>0.0469104261196644</v>
      </c>
      <c r="F412" s="8" t="n">
        <f aca="false">(1-lag)*F411+lag*E411-inv_k*(F411-E411)</f>
        <v>0.236140933142005</v>
      </c>
      <c r="G412" s="8" t="n">
        <f aca="false">(1-lag)*G411+lag*F411-inv_k*(G411-F411)</f>
        <v>0.365547910314316</v>
      </c>
      <c r="H412" s="8" t="n">
        <f aca="false">(1-lag)*H411+lag*G411-inv_k*(H411-G411)</f>
        <v>0.40702843485375</v>
      </c>
      <c r="I412" s="8" t="n">
        <f aca="false">(1-lag)*I411+lag*H411-inv_k*(I411-H411)</f>
        <v>0.450349957607576</v>
      </c>
    </row>
    <row r="413" customFormat="false" ht="17.15" hidden="false" customHeight="false" outlineLevel="0" collapsed="false">
      <c r="A413" s="0" t="s">
        <v>1793</v>
      </c>
      <c r="B413" s="0" t="s">
        <v>1430</v>
      </c>
      <c r="E413" s="8" t="n">
        <f aca="false">E412*(1-nnv_nbis_2025)</f>
        <v>0.0469104261196644</v>
      </c>
      <c r="F413" s="8" t="n">
        <f aca="false">F412*(1-nnv_nbis_2026)</f>
        <v>0.236140933142005</v>
      </c>
      <c r="G413" s="8" t="n">
        <f aca="false">G412*(1-nnv_nbis_2027)</f>
        <v>0.365547910314316</v>
      </c>
      <c r="H413" s="8" t="n">
        <f aca="false">H412*(1-nnv_nbis_2028)</f>
        <v>0.40702843485375</v>
      </c>
      <c r="I413" s="8" t="n">
        <f aca="false">I412*(1-nnv_nbis_2029)</f>
        <v>0.450349957607576</v>
      </c>
    </row>
    <row r="414" customFormat="false" ht="17.15" hidden="false" customHeight="false" outlineLevel="0" collapsed="false">
      <c r="A414" s="0" t="s">
        <v>1794</v>
      </c>
      <c r="B414" s="0" t="s">
        <v>1432</v>
      </c>
      <c r="D414" s="8" t="n">
        <f aca="false">site_nbis_2024</f>
        <v>0</v>
      </c>
      <c r="E414" s="8" t="n">
        <f aca="false">site_nbis_2025</f>
        <v>0</v>
      </c>
      <c r="F414" s="8" t="n">
        <f aca="false">site_nbis_2026</f>
        <v>0.73</v>
      </c>
      <c r="G414" s="8" t="n">
        <f aca="false">site_nbis_2027</f>
        <v>0.403</v>
      </c>
      <c r="H414" s="8" t="n">
        <f aca="false">site_nbis_2028</f>
        <v>0</v>
      </c>
      <c r="I414" s="8" t="n">
        <f aca="false">site_nbis_2029</f>
        <v>0</v>
      </c>
    </row>
    <row r="415" customFormat="false" ht="17.15" hidden="false" customHeight="false" outlineLevel="0" collapsed="false">
      <c r="A415" s="0" t="s">
        <v>1795</v>
      </c>
      <c r="B415" s="0" t="s">
        <v>1434</v>
      </c>
      <c r="D415" s="8" t="n">
        <f aca="false">main_nbis_2024</f>
        <v>0</v>
      </c>
      <c r="E415" s="8" t="n">
        <f aca="false">main_nbis_2025</f>
        <v>0</v>
      </c>
      <c r="F415" s="8" t="n">
        <f aca="false">main_nbis_2026</f>
        <v>0.73</v>
      </c>
      <c r="G415" s="8" t="n">
        <f aca="false">main_nbis_2027</f>
        <v>0.396179366526544</v>
      </c>
      <c r="H415" s="8" t="n">
        <f aca="false">main_nbis_2028</f>
        <v>0.554335434150153</v>
      </c>
      <c r="I415" s="8" t="n">
        <f aca="false">main_nbis_2029</f>
        <v>0.629924193744744</v>
      </c>
    </row>
    <row r="416" customFormat="false" ht="17.15" hidden="false" customHeight="false" outlineLevel="0" collapsed="false">
      <c r="A416" s="0" t="s">
        <v>1796</v>
      </c>
      <c r="B416" s="0" t="s">
        <v>1436</v>
      </c>
      <c r="D416" s="8" t="str">
        <f aca="false">IF(ISNUMBER(gai_xai_2024),gai_xai_2024,"")</f>
        <v/>
      </c>
      <c r="E416" s="8" t="str">
        <f aca="false">IF(ISNUMBER(gai_xai_2025),gai_xai_2025,"")</f>
        <v/>
      </c>
      <c r="F416" s="8" t="n">
        <f aca="false">IF(ISNUMBER(gai_xai_2026),gai_xai_2026,"")</f>
        <v>74.058119</v>
      </c>
      <c r="G416" s="8" t="n">
        <f aca="false">IF(ISNUMBER(gai_xai_2027),gai_xai_2027,"")</f>
        <v>136.252477</v>
      </c>
      <c r="H416" s="8" t="n">
        <f aca="false">IF(ISNUMBER(gai_xai_2028),gai_xai_2028,"")</f>
        <v>144.12072</v>
      </c>
      <c r="I416" s="8" t="n">
        <f aca="false">IF(ISNUMBER(gai_xai_2029),gai_xai_2029,"")</f>
        <v>111.172527</v>
      </c>
    </row>
    <row r="417" customFormat="false" ht="17.15" hidden="false" customHeight="false" outlineLevel="0" collapsed="false">
      <c r="A417" s="0" t="s">
        <v>1797</v>
      </c>
      <c r="B417" s="0" t="s">
        <v>1438</v>
      </c>
      <c r="D417" s="8" t="n">
        <f aca="false">IF(ISNUMBER(D416),(pitN_2024/(pitN_2024+pfacN_2024)*D416+pfacN_2024/(pitN_2024+pfacN_2024)*IF(AND(ISNUMBER(""),ISNUMBER("")),wb1_hi*""+wb2_hi*"",IF(ISNUMBER(""),"",D416)))/(pitN_2024+pfacN_2024),site_xai_2024)</f>
        <v>0</v>
      </c>
      <c r="E417" s="8" t="n">
        <f aca="false">IF(ISNUMBER(E416),(pitN_2025/(pitN_2025+pfacN_2025)*E416+pfacN_2025/(pitN_2025+pfacN_2025)*IF(AND(ISNUMBER(D416),ISNUMBER("")),wb1_hi*D416+wb2_hi*"",IF(ISNUMBER(D416),D416,E416)))/(pitN_2025+pfacN_2025),site_xai_2025)</f>
        <v>0</v>
      </c>
      <c r="F417" s="8" t="n">
        <f aca="false">IF(ISNUMBER(F416),(pitN_2026/(pitN_2026+pfacN_2026)*F416+pfacN_2026/(pitN_2026+pfacN_2026)*IF(AND(ISNUMBER(E416),ISNUMBER(D416)),wb1_hi*E416+wb2_hi*D416,IF(ISNUMBER(E416),E416,F416)))/(pitN_2026+pfacN_2026),site_xai_2026)</f>
        <v>1.60702342066936</v>
      </c>
      <c r="G417" s="8" t="n">
        <f aca="false">IF(ISNUMBER(G416),(pitN_2027/(pitN_2027+pfacN_2027)*G416+pfacN_2027/(pitN_2027+pfacN_2027)*IF(AND(ISNUMBER(F416),ISNUMBER(E416)),wb1_hi*F416+wb2_hi*E416,IF(ISNUMBER(F416),F416,G416)))/(pitN_2027+pfacN_2027),site_xai_2027)</f>
        <v>2.36823509451502</v>
      </c>
      <c r="H417" s="8" t="n">
        <f aca="false">IF(ISNUMBER(H416),(pitN_2028/(pitN_2028+pfacN_2028)*H416+pfacN_2028/(pitN_2028+pfacN_2028)*IF(AND(ISNUMBER(G416),ISNUMBER(F416)),wb1_hi*G416+wb2_hi*F416,IF(ISNUMBER(G416),G416,H416)))/(pitN_2028+pfacN_2028),site_xai_2028)</f>
        <v>2.36438072058613</v>
      </c>
      <c r="I417" s="8" t="n">
        <f aca="false">IF(ISNUMBER(I416),(pitN_2029/(pitN_2029+pfacN_2029)*I416+pfacN_2029/(pitN_2029+pfacN_2029)*IF(AND(ISNUMBER(H416),ISNUMBER(G416)),wb1_hi*H416+wb2_hi*G416,IF(ISNUMBER(H416),H416,I416)))/(pitN_2029+pfacN_2029),site_xai_2029)</f>
        <v>2.16761221697271</v>
      </c>
    </row>
    <row r="418" customFormat="false" ht="17.15" hidden="false" customHeight="false" outlineLevel="0" collapsed="false">
      <c r="A418" s="0" t="s">
        <v>1798</v>
      </c>
      <c r="B418" s="0" t="s">
        <v>1440</v>
      </c>
      <c r="E418" s="8" t="n">
        <f aca="false">IF(ISNUMBER(gai_xai_2024),(1-lag)*E417+lag*D417-inv_k*(E417-D417),E417)</f>
        <v>0</v>
      </c>
      <c r="F418" s="8" t="n">
        <f aca="false">IF(ISNUMBER(gai_xai_2025),(1-lag)*F417+lag*E417-inv_k*(F417-E417),F417)</f>
        <v>1.60702342066936</v>
      </c>
      <c r="G418" s="8" t="n">
        <f aca="false">IF(ISNUMBER(gai_xai_2026),(1-lag)*G417+lag*F417-inv_k*(G417-F417),G417)</f>
        <v>2.00665954943833</v>
      </c>
      <c r="H418" s="8" t="n">
        <f aca="false">IF(ISNUMBER(gai_xai_2027),(1-lag)*H417+lag*G417-inv_k*(H417-G417),H417)</f>
        <v>2.36621154820235</v>
      </c>
      <c r="I418" s="8" t="n">
        <f aca="false">IF(ISNUMBER(gai_xai_2028),(1-lag)*I417+lag*H417-inv_k*(I417-H417),I417)</f>
        <v>2.26107725618909</v>
      </c>
    </row>
    <row r="419" customFormat="false" ht="17.15" hidden="false" customHeight="false" outlineLevel="0" collapsed="false">
      <c r="A419" s="0" t="s">
        <v>1799</v>
      </c>
      <c r="B419" s="0" t="s">
        <v>1442</v>
      </c>
      <c r="E419" s="8" t="n">
        <f aca="false">E418*(1-nnv_xai_2025)</f>
        <v>0</v>
      </c>
      <c r="F419" s="8" t="n">
        <f aca="false">F418*(1-nnv_xai_2026)</f>
        <v>1.60702342066936</v>
      </c>
      <c r="G419" s="8" t="n">
        <f aca="false">G418*(1-nnv_xai_2027)</f>
        <v>2.00665954943833</v>
      </c>
      <c r="H419" s="8" t="n">
        <f aca="false">H418*(1-nnv_xai_2028)</f>
        <v>2.36621154820235</v>
      </c>
      <c r="I419" s="8" t="n">
        <f aca="false">I418*(1-nnv_xai_2029)</f>
        <v>2.26107725618909</v>
      </c>
    </row>
    <row r="420" customFormat="false" ht="17.15" hidden="false" customHeight="false" outlineLevel="0" collapsed="false">
      <c r="A420" s="0" t="s">
        <v>1800</v>
      </c>
      <c r="B420" s="0" t="s">
        <v>1444</v>
      </c>
      <c r="D420" s="8" t="n">
        <f aca="false">site_xai_2024</f>
        <v>0</v>
      </c>
      <c r="E420" s="8" t="n">
        <f aca="false">site_xai_2025</f>
        <v>0</v>
      </c>
      <c r="F420" s="8" t="n">
        <f aca="false">site_xai_2026</f>
        <v>1.4302</v>
      </c>
      <c r="G420" s="8" t="n">
        <f aca="false">site_xai_2027</f>
        <v>0.585</v>
      </c>
      <c r="H420" s="8" t="n">
        <f aca="false">site_xai_2028</f>
        <v>0</v>
      </c>
      <c r="I420" s="8" t="n">
        <f aca="false">site_xai_2029</f>
        <v>0</v>
      </c>
    </row>
    <row r="421" customFormat="false" ht="17.15" hidden="false" customHeight="false" outlineLevel="0" collapsed="false">
      <c r="A421" s="0" t="s">
        <v>1801</v>
      </c>
      <c r="B421" s="0" t="s">
        <v>1446</v>
      </c>
      <c r="D421" s="8" t="str">
        <f aca="false">IF(ISNUMBER(gai_ant_2024),gai_ant_2024,"")</f>
        <v/>
      </c>
      <c r="E421" s="8" t="str">
        <f aca="false">IF(ISNUMBER(gai_ant_2025),gai_ant_2025,"")</f>
        <v/>
      </c>
      <c r="F421" s="8" t="n">
        <f aca="false">IF(ISNUMBER(gai_ant_2026),gai_ant_2026,"")</f>
        <v>16.666667</v>
      </c>
      <c r="G421" s="8" t="n">
        <f aca="false">IF(ISNUMBER(gai_ant_2027),gai_ant_2027,"")</f>
        <v>16.666667</v>
      </c>
      <c r="H421" s="8" t="n">
        <f aca="false">IF(ISNUMBER(gai_ant_2028),gai_ant_2028,"")</f>
        <v>16.666667</v>
      </c>
      <c r="I421" s="8" t="n">
        <f aca="false">IF(ISNUMBER(gai_ant_2029),gai_ant_2029,"")</f>
        <v>0</v>
      </c>
    </row>
    <row r="422" customFormat="false" ht="17.15" hidden="false" customHeight="false" outlineLevel="0" collapsed="false">
      <c r="A422" s="0" t="s">
        <v>1802</v>
      </c>
      <c r="B422" s="0" t="s">
        <v>1448</v>
      </c>
      <c r="D422" s="8" t="n">
        <f aca="false">IF(ISNUMBER(D421),(pitN_2024/(pitN_2024+pfacN_2024)*D421+pfacN_2024/(pitN_2024+pfacN_2024)*IF(AND(ISNUMBER(""),ISNUMBER("")),wb1_hi*""+wb2_hi*"",IF(ISNUMBER(""),"",D421)))/(pitN_2024+pfacN_2024),site_ant_2024)</f>
        <v>0</v>
      </c>
      <c r="E422" s="8" t="n">
        <f aca="false">IF(ISNUMBER(E421),(pitN_2025/(pitN_2025+pfacN_2025)*E421+pfacN_2025/(pitN_2025+pfacN_2025)*IF(AND(ISNUMBER(D421),ISNUMBER("")),wb1_hi*D421+wb2_hi*"",IF(ISNUMBER(D421),D421,E421)))/(pitN_2025+pfacN_2025),site_ant_2025)</f>
        <v>0</v>
      </c>
      <c r="F422" s="8" t="n">
        <f aca="false">IF(ISNUMBER(F421),(pitN_2026/(pitN_2026+pfacN_2026)*F421+pfacN_2026/(pitN_2026+pfacN_2026)*IF(AND(ISNUMBER(E421),ISNUMBER(D421)),wb1_hi*E421+wb2_hi*D421,IF(ISNUMBER(E421),E421,F421)))/(pitN_2026+pfacN_2026),site_ant_2026)</f>
        <v>0.36165817570248</v>
      </c>
      <c r="G422" s="8" t="n">
        <f aca="false">IF(ISNUMBER(G421),(pitN_2027/(pitN_2027+pfacN_2027)*G421+pfacN_2027/(pitN_2027+pfacN_2027)*IF(AND(ISNUMBER(F421),ISNUMBER(E421)),wb1_hi*F421+wb2_hi*E421,IF(ISNUMBER(F421),F421,G421)))/(pitN_2027+pfacN_2027),site_ant_2027)</f>
        <v>0.326730833032632</v>
      </c>
      <c r="H422" s="8" t="n">
        <f aca="false">IF(ISNUMBER(H421),(pitN_2028/(pitN_2028+pfacN_2028)*H421+pfacN_2028/(pitN_2028+pfacN_2028)*IF(AND(ISNUMBER(G421),ISNUMBER(F421)),wb1_hi*G421+wb2_hi*F421,IF(ISNUMBER(G421),G421,H421)))/(pitN_2028+pfacN_2028),site_ant_2028)</f>
        <v>0.308627002270922</v>
      </c>
      <c r="I422" s="8" t="n">
        <f aca="false">IF(ISNUMBER(I421),(pitN_2029/(pitN_2029+pfacN_2029)*I421+pfacN_2029/(pitN_2029+pfacN_2029)*IF(AND(ISNUMBER(H421),ISNUMBER(G421)),wb1_hi*H421+wb2_hi*G421,IF(ISNUMBER(H421),H421,I421)))/(pitN_2029+pfacN_2029),site_ant_2029)</f>
        <v>0.0724095248404747</v>
      </c>
    </row>
    <row r="423" customFormat="false" ht="17.15" hidden="false" customHeight="false" outlineLevel="0" collapsed="false">
      <c r="A423" s="0" t="s">
        <v>1803</v>
      </c>
      <c r="B423" s="0" t="s">
        <v>1450</v>
      </c>
      <c r="E423" s="8" t="n">
        <f aca="false">IF(ISNUMBER(gai_ant_2024),(1-lag)*E422+lag*D422-inv_k*(E422-D422),E422)</f>
        <v>0</v>
      </c>
      <c r="F423" s="8" t="n">
        <f aca="false">IF(ISNUMBER(gai_ant_2025),(1-lag)*F422+lag*E422-inv_k*(F422-E422),F422)</f>
        <v>0.36165817570248</v>
      </c>
      <c r="G423" s="8" t="n">
        <f aca="false">IF(ISNUMBER(gai_ant_2026),(1-lag)*G422+lag*F422-inv_k*(G422-F422),G422)</f>
        <v>0.34332132080081</v>
      </c>
      <c r="H423" s="8" t="n">
        <f aca="false">IF(ISNUMBER(gai_ant_2027),(1-lag)*H422+lag*G422-inv_k*(H422-G422),H422)</f>
        <v>0.317226321882734</v>
      </c>
      <c r="I423" s="8" t="n">
        <f aca="false">IF(ISNUMBER(gai_ant_2028),(1-lag)*I422+lag*H422-inv_k*(I422-H422),I422)</f>
        <v>0.184612826619937</v>
      </c>
    </row>
    <row r="424" customFormat="false" ht="17.15" hidden="false" customHeight="false" outlineLevel="0" collapsed="false">
      <c r="A424" s="0" t="s">
        <v>1804</v>
      </c>
      <c r="B424" s="0" t="s">
        <v>1452</v>
      </c>
      <c r="E424" s="8" t="n">
        <f aca="false">E423*(1-nnv_ant_2025)</f>
        <v>0</v>
      </c>
      <c r="F424" s="8" t="n">
        <f aca="false">F423*(1-nnv_ant_2026)</f>
        <v>0.275507557374688</v>
      </c>
      <c r="G424" s="8" t="n">
        <f aca="false">G423*(1-nnv_ant_2027)</f>
        <v>0.249559628755998</v>
      </c>
      <c r="H424" s="8" t="n">
        <f aca="false">H423*(1-nnv_ant_2028)</f>
        <v>0.231695318089535</v>
      </c>
      <c r="I424" s="8" t="n">
        <f aca="false">I423*(1-nnv_ant_2029)</f>
        <v>0.134363521137354</v>
      </c>
    </row>
    <row r="425" customFormat="false" ht="17.15" hidden="false" customHeight="false" outlineLevel="0" collapsed="false">
      <c r="A425" s="0" t="s">
        <v>1805</v>
      </c>
      <c r="B425" s="0" t="s">
        <v>1454</v>
      </c>
      <c r="D425" s="8" t="n">
        <f aca="false">site_ant_2024</f>
        <v>0</v>
      </c>
      <c r="E425" s="8" t="n">
        <f aca="false">site_ant_2025</f>
        <v>0</v>
      </c>
      <c r="F425" s="8" t="n">
        <f aca="false">site_ant_2026</f>
        <v>0</v>
      </c>
      <c r="G425" s="8" t="n">
        <f aca="false">site_ant_2027</f>
        <v>0</v>
      </c>
      <c r="H425" s="8" t="n">
        <f aca="false">site_ant_2028</f>
        <v>0</v>
      </c>
      <c r="I425" s="8" t="n">
        <f aca="false">site_ant_2029</f>
        <v>0</v>
      </c>
    </row>
    <row r="426" customFormat="false" ht="17.15" hidden="false" customHeight="false" outlineLevel="0" collapsed="false">
      <c r="A426" s="0" t="s">
        <v>1806</v>
      </c>
      <c r="B426" s="5" t="s">
        <v>1456</v>
      </c>
      <c r="D426" s="9" t="n">
        <f aca="false">D354+D363+D372+D381+D390+D399+D408</f>
        <v>2.88602836343531</v>
      </c>
      <c r="E426" s="9" t="n">
        <f aca="false">E354+E363+E372+E381+E390+E399+E408</f>
        <v>9.64396540227264</v>
      </c>
      <c r="F426" s="9" t="n">
        <f aca="false">F354+F363+F372+F381+F390+F399+F408</f>
        <v>15.117143051059</v>
      </c>
      <c r="G426" s="9" t="n">
        <f aca="false">G354+G363+G372+G381+G390+G399+G408</f>
        <v>18.320527268994</v>
      </c>
      <c r="H426" s="9" t="n">
        <f aca="false">H354+H363+H372+H381+H390+H399+H408</f>
        <v>20.8092310328383</v>
      </c>
      <c r="I426" s="9" t="n">
        <f aca="false">I354+I363+I372+I381+I390+I399+I408</f>
        <v>23.6521927841576</v>
      </c>
    </row>
    <row r="427" customFormat="false" ht="17.15" hidden="false" customHeight="false" outlineLevel="0" collapsed="false">
      <c r="A427" s="0" t="s">
        <v>1807</v>
      </c>
      <c r="B427" s="5" t="s">
        <v>1458</v>
      </c>
      <c r="D427" s="9" t="n">
        <f aca="false">D355+D364+D373+D382+D391+D400+D409</f>
        <v>0</v>
      </c>
      <c r="E427" s="9" t="n">
        <f aca="false">E355+E364+E373+E382+E391+E400+E409</f>
        <v>6.43394530882491</v>
      </c>
      <c r="F427" s="9" t="n">
        <f aca="false">F355+F364+F373+F382+F391+F400+F409</f>
        <v>12.5173836678855</v>
      </c>
      <c r="G427" s="9" t="n">
        <f aca="false">G355+G364+G373+G382+G391+G400+G409</f>
        <v>16.7989197654749</v>
      </c>
      <c r="H427" s="9" t="n">
        <f aca="false">H355+H364+H373+H382+H391+H400+H409</f>
        <v>19.6270967450123</v>
      </c>
      <c r="I427" s="9" t="n">
        <f aca="false">I355+I364+I373+I382+I391+I400+I409</f>
        <v>22.3017859522809</v>
      </c>
    </row>
    <row r="428" customFormat="false" ht="17.15" hidden="false" customHeight="false" outlineLevel="0" collapsed="false">
      <c r="A428" s="0" t="s">
        <v>1808</v>
      </c>
      <c r="B428" s="5" t="s">
        <v>1460</v>
      </c>
      <c r="D428" s="9" t="n">
        <f aca="false">D357+D366+D375+D384+D393+D402+D411</f>
        <v>3.89616485653111</v>
      </c>
      <c r="E428" s="9" t="n">
        <f aca="false">E357+E366+E375+E384+E393+E402+E411</f>
        <v>9.54752388940888</v>
      </c>
      <c r="F428" s="9" t="n">
        <f aca="false">F357+F366+F375+F384+F393+F402+F411</f>
        <v>14.6915549107453</v>
      </c>
      <c r="G428" s="9" t="n">
        <f aca="false">G357+G366+G375+G384+G393+G402+G411</f>
        <v>18.290821642966</v>
      </c>
      <c r="H428" s="9" t="n">
        <f aca="false">H357+H366+H375+H384+H393+H402+H411</f>
        <v>20.1442044144535</v>
      </c>
      <c r="I428" s="9" t="n">
        <f aca="false">I357+I366+I375+I384+I393+I402+I411</f>
        <v>20.2708980478802</v>
      </c>
    </row>
    <row r="429" customFormat="false" ht="17.15" hidden="false" customHeight="false" outlineLevel="0" collapsed="false">
      <c r="A429" s="0" t="s">
        <v>1809</v>
      </c>
      <c r="B429" s="5" t="s">
        <v>1462</v>
      </c>
      <c r="D429" s="9" t="n">
        <f aca="false">D358+D367+D376+D385+D394+D403+D412</f>
        <v>0</v>
      </c>
      <c r="E429" s="9" t="n">
        <f aca="false">E358+E367+E376+E385+E394+E403+E412</f>
        <v>6.86312834879194</v>
      </c>
      <c r="F429" s="9" t="n">
        <f aca="false">F358+F367+F376+F385+F394+F403+F412</f>
        <v>12.2481401756105</v>
      </c>
      <c r="G429" s="9" t="n">
        <f aca="false">G358+G367+G376+G385+G394+G403+G412</f>
        <v>16.5811699451612</v>
      </c>
      <c r="H429" s="9" t="n">
        <f aca="false">H358+H367+H376+H385+H394+H403+H412</f>
        <v>19.2638475979969</v>
      </c>
      <c r="I429" s="9" t="n">
        <f aca="false">I358+I367+I376+I385+I394+I403+I412</f>
        <v>20.2107185720025</v>
      </c>
    </row>
    <row r="430" customFormat="false" ht="15" hidden="false" customHeight="false" outlineLevel="0" collapsed="false">
      <c r="A430" s="0" t="s">
        <v>1810</v>
      </c>
      <c r="B430" s="5" t="s">
        <v>1464</v>
      </c>
      <c r="D430" s="9" t="n">
        <f aca="false">D360+D369+D378+D387+D396+D405+D414</f>
        <v>1.61980834349181</v>
      </c>
      <c r="E430" s="9" t="n">
        <f aca="false">E360+E369+E378+E387+E396+E405+E414</f>
        <v>8.74912429484715</v>
      </c>
      <c r="F430" s="9" t="n">
        <f aca="false">F360+F369+F378+F387+F396+F405+F414</f>
        <v>6.54276412772586</v>
      </c>
      <c r="G430" s="9" t="n">
        <f aca="false">G360+G369+G378+G387+G396+G405+G414</f>
        <v>6.52966666666667</v>
      </c>
      <c r="H430" s="9" t="n">
        <f aca="false">H360+H369+H378+H387+H396+H405+H414</f>
        <v>13.6908333333333</v>
      </c>
      <c r="I430" s="9" t="n">
        <f aca="false">I360+I369+I378+I387+I396+I405+I414</f>
        <v>2.7115</v>
      </c>
    </row>
    <row r="431" customFormat="false" ht="17.15" hidden="false" customHeight="false" outlineLevel="0" collapsed="false">
      <c r="A431" s="0" t="s">
        <v>1811</v>
      </c>
      <c r="B431" s="5" t="s">
        <v>1466</v>
      </c>
      <c r="D431" s="9" t="n">
        <f aca="false">D361+D370+D379+D388+D397+D406+D415</f>
        <v>1.61980834349181</v>
      </c>
      <c r="E431" s="9" t="n">
        <f aca="false">E361+E370+E379+E388+E397+E406+E415</f>
        <v>8.74912429484715</v>
      </c>
      <c r="F431" s="9" t="n">
        <f aca="false">F361+F370+F379+F388+F397+F406+F415</f>
        <v>6.54276412772586</v>
      </c>
      <c r="G431" s="9" t="n">
        <f aca="false">G361+G370+G379+G388+G397+G406+G415</f>
        <v>17.8887754681966</v>
      </c>
      <c r="H431" s="9" t="n">
        <f aca="false">H361+H370+H379+H388+H397+H406+H415</f>
        <v>21.3980787384407</v>
      </c>
      <c r="I431" s="9" t="n">
        <f aca="false">I361+I370+I379+I388+I397+I406+I415</f>
        <v>23.9019467739051</v>
      </c>
    </row>
    <row r="432" customFormat="false" ht="17.15" hidden="false" customHeight="false" outlineLevel="0" collapsed="false">
      <c r="A432" s="0" t="s">
        <v>1812</v>
      </c>
      <c r="B432" s="5" t="s">
        <v>1468</v>
      </c>
      <c r="D432" s="9" t="n">
        <f aca="false">D359+D368+D377+D386+D395+D404+D413</f>
        <v>0</v>
      </c>
      <c r="E432" s="9" t="n">
        <f aca="false">E359+E368+E377+E386+E395+E404+E413</f>
        <v>3.66983636375636</v>
      </c>
      <c r="F432" s="9" t="n">
        <f aca="false">F359+F368+F377+F386+F395+F404+F413</f>
        <v>6.80478650358266</v>
      </c>
      <c r="G432" s="9" t="n">
        <f aca="false">G359+G368+G377+G386+G395+G404+G413</f>
        <v>8.68027441939126</v>
      </c>
      <c r="H432" s="9" t="n">
        <f aca="false">H359+H368+H377+H386+H395+H404+H413</f>
        <v>9.85031754207489</v>
      </c>
      <c r="I432" s="9" t="n">
        <f aca="false">I359+I368+I377+I386+I395+I404+I413</f>
        <v>10.1326731367</v>
      </c>
    </row>
    <row r="433" customFormat="false" ht="17.15" hidden="false" customHeight="false" outlineLevel="0" collapsed="false">
      <c r="A433" s="0" t="s">
        <v>1813</v>
      </c>
      <c r="B433" s="5" t="s">
        <v>1470</v>
      </c>
      <c r="D433" s="9" t="n">
        <f aca="false">D419+D424</f>
        <v>0</v>
      </c>
      <c r="E433" s="9" t="n">
        <f aca="false">E419+E424</f>
        <v>0</v>
      </c>
      <c r="F433" s="9" t="n">
        <f aca="false">F419+F424</f>
        <v>1.88253097804405</v>
      </c>
      <c r="G433" s="9" t="n">
        <f aca="false">G419+G424</f>
        <v>2.25621917819433</v>
      </c>
      <c r="H433" s="9" t="n">
        <f aca="false">H419+H424</f>
        <v>2.59790686629189</v>
      </c>
      <c r="I433" s="9" t="n">
        <f aca="false">I419+I424</f>
        <v>2.39544077732644</v>
      </c>
    </row>
    <row r="434" customFormat="false" ht="15" hidden="false" customHeight="false" outlineLevel="0" collapsed="false">
      <c r="A434" s="0" t="s">
        <v>1814</v>
      </c>
      <c r="B434" s="5" t="s">
        <v>1472</v>
      </c>
      <c r="D434" s="9" t="n">
        <f aca="false">D417+D422</f>
        <v>0</v>
      </c>
      <c r="E434" s="9" t="n">
        <f aca="false">E417+E422</f>
        <v>0</v>
      </c>
      <c r="F434" s="9" t="n">
        <f aca="false">F417+F422</f>
        <v>1.96868159637184</v>
      </c>
      <c r="G434" s="9" t="n">
        <f aca="false">G417+G422</f>
        <v>2.69496592754765</v>
      </c>
      <c r="H434" s="9" t="n">
        <f aca="false">H417+H422</f>
        <v>2.67300772285706</v>
      </c>
      <c r="I434" s="9" t="n">
        <f aca="false">I417+I422</f>
        <v>2.24002174181319</v>
      </c>
    </row>
    <row r="435" customFormat="false" ht="15" hidden="false" customHeight="false" outlineLevel="0" collapsed="false">
      <c r="A435" s="0" t="s">
        <v>1815</v>
      </c>
      <c r="B435" s="5" t="s">
        <v>1474</v>
      </c>
      <c r="D435" s="9" t="n">
        <f aca="false">D418+D423</f>
        <v>0</v>
      </c>
      <c r="E435" s="9" t="n">
        <f aca="false">E418+E423</f>
        <v>0</v>
      </c>
      <c r="F435" s="9" t="n">
        <f aca="false">F418+F423</f>
        <v>1.96868159637184</v>
      </c>
      <c r="G435" s="9" t="n">
        <f aca="false">G418+G423</f>
        <v>2.34998087023914</v>
      </c>
      <c r="H435" s="9" t="n">
        <f aca="false">H418+H423</f>
        <v>2.68343787008509</v>
      </c>
      <c r="I435" s="9" t="n">
        <f aca="false">I418+I423</f>
        <v>2.44569008280903</v>
      </c>
    </row>
    <row r="436" customFormat="false" ht="15" hidden="false" customHeight="false" outlineLevel="0" collapsed="false">
      <c r="A436" s="0" t="s">
        <v>1816</v>
      </c>
      <c r="B436" s="5" t="s">
        <v>1476</v>
      </c>
      <c r="D436" s="9" t="n">
        <f aca="false">D420+D425</f>
        <v>0</v>
      </c>
      <c r="E436" s="9" t="n">
        <f aca="false">E420+E425</f>
        <v>0</v>
      </c>
      <c r="F436" s="9" t="n">
        <f aca="false">F420+F425</f>
        <v>1.4302</v>
      </c>
      <c r="G436" s="9" t="n">
        <f aca="false">G420+G425</f>
        <v>0.585</v>
      </c>
      <c r="H436" s="9" t="n">
        <f aca="false">H420+H425</f>
        <v>0</v>
      </c>
      <c r="I436" s="9" t="n">
        <f aca="false">I420+I425</f>
        <v>0</v>
      </c>
    </row>
    <row r="438" customFormat="false" ht="17.15" hidden="false" customHeight="false" outlineLevel="0" collapsed="false">
      <c r="A438" s="6" t="s">
        <v>1817</v>
      </c>
    </row>
    <row r="439" customFormat="false" ht="15" hidden="false" customHeight="false" outlineLevel="0" collapsed="false">
      <c r="A439" s="2" t="s">
        <v>1</v>
      </c>
      <c r="B439" s="2" t="s">
        <v>2</v>
      </c>
      <c r="C439" s="7"/>
      <c r="D439" s="7" t="s">
        <v>1317</v>
      </c>
      <c r="E439" s="7" t="s">
        <v>1318</v>
      </c>
      <c r="F439" s="7" t="s">
        <v>1319</v>
      </c>
      <c r="G439" s="7" t="s">
        <v>1320</v>
      </c>
      <c r="H439" s="7" t="s">
        <v>1321</v>
      </c>
      <c r="I439" s="7" t="s">
        <v>1322</v>
      </c>
    </row>
    <row r="440" customFormat="false" ht="17.15" hidden="false" customHeight="false" outlineLevel="0" collapsed="false">
      <c r="A440" s="0" t="s">
        <v>1818</v>
      </c>
      <c r="B440" s="0" t="s">
        <v>1324</v>
      </c>
      <c r="D440" s="8" t="n">
        <f aca="false">IF(ISNUMBER(ai2_msft_2024),ai2_msft_2024,"")</f>
        <v>46.3369</v>
      </c>
      <c r="E440" s="8" t="n">
        <f aca="false">IF(ISNUMBER(ai2_msft_2025),ai2_msft_2025,"")</f>
        <v>76.712075</v>
      </c>
      <c r="F440" s="8" t="n">
        <f aca="false">IF(ISNUMBER(ai2_msft_2026),ai2_msft_2026,"")</f>
        <v>131.229375</v>
      </c>
      <c r="G440" s="8" t="n">
        <f aca="false">IF(ISNUMBER(ai2_msft_2027),ai2_msft_2027,"")</f>
        <v>174.08595</v>
      </c>
      <c r="H440" s="8" t="n">
        <f aca="false">IF(ISNUMBER(ai2_msft_2028),ai2_msft_2028,"")</f>
        <v>198.883</v>
      </c>
      <c r="I440" s="8" t="n">
        <f aca="false">IF(ISNUMBER(ai2_msft_2029),ai2_msft_2029,"")</f>
        <v>224.1719025</v>
      </c>
    </row>
    <row r="441" customFormat="false" ht="17.15" hidden="false" customHeight="false" outlineLevel="0" collapsed="false">
      <c r="A441" s="0" t="s">
        <v>1819</v>
      </c>
      <c r="B441" s="0" t="s">
        <v>1326</v>
      </c>
      <c r="D441" s="8" t="n">
        <f aca="false">IF(ISNUMBER(D440),(pit_msft_2024/(pit_msft_2024+pfac_msft_2024)*D440+pfac_msft_2024/(pit_msft_2024+pfac_msft_2024)*IF(AND(ISNUMBER(""),ISNUMBER("")),wb1*""+wb2*"",IF(ISNUMBER(""),"",D440)))/(pit_msft_2024+pfac_msft_2024),site_msft_2024)</f>
        <v>1.2662200199435</v>
      </c>
      <c r="E441" s="8" t="n">
        <f aca="false">IF(ISNUMBER(E440),(pit_msft_2025/(pit_msft_2025+pfac_msft_2025)*E440+pfac_msft_2025/(pit_msft_2025+pfac_msft_2025)*IF(AND(ISNUMBER(D440),ISNUMBER("")),wb1*D440+wb2*"",IF(ISNUMBER(D440),D440,E440)))/(pit_msft_2025+pfac_msft_2025),site_msft_2025)</f>
        <v>1.89413391980359</v>
      </c>
      <c r="F441" s="8" t="n">
        <f aca="false">IF(ISNUMBER(F440),(pit_msft_2026/(pit_msft_2026+pfac_msft_2026)*F440+pfac_msft_2026/(pit_msft_2026+pfac_msft_2026)*IF(AND(ISNUMBER(E440),ISNUMBER(D440)),wb1*E440+wb2*D440,IF(ISNUMBER(E440),E440,F440)))/(pit_msft_2026+pfac_msft_2026),site_msft_2026)</f>
        <v>2.73280981276305</v>
      </c>
      <c r="G441" s="8" t="n">
        <f aca="false">IF(ISNUMBER(G440),(pit_msft_2027/(pit_msft_2027+pfac_msft_2027)*G440+pfac_msft_2027/(pit_msft_2027+pfac_msft_2027)*IF(AND(ISNUMBER(F440),ISNUMBER(E440)),wb1*F440+wb2*E440,IF(ISNUMBER(F440),F440,G440)))/(pit_msft_2027+pfac_msft_2027),site_msft_2027)</f>
        <v>3.56447576934396</v>
      </c>
      <c r="H441" s="8" t="n">
        <f aca="false">IF(ISNUMBER(H440),(pit_msft_2028/(pit_msft_2028+pfac_msft_2028)*H440+pfac_msft_2028/(pit_msft_2028+pfac_msft_2028)*IF(AND(ISNUMBER(G440),ISNUMBER(F440)),wb1*G440+wb2*F440,IF(ISNUMBER(G440),G440,H440)))/(pit_msft_2028+pfac_msft_2028),site_msft_2028)</f>
        <v>4.06597876464757</v>
      </c>
      <c r="I441" s="8" t="n">
        <f aca="false">IF(ISNUMBER(I440),(pit_msft_2029/(pit_msft_2029+pfac_msft_2029)*I440+pfac_msft_2029/(pit_msft_2029+pfac_msft_2029)*IF(AND(ISNUMBER(H440),ISNUMBER(G440)),wb1*H440+wb2*G440,IF(ISNUMBER(H440),H440,I440)))/(pit_msft_2029+pfac_msft_2029),site_msft_2029)</f>
        <v>4.6644209987717</v>
      </c>
    </row>
    <row r="442" customFormat="false" ht="17.15" hidden="false" customHeight="false" outlineLevel="0" collapsed="false">
      <c r="A442" s="0" t="s">
        <v>1820</v>
      </c>
      <c r="B442" s="0" t="s">
        <v>1328</v>
      </c>
      <c r="E442" s="8" t="n">
        <f aca="false">(1-lag_lo)*E441+lag_lo*D441-inv_k*(E441-D441)</f>
        <v>1.67436405485255</v>
      </c>
      <c r="F442" s="8" t="n">
        <f aca="false">(1-lag_lo)*F441+lag_lo*E441-inv_k*(F441-E441)</f>
        <v>2.43927325022723</v>
      </c>
      <c r="G442" s="8" t="n">
        <f aca="false">(1-lag_lo)*G441+lag_lo*F441-inv_k*(G441-F441)</f>
        <v>3.27339268454064</v>
      </c>
      <c r="H442" s="8" t="n">
        <f aca="false">(1-lag_lo)*H441+lag_lo*G441-inv_k*(H441-G441)</f>
        <v>3.89045271629131</v>
      </c>
      <c r="I442" s="8" t="n">
        <f aca="false">(1-lag_lo)*I441+lag_lo*H441-inv_k*(I441-H441)</f>
        <v>4.45496621682826</v>
      </c>
    </row>
    <row r="443" customFormat="false" ht="17.15" hidden="false" customHeight="false" outlineLevel="0" collapsed="false">
      <c r="A443" s="0" t="s">
        <v>1821</v>
      </c>
      <c r="B443" s="0" t="s">
        <v>1330</v>
      </c>
      <c r="D443" s="8" t="str">
        <f aca="false">""</f>
        <v/>
      </c>
      <c r="E443" s="8" t="n">
        <f aca="false">(6/12*cap2_msft_2025+6/12*gcap_msft_2026)*ai_sh</f>
        <v>89.186675</v>
      </c>
      <c r="F443" s="8" t="n">
        <f aca="false">(6/12*gcap_msft_2026+6/12*gcap_msft_2027)*ai_sh</f>
        <v>148.5375</v>
      </c>
      <c r="G443" s="8" t="n">
        <f aca="false">(6/12*gcap_msft_2027+6/12*gcap_msft_2028)*ai_sh</f>
        <v>185.939575275</v>
      </c>
      <c r="H443" s="8" t="n">
        <f aca="false">(6/12*gcap_msft_2028+6/12*gcap_msft_2029)*ai_sh</f>
        <v>202.7978586</v>
      </c>
      <c r="I443" s="8" t="n">
        <f aca="false">(6/12*gcap_msft_2029+6/12*gcap_msft_2030)*ai_sh</f>
        <v>197.6117298</v>
      </c>
    </row>
    <row r="444" customFormat="false" ht="17.15" hidden="false" customHeight="false" outlineLevel="0" collapsed="false">
      <c r="A444" s="0" t="s">
        <v>1822</v>
      </c>
      <c r="B444" s="0" t="s">
        <v>1326</v>
      </c>
      <c r="D444" s="8" t="n">
        <f aca="false">IF(ISNUMBER(D443),(pit_msft_2024/(pit_msft_2024+pfac_msft_2024)*D443+pfac_msft_2024/(pit_msft_2024+pfac_msft_2024)*IF(AND(ISNUMBER(""),ISNUMBER("")),wb1*""+wb2*"",IF(ISNUMBER(""),"",D443)))/(pit_msft_2024+pfac_msft_2024),site_msft_2024)</f>
        <v>0</v>
      </c>
      <c r="E444" s="8" t="n">
        <f aca="false">IF(ISNUMBER(E443),(pit_msft_2025/(pit_msft_2025+pfac_msft_2025)*E443+pfac_msft_2025/(pit_msft_2025+pfac_msft_2025)*IF(AND(ISNUMBER(D443),ISNUMBER("")),wb1*D443+wb2*"",IF(ISNUMBER(D443),D443,E443)))/(pit_msft_2025+pfac_msft_2025),site_msft_2025)</f>
        <v>2.51576435599185</v>
      </c>
      <c r="F444" s="8" t="n">
        <f aca="false">IF(ISNUMBER(F443),(pit_msft_2026/(pit_msft_2026+pfac_msft_2026)*F443+pfac_msft_2026/(pit_msft_2026+pfac_msft_2026)*IF(AND(ISNUMBER(E443),ISNUMBER(D443)),wb1*E443+wb2*D443,IF(ISNUMBER(E443),E443,F443)))/(pit_msft_2026+pfac_msft_2026),site_msft_2026)</f>
        <v>3.22245015720519</v>
      </c>
      <c r="G444" s="8" t="n">
        <f aca="false">IF(ISNUMBER(G443),(pit_msft_2027/(pit_msft_2027+pfac_msft_2027)*G443+pfac_msft_2027/(pit_msft_2027+pfac_msft_2027)*IF(AND(ISNUMBER(F443),ISNUMBER(E443)),wb1*F443+wb2*E443,IF(ISNUMBER(F443),F443,G443)))/(pit_msft_2027+pfac_msft_2027),site_msft_2027)</f>
        <v>3.85144347642322</v>
      </c>
      <c r="H444" s="8" t="n">
        <f aca="false">IF(ISNUMBER(H443),(pit_msft_2028/(pit_msft_2028+pfac_msft_2028)*H443+pfac_msft_2028/(pit_msft_2028+pfac_msft_2028)*IF(AND(ISNUMBER(G443),ISNUMBER(F443)),wb1*G443+wb2*F443,IF(ISNUMBER(G443),G443,H443)))/(pit_msft_2028+pfac_msft_2028),site_msft_2028)</f>
        <v>4.20542058770135</v>
      </c>
      <c r="I444" s="8" t="n">
        <f aca="false">IF(ISNUMBER(I443),(pit_msft_2029/(pit_msft_2029+pfac_msft_2029)*I443+pfac_msft_2029/(pit_msft_2029+pfac_msft_2029)*IF(AND(ISNUMBER(H443),ISNUMBER(G443)),wb1*H443+wb2*G443,IF(ISNUMBER(H443),H443,I443)))/(pit_msft_2029+pfac_msft_2029),site_msft_2029)</f>
        <v>4.26588923952249</v>
      </c>
    </row>
    <row r="445" customFormat="false" ht="17.15" hidden="false" customHeight="false" outlineLevel="0" collapsed="false">
      <c r="A445" s="0" t="s">
        <v>1823</v>
      </c>
      <c r="B445" s="0" t="s">
        <v>1328</v>
      </c>
      <c r="E445" s="8" t="n">
        <f aca="false">(1-lag_lo)*E444+lag_lo*D444-inv_k*(E444-D444)</f>
        <v>1.6352468313947</v>
      </c>
      <c r="F445" s="8" t="n">
        <f aca="false">(1-lag_lo)*F444+lag_lo*E444-inv_k*(F444-E444)</f>
        <v>2.97511012678052</v>
      </c>
      <c r="G445" s="8" t="n">
        <f aca="false">(1-lag_lo)*G444+lag_lo*F444-inv_k*(G444-F444)</f>
        <v>3.63129581469691</v>
      </c>
      <c r="H445" s="8" t="n">
        <f aca="false">(1-lag_lo)*H444+lag_lo*G444-inv_k*(H444-G444)</f>
        <v>4.08152859875401</v>
      </c>
      <c r="I445" s="8" t="n">
        <f aca="false">(1-lag_lo)*I444+lag_lo*H444-inv_k*(I444-H444)</f>
        <v>4.24472521138509</v>
      </c>
    </row>
    <row r="446" customFormat="false" ht="17.15" hidden="false" customHeight="false" outlineLevel="0" collapsed="false">
      <c r="A446" s="0" t="s">
        <v>1824</v>
      </c>
      <c r="B446" s="0" t="s">
        <v>1334</v>
      </c>
      <c r="E446" s="8" t="n">
        <f aca="false">E445*(1-nnv_msft_2025)</f>
        <v>1.24571457384356</v>
      </c>
      <c r="F446" s="8" t="n">
        <f aca="false">F445*(1-nnv_msft_2026)</f>
        <v>2.26640894363274</v>
      </c>
      <c r="G446" s="8" t="n">
        <f aca="false">G445*(1-nnv_msft_2027)</f>
        <v>2.63958216549198</v>
      </c>
      <c r="H446" s="8" t="n">
        <f aca="false">H445*(1-nnv_msft_2028)</f>
        <v>2.98106115963927</v>
      </c>
      <c r="I446" s="8" t="n">
        <f aca="false">I445*(1-nnv_msft_2029)</f>
        <v>3.08936402797381</v>
      </c>
    </row>
    <row r="447" customFormat="false" ht="17.15" hidden="false" customHeight="false" outlineLevel="0" collapsed="false">
      <c r="A447" s="0" t="s">
        <v>1825</v>
      </c>
      <c r="B447" s="0" t="s">
        <v>1336</v>
      </c>
      <c r="D447" s="8" t="n">
        <f aca="false">site_msft_2024</f>
        <v>0</v>
      </c>
      <c r="E447" s="8" t="n">
        <f aca="false">site_msft_2025</f>
        <v>2.13527</v>
      </c>
      <c r="F447" s="8" t="n">
        <f aca="false">site_msft_2026</f>
        <v>0.770955</v>
      </c>
      <c r="G447" s="8" t="n">
        <f aca="false">site_msft_2027</f>
        <v>1.04</v>
      </c>
      <c r="H447" s="8" t="n">
        <f aca="false">site_msft_2028</f>
        <v>1.67</v>
      </c>
      <c r="I447" s="8" t="n">
        <f aca="false">site_msft_2029</f>
        <v>0.144</v>
      </c>
    </row>
    <row r="448" customFormat="false" ht="17.15" hidden="false" customHeight="false" outlineLevel="0" collapsed="false">
      <c r="A448" s="0" t="s">
        <v>1826</v>
      </c>
      <c r="B448" s="0" t="s">
        <v>1338</v>
      </c>
      <c r="D448" s="8" t="n">
        <f aca="false">main_msft_2024</f>
        <v>0</v>
      </c>
      <c r="E448" s="8" t="n">
        <f aca="false">main_msft_2025</f>
        <v>2.13527</v>
      </c>
      <c r="F448" s="8" t="n">
        <f aca="false">main_msft_2026</f>
        <v>0.770955</v>
      </c>
      <c r="G448" s="8" t="n">
        <f aca="false">main_msft_2027</f>
        <v>3.56447576934396</v>
      </c>
      <c r="H448" s="8" t="n">
        <f aca="false">main_msft_2028</f>
        <v>4.06597876464757</v>
      </c>
      <c r="I448" s="8" t="n">
        <f aca="false">main_msft_2029</f>
        <v>4.6644209987717</v>
      </c>
    </row>
    <row r="449" customFormat="false" ht="17.15" hidden="false" customHeight="false" outlineLevel="0" collapsed="false">
      <c r="A449" s="0" t="s">
        <v>1827</v>
      </c>
      <c r="B449" s="0" t="s">
        <v>1340</v>
      </c>
      <c r="D449" s="8" t="str">
        <f aca="false">IF(ISNUMBER(ai2_googl_2024),ai2_googl_2024,"")</f>
        <v/>
      </c>
      <c r="E449" s="8" t="n">
        <f aca="false">IF(ISNUMBER(ai2_googl_2025),ai2_googl_2025,"")</f>
        <v>77.72995</v>
      </c>
      <c r="F449" s="8" t="n">
        <f aca="false">IF(ISNUMBER(ai2_googl_2026),ai2_googl_2026,"")</f>
        <v>170</v>
      </c>
      <c r="G449" s="8" t="n">
        <f aca="false">IF(ISNUMBER(ai2_googl_2027),ai2_googl_2027,"")</f>
        <v>255.83215</v>
      </c>
      <c r="H449" s="8" t="n">
        <f aca="false">IF(ISNUMBER(ai2_googl_2028),ai2_googl_2028,"")</f>
        <v>288.53335</v>
      </c>
      <c r="I449" s="8" t="n">
        <f aca="false">IF(ISNUMBER(ai2_googl_2029),ai2_googl_2029,"")</f>
        <v>317.386685</v>
      </c>
    </row>
    <row r="450" customFormat="false" ht="17.15" hidden="false" customHeight="false" outlineLevel="0" collapsed="false">
      <c r="A450" s="0" t="s">
        <v>1828</v>
      </c>
      <c r="B450" s="0" t="s">
        <v>1342</v>
      </c>
      <c r="D450" s="8" t="n">
        <f aca="false">IF(ISNUMBER(D449),(pit_googl_2024/(pit_googl_2024+pfac_googl_2024)*D449+pfac_googl_2024/(pit_googl_2024+pfac_googl_2024)*IF(AND(ISNUMBER(""),ISNUMBER("")),wb1*""+wb2*"",IF(ISNUMBER(""),"",D449)))/(pit_googl_2024+pfac_googl_2024),site_googl_2024)</f>
        <v>1.32980834349181</v>
      </c>
      <c r="E450" s="8" t="n">
        <f aca="false">IF(ISNUMBER(E449),(pit_googl_2025/(pit_googl_2025+pfac_googl_2025)*E449+pfac_googl_2025/(pit_googl_2025+pfac_googl_2025)*IF(AND(ISNUMBER(D449),ISNUMBER("")),wb1*D449+wb2*"",IF(ISNUMBER(D449),D449,E449)))/(pit_googl_2025+pfac_googl_2025),site_googl_2025)</f>
        <v>2.15653802290354</v>
      </c>
      <c r="F450" s="8" t="n">
        <f aca="false">IF(ISNUMBER(F449),(pit_googl_2026/(pit_googl_2026+pfac_googl_2026)*F449+pfac_googl_2026/(pit_googl_2026+pfac_googl_2026)*IF(AND(ISNUMBER(E449),ISNUMBER(D449)),wb1*E449+wb2*D449,IF(ISNUMBER(E449),E449,F449)))/(pit_googl_2026+pfac_googl_2026),site_googl_2026)</f>
        <v>3.85777511610307</v>
      </c>
      <c r="G450" s="8" t="n">
        <f aca="false">IF(ISNUMBER(G449),(pit_googl_2027/(pit_googl_2027+pfac_googl_2027)*G449+pfac_googl_2027/(pit_googl_2027+pfac_googl_2027)*IF(AND(ISNUMBER(F449),ISNUMBER(E449)),wb1*F449+wb2*E449,IF(ISNUMBER(F449),F449,G449)))/(pit_googl_2027+pfac_googl_2027),site_googl_2027)</f>
        <v>5.69768565998842</v>
      </c>
      <c r="H450" s="8" t="n">
        <f aca="false">IF(ISNUMBER(H449),(pit_googl_2028/(pit_googl_2028+pfac_googl_2028)*H449+pfac_googl_2028/(pit_googl_2028+pfac_googl_2028)*IF(AND(ISNUMBER(G449),ISNUMBER(F449)),wb1*G449+wb2*F449,IF(ISNUMBER(G449),G449,H449)))/(pit_googl_2028+pfac_googl_2028),site_googl_2028)</f>
        <v>6.77682412398345</v>
      </c>
      <c r="I450" s="8" t="n">
        <f aca="false">IF(ISNUMBER(I449),(pit_googl_2029/(pit_googl_2029+pfac_googl_2029)*I449+pfac_googl_2029/(pit_googl_2029+pfac_googl_2029)*IF(AND(ISNUMBER(H449),ISNUMBER(G449)),wb1*H449+wb2*G449,IF(ISNUMBER(H449),H449,I449)))/(pit_googl_2029+pfac_googl_2029),site_googl_2029)</f>
        <v>7.68929590970477</v>
      </c>
    </row>
    <row r="451" customFormat="false" ht="17.15" hidden="false" customHeight="false" outlineLevel="0" collapsed="false">
      <c r="A451" s="0" t="s">
        <v>1829</v>
      </c>
      <c r="B451" s="0" t="s">
        <v>1344</v>
      </c>
      <c r="E451" s="8" t="n">
        <f aca="false">(1-lag_lo)*E450+lag_lo*D450-inv_k*(E450-D450)</f>
        <v>1.86718263510943</v>
      </c>
      <c r="F451" s="8" t="n">
        <f aca="false">(1-lag_lo)*F450+lag_lo*E450-inv_k*(F450-E450)</f>
        <v>3.26234213348324</v>
      </c>
      <c r="G451" s="8" t="n">
        <f aca="false">(1-lag_lo)*G450+lag_lo*F450-inv_k*(G450-F450)</f>
        <v>5.05371696962855</v>
      </c>
      <c r="H451" s="8" t="n">
        <f aca="false">(1-lag_lo)*H450+lag_lo*G450-inv_k*(H450-G450)</f>
        <v>6.39912566158519</v>
      </c>
      <c r="I451" s="8" t="n">
        <f aca="false">(1-lag_lo)*I450+lag_lo*H450-inv_k*(I450-H450)</f>
        <v>7.36993078470231</v>
      </c>
    </row>
    <row r="452" customFormat="false" ht="17.15" hidden="false" customHeight="false" outlineLevel="0" collapsed="false">
      <c r="A452" s="0" t="s">
        <v>1830</v>
      </c>
      <c r="B452" s="0" t="s">
        <v>1346</v>
      </c>
      <c r="D452" s="8" t="n">
        <f aca="false">gcap_googl_2024*ai_sh</f>
        <v>44.65475</v>
      </c>
      <c r="E452" s="8" t="n">
        <f aca="false">gcap_googl_2025*ai_sh</f>
        <v>77.72995</v>
      </c>
      <c r="F452" s="8" t="n">
        <f aca="false">gcap_googl_2026*ai_sh</f>
        <v>170</v>
      </c>
      <c r="G452" s="8" t="n">
        <f aca="false">gcap_googl_2027*ai_sh</f>
        <v>246.810369</v>
      </c>
      <c r="H452" s="8" t="n">
        <f aca="false">gcap_googl_2028*ai_sh</f>
        <v>269.78900975</v>
      </c>
      <c r="I452" s="8" t="n">
        <f aca="false">gcap_googl_2029*ai_sh</f>
        <v>248.6767412</v>
      </c>
    </row>
    <row r="453" customFormat="false" ht="17.15" hidden="false" customHeight="false" outlineLevel="0" collapsed="false">
      <c r="A453" s="0" t="s">
        <v>1831</v>
      </c>
      <c r="B453" s="0" t="s">
        <v>1342</v>
      </c>
      <c r="D453" s="8" t="n">
        <f aca="false">IF(ISNUMBER(D452),(pit_googl_2024/(pit_googl_2024+pfac_googl_2024)*D452+pfac_googl_2024/(pit_googl_2024+pfac_googl_2024)*IF(AND(ISNUMBER(""),ISNUMBER("")),wb1*""+wb2*"",IF(ISNUMBER(""),"",D452)))/(pit_googl_2024+pfac_googl_2024),site_googl_2024)</f>
        <v>1.22628577156267</v>
      </c>
      <c r="E453" s="8" t="n">
        <f aca="false">IF(ISNUMBER(E452),(pit_googl_2025/(pit_googl_2025+pfac_googl_2025)*E452+pfac_googl_2025/(pit_googl_2025+pfac_googl_2025)*IF(AND(ISNUMBER(D452),ISNUMBER("")),wb1*D452+wb2*"",IF(ISNUMBER(D452),D452,E452)))/(pit_googl_2025+pfac_googl_2025),site_googl_2025)</f>
        <v>1.90684085060084</v>
      </c>
      <c r="F453" s="8" t="n">
        <f aca="false">IF(ISNUMBER(F452),(pit_googl_2026/(pit_googl_2026+pfac_googl_2026)*F452+pfac_googl_2026/(pit_googl_2026+pfac_googl_2026)*IF(AND(ISNUMBER(E452),ISNUMBER(D452)),wb1*E452+wb2*D452,IF(ISNUMBER(E452),E452,F452)))/(pit_googl_2026+pfac_googl_2026),site_googl_2026)</f>
        <v>3.74469414665129</v>
      </c>
      <c r="G453" s="8" t="n">
        <f aca="false">IF(ISNUMBER(G452),(pit_googl_2027/(pit_googl_2027+pfac_googl_2027)*G452+pfac_googl_2027/(pit_googl_2027+pfac_googl_2027)*IF(AND(ISNUMBER(F452),ISNUMBER(E452)),wb1*F452+wb2*E452,IF(ISNUMBER(F452),F452,G452)))/(pit_googl_2027+pfac_googl_2027),site_googl_2027)</f>
        <v>5.52479710641755</v>
      </c>
      <c r="H453" s="8" t="n">
        <f aca="false">IF(ISNUMBER(H452),(pit_googl_2028/(pit_googl_2028+pfac_googl_2028)*H452+pfac_googl_2028/(pit_googl_2028+pfac_googl_2028)*IF(AND(ISNUMBER(G452),ISNUMBER(F452)),wb1*G452+wb2*F452,IF(ISNUMBER(G452),G452,H452)))/(pit_googl_2028+pfac_googl_2028),site_googl_2028)</f>
        <v>6.39420249958533</v>
      </c>
      <c r="I453" s="8" t="n">
        <f aca="false">IF(ISNUMBER(I452),(pit_googl_2029/(pit_googl_2029+pfac_googl_2029)*I452+pfac_googl_2029/(pit_googl_2029+pfac_googl_2029)*IF(AND(ISNUMBER(H452),ISNUMBER(G452)),wb1*H452+wb2*G452,IF(ISNUMBER(H452),H452,I452)))/(pit_googl_2029+pfac_googl_2029),site_googl_2029)</f>
        <v>6.30314197516365</v>
      </c>
    </row>
    <row r="454" customFormat="false" ht="17.15" hidden="false" customHeight="false" outlineLevel="0" collapsed="false">
      <c r="A454" s="0" t="s">
        <v>1832</v>
      </c>
      <c r="B454" s="0" t="s">
        <v>1344</v>
      </c>
      <c r="E454" s="8" t="n">
        <f aca="false">(1-lag_lo)*E453+lag_lo*D453-inv_k*(E453-D453)</f>
        <v>1.66864657293748</v>
      </c>
      <c r="F454" s="8" t="n">
        <f aca="false">(1-lag_lo)*F453+lag_lo*E453-inv_k*(F453-E453)</f>
        <v>3.10144549303363</v>
      </c>
      <c r="G454" s="8" t="n">
        <f aca="false">(1-lag_lo)*G453+lag_lo*F453-inv_k*(G453-F453)</f>
        <v>4.90176107049936</v>
      </c>
      <c r="H454" s="8" t="n">
        <f aca="false">(1-lag_lo)*H453+lag_lo*G453-inv_k*(H453-G453)</f>
        <v>6.08991061197661</v>
      </c>
      <c r="I454" s="8" t="n">
        <f aca="false">(1-lag_lo)*I453+lag_lo*H453-inv_k*(I453-H453)</f>
        <v>6.33501315871124</v>
      </c>
    </row>
    <row r="455" customFormat="false" ht="17.15" hidden="false" customHeight="false" outlineLevel="0" collapsed="false">
      <c r="A455" s="0" t="s">
        <v>1833</v>
      </c>
      <c r="B455" s="0" t="s">
        <v>1350</v>
      </c>
      <c r="E455" s="8" t="n">
        <f aca="false">E454*(1-nnv_googl_2025)</f>
        <v>0.412155703515557</v>
      </c>
      <c r="F455" s="8" t="n">
        <f aca="false">F454*(1-nnv_googl_2026)</f>
        <v>0.766057036779307</v>
      </c>
      <c r="G455" s="8" t="n">
        <f aca="false">G454*(1-nnv_googl_2027)</f>
        <v>1.21073498441334</v>
      </c>
      <c r="H455" s="8" t="n">
        <f aca="false">H454*(1-nnv_googl_2028)</f>
        <v>1.50420792115822</v>
      </c>
      <c r="I455" s="8" t="n">
        <f aca="false">I454*(1-nnv_googl_2029)</f>
        <v>1.56474825020168</v>
      </c>
    </row>
    <row r="456" customFormat="false" ht="17.15" hidden="false" customHeight="false" outlineLevel="0" collapsed="false">
      <c r="A456" s="0" t="s">
        <v>1834</v>
      </c>
      <c r="B456" s="0" t="s">
        <v>1352</v>
      </c>
      <c r="D456" s="8" t="n">
        <f aca="false">site_googl_2024</f>
        <v>1.32980834349181</v>
      </c>
      <c r="E456" s="8" t="n">
        <f aca="false">site_googl_2025</f>
        <v>2.40961330082622</v>
      </c>
      <c r="F456" s="8" t="n">
        <f aca="false">site_googl_2026</f>
        <v>1.29267912772586</v>
      </c>
      <c r="G456" s="8" t="n">
        <f aca="false">site_googl_2027</f>
        <v>1.626</v>
      </c>
      <c r="H456" s="8" t="n">
        <f aca="false">site_googl_2028</f>
        <v>0.833333333333334</v>
      </c>
      <c r="I456" s="8" t="n">
        <f aca="false">site_googl_2029</f>
        <v>0</v>
      </c>
    </row>
    <row r="457" customFormat="false" ht="17.15" hidden="false" customHeight="false" outlineLevel="0" collapsed="false">
      <c r="A457" s="0" t="s">
        <v>1835</v>
      </c>
      <c r="B457" s="0" t="s">
        <v>1354</v>
      </c>
      <c r="D457" s="8" t="n">
        <f aca="false">main_googl_2024</f>
        <v>1.32980834349181</v>
      </c>
      <c r="E457" s="8" t="n">
        <f aca="false">main_googl_2025</f>
        <v>2.40961330082622</v>
      </c>
      <c r="F457" s="8" t="n">
        <f aca="false">main_googl_2026</f>
        <v>1.29267912772586</v>
      </c>
      <c r="G457" s="8" t="n">
        <f aca="false">main_googl_2027</f>
        <v>5.69768565998842</v>
      </c>
      <c r="H457" s="8" t="n">
        <f aca="false">main_googl_2028</f>
        <v>6.77682412398346</v>
      </c>
      <c r="I457" s="8" t="n">
        <f aca="false">main_googl_2029</f>
        <v>7.68929590970478</v>
      </c>
    </row>
    <row r="458" customFormat="false" ht="17.15" hidden="false" customHeight="false" outlineLevel="0" collapsed="false">
      <c r="A458" s="0" t="s">
        <v>1836</v>
      </c>
      <c r="B458" s="0" t="s">
        <v>1356</v>
      </c>
      <c r="D458" s="8" t="str">
        <f aca="false">IF(ISNUMBER(ai2_amzn_2024),ai2_amzn_2024,"")</f>
        <v/>
      </c>
      <c r="E458" s="8" t="n">
        <f aca="false">IF(ISNUMBER(ai2_amzn_2025),ai2_amzn_2025,"")</f>
        <v>87.2576</v>
      </c>
      <c r="F458" s="8" t="n">
        <f aca="false">IF(ISNUMBER(ai2_amzn_2026),ai2_amzn_2026,"")</f>
        <v>149.6</v>
      </c>
      <c r="G458" s="8" t="n">
        <f aca="false">IF(ISNUMBER(ai2_amzn_2027),ai2_amzn_2027,"")</f>
        <v>187.04284</v>
      </c>
      <c r="H458" s="8" t="n">
        <f aca="false">IF(ISNUMBER(ai2_amzn_2028),ai2_amzn_2028,"")</f>
        <v>199.19036</v>
      </c>
      <c r="I458" s="8" t="n">
        <f aca="false">IF(ISNUMBER(ai2_amzn_2029),ai2_amzn_2029,"")</f>
        <v>219.109396</v>
      </c>
    </row>
    <row r="459" customFormat="false" ht="17.15" hidden="false" customHeight="false" outlineLevel="0" collapsed="false">
      <c r="A459" s="0" t="s">
        <v>1837</v>
      </c>
      <c r="B459" s="0" t="s">
        <v>1358</v>
      </c>
      <c r="D459" s="8" t="n">
        <f aca="false">IF(ISNUMBER(D458),(pit_amzn_2024/(pit_amzn_2024+pfac_amzn_2024)*D458+pfac_amzn_2024/(pit_amzn_2024+pfac_amzn_2024)*IF(AND(ISNUMBER(""),ISNUMBER("")),wb1*""+wb2*"",IF(ISNUMBER(""),"",D458)))/(pit_amzn_2024+pfac_amzn_2024),site_amzn_2024)</f>
        <v>0</v>
      </c>
      <c r="E459" s="8" t="n">
        <f aca="false">IF(ISNUMBER(E458),(pit_amzn_2025/(pit_amzn_2025+pfac_amzn_2025)*E458+pfac_amzn_2025/(pit_amzn_2025+pfac_amzn_2025)*IF(AND(ISNUMBER(D458),ISNUMBER("")),wb1*D458+wb2*"",IF(ISNUMBER(D458),D458,E458)))/(pit_amzn_2025+pfac_amzn_2025),site_amzn_2025)</f>
        <v>2.6200438487091</v>
      </c>
      <c r="F459" s="8" t="n">
        <f aca="false">IF(ISNUMBER(F458),(pit_amzn_2026/(pit_amzn_2026+pfac_amzn_2026)*F458+pfac_amzn_2026/(pit_amzn_2026+pfac_amzn_2026)*IF(AND(ISNUMBER(E458),ISNUMBER(D458)),wb1*E458+wb2*D458,IF(ISNUMBER(E458),E458,F458)))/(pit_amzn_2026+pfac_amzn_2026),site_amzn_2026)</f>
        <v>3.72830685774426</v>
      </c>
      <c r="G459" s="8" t="n">
        <f aca="false">IF(ISNUMBER(G458),(pit_amzn_2027/(pit_amzn_2027+pfac_amzn_2027)*G458+pfac_amzn_2027/(pit_amzn_2027+pfac_amzn_2027)*IF(AND(ISNUMBER(F458),ISNUMBER(E458)),wb1*F458+wb2*E458,IF(ISNUMBER(F458),F458,G458)))/(pit_amzn_2027+pfac_amzn_2027),site_amzn_2027)</f>
        <v>4.54496548273742</v>
      </c>
      <c r="H459" s="8" t="n">
        <f aca="false">IF(ISNUMBER(H458),(pit_amzn_2028/(pit_amzn_2028+pfac_amzn_2028)*H458+pfac_amzn_2028/(pit_amzn_2028+pfac_amzn_2028)*IF(AND(ISNUMBER(G458),ISNUMBER(F458)),wb1*G458+wb2*F458,IF(ISNUMBER(G458),G458,H458)))/(pit_amzn_2028+pfac_amzn_2028),site_amzn_2028)</f>
        <v>4.99623819927339</v>
      </c>
      <c r="I459" s="8" t="n">
        <f aca="false">IF(ISNUMBER(I458),(pit_amzn_2029/(pit_amzn_2029+pfac_amzn_2029)*I458+pfac_amzn_2029/(pit_amzn_2029+pfac_amzn_2029)*IF(AND(ISNUMBER(H458),ISNUMBER(G458)),wb1*H458+wb2*G458,IF(ISNUMBER(H458),H458,I458)))/(pit_amzn_2029+pfac_amzn_2029),site_amzn_2029)</f>
        <v>5.54650880690247</v>
      </c>
    </row>
    <row r="460" customFormat="false" ht="17.15" hidden="false" customHeight="false" outlineLevel="0" collapsed="false">
      <c r="A460" s="0" t="s">
        <v>1838</v>
      </c>
      <c r="B460" s="0" t="s">
        <v>1360</v>
      </c>
      <c r="E460" s="8" t="n">
        <f aca="false">(1-lag_lo)*E459+lag_lo*D459-inv_k*(E459-D459)</f>
        <v>1.70302850166091</v>
      </c>
      <c r="F460" s="8" t="n">
        <f aca="false">(1-lag_lo)*F459+lag_lo*E459-inv_k*(F459-E459)</f>
        <v>3.34041480458196</v>
      </c>
      <c r="G460" s="8" t="n">
        <f aca="false">(1-lag_lo)*G459+lag_lo*F459-inv_k*(G459-F459)</f>
        <v>4.25913496398982</v>
      </c>
      <c r="H460" s="8" t="n">
        <f aca="false">(1-lag_lo)*H459+lag_lo*G459-inv_k*(H459-G459)</f>
        <v>4.8382927484858</v>
      </c>
      <c r="I460" s="8" t="n">
        <f aca="false">(1-lag_lo)*I459+lag_lo*H459-inv_k*(I459-H459)</f>
        <v>5.35391409423229</v>
      </c>
    </row>
    <row r="461" customFormat="false" ht="17.15" hidden="false" customHeight="false" outlineLevel="0" collapsed="false">
      <c r="A461" s="0" t="s">
        <v>1839</v>
      </c>
      <c r="B461" s="0" t="s">
        <v>1362</v>
      </c>
      <c r="D461" s="8" t="n">
        <f aca="false">gcap_amzn_2024*ai_amzn</f>
        <v>52.80744</v>
      </c>
      <c r="E461" s="8" t="n">
        <f aca="false">gcap_amzn_2025*ai_amzn</f>
        <v>87.2576</v>
      </c>
      <c r="F461" s="8" t="n">
        <f aca="false">gcap_amzn_2026*ai_amzn</f>
        <v>149.6</v>
      </c>
      <c r="G461" s="8" t="n">
        <f aca="false">gcap_amzn_2027*ai_amzn</f>
        <v>172.09445848</v>
      </c>
      <c r="H461" s="8" t="n">
        <f aca="false">gcap_amzn_2028*ai_amzn</f>
        <v>181.54066624</v>
      </c>
      <c r="I461" s="8" t="n">
        <f aca="false">gcap_amzn_2029*ai_amzn</f>
        <v>189.3160052</v>
      </c>
    </row>
    <row r="462" customFormat="false" ht="17.15" hidden="false" customHeight="false" outlineLevel="0" collapsed="false">
      <c r="A462" s="0" t="s">
        <v>1840</v>
      </c>
      <c r="B462" s="0" t="s">
        <v>1358</v>
      </c>
      <c r="D462" s="8" t="n">
        <f aca="false">IF(ISNUMBER(D461),(pit_amzn_2024/(pit_amzn_2024+pfac_amzn_2024)*D461+pfac_amzn_2024/(pit_amzn_2024+pfac_amzn_2024)*IF(AND(ISNUMBER(""),ISNUMBER("")),wb1*""+wb2*"",IF(ISNUMBER(""),"",D461)))/(pit_amzn_2024+pfac_amzn_2024),site_amzn_2024)</f>
        <v>1.56238534864816</v>
      </c>
      <c r="E462" s="8" t="n">
        <f aca="false">IF(ISNUMBER(E461),(pit_amzn_2025/(pit_amzn_2025+pfac_amzn_2025)*E461+pfac_amzn_2025/(pit_amzn_2025+pfac_amzn_2025)*IF(AND(ISNUMBER(D461),ISNUMBER("")),wb1*D461+wb2*"",IF(ISNUMBER(D461),D461,E461)))/(pit_amzn_2025+pfac_amzn_2025),site_amzn_2025)</f>
        <v>2.32934283296825</v>
      </c>
      <c r="F462" s="8" t="n">
        <f aca="false">IF(ISNUMBER(F461),(pit_amzn_2026/(pit_amzn_2026+pfac_amzn_2026)*F461+pfac_amzn_2026/(pit_amzn_2026+pfac_amzn_2026)*IF(AND(ISNUMBER(E461),ISNUMBER(D461)),wb1*E461+wb2*D461,IF(ISNUMBER(E461),E461,F461)))/(pit_amzn_2026+pfac_amzn_2026),site_amzn_2026)</f>
        <v>3.60214892289839</v>
      </c>
      <c r="G462" s="8" t="n">
        <f aca="false">IF(ISNUMBER(G461),(pit_amzn_2027/(pit_amzn_2027+pfac_amzn_2027)*G461+pfac_amzn_2027/(pit_amzn_2027+pfac_amzn_2027)*IF(AND(ISNUMBER(F461),ISNUMBER(E461)),wb1*F461+wb2*E461,IF(ISNUMBER(F461),F461,G461)))/(pit_amzn_2027+pfac_amzn_2027),site_amzn_2027)</f>
        <v>4.24515505663672</v>
      </c>
      <c r="H462" s="8" t="n">
        <f aca="false">IF(ISNUMBER(H461),(pit_amzn_2028/(pit_amzn_2028+pfac_amzn_2028)*H461+pfac_amzn_2028/(pit_amzn_2028+pfac_amzn_2028)*IF(AND(ISNUMBER(G461),ISNUMBER(F461)),wb1*G461+wb2*F461,IF(ISNUMBER(G461),G461,H461)))/(pit_amzn_2028+pfac_amzn_2028),site_amzn_2028)</f>
        <v>4.60085769114469</v>
      </c>
      <c r="I462" s="8" t="n">
        <f aca="false">IF(ISNUMBER(I461),(pit_amzn_2029/(pit_amzn_2029+pfac_amzn_2029)*I461+pfac_amzn_2029/(pit_amzn_2029+pfac_amzn_2029)*IF(AND(ISNUMBER(H461),ISNUMBER(G461)),wb1*H461+wb2*G461,IF(ISNUMBER(H461),H461,I461)))/(pit_amzn_2029+pfac_amzn_2029),site_amzn_2029)</f>
        <v>4.85567033897056</v>
      </c>
    </row>
    <row r="463" customFormat="false" ht="17.15" hidden="false" customHeight="false" outlineLevel="0" collapsed="false">
      <c r="A463" s="0" t="s">
        <v>1841</v>
      </c>
      <c r="B463" s="0" t="s">
        <v>1360</v>
      </c>
      <c r="E463" s="8" t="n">
        <f aca="false">(1-lag_lo)*E462+lag_lo*D462-inv_k*(E462-D462)</f>
        <v>2.06090771345622</v>
      </c>
      <c r="F463" s="8" t="n">
        <f aca="false">(1-lag_lo)*F462+lag_lo*E462-inv_k*(F462-E462)</f>
        <v>3.15666679142284</v>
      </c>
      <c r="G463" s="8" t="n">
        <f aca="false">(1-lag_lo)*G462+lag_lo*F462-inv_k*(G462-F462)</f>
        <v>4.02010290982831</v>
      </c>
      <c r="H463" s="8" t="n">
        <f aca="false">(1-lag_lo)*H462+lag_lo*G462-inv_k*(H462-G462)</f>
        <v>4.4763617690669</v>
      </c>
      <c r="I463" s="8" t="n">
        <f aca="false">(1-lag_lo)*I462+lag_lo*H462-inv_k*(I462-H462)</f>
        <v>4.76648591223151</v>
      </c>
    </row>
    <row r="464" customFormat="false" ht="17.15" hidden="false" customHeight="false" outlineLevel="0" collapsed="false">
      <c r="A464" s="0" t="s">
        <v>1842</v>
      </c>
      <c r="B464" s="0" t="s">
        <v>1366</v>
      </c>
      <c r="E464" s="8" t="n">
        <f aca="false">E463*(1-nnv_amzn_2025)</f>
        <v>0.680099545440551</v>
      </c>
      <c r="F464" s="8" t="n">
        <f aca="false">F463*(1-nnv_amzn_2026)</f>
        <v>1.04170004116954</v>
      </c>
      <c r="G464" s="8" t="n">
        <f aca="false">G463*(1-nnv_amzn_2027)</f>
        <v>1.32663396024334</v>
      </c>
      <c r="H464" s="8" t="n">
        <f aca="false">H463*(1-nnv_amzn_2028)</f>
        <v>1.47719938379208</v>
      </c>
      <c r="I464" s="8" t="n">
        <f aca="false">I463*(1-nnv_amzn_2029)</f>
        <v>1.5729403510364</v>
      </c>
    </row>
    <row r="465" customFormat="false" ht="17.15" hidden="false" customHeight="false" outlineLevel="0" collapsed="false">
      <c r="A465" s="0" t="s">
        <v>1843</v>
      </c>
      <c r="B465" s="0" t="s">
        <v>1368</v>
      </c>
      <c r="D465" s="8" t="n">
        <f aca="false">site_amzn_2024</f>
        <v>0</v>
      </c>
      <c r="E465" s="8" t="n">
        <f aca="false">site_amzn_2025</f>
        <v>1.38971599402093</v>
      </c>
      <c r="F465" s="8" t="n">
        <f aca="false">site_amzn_2026</f>
        <v>0.527</v>
      </c>
      <c r="G465" s="8" t="n">
        <f aca="false">site_amzn_2027</f>
        <v>0.364</v>
      </c>
      <c r="H465" s="8" t="n">
        <f aca="false">site_amzn_2028</f>
        <v>1.744</v>
      </c>
      <c r="I465" s="8" t="n">
        <f aca="false">site_amzn_2029</f>
        <v>0.0620000000000003</v>
      </c>
    </row>
    <row r="466" customFormat="false" ht="17.15" hidden="false" customHeight="false" outlineLevel="0" collapsed="false">
      <c r="A466" s="0" t="s">
        <v>1844</v>
      </c>
      <c r="B466" s="0" t="s">
        <v>1370</v>
      </c>
      <c r="D466" s="8" t="n">
        <f aca="false">main_amzn_2024</f>
        <v>0</v>
      </c>
      <c r="E466" s="8" t="n">
        <f aca="false">main_amzn_2025</f>
        <v>1.38971599402093</v>
      </c>
      <c r="F466" s="8" t="n">
        <f aca="false">main_amzn_2026</f>
        <v>0.527</v>
      </c>
      <c r="G466" s="8" t="n">
        <f aca="false">main_amzn_2027</f>
        <v>4.54496548273742</v>
      </c>
      <c r="H466" s="8" t="n">
        <f aca="false">main_amzn_2028</f>
        <v>4.99623819927339</v>
      </c>
      <c r="I466" s="8" t="n">
        <f aca="false">main_amzn_2029</f>
        <v>5.54650880690247</v>
      </c>
    </row>
    <row r="467" customFormat="false" ht="17.15" hidden="false" customHeight="false" outlineLevel="0" collapsed="false">
      <c r="A467" s="0" t="s">
        <v>1845</v>
      </c>
      <c r="B467" s="0" t="s">
        <v>1372</v>
      </c>
      <c r="D467" s="8" t="str">
        <f aca="false">IF(ISNUMBER(ai2_meta_2024),ai2_meta_2024,"")</f>
        <v/>
      </c>
      <c r="E467" s="8" t="str">
        <f aca="false">IF(ISNUMBER(ai2_meta_2025),ai2_meta_2025,"")</f>
        <v/>
      </c>
      <c r="F467" s="8" t="n">
        <f aca="false">IF(ISNUMBER(ai2_meta_2026),ai2_meta_2026,"")</f>
        <v>119</v>
      </c>
      <c r="G467" s="8" t="n">
        <f aca="false">IF(ISNUMBER(ai2_meta_2027),ai2_meta_2027,"")</f>
        <v>130.9</v>
      </c>
      <c r="H467" s="8" t="n">
        <f aca="false">IF(ISNUMBER(ai2_meta_2028),ai2_meta_2028,"")</f>
        <v>143.99</v>
      </c>
      <c r="I467" s="8" t="n">
        <f aca="false">IF(ISNUMBER(ai2_meta_2029),ai2_meta_2029,"")</f>
        <v>158.389</v>
      </c>
    </row>
    <row r="468" customFormat="false" ht="17.15" hidden="false" customHeight="false" outlineLevel="0" collapsed="false">
      <c r="A468" s="0" t="s">
        <v>1846</v>
      </c>
      <c r="B468" s="0" t="s">
        <v>1374</v>
      </c>
      <c r="D468" s="8" t="n">
        <f aca="false">IF(ISNUMBER(D467),(pit_meta_2024/(pit_meta_2024+pfac_meta_2024)*D467+pfac_meta_2024/(pit_meta_2024+pfac_meta_2024)*IF(AND(ISNUMBER(""),ISNUMBER("")),wb1*""+wb2*"",IF(ISNUMBER(""),"",D467)))/(pit_meta_2024+pfac_meta_2024),site_meta_2024)</f>
        <v>0</v>
      </c>
      <c r="E468" s="8" t="n">
        <f aca="false">IF(ISNUMBER(E467),(pit_meta_2025/(pit_meta_2025+pfac_meta_2025)*E467+pfac_meta_2025/(pit_meta_2025+pfac_meta_2025)*IF(AND(ISNUMBER(D467),ISNUMBER("")),wb1*D467+wb2*"",IF(ISNUMBER(D467),D467,E467)))/(pit_meta_2025+pfac_meta_2025),site_meta_2025)</f>
        <v>1.50812</v>
      </c>
      <c r="F468" s="8" t="n">
        <f aca="false">IF(ISNUMBER(F467),(pit_meta_2026/(pit_meta_2026+pfac_meta_2026)*F467+pfac_meta_2026/(pit_meta_2026+pfac_meta_2026)*IF(AND(ISNUMBER(E467),ISNUMBER(D467)),wb1*E467+wb2*D467,IF(ISNUMBER(E467),E467,F467)))/(pit_meta_2026+pfac_meta_2026),site_meta_2026)</f>
        <v>2.62796503624796</v>
      </c>
      <c r="G468" s="8" t="n">
        <f aca="false">IF(ISNUMBER(G467),(pit_meta_2027/(pit_meta_2027+pfac_meta_2027)*G467+pfac_meta_2027/(pit_meta_2027+pfac_meta_2027)*IF(AND(ISNUMBER(F467),ISNUMBER(E467)),wb1*F467+wb2*E467,IF(ISNUMBER(F467),F467,G467)))/(pit_meta_2027+pfac_meta_2027),site_meta_2027)</f>
        <v>2.62451187863681</v>
      </c>
      <c r="H468" s="8" t="n">
        <f aca="false">IF(ISNUMBER(H467),(pit_meta_2028/(pit_meta_2028+pfac_meta_2028)*H467+pfac_meta_2028/(pit_meta_2028+pfac_meta_2028)*IF(AND(ISNUMBER(G467),ISNUMBER(F467)),wb1*G467+wb2*F467,IF(ISNUMBER(G467),G467,H467)))/(pit_meta_2028+pfac_meta_2028),site_meta_2028)</f>
        <v>2.73641202658015</v>
      </c>
      <c r="I468" s="8" t="n">
        <f aca="false">IF(ISNUMBER(I467),(pit_meta_2029/(pit_meta_2029+pfac_meta_2029)*I467+pfac_meta_2029/(pit_meta_2029+pfac_meta_2029)*IF(AND(ISNUMBER(H467),ISNUMBER(G467)),wb1*H467+wb2*G467,IF(ISNUMBER(H467),H467,I467)))/(pit_meta_2029+pfac_meta_2029),site_meta_2029)</f>
        <v>3.01174825182942</v>
      </c>
    </row>
    <row r="469" customFormat="false" ht="17.15" hidden="false" customHeight="false" outlineLevel="0" collapsed="false">
      <c r="A469" s="0" t="s">
        <v>1847</v>
      </c>
      <c r="B469" s="0" t="s">
        <v>1376</v>
      </c>
      <c r="E469" s="8" t="n">
        <f aca="false">(1-lag_lo)*E468+lag_lo*D468-inv_k*(E468-D468)</f>
        <v>0.980278</v>
      </c>
      <c r="F469" s="8" t="n">
        <f aca="false">(1-lag_lo)*F468+lag_lo*E468-inv_k*(F468-E468)</f>
        <v>2.23601927356118</v>
      </c>
      <c r="G469" s="8" t="n">
        <f aca="false">(1-lag_lo)*G468+lag_lo*F468-inv_k*(G468-F468)</f>
        <v>2.62572048380071</v>
      </c>
      <c r="H469" s="8" t="n">
        <f aca="false">(1-lag_lo)*H468+lag_lo*G468-inv_k*(H468-G468)</f>
        <v>2.69724697479998</v>
      </c>
      <c r="I469" s="8" t="n">
        <f aca="false">(1-lag_lo)*I468+lag_lo*H468-inv_k*(I468-H468)</f>
        <v>2.91538057299218</v>
      </c>
    </row>
    <row r="470" customFormat="false" ht="17.15" hidden="false" customHeight="false" outlineLevel="0" collapsed="false">
      <c r="A470" s="0" t="s">
        <v>1848</v>
      </c>
      <c r="B470" s="0" t="s">
        <v>1378</v>
      </c>
      <c r="D470" s="8" t="n">
        <f aca="false">gcap_meta_2024*ai_sh</f>
        <v>33.34125</v>
      </c>
      <c r="E470" s="8" t="n">
        <f aca="false">gcap_meta_2025*ai_sh</f>
        <v>61.38275</v>
      </c>
      <c r="F470" s="8" t="n">
        <f aca="false">gcap_meta_2026*ai_sh</f>
        <v>119</v>
      </c>
      <c r="G470" s="8" t="n">
        <f aca="false">gcap_meta_2027*ai_sh</f>
        <v>174.8499963</v>
      </c>
      <c r="H470" s="8" t="n">
        <f aca="false">gcap_meta_2028*ai_sh</f>
        <v>186.39077355</v>
      </c>
      <c r="I470" s="8" t="n">
        <f aca="false">gcap_meta_2029*ai_sh</f>
        <v>165.57988355</v>
      </c>
    </row>
    <row r="471" customFormat="false" ht="17.15" hidden="false" customHeight="false" outlineLevel="0" collapsed="false">
      <c r="A471" s="0" t="s">
        <v>1849</v>
      </c>
      <c r="B471" s="0" t="s">
        <v>1374</v>
      </c>
      <c r="D471" s="8" t="n">
        <f aca="false">IF(ISNUMBER(D470),(pit_meta_2024/(pit_meta_2024+pfac_meta_2024)*D470+pfac_meta_2024/(pit_meta_2024+pfac_meta_2024)*IF(AND(ISNUMBER(""),ISNUMBER("")),wb1*""+wb2*"",IF(ISNUMBER(""),"",D470)))/(pit_meta_2024+pfac_meta_2024),site_meta_2024)</f>
        <v>0.817493736320288</v>
      </c>
      <c r="E471" s="8" t="n">
        <f aca="false">IF(ISNUMBER(E470),(pit_meta_2025/(pit_meta_2025+pfac_meta_2025)*E470+pfac_meta_2025/(pit_meta_2025+pfac_meta_2025)*IF(AND(ISNUMBER(D470),ISNUMBER("")),wb1*D470+wb2*"",IF(ISNUMBER(D470),D470,E470)))/(pit_meta_2025+pfac_meta_2025),site_meta_2025)</f>
        <v>1.33044623899154</v>
      </c>
      <c r="F471" s="8" t="n">
        <f aca="false">IF(ISNUMBER(F470),(pit_meta_2026/(pit_meta_2026+pfac_meta_2026)*F470+pfac_meta_2026/(pit_meta_2026+pfac_meta_2026)*IF(AND(ISNUMBER(E470),ISNUMBER(D470)),wb1*E470+wb2*D470,IF(ISNUMBER(E470),E470,F470)))/(pit_meta_2026+pfac_meta_2026),site_meta_2026)</f>
        <v>2.20112683043242</v>
      </c>
      <c r="G471" s="8" t="n">
        <f aca="false">IF(ISNUMBER(G470),(pit_meta_2027/(pit_meta_2027+pfac_meta_2027)*G470+pfac_meta_2027/(pit_meta_2027+pfac_meta_2027)*IF(AND(ISNUMBER(F470),ISNUMBER(E470)),wb1*F470+wb2*E470,IF(ISNUMBER(F470),F470,G470)))/(pit_meta_2027+pfac_meta_2027),site_meta_2027)</f>
        <v>3.15406141077207</v>
      </c>
      <c r="H471" s="8" t="n">
        <f aca="false">IF(ISNUMBER(H470),(pit_meta_2028/(pit_meta_2028+pfac_meta_2028)*H470+pfac_meta_2028/(pit_meta_2028+pfac_meta_2028)*IF(AND(ISNUMBER(G470),ISNUMBER(F470)),wb1*G470+wb2*F470,IF(ISNUMBER(G470),G470,H470)))/(pit_meta_2028+pfac_meta_2028),site_meta_2028)</f>
        <v>3.47282806845288</v>
      </c>
      <c r="I471" s="8" t="n">
        <f aca="false">IF(ISNUMBER(I470),(pit_meta_2029/(pit_meta_2029+pfac_meta_2029)*I470+pfac_meta_2029/(pit_meta_2029+pfac_meta_2029)*IF(AND(ISNUMBER(H470),ISNUMBER(G470)),wb1*H470+wb2*G470,IF(ISNUMBER(H470),H470,I470)))/(pit_meta_2029+pfac_meta_2029),site_meta_2029)</f>
        <v>3.32152343881153</v>
      </c>
    </row>
    <row r="472" customFormat="false" ht="17.15" hidden="false" customHeight="false" outlineLevel="0" collapsed="false">
      <c r="A472" s="0" t="s">
        <v>1850</v>
      </c>
      <c r="B472" s="0" t="s">
        <v>1376</v>
      </c>
      <c r="E472" s="8" t="n">
        <f aca="false">(1-lag_lo)*E471+lag_lo*D471-inv_k*(E471-D471)</f>
        <v>1.1509128630566</v>
      </c>
      <c r="F472" s="8" t="n">
        <f aca="false">(1-lag_lo)*F471+lag_lo*E471-inv_k*(F471-E471)</f>
        <v>1.89638862342811</v>
      </c>
      <c r="G472" s="8" t="n">
        <f aca="false">(1-lag_lo)*G471+lag_lo*F471-inv_k*(G471-F471)</f>
        <v>2.82053430765319</v>
      </c>
      <c r="H472" s="8" t="n">
        <f aca="false">(1-lag_lo)*H471+lag_lo*G471-inv_k*(H471-G471)</f>
        <v>3.3612597382646</v>
      </c>
      <c r="I472" s="8" t="n">
        <f aca="false">(1-lag_lo)*I471+lag_lo*H471-inv_k*(I471-H471)</f>
        <v>3.374480059186</v>
      </c>
    </row>
    <row r="473" customFormat="false" ht="17.15" hidden="false" customHeight="false" outlineLevel="0" collapsed="false">
      <c r="A473" s="0" t="s">
        <v>1851</v>
      </c>
      <c r="B473" s="0" t="s">
        <v>1382</v>
      </c>
      <c r="E473" s="8" t="n">
        <f aca="false">E472*(1-nnv_meta_2025)</f>
        <v>0.876753832637493</v>
      </c>
      <c r="F473" s="8" t="n">
        <f aca="false">F472*(1-nnv_meta_2026)</f>
        <v>1.44464976205498</v>
      </c>
      <c r="G473" s="8" t="n">
        <f aca="false">G472*(1-nnv_meta_2027)</f>
        <v>2.05024113582469</v>
      </c>
      <c r="H473" s="8" t="n">
        <f aca="false">H472*(1-nnv_meta_2028)</f>
        <v>2.45499219489942</v>
      </c>
      <c r="I473" s="8" t="n">
        <f aca="false">I472*(1-nnv_meta_2029)</f>
        <v>2.4559887363268</v>
      </c>
    </row>
    <row r="474" customFormat="false" ht="17.15" hidden="false" customHeight="false" outlineLevel="0" collapsed="false">
      <c r="A474" s="0" t="s">
        <v>1852</v>
      </c>
      <c r="B474" s="0" t="s">
        <v>1384</v>
      </c>
      <c r="D474" s="8" t="n">
        <f aca="false">site_meta_2024</f>
        <v>0</v>
      </c>
      <c r="E474" s="8" t="n">
        <f aca="false">site_meta_2025</f>
        <v>1.50812</v>
      </c>
      <c r="F474" s="8" t="n">
        <f aca="false">site_meta_2026</f>
        <v>0.676</v>
      </c>
      <c r="G474" s="8" t="n">
        <f aca="false">site_meta_2027</f>
        <v>0.615</v>
      </c>
      <c r="H474" s="8" t="n">
        <f aca="false">site_meta_2028</f>
        <v>2.99433333333333</v>
      </c>
      <c r="I474" s="8" t="n">
        <f aca="false">site_meta_2029</f>
        <v>0.968</v>
      </c>
    </row>
    <row r="475" customFormat="false" ht="17.15" hidden="false" customHeight="false" outlineLevel="0" collapsed="false">
      <c r="A475" s="0" t="s">
        <v>1853</v>
      </c>
      <c r="B475" s="0" t="s">
        <v>1386</v>
      </c>
      <c r="D475" s="8" t="n">
        <f aca="false">main_meta_2024</f>
        <v>0</v>
      </c>
      <c r="E475" s="8" t="n">
        <f aca="false">main_meta_2025</f>
        <v>1.50812</v>
      </c>
      <c r="F475" s="8" t="n">
        <f aca="false">main_meta_2026</f>
        <v>0.676</v>
      </c>
      <c r="G475" s="8" t="n">
        <f aca="false">main_meta_2027</f>
        <v>0.615</v>
      </c>
      <c r="H475" s="8" t="n">
        <f aca="false">main_meta_2028</f>
        <v>2.73641202658016</v>
      </c>
      <c r="I475" s="8" t="n">
        <f aca="false">main_meta_2029</f>
        <v>3.01174825182942</v>
      </c>
    </row>
    <row r="476" customFormat="false" ht="17.15" hidden="false" customHeight="false" outlineLevel="0" collapsed="false">
      <c r="A476" s="0" t="s">
        <v>1854</v>
      </c>
      <c r="B476" s="0" t="s">
        <v>1388</v>
      </c>
      <c r="D476" s="8" t="str">
        <f aca="false">IF(ISNUMBER(ai2_orcl_2024),ai2_orcl_2024,"")</f>
        <v/>
      </c>
      <c r="E476" s="8" t="n">
        <f aca="false">IF(ISNUMBER(ai2_orcl_2025),ai2_orcl_2025,"")</f>
        <v>35.1132166666667</v>
      </c>
      <c r="F476" s="8" t="n">
        <f aca="false">IF(ISNUMBER(ai2_orcl_2026),ai2_orcl_2026,"")</f>
        <v>65.5785625</v>
      </c>
      <c r="G476" s="8" t="n">
        <f aca="false">IF(ISNUMBER(ai2_orcl_2027),ai2_orcl_2027,"")</f>
        <v>82.8207416666667</v>
      </c>
      <c r="H476" s="8" t="n">
        <f aca="false">IF(ISNUMBER(ai2_orcl_2028),ai2_orcl_2028,"")</f>
        <v>77.8278416666667</v>
      </c>
      <c r="I476" s="8" t="n">
        <f aca="false">IF(ISNUMBER(ai2_orcl_2029),ai2_orcl_2029,"")</f>
        <v>76.3278466666667</v>
      </c>
    </row>
    <row r="477" customFormat="false" ht="17.15" hidden="false" customHeight="false" outlineLevel="0" collapsed="false">
      <c r="A477" s="0" t="s">
        <v>1855</v>
      </c>
      <c r="B477" s="0" t="s">
        <v>1390</v>
      </c>
      <c r="D477" s="8" t="n">
        <f aca="false">IF(ISNUMBER(D476),(pit_orcl_2024/(pit_orcl_2024+pfac_orcl_2024)*D476+pfac_orcl_2024/(pit_orcl_2024+pfac_orcl_2024)*IF(AND(ISNUMBER(""),ISNUMBER("")),wb1*""+wb2*"",IF(ISNUMBER(""),"",D476)))/(pit_orcl_2024+pfac_orcl_2024),site_orcl_2024)</f>
        <v>0</v>
      </c>
      <c r="E477" s="8" t="n">
        <f aca="false">IF(ISNUMBER(E476),(pit_orcl_2025/(pit_orcl_2025+pfac_orcl_2025)*E476+pfac_orcl_2025/(pit_orcl_2025+pfac_orcl_2025)*IF(AND(ISNUMBER(D476),ISNUMBER("")),wb1*D476+wb2*"",IF(ISNUMBER(D476),D476,E476)))/(pit_orcl_2025+pfac_orcl_2025),site_orcl_2025)</f>
        <v>0.885776418247533</v>
      </c>
      <c r="F477" s="8" t="n">
        <f aca="false">IF(ISNUMBER(F476),(pit_orcl_2026/(pit_orcl_2026+pfac_orcl_2026)*F476+pfac_orcl_2026/(pit_orcl_2026+pfac_orcl_2026)*IF(AND(ISNUMBER(E476),ISNUMBER(D476)),wb1*E476+wb2*D476,IF(ISNUMBER(E476),E476,F476)))/(pit_orcl_2026+pfac_orcl_2026),site_orcl_2026)</f>
        <v>1.26669929939621</v>
      </c>
      <c r="G477" s="8" t="n">
        <f aca="false">IF(ISNUMBER(G476),(pit_orcl_2027/(pit_orcl_2027+pfac_orcl_2027)*G476+pfac_orcl_2027/(pit_orcl_2027+pfac_orcl_2027)*IF(AND(ISNUMBER(F476),ISNUMBER(E476)),wb1*F476+wb2*E476,IF(ISNUMBER(F476),F476,G476)))/(pit_orcl_2027+pfac_orcl_2027),site_orcl_2027)</f>
        <v>1.53296918960021</v>
      </c>
      <c r="H477" s="8" t="n">
        <f aca="false">IF(ISNUMBER(H476),(pit_orcl_2028/(pit_orcl_2028+pfac_orcl_2028)*H476+pfac_orcl_2028/(pit_orcl_2028+pfac_orcl_2028)*IF(AND(ISNUMBER(G476),ISNUMBER(F476)),wb1*G476+wb2*F476,IF(ISNUMBER(G476),G476,H476)))/(pit_orcl_2028+pfac_orcl_2028),site_orcl_2028)</f>
        <v>1.51024789659781</v>
      </c>
      <c r="I477" s="8" t="n">
        <f aca="false">IF(ISNUMBER(I476),(pit_orcl_2029/(pit_orcl_2029+pfac_orcl_2029)*I476+pfac_orcl_2029/(pit_orcl_2029+pfac_orcl_2029)*IF(AND(ISNUMBER(H476),ISNUMBER(G476)),wb1*H476+wb2*G476,IF(ISNUMBER(H476),H476,I476)))/(pit_orcl_2029+pfac_orcl_2029),site_orcl_2029)</f>
        <v>1.51737350859667</v>
      </c>
    </row>
    <row r="478" customFormat="false" ht="17.15" hidden="false" customHeight="false" outlineLevel="0" collapsed="false">
      <c r="A478" s="0" t="s">
        <v>1856</v>
      </c>
      <c r="B478" s="0" t="s">
        <v>1392</v>
      </c>
      <c r="E478" s="8" t="n">
        <f aca="false">(1-lag_lo)*E477+lag_lo*D477-inv_k*(E477-D477)</f>
        <v>0.575754671860897</v>
      </c>
      <c r="F478" s="8" t="n">
        <f aca="false">(1-lag_lo)*F477+lag_lo*E477-inv_k*(F477-E477)</f>
        <v>1.13337629099417</v>
      </c>
      <c r="G478" s="8" t="n">
        <f aca="false">(1-lag_lo)*G477+lag_lo*F477-inv_k*(G477-F477)</f>
        <v>1.43977472802881</v>
      </c>
      <c r="H478" s="8" t="n">
        <f aca="false">(1-lag_lo)*H477+lag_lo*G477-inv_k*(H477-G477)</f>
        <v>1.51820034914865</v>
      </c>
      <c r="I478" s="8" t="n">
        <f aca="false">(1-lag_lo)*I477+lag_lo*H477-inv_k*(I477-H477)</f>
        <v>1.51487954439707</v>
      </c>
    </row>
    <row r="479" customFormat="false" ht="17.15" hidden="false" customHeight="false" outlineLevel="0" collapsed="false">
      <c r="A479" s="0" t="s">
        <v>1857</v>
      </c>
      <c r="B479" s="0" t="s">
        <v>1394</v>
      </c>
      <c r="D479" s="8" t="str">
        <f aca="false">""</f>
        <v/>
      </c>
      <c r="E479" s="8" t="n">
        <f aca="false">(5/12*cap2_orcl_2025+7/12*gcap_orcl_2026)*ai_sh</f>
        <v>35.1132166666667</v>
      </c>
      <c r="F479" s="8" t="n">
        <f aca="false">(5/12*gcap_orcl_2026+7/12*gcap_orcl_2027)*ai_sh</f>
        <v>65.5785625</v>
      </c>
      <c r="G479" s="8" t="n">
        <f aca="false">(5/12*gcap_orcl_2027+7/12*gcap_orcl_2028)*ai_sh</f>
        <v>75.599189975</v>
      </c>
      <c r="H479" s="8" t="n">
        <f aca="false">(5/12*gcap_orcl_2028+7/12*gcap_orcl_2029)*ai_sh</f>
        <v>49.4435487791667</v>
      </c>
      <c r="I479" s="8" t="n">
        <f aca="false">(5/12*gcap_orcl_2029+7/12*gcap_orcl_2030)*ai_sh</f>
        <v>23.382754125</v>
      </c>
    </row>
    <row r="480" customFormat="false" ht="17.15" hidden="false" customHeight="false" outlineLevel="0" collapsed="false">
      <c r="A480" s="0" t="s">
        <v>1858</v>
      </c>
      <c r="B480" s="0" t="s">
        <v>1390</v>
      </c>
      <c r="D480" s="8" t="n">
        <f aca="false">IF(ISNUMBER(D479),(pit_orcl_2024/(pit_orcl_2024+pfac_orcl_2024)*D479+pfac_orcl_2024/(pit_orcl_2024+pfac_orcl_2024)*IF(AND(ISNUMBER(""),ISNUMBER("")),wb1*""+wb2*"",IF(ISNUMBER(""),"",D479)))/(pit_orcl_2024+pfac_orcl_2024),site_orcl_2024)</f>
        <v>0</v>
      </c>
      <c r="E480" s="8" t="n">
        <f aca="false">IF(ISNUMBER(E479),(pit_orcl_2025/(pit_orcl_2025+pfac_orcl_2025)*E479+pfac_orcl_2025/(pit_orcl_2025+pfac_orcl_2025)*IF(AND(ISNUMBER(D479),ISNUMBER("")),wb1*D479+wb2*"",IF(ISNUMBER(D479),D479,E479)))/(pit_orcl_2025+pfac_orcl_2025),site_orcl_2025)</f>
        <v>0.885776418247532</v>
      </c>
      <c r="F480" s="8" t="n">
        <f aca="false">IF(ISNUMBER(F479),(pit_orcl_2026/(pit_orcl_2026+pfac_orcl_2026)*F479+pfac_orcl_2026/(pit_orcl_2026+pfac_orcl_2026)*IF(AND(ISNUMBER(E479),ISNUMBER(D479)),wb1*E479+wb2*D479,IF(ISNUMBER(E479),E479,F479)))/(pit_orcl_2026+pfac_orcl_2026),site_orcl_2026)</f>
        <v>1.26669929939621</v>
      </c>
      <c r="G480" s="8" t="n">
        <f aca="false">IF(ISNUMBER(G479),(pit_orcl_2027/(pit_orcl_2027+pfac_orcl_2027)*G479+pfac_orcl_2027/(pit_orcl_2027+pfac_orcl_2027)*IF(AND(ISNUMBER(F479),ISNUMBER(E479)),wb1*F479+wb2*E479,IF(ISNUMBER(F479),F479,G479)))/(pit_orcl_2027+pfac_orcl_2027),site_orcl_2027)</f>
        <v>1.42175083118347</v>
      </c>
      <c r="H480" s="8" t="n">
        <f aca="false">IF(ISNUMBER(H479),(pit_orcl_2028/(pit_orcl_2028+pfac_orcl_2028)*H479+pfac_orcl_2028/(pit_orcl_2028+pfac_orcl_2028)*IF(AND(ISNUMBER(G479),ISNUMBER(F479)),wb1*G479+wb2*F479,IF(ISNUMBER(G479),G479,H479)))/(pit_orcl_2028+pfac_orcl_2028),site_orcl_2028)</f>
        <v>1.06923453221276</v>
      </c>
      <c r="I480" s="8" t="n">
        <f aca="false">IF(ISNUMBER(I479),(pit_orcl_2029/(pit_orcl_2029+pfac_orcl_2029)*I479+pfac_orcl_2029/(pit_orcl_2029+pfac_orcl_2029)*IF(AND(ISNUMBER(H479),ISNUMBER(G479)),wb1*H479+wb2*G479,IF(ISNUMBER(H479),H479,I479)))/(pit_orcl_2029+pfac_orcl_2029),site_orcl_2029)</f>
        <v>0.642469547070952</v>
      </c>
    </row>
    <row r="481" customFormat="false" ht="17.15" hidden="false" customHeight="false" outlineLevel="0" collapsed="false">
      <c r="A481" s="0" t="s">
        <v>1859</v>
      </c>
      <c r="B481" s="0" t="s">
        <v>1392</v>
      </c>
      <c r="E481" s="8" t="n">
        <f aca="false">(1-lag_lo)*E480+lag_lo*D480-inv_k*(E480-D480)</f>
        <v>0.575754671860896</v>
      </c>
      <c r="F481" s="8" t="n">
        <f aca="false">(1-lag_lo)*F480+lag_lo*E480-inv_k*(F480-E480)</f>
        <v>1.13337629099417</v>
      </c>
      <c r="G481" s="8" t="n">
        <f aca="false">(1-lag_lo)*G480+lag_lo*F480-inv_k*(G480-F480)</f>
        <v>1.36748279505793</v>
      </c>
      <c r="H481" s="8" t="n">
        <f aca="false">(1-lag_lo)*H480+lag_lo*G480-inv_k*(H480-G480)</f>
        <v>1.19261523685251</v>
      </c>
      <c r="I481" s="8" t="n">
        <f aca="false">(1-lag_lo)*I480+lag_lo*H480-inv_k*(I480-H480)</f>
        <v>0.791837291870583</v>
      </c>
    </row>
    <row r="482" customFormat="false" ht="17.15" hidden="false" customHeight="false" outlineLevel="0" collapsed="false">
      <c r="A482" s="0" t="s">
        <v>1860</v>
      </c>
      <c r="B482" s="0" t="s">
        <v>1398</v>
      </c>
      <c r="E482" s="8" t="n">
        <f aca="false">E481*(1-nnv_orcl_2025)</f>
        <v>0.438604112801681</v>
      </c>
      <c r="F482" s="8" t="n">
        <f aca="false">F481*(1-nnv_orcl_2026)</f>
        <v>0.863394648584044</v>
      </c>
      <c r="G482" s="8" t="n">
        <f aca="false">G481*(1-nnv_orcl_2027)</f>
        <v>0.994020697196579</v>
      </c>
      <c r="H482" s="8" t="n">
        <f aca="false">H481*(1-nnv_orcl_2028)</f>
        <v>0.871060651653975</v>
      </c>
      <c r="I482" s="8" t="n">
        <f aca="false">I481*(1-nnv_orcl_2029)</f>
        <v>0.57630907153939</v>
      </c>
    </row>
    <row r="483" customFormat="false" ht="17.15" hidden="false" customHeight="false" outlineLevel="0" collapsed="false">
      <c r="A483" s="0" t="s">
        <v>1861</v>
      </c>
      <c r="B483" s="0" t="s">
        <v>1400</v>
      </c>
      <c r="D483" s="8" t="n">
        <f aca="false">site_orcl_2024</f>
        <v>0</v>
      </c>
      <c r="E483" s="8" t="n">
        <f aca="false">site_orcl_2025</f>
        <v>0.816405</v>
      </c>
      <c r="F483" s="8" t="n">
        <f aca="false">site_orcl_2026</f>
        <v>1.54613</v>
      </c>
      <c r="G483" s="8" t="n">
        <f aca="false">site_orcl_2027</f>
        <v>0.944166666666667</v>
      </c>
      <c r="H483" s="8" t="n">
        <f aca="false">site_orcl_2028</f>
        <v>4.91166666666667</v>
      </c>
      <c r="I483" s="8" t="n">
        <f aca="false">site_orcl_2029</f>
        <v>0</v>
      </c>
    </row>
    <row r="484" customFormat="false" ht="17.15" hidden="false" customHeight="false" outlineLevel="0" collapsed="false">
      <c r="A484" s="0" t="s">
        <v>1862</v>
      </c>
      <c r="B484" s="0" t="s">
        <v>1402</v>
      </c>
      <c r="D484" s="8" t="n">
        <f aca="false">main_orcl_2024</f>
        <v>0</v>
      </c>
      <c r="E484" s="8" t="n">
        <f aca="false">main_orcl_2025</f>
        <v>0.816405</v>
      </c>
      <c r="F484" s="8" t="n">
        <f aca="false">main_orcl_2026</f>
        <v>1.54613</v>
      </c>
      <c r="G484" s="8" t="n">
        <f aca="false">main_orcl_2027</f>
        <v>1.53296918960021</v>
      </c>
      <c r="H484" s="8" t="n">
        <f aca="false">main_orcl_2028</f>
        <v>1.51024789659781</v>
      </c>
      <c r="I484" s="8" t="n">
        <f aca="false">main_orcl_2029</f>
        <v>1.51737350859666</v>
      </c>
    </row>
    <row r="485" customFormat="false" ht="17.15" hidden="false" customHeight="false" outlineLevel="0" collapsed="false">
      <c r="A485" s="0" t="s">
        <v>1863</v>
      </c>
      <c r="B485" s="0" t="s">
        <v>1404</v>
      </c>
      <c r="D485" s="8" t="str">
        <f aca="false">IF(ISNUMBER(ai2_crwv_2024),ai2_crwv_2024,"")</f>
        <v/>
      </c>
      <c r="E485" s="8" t="str">
        <f aca="false">IF(ISNUMBER(ai2_crwv_2025),ai2_crwv_2025,"")</f>
        <v/>
      </c>
      <c r="F485" s="8" t="n">
        <f aca="false">IF(ISNUMBER(ai2_crwv_2026),ai2_crwv_2026,"")</f>
        <v>31.45</v>
      </c>
      <c r="G485" s="8" t="n">
        <f aca="false">IF(ISNUMBER(ai2_crwv_2027),ai2_crwv_2027,"")</f>
        <v>39.5046</v>
      </c>
      <c r="H485" s="8" t="n">
        <f aca="false">IF(ISNUMBER(ai2_crwv_2028),ai2_crwv_2028,"")</f>
        <v>42.60965</v>
      </c>
      <c r="I485" s="8" t="n">
        <f aca="false">IF(ISNUMBER(ai2_crwv_2029),ai2_crwv_2029,"")</f>
        <v>46.870615</v>
      </c>
    </row>
    <row r="486" customFormat="false" ht="17.15" hidden="false" customHeight="false" outlineLevel="0" collapsed="false">
      <c r="A486" s="0" t="s">
        <v>1864</v>
      </c>
      <c r="B486" s="0" t="s">
        <v>1406</v>
      </c>
      <c r="D486" s="8" t="n">
        <f aca="false">IF(ISNUMBER(D485),(pit_crwv_2024/(pit_crwv_2024+pfac_crwv_2024)*D485+pfac_crwv_2024/(pit_crwv_2024+pfac_crwv_2024)*IF(AND(ISNUMBER(""),ISNUMBER("")),wb1*""+wb2*"",IF(ISNUMBER(""),"",D485)))/(pit_crwv_2024+pfac_crwv_2024),site_crwv_2024)</f>
        <v>0.29</v>
      </c>
      <c r="E486" s="8" t="n">
        <f aca="false">IF(ISNUMBER(E485),(pit_crwv_2025/(pit_crwv_2025+pfac_crwv_2025)*E485+pfac_crwv_2025/(pit_crwv_2025+pfac_crwv_2025)*IF(AND(ISNUMBER(D485),ISNUMBER("")),wb1*D485+wb2*"",IF(ISNUMBER(D485),D485,E485)))/(pit_crwv_2025+pfac_crwv_2025),site_crwv_2025)</f>
        <v>0.49</v>
      </c>
      <c r="F486" s="8" t="n">
        <f aca="false">IF(ISNUMBER(F485),(pit_crwv_2026/(pit_crwv_2026+pfac_crwv_2026)*F485+pfac_crwv_2026/(pit_crwv_2026+pfac_crwv_2026)*IF(AND(ISNUMBER(E485),ISNUMBER(D485)),wb1*E485+wb2*D485,IF(ISNUMBER(E485),E485,F485)))/(pit_crwv_2026+pfac_crwv_2026),site_crwv_2026)</f>
        <v>0.6824489639016</v>
      </c>
      <c r="G486" s="8" t="n">
        <f aca="false">IF(ISNUMBER(G485),(pit_crwv_2027/(pit_crwv_2027+pfac_crwv_2027)*G485+pfac_crwv_2027/(pit_crwv_2027+pfac_crwv_2027)*IF(AND(ISNUMBER(F485),ISNUMBER(E485)),wb1*F485+wb2*E485,IF(ISNUMBER(F485),F485,G485)))/(pit_crwv_2027+pfac_crwv_2027),site_crwv_2027)</f>
        <v>0.735222622408663</v>
      </c>
      <c r="H486" s="8" t="n">
        <f aca="false">IF(ISNUMBER(H485),(pit_crwv_2028/(pit_crwv_2028+pfac_crwv_2028)*H485+pfac_crwv_2028/(pit_crwv_2028+pfac_crwv_2028)*IF(AND(ISNUMBER(G485),ISNUMBER(F485)),wb1*G485+wb2*F485,IF(ISNUMBER(G485),G485,H485)))/(pit_crwv_2028+pfac_crwv_2028),site_crwv_2028)</f>
        <v>0.758042293208188</v>
      </c>
      <c r="I486" s="8" t="n">
        <f aca="false">IF(ISNUMBER(I485),(pit_crwv_2029/(pit_crwv_2029+pfac_crwv_2029)*I485+pfac_crwv_2029/(pit_crwv_2029+pfac_crwv_2029)*IF(AND(ISNUMBER(H485),ISNUMBER(G485)),wb1*H485+wb2*G485,IF(ISNUMBER(H485),H485,I485)))/(pit_crwv_2029+pfac_crwv_2029),site_crwv_2029)</f>
        <v>0.842675104355277</v>
      </c>
    </row>
    <row r="487" customFormat="false" ht="17.15" hidden="false" customHeight="false" outlineLevel="0" collapsed="false">
      <c r="A487" s="0" t="s">
        <v>1865</v>
      </c>
      <c r="B487" s="0" t="s">
        <v>1408</v>
      </c>
      <c r="E487" s="8" t="n">
        <f aca="false">(1-lag_lo)*E486+lag_lo*D486-inv_k*(E486-D486)</f>
        <v>0.42</v>
      </c>
      <c r="F487" s="8" t="n">
        <f aca="false">(1-lag_lo)*F486+lag_lo*E486-inv_k*(F486-E486)</f>
        <v>0.61509182653604</v>
      </c>
      <c r="G487" s="8" t="n">
        <f aca="false">(1-lag_lo)*G486+lag_lo*F486-inv_k*(G486-F486)</f>
        <v>0.716751841931191</v>
      </c>
      <c r="H487" s="8" t="n">
        <f aca="false">(1-lag_lo)*H486+lag_lo*G486-inv_k*(H486-G486)</f>
        <v>0.750055408428354</v>
      </c>
      <c r="I487" s="8" t="n">
        <f aca="false">(1-lag_lo)*I486+lag_lo*H486-inv_k*(I486-H486)</f>
        <v>0.813053620453796</v>
      </c>
    </row>
    <row r="488" customFormat="false" ht="17.15" hidden="false" customHeight="false" outlineLevel="0" collapsed="false">
      <c r="A488" s="0" t="s">
        <v>1866</v>
      </c>
      <c r="B488" s="0" t="s">
        <v>1410</v>
      </c>
      <c r="D488" s="8" t="str">
        <f aca="false">""</f>
        <v/>
      </c>
      <c r="E488" s="8" t="str">
        <f aca="false">""</f>
        <v/>
      </c>
      <c r="F488" s="8" t="n">
        <f aca="false">gcap_crwv_2026*ai_sh</f>
        <v>28.0313</v>
      </c>
      <c r="G488" s="8" t="n">
        <f aca="false">gcap_crwv_2027*ai_sh</f>
        <v>33.45858485</v>
      </c>
      <c r="H488" s="8" t="n">
        <f aca="false">gcap_crwv_2028*ai_sh</f>
        <v>27.6353649</v>
      </c>
      <c r="I488" s="8" t="n">
        <f aca="false">gcap_crwv_2029*ai_sh</f>
        <v>27.7951071</v>
      </c>
    </row>
    <row r="489" customFormat="false" ht="17.15" hidden="false" customHeight="false" outlineLevel="0" collapsed="false">
      <c r="A489" s="0" t="s">
        <v>1867</v>
      </c>
      <c r="B489" s="0" t="s">
        <v>1406</v>
      </c>
      <c r="D489" s="8" t="n">
        <f aca="false">IF(ISNUMBER(D488),(pit_crwv_2024/(pit_crwv_2024+pfac_crwv_2024)*D488+pfac_crwv_2024/(pit_crwv_2024+pfac_crwv_2024)*IF(AND(ISNUMBER(""),ISNUMBER("")),wb1*""+wb2*"",IF(ISNUMBER(""),"",D488)))/(pit_crwv_2024+pfac_crwv_2024),site_crwv_2024)</f>
        <v>0.29</v>
      </c>
      <c r="E489" s="8" t="n">
        <f aca="false">IF(ISNUMBER(E488),(pit_crwv_2025/(pit_crwv_2025+pfac_crwv_2025)*E488+pfac_crwv_2025/(pit_crwv_2025+pfac_crwv_2025)*IF(AND(ISNUMBER(D488),ISNUMBER("")),wb1*D488+wb2*"",IF(ISNUMBER(D488),D488,E488)))/(pit_crwv_2025+pfac_crwv_2025),site_crwv_2025)</f>
        <v>0.49</v>
      </c>
      <c r="F489" s="8" t="n">
        <f aca="false">IF(ISNUMBER(F488),(pit_crwv_2026/(pit_crwv_2026+pfac_crwv_2026)*F488+pfac_crwv_2026/(pit_crwv_2026+pfac_crwv_2026)*IF(AND(ISNUMBER(E488),ISNUMBER(D488)),wb1*E488+wb2*D488,IF(ISNUMBER(E488),E488,F488)))/(pit_crwv_2026+pfac_crwv_2026),site_crwv_2026)</f>
        <v>0.608264917068837</v>
      </c>
      <c r="G489" s="8" t="n">
        <f aca="false">IF(ISNUMBER(G488),(pit_crwv_2027/(pit_crwv_2027+pfac_crwv_2027)*G488+pfac_crwv_2027/(pit_crwv_2027+pfac_crwv_2027)*IF(AND(ISNUMBER(F488),ISNUMBER(E488)),wb1*F488+wb2*E488,IF(ISNUMBER(F488),F488,G488)))/(pit_crwv_2027+pfac_crwv_2027),site_crwv_2027)</f>
        <v>0.629490424531811</v>
      </c>
      <c r="H489" s="8" t="n">
        <f aca="false">IF(ISNUMBER(H488),(pit_crwv_2028/(pit_crwv_2028+pfac_crwv_2028)*H488+pfac_crwv_2028/(pit_crwv_2028+pfac_crwv_2028)*IF(AND(ISNUMBER(G488),ISNUMBER(F488)),wb1*G488+wb2*F488,IF(ISNUMBER(G488),G488,H488)))/(pit_crwv_2028+pfac_crwv_2028),site_crwv_2028)</f>
        <v>0.525250960902376</v>
      </c>
      <c r="I489" s="8" t="n">
        <f aca="false">IF(ISNUMBER(I488),(pit_crwv_2029/(pit_crwv_2029+pfac_crwv_2029)*I488+pfac_crwv_2029/(pit_crwv_2029+pfac_crwv_2029)*IF(AND(ISNUMBER(H488),ISNUMBER(G488)),wb1*H488+wb2*G488,IF(ISNUMBER(H488),H488,I488)))/(pit_crwv_2029+pfac_crwv_2029),site_crwv_2029)</f>
        <v>0.526654910671929</v>
      </c>
    </row>
    <row r="490" customFormat="false" ht="17.15" hidden="false" customHeight="false" outlineLevel="0" collapsed="false">
      <c r="A490" s="0" t="s">
        <v>1868</v>
      </c>
      <c r="B490" s="0" t="s">
        <v>1408</v>
      </c>
      <c r="E490" s="8" t="n">
        <f aca="false">(1-lag_lo)*E489+lag_lo*D489-inv_k*(E489-D489)</f>
        <v>0.42</v>
      </c>
      <c r="F490" s="8" t="n">
        <f aca="false">(1-lag_lo)*F489+lag_lo*E489-inv_k*(F489-E489)</f>
        <v>0.566872196094744</v>
      </c>
      <c r="G490" s="8" t="n">
        <f aca="false">(1-lag_lo)*G489+lag_lo*F489-inv_k*(G489-F489)</f>
        <v>0.62206149691977</v>
      </c>
      <c r="H490" s="8" t="n">
        <f aca="false">(1-lag_lo)*H489+lag_lo*G489-inv_k*(H489-G489)</f>
        <v>0.561734773172678</v>
      </c>
      <c r="I490" s="8" t="n">
        <f aca="false">(1-lag_lo)*I489+lag_lo*H489-inv_k*(I489-H489)</f>
        <v>0.526163528252585</v>
      </c>
    </row>
    <row r="491" customFormat="false" ht="17.15" hidden="false" customHeight="false" outlineLevel="0" collapsed="false">
      <c r="A491" s="0" t="s">
        <v>1869</v>
      </c>
      <c r="B491" s="0" t="s">
        <v>1414</v>
      </c>
      <c r="E491" s="8" t="n">
        <f aca="false">E490*(1-nnv_crwv_2025)</f>
        <v>0.42</v>
      </c>
      <c r="F491" s="8" t="n">
        <f aca="false">F490*(1-nnv_crwv_2026)</f>
        <v>0.566872196094744</v>
      </c>
      <c r="G491" s="8" t="n">
        <f aca="false">G490*(1-nnv_crwv_2027)</f>
        <v>0.62206149691977</v>
      </c>
      <c r="H491" s="8" t="n">
        <f aca="false">H490*(1-nnv_crwv_2028)</f>
        <v>0.561734773172678</v>
      </c>
      <c r="I491" s="8" t="n">
        <f aca="false">I490*(1-nnv_crwv_2029)</f>
        <v>0.526163528252585</v>
      </c>
    </row>
    <row r="492" customFormat="false" ht="17.15" hidden="false" customHeight="false" outlineLevel="0" collapsed="false">
      <c r="A492" s="0" t="s">
        <v>1870</v>
      </c>
      <c r="B492" s="0" t="s">
        <v>1416</v>
      </c>
      <c r="D492" s="8" t="n">
        <f aca="false">site_crwv_2024</f>
        <v>0.29</v>
      </c>
      <c r="E492" s="8" t="n">
        <f aca="false">site_crwv_2025</f>
        <v>0.49</v>
      </c>
      <c r="F492" s="8" t="n">
        <f aca="false">site_crwv_2026</f>
        <v>1</v>
      </c>
      <c r="G492" s="8" t="n">
        <f aca="false">site_crwv_2027</f>
        <v>1.5375</v>
      </c>
      <c r="H492" s="8" t="n">
        <f aca="false">site_crwv_2028</f>
        <v>1.5375</v>
      </c>
      <c r="I492" s="8" t="n">
        <f aca="false">site_crwv_2029</f>
        <v>1.5375</v>
      </c>
    </row>
    <row r="493" customFormat="false" ht="17.15" hidden="false" customHeight="false" outlineLevel="0" collapsed="false">
      <c r="A493" s="0" t="s">
        <v>1871</v>
      </c>
      <c r="B493" s="0" t="s">
        <v>1418</v>
      </c>
      <c r="D493" s="8" t="n">
        <f aca="false">main_crwv_2024</f>
        <v>0.29</v>
      </c>
      <c r="E493" s="8" t="n">
        <f aca="false">main_crwv_2025</f>
        <v>0.49</v>
      </c>
      <c r="F493" s="8" t="n">
        <f aca="false">main_crwv_2026</f>
        <v>1</v>
      </c>
      <c r="G493" s="8" t="n">
        <f aca="false">main_crwv_2027</f>
        <v>1.5375</v>
      </c>
      <c r="H493" s="8" t="n">
        <f aca="false">main_crwv_2028</f>
        <v>0.758042293208187</v>
      </c>
      <c r="I493" s="8" t="n">
        <f aca="false">main_crwv_2029</f>
        <v>0.842675104355277</v>
      </c>
    </row>
    <row r="494" customFormat="false" ht="17.15" hidden="false" customHeight="false" outlineLevel="0" collapsed="false">
      <c r="A494" s="0" t="s">
        <v>1872</v>
      </c>
      <c r="B494" s="0" t="s">
        <v>1420</v>
      </c>
      <c r="D494" s="8" t="str">
        <f aca="false">IF(ISNUMBER(ai2_nbis_2024),ai2_nbis_2024,"")</f>
        <v/>
      </c>
      <c r="E494" s="8" t="n">
        <f aca="false">IF(ISNUMBER(ai2_nbis_2025),ai2_nbis_2025,"")</f>
        <v>3.4561</v>
      </c>
      <c r="F494" s="8" t="n">
        <f aca="false">IF(ISNUMBER(ai2_nbis_2026),ai2_nbis_2026,"")</f>
        <v>19.125</v>
      </c>
      <c r="G494" s="8" t="n">
        <f aca="false">IF(ISNUMBER(ai2_nbis_2027),ai2_nbis_2027,"")</f>
        <v>23.15655</v>
      </c>
      <c r="H494" s="8" t="n">
        <f aca="false">IF(ISNUMBER(ai2_nbis_2028),ai2_nbis_2028,"")</f>
        <v>32.6315</v>
      </c>
      <c r="I494" s="8" t="n">
        <f aca="false">IF(ISNUMBER(ai2_nbis_2029),ai2_nbis_2029,"")</f>
        <v>35.89465</v>
      </c>
    </row>
    <row r="495" customFormat="false" ht="17.15" hidden="false" customHeight="false" outlineLevel="0" collapsed="false">
      <c r="A495" s="0" t="s">
        <v>1873</v>
      </c>
      <c r="B495" s="0" t="s">
        <v>1422</v>
      </c>
      <c r="D495" s="8" t="n">
        <f aca="false">IF(ISNUMBER(D494),(pit_nbis_2024/(pit_nbis_2024+pfac_nbis_2024)*D494+pfac_nbis_2024/(pit_nbis_2024+pfac_nbis_2024)*IF(AND(ISNUMBER(""),ISNUMBER("")),wb1*""+wb2*"",IF(ISNUMBER(""),"",D494)))/(pit_nbis_2024+pfac_nbis_2024),site_nbis_2024)</f>
        <v>0</v>
      </c>
      <c r="E495" s="8" t="n">
        <f aca="false">IF(ISNUMBER(E494),(pit_nbis_2025/(pit_nbis_2025+pfac_nbis_2025)*E494+pfac_nbis_2025/(pit_nbis_2025+pfac_nbis_2025)*IF(AND(ISNUMBER(D494),ISNUMBER("")),wb1*D494+wb2*"",IF(ISNUMBER(D494),D494,E494)))/(pit_nbis_2025+pfac_nbis_2025),site_nbis_2025)</f>
        <v>0.0893531926088847</v>
      </c>
      <c r="F495" s="8" t="n">
        <f aca="false">IF(ISNUMBER(F494),(pit_nbis_2026/(pit_nbis_2026+pfac_nbis_2026)*F494+pfac_nbis_2026/(pit_nbis_2026+pfac_nbis_2026)*IF(AND(ISNUMBER(E494),ISNUMBER(D494)),wb1*E494+wb2*D494,IF(ISNUMBER(E494),E494,F494)))/(pit_nbis_2026+pfac_nbis_2026),site_nbis_2026)</f>
        <v>0.321523721659491</v>
      </c>
      <c r="G495" s="8" t="n">
        <f aca="false">IF(ISNUMBER(G494),(pit_nbis_2027/(pit_nbis_2027+pfac_nbis_2027)*G494+pfac_nbis_2027/(pit_nbis_2027+pfac_nbis_2027)*IF(AND(ISNUMBER(F494),ISNUMBER(E494)),wb1*F494+wb2*E494,IF(ISNUMBER(F494),F494,G494)))/(pit_nbis_2027+pfac_nbis_2027),site_nbis_2027)</f>
        <v>0.396179366526544</v>
      </c>
      <c r="H495" s="8" t="n">
        <f aca="false">IF(ISNUMBER(H494),(pit_nbis_2028/(pit_nbis_2028+pfac_nbis_2028)*H494+pfac_nbis_2028/(pit_nbis_2028+pfac_nbis_2028)*IF(AND(ISNUMBER(G494),ISNUMBER(F494)),wb1*G494+wb2*F494,IF(ISNUMBER(G494),G494,H494)))/(pit_nbis_2028+pfac_nbis_2028),site_nbis_2028)</f>
        <v>0.554335434150153</v>
      </c>
      <c r="I495" s="8" t="n">
        <f aca="false">IF(ISNUMBER(I494),(pit_nbis_2029/(pit_nbis_2029+pfac_nbis_2029)*I494+pfac_nbis_2029/(pit_nbis_2029+pfac_nbis_2029)*IF(AND(ISNUMBER(H494),ISNUMBER(G494)),wb1*H494+wb2*G494,IF(ISNUMBER(H494),H494,I494)))/(pit_nbis_2029+pfac_nbis_2029),site_nbis_2029)</f>
        <v>0.629924193744744</v>
      </c>
    </row>
    <row r="496" customFormat="false" ht="17.15" hidden="false" customHeight="false" outlineLevel="0" collapsed="false">
      <c r="A496" s="0" t="s">
        <v>1874</v>
      </c>
      <c r="B496" s="0" t="s">
        <v>1424</v>
      </c>
      <c r="E496" s="8" t="n">
        <f aca="false">(1-lag_lo)*E495+lag_lo*D495-inv_k*(E495-D495)</f>
        <v>0.058079575195775</v>
      </c>
      <c r="F496" s="8" t="n">
        <f aca="false">(1-lag_lo)*F495+lag_lo*E495-inv_k*(F495-E495)</f>
        <v>0.240264036491779</v>
      </c>
      <c r="G496" s="8" t="n">
        <f aca="false">(1-lag_lo)*G495+lag_lo*F495-inv_k*(G495-F495)</f>
        <v>0.370049890823075</v>
      </c>
      <c r="H496" s="8" t="n">
        <f aca="false">(1-lag_lo)*H495+lag_lo*G495-inv_k*(H495-G495)</f>
        <v>0.49898081048189</v>
      </c>
      <c r="I496" s="8" t="n">
        <f aca="false">(1-lag_lo)*I495+lag_lo*H495-inv_k*(I495-H495)</f>
        <v>0.603468127886637</v>
      </c>
    </row>
    <row r="497" customFormat="false" ht="17.15" hidden="false" customHeight="false" outlineLevel="0" collapsed="false">
      <c r="A497" s="0" t="s">
        <v>1875</v>
      </c>
      <c r="B497" s="0" t="s">
        <v>1426</v>
      </c>
      <c r="D497" s="8" t="str">
        <f aca="false">""</f>
        <v/>
      </c>
      <c r="E497" s="8" t="n">
        <f aca="false">cap2_nbis_2025*ai_sh</f>
        <v>3.4561</v>
      </c>
      <c r="F497" s="8" t="n">
        <f aca="false">gcap_nbis_2026*ai_sh</f>
        <v>22.1392615</v>
      </c>
      <c r="G497" s="8" t="n">
        <f aca="false">gcap_nbis_2027*ai_sh</f>
        <v>23.45782145</v>
      </c>
      <c r="H497" s="8" t="n">
        <f aca="false">gcap_nbis_2028*ai_sh</f>
        <v>24.7763814</v>
      </c>
      <c r="I497" s="8" t="n">
        <f aca="false">gcap_nbis_2029*ai_sh</f>
        <v>24.7763814</v>
      </c>
    </row>
    <row r="498" customFormat="false" ht="17.15" hidden="false" customHeight="false" outlineLevel="0" collapsed="false">
      <c r="A498" s="0" t="s">
        <v>1876</v>
      </c>
      <c r="B498" s="0" t="s">
        <v>1422</v>
      </c>
      <c r="D498" s="8" t="n">
        <f aca="false">IF(ISNUMBER(D497),(pit_nbis_2024/(pit_nbis_2024+pfac_nbis_2024)*D497+pfac_nbis_2024/(pit_nbis_2024+pfac_nbis_2024)*IF(AND(ISNUMBER(""),ISNUMBER("")),wb1*""+wb2*"",IF(ISNUMBER(""),"",D497)))/(pit_nbis_2024+pfac_nbis_2024),site_nbis_2024)</f>
        <v>0</v>
      </c>
      <c r="E498" s="8" t="n">
        <f aca="false">IF(ISNUMBER(E497),(pit_nbis_2025/(pit_nbis_2025+pfac_nbis_2025)*E497+pfac_nbis_2025/(pit_nbis_2025+pfac_nbis_2025)*IF(AND(ISNUMBER(D497),ISNUMBER("")),wb1*D497+wb2*"",IF(ISNUMBER(D497),D497,E497)))/(pit_nbis_2025+pfac_nbis_2025),site_nbis_2025)</f>
        <v>0.0893531926088847</v>
      </c>
      <c r="F498" s="8" t="n">
        <f aca="false">IF(ISNUMBER(F497),(pit_nbis_2026/(pit_nbis_2026+pfac_nbis_2026)*F497+pfac_nbis_2026/(pit_nbis_2026+pfac_nbis_2026)*IF(AND(ISNUMBER(E497),ISNUMBER(D497)),wb1*E497+wb2*D497,IF(ISNUMBER(E497),E497,F497)))/(pit_nbis_2026+pfac_nbis_2026),site_nbis_2026)</f>
        <v>0.368948888862446</v>
      </c>
      <c r="G498" s="8" t="n">
        <f aca="false">IF(ISNUMBER(G497),(pit_nbis_2027/(pit_nbis_2027+pfac_nbis_2027)*G497+pfac_nbis_2027/(pit_nbis_2027+pfac_nbis_2027)*IF(AND(ISNUMBER(F497),ISNUMBER(E497)),wb1*F497+wb2*E497,IF(ISNUMBER(F497),F497,G497)))/(pit_nbis_2027+pfac_nbis_2027),site_nbis_2027)</f>
        <v>0.407957040143515</v>
      </c>
      <c r="H498" s="8" t="n">
        <f aca="false">IF(ISNUMBER(H497),(pit_nbis_2028/(pit_nbis_2028+pfac_nbis_2028)*H497+pfac_nbis_2028/(pit_nbis_2028+pfac_nbis_2028)*IF(AND(ISNUMBER(G497),ISNUMBER(F497)),wb1*G497+wb2*F497,IF(ISNUMBER(G497),G497,H497)))/(pit_nbis_2028+pfac_nbis_2028),site_nbis_2028)</f>
        <v>0.450206743161261</v>
      </c>
      <c r="I498" s="8" t="n">
        <f aca="false">IF(ISNUMBER(I497),(pit_nbis_2029/(pit_nbis_2029+pfac_nbis_2029)*I497+pfac_nbis_2029/(pit_nbis_2029+pfac_nbis_2029)*IF(AND(ISNUMBER(H497),ISNUMBER(G497)),wb1*H497+wb2*G497,IF(ISNUMBER(H497),H497,I497)))/(pit_nbis_2029+pfac_nbis_2029),site_nbis_2029)</f>
        <v>0.45593532101388</v>
      </c>
    </row>
    <row r="499" customFormat="false" ht="17.15" hidden="false" customHeight="false" outlineLevel="0" collapsed="false">
      <c r="A499" s="0" t="s">
        <v>1877</v>
      </c>
      <c r="B499" s="0" t="s">
        <v>1424</v>
      </c>
      <c r="E499" s="8" t="n">
        <f aca="false">(1-lag_lo)*E498+lag_lo*D498-inv_k*(E498-D498)</f>
        <v>0.058079575195775</v>
      </c>
      <c r="F499" s="8" t="n">
        <f aca="false">(1-lag_lo)*F498+lag_lo*E498-inv_k*(F498-E498)</f>
        <v>0.2710903951737</v>
      </c>
      <c r="G499" s="8" t="n">
        <f aca="false">(1-lag_lo)*G498+lag_lo*F498-inv_k*(G498-F498)</f>
        <v>0.394304187195141</v>
      </c>
      <c r="H499" s="8" t="n">
        <f aca="false">(1-lag_lo)*H498+lag_lo*G498-inv_k*(H498-G498)</f>
        <v>0.435419347105049</v>
      </c>
      <c r="I499" s="8" t="n">
        <f aca="false">(1-lag_lo)*I498+lag_lo*H498-inv_k*(I498-H498)</f>
        <v>0.453930318765463</v>
      </c>
    </row>
    <row r="500" customFormat="false" ht="17.15" hidden="false" customHeight="false" outlineLevel="0" collapsed="false">
      <c r="A500" s="0" t="s">
        <v>1878</v>
      </c>
      <c r="B500" s="0" t="s">
        <v>1430</v>
      </c>
      <c r="E500" s="8" t="n">
        <f aca="false">E499*(1-nnv_nbis_2025)</f>
        <v>0.058079575195775</v>
      </c>
      <c r="F500" s="8" t="n">
        <f aca="false">F499*(1-nnv_nbis_2026)</f>
        <v>0.2710903951737</v>
      </c>
      <c r="G500" s="8" t="n">
        <f aca="false">G499*(1-nnv_nbis_2027)</f>
        <v>0.394304187195141</v>
      </c>
      <c r="H500" s="8" t="n">
        <f aca="false">H499*(1-nnv_nbis_2028)</f>
        <v>0.435419347105049</v>
      </c>
      <c r="I500" s="8" t="n">
        <f aca="false">I499*(1-nnv_nbis_2029)</f>
        <v>0.453930318765463</v>
      </c>
    </row>
    <row r="501" customFormat="false" ht="17.15" hidden="false" customHeight="false" outlineLevel="0" collapsed="false">
      <c r="A501" s="0" t="s">
        <v>1879</v>
      </c>
      <c r="B501" s="0" t="s">
        <v>1432</v>
      </c>
      <c r="D501" s="8" t="n">
        <f aca="false">site_nbis_2024</f>
        <v>0</v>
      </c>
      <c r="E501" s="8" t="n">
        <f aca="false">site_nbis_2025</f>
        <v>0</v>
      </c>
      <c r="F501" s="8" t="n">
        <f aca="false">site_nbis_2026</f>
        <v>0.73</v>
      </c>
      <c r="G501" s="8" t="n">
        <f aca="false">site_nbis_2027</f>
        <v>0.403</v>
      </c>
      <c r="H501" s="8" t="n">
        <f aca="false">site_nbis_2028</f>
        <v>0</v>
      </c>
      <c r="I501" s="8" t="n">
        <f aca="false">site_nbis_2029</f>
        <v>0</v>
      </c>
    </row>
    <row r="502" customFormat="false" ht="17.15" hidden="false" customHeight="false" outlineLevel="0" collapsed="false">
      <c r="A502" s="0" t="s">
        <v>1880</v>
      </c>
      <c r="B502" s="0" t="s">
        <v>1434</v>
      </c>
      <c r="D502" s="8" t="n">
        <f aca="false">main_nbis_2024</f>
        <v>0</v>
      </c>
      <c r="E502" s="8" t="n">
        <f aca="false">main_nbis_2025</f>
        <v>0</v>
      </c>
      <c r="F502" s="8" t="n">
        <f aca="false">main_nbis_2026</f>
        <v>0.73</v>
      </c>
      <c r="G502" s="8" t="n">
        <f aca="false">main_nbis_2027</f>
        <v>0.396179366526544</v>
      </c>
      <c r="H502" s="8" t="n">
        <f aca="false">main_nbis_2028</f>
        <v>0.554335434150153</v>
      </c>
      <c r="I502" s="8" t="n">
        <f aca="false">main_nbis_2029</f>
        <v>0.629924193744744</v>
      </c>
    </row>
    <row r="503" customFormat="false" ht="17.15" hidden="false" customHeight="false" outlineLevel="0" collapsed="false">
      <c r="A503" s="0" t="s">
        <v>1881</v>
      </c>
      <c r="B503" s="0" t="s">
        <v>1436</v>
      </c>
      <c r="D503" s="8" t="str">
        <f aca="false">IF(ISNUMBER(gai_xai_2024),gai_xai_2024,"")</f>
        <v/>
      </c>
      <c r="E503" s="8" t="str">
        <f aca="false">IF(ISNUMBER(gai_xai_2025),gai_xai_2025,"")</f>
        <v/>
      </c>
      <c r="F503" s="8" t="n">
        <f aca="false">IF(ISNUMBER(gai_xai_2026),gai_xai_2026,"")</f>
        <v>74.058119</v>
      </c>
      <c r="G503" s="8" t="n">
        <f aca="false">IF(ISNUMBER(gai_xai_2027),gai_xai_2027,"")</f>
        <v>136.252477</v>
      </c>
      <c r="H503" s="8" t="n">
        <f aca="false">IF(ISNUMBER(gai_xai_2028),gai_xai_2028,"")</f>
        <v>144.12072</v>
      </c>
      <c r="I503" s="8" t="n">
        <f aca="false">IF(ISNUMBER(gai_xai_2029),gai_xai_2029,"")</f>
        <v>111.172527</v>
      </c>
    </row>
    <row r="504" customFormat="false" ht="17.15" hidden="false" customHeight="false" outlineLevel="0" collapsed="false">
      <c r="A504" s="0" t="s">
        <v>1882</v>
      </c>
      <c r="B504" s="0" t="s">
        <v>1438</v>
      </c>
      <c r="D504" s="8" t="n">
        <f aca="false">IF(ISNUMBER(D503),(pitN_2024/(pitN_2024+pfacN_2024)*D503+pfacN_2024/(pitN_2024+pfacN_2024)*IF(AND(ISNUMBER(""),ISNUMBER("")),wb1*""+wb2*"",IF(ISNUMBER(""),"",D503)))/(pitN_2024+pfacN_2024),site_xai_2024)</f>
        <v>0</v>
      </c>
      <c r="E504" s="8" t="n">
        <f aca="false">IF(ISNUMBER(E503),(pitN_2025/(pitN_2025+pfacN_2025)*E503+pfacN_2025/(pitN_2025+pfacN_2025)*IF(AND(ISNUMBER(D503),ISNUMBER("")),wb1*D503+wb2*"",IF(ISNUMBER(D503),D503,E503)))/(pitN_2025+pfacN_2025),site_xai_2025)</f>
        <v>0</v>
      </c>
      <c r="F504" s="8" t="n">
        <f aca="false">IF(ISNUMBER(F503),(pitN_2026/(pitN_2026+pfacN_2026)*F503+pfacN_2026/(pitN_2026+pfacN_2026)*IF(AND(ISNUMBER(E503),ISNUMBER(D503)),wb1*E503+wb2*D503,IF(ISNUMBER(E503),E503,F503)))/(pitN_2026+pfacN_2026),site_xai_2026)</f>
        <v>1.60702342066936</v>
      </c>
      <c r="G504" s="8" t="n">
        <f aca="false">IF(ISNUMBER(G503),(pitN_2027/(pitN_2027+pfacN_2027)*G503+pfacN_2027/(pitN_2027+pfacN_2027)*IF(AND(ISNUMBER(F503),ISNUMBER(E503)),wb1*F503+wb2*E503,IF(ISNUMBER(F503),F503,G503)))/(pitN_2027+pfacN_2027),site_xai_2027)</f>
        <v>2.36823509451502</v>
      </c>
      <c r="H504" s="8" t="n">
        <f aca="false">IF(ISNUMBER(H503),(pitN_2028/(pitN_2028+pfacN_2028)*H503+pfacN_2028/(pitN_2028+pfacN_2028)*IF(AND(ISNUMBER(G503),ISNUMBER(F503)),wb1*G503+wb2*F503,IF(ISNUMBER(G503),G503,H503)))/(pitN_2028+pfacN_2028),site_xai_2028)</f>
        <v>2.49948463520021</v>
      </c>
      <c r="I504" s="8" t="n">
        <f aca="false">IF(ISNUMBER(I503),(pitN_2029/(pitN_2029+pfacN_2029)*I503+pfacN_2029/(pitN_2029+pfacN_2029)*IF(AND(ISNUMBER(H503),ISNUMBER(G503)),wb1*H503+wb2*G503,IF(ISNUMBER(H503),H503,I503)))/(pitN_2029+pfacN_2029),site_xai_2029)</f>
        <v>2.18470428873966</v>
      </c>
    </row>
    <row r="505" customFormat="false" ht="17.15" hidden="false" customHeight="false" outlineLevel="0" collapsed="false">
      <c r="A505" s="0" t="s">
        <v>1883</v>
      </c>
      <c r="B505" s="0" t="s">
        <v>1440</v>
      </c>
      <c r="E505" s="8" t="n">
        <f aca="false">IF(ISNUMBER(gai_xai_2024),(1-lag_lo)*E504+lag_lo*D504-inv_k*(E504-D504),E504)</f>
        <v>0</v>
      </c>
      <c r="F505" s="8" t="n">
        <f aca="false">IF(ISNUMBER(gai_xai_2025),(1-lag_lo)*F504+lag_lo*E504-inv_k*(F504-E504),F504)</f>
        <v>1.60702342066936</v>
      </c>
      <c r="G505" s="8" t="n">
        <f aca="false">IF(ISNUMBER(gai_xai_2026),(1-lag_lo)*G504+lag_lo*F504-inv_k*(G504-F504),G504)</f>
        <v>2.10181100866904</v>
      </c>
      <c r="H505" s="8" t="n">
        <f aca="false">IF(ISNUMBER(gai_xai_2027),(1-lag_lo)*H504+lag_lo*G504-inv_k*(H504-G504),H504)</f>
        <v>2.45354729596039</v>
      </c>
      <c r="I505" s="8" t="n">
        <f aca="false">IF(ISNUMBER(gai_xai_2028),(1-lag_lo)*I504+lag_lo*H504-inv_k*(I504-H504),I504)</f>
        <v>2.29487741000085</v>
      </c>
    </row>
    <row r="506" customFormat="false" ht="17.15" hidden="false" customHeight="false" outlineLevel="0" collapsed="false">
      <c r="A506" s="0" t="s">
        <v>1884</v>
      </c>
      <c r="B506" s="0" t="s">
        <v>1442</v>
      </c>
      <c r="E506" s="8" t="n">
        <f aca="false">E505*(1-nnv_xai_2025)</f>
        <v>0</v>
      </c>
      <c r="F506" s="8" t="n">
        <f aca="false">F505*(1-nnv_xai_2026)</f>
        <v>1.60702342066936</v>
      </c>
      <c r="G506" s="8" t="n">
        <f aca="false">G505*(1-nnv_xai_2027)</f>
        <v>2.10181100866904</v>
      </c>
      <c r="H506" s="8" t="n">
        <f aca="false">H505*(1-nnv_xai_2028)</f>
        <v>2.45354729596039</v>
      </c>
      <c r="I506" s="8" t="n">
        <f aca="false">I505*(1-nnv_xai_2029)</f>
        <v>2.29487741000085</v>
      </c>
    </row>
    <row r="507" customFormat="false" ht="17.15" hidden="false" customHeight="false" outlineLevel="0" collapsed="false">
      <c r="A507" s="0" t="s">
        <v>1885</v>
      </c>
      <c r="B507" s="0" t="s">
        <v>1444</v>
      </c>
      <c r="D507" s="8" t="n">
        <f aca="false">site_xai_2024</f>
        <v>0</v>
      </c>
      <c r="E507" s="8" t="n">
        <f aca="false">site_xai_2025</f>
        <v>0</v>
      </c>
      <c r="F507" s="8" t="n">
        <f aca="false">site_xai_2026</f>
        <v>1.4302</v>
      </c>
      <c r="G507" s="8" t="n">
        <f aca="false">site_xai_2027</f>
        <v>0.585</v>
      </c>
      <c r="H507" s="8" t="n">
        <f aca="false">site_xai_2028</f>
        <v>0</v>
      </c>
      <c r="I507" s="8" t="n">
        <f aca="false">site_xai_2029</f>
        <v>0</v>
      </c>
    </row>
    <row r="508" customFormat="false" ht="17.15" hidden="false" customHeight="false" outlineLevel="0" collapsed="false">
      <c r="A508" s="0" t="s">
        <v>1886</v>
      </c>
      <c r="B508" s="0" t="s">
        <v>1446</v>
      </c>
      <c r="D508" s="8" t="str">
        <f aca="false">IF(ISNUMBER(gai_ant_2024),gai_ant_2024,"")</f>
        <v/>
      </c>
      <c r="E508" s="8" t="str">
        <f aca="false">IF(ISNUMBER(gai_ant_2025),gai_ant_2025,"")</f>
        <v/>
      </c>
      <c r="F508" s="8" t="n">
        <f aca="false">IF(ISNUMBER(gai_ant_2026),gai_ant_2026,"")</f>
        <v>16.666667</v>
      </c>
      <c r="G508" s="8" t="n">
        <f aca="false">IF(ISNUMBER(gai_ant_2027),gai_ant_2027,"")</f>
        <v>16.666667</v>
      </c>
      <c r="H508" s="8" t="n">
        <f aca="false">IF(ISNUMBER(gai_ant_2028),gai_ant_2028,"")</f>
        <v>16.666667</v>
      </c>
      <c r="I508" s="8" t="n">
        <f aca="false">IF(ISNUMBER(gai_ant_2029),gai_ant_2029,"")</f>
        <v>0</v>
      </c>
    </row>
    <row r="509" customFormat="false" ht="17.15" hidden="false" customHeight="false" outlineLevel="0" collapsed="false">
      <c r="A509" s="0" t="s">
        <v>1887</v>
      </c>
      <c r="B509" s="0" t="s">
        <v>1448</v>
      </c>
      <c r="D509" s="8" t="n">
        <f aca="false">IF(ISNUMBER(D508),(pitN_2024/(pitN_2024+pfacN_2024)*D508+pfacN_2024/(pitN_2024+pfacN_2024)*IF(AND(ISNUMBER(""),ISNUMBER("")),wb1*""+wb2*"",IF(ISNUMBER(""),"",D508)))/(pitN_2024+pfacN_2024),site_ant_2024)</f>
        <v>0</v>
      </c>
      <c r="E509" s="8" t="n">
        <f aca="false">IF(ISNUMBER(E508),(pitN_2025/(pitN_2025+pfacN_2025)*E508+pfacN_2025/(pitN_2025+pfacN_2025)*IF(AND(ISNUMBER(D508),ISNUMBER("")),wb1*D508+wb2*"",IF(ISNUMBER(D508),D508,E508)))/(pitN_2025+pfacN_2025),site_ant_2025)</f>
        <v>0</v>
      </c>
      <c r="F509" s="8" t="n">
        <f aca="false">IF(ISNUMBER(F508),(pitN_2026/(pitN_2026+pfacN_2026)*F508+pfacN_2026/(pitN_2026+pfacN_2026)*IF(AND(ISNUMBER(E508),ISNUMBER(D508)),wb1*E508+wb2*D508,IF(ISNUMBER(E508),E508,F508)))/(pitN_2026+pfacN_2026),site_ant_2026)</f>
        <v>0.36165817570248</v>
      </c>
      <c r="G509" s="8" t="n">
        <f aca="false">IF(ISNUMBER(G508),(pitN_2027/(pitN_2027+pfacN_2027)*G508+pfacN_2027/(pitN_2027+pfacN_2027)*IF(AND(ISNUMBER(F508),ISNUMBER(E508)),wb1*F508+wb2*E508,IF(ISNUMBER(F508),F508,G508)))/(pitN_2027+pfacN_2027),site_ant_2027)</f>
        <v>0.326730833032632</v>
      </c>
      <c r="H509" s="8" t="n">
        <f aca="false">IF(ISNUMBER(H508),(pitN_2028/(pitN_2028+pfacN_2028)*H508+pfacN_2028/(pitN_2028+pfacN_2028)*IF(AND(ISNUMBER(G508),ISNUMBER(F508)),wb1*G508+wb2*F508,IF(ISNUMBER(G508),G508,H508)))/(pitN_2028+pfacN_2028),site_ant_2028)</f>
        <v>0.308627002270922</v>
      </c>
      <c r="I509" s="8" t="n">
        <f aca="false">IF(ISNUMBER(I508),(pitN_2029/(pitN_2029+pfacN_2029)*I508+pfacN_2029/(pitN_2029+pfacN_2029)*IF(AND(ISNUMBER(H508),ISNUMBER(G508)),wb1*H508+wb2*G508,IF(ISNUMBER(H508),H508,I508)))/(pitN_2029+pfacN_2029),site_ant_2029)</f>
        <v>0.0724095248404747</v>
      </c>
    </row>
    <row r="510" customFormat="false" ht="17.15" hidden="false" customHeight="false" outlineLevel="0" collapsed="false">
      <c r="A510" s="0" t="s">
        <v>1888</v>
      </c>
      <c r="B510" s="0" t="s">
        <v>1450</v>
      </c>
      <c r="E510" s="8" t="n">
        <f aca="false">IF(ISNUMBER(gai_ant_2024),(1-lag_lo)*E509+lag_lo*D509-inv_k*(E509-D509),E509)</f>
        <v>0</v>
      </c>
      <c r="F510" s="8" t="n">
        <f aca="false">IF(ISNUMBER(gai_ant_2025),(1-lag_lo)*F509+lag_lo*E509-inv_k*(F509-E509),F509)</f>
        <v>0.36165817570248</v>
      </c>
      <c r="G510" s="8" t="n">
        <f aca="false">IF(ISNUMBER(gai_ant_2026),(1-lag_lo)*G509+lag_lo*F509-inv_k*(G509-F509),G509)</f>
        <v>0.338955402967079</v>
      </c>
      <c r="H510" s="8" t="n">
        <f aca="false">IF(ISNUMBER(gai_ant_2027),(1-lag_lo)*H509+lag_lo*G509-inv_k*(H509-G509),H509)</f>
        <v>0.314963343037521</v>
      </c>
      <c r="I510" s="8" t="n">
        <f aca="false">IF(ISNUMBER(gai_ant_2028),(1-lag_lo)*I509+lag_lo*H509-inv_k*(I509-H509),I509)</f>
        <v>0.155085641941131</v>
      </c>
    </row>
    <row r="511" customFormat="false" ht="17.15" hidden="false" customHeight="false" outlineLevel="0" collapsed="false">
      <c r="A511" s="0" t="s">
        <v>1889</v>
      </c>
      <c r="B511" s="0" t="s">
        <v>1452</v>
      </c>
      <c r="E511" s="8" t="n">
        <f aca="false">E510*(1-nnv_ant_2025)</f>
        <v>0</v>
      </c>
      <c r="F511" s="8" t="n">
        <f aca="false">F510*(1-nnv_ant_2026)</f>
        <v>0.275507557374688</v>
      </c>
      <c r="G511" s="8" t="n">
        <f aca="false">G510*(1-nnv_ant_2027)</f>
        <v>0.246386051212885</v>
      </c>
      <c r="H511" s="8" t="n">
        <f aca="false">H510*(1-nnv_ant_2028)</f>
        <v>0.230042486759966</v>
      </c>
      <c r="I511" s="8" t="n">
        <f aca="false">I510*(1-nnv_ant_2029)</f>
        <v>0.112873267316123</v>
      </c>
    </row>
    <row r="512" customFormat="false" ht="17.15" hidden="false" customHeight="false" outlineLevel="0" collapsed="false">
      <c r="A512" s="0" t="s">
        <v>1890</v>
      </c>
      <c r="B512" s="0" t="s">
        <v>1454</v>
      </c>
      <c r="D512" s="8" t="n">
        <f aca="false">site_ant_2024</f>
        <v>0</v>
      </c>
      <c r="E512" s="8" t="n">
        <f aca="false">site_ant_2025</f>
        <v>0</v>
      </c>
      <c r="F512" s="8" t="n">
        <f aca="false">site_ant_2026</f>
        <v>0</v>
      </c>
      <c r="G512" s="8" t="n">
        <f aca="false">site_ant_2027</f>
        <v>0</v>
      </c>
      <c r="H512" s="8" t="n">
        <f aca="false">site_ant_2028</f>
        <v>0</v>
      </c>
      <c r="I512" s="8" t="n">
        <f aca="false">site_ant_2029</f>
        <v>0</v>
      </c>
    </row>
    <row r="513" customFormat="false" ht="17.15" hidden="false" customHeight="false" outlineLevel="0" collapsed="false">
      <c r="A513" s="0" t="s">
        <v>1891</v>
      </c>
      <c r="B513" s="5" t="s">
        <v>1456</v>
      </c>
      <c r="D513" s="9" t="n">
        <f aca="false">D441+D450+D459+D468+D477+D486+D495</f>
        <v>2.88602836343531</v>
      </c>
      <c r="E513" s="9" t="n">
        <f aca="false">E441+E450+E459+E468+E477+E486+E495</f>
        <v>9.64396540227264</v>
      </c>
      <c r="F513" s="9" t="n">
        <f aca="false">F441+F450+F459+F468+F477+F486+F495</f>
        <v>15.2175288078156</v>
      </c>
      <c r="G513" s="9" t="n">
        <f aca="false">G441+G450+G459+G468+G477+G486+G495</f>
        <v>19.096009969242</v>
      </c>
      <c r="H513" s="9" t="n">
        <f aca="false">H441+H450+H459+H468+H477+H486+H495</f>
        <v>21.3980787384407</v>
      </c>
      <c r="I513" s="9" t="n">
        <f aca="false">I441+I450+I459+I468+I477+I486+I495</f>
        <v>23.901946773905</v>
      </c>
    </row>
    <row r="514" customFormat="false" ht="17.15" hidden="false" customHeight="false" outlineLevel="0" collapsed="false">
      <c r="A514" s="0" t="s">
        <v>1892</v>
      </c>
      <c r="B514" s="5" t="s">
        <v>1458</v>
      </c>
      <c r="D514" s="9" t="n">
        <f aca="false">D442+D451+D460+D469+D478+D487+D496</f>
        <v>0</v>
      </c>
      <c r="E514" s="9" t="n">
        <f aca="false">E442+E451+E460+E469+E478+E487+E496</f>
        <v>7.27868743867957</v>
      </c>
      <c r="F514" s="9" t="n">
        <f aca="false">F442+F451+F460+F469+F478+F487+F496</f>
        <v>13.2667816158756</v>
      </c>
      <c r="G514" s="9" t="n">
        <f aca="false">G442+G451+G460+G469+G478+G487+G496</f>
        <v>17.7385415627428</v>
      </c>
      <c r="H514" s="9" t="n">
        <f aca="false">H442+H451+H460+H469+H478+H487+H496</f>
        <v>20.5923546692212</v>
      </c>
      <c r="I514" s="9" t="n">
        <f aca="false">I442+I451+I460+I469+I478+I487+I496</f>
        <v>23.0255929614925</v>
      </c>
    </row>
    <row r="515" customFormat="false" ht="17.15" hidden="false" customHeight="false" outlineLevel="0" collapsed="false">
      <c r="A515" s="0" t="s">
        <v>1893</v>
      </c>
      <c r="B515" s="5" t="s">
        <v>1460</v>
      </c>
      <c r="D515" s="9" t="n">
        <f aca="false">D444+D453+D462+D471+D480+D489+D498</f>
        <v>3.89616485653111</v>
      </c>
      <c r="E515" s="9" t="n">
        <f aca="false">E444+E453+E462+E471+E480+E489+E498</f>
        <v>9.54752388940888</v>
      </c>
      <c r="F515" s="9" t="n">
        <f aca="false">F444+F453+F462+F471+F480+F489+F498</f>
        <v>15.0143331625148</v>
      </c>
      <c r="G515" s="9" t="n">
        <f aca="false">G444+G453+G462+G471+G480+G489+G498</f>
        <v>19.2346553461083</v>
      </c>
      <c r="H515" s="9" t="n">
        <f aca="false">H444+H453+H462+H471+H480+H489+H498</f>
        <v>20.7180010831606</v>
      </c>
      <c r="I515" s="9" t="n">
        <f aca="false">I444+I453+I462+I471+I480+I489+I498</f>
        <v>20.371284771225</v>
      </c>
    </row>
    <row r="516" customFormat="false" ht="17.15" hidden="false" customHeight="false" outlineLevel="0" collapsed="false">
      <c r="A516" s="0" t="s">
        <v>1894</v>
      </c>
      <c r="B516" s="5" t="s">
        <v>1462</v>
      </c>
      <c r="D516" s="9" t="n">
        <f aca="false">D445+D454+D463+D472+D481+D490+D499</f>
        <v>0</v>
      </c>
      <c r="E516" s="9" t="n">
        <f aca="false">E445+E454+E463+E472+E481+E490+E499</f>
        <v>7.56954822790166</v>
      </c>
      <c r="F516" s="9" t="n">
        <f aca="false">F445+F454+F463+F472+F481+F490+F499</f>
        <v>13.1009499169277</v>
      </c>
      <c r="G516" s="9" t="n">
        <f aca="false">G445+G454+G463+G472+G481+G490+G499</f>
        <v>17.7575425818506</v>
      </c>
      <c r="H516" s="9" t="n">
        <f aca="false">H445+H454+H463+H472+H481+H490+H499</f>
        <v>20.1988300751923</v>
      </c>
      <c r="I516" s="9" t="n">
        <f aca="false">I445+I454+I463+I472+I481+I490+I499</f>
        <v>20.4926354804025</v>
      </c>
    </row>
    <row r="517" customFormat="false" ht="15" hidden="false" customHeight="false" outlineLevel="0" collapsed="false">
      <c r="A517" s="0" t="s">
        <v>1895</v>
      </c>
      <c r="B517" s="5" t="s">
        <v>1464</v>
      </c>
      <c r="D517" s="9" t="n">
        <f aca="false">D447+D456+D465+D474+D483+D492+D501</f>
        <v>1.61980834349181</v>
      </c>
      <c r="E517" s="9" t="n">
        <f aca="false">E447+E456+E465+E474+E483+E492+E501</f>
        <v>8.74912429484715</v>
      </c>
      <c r="F517" s="9" t="n">
        <f aca="false">F447+F456+F465+F474+F483+F492+F501</f>
        <v>6.54276412772586</v>
      </c>
      <c r="G517" s="9" t="n">
        <f aca="false">G447+G456+G465+G474+G483+G492+G501</f>
        <v>6.52966666666667</v>
      </c>
      <c r="H517" s="9" t="n">
        <f aca="false">H447+H456+H465+H474+H483+H492+H501</f>
        <v>13.6908333333333</v>
      </c>
      <c r="I517" s="9" t="n">
        <f aca="false">I447+I456+I465+I474+I483+I492+I501</f>
        <v>2.7115</v>
      </c>
    </row>
    <row r="518" customFormat="false" ht="17.15" hidden="false" customHeight="false" outlineLevel="0" collapsed="false">
      <c r="A518" s="0" t="s">
        <v>1896</v>
      </c>
      <c r="B518" s="5" t="s">
        <v>1466</v>
      </c>
      <c r="D518" s="9" t="n">
        <f aca="false">D448+D457+D466+D475+D484+D493+D502</f>
        <v>1.61980834349181</v>
      </c>
      <c r="E518" s="9" t="n">
        <f aca="false">E448+E457+E466+E475+E484+E493+E502</f>
        <v>8.74912429484715</v>
      </c>
      <c r="F518" s="9" t="n">
        <f aca="false">F448+F457+F466+F475+F484+F493+F502</f>
        <v>6.54276412772586</v>
      </c>
      <c r="G518" s="9" t="n">
        <f aca="false">G448+G457+G466+G475+G484+G493+G502</f>
        <v>17.8887754681966</v>
      </c>
      <c r="H518" s="9" t="n">
        <f aca="false">H448+H457+H466+H475+H484+H493+H502</f>
        <v>21.3980787384407</v>
      </c>
      <c r="I518" s="9" t="n">
        <f aca="false">I448+I457+I466+I475+I484+I493+I502</f>
        <v>23.9019467739051</v>
      </c>
    </row>
    <row r="519" customFormat="false" ht="17.15" hidden="false" customHeight="false" outlineLevel="0" collapsed="false">
      <c r="A519" s="0" t="s">
        <v>1897</v>
      </c>
      <c r="B519" s="5" t="s">
        <v>1468</v>
      </c>
      <c r="D519" s="9" t="n">
        <f aca="false">D446+D455+D464+D473+D482+D491+D500</f>
        <v>0</v>
      </c>
      <c r="E519" s="9" t="n">
        <f aca="false">E446+E455+E464+E473+E482+E491+E500</f>
        <v>4.13140734343461</v>
      </c>
      <c r="F519" s="9" t="n">
        <f aca="false">F446+F455+F464+F473+F482+F491+F500</f>
        <v>7.22017302348905</v>
      </c>
      <c r="G519" s="9" t="n">
        <f aca="false">G446+G455+G464+G473+G482+G491+G500</f>
        <v>9.23757862728484</v>
      </c>
      <c r="H519" s="9" t="n">
        <f aca="false">H446+H455+H464+H473+H482+H491+H500</f>
        <v>10.2856754314207</v>
      </c>
      <c r="I519" s="9" t="n">
        <f aca="false">I446+I455+I464+I473+I482+I491+I500</f>
        <v>10.2394442840961</v>
      </c>
    </row>
    <row r="520" customFormat="false" ht="17.15" hidden="false" customHeight="false" outlineLevel="0" collapsed="false">
      <c r="A520" s="0" t="s">
        <v>1898</v>
      </c>
      <c r="B520" s="5" t="s">
        <v>1470</v>
      </c>
      <c r="D520" s="9" t="n">
        <f aca="false">D506+D511</f>
        <v>0</v>
      </c>
      <c r="E520" s="9" t="n">
        <f aca="false">E506+E511</f>
        <v>0</v>
      </c>
      <c r="F520" s="9" t="n">
        <f aca="false">F506+F511</f>
        <v>1.88253097804405</v>
      </c>
      <c r="G520" s="9" t="n">
        <f aca="false">G506+G511</f>
        <v>2.34819705988192</v>
      </c>
      <c r="H520" s="9" t="n">
        <f aca="false">H506+H511</f>
        <v>2.68358978272036</v>
      </c>
      <c r="I520" s="9" t="n">
        <f aca="false">I506+I511</f>
        <v>2.40775067731697</v>
      </c>
    </row>
    <row r="521" customFormat="false" ht="15" hidden="false" customHeight="false" outlineLevel="0" collapsed="false">
      <c r="A521" s="0" t="s">
        <v>1899</v>
      </c>
      <c r="B521" s="5" t="s">
        <v>1472</v>
      </c>
      <c r="D521" s="9" t="n">
        <f aca="false">D504+D509</f>
        <v>0</v>
      </c>
      <c r="E521" s="9" t="n">
        <f aca="false">E504+E509</f>
        <v>0</v>
      </c>
      <c r="F521" s="9" t="n">
        <f aca="false">F504+F509</f>
        <v>1.96868159637184</v>
      </c>
      <c r="G521" s="9" t="n">
        <f aca="false">G504+G509</f>
        <v>2.69496592754765</v>
      </c>
      <c r="H521" s="9" t="n">
        <f aca="false">H504+H509</f>
        <v>2.80811163747113</v>
      </c>
      <c r="I521" s="9" t="n">
        <f aca="false">I504+I509</f>
        <v>2.25711381358013</v>
      </c>
    </row>
    <row r="522" customFormat="false" ht="15" hidden="false" customHeight="false" outlineLevel="0" collapsed="false">
      <c r="A522" s="0" t="s">
        <v>1900</v>
      </c>
      <c r="B522" s="5" t="s">
        <v>1474</v>
      </c>
      <c r="D522" s="9" t="n">
        <f aca="false">D505+D510</f>
        <v>0</v>
      </c>
      <c r="E522" s="9" t="n">
        <f aca="false">E505+E510</f>
        <v>0</v>
      </c>
      <c r="F522" s="9" t="n">
        <f aca="false">F505+F510</f>
        <v>1.96868159637184</v>
      </c>
      <c r="G522" s="9" t="n">
        <f aca="false">G505+G510</f>
        <v>2.44076641163612</v>
      </c>
      <c r="H522" s="9" t="n">
        <f aca="false">H505+H510</f>
        <v>2.76851063899791</v>
      </c>
      <c r="I522" s="9" t="n">
        <f aca="false">I505+I510</f>
        <v>2.44996305194198</v>
      </c>
    </row>
    <row r="523" customFormat="false" ht="15" hidden="false" customHeight="false" outlineLevel="0" collapsed="false">
      <c r="A523" s="0" t="s">
        <v>1901</v>
      </c>
      <c r="B523" s="5" t="s">
        <v>1476</v>
      </c>
      <c r="D523" s="9" t="n">
        <f aca="false">D507+D512</f>
        <v>0</v>
      </c>
      <c r="E523" s="9" t="n">
        <f aca="false">E507+E512</f>
        <v>0</v>
      </c>
      <c r="F523" s="9" t="n">
        <f aca="false">F507+F512</f>
        <v>1.4302</v>
      </c>
      <c r="G523" s="9" t="n">
        <f aca="false">G507+G512</f>
        <v>0.585</v>
      </c>
      <c r="H523" s="9" t="n">
        <f aca="false">H507+H512</f>
        <v>0</v>
      </c>
      <c r="I523" s="9" t="n">
        <f aca="false">I507+I512</f>
        <v>0</v>
      </c>
    </row>
    <row r="525" customFormat="false" ht="17.15" hidden="false" customHeight="false" outlineLevel="0" collapsed="false">
      <c r="A525" s="6" t="s">
        <v>1902</v>
      </c>
    </row>
    <row r="526" customFormat="false" ht="15" hidden="false" customHeight="false" outlineLevel="0" collapsed="false">
      <c r="A526" s="2" t="s">
        <v>1</v>
      </c>
      <c r="B526" s="2" t="s">
        <v>2</v>
      </c>
      <c r="C526" s="7"/>
      <c r="D526" s="7" t="s">
        <v>1317</v>
      </c>
      <c r="E526" s="7" t="s">
        <v>1318</v>
      </c>
      <c r="F526" s="7" t="s">
        <v>1319</v>
      </c>
      <c r="G526" s="7" t="s">
        <v>1320</v>
      </c>
      <c r="H526" s="7" t="s">
        <v>1321</v>
      </c>
      <c r="I526" s="7" t="s">
        <v>1322</v>
      </c>
    </row>
    <row r="527" customFormat="false" ht="17.15" hidden="false" customHeight="false" outlineLevel="0" collapsed="false">
      <c r="A527" s="0" t="s">
        <v>1903</v>
      </c>
      <c r="B527" s="0" t="s">
        <v>1324</v>
      </c>
      <c r="D527" s="8" t="n">
        <f aca="false">IF(ISNUMBER(ai2_msft_2024),ai2_msft_2024,"")</f>
        <v>46.3369</v>
      </c>
      <c r="E527" s="8" t="n">
        <f aca="false">IF(ISNUMBER(ai2_msft_2025),ai2_msft_2025,"")</f>
        <v>76.712075</v>
      </c>
      <c r="F527" s="8" t="n">
        <f aca="false">IF(ISNUMBER(ai2_msft_2026),ai2_msft_2026,"")</f>
        <v>131.229375</v>
      </c>
      <c r="G527" s="8" t="n">
        <f aca="false">IF(ISNUMBER(ai2_msft_2027),ai2_msft_2027,"")</f>
        <v>174.08595</v>
      </c>
      <c r="H527" s="8" t="n">
        <f aca="false">IF(ISNUMBER(ai2_msft_2028),ai2_msft_2028,"")</f>
        <v>198.883</v>
      </c>
      <c r="I527" s="8" t="n">
        <f aca="false">IF(ISNUMBER(ai2_msft_2029),ai2_msft_2029,"")</f>
        <v>224.1719025</v>
      </c>
    </row>
    <row r="528" customFormat="false" ht="17.15" hidden="false" customHeight="false" outlineLevel="0" collapsed="false">
      <c r="A528" s="0" t="s">
        <v>1904</v>
      </c>
      <c r="B528" s="0" t="s">
        <v>1326</v>
      </c>
      <c r="D528" s="8" t="n">
        <f aca="false">IF(ISNUMBER(D527),(pit_msft_2024/(pit_msft_2024+pfac_msft_2024)*D527+pfac_msft_2024/(pit_msft_2024+pfac_msft_2024)*IF(AND(ISNUMBER(""),ISNUMBER("")),wb1*""+wb2*"",IF(ISNUMBER(""),"",D527)))/(pit_msft_2024+pfac_msft_2024),site_msft_2024)</f>
        <v>1.2662200199435</v>
      </c>
      <c r="E528" s="8" t="n">
        <f aca="false">IF(ISNUMBER(E527),(pit_msft_2025/(pit_msft_2025+pfac_msft_2025)*E527+pfac_msft_2025/(pit_msft_2025+pfac_msft_2025)*IF(AND(ISNUMBER(D527),ISNUMBER("")),wb1*D527+wb2*"",IF(ISNUMBER(D527),D527,E527)))/(pit_msft_2025+pfac_msft_2025),site_msft_2025)</f>
        <v>1.89413391980359</v>
      </c>
      <c r="F528" s="8" t="n">
        <f aca="false">IF(ISNUMBER(F527),(pit_msft_2026/(pit_msft_2026+pfac_msft_2026)*F527+pfac_msft_2026/(pit_msft_2026+pfac_msft_2026)*IF(AND(ISNUMBER(E527),ISNUMBER(D527)),wb1*E527+wb2*D527,IF(ISNUMBER(E527),E527,F527)))/(pit_msft_2026+pfac_msft_2026),site_msft_2026)</f>
        <v>2.73280981276305</v>
      </c>
      <c r="G528" s="8" t="n">
        <f aca="false">IF(ISNUMBER(G527),(pit_msft_2027/(pit_msft_2027+pfac_msft_2027)*G527+pfac_msft_2027/(pit_msft_2027+pfac_msft_2027)*IF(AND(ISNUMBER(F527),ISNUMBER(E527)),wb1*F527+wb2*E527,IF(ISNUMBER(F527),F527,G527)))/(pit_msft_2027+pfac_msft_2027),site_msft_2027)</f>
        <v>3.56447576934396</v>
      </c>
      <c r="H528" s="8" t="n">
        <f aca="false">IF(ISNUMBER(H527),(pit_msft_2028/(pit_msft_2028+pfac_msft_2028)*H527+pfac_msft_2028/(pit_msft_2028+pfac_msft_2028)*IF(AND(ISNUMBER(G527),ISNUMBER(F527)),wb1*G527+wb2*F527,IF(ISNUMBER(G527),G527,H527)))/(pit_msft_2028+pfac_msft_2028),site_msft_2028)</f>
        <v>4.06597876464757</v>
      </c>
      <c r="I528" s="8" t="n">
        <f aca="false">IF(ISNUMBER(I527),(pit_msft_2029/(pit_msft_2029+pfac_msft_2029)*I527+pfac_msft_2029/(pit_msft_2029+pfac_msft_2029)*IF(AND(ISNUMBER(H527),ISNUMBER(G527)),wb1*H527+wb2*G527,IF(ISNUMBER(H527),H527,I527)))/(pit_msft_2029+pfac_msft_2029),site_msft_2029)</f>
        <v>4.6644209987717</v>
      </c>
    </row>
    <row r="529" customFormat="false" ht="17.15" hidden="false" customHeight="false" outlineLevel="0" collapsed="false">
      <c r="A529" s="0" t="s">
        <v>1905</v>
      </c>
      <c r="B529" s="0" t="s">
        <v>1328</v>
      </c>
      <c r="E529" s="8" t="n">
        <f aca="false">(1-lag_hi)*E528+lag_hi*D528-inv_k*(E528-D528)</f>
        <v>1.51738557988753</v>
      </c>
      <c r="F529" s="8" t="n">
        <f aca="false">(1-lag_hi)*F528+lag_hi*E528-inv_k*(F528-E528)</f>
        <v>2.22960427698737</v>
      </c>
      <c r="G529" s="8" t="n">
        <f aca="false">(1-lag_hi)*G528+lag_hi*F528-inv_k*(G528-F528)</f>
        <v>3.06547619539541</v>
      </c>
      <c r="H529" s="8" t="n">
        <f aca="false">(1-lag_hi)*H528+lag_hi*G528-inv_k*(H528-G528)</f>
        <v>3.7650769674654</v>
      </c>
      <c r="I529" s="8" t="n">
        <f aca="false">(1-lag_hi)*I528+lag_hi*H528-inv_k*(I528-H528)</f>
        <v>4.30535565829722</v>
      </c>
    </row>
    <row r="530" customFormat="false" ht="17.15" hidden="false" customHeight="false" outlineLevel="0" collapsed="false">
      <c r="A530" s="0" t="s">
        <v>1906</v>
      </c>
      <c r="B530" s="0" t="s">
        <v>1330</v>
      </c>
      <c r="D530" s="8" t="str">
        <f aca="false">""</f>
        <v/>
      </c>
      <c r="E530" s="8" t="n">
        <f aca="false">(6/12*cap2_msft_2025+6/12*gcap_msft_2026)*ai_sh</f>
        <v>89.186675</v>
      </c>
      <c r="F530" s="8" t="n">
        <f aca="false">(6/12*gcap_msft_2026+6/12*gcap_msft_2027)*ai_sh</f>
        <v>148.5375</v>
      </c>
      <c r="G530" s="8" t="n">
        <f aca="false">(6/12*gcap_msft_2027+6/12*gcap_msft_2028)*ai_sh</f>
        <v>185.939575275</v>
      </c>
      <c r="H530" s="8" t="n">
        <f aca="false">(6/12*gcap_msft_2028+6/12*gcap_msft_2029)*ai_sh</f>
        <v>202.7978586</v>
      </c>
      <c r="I530" s="8" t="n">
        <f aca="false">(6/12*gcap_msft_2029+6/12*gcap_msft_2030)*ai_sh</f>
        <v>197.6117298</v>
      </c>
    </row>
    <row r="531" customFormat="false" ht="17.15" hidden="false" customHeight="false" outlineLevel="0" collapsed="false">
      <c r="A531" s="0" t="s">
        <v>1907</v>
      </c>
      <c r="B531" s="0" t="s">
        <v>1326</v>
      </c>
      <c r="D531" s="8" t="n">
        <f aca="false">IF(ISNUMBER(D530),(pit_msft_2024/(pit_msft_2024+pfac_msft_2024)*D530+pfac_msft_2024/(pit_msft_2024+pfac_msft_2024)*IF(AND(ISNUMBER(""),ISNUMBER("")),wb1*""+wb2*"",IF(ISNUMBER(""),"",D530)))/(pit_msft_2024+pfac_msft_2024),site_msft_2024)</f>
        <v>0</v>
      </c>
      <c r="E531" s="8" t="n">
        <f aca="false">IF(ISNUMBER(E530),(pit_msft_2025/(pit_msft_2025+pfac_msft_2025)*E530+pfac_msft_2025/(pit_msft_2025+pfac_msft_2025)*IF(AND(ISNUMBER(D530),ISNUMBER("")),wb1*D530+wb2*"",IF(ISNUMBER(D530),D530,E530)))/(pit_msft_2025+pfac_msft_2025),site_msft_2025)</f>
        <v>2.51576435599185</v>
      </c>
      <c r="F531" s="8" t="n">
        <f aca="false">IF(ISNUMBER(F530),(pit_msft_2026/(pit_msft_2026+pfac_msft_2026)*F530+pfac_msft_2026/(pit_msft_2026+pfac_msft_2026)*IF(AND(ISNUMBER(E530),ISNUMBER(D530)),wb1*E530+wb2*D530,IF(ISNUMBER(E530),E530,F530)))/(pit_msft_2026+pfac_msft_2026),site_msft_2026)</f>
        <v>3.22245015720519</v>
      </c>
      <c r="G531" s="8" t="n">
        <f aca="false">IF(ISNUMBER(G530),(pit_msft_2027/(pit_msft_2027+pfac_msft_2027)*G530+pfac_msft_2027/(pit_msft_2027+pfac_msft_2027)*IF(AND(ISNUMBER(F530),ISNUMBER(E530)),wb1*F530+wb2*E530,IF(ISNUMBER(F530),F530,G530)))/(pit_msft_2027+pfac_msft_2027),site_msft_2027)</f>
        <v>3.85144347642322</v>
      </c>
      <c r="H531" s="8" t="n">
        <f aca="false">IF(ISNUMBER(H530),(pit_msft_2028/(pit_msft_2028+pfac_msft_2028)*H530+pfac_msft_2028/(pit_msft_2028+pfac_msft_2028)*IF(AND(ISNUMBER(G530),ISNUMBER(F530)),wb1*G530+wb2*F530,IF(ISNUMBER(G530),G530,H530)))/(pit_msft_2028+pfac_msft_2028),site_msft_2028)</f>
        <v>4.20542058770135</v>
      </c>
      <c r="I531" s="8" t="n">
        <f aca="false">IF(ISNUMBER(I530),(pit_msft_2029/(pit_msft_2029+pfac_msft_2029)*I530+pfac_msft_2029/(pit_msft_2029+pfac_msft_2029)*IF(AND(ISNUMBER(H530),ISNUMBER(G530)),wb1*H530+wb2*G530,IF(ISNUMBER(H530),H530,I530)))/(pit_msft_2029+pfac_msft_2029),site_msft_2029)</f>
        <v>4.26588923952249</v>
      </c>
    </row>
    <row r="532" customFormat="false" ht="17.15" hidden="false" customHeight="false" outlineLevel="0" collapsed="false">
      <c r="A532" s="0" t="s">
        <v>1908</v>
      </c>
      <c r="B532" s="0" t="s">
        <v>1328</v>
      </c>
      <c r="E532" s="8" t="n">
        <f aca="false">(1-lag_hi)*E531+lag_hi*D531-inv_k*(E531-D531)</f>
        <v>1.00630574239674</v>
      </c>
      <c r="F532" s="8" t="n">
        <f aca="false">(1-lag_hi)*F531+lag_hi*E531-inv_k*(F531-E531)</f>
        <v>2.79843867647718</v>
      </c>
      <c r="G532" s="8" t="n">
        <f aca="false">(1-lag_hi)*G531+lag_hi*F531-inv_k*(G531-F531)</f>
        <v>3.4740474848924</v>
      </c>
      <c r="H532" s="8" t="n">
        <f aca="false">(1-lag_hi)*H531+lag_hi*G531-inv_k*(H531-G531)</f>
        <v>3.99303432093447</v>
      </c>
      <c r="I532" s="8" t="n">
        <f aca="false">(1-lag_hi)*I531+lag_hi*H531-inv_k*(I531-H531)</f>
        <v>4.22960804842981</v>
      </c>
    </row>
    <row r="533" customFormat="false" ht="17.15" hidden="false" customHeight="false" outlineLevel="0" collapsed="false">
      <c r="A533" s="0" t="s">
        <v>1909</v>
      </c>
      <c r="B533" s="0" t="s">
        <v>1334</v>
      </c>
      <c r="E533" s="8" t="n">
        <f aca="false">E532*(1-nnv_msft_2025)</f>
        <v>0.766593583903727</v>
      </c>
      <c r="F533" s="8" t="n">
        <f aca="false">F532*(1-nnv_msft_2026)</f>
        <v>2.13182241137373</v>
      </c>
      <c r="G533" s="8" t="n">
        <f aca="false">G532*(1-nnv_msft_2027)</f>
        <v>2.52527864738545</v>
      </c>
      <c r="H533" s="8" t="n">
        <f aca="false">H532*(1-nnv_msft_2028)</f>
        <v>2.9164268325544</v>
      </c>
      <c r="I533" s="8" t="n">
        <f aca="false">I532*(1-nnv_msft_2029)</f>
        <v>3.07836156795266</v>
      </c>
    </row>
    <row r="534" customFormat="false" ht="17.15" hidden="false" customHeight="false" outlineLevel="0" collapsed="false">
      <c r="A534" s="0" t="s">
        <v>1910</v>
      </c>
      <c r="B534" s="0" t="s">
        <v>1336</v>
      </c>
      <c r="D534" s="8" t="n">
        <f aca="false">site_msft_2024</f>
        <v>0</v>
      </c>
      <c r="E534" s="8" t="n">
        <f aca="false">site_msft_2025</f>
        <v>2.13527</v>
      </c>
      <c r="F534" s="8" t="n">
        <f aca="false">site_msft_2026</f>
        <v>0.770955</v>
      </c>
      <c r="G534" s="8" t="n">
        <f aca="false">site_msft_2027</f>
        <v>1.04</v>
      </c>
      <c r="H534" s="8" t="n">
        <f aca="false">site_msft_2028</f>
        <v>1.67</v>
      </c>
      <c r="I534" s="8" t="n">
        <f aca="false">site_msft_2029</f>
        <v>0.144</v>
      </c>
    </row>
    <row r="535" customFormat="false" ht="17.15" hidden="false" customHeight="false" outlineLevel="0" collapsed="false">
      <c r="A535" s="0" t="s">
        <v>1911</v>
      </c>
      <c r="B535" s="0" t="s">
        <v>1338</v>
      </c>
      <c r="D535" s="8" t="n">
        <f aca="false">main_msft_2024</f>
        <v>0</v>
      </c>
      <c r="E535" s="8" t="n">
        <f aca="false">main_msft_2025</f>
        <v>2.13527</v>
      </c>
      <c r="F535" s="8" t="n">
        <f aca="false">main_msft_2026</f>
        <v>0.770955</v>
      </c>
      <c r="G535" s="8" t="n">
        <f aca="false">main_msft_2027</f>
        <v>3.56447576934396</v>
      </c>
      <c r="H535" s="8" t="n">
        <f aca="false">main_msft_2028</f>
        <v>4.06597876464757</v>
      </c>
      <c r="I535" s="8" t="n">
        <f aca="false">main_msft_2029</f>
        <v>4.6644209987717</v>
      </c>
    </row>
    <row r="536" customFormat="false" ht="17.15" hidden="false" customHeight="false" outlineLevel="0" collapsed="false">
      <c r="A536" s="0" t="s">
        <v>1912</v>
      </c>
      <c r="B536" s="0" t="s">
        <v>1340</v>
      </c>
      <c r="D536" s="8" t="str">
        <f aca="false">IF(ISNUMBER(ai2_googl_2024),ai2_googl_2024,"")</f>
        <v/>
      </c>
      <c r="E536" s="8" t="n">
        <f aca="false">IF(ISNUMBER(ai2_googl_2025),ai2_googl_2025,"")</f>
        <v>77.72995</v>
      </c>
      <c r="F536" s="8" t="n">
        <f aca="false">IF(ISNUMBER(ai2_googl_2026),ai2_googl_2026,"")</f>
        <v>170</v>
      </c>
      <c r="G536" s="8" t="n">
        <f aca="false">IF(ISNUMBER(ai2_googl_2027),ai2_googl_2027,"")</f>
        <v>255.83215</v>
      </c>
      <c r="H536" s="8" t="n">
        <f aca="false">IF(ISNUMBER(ai2_googl_2028),ai2_googl_2028,"")</f>
        <v>288.53335</v>
      </c>
      <c r="I536" s="8" t="n">
        <f aca="false">IF(ISNUMBER(ai2_googl_2029),ai2_googl_2029,"")</f>
        <v>317.386685</v>
      </c>
    </row>
    <row r="537" customFormat="false" ht="17.15" hidden="false" customHeight="false" outlineLevel="0" collapsed="false">
      <c r="A537" s="0" t="s">
        <v>1913</v>
      </c>
      <c r="B537" s="0" t="s">
        <v>1342</v>
      </c>
      <c r="D537" s="8" t="n">
        <f aca="false">IF(ISNUMBER(D536),(pit_googl_2024/(pit_googl_2024+pfac_googl_2024)*D536+pfac_googl_2024/(pit_googl_2024+pfac_googl_2024)*IF(AND(ISNUMBER(""),ISNUMBER("")),wb1*""+wb2*"",IF(ISNUMBER(""),"",D536)))/(pit_googl_2024+pfac_googl_2024),site_googl_2024)</f>
        <v>1.32980834349181</v>
      </c>
      <c r="E537" s="8" t="n">
        <f aca="false">IF(ISNUMBER(E536),(pit_googl_2025/(pit_googl_2025+pfac_googl_2025)*E536+pfac_googl_2025/(pit_googl_2025+pfac_googl_2025)*IF(AND(ISNUMBER(D536),ISNUMBER("")),wb1*D536+wb2*"",IF(ISNUMBER(D536),D536,E536)))/(pit_googl_2025+pfac_googl_2025),site_googl_2025)</f>
        <v>2.15653802290354</v>
      </c>
      <c r="F537" s="8" t="n">
        <f aca="false">IF(ISNUMBER(F536),(pit_googl_2026/(pit_googl_2026+pfac_googl_2026)*F536+pfac_googl_2026/(pit_googl_2026+pfac_googl_2026)*IF(AND(ISNUMBER(E536),ISNUMBER(D536)),wb1*E536+wb2*D536,IF(ISNUMBER(E536),E536,F536)))/(pit_googl_2026+pfac_googl_2026),site_googl_2026)</f>
        <v>3.85777511610307</v>
      </c>
      <c r="G537" s="8" t="n">
        <f aca="false">IF(ISNUMBER(G536),(pit_googl_2027/(pit_googl_2027+pfac_googl_2027)*G536+pfac_googl_2027/(pit_googl_2027+pfac_googl_2027)*IF(AND(ISNUMBER(F536),ISNUMBER(E536)),wb1*F536+wb2*E536,IF(ISNUMBER(F536),F536,G536)))/(pit_googl_2027+pfac_googl_2027),site_googl_2027)</f>
        <v>5.69768565998842</v>
      </c>
      <c r="H537" s="8" t="n">
        <f aca="false">IF(ISNUMBER(H536),(pit_googl_2028/(pit_googl_2028+pfac_googl_2028)*H536+pfac_googl_2028/(pit_googl_2028+pfac_googl_2028)*IF(AND(ISNUMBER(G536),ISNUMBER(F536)),wb1*G536+wb2*F536,IF(ISNUMBER(G536),G536,H536)))/(pit_googl_2028+pfac_googl_2028),site_googl_2028)</f>
        <v>6.77682412398345</v>
      </c>
      <c r="I537" s="8" t="n">
        <f aca="false">IF(ISNUMBER(I536),(pit_googl_2029/(pit_googl_2029+pfac_googl_2029)*I536+pfac_googl_2029/(pit_googl_2029+pfac_googl_2029)*IF(AND(ISNUMBER(H536),ISNUMBER(G536)),wb1*H536+wb2*G536,IF(ISNUMBER(H536),H536,I536)))/(pit_googl_2029+pfac_googl_2029),site_googl_2029)</f>
        <v>7.68929590970477</v>
      </c>
    </row>
    <row r="538" customFormat="false" ht="17.15" hidden="false" customHeight="false" outlineLevel="0" collapsed="false">
      <c r="A538" s="0" t="s">
        <v>1914</v>
      </c>
      <c r="B538" s="0" t="s">
        <v>1344</v>
      </c>
      <c r="E538" s="8" t="n">
        <f aca="false">(1-lag_hi)*E537+lag_hi*D537-inv_k*(E537-D537)</f>
        <v>1.6605002152565</v>
      </c>
      <c r="F538" s="8" t="n">
        <f aca="false">(1-lag_hi)*F537+lag_hi*E537-inv_k*(F537-E537)</f>
        <v>2.83703286018335</v>
      </c>
      <c r="G538" s="8" t="n">
        <f aca="false">(1-lag_hi)*G537+lag_hi*F537-inv_k*(G537-F537)</f>
        <v>4.59373933365721</v>
      </c>
      <c r="H538" s="8" t="n">
        <f aca="false">(1-lag_hi)*H537+lag_hi*G537-inv_k*(H537-G537)</f>
        <v>6.12934104558643</v>
      </c>
      <c r="I538" s="8" t="n">
        <f aca="false">(1-lag_hi)*I537+lag_hi*H537-inv_k*(I537-H537)</f>
        <v>7.14181283827198</v>
      </c>
    </row>
    <row r="539" customFormat="false" ht="17.15" hidden="false" customHeight="false" outlineLevel="0" collapsed="false">
      <c r="A539" s="0" t="s">
        <v>1915</v>
      </c>
      <c r="B539" s="0" t="s">
        <v>1346</v>
      </c>
      <c r="D539" s="8" t="n">
        <f aca="false">gcap_googl_2024*ai_sh</f>
        <v>44.65475</v>
      </c>
      <c r="E539" s="8" t="n">
        <f aca="false">gcap_googl_2025*ai_sh</f>
        <v>77.72995</v>
      </c>
      <c r="F539" s="8" t="n">
        <f aca="false">gcap_googl_2026*ai_sh</f>
        <v>170</v>
      </c>
      <c r="G539" s="8" t="n">
        <f aca="false">gcap_googl_2027*ai_sh</f>
        <v>246.810369</v>
      </c>
      <c r="H539" s="8" t="n">
        <f aca="false">gcap_googl_2028*ai_sh</f>
        <v>269.78900975</v>
      </c>
      <c r="I539" s="8" t="n">
        <f aca="false">gcap_googl_2029*ai_sh</f>
        <v>248.6767412</v>
      </c>
    </row>
    <row r="540" customFormat="false" ht="17.15" hidden="false" customHeight="false" outlineLevel="0" collapsed="false">
      <c r="A540" s="0" t="s">
        <v>1916</v>
      </c>
      <c r="B540" s="0" t="s">
        <v>1342</v>
      </c>
      <c r="D540" s="8" t="n">
        <f aca="false">IF(ISNUMBER(D539),(pit_googl_2024/(pit_googl_2024+pfac_googl_2024)*D539+pfac_googl_2024/(pit_googl_2024+pfac_googl_2024)*IF(AND(ISNUMBER(""),ISNUMBER("")),wb1*""+wb2*"",IF(ISNUMBER(""),"",D539)))/(pit_googl_2024+pfac_googl_2024),site_googl_2024)</f>
        <v>1.22628577156267</v>
      </c>
      <c r="E540" s="8" t="n">
        <f aca="false">IF(ISNUMBER(E539),(pit_googl_2025/(pit_googl_2025+pfac_googl_2025)*E539+pfac_googl_2025/(pit_googl_2025+pfac_googl_2025)*IF(AND(ISNUMBER(D539),ISNUMBER("")),wb1*D539+wb2*"",IF(ISNUMBER(D539),D539,E539)))/(pit_googl_2025+pfac_googl_2025),site_googl_2025)</f>
        <v>1.90684085060084</v>
      </c>
      <c r="F540" s="8" t="n">
        <f aca="false">IF(ISNUMBER(F539),(pit_googl_2026/(pit_googl_2026+pfac_googl_2026)*F539+pfac_googl_2026/(pit_googl_2026+pfac_googl_2026)*IF(AND(ISNUMBER(E539),ISNUMBER(D539)),wb1*E539+wb2*D539,IF(ISNUMBER(E539),E539,F539)))/(pit_googl_2026+pfac_googl_2026),site_googl_2026)</f>
        <v>3.74469414665129</v>
      </c>
      <c r="G540" s="8" t="n">
        <f aca="false">IF(ISNUMBER(G539),(pit_googl_2027/(pit_googl_2027+pfac_googl_2027)*G539+pfac_googl_2027/(pit_googl_2027+pfac_googl_2027)*IF(AND(ISNUMBER(F539),ISNUMBER(E539)),wb1*F539+wb2*E539,IF(ISNUMBER(F539),F539,G539)))/(pit_googl_2027+pfac_googl_2027),site_googl_2027)</f>
        <v>5.52479710641755</v>
      </c>
      <c r="H540" s="8" t="n">
        <f aca="false">IF(ISNUMBER(H539),(pit_googl_2028/(pit_googl_2028+pfac_googl_2028)*H539+pfac_googl_2028/(pit_googl_2028+pfac_googl_2028)*IF(AND(ISNUMBER(G539),ISNUMBER(F539)),wb1*G539+wb2*F539,IF(ISNUMBER(G539),G539,H539)))/(pit_googl_2028+pfac_googl_2028),site_googl_2028)</f>
        <v>6.39420249958533</v>
      </c>
      <c r="I540" s="8" t="n">
        <f aca="false">IF(ISNUMBER(I539),(pit_googl_2029/(pit_googl_2029+pfac_googl_2029)*I539+pfac_googl_2029/(pit_googl_2029+pfac_googl_2029)*IF(AND(ISNUMBER(H539),ISNUMBER(G539)),wb1*H539+wb2*G539,IF(ISNUMBER(H539),H539,I539)))/(pit_googl_2029+pfac_googl_2029),site_googl_2029)</f>
        <v>6.30314197516365</v>
      </c>
    </row>
    <row r="541" customFormat="false" ht="17.15" hidden="false" customHeight="false" outlineLevel="0" collapsed="false">
      <c r="A541" s="0" t="s">
        <v>1917</v>
      </c>
      <c r="B541" s="0" t="s">
        <v>1344</v>
      </c>
      <c r="E541" s="8" t="n">
        <f aca="false">(1-lag_hi)*E540+lag_hi*D540-inv_k*(E540-D540)</f>
        <v>1.49850780317793</v>
      </c>
      <c r="F541" s="8" t="n">
        <f aca="false">(1-lag_hi)*F540+lag_hi*E540-inv_k*(F540-E540)</f>
        <v>2.64198216902102</v>
      </c>
      <c r="G541" s="8" t="n">
        <f aca="false">(1-lag_hi)*G540+lag_hi*F540-inv_k*(G540-F540)</f>
        <v>4.45673533055779</v>
      </c>
      <c r="H541" s="8" t="n">
        <f aca="false">(1-lag_hi)*H540+lag_hi*G540-inv_k*(H540-G540)</f>
        <v>5.87255926368466</v>
      </c>
      <c r="I541" s="8" t="n">
        <f aca="false">(1-lag_hi)*I540+lag_hi*H540-inv_k*(I540-H540)</f>
        <v>6.35777828981666</v>
      </c>
    </row>
    <row r="542" customFormat="false" ht="17.15" hidden="false" customHeight="false" outlineLevel="0" collapsed="false">
      <c r="A542" s="0" t="s">
        <v>1918</v>
      </c>
      <c r="B542" s="0" t="s">
        <v>1350</v>
      </c>
      <c r="E542" s="8" t="n">
        <f aca="false">E541*(1-nnv_googl_2025)</f>
        <v>0.37013142738495</v>
      </c>
      <c r="F542" s="8" t="n">
        <f aca="false">F541*(1-nnv_googl_2026)</f>
        <v>0.652569595748192</v>
      </c>
      <c r="G542" s="8" t="n">
        <f aca="false">G541*(1-nnv_googl_2027)</f>
        <v>1.10081362664778</v>
      </c>
      <c r="H542" s="8" t="n">
        <f aca="false">H541*(1-nnv_googl_2028)</f>
        <v>1.45052213813011</v>
      </c>
      <c r="I542" s="8" t="n">
        <f aca="false">I541*(1-nnv_googl_2029)</f>
        <v>1.57037123758472</v>
      </c>
    </row>
    <row r="543" customFormat="false" ht="17.15" hidden="false" customHeight="false" outlineLevel="0" collapsed="false">
      <c r="A543" s="0" t="s">
        <v>1919</v>
      </c>
      <c r="B543" s="0" t="s">
        <v>1352</v>
      </c>
      <c r="D543" s="8" t="n">
        <f aca="false">site_googl_2024</f>
        <v>1.32980834349181</v>
      </c>
      <c r="E543" s="8" t="n">
        <f aca="false">site_googl_2025</f>
        <v>2.40961330082622</v>
      </c>
      <c r="F543" s="8" t="n">
        <f aca="false">site_googl_2026</f>
        <v>1.29267912772586</v>
      </c>
      <c r="G543" s="8" t="n">
        <f aca="false">site_googl_2027</f>
        <v>1.626</v>
      </c>
      <c r="H543" s="8" t="n">
        <f aca="false">site_googl_2028</f>
        <v>0.833333333333334</v>
      </c>
      <c r="I543" s="8" t="n">
        <f aca="false">site_googl_2029</f>
        <v>0</v>
      </c>
    </row>
    <row r="544" customFormat="false" ht="17.15" hidden="false" customHeight="false" outlineLevel="0" collapsed="false">
      <c r="A544" s="0" t="s">
        <v>1920</v>
      </c>
      <c r="B544" s="0" t="s">
        <v>1354</v>
      </c>
      <c r="D544" s="8" t="n">
        <f aca="false">main_googl_2024</f>
        <v>1.32980834349181</v>
      </c>
      <c r="E544" s="8" t="n">
        <f aca="false">main_googl_2025</f>
        <v>2.40961330082622</v>
      </c>
      <c r="F544" s="8" t="n">
        <f aca="false">main_googl_2026</f>
        <v>1.29267912772586</v>
      </c>
      <c r="G544" s="8" t="n">
        <f aca="false">main_googl_2027</f>
        <v>5.69768565998842</v>
      </c>
      <c r="H544" s="8" t="n">
        <f aca="false">main_googl_2028</f>
        <v>6.77682412398346</v>
      </c>
      <c r="I544" s="8" t="n">
        <f aca="false">main_googl_2029</f>
        <v>7.68929590970478</v>
      </c>
    </row>
    <row r="545" customFormat="false" ht="17.15" hidden="false" customHeight="false" outlineLevel="0" collapsed="false">
      <c r="A545" s="0" t="s">
        <v>1921</v>
      </c>
      <c r="B545" s="0" t="s">
        <v>1356</v>
      </c>
      <c r="D545" s="8" t="str">
        <f aca="false">IF(ISNUMBER(ai2_amzn_2024),ai2_amzn_2024,"")</f>
        <v/>
      </c>
      <c r="E545" s="8" t="n">
        <f aca="false">IF(ISNUMBER(ai2_amzn_2025),ai2_amzn_2025,"")</f>
        <v>87.2576</v>
      </c>
      <c r="F545" s="8" t="n">
        <f aca="false">IF(ISNUMBER(ai2_amzn_2026),ai2_amzn_2026,"")</f>
        <v>149.6</v>
      </c>
      <c r="G545" s="8" t="n">
        <f aca="false">IF(ISNUMBER(ai2_amzn_2027),ai2_amzn_2027,"")</f>
        <v>187.04284</v>
      </c>
      <c r="H545" s="8" t="n">
        <f aca="false">IF(ISNUMBER(ai2_amzn_2028),ai2_amzn_2028,"")</f>
        <v>199.19036</v>
      </c>
      <c r="I545" s="8" t="n">
        <f aca="false">IF(ISNUMBER(ai2_amzn_2029),ai2_amzn_2029,"")</f>
        <v>219.109396</v>
      </c>
    </row>
    <row r="546" customFormat="false" ht="17.15" hidden="false" customHeight="false" outlineLevel="0" collapsed="false">
      <c r="A546" s="0" t="s">
        <v>1922</v>
      </c>
      <c r="B546" s="0" t="s">
        <v>1358</v>
      </c>
      <c r="D546" s="8" t="n">
        <f aca="false">IF(ISNUMBER(D545),(pit_amzn_2024/(pit_amzn_2024+pfac_amzn_2024)*D545+pfac_amzn_2024/(pit_amzn_2024+pfac_amzn_2024)*IF(AND(ISNUMBER(""),ISNUMBER("")),wb1*""+wb2*"",IF(ISNUMBER(""),"",D545)))/(pit_amzn_2024+pfac_amzn_2024),site_amzn_2024)</f>
        <v>0</v>
      </c>
      <c r="E546" s="8" t="n">
        <f aca="false">IF(ISNUMBER(E545),(pit_amzn_2025/(pit_amzn_2025+pfac_amzn_2025)*E545+pfac_amzn_2025/(pit_amzn_2025+pfac_amzn_2025)*IF(AND(ISNUMBER(D545),ISNUMBER("")),wb1*D545+wb2*"",IF(ISNUMBER(D545),D545,E545)))/(pit_amzn_2025+pfac_amzn_2025),site_amzn_2025)</f>
        <v>2.6200438487091</v>
      </c>
      <c r="F546" s="8" t="n">
        <f aca="false">IF(ISNUMBER(F545),(pit_amzn_2026/(pit_amzn_2026+pfac_amzn_2026)*F545+pfac_amzn_2026/(pit_amzn_2026+pfac_amzn_2026)*IF(AND(ISNUMBER(E545),ISNUMBER(D545)),wb1*E545+wb2*D545,IF(ISNUMBER(E545),E545,F545)))/(pit_amzn_2026+pfac_amzn_2026),site_amzn_2026)</f>
        <v>3.72830685774426</v>
      </c>
      <c r="G546" s="8" t="n">
        <f aca="false">IF(ISNUMBER(G545),(pit_amzn_2027/(pit_amzn_2027+pfac_amzn_2027)*G545+pfac_amzn_2027/(pit_amzn_2027+pfac_amzn_2027)*IF(AND(ISNUMBER(F545),ISNUMBER(E545)),wb1*F545+wb2*E545,IF(ISNUMBER(F545),F545,G545)))/(pit_amzn_2027+pfac_amzn_2027),site_amzn_2027)</f>
        <v>4.54496548273742</v>
      </c>
      <c r="H546" s="8" t="n">
        <f aca="false">IF(ISNUMBER(H545),(pit_amzn_2028/(pit_amzn_2028+pfac_amzn_2028)*H545+pfac_amzn_2028/(pit_amzn_2028+pfac_amzn_2028)*IF(AND(ISNUMBER(G545),ISNUMBER(F545)),wb1*G545+wb2*F545,IF(ISNUMBER(G545),G545,H545)))/(pit_amzn_2028+pfac_amzn_2028),site_amzn_2028)</f>
        <v>4.99623819927339</v>
      </c>
      <c r="I546" s="8" t="n">
        <f aca="false">IF(ISNUMBER(I545),(pit_amzn_2029/(pit_amzn_2029+pfac_amzn_2029)*I545+pfac_amzn_2029/(pit_amzn_2029+pfac_amzn_2029)*IF(AND(ISNUMBER(H545),ISNUMBER(G545)),wb1*H545+wb2*G545,IF(ISNUMBER(H545),H545,I545)))/(pit_amzn_2029+pfac_amzn_2029),site_amzn_2029)</f>
        <v>5.54650880690247</v>
      </c>
    </row>
    <row r="547" customFormat="false" ht="17.15" hidden="false" customHeight="false" outlineLevel="0" collapsed="false">
      <c r="A547" s="0" t="s">
        <v>1923</v>
      </c>
      <c r="B547" s="0" t="s">
        <v>1360</v>
      </c>
      <c r="E547" s="8" t="n">
        <f aca="false">(1-lag_hi)*E546+lag_hi*D546-inv_k*(E546-D546)</f>
        <v>1.04801753948364</v>
      </c>
      <c r="F547" s="8" t="n">
        <f aca="false">(1-lag_hi)*F546+lag_hi*E546-inv_k*(F546-E546)</f>
        <v>3.06334905232316</v>
      </c>
      <c r="G547" s="8" t="n">
        <f aca="false">(1-lag_hi)*G546+lag_hi*F546-inv_k*(G546-F546)</f>
        <v>4.05497030774153</v>
      </c>
      <c r="H547" s="8" t="n">
        <f aca="false">(1-lag_hi)*H546+lag_hi*G546-inv_k*(H546-G546)</f>
        <v>4.72547456935181</v>
      </c>
      <c r="I547" s="8" t="n">
        <f aca="false">(1-lag_hi)*I546+lag_hi*H546-inv_k*(I546-H546)</f>
        <v>5.21634644232502</v>
      </c>
    </row>
    <row r="548" customFormat="false" ht="17.15" hidden="false" customHeight="false" outlineLevel="0" collapsed="false">
      <c r="A548" s="0" t="s">
        <v>1924</v>
      </c>
      <c r="B548" s="0" t="s">
        <v>1362</v>
      </c>
      <c r="D548" s="8" t="n">
        <f aca="false">gcap_amzn_2024*ai_amzn</f>
        <v>52.80744</v>
      </c>
      <c r="E548" s="8" t="n">
        <f aca="false">gcap_amzn_2025*ai_amzn</f>
        <v>87.2576</v>
      </c>
      <c r="F548" s="8" t="n">
        <f aca="false">gcap_amzn_2026*ai_amzn</f>
        <v>149.6</v>
      </c>
      <c r="G548" s="8" t="n">
        <f aca="false">gcap_amzn_2027*ai_amzn</f>
        <v>172.09445848</v>
      </c>
      <c r="H548" s="8" t="n">
        <f aca="false">gcap_amzn_2028*ai_amzn</f>
        <v>181.54066624</v>
      </c>
      <c r="I548" s="8" t="n">
        <f aca="false">gcap_amzn_2029*ai_amzn</f>
        <v>189.3160052</v>
      </c>
    </row>
    <row r="549" customFormat="false" ht="17.15" hidden="false" customHeight="false" outlineLevel="0" collapsed="false">
      <c r="A549" s="0" t="s">
        <v>1925</v>
      </c>
      <c r="B549" s="0" t="s">
        <v>1358</v>
      </c>
      <c r="D549" s="8" t="n">
        <f aca="false">IF(ISNUMBER(D548),(pit_amzn_2024/(pit_amzn_2024+pfac_amzn_2024)*D548+pfac_amzn_2024/(pit_amzn_2024+pfac_amzn_2024)*IF(AND(ISNUMBER(""),ISNUMBER("")),wb1*""+wb2*"",IF(ISNUMBER(""),"",D548)))/(pit_amzn_2024+pfac_amzn_2024),site_amzn_2024)</f>
        <v>1.56238534864816</v>
      </c>
      <c r="E549" s="8" t="n">
        <f aca="false">IF(ISNUMBER(E548),(pit_amzn_2025/(pit_amzn_2025+pfac_amzn_2025)*E548+pfac_amzn_2025/(pit_amzn_2025+pfac_amzn_2025)*IF(AND(ISNUMBER(D548),ISNUMBER("")),wb1*D548+wb2*"",IF(ISNUMBER(D548),D548,E548)))/(pit_amzn_2025+pfac_amzn_2025),site_amzn_2025)</f>
        <v>2.32934283296825</v>
      </c>
      <c r="F549" s="8" t="n">
        <f aca="false">IF(ISNUMBER(F548),(pit_amzn_2026/(pit_amzn_2026+pfac_amzn_2026)*F548+pfac_amzn_2026/(pit_amzn_2026+pfac_amzn_2026)*IF(AND(ISNUMBER(E548),ISNUMBER(D548)),wb1*E548+wb2*D548,IF(ISNUMBER(E548),E548,F548)))/(pit_amzn_2026+pfac_amzn_2026),site_amzn_2026)</f>
        <v>3.60214892289839</v>
      </c>
      <c r="G549" s="8" t="n">
        <f aca="false">IF(ISNUMBER(G548),(pit_amzn_2027/(pit_amzn_2027+pfac_amzn_2027)*G548+pfac_amzn_2027/(pit_amzn_2027+pfac_amzn_2027)*IF(AND(ISNUMBER(F548),ISNUMBER(E548)),wb1*F548+wb2*E548,IF(ISNUMBER(F548),F548,G548)))/(pit_amzn_2027+pfac_amzn_2027),site_amzn_2027)</f>
        <v>4.24515505663672</v>
      </c>
      <c r="H549" s="8" t="n">
        <f aca="false">IF(ISNUMBER(H548),(pit_amzn_2028/(pit_amzn_2028+pfac_amzn_2028)*H548+pfac_amzn_2028/(pit_amzn_2028+pfac_amzn_2028)*IF(AND(ISNUMBER(G548),ISNUMBER(F548)),wb1*G548+wb2*F548,IF(ISNUMBER(G548),G548,H548)))/(pit_amzn_2028+pfac_amzn_2028),site_amzn_2028)</f>
        <v>4.60085769114469</v>
      </c>
      <c r="I549" s="8" t="n">
        <f aca="false">IF(ISNUMBER(I548),(pit_amzn_2029/(pit_amzn_2029+pfac_amzn_2029)*I548+pfac_amzn_2029/(pit_amzn_2029+pfac_amzn_2029)*IF(AND(ISNUMBER(H548),ISNUMBER(G548)),wb1*H548+wb2*G548,IF(ISNUMBER(H548),H548,I548)))/(pit_amzn_2029+pfac_amzn_2029),site_amzn_2029)</f>
        <v>4.85567033897056</v>
      </c>
    </row>
    <row r="550" customFormat="false" ht="17.15" hidden="false" customHeight="false" outlineLevel="0" collapsed="false">
      <c r="A550" s="0" t="s">
        <v>1926</v>
      </c>
      <c r="B550" s="0" t="s">
        <v>1360</v>
      </c>
      <c r="E550" s="8" t="n">
        <f aca="false">(1-lag_hi)*E549+lag_hi*D549-inv_k*(E549-D549)</f>
        <v>1.8691683423762</v>
      </c>
      <c r="F550" s="8" t="n">
        <f aca="false">(1-lag_hi)*F549+lag_hi*E549-inv_k*(F549-E549)</f>
        <v>2.83846526894031</v>
      </c>
      <c r="G550" s="8" t="n">
        <f aca="false">(1-lag_hi)*G549+lag_hi*F549-inv_k*(G549-F549)</f>
        <v>3.85935137639372</v>
      </c>
      <c r="H550" s="8" t="n">
        <f aca="false">(1-lag_hi)*H549+lag_hi*G549-inv_k*(H549-G549)</f>
        <v>4.38743611043991</v>
      </c>
      <c r="I550" s="8" t="n">
        <f aca="false">(1-lag_hi)*I549+lag_hi*H549-inv_k*(I549-H549)</f>
        <v>4.70278275027504</v>
      </c>
    </row>
    <row r="551" customFormat="false" ht="17.15" hidden="false" customHeight="false" outlineLevel="0" collapsed="false">
      <c r="A551" s="0" t="s">
        <v>1927</v>
      </c>
      <c r="B551" s="0" t="s">
        <v>1366</v>
      </c>
      <c r="E551" s="8" t="n">
        <f aca="false">E550*(1-nnv_amzn_2025)</f>
        <v>0.616825552984144</v>
      </c>
      <c r="F551" s="8" t="n">
        <f aca="false">F550*(1-nnv_amzn_2026)</f>
        <v>0.936693538750301</v>
      </c>
      <c r="G551" s="8" t="n">
        <f aca="false">G550*(1-nnv_amzn_2027)</f>
        <v>1.27358595420993</v>
      </c>
      <c r="H551" s="8" t="n">
        <f aca="false">H550*(1-nnv_amzn_2028)</f>
        <v>1.44785391644517</v>
      </c>
      <c r="I551" s="8" t="n">
        <f aca="false">I550*(1-nnv_amzn_2029)</f>
        <v>1.55191830759076</v>
      </c>
    </row>
    <row r="552" customFormat="false" ht="17.15" hidden="false" customHeight="false" outlineLevel="0" collapsed="false">
      <c r="A552" s="0" t="s">
        <v>1928</v>
      </c>
      <c r="B552" s="0" t="s">
        <v>1368</v>
      </c>
      <c r="D552" s="8" t="n">
        <f aca="false">site_amzn_2024</f>
        <v>0</v>
      </c>
      <c r="E552" s="8" t="n">
        <f aca="false">site_amzn_2025</f>
        <v>1.38971599402093</v>
      </c>
      <c r="F552" s="8" t="n">
        <f aca="false">site_amzn_2026</f>
        <v>0.527</v>
      </c>
      <c r="G552" s="8" t="n">
        <f aca="false">site_amzn_2027</f>
        <v>0.364</v>
      </c>
      <c r="H552" s="8" t="n">
        <f aca="false">site_amzn_2028</f>
        <v>1.744</v>
      </c>
      <c r="I552" s="8" t="n">
        <f aca="false">site_amzn_2029</f>
        <v>0.0620000000000003</v>
      </c>
    </row>
    <row r="553" customFormat="false" ht="17.15" hidden="false" customHeight="false" outlineLevel="0" collapsed="false">
      <c r="A553" s="0" t="s">
        <v>1929</v>
      </c>
      <c r="B553" s="0" t="s">
        <v>1370</v>
      </c>
      <c r="D553" s="8" t="n">
        <f aca="false">main_amzn_2024</f>
        <v>0</v>
      </c>
      <c r="E553" s="8" t="n">
        <f aca="false">main_amzn_2025</f>
        <v>1.38971599402093</v>
      </c>
      <c r="F553" s="8" t="n">
        <f aca="false">main_amzn_2026</f>
        <v>0.527</v>
      </c>
      <c r="G553" s="8" t="n">
        <f aca="false">main_amzn_2027</f>
        <v>4.54496548273742</v>
      </c>
      <c r="H553" s="8" t="n">
        <f aca="false">main_amzn_2028</f>
        <v>4.99623819927339</v>
      </c>
      <c r="I553" s="8" t="n">
        <f aca="false">main_amzn_2029</f>
        <v>5.54650880690247</v>
      </c>
    </row>
    <row r="554" customFormat="false" ht="17.15" hidden="false" customHeight="false" outlineLevel="0" collapsed="false">
      <c r="A554" s="0" t="s">
        <v>1930</v>
      </c>
      <c r="B554" s="0" t="s">
        <v>1372</v>
      </c>
      <c r="D554" s="8" t="str">
        <f aca="false">IF(ISNUMBER(ai2_meta_2024),ai2_meta_2024,"")</f>
        <v/>
      </c>
      <c r="E554" s="8" t="str">
        <f aca="false">IF(ISNUMBER(ai2_meta_2025),ai2_meta_2025,"")</f>
        <v/>
      </c>
      <c r="F554" s="8" t="n">
        <f aca="false">IF(ISNUMBER(ai2_meta_2026),ai2_meta_2026,"")</f>
        <v>119</v>
      </c>
      <c r="G554" s="8" t="n">
        <f aca="false">IF(ISNUMBER(ai2_meta_2027),ai2_meta_2027,"")</f>
        <v>130.9</v>
      </c>
      <c r="H554" s="8" t="n">
        <f aca="false">IF(ISNUMBER(ai2_meta_2028),ai2_meta_2028,"")</f>
        <v>143.99</v>
      </c>
      <c r="I554" s="8" t="n">
        <f aca="false">IF(ISNUMBER(ai2_meta_2029),ai2_meta_2029,"")</f>
        <v>158.389</v>
      </c>
    </row>
    <row r="555" customFormat="false" ht="17.15" hidden="false" customHeight="false" outlineLevel="0" collapsed="false">
      <c r="A555" s="0" t="s">
        <v>1931</v>
      </c>
      <c r="B555" s="0" t="s">
        <v>1374</v>
      </c>
      <c r="D555" s="8" t="n">
        <f aca="false">IF(ISNUMBER(D554),(pit_meta_2024/(pit_meta_2024+pfac_meta_2024)*D554+pfac_meta_2024/(pit_meta_2024+pfac_meta_2024)*IF(AND(ISNUMBER(""),ISNUMBER("")),wb1*""+wb2*"",IF(ISNUMBER(""),"",D554)))/(pit_meta_2024+pfac_meta_2024),site_meta_2024)</f>
        <v>0</v>
      </c>
      <c r="E555" s="8" t="n">
        <f aca="false">IF(ISNUMBER(E554),(pit_meta_2025/(pit_meta_2025+pfac_meta_2025)*E554+pfac_meta_2025/(pit_meta_2025+pfac_meta_2025)*IF(AND(ISNUMBER(D554),ISNUMBER("")),wb1*D554+wb2*"",IF(ISNUMBER(D554),D554,E554)))/(pit_meta_2025+pfac_meta_2025),site_meta_2025)</f>
        <v>1.50812</v>
      </c>
      <c r="F555" s="8" t="n">
        <f aca="false">IF(ISNUMBER(F554),(pit_meta_2026/(pit_meta_2026+pfac_meta_2026)*F554+pfac_meta_2026/(pit_meta_2026+pfac_meta_2026)*IF(AND(ISNUMBER(E554),ISNUMBER(D554)),wb1*E554+wb2*D554,IF(ISNUMBER(E554),E554,F554)))/(pit_meta_2026+pfac_meta_2026),site_meta_2026)</f>
        <v>2.62796503624796</v>
      </c>
      <c r="G555" s="8" t="n">
        <f aca="false">IF(ISNUMBER(G554),(pit_meta_2027/(pit_meta_2027+pfac_meta_2027)*G554+pfac_meta_2027/(pit_meta_2027+pfac_meta_2027)*IF(AND(ISNUMBER(F554),ISNUMBER(E554)),wb1*F554+wb2*E554,IF(ISNUMBER(F554),F554,G554)))/(pit_meta_2027+pfac_meta_2027),site_meta_2027)</f>
        <v>2.62451187863681</v>
      </c>
      <c r="H555" s="8" t="n">
        <f aca="false">IF(ISNUMBER(H554),(pit_meta_2028/(pit_meta_2028+pfac_meta_2028)*H554+pfac_meta_2028/(pit_meta_2028+pfac_meta_2028)*IF(AND(ISNUMBER(G554),ISNUMBER(F554)),wb1*G554+wb2*F554,IF(ISNUMBER(G554),G554,H554)))/(pit_meta_2028+pfac_meta_2028),site_meta_2028)</f>
        <v>2.73641202658015</v>
      </c>
      <c r="I555" s="8" t="n">
        <f aca="false">IF(ISNUMBER(I554),(pit_meta_2029/(pit_meta_2029+pfac_meta_2029)*I554+pfac_meta_2029/(pit_meta_2029+pfac_meta_2029)*IF(AND(ISNUMBER(H554),ISNUMBER(G554)),wb1*H554+wb2*G554,IF(ISNUMBER(H554),H554,I554)))/(pit_meta_2029+pfac_meta_2029),site_meta_2029)</f>
        <v>3.01174825182942</v>
      </c>
    </row>
    <row r="556" customFormat="false" ht="17.15" hidden="false" customHeight="false" outlineLevel="0" collapsed="false">
      <c r="A556" s="0" t="s">
        <v>1932</v>
      </c>
      <c r="B556" s="0" t="s">
        <v>1376</v>
      </c>
      <c r="E556" s="8" t="n">
        <f aca="false">(1-lag_hi)*E555+lag_hi*D555-inv_k*(E555-D555)</f>
        <v>0.603248</v>
      </c>
      <c r="F556" s="8" t="n">
        <f aca="false">(1-lag_hi)*F555+lag_hi*E555-inv_k*(F555-E555)</f>
        <v>1.95605801449919</v>
      </c>
      <c r="G556" s="8" t="n">
        <f aca="false">(1-lag_hi)*G555+lag_hi*F555-inv_k*(G555-F555)</f>
        <v>2.6265837732035</v>
      </c>
      <c r="H556" s="8" t="n">
        <f aca="false">(1-lag_hi)*H555+lag_hi*G555-inv_k*(H555-G555)</f>
        <v>2.66927193781415</v>
      </c>
      <c r="I556" s="8" t="n">
        <f aca="false">(1-lag_hi)*I555+lag_hi*H555-inv_k*(I555-H555)</f>
        <v>2.84654651667986</v>
      </c>
    </row>
    <row r="557" customFormat="false" ht="17.15" hidden="false" customHeight="false" outlineLevel="0" collapsed="false">
      <c r="A557" s="0" t="s">
        <v>1933</v>
      </c>
      <c r="B557" s="0" t="s">
        <v>1378</v>
      </c>
      <c r="D557" s="8" t="n">
        <f aca="false">gcap_meta_2024*ai_sh</f>
        <v>33.34125</v>
      </c>
      <c r="E557" s="8" t="n">
        <f aca="false">gcap_meta_2025*ai_sh</f>
        <v>61.38275</v>
      </c>
      <c r="F557" s="8" t="n">
        <f aca="false">gcap_meta_2026*ai_sh</f>
        <v>119</v>
      </c>
      <c r="G557" s="8" t="n">
        <f aca="false">gcap_meta_2027*ai_sh</f>
        <v>174.8499963</v>
      </c>
      <c r="H557" s="8" t="n">
        <f aca="false">gcap_meta_2028*ai_sh</f>
        <v>186.39077355</v>
      </c>
      <c r="I557" s="8" t="n">
        <f aca="false">gcap_meta_2029*ai_sh</f>
        <v>165.57988355</v>
      </c>
    </row>
    <row r="558" customFormat="false" ht="17.15" hidden="false" customHeight="false" outlineLevel="0" collapsed="false">
      <c r="A558" s="0" t="s">
        <v>1934</v>
      </c>
      <c r="B558" s="0" t="s">
        <v>1374</v>
      </c>
      <c r="D558" s="8" t="n">
        <f aca="false">IF(ISNUMBER(D557),(pit_meta_2024/(pit_meta_2024+pfac_meta_2024)*D557+pfac_meta_2024/(pit_meta_2024+pfac_meta_2024)*IF(AND(ISNUMBER(""),ISNUMBER("")),wb1*""+wb2*"",IF(ISNUMBER(""),"",D557)))/(pit_meta_2024+pfac_meta_2024),site_meta_2024)</f>
        <v>0.817493736320288</v>
      </c>
      <c r="E558" s="8" t="n">
        <f aca="false">IF(ISNUMBER(E557),(pit_meta_2025/(pit_meta_2025+pfac_meta_2025)*E557+pfac_meta_2025/(pit_meta_2025+pfac_meta_2025)*IF(AND(ISNUMBER(D557),ISNUMBER("")),wb1*D557+wb2*"",IF(ISNUMBER(D557),D557,E557)))/(pit_meta_2025+pfac_meta_2025),site_meta_2025)</f>
        <v>1.33044623899154</v>
      </c>
      <c r="F558" s="8" t="n">
        <f aca="false">IF(ISNUMBER(F557),(pit_meta_2026/(pit_meta_2026+pfac_meta_2026)*F557+pfac_meta_2026/(pit_meta_2026+pfac_meta_2026)*IF(AND(ISNUMBER(E557),ISNUMBER(D557)),wb1*E557+wb2*D557,IF(ISNUMBER(E557),E557,F557)))/(pit_meta_2026+pfac_meta_2026),site_meta_2026)</f>
        <v>2.20112683043242</v>
      </c>
      <c r="G558" s="8" t="n">
        <f aca="false">IF(ISNUMBER(G557),(pit_meta_2027/(pit_meta_2027+pfac_meta_2027)*G557+pfac_meta_2027/(pit_meta_2027+pfac_meta_2027)*IF(AND(ISNUMBER(F557),ISNUMBER(E557)),wb1*F557+wb2*E557,IF(ISNUMBER(F557),F557,G557)))/(pit_meta_2027+pfac_meta_2027),site_meta_2027)</f>
        <v>3.15406141077207</v>
      </c>
      <c r="H558" s="8" t="n">
        <f aca="false">IF(ISNUMBER(H557),(pit_meta_2028/(pit_meta_2028+pfac_meta_2028)*H557+pfac_meta_2028/(pit_meta_2028+pfac_meta_2028)*IF(AND(ISNUMBER(G557),ISNUMBER(F557)),wb1*G557+wb2*F557,IF(ISNUMBER(G557),G557,H557)))/(pit_meta_2028+pfac_meta_2028),site_meta_2028)</f>
        <v>3.47282806845288</v>
      </c>
      <c r="I558" s="8" t="n">
        <f aca="false">IF(ISNUMBER(I557),(pit_meta_2029/(pit_meta_2029+pfac_meta_2029)*I557+pfac_meta_2029/(pit_meta_2029+pfac_meta_2029)*IF(AND(ISNUMBER(H557),ISNUMBER(G557)),wb1*H557+wb2*G557,IF(ISNUMBER(H557),H557,I557)))/(pit_meta_2029+pfac_meta_2029),site_meta_2029)</f>
        <v>3.32152343881153</v>
      </c>
    </row>
    <row r="559" customFormat="false" ht="17.15" hidden="false" customHeight="false" outlineLevel="0" collapsed="false">
      <c r="A559" s="0" t="s">
        <v>1935</v>
      </c>
      <c r="B559" s="0" t="s">
        <v>1376</v>
      </c>
      <c r="E559" s="8" t="n">
        <f aca="false">(1-lag_hi)*E558+lag_hi*D558-inv_k*(E558-D558)</f>
        <v>1.02267473738879</v>
      </c>
      <c r="F559" s="8" t="n">
        <f aca="false">(1-lag_hi)*F558+lag_hi*E558-inv_k*(F558-E558)</f>
        <v>1.67871847556789</v>
      </c>
      <c r="G559" s="8" t="n">
        <f aca="false">(1-lag_hi)*G558+lag_hi*F558-inv_k*(G558-F558)</f>
        <v>2.58230066256828</v>
      </c>
      <c r="H559" s="8" t="n">
        <f aca="false">(1-lag_hi)*H558+lag_hi*G558-inv_k*(H558-G558)</f>
        <v>3.28156807384439</v>
      </c>
      <c r="I559" s="8" t="n">
        <f aca="false">(1-lag_hi)*I558+lag_hi*H558-inv_k*(I558-H558)</f>
        <v>3.41230621659634</v>
      </c>
    </row>
    <row r="560" customFormat="false" ht="17.15" hidden="false" customHeight="false" outlineLevel="0" collapsed="false">
      <c r="A560" s="0" t="s">
        <v>1936</v>
      </c>
      <c r="B560" s="0" t="s">
        <v>1382</v>
      </c>
      <c r="E560" s="8" t="n">
        <f aca="false">E559*(1-nnv_meta_2025)</f>
        <v>0.779063319499164</v>
      </c>
      <c r="F560" s="8" t="n">
        <f aca="false">F559*(1-nnv_meta_2026)</f>
        <v>1.27883083473812</v>
      </c>
      <c r="G560" s="8" t="n">
        <f aca="false">G559*(1-nnv_meta_2027)</f>
        <v>1.87706954285196</v>
      </c>
      <c r="H560" s="8" t="n">
        <f aca="false">H559*(1-nnv_meta_2028)</f>
        <v>2.39678710829961</v>
      </c>
      <c r="I560" s="8" t="n">
        <f aca="false">I559*(1-nnv_meta_2029)</f>
        <v>2.48351908616112</v>
      </c>
    </row>
    <row r="561" customFormat="false" ht="17.15" hidden="false" customHeight="false" outlineLevel="0" collapsed="false">
      <c r="A561" s="0" t="s">
        <v>1937</v>
      </c>
      <c r="B561" s="0" t="s">
        <v>1384</v>
      </c>
      <c r="D561" s="8" t="n">
        <f aca="false">site_meta_2024</f>
        <v>0</v>
      </c>
      <c r="E561" s="8" t="n">
        <f aca="false">site_meta_2025</f>
        <v>1.50812</v>
      </c>
      <c r="F561" s="8" t="n">
        <f aca="false">site_meta_2026</f>
        <v>0.676</v>
      </c>
      <c r="G561" s="8" t="n">
        <f aca="false">site_meta_2027</f>
        <v>0.615</v>
      </c>
      <c r="H561" s="8" t="n">
        <f aca="false">site_meta_2028</f>
        <v>2.99433333333333</v>
      </c>
      <c r="I561" s="8" t="n">
        <f aca="false">site_meta_2029</f>
        <v>0.968</v>
      </c>
    </row>
    <row r="562" customFormat="false" ht="17.15" hidden="false" customHeight="false" outlineLevel="0" collapsed="false">
      <c r="A562" s="0" t="s">
        <v>1938</v>
      </c>
      <c r="B562" s="0" t="s">
        <v>1386</v>
      </c>
      <c r="D562" s="8" t="n">
        <f aca="false">main_meta_2024</f>
        <v>0</v>
      </c>
      <c r="E562" s="8" t="n">
        <f aca="false">main_meta_2025</f>
        <v>1.50812</v>
      </c>
      <c r="F562" s="8" t="n">
        <f aca="false">main_meta_2026</f>
        <v>0.676</v>
      </c>
      <c r="G562" s="8" t="n">
        <f aca="false">main_meta_2027</f>
        <v>0.615</v>
      </c>
      <c r="H562" s="8" t="n">
        <f aca="false">main_meta_2028</f>
        <v>2.73641202658016</v>
      </c>
      <c r="I562" s="8" t="n">
        <f aca="false">main_meta_2029</f>
        <v>3.01174825182942</v>
      </c>
    </row>
    <row r="563" customFormat="false" ht="17.15" hidden="false" customHeight="false" outlineLevel="0" collapsed="false">
      <c r="A563" s="0" t="s">
        <v>1939</v>
      </c>
      <c r="B563" s="0" t="s">
        <v>1388</v>
      </c>
      <c r="D563" s="8" t="str">
        <f aca="false">IF(ISNUMBER(ai2_orcl_2024),ai2_orcl_2024,"")</f>
        <v/>
      </c>
      <c r="E563" s="8" t="n">
        <f aca="false">IF(ISNUMBER(ai2_orcl_2025),ai2_orcl_2025,"")</f>
        <v>35.1132166666667</v>
      </c>
      <c r="F563" s="8" t="n">
        <f aca="false">IF(ISNUMBER(ai2_orcl_2026),ai2_orcl_2026,"")</f>
        <v>65.5785625</v>
      </c>
      <c r="G563" s="8" t="n">
        <f aca="false">IF(ISNUMBER(ai2_orcl_2027),ai2_orcl_2027,"")</f>
        <v>82.8207416666667</v>
      </c>
      <c r="H563" s="8" t="n">
        <f aca="false">IF(ISNUMBER(ai2_orcl_2028),ai2_orcl_2028,"")</f>
        <v>77.8278416666667</v>
      </c>
      <c r="I563" s="8" t="n">
        <f aca="false">IF(ISNUMBER(ai2_orcl_2029),ai2_orcl_2029,"")</f>
        <v>76.3278466666667</v>
      </c>
    </row>
    <row r="564" customFormat="false" ht="17.15" hidden="false" customHeight="false" outlineLevel="0" collapsed="false">
      <c r="A564" s="0" t="s">
        <v>1940</v>
      </c>
      <c r="B564" s="0" t="s">
        <v>1390</v>
      </c>
      <c r="D564" s="8" t="n">
        <f aca="false">IF(ISNUMBER(D563),(pit_orcl_2024/(pit_orcl_2024+pfac_orcl_2024)*D563+pfac_orcl_2024/(pit_orcl_2024+pfac_orcl_2024)*IF(AND(ISNUMBER(""),ISNUMBER("")),wb1*""+wb2*"",IF(ISNUMBER(""),"",D563)))/(pit_orcl_2024+pfac_orcl_2024),site_orcl_2024)</f>
        <v>0</v>
      </c>
      <c r="E564" s="8" t="n">
        <f aca="false">IF(ISNUMBER(E563),(pit_orcl_2025/(pit_orcl_2025+pfac_orcl_2025)*E563+pfac_orcl_2025/(pit_orcl_2025+pfac_orcl_2025)*IF(AND(ISNUMBER(D563),ISNUMBER("")),wb1*D563+wb2*"",IF(ISNUMBER(D563),D563,E563)))/(pit_orcl_2025+pfac_orcl_2025),site_orcl_2025)</f>
        <v>0.885776418247533</v>
      </c>
      <c r="F564" s="8" t="n">
        <f aca="false">IF(ISNUMBER(F563),(pit_orcl_2026/(pit_orcl_2026+pfac_orcl_2026)*F563+pfac_orcl_2026/(pit_orcl_2026+pfac_orcl_2026)*IF(AND(ISNUMBER(E563),ISNUMBER(D563)),wb1*E563+wb2*D563,IF(ISNUMBER(E563),E563,F563)))/(pit_orcl_2026+pfac_orcl_2026),site_orcl_2026)</f>
        <v>1.26669929939621</v>
      </c>
      <c r="G564" s="8" t="n">
        <f aca="false">IF(ISNUMBER(G563),(pit_orcl_2027/(pit_orcl_2027+pfac_orcl_2027)*G563+pfac_orcl_2027/(pit_orcl_2027+pfac_orcl_2027)*IF(AND(ISNUMBER(F563),ISNUMBER(E563)),wb1*F563+wb2*E563,IF(ISNUMBER(F563),F563,G563)))/(pit_orcl_2027+pfac_orcl_2027),site_orcl_2027)</f>
        <v>1.53296918960021</v>
      </c>
      <c r="H564" s="8" t="n">
        <f aca="false">IF(ISNUMBER(H563),(pit_orcl_2028/(pit_orcl_2028+pfac_orcl_2028)*H563+pfac_orcl_2028/(pit_orcl_2028+pfac_orcl_2028)*IF(AND(ISNUMBER(G563),ISNUMBER(F563)),wb1*G563+wb2*F563,IF(ISNUMBER(G563),G563,H563)))/(pit_orcl_2028+pfac_orcl_2028),site_orcl_2028)</f>
        <v>1.51024789659781</v>
      </c>
      <c r="I564" s="8" t="n">
        <f aca="false">IF(ISNUMBER(I563),(pit_orcl_2029/(pit_orcl_2029+pfac_orcl_2029)*I563+pfac_orcl_2029/(pit_orcl_2029+pfac_orcl_2029)*IF(AND(ISNUMBER(H563),ISNUMBER(G563)),wb1*H563+wb2*G563,IF(ISNUMBER(H563),H563,I563)))/(pit_orcl_2029+pfac_orcl_2029),site_orcl_2029)</f>
        <v>1.51737350859667</v>
      </c>
    </row>
    <row r="565" customFormat="false" ht="17.15" hidden="false" customHeight="false" outlineLevel="0" collapsed="false">
      <c r="A565" s="0" t="s">
        <v>1941</v>
      </c>
      <c r="B565" s="0" t="s">
        <v>1392</v>
      </c>
      <c r="E565" s="8" t="n">
        <f aca="false">(1-lag_hi)*E564+lag_hi*D564-inv_k*(E564-D564)</f>
        <v>0.354310567299013</v>
      </c>
      <c r="F565" s="8" t="n">
        <f aca="false">(1-lag_hi)*F564+lag_hi*E564-inv_k*(F564-E564)</f>
        <v>1.038145570707</v>
      </c>
      <c r="G565" s="8" t="n">
        <f aca="false">(1-lag_hi)*G564+lag_hi*F564-inv_k*(G564-F564)</f>
        <v>1.37320725547781</v>
      </c>
      <c r="H565" s="8" t="n">
        <f aca="false">(1-lag_hi)*H564+lag_hi*G564-inv_k*(H564-G564)</f>
        <v>1.52388067239925</v>
      </c>
      <c r="I565" s="8" t="n">
        <f aca="false">(1-lag_hi)*I564+lag_hi*H564-inv_k*(I564-H564)</f>
        <v>1.51309814139735</v>
      </c>
    </row>
    <row r="566" customFormat="false" ht="17.15" hidden="false" customHeight="false" outlineLevel="0" collapsed="false">
      <c r="A566" s="0" t="s">
        <v>1942</v>
      </c>
      <c r="B566" s="0" t="s">
        <v>1394</v>
      </c>
      <c r="D566" s="8" t="str">
        <f aca="false">""</f>
        <v/>
      </c>
      <c r="E566" s="8" t="n">
        <f aca="false">(5/12*cap2_orcl_2025+7/12*gcap_orcl_2026)*ai_sh</f>
        <v>35.1132166666667</v>
      </c>
      <c r="F566" s="8" t="n">
        <f aca="false">(5/12*gcap_orcl_2026+7/12*gcap_orcl_2027)*ai_sh</f>
        <v>65.5785625</v>
      </c>
      <c r="G566" s="8" t="n">
        <f aca="false">(5/12*gcap_orcl_2027+7/12*gcap_orcl_2028)*ai_sh</f>
        <v>75.599189975</v>
      </c>
      <c r="H566" s="8" t="n">
        <f aca="false">(5/12*gcap_orcl_2028+7/12*gcap_orcl_2029)*ai_sh</f>
        <v>49.4435487791667</v>
      </c>
      <c r="I566" s="8" t="n">
        <f aca="false">(5/12*gcap_orcl_2029+7/12*gcap_orcl_2030)*ai_sh</f>
        <v>23.382754125</v>
      </c>
    </row>
    <row r="567" customFormat="false" ht="17.15" hidden="false" customHeight="false" outlineLevel="0" collapsed="false">
      <c r="A567" s="0" t="s">
        <v>1943</v>
      </c>
      <c r="B567" s="0" t="s">
        <v>1390</v>
      </c>
      <c r="D567" s="8" t="n">
        <f aca="false">IF(ISNUMBER(D566),(pit_orcl_2024/(pit_orcl_2024+pfac_orcl_2024)*D566+pfac_orcl_2024/(pit_orcl_2024+pfac_orcl_2024)*IF(AND(ISNUMBER(""),ISNUMBER("")),wb1*""+wb2*"",IF(ISNUMBER(""),"",D566)))/(pit_orcl_2024+pfac_orcl_2024),site_orcl_2024)</f>
        <v>0</v>
      </c>
      <c r="E567" s="8" t="n">
        <f aca="false">IF(ISNUMBER(E566),(pit_orcl_2025/(pit_orcl_2025+pfac_orcl_2025)*E566+pfac_orcl_2025/(pit_orcl_2025+pfac_orcl_2025)*IF(AND(ISNUMBER(D566),ISNUMBER("")),wb1*D566+wb2*"",IF(ISNUMBER(D566),D566,E566)))/(pit_orcl_2025+pfac_orcl_2025),site_orcl_2025)</f>
        <v>0.885776418247532</v>
      </c>
      <c r="F567" s="8" t="n">
        <f aca="false">IF(ISNUMBER(F566),(pit_orcl_2026/(pit_orcl_2026+pfac_orcl_2026)*F566+pfac_orcl_2026/(pit_orcl_2026+pfac_orcl_2026)*IF(AND(ISNUMBER(E566),ISNUMBER(D566)),wb1*E566+wb2*D566,IF(ISNUMBER(E566),E566,F566)))/(pit_orcl_2026+pfac_orcl_2026),site_orcl_2026)</f>
        <v>1.26669929939621</v>
      </c>
      <c r="G567" s="8" t="n">
        <f aca="false">IF(ISNUMBER(G566),(pit_orcl_2027/(pit_orcl_2027+pfac_orcl_2027)*G566+pfac_orcl_2027/(pit_orcl_2027+pfac_orcl_2027)*IF(AND(ISNUMBER(F566),ISNUMBER(E566)),wb1*F566+wb2*E566,IF(ISNUMBER(F566),F566,G566)))/(pit_orcl_2027+pfac_orcl_2027),site_orcl_2027)</f>
        <v>1.42175083118347</v>
      </c>
      <c r="H567" s="8" t="n">
        <f aca="false">IF(ISNUMBER(H566),(pit_orcl_2028/(pit_orcl_2028+pfac_orcl_2028)*H566+pfac_orcl_2028/(pit_orcl_2028+pfac_orcl_2028)*IF(AND(ISNUMBER(G566),ISNUMBER(F566)),wb1*G566+wb2*F566,IF(ISNUMBER(G566),G566,H566)))/(pit_orcl_2028+pfac_orcl_2028),site_orcl_2028)</f>
        <v>1.06923453221276</v>
      </c>
      <c r="I567" s="8" t="n">
        <f aca="false">IF(ISNUMBER(I566),(pit_orcl_2029/(pit_orcl_2029+pfac_orcl_2029)*I566+pfac_orcl_2029/(pit_orcl_2029+pfac_orcl_2029)*IF(AND(ISNUMBER(H566),ISNUMBER(G566)),wb1*H566+wb2*G566,IF(ISNUMBER(H566),H566,I566)))/(pit_orcl_2029+pfac_orcl_2029),site_orcl_2029)</f>
        <v>0.642469547070952</v>
      </c>
    </row>
    <row r="568" customFormat="false" ht="17.15" hidden="false" customHeight="false" outlineLevel="0" collapsed="false">
      <c r="A568" s="0" t="s">
        <v>1944</v>
      </c>
      <c r="B568" s="0" t="s">
        <v>1392</v>
      </c>
      <c r="E568" s="8" t="n">
        <f aca="false">(1-lag_hi)*E567+lag_hi*D567-inv_k*(E567-D567)</f>
        <v>0.354310567299013</v>
      </c>
      <c r="F568" s="8" t="n">
        <f aca="false">(1-lag_hi)*F567+lag_hi*E567-inv_k*(F567-E567)</f>
        <v>1.038145570707</v>
      </c>
      <c r="G568" s="8" t="n">
        <f aca="false">(1-lag_hi)*G567+lag_hi*F567-inv_k*(G567-F567)</f>
        <v>1.32871991211112</v>
      </c>
      <c r="H568" s="8" t="n">
        <f aca="false">(1-lag_hi)*H567+lag_hi*G567-inv_k*(H567-G567)</f>
        <v>1.28074431159519</v>
      </c>
      <c r="I568" s="8" t="n">
        <f aca="false">(1-lag_hi)*I567+lag_hi*H567-inv_k*(I567-H567)</f>
        <v>0.898528538156034</v>
      </c>
    </row>
    <row r="569" customFormat="false" ht="17.15" hidden="false" customHeight="false" outlineLevel="0" collapsed="false">
      <c r="A569" s="0" t="s">
        <v>1945</v>
      </c>
      <c r="B569" s="0" t="s">
        <v>1398</v>
      </c>
      <c r="E569" s="8" t="n">
        <f aca="false">E568*(1-nnv_orcl_2025)</f>
        <v>0.269910223262573</v>
      </c>
      <c r="F569" s="8" t="n">
        <f aca="false">F568*(1-nnv_orcl_2026)</f>
        <v>0.790848844573424</v>
      </c>
      <c r="G569" s="8" t="n">
        <f aca="false">G568*(1-nnv_orcl_2027)</f>
        <v>0.965844029766909</v>
      </c>
      <c r="H569" s="8" t="n">
        <f aca="false">H568*(1-nnv_orcl_2028)</f>
        <v>0.935428242225445</v>
      </c>
      <c r="I569" s="8" t="n">
        <f aca="false">I568*(1-nnv_orcl_2029)</f>
        <v>0.653960293222692</v>
      </c>
    </row>
    <row r="570" customFormat="false" ht="17.15" hidden="false" customHeight="false" outlineLevel="0" collapsed="false">
      <c r="A570" s="0" t="s">
        <v>1946</v>
      </c>
      <c r="B570" s="0" t="s">
        <v>1400</v>
      </c>
      <c r="D570" s="8" t="n">
        <f aca="false">site_orcl_2024</f>
        <v>0</v>
      </c>
      <c r="E570" s="8" t="n">
        <f aca="false">site_orcl_2025</f>
        <v>0.816405</v>
      </c>
      <c r="F570" s="8" t="n">
        <f aca="false">site_orcl_2026</f>
        <v>1.54613</v>
      </c>
      <c r="G570" s="8" t="n">
        <f aca="false">site_orcl_2027</f>
        <v>0.944166666666667</v>
      </c>
      <c r="H570" s="8" t="n">
        <f aca="false">site_orcl_2028</f>
        <v>4.91166666666667</v>
      </c>
      <c r="I570" s="8" t="n">
        <f aca="false">site_orcl_2029</f>
        <v>0</v>
      </c>
    </row>
    <row r="571" customFormat="false" ht="17.15" hidden="false" customHeight="false" outlineLevel="0" collapsed="false">
      <c r="A571" s="0" t="s">
        <v>1947</v>
      </c>
      <c r="B571" s="0" t="s">
        <v>1402</v>
      </c>
      <c r="D571" s="8" t="n">
        <f aca="false">main_orcl_2024</f>
        <v>0</v>
      </c>
      <c r="E571" s="8" t="n">
        <f aca="false">main_orcl_2025</f>
        <v>0.816405</v>
      </c>
      <c r="F571" s="8" t="n">
        <f aca="false">main_orcl_2026</f>
        <v>1.54613</v>
      </c>
      <c r="G571" s="8" t="n">
        <f aca="false">main_orcl_2027</f>
        <v>1.53296918960021</v>
      </c>
      <c r="H571" s="8" t="n">
        <f aca="false">main_orcl_2028</f>
        <v>1.51024789659781</v>
      </c>
      <c r="I571" s="8" t="n">
        <f aca="false">main_orcl_2029</f>
        <v>1.51737350859666</v>
      </c>
    </row>
    <row r="572" customFormat="false" ht="17.15" hidden="false" customHeight="false" outlineLevel="0" collapsed="false">
      <c r="A572" s="0" t="s">
        <v>1948</v>
      </c>
      <c r="B572" s="0" t="s">
        <v>1404</v>
      </c>
      <c r="D572" s="8" t="str">
        <f aca="false">IF(ISNUMBER(ai2_crwv_2024),ai2_crwv_2024,"")</f>
        <v/>
      </c>
      <c r="E572" s="8" t="str">
        <f aca="false">IF(ISNUMBER(ai2_crwv_2025),ai2_crwv_2025,"")</f>
        <v/>
      </c>
      <c r="F572" s="8" t="n">
        <f aca="false">IF(ISNUMBER(ai2_crwv_2026),ai2_crwv_2026,"")</f>
        <v>31.45</v>
      </c>
      <c r="G572" s="8" t="n">
        <f aca="false">IF(ISNUMBER(ai2_crwv_2027),ai2_crwv_2027,"")</f>
        <v>39.5046</v>
      </c>
      <c r="H572" s="8" t="n">
        <f aca="false">IF(ISNUMBER(ai2_crwv_2028),ai2_crwv_2028,"")</f>
        <v>42.60965</v>
      </c>
      <c r="I572" s="8" t="n">
        <f aca="false">IF(ISNUMBER(ai2_crwv_2029),ai2_crwv_2029,"")</f>
        <v>46.870615</v>
      </c>
    </row>
    <row r="573" customFormat="false" ht="17.15" hidden="false" customHeight="false" outlineLevel="0" collapsed="false">
      <c r="A573" s="0" t="s">
        <v>1949</v>
      </c>
      <c r="B573" s="0" t="s">
        <v>1406</v>
      </c>
      <c r="D573" s="8" t="n">
        <f aca="false">IF(ISNUMBER(D572),(pit_crwv_2024/(pit_crwv_2024+pfac_crwv_2024)*D572+pfac_crwv_2024/(pit_crwv_2024+pfac_crwv_2024)*IF(AND(ISNUMBER(""),ISNUMBER("")),wb1*""+wb2*"",IF(ISNUMBER(""),"",D572)))/(pit_crwv_2024+pfac_crwv_2024),site_crwv_2024)</f>
        <v>0.29</v>
      </c>
      <c r="E573" s="8" t="n">
        <f aca="false">IF(ISNUMBER(E572),(pit_crwv_2025/(pit_crwv_2025+pfac_crwv_2025)*E572+pfac_crwv_2025/(pit_crwv_2025+pfac_crwv_2025)*IF(AND(ISNUMBER(D572),ISNUMBER("")),wb1*D572+wb2*"",IF(ISNUMBER(D572),D572,E572)))/(pit_crwv_2025+pfac_crwv_2025),site_crwv_2025)</f>
        <v>0.49</v>
      </c>
      <c r="F573" s="8" t="n">
        <f aca="false">IF(ISNUMBER(F572),(pit_crwv_2026/(pit_crwv_2026+pfac_crwv_2026)*F572+pfac_crwv_2026/(pit_crwv_2026+pfac_crwv_2026)*IF(AND(ISNUMBER(E572),ISNUMBER(D572)),wb1*E572+wb2*D572,IF(ISNUMBER(E572),E572,F572)))/(pit_crwv_2026+pfac_crwv_2026),site_crwv_2026)</f>
        <v>0.6824489639016</v>
      </c>
      <c r="G573" s="8" t="n">
        <f aca="false">IF(ISNUMBER(G572),(pit_crwv_2027/(pit_crwv_2027+pfac_crwv_2027)*G572+pfac_crwv_2027/(pit_crwv_2027+pfac_crwv_2027)*IF(AND(ISNUMBER(F572),ISNUMBER(E572)),wb1*F572+wb2*E572,IF(ISNUMBER(F572),F572,G572)))/(pit_crwv_2027+pfac_crwv_2027),site_crwv_2027)</f>
        <v>0.735222622408663</v>
      </c>
      <c r="H573" s="8" t="n">
        <f aca="false">IF(ISNUMBER(H572),(pit_crwv_2028/(pit_crwv_2028+pfac_crwv_2028)*H572+pfac_crwv_2028/(pit_crwv_2028+pfac_crwv_2028)*IF(AND(ISNUMBER(G572),ISNUMBER(F572)),wb1*G572+wb2*F572,IF(ISNUMBER(G572),G572,H572)))/(pit_crwv_2028+pfac_crwv_2028),site_crwv_2028)</f>
        <v>0.758042293208188</v>
      </c>
      <c r="I573" s="8" t="n">
        <f aca="false">IF(ISNUMBER(I572),(pit_crwv_2029/(pit_crwv_2029+pfac_crwv_2029)*I572+pfac_crwv_2029/(pit_crwv_2029+pfac_crwv_2029)*IF(AND(ISNUMBER(H572),ISNUMBER(G572)),wb1*H572+wb2*G572,IF(ISNUMBER(H572),H572,I572)))/(pit_crwv_2029+pfac_crwv_2029),site_crwv_2029)</f>
        <v>0.842675104355277</v>
      </c>
    </row>
    <row r="574" customFormat="false" ht="17.15" hidden="false" customHeight="false" outlineLevel="0" collapsed="false">
      <c r="A574" s="0" t="s">
        <v>1950</v>
      </c>
      <c r="B574" s="0" t="s">
        <v>1408</v>
      </c>
      <c r="E574" s="8" t="n">
        <f aca="false">(1-lag_hi)*E573+lag_hi*D573-inv_k*(E573-D573)</f>
        <v>0.37</v>
      </c>
      <c r="F574" s="8" t="n">
        <f aca="false">(1-lag_hi)*F573+lag_hi*E573-inv_k*(F573-E573)</f>
        <v>0.56697958556064</v>
      </c>
      <c r="G574" s="8" t="n">
        <f aca="false">(1-lag_hi)*G573+lag_hi*F573-inv_k*(G573-F573)</f>
        <v>0.703558427304425</v>
      </c>
      <c r="H574" s="8" t="n">
        <f aca="false">(1-lag_hi)*H573+lag_hi*G573-inv_k*(H573-G573)</f>
        <v>0.744350490728473</v>
      </c>
      <c r="I574" s="8" t="n">
        <f aca="false">(1-lag_hi)*I573+lag_hi*H573-inv_k*(I573-H573)</f>
        <v>0.791895417667023</v>
      </c>
    </row>
    <row r="575" customFormat="false" ht="17.15" hidden="false" customHeight="false" outlineLevel="0" collapsed="false">
      <c r="A575" s="0" t="s">
        <v>1951</v>
      </c>
      <c r="B575" s="0" t="s">
        <v>1410</v>
      </c>
      <c r="D575" s="8" t="str">
        <f aca="false">""</f>
        <v/>
      </c>
      <c r="E575" s="8" t="str">
        <f aca="false">""</f>
        <v/>
      </c>
      <c r="F575" s="8" t="n">
        <f aca="false">gcap_crwv_2026*ai_sh</f>
        <v>28.0313</v>
      </c>
      <c r="G575" s="8" t="n">
        <f aca="false">gcap_crwv_2027*ai_sh</f>
        <v>33.45858485</v>
      </c>
      <c r="H575" s="8" t="n">
        <f aca="false">gcap_crwv_2028*ai_sh</f>
        <v>27.6353649</v>
      </c>
      <c r="I575" s="8" t="n">
        <f aca="false">gcap_crwv_2029*ai_sh</f>
        <v>27.7951071</v>
      </c>
    </row>
    <row r="576" customFormat="false" ht="17.15" hidden="false" customHeight="false" outlineLevel="0" collapsed="false">
      <c r="A576" s="0" t="s">
        <v>1952</v>
      </c>
      <c r="B576" s="0" t="s">
        <v>1406</v>
      </c>
      <c r="D576" s="8" t="n">
        <f aca="false">IF(ISNUMBER(D575),(pit_crwv_2024/(pit_crwv_2024+pfac_crwv_2024)*D575+pfac_crwv_2024/(pit_crwv_2024+pfac_crwv_2024)*IF(AND(ISNUMBER(""),ISNUMBER("")),wb1*""+wb2*"",IF(ISNUMBER(""),"",D575)))/(pit_crwv_2024+pfac_crwv_2024),site_crwv_2024)</f>
        <v>0.29</v>
      </c>
      <c r="E576" s="8" t="n">
        <f aca="false">IF(ISNUMBER(E575),(pit_crwv_2025/(pit_crwv_2025+pfac_crwv_2025)*E575+pfac_crwv_2025/(pit_crwv_2025+pfac_crwv_2025)*IF(AND(ISNUMBER(D575),ISNUMBER("")),wb1*D575+wb2*"",IF(ISNUMBER(D575),D575,E575)))/(pit_crwv_2025+pfac_crwv_2025),site_crwv_2025)</f>
        <v>0.49</v>
      </c>
      <c r="F576" s="8" t="n">
        <f aca="false">IF(ISNUMBER(F575),(pit_crwv_2026/(pit_crwv_2026+pfac_crwv_2026)*F575+pfac_crwv_2026/(pit_crwv_2026+pfac_crwv_2026)*IF(AND(ISNUMBER(E575),ISNUMBER(D575)),wb1*E575+wb2*D575,IF(ISNUMBER(E575),E575,F575)))/(pit_crwv_2026+pfac_crwv_2026),site_crwv_2026)</f>
        <v>0.608264917068837</v>
      </c>
      <c r="G576" s="8" t="n">
        <f aca="false">IF(ISNUMBER(G575),(pit_crwv_2027/(pit_crwv_2027+pfac_crwv_2027)*G575+pfac_crwv_2027/(pit_crwv_2027+pfac_crwv_2027)*IF(AND(ISNUMBER(F575),ISNUMBER(E575)),wb1*F575+wb2*E575,IF(ISNUMBER(F575),F575,G575)))/(pit_crwv_2027+pfac_crwv_2027),site_crwv_2027)</f>
        <v>0.629490424531811</v>
      </c>
      <c r="H576" s="8" t="n">
        <f aca="false">IF(ISNUMBER(H575),(pit_crwv_2028/(pit_crwv_2028+pfac_crwv_2028)*H575+pfac_crwv_2028/(pit_crwv_2028+pfac_crwv_2028)*IF(AND(ISNUMBER(G575),ISNUMBER(F575)),wb1*G575+wb2*F575,IF(ISNUMBER(G575),G575,H575)))/(pit_crwv_2028+pfac_crwv_2028),site_crwv_2028)</f>
        <v>0.525250960902376</v>
      </c>
      <c r="I576" s="8" t="n">
        <f aca="false">IF(ISNUMBER(I575),(pit_crwv_2029/(pit_crwv_2029+pfac_crwv_2029)*I575+pfac_crwv_2029/(pit_crwv_2029+pfac_crwv_2029)*IF(AND(ISNUMBER(H575),ISNUMBER(G575)),wb1*H575+wb2*G575,IF(ISNUMBER(H575),H575,I575)))/(pit_crwv_2029+pfac_crwv_2029),site_crwv_2029)</f>
        <v>0.526654910671929</v>
      </c>
    </row>
    <row r="577" customFormat="false" ht="17.15" hidden="false" customHeight="false" outlineLevel="0" collapsed="false">
      <c r="A577" s="0" t="s">
        <v>1953</v>
      </c>
      <c r="B577" s="0" t="s">
        <v>1408</v>
      </c>
      <c r="E577" s="8" t="n">
        <f aca="false">(1-lag_hi)*E576+lag_hi*D576-inv_k*(E576-D576)</f>
        <v>0.37</v>
      </c>
      <c r="F577" s="8" t="n">
        <f aca="false">(1-lag_hi)*F576+lag_hi*E576-inv_k*(F576-E576)</f>
        <v>0.537305966827535</v>
      </c>
      <c r="G577" s="8" t="n">
        <f aca="false">(1-lag_hi)*G576+lag_hi*F576-inv_k*(G576-F576)</f>
        <v>0.616755120054026</v>
      </c>
      <c r="H577" s="8" t="n">
        <f aca="false">(1-lag_hi)*H576+lag_hi*G576-inv_k*(H576-G576)</f>
        <v>0.587794639080037</v>
      </c>
      <c r="I577" s="8" t="n">
        <f aca="false">(1-lag_hi)*I576+lag_hi*H576-inv_k*(I576-H576)</f>
        <v>0.525812540810197</v>
      </c>
    </row>
    <row r="578" customFormat="false" ht="17.15" hidden="false" customHeight="false" outlineLevel="0" collapsed="false">
      <c r="A578" s="0" t="s">
        <v>1954</v>
      </c>
      <c r="B578" s="0" t="s">
        <v>1414</v>
      </c>
      <c r="E578" s="8" t="n">
        <f aca="false">E577*(1-nnv_crwv_2025)</f>
        <v>0.37</v>
      </c>
      <c r="F578" s="8" t="n">
        <f aca="false">F577*(1-nnv_crwv_2026)</f>
        <v>0.537305966827535</v>
      </c>
      <c r="G578" s="8" t="n">
        <f aca="false">G577*(1-nnv_crwv_2027)</f>
        <v>0.616755120054026</v>
      </c>
      <c r="H578" s="8" t="n">
        <f aca="false">H577*(1-nnv_crwv_2028)</f>
        <v>0.587794639080037</v>
      </c>
      <c r="I578" s="8" t="n">
        <f aca="false">I577*(1-nnv_crwv_2029)</f>
        <v>0.525812540810197</v>
      </c>
    </row>
    <row r="579" customFormat="false" ht="17.15" hidden="false" customHeight="false" outlineLevel="0" collapsed="false">
      <c r="A579" s="0" t="s">
        <v>1955</v>
      </c>
      <c r="B579" s="0" t="s">
        <v>1416</v>
      </c>
      <c r="D579" s="8" t="n">
        <f aca="false">site_crwv_2024</f>
        <v>0.29</v>
      </c>
      <c r="E579" s="8" t="n">
        <f aca="false">site_crwv_2025</f>
        <v>0.49</v>
      </c>
      <c r="F579" s="8" t="n">
        <f aca="false">site_crwv_2026</f>
        <v>1</v>
      </c>
      <c r="G579" s="8" t="n">
        <f aca="false">site_crwv_2027</f>
        <v>1.5375</v>
      </c>
      <c r="H579" s="8" t="n">
        <f aca="false">site_crwv_2028</f>
        <v>1.5375</v>
      </c>
      <c r="I579" s="8" t="n">
        <f aca="false">site_crwv_2029</f>
        <v>1.5375</v>
      </c>
    </row>
    <row r="580" customFormat="false" ht="17.15" hidden="false" customHeight="false" outlineLevel="0" collapsed="false">
      <c r="A580" s="0" t="s">
        <v>1956</v>
      </c>
      <c r="B580" s="0" t="s">
        <v>1418</v>
      </c>
      <c r="D580" s="8" t="n">
        <f aca="false">main_crwv_2024</f>
        <v>0.29</v>
      </c>
      <c r="E580" s="8" t="n">
        <f aca="false">main_crwv_2025</f>
        <v>0.49</v>
      </c>
      <c r="F580" s="8" t="n">
        <f aca="false">main_crwv_2026</f>
        <v>1</v>
      </c>
      <c r="G580" s="8" t="n">
        <f aca="false">main_crwv_2027</f>
        <v>1.5375</v>
      </c>
      <c r="H580" s="8" t="n">
        <f aca="false">main_crwv_2028</f>
        <v>0.758042293208187</v>
      </c>
      <c r="I580" s="8" t="n">
        <f aca="false">main_crwv_2029</f>
        <v>0.842675104355277</v>
      </c>
    </row>
    <row r="581" customFormat="false" ht="17.15" hidden="false" customHeight="false" outlineLevel="0" collapsed="false">
      <c r="A581" s="0" t="s">
        <v>1957</v>
      </c>
      <c r="B581" s="0" t="s">
        <v>1420</v>
      </c>
      <c r="D581" s="8" t="str">
        <f aca="false">IF(ISNUMBER(ai2_nbis_2024),ai2_nbis_2024,"")</f>
        <v/>
      </c>
      <c r="E581" s="8" t="n">
        <f aca="false">IF(ISNUMBER(ai2_nbis_2025),ai2_nbis_2025,"")</f>
        <v>3.4561</v>
      </c>
      <c r="F581" s="8" t="n">
        <f aca="false">IF(ISNUMBER(ai2_nbis_2026),ai2_nbis_2026,"")</f>
        <v>19.125</v>
      </c>
      <c r="G581" s="8" t="n">
        <f aca="false">IF(ISNUMBER(ai2_nbis_2027),ai2_nbis_2027,"")</f>
        <v>23.15655</v>
      </c>
      <c r="H581" s="8" t="n">
        <f aca="false">IF(ISNUMBER(ai2_nbis_2028),ai2_nbis_2028,"")</f>
        <v>32.6315</v>
      </c>
      <c r="I581" s="8" t="n">
        <f aca="false">IF(ISNUMBER(ai2_nbis_2029),ai2_nbis_2029,"")</f>
        <v>35.89465</v>
      </c>
    </row>
    <row r="582" customFormat="false" ht="17.15" hidden="false" customHeight="false" outlineLevel="0" collapsed="false">
      <c r="A582" s="0" t="s">
        <v>1958</v>
      </c>
      <c r="B582" s="0" t="s">
        <v>1422</v>
      </c>
      <c r="D582" s="8" t="n">
        <f aca="false">IF(ISNUMBER(D581),(pit_nbis_2024/(pit_nbis_2024+pfac_nbis_2024)*D581+pfac_nbis_2024/(pit_nbis_2024+pfac_nbis_2024)*IF(AND(ISNUMBER(""),ISNUMBER("")),wb1*""+wb2*"",IF(ISNUMBER(""),"",D581)))/(pit_nbis_2024+pfac_nbis_2024),site_nbis_2024)</f>
        <v>0</v>
      </c>
      <c r="E582" s="8" t="n">
        <f aca="false">IF(ISNUMBER(E581),(pit_nbis_2025/(pit_nbis_2025+pfac_nbis_2025)*E581+pfac_nbis_2025/(pit_nbis_2025+pfac_nbis_2025)*IF(AND(ISNUMBER(D581),ISNUMBER("")),wb1*D581+wb2*"",IF(ISNUMBER(D581),D581,E581)))/(pit_nbis_2025+pfac_nbis_2025),site_nbis_2025)</f>
        <v>0.0893531926088847</v>
      </c>
      <c r="F582" s="8" t="n">
        <f aca="false">IF(ISNUMBER(F581),(pit_nbis_2026/(pit_nbis_2026+pfac_nbis_2026)*F581+pfac_nbis_2026/(pit_nbis_2026+pfac_nbis_2026)*IF(AND(ISNUMBER(E581),ISNUMBER(D581)),wb1*E581+wb2*D581,IF(ISNUMBER(E581),E581,F581)))/(pit_nbis_2026+pfac_nbis_2026),site_nbis_2026)</f>
        <v>0.321523721659491</v>
      </c>
      <c r="G582" s="8" t="n">
        <f aca="false">IF(ISNUMBER(G581),(pit_nbis_2027/(pit_nbis_2027+pfac_nbis_2027)*G581+pfac_nbis_2027/(pit_nbis_2027+pfac_nbis_2027)*IF(AND(ISNUMBER(F581),ISNUMBER(E581)),wb1*F581+wb2*E581,IF(ISNUMBER(F581),F581,G581)))/(pit_nbis_2027+pfac_nbis_2027),site_nbis_2027)</f>
        <v>0.396179366526544</v>
      </c>
      <c r="H582" s="8" t="n">
        <f aca="false">IF(ISNUMBER(H581),(pit_nbis_2028/(pit_nbis_2028+pfac_nbis_2028)*H581+pfac_nbis_2028/(pit_nbis_2028+pfac_nbis_2028)*IF(AND(ISNUMBER(G581),ISNUMBER(F581)),wb1*G581+wb2*F581,IF(ISNUMBER(G581),G581,H581)))/(pit_nbis_2028+pfac_nbis_2028),site_nbis_2028)</f>
        <v>0.554335434150153</v>
      </c>
      <c r="I582" s="8" t="n">
        <f aca="false">IF(ISNUMBER(I581),(pit_nbis_2029/(pit_nbis_2029+pfac_nbis_2029)*I581+pfac_nbis_2029/(pit_nbis_2029+pfac_nbis_2029)*IF(AND(ISNUMBER(H581),ISNUMBER(G581)),wb1*H581+wb2*G581,IF(ISNUMBER(H581),H581,I581)))/(pit_nbis_2029+pfac_nbis_2029),site_nbis_2029)</f>
        <v>0.629924193744744</v>
      </c>
    </row>
    <row r="583" customFormat="false" ht="17.15" hidden="false" customHeight="false" outlineLevel="0" collapsed="false">
      <c r="A583" s="0" t="s">
        <v>1959</v>
      </c>
      <c r="B583" s="0" t="s">
        <v>1424</v>
      </c>
      <c r="E583" s="8" t="n">
        <f aca="false">(1-lag_hi)*E582+lag_hi*D582-inv_k*(E582-D582)</f>
        <v>0.0357412770435539</v>
      </c>
      <c r="F583" s="8" t="n">
        <f aca="false">(1-lag_hi)*F582+lag_hi*E582-inv_k*(F582-E582)</f>
        <v>0.182221404229127</v>
      </c>
      <c r="G583" s="8" t="n">
        <f aca="false">(1-lag_hi)*G582+lag_hi*F582-inv_k*(G582-F582)</f>
        <v>0.351385979606312</v>
      </c>
      <c r="H583" s="8" t="n">
        <f aca="false">(1-lag_hi)*H582+lag_hi*G582-inv_k*(H582-G582)</f>
        <v>0.459441793575988</v>
      </c>
      <c r="I583" s="8" t="n">
        <f aca="false">(1-lag_hi)*I582+lag_hi*H582-inv_k*(I582-H582)</f>
        <v>0.584570937987989</v>
      </c>
    </row>
    <row r="584" customFormat="false" ht="17.15" hidden="false" customHeight="false" outlineLevel="0" collapsed="false">
      <c r="A584" s="0" t="s">
        <v>1960</v>
      </c>
      <c r="B584" s="0" t="s">
        <v>1426</v>
      </c>
      <c r="D584" s="8" t="str">
        <f aca="false">""</f>
        <v/>
      </c>
      <c r="E584" s="8" t="n">
        <f aca="false">cap2_nbis_2025*ai_sh</f>
        <v>3.4561</v>
      </c>
      <c r="F584" s="8" t="n">
        <f aca="false">gcap_nbis_2026*ai_sh</f>
        <v>22.1392615</v>
      </c>
      <c r="G584" s="8" t="n">
        <f aca="false">gcap_nbis_2027*ai_sh</f>
        <v>23.45782145</v>
      </c>
      <c r="H584" s="8" t="n">
        <f aca="false">gcap_nbis_2028*ai_sh</f>
        <v>24.7763814</v>
      </c>
      <c r="I584" s="8" t="n">
        <f aca="false">gcap_nbis_2029*ai_sh</f>
        <v>24.7763814</v>
      </c>
    </row>
    <row r="585" customFormat="false" ht="17.15" hidden="false" customHeight="false" outlineLevel="0" collapsed="false">
      <c r="A585" s="0" t="s">
        <v>1961</v>
      </c>
      <c r="B585" s="0" t="s">
        <v>1422</v>
      </c>
      <c r="D585" s="8" t="n">
        <f aca="false">IF(ISNUMBER(D584),(pit_nbis_2024/(pit_nbis_2024+pfac_nbis_2024)*D584+pfac_nbis_2024/(pit_nbis_2024+pfac_nbis_2024)*IF(AND(ISNUMBER(""),ISNUMBER("")),wb1*""+wb2*"",IF(ISNUMBER(""),"",D584)))/(pit_nbis_2024+pfac_nbis_2024),site_nbis_2024)</f>
        <v>0</v>
      </c>
      <c r="E585" s="8" t="n">
        <f aca="false">IF(ISNUMBER(E584),(pit_nbis_2025/(pit_nbis_2025+pfac_nbis_2025)*E584+pfac_nbis_2025/(pit_nbis_2025+pfac_nbis_2025)*IF(AND(ISNUMBER(D584),ISNUMBER("")),wb1*D584+wb2*"",IF(ISNUMBER(D584),D584,E584)))/(pit_nbis_2025+pfac_nbis_2025),site_nbis_2025)</f>
        <v>0.0893531926088847</v>
      </c>
      <c r="F585" s="8" t="n">
        <f aca="false">IF(ISNUMBER(F584),(pit_nbis_2026/(pit_nbis_2026+pfac_nbis_2026)*F584+pfac_nbis_2026/(pit_nbis_2026+pfac_nbis_2026)*IF(AND(ISNUMBER(E584),ISNUMBER(D584)),wb1*E584+wb2*D584,IF(ISNUMBER(E584),E584,F584)))/(pit_nbis_2026+pfac_nbis_2026),site_nbis_2026)</f>
        <v>0.368948888862446</v>
      </c>
      <c r="G585" s="8" t="n">
        <f aca="false">IF(ISNUMBER(G584),(pit_nbis_2027/(pit_nbis_2027+pfac_nbis_2027)*G584+pfac_nbis_2027/(pit_nbis_2027+pfac_nbis_2027)*IF(AND(ISNUMBER(F584),ISNUMBER(E584)),wb1*F584+wb2*E584,IF(ISNUMBER(F584),F584,G584)))/(pit_nbis_2027+pfac_nbis_2027),site_nbis_2027)</f>
        <v>0.407957040143515</v>
      </c>
      <c r="H585" s="8" t="n">
        <f aca="false">IF(ISNUMBER(H584),(pit_nbis_2028/(pit_nbis_2028+pfac_nbis_2028)*H584+pfac_nbis_2028/(pit_nbis_2028+pfac_nbis_2028)*IF(AND(ISNUMBER(G584),ISNUMBER(F584)),wb1*G584+wb2*F584,IF(ISNUMBER(G584),G584,H584)))/(pit_nbis_2028+pfac_nbis_2028),site_nbis_2028)</f>
        <v>0.450206743161261</v>
      </c>
      <c r="I585" s="8" t="n">
        <f aca="false">IF(ISNUMBER(I584),(pit_nbis_2029/(pit_nbis_2029+pfac_nbis_2029)*I584+pfac_nbis_2029/(pit_nbis_2029+pfac_nbis_2029)*IF(AND(ISNUMBER(H584),ISNUMBER(G584)),wb1*H584+wb2*G584,IF(ISNUMBER(H584),H584,I584)))/(pit_nbis_2029+pfac_nbis_2029),site_nbis_2029)</f>
        <v>0.45593532101388</v>
      </c>
    </row>
    <row r="586" customFormat="false" ht="17.15" hidden="false" customHeight="false" outlineLevel="0" collapsed="false">
      <c r="A586" s="0" t="s">
        <v>1962</v>
      </c>
      <c r="B586" s="0" t="s">
        <v>1424</v>
      </c>
      <c r="E586" s="8" t="n">
        <f aca="false">(1-lag_hi)*E585+lag_hi*D585-inv_k*(E585-D585)</f>
        <v>0.0357412770435539</v>
      </c>
      <c r="F586" s="8" t="n">
        <f aca="false">(1-lag_hi)*F585+lag_hi*E585-inv_k*(F585-E585)</f>
        <v>0.201191471110309</v>
      </c>
      <c r="G586" s="8" t="n">
        <f aca="false">(1-lag_hi)*G585+lag_hi*F585-inv_k*(G585-F585)</f>
        <v>0.384552149374874</v>
      </c>
      <c r="H586" s="8" t="n">
        <f aca="false">(1-lag_hi)*H585+lag_hi*G585-inv_k*(H585-G585)</f>
        <v>0.424856921350613</v>
      </c>
      <c r="I586" s="8" t="n">
        <f aca="false">(1-lag_hi)*I585+lag_hi*H585-inv_k*(I585-H585)</f>
        <v>0.452498174302308</v>
      </c>
    </row>
    <row r="587" customFormat="false" ht="17.15" hidden="false" customHeight="false" outlineLevel="0" collapsed="false">
      <c r="A587" s="0" t="s">
        <v>1963</v>
      </c>
      <c r="B587" s="0" t="s">
        <v>1430</v>
      </c>
      <c r="E587" s="8" t="n">
        <f aca="false">E586*(1-nnv_nbis_2025)</f>
        <v>0.0357412770435539</v>
      </c>
      <c r="F587" s="8" t="n">
        <f aca="false">F586*(1-nnv_nbis_2026)</f>
        <v>0.201191471110309</v>
      </c>
      <c r="G587" s="8" t="n">
        <f aca="false">G586*(1-nnv_nbis_2027)</f>
        <v>0.384552149374874</v>
      </c>
      <c r="H587" s="8" t="n">
        <f aca="false">H586*(1-nnv_nbis_2028)</f>
        <v>0.424856921350613</v>
      </c>
      <c r="I587" s="8" t="n">
        <f aca="false">I586*(1-nnv_nbis_2029)</f>
        <v>0.452498174302308</v>
      </c>
    </row>
    <row r="588" customFormat="false" ht="17.15" hidden="false" customHeight="false" outlineLevel="0" collapsed="false">
      <c r="A588" s="0" t="s">
        <v>1964</v>
      </c>
      <c r="B588" s="0" t="s">
        <v>1432</v>
      </c>
      <c r="D588" s="8" t="n">
        <f aca="false">site_nbis_2024</f>
        <v>0</v>
      </c>
      <c r="E588" s="8" t="n">
        <f aca="false">site_nbis_2025</f>
        <v>0</v>
      </c>
      <c r="F588" s="8" t="n">
        <f aca="false">site_nbis_2026</f>
        <v>0.73</v>
      </c>
      <c r="G588" s="8" t="n">
        <f aca="false">site_nbis_2027</f>
        <v>0.403</v>
      </c>
      <c r="H588" s="8" t="n">
        <f aca="false">site_nbis_2028</f>
        <v>0</v>
      </c>
      <c r="I588" s="8" t="n">
        <f aca="false">site_nbis_2029</f>
        <v>0</v>
      </c>
    </row>
    <row r="589" customFormat="false" ht="17.15" hidden="false" customHeight="false" outlineLevel="0" collapsed="false">
      <c r="A589" s="0" t="s">
        <v>1965</v>
      </c>
      <c r="B589" s="0" t="s">
        <v>1434</v>
      </c>
      <c r="D589" s="8" t="n">
        <f aca="false">main_nbis_2024</f>
        <v>0</v>
      </c>
      <c r="E589" s="8" t="n">
        <f aca="false">main_nbis_2025</f>
        <v>0</v>
      </c>
      <c r="F589" s="8" t="n">
        <f aca="false">main_nbis_2026</f>
        <v>0.73</v>
      </c>
      <c r="G589" s="8" t="n">
        <f aca="false">main_nbis_2027</f>
        <v>0.396179366526544</v>
      </c>
      <c r="H589" s="8" t="n">
        <f aca="false">main_nbis_2028</f>
        <v>0.554335434150153</v>
      </c>
      <c r="I589" s="8" t="n">
        <f aca="false">main_nbis_2029</f>
        <v>0.629924193744744</v>
      </c>
    </row>
    <row r="590" customFormat="false" ht="17.15" hidden="false" customHeight="false" outlineLevel="0" collapsed="false">
      <c r="A590" s="0" t="s">
        <v>1966</v>
      </c>
      <c r="B590" s="0" t="s">
        <v>1436</v>
      </c>
      <c r="D590" s="8" t="str">
        <f aca="false">IF(ISNUMBER(gai_xai_2024),gai_xai_2024,"")</f>
        <v/>
      </c>
      <c r="E590" s="8" t="str">
        <f aca="false">IF(ISNUMBER(gai_xai_2025),gai_xai_2025,"")</f>
        <v/>
      </c>
      <c r="F590" s="8" t="n">
        <f aca="false">IF(ISNUMBER(gai_xai_2026),gai_xai_2026,"")</f>
        <v>74.058119</v>
      </c>
      <c r="G590" s="8" t="n">
        <f aca="false">IF(ISNUMBER(gai_xai_2027),gai_xai_2027,"")</f>
        <v>136.252477</v>
      </c>
      <c r="H590" s="8" t="n">
        <f aca="false">IF(ISNUMBER(gai_xai_2028),gai_xai_2028,"")</f>
        <v>144.12072</v>
      </c>
      <c r="I590" s="8" t="n">
        <f aca="false">IF(ISNUMBER(gai_xai_2029),gai_xai_2029,"")</f>
        <v>111.172527</v>
      </c>
    </row>
    <row r="591" customFormat="false" ht="17.15" hidden="false" customHeight="false" outlineLevel="0" collapsed="false">
      <c r="A591" s="0" t="s">
        <v>1967</v>
      </c>
      <c r="B591" s="0" t="s">
        <v>1438</v>
      </c>
      <c r="D591" s="8" t="n">
        <f aca="false">IF(ISNUMBER(D590),(pitN_2024/(pitN_2024+pfacN_2024)*D590+pfacN_2024/(pitN_2024+pfacN_2024)*IF(AND(ISNUMBER(""),ISNUMBER("")),wb1*""+wb2*"",IF(ISNUMBER(""),"",D590)))/(pitN_2024+pfacN_2024),site_xai_2024)</f>
        <v>0</v>
      </c>
      <c r="E591" s="8" t="n">
        <f aca="false">IF(ISNUMBER(E590),(pitN_2025/(pitN_2025+pfacN_2025)*E590+pfacN_2025/(pitN_2025+pfacN_2025)*IF(AND(ISNUMBER(D590),ISNUMBER("")),wb1*D590+wb2*"",IF(ISNUMBER(D590),D590,E590)))/(pitN_2025+pfacN_2025),site_xai_2025)</f>
        <v>0</v>
      </c>
      <c r="F591" s="8" t="n">
        <f aca="false">IF(ISNUMBER(F590),(pitN_2026/(pitN_2026+pfacN_2026)*F590+pfacN_2026/(pitN_2026+pfacN_2026)*IF(AND(ISNUMBER(E590),ISNUMBER(D590)),wb1*E590+wb2*D590,IF(ISNUMBER(E590),E590,F590)))/(pitN_2026+pfacN_2026),site_xai_2026)</f>
        <v>1.60702342066936</v>
      </c>
      <c r="G591" s="8" t="n">
        <f aca="false">IF(ISNUMBER(G590),(pitN_2027/(pitN_2027+pfacN_2027)*G590+pfacN_2027/(pitN_2027+pfacN_2027)*IF(AND(ISNUMBER(F590),ISNUMBER(E590)),wb1*F590+wb2*E590,IF(ISNUMBER(F590),F590,G590)))/(pitN_2027+pfacN_2027),site_xai_2027)</f>
        <v>2.36823509451502</v>
      </c>
      <c r="H591" s="8" t="n">
        <f aca="false">IF(ISNUMBER(H590),(pitN_2028/(pitN_2028+pfacN_2028)*H590+pfacN_2028/(pitN_2028+pfacN_2028)*IF(AND(ISNUMBER(G590),ISNUMBER(F590)),wb1*G590+wb2*F590,IF(ISNUMBER(G590),G590,H590)))/(pitN_2028+pfacN_2028),site_xai_2028)</f>
        <v>2.49948463520021</v>
      </c>
      <c r="I591" s="8" t="n">
        <f aca="false">IF(ISNUMBER(I590),(pitN_2029/(pitN_2029+pfacN_2029)*I590+pfacN_2029/(pitN_2029+pfacN_2029)*IF(AND(ISNUMBER(H590),ISNUMBER(G590)),wb1*H590+wb2*G590,IF(ISNUMBER(H590),H590,I590)))/(pitN_2029+pfacN_2029),site_xai_2029)</f>
        <v>2.18470428873966</v>
      </c>
    </row>
    <row r="592" customFormat="false" ht="17.15" hidden="false" customHeight="false" outlineLevel="0" collapsed="false">
      <c r="A592" s="0" t="s">
        <v>1968</v>
      </c>
      <c r="B592" s="0" t="s">
        <v>1440</v>
      </c>
      <c r="E592" s="8" t="n">
        <f aca="false">IF(ISNUMBER(gai_xai_2024),(1-lag_hi)*E591+lag_hi*D591-inv_k*(E591-D591),E591)</f>
        <v>0</v>
      </c>
      <c r="F592" s="8" t="n">
        <f aca="false">IF(ISNUMBER(gai_xai_2025),(1-lag_hi)*F591+lag_hi*E591-inv_k*(F591-E591),F591)</f>
        <v>1.60702342066936</v>
      </c>
      <c r="G592" s="8" t="n">
        <f aca="false">IF(ISNUMBER(gai_xai_2026),(1-lag_hi)*G591+lag_hi*F591-inv_k*(G591-F591),G591)</f>
        <v>1.91150809020762</v>
      </c>
      <c r="H592" s="8" t="n">
        <f aca="false">IF(ISNUMBER(gai_xai_2027),(1-lag_hi)*H591+lag_hi*G591-inv_k*(H591-G591),H591)</f>
        <v>2.42073491078909</v>
      </c>
      <c r="I592" s="8" t="n">
        <f aca="false">IF(ISNUMBER(gai_xai_2028),(1-lag_hi)*I591+lag_hi*H591-inv_k*(I591-H591),I591)</f>
        <v>2.37357249661599</v>
      </c>
    </row>
    <row r="593" customFormat="false" ht="17.15" hidden="false" customHeight="false" outlineLevel="0" collapsed="false">
      <c r="A593" s="0" t="s">
        <v>1969</v>
      </c>
      <c r="B593" s="0" t="s">
        <v>1442</v>
      </c>
      <c r="E593" s="8" t="n">
        <f aca="false">E592*(1-nnv_xai_2025)</f>
        <v>0</v>
      </c>
      <c r="F593" s="8" t="n">
        <f aca="false">F592*(1-nnv_xai_2026)</f>
        <v>1.60702342066936</v>
      </c>
      <c r="G593" s="8" t="n">
        <f aca="false">G592*(1-nnv_xai_2027)</f>
        <v>1.91150809020762</v>
      </c>
      <c r="H593" s="8" t="n">
        <f aca="false">H592*(1-nnv_xai_2028)</f>
        <v>2.42073491078909</v>
      </c>
      <c r="I593" s="8" t="n">
        <f aca="false">I592*(1-nnv_xai_2029)</f>
        <v>2.37357249661599</v>
      </c>
    </row>
    <row r="594" customFormat="false" ht="17.15" hidden="false" customHeight="false" outlineLevel="0" collapsed="false">
      <c r="A594" s="0" t="s">
        <v>1970</v>
      </c>
      <c r="B594" s="0" t="s">
        <v>1444</v>
      </c>
      <c r="D594" s="8" t="n">
        <f aca="false">site_xai_2024</f>
        <v>0</v>
      </c>
      <c r="E594" s="8" t="n">
        <f aca="false">site_xai_2025</f>
        <v>0</v>
      </c>
      <c r="F594" s="8" t="n">
        <f aca="false">site_xai_2026</f>
        <v>1.4302</v>
      </c>
      <c r="G594" s="8" t="n">
        <f aca="false">site_xai_2027</f>
        <v>0.585</v>
      </c>
      <c r="H594" s="8" t="n">
        <f aca="false">site_xai_2028</f>
        <v>0</v>
      </c>
      <c r="I594" s="8" t="n">
        <f aca="false">site_xai_2029</f>
        <v>0</v>
      </c>
    </row>
    <row r="595" customFormat="false" ht="17.15" hidden="false" customHeight="false" outlineLevel="0" collapsed="false">
      <c r="A595" s="0" t="s">
        <v>1971</v>
      </c>
      <c r="B595" s="0" t="s">
        <v>1446</v>
      </c>
      <c r="D595" s="8" t="str">
        <f aca="false">IF(ISNUMBER(gai_ant_2024),gai_ant_2024,"")</f>
        <v/>
      </c>
      <c r="E595" s="8" t="str">
        <f aca="false">IF(ISNUMBER(gai_ant_2025),gai_ant_2025,"")</f>
        <v/>
      </c>
      <c r="F595" s="8" t="n">
        <f aca="false">IF(ISNUMBER(gai_ant_2026),gai_ant_2026,"")</f>
        <v>16.666667</v>
      </c>
      <c r="G595" s="8" t="n">
        <f aca="false">IF(ISNUMBER(gai_ant_2027),gai_ant_2027,"")</f>
        <v>16.666667</v>
      </c>
      <c r="H595" s="8" t="n">
        <f aca="false">IF(ISNUMBER(gai_ant_2028),gai_ant_2028,"")</f>
        <v>16.666667</v>
      </c>
      <c r="I595" s="8" t="n">
        <f aca="false">IF(ISNUMBER(gai_ant_2029),gai_ant_2029,"")</f>
        <v>0</v>
      </c>
    </row>
    <row r="596" customFormat="false" ht="17.15" hidden="false" customHeight="false" outlineLevel="0" collapsed="false">
      <c r="A596" s="0" t="s">
        <v>1972</v>
      </c>
      <c r="B596" s="0" t="s">
        <v>1448</v>
      </c>
      <c r="D596" s="8" t="n">
        <f aca="false">IF(ISNUMBER(D595),(pitN_2024/(pitN_2024+pfacN_2024)*D595+pfacN_2024/(pitN_2024+pfacN_2024)*IF(AND(ISNUMBER(""),ISNUMBER("")),wb1*""+wb2*"",IF(ISNUMBER(""),"",D595)))/(pitN_2024+pfacN_2024),site_ant_2024)</f>
        <v>0</v>
      </c>
      <c r="E596" s="8" t="n">
        <f aca="false">IF(ISNUMBER(E595),(pitN_2025/(pitN_2025+pfacN_2025)*E595+pfacN_2025/(pitN_2025+pfacN_2025)*IF(AND(ISNUMBER(D595),ISNUMBER("")),wb1*D595+wb2*"",IF(ISNUMBER(D595),D595,E595)))/(pitN_2025+pfacN_2025),site_ant_2025)</f>
        <v>0</v>
      </c>
      <c r="F596" s="8" t="n">
        <f aca="false">IF(ISNUMBER(F595),(pitN_2026/(pitN_2026+pfacN_2026)*F595+pfacN_2026/(pitN_2026+pfacN_2026)*IF(AND(ISNUMBER(E595),ISNUMBER(D595)),wb1*E595+wb2*D595,IF(ISNUMBER(E595),E595,F595)))/(pitN_2026+pfacN_2026),site_ant_2026)</f>
        <v>0.36165817570248</v>
      </c>
      <c r="G596" s="8" t="n">
        <f aca="false">IF(ISNUMBER(G595),(pitN_2027/(pitN_2027+pfacN_2027)*G595+pfacN_2027/(pitN_2027+pfacN_2027)*IF(AND(ISNUMBER(F595),ISNUMBER(E595)),wb1*F595+wb2*E595,IF(ISNUMBER(F595),F595,G595)))/(pitN_2027+pfacN_2027),site_ant_2027)</f>
        <v>0.326730833032632</v>
      </c>
      <c r="H596" s="8" t="n">
        <f aca="false">IF(ISNUMBER(H595),(pitN_2028/(pitN_2028+pfacN_2028)*H595+pfacN_2028/(pitN_2028+pfacN_2028)*IF(AND(ISNUMBER(G595),ISNUMBER(F595)),wb1*G595+wb2*F595,IF(ISNUMBER(G595),G595,H595)))/(pitN_2028+pfacN_2028),site_ant_2028)</f>
        <v>0.308627002270922</v>
      </c>
      <c r="I596" s="8" t="n">
        <f aca="false">IF(ISNUMBER(I595),(pitN_2029/(pitN_2029+pfacN_2029)*I595+pfacN_2029/(pitN_2029+pfacN_2029)*IF(AND(ISNUMBER(H595),ISNUMBER(G595)),wb1*H595+wb2*G595,IF(ISNUMBER(H595),H595,I595)))/(pitN_2029+pfacN_2029),site_ant_2029)</f>
        <v>0.0724095248404747</v>
      </c>
    </row>
    <row r="597" customFormat="false" ht="17.15" hidden="false" customHeight="false" outlineLevel="0" collapsed="false">
      <c r="A597" s="0" t="s">
        <v>1973</v>
      </c>
      <c r="B597" s="0" t="s">
        <v>1450</v>
      </c>
      <c r="E597" s="8" t="n">
        <f aca="false">IF(ISNUMBER(gai_ant_2024),(1-lag_hi)*E596+lag_hi*D596-inv_k*(E596-D596),E596)</f>
        <v>0</v>
      </c>
      <c r="F597" s="8" t="n">
        <f aca="false">IF(ISNUMBER(gai_ant_2025),(1-lag_hi)*F596+lag_hi*E596-inv_k*(F596-E596),F596)</f>
        <v>0.36165817570248</v>
      </c>
      <c r="G597" s="8" t="n">
        <f aca="false">IF(ISNUMBER(gai_ant_2026),(1-lag_hi)*G596+lag_hi*F596-inv_k*(G596-F596),G596)</f>
        <v>0.347687238634541</v>
      </c>
      <c r="H597" s="8" t="n">
        <f aca="false">IF(ISNUMBER(gai_ant_2027),(1-lag_hi)*H596+lag_hi*G596-inv_k*(H596-G596),H596)</f>
        <v>0.319489300727948</v>
      </c>
      <c r="I597" s="8" t="n">
        <f aca="false">IF(ISNUMBER(gai_ant_2028),(1-lag_hi)*I596+lag_hi*H596-inv_k*(I596-H596),I596)</f>
        <v>0.214140011298743</v>
      </c>
    </row>
    <row r="598" customFormat="false" ht="17.15" hidden="false" customHeight="false" outlineLevel="0" collapsed="false">
      <c r="A598" s="0" t="s">
        <v>1974</v>
      </c>
      <c r="B598" s="0" t="s">
        <v>1452</v>
      </c>
      <c r="E598" s="8" t="n">
        <f aca="false">E597*(1-nnv_ant_2025)</f>
        <v>0</v>
      </c>
      <c r="F598" s="8" t="n">
        <f aca="false">F597*(1-nnv_ant_2026)</f>
        <v>0.275507557374688</v>
      </c>
      <c r="G598" s="8" t="n">
        <f aca="false">G597*(1-nnv_ant_2027)</f>
        <v>0.25273320629911</v>
      </c>
      <c r="H598" s="8" t="n">
        <f aca="false">H597*(1-nnv_ant_2028)</f>
        <v>0.233348149419104</v>
      </c>
      <c r="I598" s="8" t="n">
        <f aca="false">I597*(1-nnv_ant_2029)</f>
        <v>0.155853774958585</v>
      </c>
    </row>
    <row r="599" customFormat="false" ht="17.15" hidden="false" customHeight="false" outlineLevel="0" collapsed="false">
      <c r="A599" s="0" t="s">
        <v>1975</v>
      </c>
      <c r="B599" s="0" t="s">
        <v>1454</v>
      </c>
      <c r="D599" s="8" t="n">
        <f aca="false">site_ant_2024</f>
        <v>0</v>
      </c>
      <c r="E599" s="8" t="n">
        <f aca="false">site_ant_2025</f>
        <v>0</v>
      </c>
      <c r="F599" s="8" t="n">
        <f aca="false">site_ant_2026</f>
        <v>0</v>
      </c>
      <c r="G599" s="8" t="n">
        <f aca="false">site_ant_2027</f>
        <v>0</v>
      </c>
      <c r="H599" s="8" t="n">
        <f aca="false">site_ant_2028</f>
        <v>0</v>
      </c>
      <c r="I599" s="8" t="n">
        <f aca="false">site_ant_2029</f>
        <v>0</v>
      </c>
    </row>
    <row r="600" customFormat="false" ht="17.15" hidden="false" customHeight="false" outlineLevel="0" collapsed="false">
      <c r="A600" s="0" t="s">
        <v>1976</v>
      </c>
      <c r="B600" s="5" t="s">
        <v>1456</v>
      </c>
      <c r="D600" s="9" t="n">
        <f aca="false">D528+D537+D546+D555+D564+D573+D582</f>
        <v>2.88602836343531</v>
      </c>
      <c r="E600" s="9" t="n">
        <f aca="false">E528+E537+E546+E555+E564+E573+E582</f>
        <v>9.64396540227264</v>
      </c>
      <c r="F600" s="9" t="n">
        <f aca="false">F528+F537+F546+F555+F564+F573+F582</f>
        <v>15.2175288078156</v>
      </c>
      <c r="G600" s="9" t="n">
        <f aca="false">G528+G537+G546+G555+G564+G573+G582</f>
        <v>19.096009969242</v>
      </c>
      <c r="H600" s="9" t="n">
        <f aca="false">H528+H537+H546+H555+H564+H573+H582</f>
        <v>21.3980787384407</v>
      </c>
      <c r="I600" s="9" t="n">
        <f aca="false">I528+I537+I546+I555+I564+I573+I582</f>
        <v>23.901946773905</v>
      </c>
    </row>
    <row r="601" customFormat="false" ht="17.15" hidden="false" customHeight="false" outlineLevel="0" collapsed="false">
      <c r="A601" s="0" t="s">
        <v>1977</v>
      </c>
      <c r="B601" s="5" t="s">
        <v>1458</v>
      </c>
      <c r="D601" s="9" t="n">
        <f aca="false">D529+D538+D547+D556+D565+D574+D583</f>
        <v>0</v>
      </c>
      <c r="E601" s="9" t="n">
        <f aca="false">E529+E538+E547+E556+E565+E574+E583</f>
        <v>5.58920317897024</v>
      </c>
      <c r="F601" s="9" t="n">
        <f aca="false">F529+F538+F547+F556+F565+F574+F583</f>
        <v>11.8733907644898</v>
      </c>
      <c r="G601" s="9" t="n">
        <f aca="false">G529+G538+G547+G556+G565+G574+G583</f>
        <v>16.7689212723862</v>
      </c>
      <c r="H601" s="9" t="n">
        <f aca="false">H529+H538+H547+H556+H565+H574+H583</f>
        <v>20.0168374769215</v>
      </c>
      <c r="I601" s="9" t="n">
        <f aca="false">I529+I538+I547+I556+I565+I574+I583</f>
        <v>22.3996259526265</v>
      </c>
    </row>
    <row r="602" customFormat="false" ht="17.15" hidden="false" customHeight="false" outlineLevel="0" collapsed="false">
      <c r="A602" s="0" t="s">
        <v>1978</v>
      </c>
      <c r="B602" s="5" t="s">
        <v>1460</v>
      </c>
      <c r="D602" s="9" t="n">
        <f aca="false">D531+D540+D549+D558+D567+D576+D585</f>
        <v>3.89616485653111</v>
      </c>
      <c r="E602" s="9" t="n">
        <f aca="false">E531+E540+E549+E558+E567+E576+E585</f>
        <v>9.54752388940888</v>
      </c>
      <c r="F602" s="9" t="n">
        <f aca="false">F531+F540+F549+F558+F567+F576+F585</f>
        <v>15.0143331625148</v>
      </c>
      <c r="G602" s="9" t="n">
        <f aca="false">G531+G540+G549+G558+G567+G576+G585</f>
        <v>19.2346553461083</v>
      </c>
      <c r="H602" s="9" t="n">
        <f aca="false">H531+H540+H549+H558+H567+H576+H585</f>
        <v>20.7180010831606</v>
      </c>
      <c r="I602" s="9" t="n">
        <f aca="false">I531+I540+I549+I558+I567+I576+I585</f>
        <v>20.371284771225</v>
      </c>
    </row>
    <row r="603" customFormat="false" ht="17.15" hidden="false" customHeight="false" outlineLevel="0" collapsed="false">
      <c r="A603" s="0" t="s">
        <v>1979</v>
      </c>
      <c r="B603" s="5" t="s">
        <v>1462</v>
      </c>
      <c r="D603" s="9" t="n">
        <f aca="false">D532+D541+D550+D559+D568+D577+D586</f>
        <v>0</v>
      </c>
      <c r="E603" s="9" t="n">
        <f aca="false">E532+E541+E550+E559+E568+E577+E586</f>
        <v>6.15670846968222</v>
      </c>
      <c r="F603" s="9" t="n">
        <f aca="false">F532+F541+F550+F559+F568+F577+F586</f>
        <v>11.7342475986512</v>
      </c>
      <c r="G603" s="9" t="n">
        <f aca="false">G532+G541+G550+G559+G568+G577+G586</f>
        <v>16.7024620359522</v>
      </c>
      <c r="H603" s="9" t="n">
        <f aca="false">H532+H541+H550+H559+H568+H577+H586</f>
        <v>19.8279936409293</v>
      </c>
      <c r="I603" s="9" t="n">
        <f aca="false">I532+I541+I550+I559+I568+I577+I586</f>
        <v>20.5793145583864</v>
      </c>
    </row>
    <row r="604" customFormat="false" ht="15" hidden="false" customHeight="false" outlineLevel="0" collapsed="false">
      <c r="A604" s="0" t="s">
        <v>1980</v>
      </c>
      <c r="B604" s="5" t="s">
        <v>1464</v>
      </c>
      <c r="D604" s="9" t="n">
        <f aca="false">D534+D543+D552+D561+D570+D579+D588</f>
        <v>1.61980834349181</v>
      </c>
      <c r="E604" s="9" t="n">
        <f aca="false">E534+E543+E552+E561+E570+E579+E588</f>
        <v>8.74912429484715</v>
      </c>
      <c r="F604" s="9" t="n">
        <f aca="false">F534+F543+F552+F561+F570+F579+F588</f>
        <v>6.54276412772586</v>
      </c>
      <c r="G604" s="9" t="n">
        <f aca="false">G534+G543+G552+G561+G570+G579+G588</f>
        <v>6.52966666666667</v>
      </c>
      <c r="H604" s="9" t="n">
        <f aca="false">H534+H543+H552+H561+H570+H579+H588</f>
        <v>13.6908333333333</v>
      </c>
      <c r="I604" s="9" t="n">
        <f aca="false">I534+I543+I552+I561+I570+I579+I588</f>
        <v>2.7115</v>
      </c>
    </row>
    <row r="605" customFormat="false" ht="17.15" hidden="false" customHeight="false" outlineLevel="0" collapsed="false">
      <c r="A605" s="0" t="s">
        <v>1981</v>
      </c>
      <c r="B605" s="5" t="s">
        <v>1466</v>
      </c>
      <c r="D605" s="9" t="n">
        <f aca="false">D535+D544+D553+D562+D571+D580+D589</f>
        <v>1.61980834349181</v>
      </c>
      <c r="E605" s="9" t="n">
        <f aca="false">E535+E544+E553+E562+E571+E580+E589</f>
        <v>8.74912429484715</v>
      </c>
      <c r="F605" s="9" t="n">
        <f aca="false">F535+F544+F553+F562+F571+F580+F589</f>
        <v>6.54276412772586</v>
      </c>
      <c r="G605" s="9" t="n">
        <f aca="false">G535+G544+G553+G562+G571+G580+G589</f>
        <v>17.8887754681966</v>
      </c>
      <c r="H605" s="9" t="n">
        <f aca="false">H535+H544+H553+H562+H571+H580+H589</f>
        <v>21.3980787384407</v>
      </c>
      <c r="I605" s="9" t="n">
        <f aca="false">I535+I544+I553+I562+I571+I580+I589</f>
        <v>23.9019467739051</v>
      </c>
    </row>
    <row r="606" customFormat="false" ht="17.15" hidden="false" customHeight="false" outlineLevel="0" collapsed="false">
      <c r="A606" s="0" t="s">
        <v>1982</v>
      </c>
      <c r="B606" s="5" t="s">
        <v>1468</v>
      </c>
      <c r="D606" s="9" t="n">
        <f aca="false">D533+D542+D551+D560+D569+D578+D587</f>
        <v>0</v>
      </c>
      <c r="E606" s="9" t="n">
        <f aca="false">E533+E542+E551+E560+E569+E578+E587</f>
        <v>3.20826538407811</v>
      </c>
      <c r="F606" s="9" t="n">
        <f aca="false">F533+F542+F551+F560+F569+F578+F587</f>
        <v>6.52926266312161</v>
      </c>
      <c r="G606" s="9" t="n">
        <f aca="false">G533+G542+G551+G560+G569+G578+G587</f>
        <v>8.74389907029092</v>
      </c>
      <c r="H606" s="9" t="n">
        <f aca="false">H533+H542+H551+H560+H569+H578+H587</f>
        <v>10.1596697980854</v>
      </c>
      <c r="I606" s="9" t="n">
        <f aca="false">I533+I542+I551+I560+I569+I578+I587</f>
        <v>10.3164412076244</v>
      </c>
    </row>
    <row r="607" customFormat="false" ht="17.15" hidden="false" customHeight="false" outlineLevel="0" collapsed="false">
      <c r="A607" s="0" t="s">
        <v>1983</v>
      </c>
      <c r="B607" s="5" t="s">
        <v>1470</v>
      </c>
      <c r="D607" s="9" t="n">
        <f aca="false">D593+D598</f>
        <v>0</v>
      </c>
      <c r="E607" s="9" t="n">
        <f aca="false">E593+E598</f>
        <v>0</v>
      </c>
      <c r="F607" s="9" t="n">
        <f aca="false">F593+F598</f>
        <v>1.88253097804405</v>
      </c>
      <c r="G607" s="9" t="n">
        <f aca="false">G593+G598</f>
        <v>2.16424129650673</v>
      </c>
      <c r="H607" s="9" t="n">
        <f aca="false">H593+H598</f>
        <v>2.6540830602082</v>
      </c>
      <c r="I607" s="9" t="n">
        <f aca="false">I593+I598</f>
        <v>2.52942627157457</v>
      </c>
    </row>
    <row r="608" customFormat="false" ht="15" hidden="false" customHeight="false" outlineLevel="0" collapsed="false">
      <c r="A608" s="0" t="s">
        <v>1984</v>
      </c>
      <c r="B608" s="5" t="s">
        <v>1472</v>
      </c>
      <c r="D608" s="9" t="n">
        <f aca="false">D591+D596</f>
        <v>0</v>
      </c>
      <c r="E608" s="9" t="n">
        <f aca="false">E591+E596</f>
        <v>0</v>
      </c>
      <c r="F608" s="9" t="n">
        <f aca="false">F591+F596</f>
        <v>1.96868159637184</v>
      </c>
      <c r="G608" s="9" t="n">
        <f aca="false">G591+G596</f>
        <v>2.69496592754765</v>
      </c>
      <c r="H608" s="9" t="n">
        <f aca="false">H591+H596</f>
        <v>2.80811163747113</v>
      </c>
      <c r="I608" s="9" t="n">
        <f aca="false">I591+I596</f>
        <v>2.25711381358013</v>
      </c>
    </row>
    <row r="609" customFormat="false" ht="15" hidden="false" customHeight="false" outlineLevel="0" collapsed="false">
      <c r="A609" s="0" t="s">
        <v>1985</v>
      </c>
      <c r="B609" s="5" t="s">
        <v>1474</v>
      </c>
      <c r="D609" s="9" t="n">
        <f aca="false">D592+D597</f>
        <v>0</v>
      </c>
      <c r="E609" s="9" t="n">
        <f aca="false">E592+E597</f>
        <v>0</v>
      </c>
      <c r="F609" s="9" t="n">
        <f aca="false">F592+F597</f>
        <v>1.96868159637184</v>
      </c>
      <c r="G609" s="9" t="n">
        <f aca="false">G592+G597</f>
        <v>2.25919532884216</v>
      </c>
      <c r="H609" s="9" t="n">
        <f aca="false">H592+H597</f>
        <v>2.74022421151704</v>
      </c>
      <c r="I609" s="9" t="n">
        <f aca="false">I592+I597</f>
        <v>2.58771250791473</v>
      </c>
    </row>
    <row r="610" customFormat="false" ht="15" hidden="false" customHeight="false" outlineLevel="0" collapsed="false">
      <c r="A610" s="0" t="s">
        <v>1986</v>
      </c>
      <c r="B610" s="5" t="s">
        <v>1476</v>
      </c>
      <c r="D610" s="9" t="n">
        <f aca="false">D594+D599</f>
        <v>0</v>
      </c>
      <c r="E610" s="9" t="n">
        <f aca="false">E594+E599</f>
        <v>0</v>
      </c>
      <c r="F610" s="9" t="n">
        <f aca="false">F594+F599</f>
        <v>1.4302</v>
      </c>
      <c r="G610" s="9" t="n">
        <f aca="false">G594+G599</f>
        <v>0.585</v>
      </c>
      <c r="H610" s="9" t="n">
        <f aca="false">H594+H599</f>
        <v>0</v>
      </c>
      <c r="I610" s="9" t="n">
        <f aca="false">I594+I599</f>
        <v>0</v>
      </c>
    </row>
    <row r="612" customFormat="false" ht="15" hidden="false" customHeight="false" outlineLevel="0" collapsed="false">
      <c r="A612" s="6" t="s">
        <v>1987</v>
      </c>
    </row>
    <row r="613" customFormat="false" ht="15" hidden="false" customHeight="false" outlineLevel="0" collapsed="false">
      <c r="A613" s="2" t="s">
        <v>1</v>
      </c>
      <c r="B613" s="2" t="s">
        <v>2</v>
      </c>
      <c r="C613" s="7"/>
      <c r="D613" s="7" t="s">
        <v>1317</v>
      </c>
      <c r="E613" s="7" t="s">
        <v>1318</v>
      </c>
      <c r="F613" s="7" t="s">
        <v>1319</v>
      </c>
      <c r="G613" s="7" t="s">
        <v>1320</v>
      </c>
      <c r="H613" s="7" t="s">
        <v>1321</v>
      </c>
      <c r="I613" s="7" t="s">
        <v>1322</v>
      </c>
    </row>
    <row r="614" customFormat="false" ht="17.15" hidden="false" customHeight="false" outlineLevel="0" collapsed="false">
      <c r="A614" s="0" t="s">
        <v>1988</v>
      </c>
      <c r="B614" s="0" t="s">
        <v>1324</v>
      </c>
      <c r="D614" s="8" t="n">
        <f aca="false">IF(ISNUMBER(ai2_msft_2024),ai2_msft_2024,"")</f>
        <v>46.3369</v>
      </c>
      <c r="E614" s="8" t="n">
        <f aca="false">IF(ISNUMBER(ai2_msft_2025),ai2_msft_2025,"")</f>
        <v>76.712075</v>
      </c>
      <c r="F614" s="8" t="n">
        <f aca="false">IF(ISNUMBER(ai2_msft_2026),ai2_msft_2026,"")</f>
        <v>131.229375</v>
      </c>
      <c r="G614" s="8" t="n">
        <f aca="false">IF(ISNUMBER(ai2_msft_2027),ai2_msft_2027,"")</f>
        <v>174.08595</v>
      </c>
      <c r="H614" s="8" t="n">
        <f aca="false">IF(ISNUMBER(ai2_msft_2028),ai2_msft_2028,"")</f>
        <v>198.883</v>
      </c>
      <c r="I614" s="8" t="n">
        <f aca="false">IF(ISNUMBER(ai2_msft_2029),ai2_msft_2029,"")</f>
        <v>224.1719025</v>
      </c>
    </row>
    <row r="615" customFormat="false" ht="17.15" hidden="false" customHeight="false" outlineLevel="0" collapsed="false">
      <c r="A615" s="0" t="s">
        <v>1989</v>
      </c>
      <c r="B615" s="0" t="s">
        <v>1326</v>
      </c>
      <c r="D615" s="8" t="n">
        <f aca="false">IF(ISNUMBER(D614),(pit_msft_2024/(pit_msft_2024+pfac_msft_2024)*D614+pfac_msft_2024/(pit_msft_2024+pfac_msft_2024)*IF(AND(ISNUMBER(""),ISNUMBER("")),wb1*""+wb2*"",IF(ISNUMBER(""),"",D614)))/(pit_msft_2024+pfac_msft_2024),site_msft_2024)</f>
        <v>1.2662200199435</v>
      </c>
      <c r="E615" s="8" t="n">
        <f aca="false">IF(ISNUMBER(E614),(pit_msft_2025/(pit_msft_2025+pfac_msft_2025)*E614+pfac_msft_2025/(pit_msft_2025+pfac_msft_2025)*IF(AND(ISNUMBER(D614),ISNUMBER("")),wb1*D614+wb2*"",IF(ISNUMBER(D614),D614,E614)))/(pit_msft_2025+pfac_msft_2025),site_msft_2025)</f>
        <v>1.89413391980359</v>
      </c>
      <c r="F615" s="8" t="n">
        <f aca="false">IF(ISNUMBER(F614),(pit_msft_2026/(pit_msft_2026+pfac_msft_2026)*F614+pfac_msft_2026/(pit_msft_2026+pfac_msft_2026)*IF(AND(ISNUMBER(E614),ISNUMBER(D614)),wb1*E614+wb2*D614,IF(ISNUMBER(E614),E614,F614)))/(pit_msft_2026+pfac_msft_2026),site_msft_2026)</f>
        <v>2.73280981276305</v>
      </c>
      <c r="G615" s="8" t="n">
        <f aca="false">IF(ISNUMBER(G614),(pit_msft_2027/(pit_msft_2027+pfac_msft_2027)*G614+pfac_msft_2027/(pit_msft_2027+pfac_msft_2027)*IF(AND(ISNUMBER(F614),ISNUMBER(E614)),wb1*F614+wb2*E614,IF(ISNUMBER(F614),F614,G614)))/(pit_msft_2027+pfac_msft_2027),site_msft_2027)</f>
        <v>3.56447576934396</v>
      </c>
      <c r="H615" s="8" t="n">
        <f aca="false">IF(ISNUMBER(H614),(pit_msft_2028/(pit_msft_2028+pfac_msft_2028)*H614+pfac_msft_2028/(pit_msft_2028+pfac_msft_2028)*IF(AND(ISNUMBER(G614),ISNUMBER(F614)),wb1*G614+wb2*F614,IF(ISNUMBER(G614),G614,H614)))/(pit_msft_2028+pfac_msft_2028),site_msft_2028)</f>
        <v>4.06597876464757</v>
      </c>
      <c r="I615" s="8" t="n">
        <f aca="false">IF(ISNUMBER(I614),(pit_msft_2029/(pit_msft_2029+pfac_msft_2029)*I614+pfac_msft_2029/(pit_msft_2029+pfac_msft_2029)*IF(AND(ISNUMBER(H614),ISNUMBER(G614)),wb1*H614+wb2*G614,IF(ISNUMBER(H614),H614,I614)))/(pit_msft_2029+pfac_msft_2029),site_msft_2029)</f>
        <v>4.6644209987717</v>
      </c>
    </row>
    <row r="616" customFormat="false" ht="17.15" hidden="false" customHeight="false" outlineLevel="0" collapsed="false">
      <c r="A616" s="0" t="s">
        <v>1990</v>
      </c>
      <c r="B616" s="0" t="s">
        <v>1328</v>
      </c>
      <c r="E616" s="8" t="n">
        <f aca="false">(1-lag)*E615+lag*D615-inv_k_lo*(E615-D615)</f>
        <v>1.62727051236305</v>
      </c>
      <c r="F616" s="8" t="n">
        <f aca="false">(1-lag)*F615+lag*E615-inv_k_lo*(F615-E615)</f>
        <v>2.37637255825527</v>
      </c>
      <c r="G616" s="8" t="n">
        <f aca="false">(1-lag)*G615+lag*F615-inv_k_lo*(G615-F615)</f>
        <v>3.21101773779707</v>
      </c>
      <c r="H616" s="8" t="n">
        <f aca="false">(1-lag)*H615+lag*G615-inv_k_lo*(H615-G615)</f>
        <v>3.85283999164354</v>
      </c>
      <c r="I616" s="8" t="n">
        <f aca="false">(1-lag)*I615+lag*H615-inv_k_lo*(I615-H615)</f>
        <v>4.41008304926895</v>
      </c>
    </row>
    <row r="617" customFormat="false" ht="17.15" hidden="false" customHeight="false" outlineLevel="0" collapsed="false">
      <c r="A617" s="0" t="s">
        <v>1991</v>
      </c>
      <c r="B617" s="0" t="s">
        <v>1330</v>
      </c>
      <c r="D617" s="8" t="str">
        <f aca="false">""</f>
        <v/>
      </c>
      <c r="E617" s="8" t="n">
        <f aca="false">(6/12*cap2_msft_2025+6/12*gcap_msft_2026)*ai_sh</f>
        <v>89.186675</v>
      </c>
      <c r="F617" s="8" t="n">
        <f aca="false">(6/12*gcap_msft_2026+6/12*gcap_msft_2027)*ai_sh</f>
        <v>148.5375</v>
      </c>
      <c r="G617" s="8" t="n">
        <f aca="false">(6/12*gcap_msft_2027+6/12*gcap_msft_2028)*ai_sh</f>
        <v>185.939575275</v>
      </c>
      <c r="H617" s="8" t="n">
        <f aca="false">(6/12*gcap_msft_2028+6/12*gcap_msft_2029)*ai_sh</f>
        <v>202.7978586</v>
      </c>
      <c r="I617" s="8" t="n">
        <f aca="false">(6/12*gcap_msft_2029+6/12*gcap_msft_2030)*ai_sh</f>
        <v>197.6117298</v>
      </c>
    </row>
    <row r="618" customFormat="false" ht="17.15" hidden="false" customHeight="false" outlineLevel="0" collapsed="false">
      <c r="A618" s="0" t="s">
        <v>1992</v>
      </c>
      <c r="B618" s="0" t="s">
        <v>1326</v>
      </c>
      <c r="D618" s="8" t="n">
        <f aca="false">IF(ISNUMBER(D617),(pit_msft_2024/(pit_msft_2024+pfac_msft_2024)*D617+pfac_msft_2024/(pit_msft_2024+pfac_msft_2024)*IF(AND(ISNUMBER(""),ISNUMBER("")),wb1*""+wb2*"",IF(ISNUMBER(""),"",D617)))/(pit_msft_2024+pfac_msft_2024),site_msft_2024)</f>
        <v>0</v>
      </c>
      <c r="E618" s="8" t="n">
        <f aca="false">IF(ISNUMBER(E617),(pit_msft_2025/(pit_msft_2025+pfac_msft_2025)*E617+pfac_msft_2025/(pit_msft_2025+pfac_msft_2025)*IF(AND(ISNUMBER(D617),ISNUMBER("")),wb1*D617+wb2*"",IF(ISNUMBER(D617),D617,E617)))/(pit_msft_2025+pfac_msft_2025),site_msft_2025)</f>
        <v>2.51576435599185</v>
      </c>
      <c r="F618" s="8" t="n">
        <f aca="false">IF(ISNUMBER(F617),(pit_msft_2026/(pit_msft_2026+pfac_msft_2026)*F617+pfac_msft_2026/(pit_msft_2026+pfac_msft_2026)*IF(AND(ISNUMBER(E617),ISNUMBER(D617)),wb1*E617+wb2*D617,IF(ISNUMBER(E617),E617,F617)))/(pit_msft_2026+pfac_msft_2026),site_msft_2026)</f>
        <v>3.22245015720519</v>
      </c>
      <c r="G618" s="8" t="n">
        <f aca="false">IF(ISNUMBER(G617),(pit_msft_2027/(pit_msft_2027+pfac_msft_2027)*G617+pfac_msft_2027/(pit_msft_2027+pfac_msft_2027)*IF(AND(ISNUMBER(F617),ISNUMBER(E617)),wb1*F617+wb2*E617,IF(ISNUMBER(F617),F617,G617)))/(pit_msft_2027+pfac_msft_2027),site_msft_2027)</f>
        <v>3.85144347642322</v>
      </c>
      <c r="H618" s="8" t="n">
        <f aca="false">IF(ISNUMBER(H617),(pit_msft_2028/(pit_msft_2028+pfac_msft_2028)*H617+pfac_msft_2028/(pit_msft_2028+pfac_msft_2028)*IF(AND(ISNUMBER(G617),ISNUMBER(F617)),wb1*G617+wb2*F617,IF(ISNUMBER(G617),G617,H617)))/(pit_msft_2028+pfac_msft_2028),site_msft_2028)</f>
        <v>4.20542058770135</v>
      </c>
      <c r="I618" s="8" t="n">
        <f aca="false">IF(ISNUMBER(I617),(pit_msft_2029/(pit_msft_2029+pfac_msft_2029)*I617+pfac_msft_2029/(pit_msft_2029+pfac_msft_2029)*IF(AND(ISNUMBER(H617),ISNUMBER(G617)),wb1*H617+wb2*G617,IF(ISNUMBER(H617),H617,I617)))/(pit_msft_2029+pfac_msft_2029),site_msft_2029)</f>
        <v>4.26588923952249</v>
      </c>
    </row>
    <row r="619" customFormat="false" ht="17.15" hidden="false" customHeight="false" outlineLevel="0" collapsed="false">
      <c r="A619" s="0" t="s">
        <v>1993</v>
      </c>
      <c r="B619" s="0" t="s">
        <v>1328</v>
      </c>
      <c r="E619" s="8" t="n">
        <f aca="false">(1-lag)*E618+lag*D618-inv_k_lo*(E618-D618)</f>
        <v>1.44656450469531</v>
      </c>
      <c r="F619" s="8" t="n">
        <f aca="false">(1-lag)*F618+lag*E618-inv_k_lo*(F618-E618)</f>
        <v>2.92210869168952</v>
      </c>
      <c r="G619" s="8" t="n">
        <f aca="false">(1-lag)*G618+lag*F618-inv_k_lo*(G618-F618)</f>
        <v>3.58412131575556</v>
      </c>
      <c r="H619" s="8" t="n">
        <f aca="false">(1-lag)*H618+lag*G618-inv_k_lo*(H618-G618)</f>
        <v>4.05498031540815</v>
      </c>
      <c r="I619" s="8" t="n">
        <f aca="false">(1-lag)*I618+lag*H618-inv_k_lo*(I618-H618)</f>
        <v>4.2401900624985</v>
      </c>
    </row>
    <row r="620" customFormat="false" ht="17.15" hidden="false" customHeight="false" outlineLevel="0" collapsed="false">
      <c r="A620" s="0" t="s">
        <v>1994</v>
      </c>
      <c r="B620" s="0" t="s">
        <v>1334</v>
      </c>
      <c r="E620" s="8" t="n">
        <f aca="false">E619*(1-nnv_msft_2025)</f>
        <v>1.10197827686161</v>
      </c>
      <c r="F620" s="8" t="n">
        <f aca="false">F619*(1-nnv_msft_2026)</f>
        <v>2.22603298395503</v>
      </c>
      <c r="G620" s="8" t="n">
        <f aca="false">G619*(1-nnv_msft_2027)</f>
        <v>2.60529111006002</v>
      </c>
      <c r="H620" s="8" t="n">
        <f aca="false">H619*(1-nnv_msft_2028)</f>
        <v>2.96167086151381</v>
      </c>
      <c r="I620" s="8" t="n">
        <f aca="false">I619*(1-nnv_msft_2029)</f>
        <v>3.08606328996747</v>
      </c>
    </row>
    <row r="621" customFormat="false" ht="17.15" hidden="false" customHeight="false" outlineLevel="0" collapsed="false">
      <c r="A621" s="0" t="s">
        <v>1995</v>
      </c>
      <c r="B621" s="0" t="s">
        <v>1336</v>
      </c>
      <c r="D621" s="8" t="n">
        <f aca="false">site_msft_2024</f>
        <v>0</v>
      </c>
      <c r="E621" s="8" t="n">
        <f aca="false">site_msft_2025</f>
        <v>2.13527</v>
      </c>
      <c r="F621" s="8" t="n">
        <f aca="false">site_msft_2026</f>
        <v>0.770955</v>
      </c>
      <c r="G621" s="8" t="n">
        <f aca="false">site_msft_2027</f>
        <v>1.04</v>
      </c>
      <c r="H621" s="8" t="n">
        <f aca="false">site_msft_2028</f>
        <v>1.67</v>
      </c>
      <c r="I621" s="8" t="n">
        <f aca="false">site_msft_2029</f>
        <v>0.144</v>
      </c>
    </row>
    <row r="622" customFormat="false" ht="17.15" hidden="false" customHeight="false" outlineLevel="0" collapsed="false">
      <c r="A622" s="0" t="s">
        <v>1996</v>
      </c>
      <c r="B622" s="0" t="s">
        <v>1338</v>
      </c>
      <c r="D622" s="8" t="n">
        <f aca="false">main_msft_2024</f>
        <v>0</v>
      </c>
      <c r="E622" s="8" t="n">
        <f aca="false">main_msft_2025</f>
        <v>2.13527</v>
      </c>
      <c r="F622" s="8" t="n">
        <f aca="false">main_msft_2026</f>
        <v>0.770955</v>
      </c>
      <c r="G622" s="8" t="n">
        <f aca="false">main_msft_2027</f>
        <v>3.56447576934396</v>
      </c>
      <c r="H622" s="8" t="n">
        <f aca="false">main_msft_2028</f>
        <v>4.06597876464757</v>
      </c>
      <c r="I622" s="8" t="n">
        <f aca="false">main_msft_2029</f>
        <v>4.6644209987717</v>
      </c>
    </row>
    <row r="623" customFormat="false" ht="17.15" hidden="false" customHeight="false" outlineLevel="0" collapsed="false">
      <c r="A623" s="0" t="s">
        <v>1997</v>
      </c>
      <c r="B623" s="0" t="s">
        <v>1340</v>
      </c>
      <c r="D623" s="8" t="str">
        <f aca="false">IF(ISNUMBER(ai2_googl_2024),ai2_googl_2024,"")</f>
        <v/>
      </c>
      <c r="E623" s="8" t="n">
        <f aca="false">IF(ISNUMBER(ai2_googl_2025),ai2_googl_2025,"")</f>
        <v>77.72995</v>
      </c>
      <c r="F623" s="8" t="n">
        <f aca="false">IF(ISNUMBER(ai2_googl_2026),ai2_googl_2026,"")</f>
        <v>170</v>
      </c>
      <c r="G623" s="8" t="n">
        <f aca="false">IF(ISNUMBER(ai2_googl_2027),ai2_googl_2027,"")</f>
        <v>255.83215</v>
      </c>
      <c r="H623" s="8" t="n">
        <f aca="false">IF(ISNUMBER(ai2_googl_2028),ai2_googl_2028,"")</f>
        <v>288.53335</v>
      </c>
      <c r="I623" s="8" t="n">
        <f aca="false">IF(ISNUMBER(ai2_googl_2029),ai2_googl_2029,"")</f>
        <v>317.386685</v>
      </c>
    </row>
    <row r="624" customFormat="false" ht="17.15" hidden="false" customHeight="false" outlineLevel="0" collapsed="false">
      <c r="A624" s="0" t="s">
        <v>1998</v>
      </c>
      <c r="B624" s="0" t="s">
        <v>1342</v>
      </c>
      <c r="D624" s="8" t="n">
        <f aca="false">IF(ISNUMBER(D623),(pit_googl_2024/(pit_googl_2024+pfac_googl_2024)*D623+pfac_googl_2024/(pit_googl_2024+pfac_googl_2024)*IF(AND(ISNUMBER(""),ISNUMBER("")),wb1*""+wb2*"",IF(ISNUMBER(""),"",D623)))/(pit_googl_2024+pfac_googl_2024),site_googl_2024)</f>
        <v>1.32980834349181</v>
      </c>
      <c r="E624" s="8" t="n">
        <f aca="false">IF(ISNUMBER(E623),(pit_googl_2025/(pit_googl_2025+pfac_googl_2025)*E623+pfac_googl_2025/(pit_googl_2025+pfac_googl_2025)*IF(AND(ISNUMBER(D623),ISNUMBER("")),wb1*D623+wb2*"",IF(ISNUMBER(D623),D623,E623)))/(pit_googl_2025+pfac_googl_2025),site_googl_2025)</f>
        <v>2.15653802290354</v>
      </c>
      <c r="F624" s="8" t="n">
        <f aca="false">IF(ISNUMBER(F623),(pit_googl_2026/(pit_googl_2026+pfac_googl_2026)*F623+pfac_googl_2026/(pit_googl_2026+pfac_googl_2026)*IF(AND(ISNUMBER(E623),ISNUMBER(D623)),wb1*E623+wb2*D623,IF(ISNUMBER(E623),E623,F623)))/(pit_googl_2026+pfac_googl_2026),site_googl_2026)</f>
        <v>3.85777511610307</v>
      </c>
      <c r="G624" s="8" t="n">
        <f aca="false">IF(ISNUMBER(G623),(pit_googl_2027/(pit_googl_2027+pfac_googl_2027)*G623+pfac_googl_2027/(pit_googl_2027+pfac_googl_2027)*IF(AND(ISNUMBER(F623),ISNUMBER(E623)),wb1*F623+wb2*E623,IF(ISNUMBER(F623),F623,G623)))/(pit_googl_2027+pfac_googl_2027),site_googl_2027)</f>
        <v>5.69768565998842</v>
      </c>
      <c r="H624" s="8" t="n">
        <f aca="false">IF(ISNUMBER(H623),(pit_googl_2028/(pit_googl_2028+pfac_googl_2028)*H623+pfac_googl_2028/(pit_googl_2028+pfac_googl_2028)*IF(AND(ISNUMBER(G623),ISNUMBER(F623)),wb1*G623+wb2*F623,IF(ISNUMBER(G623),G623,H623)))/(pit_googl_2028+pfac_googl_2028),site_googl_2028)</f>
        <v>6.77682412398345</v>
      </c>
      <c r="I624" s="8" t="n">
        <f aca="false">IF(ISNUMBER(I623),(pit_googl_2029/(pit_googl_2029+pfac_googl_2029)*I623+pfac_googl_2029/(pit_googl_2029+pfac_googl_2029)*IF(AND(ISNUMBER(H623),ISNUMBER(G623)),wb1*H623+wb2*G623,IF(ISNUMBER(H623),H623,I623)))/(pit_googl_2029+pfac_googl_2029),site_googl_2029)</f>
        <v>7.68929590970477</v>
      </c>
    </row>
    <row r="625" customFormat="false" ht="17.15" hidden="false" customHeight="false" outlineLevel="0" collapsed="false">
      <c r="A625" s="0" t="s">
        <v>1999</v>
      </c>
      <c r="B625" s="0" t="s">
        <v>1344</v>
      </c>
      <c r="E625" s="8" t="n">
        <f aca="false">(1-lag)*E624+lag*D624-inv_k_lo*(E624-D624)</f>
        <v>1.80517790915355</v>
      </c>
      <c r="F625" s="8" t="n">
        <f aca="false">(1-lag)*F624+lag*E624-inv_k_lo*(F624-E624)</f>
        <v>3.13474935149327</v>
      </c>
      <c r="G625" s="8" t="n">
        <f aca="false">(1-lag)*G624+lag*F624-inv_k_lo*(G624-F624)</f>
        <v>4.91572367883715</v>
      </c>
      <c r="H625" s="8" t="n">
        <f aca="false">(1-lag)*H624+lag*G624-inv_k_lo*(H624-G624)</f>
        <v>6.31819027678556</v>
      </c>
      <c r="I625" s="8" t="n">
        <f aca="false">(1-lag)*I624+lag*H624-inv_k_lo*(I624-H624)</f>
        <v>7.30149540077321</v>
      </c>
    </row>
    <row r="626" customFormat="false" ht="17.15" hidden="false" customHeight="false" outlineLevel="0" collapsed="false">
      <c r="A626" s="0" t="s">
        <v>2000</v>
      </c>
      <c r="B626" s="0" t="s">
        <v>1346</v>
      </c>
      <c r="D626" s="8" t="n">
        <f aca="false">gcap_googl_2024*ai_sh</f>
        <v>44.65475</v>
      </c>
      <c r="E626" s="8" t="n">
        <f aca="false">gcap_googl_2025*ai_sh</f>
        <v>77.72995</v>
      </c>
      <c r="F626" s="8" t="n">
        <f aca="false">gcap_googl_2026*ai_sh</f>
        <v>170</v>
      </c>
      <c r="G626" s="8" t="n">
        <f aca="false">gcap_googl_2027*ai_sh</f>
        <v>246.810369</v>
      </c>
      <c r="H626" s="8" t="n">
        <f aca="false">gcap_googl_2028*ai_sh</f>
        <v>269.78900975</v>
      </c>
      <c r="I626" s="8" t="n">
        <f aca="false">gcap_googl_2029*ai_sh</f>
        <v>248.6767412</v>
      </c>
    </row>
    <row r="627" customFormat="false" ht="17.15" hidden="false" customHeight="false" outlineLevel="0" collapsed="false">
      <c r="A627" s="0" t="s">
        <v>2001</v>
      </c>
      <c r="B627" s="0" t="s">
        <v>1342</v>
      </c>
      <c r="D627" s="8" t="n">
        <f aca="false">IF(ISNUMBER(D626),(pit_googl_2024/(pit_googl_2024+pfac_googl_2024)*D626+pfac_googl_2024/(pit_googl_2024+pfac_googl_2024)*IF(AND(ISNUMBER(""),ISNUMBER("")),wb1*""+wb2*"",IF(ISNUMBER(""),"",D626)))/(pit_googl_2024+pfac_googl_2024),site_googl_2024)</f>
        <v>1.22628577156267</v>
      </c>
      <c r="E627" s="8" t="n">
        <f aca="false">IF(ISNUMBER(E626),(pit_googl_2025/(pit_googl_2025+pfac_googl_2025)*E626+pfac_googl_2025/(pit_googl_2025+pfac_googl_2025)*IF(AND(ISNUMBER(D626),ISNUMBER("")),wb1*D626+wb2*"",IF(ISNUMBER(D626),D626,E626)))/(pit_googl_2025+pfac_googl_2025),site_googl_2025)</f>
        <v>1.90684085060084</v>
      </c>
      <c r="F627" s="8" t="n">
        <f aca="false">IF(ISNUMBER(F626),(pit_googl_2026/(pit_googl_2026+pfac_googl_2026)*F626+pfac_googl_2026/(pit_googl_2026+pfac_googl_2026)*IF(AND(ISNUMBER(E626),ISNUMBER(D626)),wb1*E626+wb2*D626,IF(ISNUMBER(E626),E626,F626)))/(pit_googl_2026+pfac_googl_2026),site_googl_2026)</f>
        <v>3.74469414665129</v>
      </c>
      <c r="G627" s="8" t="n">
        <f aca="false">IF(ISNUMBER(G626),(pit_googl_2027/(pit_googl_2027+pfac_googl_2027)*G626+pfac_googl_2027/(pit_googl_2027+pfac_googl_2027)*IF(AND(ISNUMBER(F626),ISNUMBER(E626)),wb1*F626+wb2*E626,IF(ISNUMBER(F626),F626,G626)))/(pit_googl_2027+pfac_googl_2027),site_googl_2027)</f>
        <v>5.52479710641755</v>
      </c>
      <c r="H627" s="8" t="n">
        <f aca="false">IF(ISNUMBER(H626),(pit_googl_2028/(pit_googl_2028+pfac_googl_2028)*H626+pfac_googl_2028/(pit_googl_2028+pfac_googl_2028)*IF(AND(ISNUMBER(G626),ISNUMBER(F626)),wb1*G626+wb2*F626,IF(ISNUMBER(G626),G626,H626)))/(pit_googl_2028+pfac_googl_2028),site_googl_2028)</f>
        <v>6.39420249958533</v>
      </c>
      <c r="I627" s="8" t="n">
        <f aca="false">IF(ISNUMBER(I626),(pit_googl_2029/(pit_googl_2029+pfac_googl_2029)*I626+pfac_googl_2029/(pit_googl_2029+pfac_googl_2029)*IF(AND(ISNUMBER(H626),ISNUMBER(G626)),wb1*H626+wb2*G626,IF(ISNUMBER(H626),H626,I626)))/(pit_googl_2029+pfac_googl_2029),site_googl_2029)</f>
        <v>6.30314197516365</v>
      </c>
    </row>
    <row r="628" customFormat="false" ht="17.15" hidden="false" customHeight="false" outlineLevel="0" collapsed="false">
      <c r="A628" s="0" t="s">
        <v>2002</v>
      </c>
      <c r="B628" s="0" t="s">
        <v>1344</v>
      </c>
      <c r="E628" s="8" t="n">
        <f aca="false">(1-lag)*E627+lag*D627-inv_k_lo*(E627-D627)</f>
        <v>1.61760494200961</v>
      </c>
      <c r="F628" s="8" t="n">
        <f aca="false">(1-lag)*F627+lag*E627-inv_k_lo*(F627-E627)</f>
        <v>2.96360649582985</v>
      </c>
      <c r="G628" s="8" t="n">
        <f aca="false">(1-lag)*G627+lag*F627-inv_k_lo*(G627-F627)</f>
        <v>4.76825334851689</v>
      </c>
      <c r="H628" s="8" t="n">
        <f aca="false">(1-lag)*H627+lag*G627-inv_k_lo*(H627-G627)</f>
        <v>6.02470520748902</v>
      </c>
      <c r="I628" s="8" t="n">
        <f aca="false">(1-lag)*I627+lag*H627-inv_k_lo*(I627-H627)</f>
        <v>6.34184269804287</v>
      </c>
    </row>
    <row r="629" customFormat="false" ht="17.15" hidden="false" customHeight="false" outlineLevel="0" collapsed="false">
      <c r="A629" s="0" t="s">
        <v>2003</v>
      </c>
      <c r="B629" s="0" t="s">
        <v>1350</v>
      </c>
      <c r="E629" s="8" t="n">
        <f aca="false">E628*(1-nnv_googl_2025)</f>
        <v>0.399548420676375</v>
      </c>
      <c r="F629" s="8" t="n">
        <f aca="false">F628*(1-nnv_googl_2026)</f>
        <v>0.732010804469973</v>
      </c>
      <c r="G629" s="8" t="n">
        <f aca="false">G628*(1-nnv_googl_2027)</f>
        <v>1.17775857708367</v>
      </c>
      <c r="H629" s="8" t="n">
        <f aca="false">H628*(1-nnv_googl_2028)</f>
        <v>1.48810218624979</v>
      </c>
      <c r="I629" s="8" t="n">
        <f aca="false">I628*(1-nnv_googl_2029)</f>
        <v>1.56643514641659</v>
      </c>
    </row>
    <row r="630" customFormat="false" ht="17.15" hidden="false" customHeight="false" outlineLevel="0" collapsed="false">
      <c r="A630" s="0" t="s">
        <v>2004</v>
      </c>
      <c r="B630" s="0" t="s">
        <v>1352</v>
      </c>
      <c r="D630" s="8" t="n">
        <f aca="false">site_googl_2024</f>
        <v>1.32980834349181</v>
      </c>
      <c r="E630" s="8" t="n">
        <f aca="false">site_googl_2025</f>
        <v>2.40961330082622</v>
      </c>
      <c r="F630" s="8" t="n">
        <f aca="false">site_googl_2026</f>
        <v>1.29267912772586</v>
      </c>
      <c r="G630" s="8" t="n">
        <f aca="false">site_googl_2027</f>
        <v>1.626</v>
      </c>
      <c r="H630" s="8" t="n">
        <f aca="false">site_googl_2028</f>
        <v>0.833333333333334</v>
      </c>
      <c r="I630" s="8" t="n">
        <f aca="false">site_googl_2029</f>
        <v>0</v>
      </c>
    </row>
    <row r="631" customFormat="false" ht="17.15" hidden="false" customHeight="false" outlineLevel="0" collapsed="false">
      <c r="A631" s="0" t="s">
        <v>2005</v>
      </c>
      <c r="B631" s="0" t="s">
        <v>1354</v>
      </c>
      <c r="D631" s="8" t="n">
        <f aca="false">main_googl_2024</f>
        <v>1.32980834349181</v>
      </c>
      <c r="E631" s="8" t="n">
        <f aca="false">main_googl_2025</f>
        <v>2.40961330082622</v>
      </c>
      <c r="F631" s="8" t="n">
        <f aca="false">main_googl_2026</f>
        <v>1.29267912772586</v>
      </c>
      <c r="G631" s="8" t="n">
        <f aca="false">main_googl_2027</f>
        <v>5.69768565998842</v>
      </c>
      <c r="H631" s="8" t="n">
        <f aca="false">main_googl_2028</f>
        <v>6.77682412398346</v>
      </c>
      <c r="I631" s="8" t="n">
        <f aca="false">main_googl_2029</f>
        <v>7.68929590970478</v>
      </c>
    </row>
    <row r="632" customFormat="false" ht="17.15" hidden="false" customHeight="false" outlineLevel="0" collapsed="false">
      <c r="A632" s="0" t="s">
        <v>2006</v>
      </c>
      <c r="B632" s="0" t="s">
        <v>1356</v>
      </c>
      <c r="D632" s="8" t="str">
        <f aca="false">IF(ISNUMBER(ai2_amzn_2024),ai2_amzn_2024,"")</f>
        <v/>
      </c>
      <c r="E632" s="8" t="n">
        <f aca="false">IF(ISNUMBER(ai2_amzn_2025),ai2_amzn_2025,"")</f>
        <v>87.2576</v>
      </c>
      <c r="F632" s="8" t="n">
        <f aca="false">IF(ISNUMBER(ai2_amzn_2026),ai2_amzn_2026,"")</f>
        <v>149.6</v>
      </c>
      <c r="G632" s="8" t="n">
        <f aca="false">IF(ISNUMBER(ai2_amzn_2027),ai2_amzn_2027,"")</f>
        <v>187.04284</v>
      </c>
      <c r="H632" s="8" t="n">
        <f aca="false">IF(ISNUMBER(ai2_amzn_2028),ai2_amzn_2028,"")</f>
        <v>199.19036</v>
      </c>
      <c r="I632" s="8" t="n">
        <f aca="false">IF(ISNUMBER(ai2_amzn_2029),ai2_amzn_2029,"")</f>
        <v>219.109396</v>
      </c>
    </row>
    <row r="633" customFormat="false" ht="17.15" hidden="false" customHeight="false" outlineLevel="0" collapsed="false">
      <c r="A633" s="0" t="s">
        <v>2007</v>
      </c>
      <c r="B633" s="0" t="s">
        <v>1358</v>
      </c>
      <c r="D633" s="8" t="n">
        <f aca="false">IF(ISNUMBER(D632),(pit_amzn_2024/(pit_amzn_2024+pfac_amzn_2024)*D632+pfac_amzn_2024/(pit_amzn_2024+pfac_amzn_2024)*IF(AND(ISNUMBER(""),ISNUMBER("")),wb1*""+wb2*"",IF(ISNUMBER(""),"",D632)))/(pit_amzn_2024+pfac_amzn_2024),site_amzn_2024)</f>
        <v>0</v>
      </c>
      <c r="E633" s="8" t="n">
        <f aca="false">IF(ISNUMBER(E632),(pit_amzn_2025/(pit_amzn_2025+pfac_amzn_2025)*E632+pfac_amzn_2025/(pit_amzn_2025+pfac_amzn_2025)*IF(AND(ISNUMBER(D632),ISNUMBER("")),wb1*D632+wb2*"",IF(ISNUMBER(D632),D632,E632)))/(pit_amzn_2025+pfac_amzn_2025),site_amzn_2025)</f>
        <v>2.6200438487091</v>
      </c>
      <c r="F633" s="8" t="n">
        <f aca="false">IF(ISNUMBER(F632),(pit_amzn_2026/(pit_amzn_2026+pfac_amzn_2026)*F632+pfac_amzn_2026/(pit_amzn_2026+pfac_amzn_2026)*IF(AND(ISNUMBER(E632),ISNUMBER(D632)),wb1*E632+wb2*D632,IF(ISNUMBER(E632),E632,F632)))/(pit_amzn_2026+pfac_amzn_2026),site_amzn_2026)</f>
        <v>3.72830685774426</v>
      </c>
      <c r="G633" s="8" t="n">
        <f aca="false">IF(ISNUMBER(G632),(pit_amzn_2027/(pit_amzn_2027+pfac_amzn_2027)*G632+pfac_amzn_2027/(pit_amzn_2027+pfac_amzn_2027)*IF(AND(ISNUMBER(F632),ISNUMBER(E632)),wb1*F632+wb2*E632,IF(ISNUMBER(F632),F632,G632)))/(pit_amzn_2027+pfac_amzn_2027),site_amzn_2027)</f>
        <v>4.54496548273742</v>
      </c>
      <c r="H633" s="8" t="n">
        <f aca="false">IF(ISNUMBER(H632),(pit_amzn_2028/(pit_amzn_2028+pfac_amzn_2028)*H632+pfac_amzn_2028/(pit_amzn_2028+pfac_amzn_2028)*IF(AND(ISNUMBER(G632),ISNUMBER(F632)),wb1*G632+wb2*F632,IF(ISNUMBER(G632),G632,H632)))/(pit_amzn_2028+pfac_amzn_2028),site_amzn_2028)</f>
        <v>4.99623819927339</v>
      </c>
      <c r="I633" s="8" t="n">
        <f aca="false">IF(ISNUMBER(I632),(pit_amzn_2029/(pit_amzn_2029+pfac_amzn_2029)*I632+pfac_amzn_2029/(pit_amzn_2029+pfac_amzn_2029)*IF(AND(ISNUMBER(H632),ISNUMBER(G632)),wb1*H632+wb2*G632,IF(ISNUMBER(H632),H632,I632)))/(pit_amzn_2029+pfac_amzn_2029),site_amzn_2029)</f>
        <v>5.54650880690247</v>
      </c>
    </row>
    <row r="634" customFormat="false" ht="17.15" hidden="false" customHeight="false" outlineLevel="0" collapsed="false">
      <c r="A634" s="0" t="s">
        <v>2008</v>
      </c>
      <c r="B634" s="0" t="s">
        <v>1360</v>
      </c>
      <c r="E634" s="8" t="n">
        <f aca="false">(1-lag)*E633+lag*D633-inv_k_lo*(E633-D633)</f>
        <v>1.50652521300773</v>
      </c>
      <c r="F634" s="8" t="n">
        <f aca="false">(1-lag)*F633+lag*E633-inv_k_lo*(F633-E633)</f>
        <v>3.25729507890432</v>
      </c>
      <c r="G634" s="8" t="n">
        <f aca="false">(1-lag)*G633+lag*F633-inv_k_lo*(G633-F633)</f>
        <v>4.19788556711533</v>
      </c>
      <c r="H634" s="8" t="n">
        <f aca="false">(1-lag)*H633+lag*G633-inv_k_lo*(H633-G633)</f>
        <v>4.80444729474561</v>
      </c>
      <c r="I634" s="8" t="n">
        <f aca="false">(1-lag)*I633+lag*H633-inv_k_lo*(I633-H633)</f>
        <v>5.31264379866011</v>
      </c>
    </row>
    <row r="635" customFormat="false" ht="17.15" hidden="false" customHeight="false" outlineLevel="0" collapsed="false">
      <c r="A635" s="0" t="s">
        <v>2009</v>
      </c>
      <c r="B635" s="0" t="s">
        <v>1362</v>
      </c>
      <c r="D635" s="8" t="n">
        <f aca="false">gcap_amzn_2024*ai_amzn</f>
        <v>52.80744</v>
      </c>
      <c r="E635" s="8" t="n">
        <f aca="false">gcap_amzn_2025*ai_amzn</f>
        <v>87.2576</v>
      </c>
      <c r="F635" s="8" t="n">
        <f aca="false">gcap_amzn_2026*ai_amzn</f>
        <v>149.6</v>
      </c>
      <c r="G635" s="8" t="n">
        <f aca="false">gcap_amzn_2027*ai_amzn</f>
        <v>172.09445848</v>
      </c>
      <c r="H635" s="8" t="n">
        <f aca="false">gcap_amzn_2028*ai_amzn</f>
        <v>181.54066624</v>
      </c>
      <c r="I635" s="8" t="n">
        <f aca="false">gcap_amzn_2029*ai_amzn</f>
        <v>189.3160052</v>
      </c>
    </row>
    <row r="636" customFormat="false" ht="17.15" hidden="false" customHeight="false" outlineLevel="0" collapsed="false">
      <c r="A636" s="0" t="s">
        <v>2010</v>
      </c>
      <c r="B636" s="0" t="s">
        <v>1358</v>
      </c>
      <c r="D636" s="8" t="n">
        <f aca="false">IF(ISNUMBER(D635),(pit_amzn_2024/(pit_amzn_2024+pfac_amzn_2024)*D635+pfac_amzn_2024/(pit_amzn_2024+pfac_amzn_2024)*IF(AND(ISNUMBER(""),ISNUMBER("")),wb1*""+wb2*"",IF(ISNUMBER(""),"",D635)))/(pit_amzn_2024+pfac_amzn_2024),site_amzn_2024)</f>
        <v>1.56238534864816</v>
      </c>
      <c r="E636" s="8" t="n">
        <f aca="false">IF(ISNUMBER(E635),(pit_amzn_2025/(pit_amzn_2025+pfac_amzn_2025)*E635+pfac_amzn_2025/(pit_amzn_2025+pfac_amzn_2025)*IF(AND(ISNUMBER(D635),ISNUMBER("")),wb1*D635+wb2*"",IF(ISNUMBER(D635),D635,E635)))/(pit_amzn_2025+pfac_amzn_2025),site_amzn_2025)</f>
        <v>2.32934283296825</v>
      </c>
      <c r="F636" s="8" t="n">
        <f aca="false">IF(ISNUMBER(F635),(pit_amzn_2026/(pit_amzn_2026+pfac_amzn_2026)*F635+pfac_amzn_2026/(pit_amzn_2026+pfac_amzn_2026)*IF(AND(ISNUMBER(E635),ISNUMBER(D635)),wb1*E635+wb2*D635,IF(ISNUMBER(E635),E635,F635)))/(pit_amzn_2026+pfac_amzn_2026),site_amzn_2026)</f>
        <v>3.60214892289839</v>
      </c>
      <c r="G636" s="8" t="n">
        <f aca="false">IF(ISNUMBER(G635),(pit_amzn_2027/(pit_amzn_2027+pfac_amzn_2027)*G635+pfac_amzn_2027/(pit_amzn_2027+pfac_amzn_2027)*IF(AND(ISNUMBER(F635),ISNUMBER(E635)),wb1*F635+wb2*E635,IF(ISNUMBER(F635),F635,G635)))/(pit_amzn_2027+pfac_amzn_2027),site_amzn_2027)</f>
        <v>4.24515505663672</v>
      </c>
      <c r="H636" s="8" t="n">
        <f aca="false">IF(ISNUMBER(H635),(pit_amzn_2028/(pit_amzn_2028+pfac_amzn_2028)*H635+pfac_amzn_2028/(pit_amzn_2028+pfac_amzn_2028)*IF(AND(ISNUMBER(G635),ISNUMBER(F635)),wb1*G635+wb2*F635,IF(ISNUMBER(G635),G635,H635)))/(pit_amzn_2028+pfac_amzn_2028),site_amzn_2028)</f>
        <v>4.60085769114469</v>
      </c>
      <c r="I636" s="8" t="n">
        <f aca="false">IF(ISNUMBER(I635),(pit_amzn_2029/(pit_amzn_2029+pfac_amzn_2029)*I635+pfac_amzn_2029/(pit_amzn_2029+pfac_amzn_2029)*IF(AND(ISNUMBER(H635),ISNUMBER(G635)),wb1*H635+wb2*G635,IF(ISNUMBER(H635),H635,I635)))/(pit_amzn_2029+pfac_amzn_2029),site_amzn_2029)</f>
        <v>4.85567033897056</v>
      </c>
    </row>
    <row r="637" customFormat="false" ht="17.15" hidden="false" customHeight="false" outlineLevel="0" collapsed="false">
      <c r="A637" s="0" t="s">
        <v>2011</v>
      </c>
      <c r="B637" s="0" t="s">
        <v>1360</v>
      </c>
      <c r="E637" s="8" t="n">
        <f aca="false">(1-lag)*E636+lag*D636-inv_k_lo*(E636-D636)</f>
        <v>2.00338590213221</v>
      </c>
      <c r="F637" s="8" t="n">
        <f aca="false">(1-lag)*F636+lag*E636-inv_k_lo*(F636-E636)</f>
        <v>3.06120633467808</v>
      </c>
      <c r="G637" s="8" t="n">
        <f aca="false">(1-lag)*G636+lag*F636-inv_k_lo*(G636-F636)</f>
        <v>3.97187744979793</v>
      </c>
      <c r="H637" s="8" t="n">
        <f aca="false">(1-lag)*H636+lag*G636-inv_k_lo*(H636-G636)</f>
        <v>4.4496840714788</v>
      </c>
      <c r="I637" s="8" t="n">
        <f aca="false">(1-lag)*I636+lag*H636-inv_k_lo*(I636-H636)</f>
        <v>4.74737496364457</v>
      </c>
    </row>
    <row r="638" customFormat="false" ht="17.15" hidden="false" customHeight="false" outlineLevel="0" collapsed="false">
      <c r="A638" s="0" t="s">
        <v>2012</v>
      </c>
      <c r="B638" s="0" t="s">
        <v>1366</v>
      </c>
      <c r="E638" s="8" t="n">
        <f aca="false">E637*(1-nnv_amzn_2025)</f>
        <v>0.661117347703629</v>
      </c>
      <c r="F638" s="8" t="n">
        <f aca="false">F637*(1-nnv_amzn_2026)</f>
        <v>1.01019809044377</v>
      </c>
      <c r="G638" s="8" t="n">
        <f aca="false">G637*(1-nnv_amzn_2027)</f>
        <v>1.31071955843332</v>
      </c>
      <c r="H638" s="8" t="n">
        <f aca="false">H637*(1-nnv_amzn_2028)</f>
        <v>1.468395743588</v>
      </c>
      <c r="I638" s="8" t="n">
        <f aca="false">I637*(1-nnv_amzn_2029)</f>
        <v>1.56663373800271</v>
      </c>
    </row>
    <row r="639" customFormat="false" ht="17.15" hidden="false" customHeight="false" outlineLevel="0" collapsed="false">
      <c r="A639" s="0" t="s">
        <v>2013</v>
      </c>
      <c r="B639" s="0" t="s">
        <v>1368</v>
      </c>
      <c r="D639" s="8" t="n">
        <f aca="false">site_amzn_2024</f>
        <v>0</v>
      </c>
      <c r="E639" s="8" t="n">
        <f aca="false">site_amzn_2025</f>
        <v>1.38971599402093</v>
      </c>
      <c r="F639" s="8" t="n">
        <f aca="false">site_amzn_2026</f>
        <v>0.527</v>
      </c>
      <c r="G639" s="8" t="n">
        <f aca="false">site_amzn_2027</f>
        <v>0.364</v>
      </c>
      <c r="H639" s="8" t="n">
        <f aca="false">site_amzn_2028</f>
        <v>1.744</v>
      </c>
      <c r="I639" s="8" t="n">
        <f aca="false">site_amzn_2029</f>
        <v>0.0620000000000003</v>
      </c>
    </row>
    <row r="640" customFormat="false" ht="17.15" hidden="false" customHeight="false" outlineLevel="0" collapsed="false">
      <c r="A640" s="0" t="s">
        <v>2014</v>
      </c>
      <c r="B640" s="0" t="s">
        <v>1370</v>
      </c>
      <c r="D640" s="8" t="n">
        <f aca="false">main_amzn_2024</f>
        <v>0</v>
      </c>
      <c r="E640" s="8" t="n">
        <f aca="false">main_amzn_2025</f>
        <v>1.38971599402093</v>
      </c>
      <c r="F640" s="8" t="n">
        <f aca="false">main_amzn_2026</f>
        <v>0.527</v>
      </c>
      <c r="G640" s="8" t="n">
        <f aca="false">main_amzn_2027</f>
        <v>4.54496548273742</v>
      </c>
      <c r="H640" s="8" t="n">
        <f aca="false">main_amzn_2028</f>
        <v>4.99623819927339</v>
      </c>
      <c r="I640" s="8" t="n">
        <f aca="false">main_amzn_2029</f>
        <v>5.54650880690247</v>
      </c>
    </row>
    <row r="641" customFormat="false" ht="17.15" hidden="false" customHeight="false" outlineLevel="0" collapsed="false">
      <c r="A641" s="0" t="s">
        <v>2015</v>
      </c>
      <c r="B641" s="0" t="s">
        <v>1372</v>
      </c>
      <c r="D641" s="8" t="str">
        <f aca="false">IF(ISNUMBER(ai2_meta_2024),ai2_meta_2024,"")</f>
        <v/>
      </c>
      <c r="E641" s="8" t="str">
        <f aca="false">IF(ISNUMBER(ai2_meta_2025),ai2_meta_2025,"")</f>
        <v/>
      </c>
      <c r="F641" s="8" t="n">
        <f aca="false">IF(ISNUMBER(ai2_meta_2026),ai2_meta_2026,"")</f>
        <v>119</v>
      </c>
      <c r="G641" s="8" t="n">
        <f aca="false">IF(ISNUMBER(ai2_meta_2027),ai2_meta_2027,"")</f>
        <v>130.9</v>
      </c>
      <c r="H641" s="8" t="n">
        <f aca="false">IF(ISNUMBER(ai2_meta_2028),ai2_meta_2028,"")</f>
        <v>143.99</v>
      </c>
      <c r="I641" s="8" t="n">
        <f aca="false">IF(ISNUMBER(ai2_meta_2029),ai2_meta_2029,"")</f>
        <v>158.389</v>
      </c>
    </row>
    <row r="642" customFormat="false" ht="17.15" hidden="false" customHeight="false" outlineLevel="0" collapsed="false">
      <c r="A642" s="0" t="s">
        <v>2016</v>
      </c>
      <c r="B642" s="0" t="s">
        <v>1374</v>
      </c>
      <c r="D642" s="8" t="n">
        <f aca="false">IF(ISNUMBER(D641),(pit_meta_2024/(pit_meta_2024+pfac_meta_2024)*D641+pfac_meta_2024/(pit_meta_2024+pfac_meta_2024)*IF(AND(ISNUMBER(""),ISNUMBER("")),wb1*""+wb2*"",IF(ISNUMBER(""),"",D641)))/(pit_meta_2024+pfac_meta_2024),site_meta_2024)</f>
        <v>0</v>
      </c>
      <c r="E642" s="8" t="n">
        <f aca="false">IF(ISNUMBER(E641),(pit_meta_2025/(pit_meta_2025+pfac_meta_2025)*E641+pfac_meta_2025/(pit_meta_2025+pfac_meta_2025)*IF(AND(ISNUMBER(D641),ISNUMBER("")),wb1*D641+wb2*"",IF(ISNUMBER(D641),D641,E641)))/(pit_meta_2025+pfac_meta_2025),site_meta_2025)</f>
        <v>1.50812</v>
      </c>
      <c r="F642" s="8" t="n">
        <f aca="false">IF(ISNUMBER(F641),(pit_meta_2026/(pit_meta_2026+pfac_meta_2026)*F641+pfac_meta_2026/(pit_meta_2026+pfac_meta_2026)*IF(AND(ISNUMBER(E641),ISNUMBER(D641)),wb1*E641+wb2*D641,IF(ISNUMBER(E641),E641,F641)))/(pit_meta_2026+pfac_meta_2026),site_meta_2026)</f>
        <v>2.62796503624796</v>
      </c>
      <c r="G642" s="8" t="n">
        <f aca="false">IF(ISNUMBER(G641),(pit_meta_2027/(pit_meta_2027+pfac_meta_2027)*G641+pfac_meta_2027/(pit_meta_2027+pfac_meta_2027)*IF(AND(ISNUMBER(F641),ISNUMBER(E641)),wb1*F641+wb2*E641,IF(ISNUMBER(F641),F641,G641)))/(pit_meta_2027+pfac_meta_2027),site_meta_2027)</f>
        <v>2.62451187863681</v>
      </c>
      <c r="H642" s="8" t="n">
        <f aca="false">IF(ISNUMBER(H641),(pit_meta_2028/(pit_meta_2028+pfac_meta_2028)*H641+pfac_meta_2028/(pit_meta_2028+pfac_meta_2028)*IF(AND(ISNUMBER(G641),ISNUMBER(F641)),wb1*G641+wb2*F641,IF(ISNUMBER(G641),G641,H641)))/(pit_meta_2028+pfac_meta_2028),site_meta_2028)</f>
        <v>2.73641202658015</v>
      </c>
      <c r="I642" s="8" t="n">
        <f aca="false">IF(ISNUMBER(I641),(pit_meta_2029/(pit_meta_2029+pfac_meta_2029)*I641+pfac_meta_2029/(pit_meta_2029+pfac_meta_2029)*IF(AND(ISNUMBER(H641),ISNUMBER(G641)),wb1*H641+wb2*G641,IF(ISNUMBER(H641),H641,I641)))/(pit_meta_2029+pfac_meta_2029),site_meta_2029)</f>
        <v>3.01174825182942</v>
      </c>
    </row>
    <row r="643" customFormat="false" ht="17.15" hidden="false" customHeight="false" outlineLevel="0" collapsed="false">
      <c r="A643" s="0" t="s">
        <v>2017</v>
      </c>
      <c r="B643" s="0" t="s">
        <v>1376</v>
      </c>
      <c r="E643" s="8" t="n">
        <f aca="false">(1-lag)*E642+lag*D642-inv_k_lo*(E642-D642)</f>
        <v>0.867169</v>
      </c>
      <c r="F643" s="8" t="n">
        <f aca="false">(1-lag)*F642+lag*E642-inv_k_lo*(F642-E642)</f>
        <v>2.15203089584258</v>
      </c>
      <c r="G643" s="8" t="n">
        <f aca="false">(1-lag)*G642+lag*F642-inv_k_lo*(G642-F642)</f>
        <v>2.62597947062155</v>
      </c>
      <c r="H643" s="8" t="n">
        <f aca="false">(1-lag)*H642+lag*G642-inv_k_lo*(H642-G642)</f>
        <v>2.68885446370423</v>
      </c>
      <c r="I643" s="8" t="n">
        <f aca="false">(1-lag)*I642+lag*H642-inv_k_lo*(I642-H642)</f>
        <v>2.89473035609848</v>
      </c>
    </row>
    <row r="644" customFormat="false" ht="17.15" hidden="false" customHeight="false" outlineLevel="0" collapsed="false">
      <c r="A644" s="0" t="s">
        <v>2018</v>
      </c>
      <c r="B644" s="0" t="s">
        <v>1378</v>
      </c>
      <c r="D644" s="8" t="n">
        <f aca="false">gcap_meta_2024*ai_sh</f>
        <v>33.34125</v>
      </c>
      <c r="E644" s="8" t="n">
        <f aca="false">gcap_meta_2025*ai_sh</f>
        <v>61.38275</v>
      </c>
      <c r="F644" s="8" t="n">
        <f aca="false">gcap_meta_2026*ai_sh</f>
        <v>119</v>
      </c>
      <c r="G644" s="8" t="n">
        <f aca="false">gcap_meta_2027*ai_sh</f>
        <v>174.8499963</v>
      </c>
      <c r="H644" s="8" t="n">
        <f aca="false">gcap_meta_2028*ai_sh</f>
        <v>186.39077355</v>
      </c>
      <c r="I644" s="8" t="n">
        <f aca="false">gcap_meta_2029*ai_sh</f>
        <v>165.57988355</v>
      </c>
    </row>
    <row r="645" customFormat="false" ht="17.15" hidden="false" customHeight="false" outlineLevel="0" collapsed="false">
      <c r="A645" s="0" t="s">
        <v>2019</v>
      </c>
      <c r="B645" s="0" t="s">
        <v>1374</v>
      </c>
      <c r="D645" s="8" t="n">
        <f aca="false">IF(ISNUMBER(D644),(pit_meta_2024/(pit_meta_2024+pfac_meta_2024)*D644+pfac_meta_2024/(pit_meta_2024+pfac_meta_2024)*IF(AND(ISNUMBER(""),ISNUMBER("")),wb1*""+wb2*"",IF(ISNUMBER(""),"",D644)))/(pit_meta_2024+pfac_meta_2024),site_meta_2024)</f>
        <v>0.817493736320288</v>
      </c>
      <c r="E645" s="8" t="n">
        <f aca="false">IF(ISNUMBER(E644),(pit_meta_2025/(pit_meta_2025+pfac_meta_2025)*E644+pfac_meta_2025/(pit_meta_2025+pfac_meta_2025)*IF(AND(ISNUMBER(D644),ISNUMBER("")),wb1*D644+wb2*"",IF(ISNUMBER(D644),D644,E644)))/(pit_meta_2025+pfac_meta_2025),site_meta_2025)</f>
        <v>1.33044623899154</v>
      </c>
      <c r="F645" s="8" t="n">
        <f aca="false">IF(ISNUMBER(F644),(pit_meta_2026/(pit_meta_2026+pfac_meta_2026)*F644+pfac_meta_2026/(pit_meta_2026+pfac_meta_2026)*IF(AND(ISNUMBER(E644),ISNUMBER(D644)),wb1*E644+wb2*D644,IF(ISNUMBER(E644),E644,F644)))/(pit_meta_2026+pfac_meta_2026),site_meta_2026)</f>
        <v>2.20112683043242</v>
      </c>
      <c r="G645" s="8" t="n">
        <f aca="false">IF(ISNUMBER(G644),(pit_meta_2027/(pit_meta_2027+pfac_meta_2027)*G644+pfac_meta_2027/(pit_meta_2027+pfac_meta_2027)*IF(AND(ISNUMBER(F644),ISNUMBER(E644)),wb1*F644+wb2*E644,IF(ISNUMBER(F644),F644,G644)))/(pit_meta_2027+pfac_meta_2027),site_meta_2027)</f>
        <v>3.15406141077207</v>
      </c>
      <c r="H645" s="8" t="n">
        <f aca="false">IF(ISNUMBER(H644),(pit_meta_2028/(pit_meta_2028+pfac_meta_2028)*H644+pfac_meta_2028/(pit_meta_2028+pfac_meta_2028)*IF(AND(ISNUMBER(G644),ISNUMBER(F644)),wb1*G644+wb2*F644,IF(ISNUMBER(G644),G644,H644)))/(pit_meta_2028+pfac_meta_2028),site_meta_2028)</f>
        <v>3.47282806845288</v>
      </c>
      <c r="I645" s="8" t="n">
        <f aca="false">IF(ISNUMBER(I644),(pit_meta_2029/(pit_meta_2029+pfac_meta_2029)*I644+pfac_meta_2029/(pit_meta_2029+pfac_meta_2029)*IF(AND(ISNUMBER(H644),ISNUMBER(G644)),wb1*H644+wb2*G644,IF(ISNUMBER(H644),H644,I644)))/(pit_meta_2029+pfac_meta_2029),site_meta_2029)</f>
        <v>3.32152343881153</v>
      </c>
    </row>
    <row r="646" customFormat="false" ht="17.15" hidden="false" customHeight="false" outlineLevel="0" collapsed="false">
      <c r="A646" s="0" t="s">
        <v>2020</v>
      </c>
      <c r="B646" s="0" t="s">
        <v>1376</v>
      </c>
      <c r="E646" s="8" t="n">
        <f aca="false">(1-lag)*E645+lag*D645-inv_k_lo*(E645-D645)</f>
        <v>1.11244142535626</v>
      </c>
      <c r="F646" s="8" t="n">
        <f aca="false">(1-lag)*F645+lag*E645-inv_k_lo*(F645-E645)</f>
        <v>1.83108757907004</v>
      </c>
      <c r="G646" s="8" t="n">
        <f aca="false">(1-lag)*G645+lag*F645-inv_k_lo*(G645-F645)</f>
        <v>2.74906421412772</v>
      </c>
      <c r="H646" s="8" t="n">
        <f aca="false">(1-lag)*H645+lag*G645-inv_k_lo*(H645-G645)</f>
        <v>3.33735223893853</v>
      </c>
      <c r="I646" s="8" t="n">
        <f aca="false">(1-lag)*I645+lag*H645-inv_k_lo*(I645-H645)</f>
        <v>3.3858279064091</v>
      </c>
    </row>
    <row r="647" customFormat="false" ht="17.15" hidden="false" customHeight="false" outlineLevel="0" collapsed="false">
      <c r="A647" s="0" t="s">
        <v>2021</v>
      </c>
      <c r="B647" s="0" t="s">
        <v>1382</v>
      </c>
      <c r="E647" s="8" t="n">
        <f aca="false">E646*(1-nnv_meta_2025)</f>
        <v>0.847446678695994</v>
      </c>
      <c r="F647" s="8" t="n">
        <f aca="false">F646*(1-nnv_meta_2026)</f>
        <v>1.39490408385992</v>
      </c>
      <c r="G647" s="8" t="n">
        <f aca="false">G646*(1-nnv_meta_2027)</f>
        <v>1.99828965793287</v>
      </c>
      <c r="H647" s="8" t="n">
        <f aca="false">H646*(1-nnv_meta_2028)</f>
        <v>2.43753066891948</v>
      </c>
      <c r="I647" s="8" t="n">
        <f aca="false">I646*(1-nnv_meta_2029)</f>
        <v>2.46424784127709</v>
      </c>
    </row>
    <row r="648" customFormat="false" ht="17.15" hidden="false" customHeight="false" outlineLevel="0" collapsed="false">
      <c r="A648" s="0" t="s">
        <v>2022</v>
      </c>
      <c r="B648" s="0" t="s">
        <v>1384</v>
      </c>
      <c r="D648" s="8" t="n">
        <f aca="false">site_meta_2024</f>
        <v>0</v>
      </c>
      <c r="E648" s="8" t="n">
        <f aca="false">site_meta_2025</f>
        <v>1.50812</v>
      </c>
      <c r="F648" s="8" t="n">
        <f aca="false">site_meta_2026</f>
        <v>0.676</v>
      </c>
      <c r="G648" s="8" t="n">
        <f aca="false">site_meta_2027</f>
        <v>0.615</v>
      </c>
      <c r="H648" s="8" t="n">
        <f aca="false">site_meta_2028</f>
        <v>2.99433333333333</v>
      </c>
      <c r="I648" s="8" t="n">
        <f aca="false">site_meta_2029</f>
        <v>0.968</v>
      </c>
    </row>
    <row r="649" customFormat="false" ht="17.15" hidden="false" customHeight="false" outlineLevel="0" collapsed="false">
      <c r="A649" s="0" t="s">
        <v>2023</v>
      </c>
      <c r="B649" s="0" t="s">
        <v>1386</v>
      </c>
      <c r="D649" s="8" t="n">
        <f aca="false">main_meta_2024</f>
        <v>0</v>
      </c>
      <c r="E649" s="8" t="n">
        <f aca="false">main_meta_2025</f>
        <v>1.50812</v>
      </c>
      <c r="F649" s="8" t="n">
        <f aca="false">main_meta_2026</f>
        <v>0.676</v>
      </c>
      <c r="G649" s="8" t="n">
        <f aca="false">main_meta_2027</f>
        <v>0.615</v>
      </c>
      <c r="H649" s="8" t="n">
        <f aca="false">main_meta_2028</f>
        <v>2.73641202658016</v>
      </c>
      <c r="I649" s="8" t="n">
        <f aca="false">main_meta_2029</f>
        <v>3.01174825182942</v>
      </c>
    </row>
    <row r="650" customFormat="false" ht="17.15" hidden="false" customHeight="false" outlineLevel="0" collapsed="false">
      <c r="A650" s="0" t="s">
        <v>2024</v>
      </c>
      <c r="B650" s="0" t="s">
        <v>1388</v>
      </c>
      <c r="D650" s="8" t="str">
        <f aca="false">IF(ISNUMBER(ai2_orcl_2024),ai2_orcl_2024,"")</f>
        <v/>
      </c>
      <c r="E650" s="8" t="n">
        <f aca="false">IF(ISNUMBER(ai2_orcl_2025),ai2_orcl_2025,"")</f>
        <v>35.1132166666667</v>
      </c>
      <c r="F650" s="8" t="n">
        <f aca="false">IF(ISNUMBER(ai2_orcl_2026),ai2_orcl_2026,"")</f>
        <v>65.5785625</v>
      </c>
      <c r="G650" s="8" t="n">
        <f aca="false">IF(ISNUMBER(ai2_orcl_2027),ai2_orcl_2027,"")</f>
        <v>82.8207416666667</v>
      </c>
      <c r="H650" s="8" t="n">
        <f aca="false">IF(ISNUMBER(ai2_orcl_2028),ai2_orcl_2028,"")</f>
        <v>77.8278416666667</v>
      </c>
      <c r="I650" s="8" t="n">
        <f aca="false">IF(ISNUMBER(ai2_orcl_2029),ai2_orcl_2029,"")</f>
        <v>76.3278466666667</v>
      </c>
    </row>
    <row r="651" customFormat="false" ht="17.15" hidden="false" customHeight="false" outlineLevel="0" collapsed="false">
      <c r="A651" s="0" t="s">
        <v>2025</v>
      </c>
      <c r="B651" s="0" t="s">
        <v>1390</v>
      </c>
      <c r="D651" s="8" t="n">
        <f aca="false">IF(ISNUMBER(D650),(pit_orcl_2024/(pit_orcl_2024+pfac_orcl_2024)*D650+pfac_orcl_2024/(pit_orcl_2024+pfac_orcl_2024)*IF(AND(ISNUMBER(""),ISNUMBER("")),wb1*""+wb2*"",IF(ISNUMBER(""),"",D650)))/(pit_orcl_2024+pfac_orcl_2024),site_orcl_2024)</f>
        <v>0</v>
      </c>
      <c r="E651" s="8" t="n">
        <f aca="false">IF(ISNUMBER(E650),(pit_orcl_2025/(pit_orcl_2025+pfac_orcl_2025)*E650+pfac_orcl_2025/(pit_orcl_2025+pfac_orcl_2025)*IF(AND(ISNUMBER(D650),ISNUMBER("")),wb1*D650+wb2*"",IF(ISNUMBER(D650),D650,E650)))/(pit_orcl_2025+pfac_orcl_2025),site_orcl_2025)</f>
        <v>0.885776418247533</v>
      </c>
      <c r="F651" s="8" t="n">
        <f aca="false">IF(ISNUMBER(F650),(pit_orcl_2026/(pit_orcl_2026+pfac_orcl_2026)*F650+pfac_orcl_2026/(pit_orcl_2026+pfac_orcl_2026)*IF(AND(ISNUMBER(E650),ISNUMBER(D650)),wb1*E650+wb2*D650,IF(ISNUMBER(E650),E650,F650)))/(pit_orcl_2026+pfac_orcl_2026),site_orcl_2026)</f>
        <v>1.26669929939621</v>
      </c>
      <c r="G651" s="8" t="n">
        <f aca="false">IF(ISNUMBER(G650),(pit_orcl_2027/(pit_orcl_2027+pfac_orcl_2027)*G650+pfac_orcl_2027/(pit_orcl_2027+pfac_orcl_2027)*IF(AND(ISNUMBER(F650),ISNUMBER(E650)),wb1*F650+wb2*E650,IF(ISNUMBER(F650),F650,G650)))/(pit_orcl_2027+pfac_orcl_2027),site_orcl_2027)</f>
        <v>1.53296918960021</v>
      </c>
      <c r="H651" s="8" t="n">
        <f aca="false">IF(ISNUMBER(H650),(pit_orcl_2028/(pit_orcl_2028+pfac_orcl_2028)*H650+pfac_orcl_2028/(pit_orcl_2028+pfac_orcl_2028)*IF(AND(ISNUMBER(G650),ISNUMBER(F650)),wb1*G650+wb2*F650,IF(ISNUMBER(G650),G650,H650)))/(pit_orcl_2028+pfac_orcl_2028),site_orcl_2028)</f>
        <v>1.51024789659781</v>
      </c>
      <c r="I651" s="8" t="n">
        <f aca="false">IF(ISNUMBER(I650),(pit_orcl_2029/(pit_orcl_2029+pfac_orcl_2029)*I650+pfac_orcl_2029/(pit_orcl_2029+pfac_orcl_2029)*IF(AND(ISNUMBER(H650),ISNUMBER(G650)),wb1*H650+wb2*G650,IF(ISNUMBER(H650),H650,I650)))/(pit_orcl_2029+pfac_orcl_2029),site_orcl_2029)</f>
        <v>1.51737350859667</v>
      </c>
    </row>
    <row r="652" customFormat="false" ht="17.15" hidden="false" customHeight="false" outlineLevel="0" collapsed="false">
      <c r="A652" s="0" t="s">
        <v>2026</v>
      </c>
      <c r="B652" s="0" t="s">
        <v>1392</v>
      </c>
      <c r="E652" s="8" t="n">
        <f aca="false">(1-lag)*E651+lag*D651-inv_k_lo*(E651-D651)</f>
        <v>0.509321440492332</v>
      </c>
      <c r="F652" s="8" t="n">
        <f aca="false">(1-lag)*F651+lag*E651-inv_k_lo*(F651-E651)</f>
        <v>1.10480707490802</v>
      </c>
      <c r="G652" s="8" t="n">
        <f aca="false">(1-lag)*G651+lag*F651-inv_k_lo*(G651-F651)</f>
        <v>1.41980448626351</v>
      </c>
      <c r="H652" s="8" t="n">
        <f aca="false">(1-lag)*H651+lag*G651-inv_k_lo*(H651-G651)</f>
        <v>1.51990444612383</v>
      </c>
      <c r="I652" s="8" t="n">
        <f aca="false">(1-lag)*I651+lag*H651-inv_k_lo*(I651-H651)</f>
        <v>1.51434512349715</v>
      </c>
    </row>
    <row r="653" customFormat="false" ht="17.15" hidden="false" customHeight="false" outlineLevel="0" collapsed="false">
      <c r="A653" s="0" t="s">
        <v>2027</v>
      </c>
      <c r="B653" s="0" t="s">
        <v>1394</v>
      </c>
      <c r="D653" s="8" t="str">
        <f aca="false">""</f>
        <v/>
      </c>
      <c r="E653" s="8" t="n">
        <f aca="false">(5/12*cap2_orcl_2025+7/12*gcap_orcl_2026)*ai_sh</f>
        <v>35.1132166666667</v>
      </c>
      <c r="F653" s="8" t="n">
        <f aca="false">(5/12*gcap_orcl_2026+7/12*gcap_orcl_2027)*ai_sh</f>
        <v>65.5785625</v>
      </c>
      <c r="G653" s="8" t="n">
        <f aca="false">(5/12*gcap_orcl_2027+7/12*gcap_orcl_2028)*ai_sh</f>
        <v>75.599189975</v>
      </c>
      <c r="H653" s="8" t="n">
        <f aca="false">(5/12*gcap_orcl_2028+7/12*gcap_orcl_2029)*ai_sh</f>
        <v>49.4435487791667</v>
      </c>
      <c r="I653" s="8" t="n">
        <f aca="false">(5/12*gcap_orcl_2029+7/12*gcap_orcl_2030)*ai_sh</f>
        <v>23.382754125</v>
      </c>
    </row>
    <row r="654" customFormat="false" ht="17.15" hidden="false" customHeight="false" outlineLevel="0" collapsed="false">
      <c r="A654" s="0" t="s">
        <v>2028</v>
      </c>
      <c r="B654" s="0" t="s">
        <v>1390</v>
      </c>
      <c r="D654" s="8" t="n">
        <f aca="false">IF(ISNUMBER(D653),(pit_orcl_2024/(pit_orcl_2024+pfac_orcl_2024)*D653+pfac_orcl_2024/(pit_orcl_2024+pfac_orcl_2024)*IF(AND(ISNUMBER(""),ISNUMBER("")),wb1*""+wb2*"",IF(ISNUMBER(""),"",D653)))/(pit_orcl_2024+pfac_orcl_2024),site_orcl_2024)</f>
        <v>0</v>
      </c>
      <c r="E654" s="8" t="n">
        <f aca="false">IF(ISNUMBER(E653),(pit_orcl_2025/(pit_orcl_2025+pfac_orcl_2025)*E653+pfac_orcl_2025/(pit_orcl_2025+pfac_orcl_2025)*IF(AND(ISNUMBER(D653),ISNUMBER("")),wb1*D653+wb2*"",IF(ISNUMBER(D653),D653,E653)))/(pit_orcl_2025+pfac_orcl_2025),site_orcl_2025)</f>
        <v>0.885776418247532</v>
      </c>
      <c r="F654" s="8" t="n">
        <f aca="false">IF(ISNUMBER(F653),(pit_orcl_2026/(pit_orcl_2026+pfac_orcl_2026)*F653+pfac_orcl_2026/(pit_orcl_2026+pfac_orcl_2026)*IF(AND(ISNUMBER(E653),ISNUMBER(D653)),wb1*E653+wb2*D653,IF(ISNUMBER(E653),E653,F653)))/(pit_orcl_2026+pfac_orcl_2026),site_orcl_2026)</f>
        <v>1.26669929939621</v>
      </c>
      <c r="G654" s="8" t="n">
        <f aca="false">IF(ISNUMBER(G653),(pit_orcl_2027/(pit_orcl_2027+pfac_orcl_2027)*G653+pfac_orcl_2027/(pit_orcl_2027+pfac_orcl_2027)*IF(AND(ISNUMBER(F653),ISNUMBER(E653)),wb1*F653+wb2*E653,IF(ISNUMBER(F653),F653,G653)))/(pit_orcl_2027+pfac_orcl_2027),site_orcl_2027)</f>
        <v>1.42175083118347</v>
      </c>
      <c r="H654" s="8" t="n">
        <f aca="false">IF(ISNUMBER(H653),(pit_orcl_2028/(pit_orcl_2028+pfac_orcl_2028)*H653+pfac_orcl_2028/(pit_orcl_2028+pfac_orcl_2028)*IF(AND(ISNUMBER(G653),ISNUMBER(F653)),wb1*G653+wb2*F653,IF(ISNUMBER(G653),G653,H653)))/(pit_orcl_2028+pfac_orcl_2028),site_orcl_2028)</f>
        <v>1.06923453221276</v>
      </c>
      <c r="I654" s="8" t="n">
        <f aca="false">IF(ISNUMBER(I653),(pit_orcl_2029/(pit_orcl_2029+pfac_orcl_2029)*I653+pfac_orcl_2029/(pit_orcl_2029+pfac_orcl_2029)*IF(AND(ISNUMBER(H653),ISNUMBER(G653)),wb1*H653+wb2*G653,IF(ISNUMBER(H653),H653,I653)))/(pit_orcl_2029+pfac_orcl_2029),site_orcl_2029)</f>
        <v>0.642469547070952</v>
      </c>
    </row>
    <row r="655" customFormat="false" ht="17.15" hidden="false" customHeight="false" outlineLevel="0" collapsed="false">
      <c r="A655" s="0" t="s">
        <v>2029</v>
      </c>
      <c r="B655" s="0" t="s">
        <v>1392</v>
      </c>
      <c r="E655" s="8" t="n">
        <f aca="false">(1-lag)*E654+lag*D654-inv_k_lo*(E654-D654)</f>
        <v>0.509321440492331</v>
      </c>
      <c r="F655" s="8" t="n">
        <f aca="false">(1-lag)*F654+lag*E654-inv_k_lo*(F654-E654)</f>
        <v>1.10480707490802</v>
      </c>
      <c r="G655" s="8" t="n">
        <f aca="false">(1-lag)*G654+lag*F654-inv_k_lo*(G654-F654)</f>
        <v>1.35585393017389</v>
      </c>
      <c r="H655" s="8" t="n">
        <f aca="false">(1-lag)*H654+lag*G654-inv_k_lo*(H654-G654)</f>
        <v>1.21905395927531</v>
      </c>
      <c r="I655" s="8" t="n">
        <f aca="false">(1-lag)*I654+lag*H654-inv_k_lo*(I654-H654)</f>
        <v>0.823844665756218</v>
      </c>
    </row>
    <row r="656" customFormat="false" ht="17.15" hidden="false" customHeight="false" outlineLevel="0" collapsed="false">
      <c r="A656" s="0" t="s">
        <v>2030</v>
      </c>
      <c r="B656" s="0" t="s">
        <v>1398</v>
      </c>
      <c r="E656" s="8" t="n">
        <f aca="false">E655*(1-nnv_orcl_2025)</f>
        <v>0.387995945939949</v>
      </c>
      <c r="F656" s="8" t="n">
        <f aca="false">F655*(1-nnv_orcl_2026)</f>
        <v>0.841630907380858</v>
      </c>
      <c r="G656" s="8" t="n">
        <f aca="false">G655*(1-nnv_orcl_2027)</f>
        <v>0.985567696967678</v>
      </c>
      <c r="H656" s="8" t="n">
        <f aca="false">H655*(1-nnv_orcl_2028)</f>
        <v>0.890370928825416</v>
      </c>
      <c r="I656" s="8" t="n">
        <f aca="false">I655*(1-nnv_orcl_2029)</f>
        <v>0.599604438044381</v>
      </c>
    </row>
    <row r="657" customFormat="false" ht="17.15" hidden="false" customHeight="false" outlineLevel="0" collapsed="false">
      <c r="A657" s="0" t="s">
        <v>2031</v>
      </c>
      <c r="B657" s="0" t="s">
        <v>1400</v>
      </c>
      <c r="D657" s="8" t="n">
        <f aca="false">site_orcl_2024</f>
        <v>0</v>
      </c>
      <c r="E657" s="8" t="n">
        <f aca="false">site_orcl_2025</f>
        <v>0.816405</v>
      </c>
      <c r="F657" s="8" t="n">
        <f aca="false">site_orcl_2026</f>
        <v>1.54613</v>
      </c>
      <c r="G657" s="8" t="n">
        <f aca="false">site_orcl_2027</f>
        <v>0.944166666666667</v>
      </c>
      <c r="H657" s="8" t="n">
        <f aca="false">site_orcl_2028</f>
        <v>4.91166666666667</v>
      </c>
      <c r="I657" s="8" t="n">
        <f aca="false">site_orcl_2029</f>
        <v>0</v>
      </c>
    </row>
    <row r="658" customFormat="false" ht="17.15" hidden="false" customHeight="false" outlineLevel="0" collapsed="false">
      <c r="A658" s="0" t="s">
        <v>2032</v>
      </c>
      <c r="B658" s="0" t="s">
        <v>1402</v>
      </c>
      <c r="D658" s="8" t="n">
        <f aca="false">main_orcl_2024</f>
        <v>0</v>
      </c>
      <c r="E658" s="8" t="n">
        <f aca="false">main_orcl_2025</f>
        <v>0.816405</v>
      </c>
      <c r="F658" s="8" t="n">
        <f aca="false">main_orcl_2026</f>
        <v>1.54613</v>
      </c>
      <c r="G658" s="8" t="n">
        <f aca="false">main_orcl_2027</f>
        <v>1.53296918960021</v>
      </c>
      <c r="H658" s="8" t="n">
        <f aca="false">main_orcl_2028</f>
        <v>1.51024789659781</v>
      </c>
      <c r="I658" s="8" t="n">
        <f aca="false">main_orcl_2029</f>
        <v>1.51737350859666</v>
      </c>
    </row>
    <row r="659" customFormat="false" ht="17.15" hidden="false" customHeight="false" outlineLevel="0" collapsed="false">
      <c r="A659" s="0" t="s">
        <v>2033</v>
      </c>
      <c r="B659" s="0" t="s">
        <v>1404</v>
      </c>
      <c r="D659" s="8" t="str">
        <f aca="false">IF(ISNUMBER(ai2_crwv_2024),ai2_crwv_2024,"")</f>
        <v/>
      </c>
      <c r="E659" s="8" t="str">
        <f aca="false">IF(ISNUMBER(ai2_crwv_2025),ai2_crwv_2025,"")</f>
        <v/>
      </c>
      <c r="F659" s="8" t="n">
        <f aca="false">IF(ISNUMBER(ai2_crwv_2026),ai2_crwv_2026,"")</f>
        <v>31.45</v>
      </c>
      <c r="G659" s="8" t="n">
        <f aca="false">IF(ISNUMBER(ai2_crwv_2027),ai2_crwv_2027,"")</f>
        <v>39.5046</v>
      </c>
      <c r="H659" s="8" t="n">
        <f aca="false">IF(ISNUMBER(ai2_crwv_2028),ai2_crwv_2028,"")</f>
        <v>42.60965</v>
      </c>
      <c r="I659" s="8" t="n">
        <f aca="false">IF(ISNUMBER(ai2_crwv_2029),ai2_crwv_2029,"")</f>
        <v>46.870615</v>
      </c>
    </row>
    <row r="660" customFormat="false" ht="17.15" hidden="false" customHeight="false" outlineLevel="0" collapsed="false">
      <c r="A660" s="0" t="s">
        <v>2034</v>
      </c>
      <c r="B660" s="0" t="s">
        <v>1406</v>
      </c>
      <c r="D660" s="8" t="n">
        <f aca="false">IF(ISNUMBER(D659),(pit_crwv_2024/(pit_crwv_2024+pfac_crwv_2024)*D659+pfac_crwv_2024/(pit_crwv_2024+pfac_crwv_2024)*IF(AND(ISNUMBER(""),ISNUMBER("")),wb1*""+wb2*"",IF(ISNUMBER(""),"",D659)))/(pit_crwv_2024+pfac_crwv_2024),site_crwv_2024)</f>
        <v>0.29</v>
      </c>
      <c r="E660" s="8" t="n">
        <f aca="false">IF(ISNUMBER(E659),(pit_crwv_2025/(pit_crwv_2025+pfac_crwv_2025)*E659+pfac_crwv_2025/(pit_crwv_2025+pfac_crwv_2025)*IF(AND(ISNUMBER(D659),ISNUMBER("")),wb1*D659+wb2*"",IF(ISNUMBER(D659),D659,E659)))/(pit_crwv_2025+pfac_crwv_2025),site_crwv_2025)</f>
        <v>0.49</v>
      </c>
      <c r="F660" s="8" t="n">
        <f aca="false">IF(ISNUMBER(F659),(pit_crwv_2026/(pit_crwv_2026+pfac_crwv_2026)*F659+pfac_crwv_2026/(pit_crwv_2026+pfac_crwv_2026)*IF(AND(ISNUMBER(E659),ISNUMBER(D659)),wb1*E659+wb2*D659,IF(ISNUMBER(E659),E659,F659)))/(pit_crwv_2026+pfac_crwv_2026),site_crwv_2026)</f>
        <v>0.6824489639016</v>
      </c>
      <c r="G660" s="8" t="n">
        <f aca="false">IF(ISNUMBER(G659),(pit_crwv_2027/(pit_crwv_2027+pfac_crwv_2027)*G659+pfac_crwv_2027/(pit_crwv_2027+pfac_crwv_2027)*IF(AND(ISNUMBER(F659),ISNUMBER(E659)),wb1*F659+wb2*E659,IF(ISNUMBER(F659),F659,G659)))/(pit_crwv_2027+pfac_crwv_2027),site_crwv_2027)</f>
        <v>0.735222622408663</v>
      </c>
      <c r="H660" s="8" t="n">
        <f aca="false">IF(ISNUMBER(H659),(pit_crwv_2028/(pit_crwv_2028+pfac_crwv_2028)*H659+pfac_crwv_2028/(pit_crwv_2028+pfac_crwv_2028)*IF(AND(ISNUMBER(G659),ISNUMBER(F659)),wb1*G659+wb2*F659,IF(ISNUMBER(G659),G659,H659)))/(pit_crwv_2028+pfac_crwv_2028),site_crwv_2028)</f>
        <v>0.758042293208188</v>
      </c>
      <c r="I660" s="8" t="n">
        <f aca="false">IF(ISNUMBER(I659),(pit_crwv_2029/(pit_crwv_2029+pfac_crwv_2029)*I659+pfac_crwv_2029/(pit_crwv_2029+pfac_crwv_2029)*IF(AND(ISNUMBER(H659),ISNUMBER(G659)),wb1*H659+wb2*G659,IF(ISNUMBER(H659),H659,I659)))/(pit_crwv_2029+pfac_crwv_2029),site_crwv_2029)</f>
        <v>0.842675104355277</v>
      </c>
    </row>
    <row r="661" customFormat="false" ht="17.15" hidden="false" customHeight="false" outlineLevel="0" collapsed="false">
      <c r="A661" s="0" t="s">
        <v>2035</v>
      </c>
      <c r="B661" s="0" t="s">
        <v>1408</v>
      </c>
      <c r="E661" s="8" t="n">
        <f aca="false">(1-lag)*E660+lag*D660-inv_k_lo*(E660-D660)</f>
        <v>0.405</v>
      </c>
      <c r="F661" s="8" t="n">
        <f aca="false">(1-lag)*F660+lag*E660-inv_k_lo*(F660-E660)</f>
        <v>0.60065815424342</v>
      </c>
      <c r="G661" s="8" t="n">
        <f aca="false">(1-lag)*G660+lag*F660-inv_k_lo*(G660-F660)</f>
        <v>0.712793817543161</v>
      </c>
      <c r="H661" s="8" t="n">
        <f aca="false">(1-lag)*H660+lag*G660-inv_k_lo*(H660-G660)</f>
        <v>0.74834393311839</v>
      </c>
      <c r="I661" s="8" t="n">
        <f aca="false">(1-lag)*I660+lag*H660-inv_k_lo*(I660-H660)</f>
        <v>0.806706159617764</v>
      </c>
    </row>
    <row r="662" customFormat="false" ht="17.15" hidden="false" customHeight="false" outlineLevel="0" collapsed="false">
      <c r="A662" s="0" t="s">
        <v>2036</v>
      </c>
      <c r="B662" s="0" t="s">
        <v>1410</v>
      </c>
      <c r="D662" s="8" t="str">
        <f aca="false">""</f>
        <v/>
      </c>
      <c r="E662" s="8" t="str">
        <f aca="false">""</f>
        <v/>
      </c>
      <c r="F662" s="8" t="n">
        <f aca="false">gcap_crwv_2026*ai_sh</f>
        <v>28.0313</v>
      </c>
      <c r="G662" s="8" t="n">
        <f aca="false">gcap_crwv_2027*ai_sh</f>
        <v>33.45858485</v>
      </c>
      <c r="H662" s="8" t="n">
        <f aca="false">gcap_crwv_2028*ai_sh</f>
        <v>27.6353649</v>
      </c>
      <c r="I662" s="8" t="n">
        <f aca="false">gcap_crwv_2029*ai_sh</f>
        <v>27.7951071</v>
      </c>
    </row>
    <row r="663" customFormat="false" ht="17.15" hidden="false" customHeight="false" outlineLevel="0" collapsed="false">
      <c r="A663" s="0" t="s">
        <v>2037</v>
      </c>
      <c r="B663" s="0" t="s">
        <v>1406</v>
      </c>
      <c r="D663" s="8" t="n">
        <f aca="false">IF(ISNUMBER(D662),(pit_crwv_2024/(pit_crwv_2024+pfac_crwv_2024)*D662+pfac_crwv_2024/(pit_crwv_2024+pfac_crwv_2024)*IF(AND(ISNUMBER(""),ISNUMBER("")),wb1*""+wb2*"",IF(ISNUMBER(""),"",D662)))/(pit_crwv_2024+pfac_crwv_2024),site_crwv_2024)</f>
        <v>0.29</v>
      </c>
      <c r="E663" s="8" t="n">
        <f aca="false">IF(ISNUMBER(E662),(pit_crwv_2025/(pit_crwv_2025+pfac_crwv_2025)*E662+pfac_crwv_2025/(pit_crwv_2025+pfac_crwv_2025)*IF(AND(ISNUMBER(D662),ISNUMBER("")),wb1*D662+wb2*"",IF(ISNUMBER(D662),D662,E662)))/(pit_crwv_2025+pfac_crwv_2025),site_crwv_2025)</f>
        <v>0.49</v>
      </c>
      <c r="F663" s="8" t="n">
        <f aca="false">IF(ISNUMBER(F662),(pit_crwv_2026/(pit_crwv_2026+pfac_crwv_2026)*F662+pfac_crwv_2026/(pit_crwv_2026+pfac_crwv_2026)*IF(AND(ISNUMBER(E662),ISNUMBER(D662)),wb1*E662+wb2*D662,IF(ISNUMBER(E662),E662,F662)))/(pit_crwv_2026+pfac_crwv_2026),site_crwv_2026)</f>
        <v>0.608264917068837</v>
      </c>
      <c r="G663" s="8" t="n">
        <f aca="false">IF(ISNUMBER(G662),(pit_crwv_2027/(pit_crwv_2027+pfac_crwv_2027)*G662+pfac_crwv_2027/(pit_crwv_2027+pfac_crwv_2027)*IF(AND(ISNUMBER(F662),ISNUMBER(E662)),wb1*F662+wb2*E662,IF(ISNUMBER(F662),F662,G662)))/(pit_crwv_2027+pfac_crwv_2027),site_crwv_2027)</f>
        <v>0.629490424531811</v>
      </c>
      <c r="H663" s="8" t="n">
        <f aca="false">IF(ISNUMBER(H662),(pit_crwv_2028/(pit_crwv_2028+pfac_crwv_2028)*H662+pfac_crwv_2028/(pit_crwv_2028+pfac_crwv_2028)*IF(AND(ISNUMBER(G662),ISNUMBER(F662)),wb1*G662+wb2*F662,IF(ISNUMBER(G662),G662,H662)))/(pit_crwv_2028+pfac_crwv_2028),site_crwv_2028)</f>
        <v>0.525250960902376</v>
      </c>
      <c r="I663" s="8" t="n">
        <f aca="false">IF(ISNUMBER(I662),(pit_crwv_2029/(pit_crwv_2029+pfac_crwv_2029)*I662+pfac_crwv_2029/(pit_crwv_2029+pfac_crwv_2029)*IF(AND(ISNUMBER(H662),ISNUMBER(G662)),wb1*H662+wb2*G662,IF(ISNUMBER(H662),H662,I662)))/(pit_crwv_2029+pfac_crwv_2029),site_crwv_2029)</f>
        <v>0.526654910671929</v>
      </c>
    </row>
    <row r="664" customFormat="false" ht="17.15" hidden="false" customHeight="false" outlineLevel="0" collapsed="false">
      <c r="A664" s="0" t="s">
        <v>2038</v>
      </c>
      <c r="B664" s="0" t="s">
        <v>1408</v>
      </c>
      <c r="E664" s="8" t="n">
        <f aca="false">(1-lag)*E663+lag*D663-inv_k_lo*(E663-D663)</f>
        <v>0.405</v>
      </c>
      <c r="F664" s="8" t="n">
        <f aca="false">(1-lag)*F663+lag*E663-inv_k_lo*(F663-E663)</f>
        <v>0.558002327314581</v>
      </c>
      <c r="G664" s="8" t="n">
        <f aca="false">(1-lag)*G663+lag*F663-inv_k_lo*(G663-F663)</f>
        <v>0.620469583860047</v>
      </c>
      <c r="H664" s="8" t="n">
        <f aca="false">(1-lag)*H663+lag*G663-inv_k_lo*(H663-G663)</f>
        <v>0.569552732944886</v>
      </c>
      <c r="I664" s="8" t="n">
        <f aca="false">(1-lag)*I663+lag*H663-inv_k_lo*(I663-H663)</f>
        <v>0.526058232019869</v>
      </c>
    </row>
    <row r="665" customFormat="false" ht="17.15" hidden="false" customHeight="false" outlineLevel="0" collapsed="false">
      <c r="A665" s="0" t="s">
        <v>2039</v>
      </c>
      <c r="B665" s="0" t="s">
        <v>1414</v>
      </c>
      <c r="E665" s="8" t="n">
        <f aca="false">E664*(1-nnv_crwv_2025)</f>
        <v>0.405</v>
      </c>
      <c r="F665" s="8" t="n">
        <f aca="false">F664*(1-nnv_crwv_2026)</f>
        <v>0.558002327314581</v>
      </c>
      <c r="G665" s="8" t="n">
        <f aca="false">G664*(1-nnv_crwv_2027)</f>
        <v>0.620469583860047</v>
      </c>
      <c r="H665" s="8" t="n">
        <f aca="false">H664*(1-nnv_crwv_2028)</f>
        <v>0.569552732944886</v>
      </c>
      <c r="I665" s="8" t="n">
        <f aca="false">I664*(1-nnv_crwv_2029)</f>
        <v>0.526058232019869</v>
      </c>
    </row>
    <row r="666" customFormat="false" ht="17.15" hidden="false" customHeight="false" outlineLevel="0" collapsed="false">
      <c r="A666" s="0" t="s">
        <v>2040</v>
      </c>
      <c r="B666" s="0" t="s">
        <v>1416</v>
      </c>
      <c r="D666" s="8" t="n">
        <f aca="false">site_crwv_2024</f>
        <v>0.29</v>
      </c>
      <c r="E666" s="8" t="n">
        <f aca="false">site_crwv_2025</f>
        <v>0.49</v>
      </c>
      <c r="F666" s="8" t="n">
        <f aca="false">site_crwv_2026</f>
        <v>1</v>
      </c>
      <c r="G666" s="8" t="n">
        <f aca="false">site_crwv_2027</f>
        <v>1.5375</v>
      </c>
      <c r="H666" s="8" t="n">
        <f aca="false">site_crwv_2028</f>
        <v>1.5375</v>
      </c>
      <c r="I666" s="8" t="n">
        <f aca="false">site_crwv_2029</f>
        <v>1.5375</v>
      </c>
    </row>
    <row r="667" customFormat="false" ht="17.15" hidden="false" customHeight="false" outlineLevel="0" collapsed="false">
      <c r="A667" s="0" t="s">
        <v>2041</v>
      </c>
      <c r="B667" s="0" t="s">
        <v>1418</v>
      </c>
      <c r="D667" s="8" t="n">
        <f aca="false">main_crwv_2024</f>
        <v>0.29</v>
      </c>
      <c r="E667" s="8" t="n">
        <f aca="false">main_crwv_2025</f>
        <v>0.49</v>
      </c>
      <c r="F667" s="8" t="n">
        <f aca="false">main_crwv_2026</f>
        <v>1</v>
      </c>
      <c r="G667" s="8" t="n">
        <f aca="false">main_crwv_2027</f>
        <v>1.5375</v>
      </c>
      <c r="H667" s="8" t="n">
        <f aca="false">main_crwv_2028</f>
        <v>0.758042293208187</v>
      </c>
      <c r="I667" s="8" t="n">
        <f aca="false">main_crwv_2029</f>
        <v>0.842675104355277</v>
      </c>
    </row>
    <row r="668" customFormat="false" ht="17.15" hidden="false" customHeight="false" outlineLevel="0" collapsed="false">
      <c r="A668" s="0" t="s">
        <v>2042</v>
      </c>
      <c r="B668" s="0" t="s">
        <v>1420</v>
      </c>
      <c r="D668" s="8" t="str">
        <f aca="false">IF(ISNUMBER(ai2_nbis_2024),ai2_nbis_2024,"")</f>
        <v/>
      </c>
      <c r="E668" s="8" t="n">
        <f aca="false">IF(ISNUMBER(ai2_nbis_2025),ai2_nbis_2025,"")</f>
        <v>3.4561</v>
      </c>
      <c r="F668" s="8" t="n">
        <f aca="false">IF(ISNUMBER(ai2_nbis_2026),ai2_nbis_2026,"")</f>
        <v>19.125</v>
      </c>
      <c r="G668" s="8" t="n">
        <f aca="false">IF(ISNUMBER(ai2_nbis_2027),ai2_nbis_2027,"")</f>
        <v>23.15655</v>
      </c>
      <c r="H668" s="8" t="n">
        <f aca="false">IF(ISNUMBER(ai2_nbis_2028),ai2_nbis_2028,"")</f>
        <v>32.6315</v>
      </c>
      <c r="I668" s="8" t="n">
        <f aca="false">IF(ISNUMBER(ai2_nbis_2029),ai2_nbis_2029,"")</f>
        <v>35.89465</v>
      </c>
    </row>
    <row r="669" customFormat="false" ht="17.15" hidden="false" customHeight="false" outlineLevel="0" collapsed="false">
      <c r="A669" s="0" t="s">
        <v>2043</v>
      </c>
      <c r="B669" s="0" t="s">
        <v>1422</v>
      </c>
      <c r="D669" s="8" t="n">
        <f aca="false">IF(ISNUMBER(D668),(pit_nbis_2024/(pit_nbis_2024+pfac_nbis_2024)*D668+pfac_nbis_2024/(pit_nbis_2024+pfac_nbis_2024)*IF(AND(ISNUMBER(""),ISNUMBER("")),wb1*""+wb2*"",IF(ISNUMBER(""),"",D668)))/(pit_nbis_2024+pfac_nbis_2024),site_nbis_2024)</f>
        <v>0</v>
      </c>
      <c r="E669" s="8" t="n">
        <f aca="false">IF(ISNUMBER(E668),(pit_nbis_2025/(pit_nbis_2025+pfac_nbis_2025)*E668+pfac_nbis_2025/(pit_nbis_2025+pfac_nbis_2025)*IF(AND(ISNUMBER(D668),ISNUMBER("")),wb1*D668+wb2*"",IF(ISNUMBER(D668),D668,E668)))/(pit_nbis_2025+pfac_nbis_2025),site_nbis_2025)</f>
        <v>0.0893531926088847</v>
      </c>
      <c r="F669" s="8" t="n">
        <f aca="false">IF(ISNUMBER(F668),(pit_nbis_2026/(pit_nbis_2026+pfac_nbis_2026)*F668+pfac_nbis_2026/(pit_nbis_2026+pfac_nbis_2026)*IF(AND(ISNUMBER(E668),ISNUMBER(D668)),wb1*E668+wb2*D668,IF(ISNUMBER(E668),E668,F668)))/(pit_nbis_2026+pfac_nbis_2026),site_nbis_2026)</f>
        <v>0.321523721659491</v>
      </c>
      <c r="G669" s="8" t="n">
        <f aca="false">IF(ISNUMBER(G668),(pit_nbis_2027/(pit_nbis_2027+pfac_nbis_2027)*G668+pfac_nbis_2027/(pit_nbis_2027+pfac_nbis_2027)*IF(AND(ISNUMBER(F668),ISNUMBER(E668)),wb1*F668+wb2*E668,IF(ISNUMBER(F668),F668,G668)))/(pit_nbis_2027+pfac_nbis_2027),site_nbis_2027)</f>
        <v>0.396179366526544</v>
      </c>
      <c r="H669" s="8" t="n">
        <f aca="false">IF(ISNUMBER(H668),(pit_nbis_2028/(pit_nbis_2028+pfac_nbis_2028)*H668+pfac_nbis_2028/(pit_nbis_2028+pfac_nbis_2028)*IF(AND(ISNUMBER(G668),ISNUMBER(F668)),wb1*G668+wb2*F668,IF(ISNUMBER(G668),G668,H668)))/(pit_nbis_2028+pfac_nbis_2028),site_nbis_2028)</f>
        <v>0.554335434150153</v>
      </c>
      <c r="I669" s="8" t="n">
        <f aca="false">IF(ISNUMBER(I668),(pit_nbis_2029/(pit_nbis_2029+pfac_nbis_2029)*I668+pfac_nbis_2029/(pit_nbis_2029+pfac_nbis_2029)*IF(AND(ISNUMBER(H668),ISNUMBER(G668)),wb1*H668+wb2*G668,IF(ISNUMBER(H668),H668,I668)))/(pit_nbis_2029+pfac_nbis_2029),site_nbis_2029)</f>
        <v>0.629924193744744</v>
      </c>
    </row>
    <row r="670" customFormat="false" ht="17.15" hidden="false" customHeight="false" outlineLevel="0" collapsed="false">
      <c r="A670" s="0" t="s">
        <v>2044</v>
      </c>
      <c r="B670" s="0" t="s">
        <v>1424</v>
      </c>
      <c r="E670" s="8" t="n">
        <f aca="false">(1-lag)*E669+lag*D669-inv_k_lo*(E669-D669)</f>
        <v>0.0513780857501087</v>
      </c>
      <c r="F670" s="8" t="n">
        <f aca="false">(1-lag)*F669+lag*E669-inv_k_lo*(F669-E669)</f>
        <v>0.222851246812983</v>
      </c>
      <c r="G670" s="8" t="n">
        <f aca="false">(1-lag)*G669+lag*F669-inv_k_lo*(G669-F669)</f>
        <v>0.364450717458046</v>
      </c>
      <c r="H670" s="8" t="n">
        <f aca="false">(1-lag)*H669+lag*G669-inv_k_lo*(H669-G669)</f>
        <v>0.487119105410119</v>
      </c>
      <c r="I670" s="8" t="n">
        <f aca="false">(1-lag)*I669+lag*H669-inv_k_lo*(I669-H669)</f>
        <v>0.597798970917042</v>
      </c>
    </row>
    <row r="671" customFormat="false" ht="17.15" hidden="false" customHeight="false" outlineLevel="0" collapsed="false">
      <c r="A671" s="0" t="s">
        <v>2045</v>
      </c>
      <c r="B671" s="0" t="s">
        <v>1426</v>
      </c>
      <c r="D671" s="8" t="str">
        <f aca="false">""</f>
        <v/>
      </c>
      <c r="E671" s="8" t="n">
        <f aca="false">cap2_nbis_2025*ai_sh</f>
        <v>3.4561</v>
      </c>
      <c r="F671" s="8" t="n">
        <f aca="false">gcap_nbis_2026*ai_sh</f>
        <v>22.1392615</v>
      </c>
      <c r="G671" s="8" t="n">
        <f aca="false">gcap_nbis_2027*ai_sh</f>
        <v>23.45782145</v>
      </c>
      <c r="H671" s="8" t="n">
        <f aca="false">gcap_nbis_2028*ai_sh</f>
        <v>24.7763814</v>
      </c>
      <c r="I671" s="8" t="n">
        <f aca="false">gcap_nbis_2029*ai_sh</f>
        <v>24.7763814</v>
      </c>
    </row>
    <row r="672" customFormat="false" ht="17.15" hidden="false" customHeight="false" outlineLevel="0" collapsed="false">
      <c r="A672" s="0" t="s">
        <v>2046</v>
      </c>
      <c r="B672" s="0" t="s">
        <v>1422</v>
      </c>
      <c r="D672" s="8" t="n">
        <f aca="false">IF(ISNUMBER(D671),(pit_nbis_2024/(pit_nbis_2024+pfac_nbis_2024)*D671+pfac_nbis_2024/(pit_nbis_2024+pfac_nbis_2024)*IF(AND(ISNUMBER(""),ISNUMBER("")),wb1*""+wb2*"",IF(ISNUMBER(""),"",D671)))/(pit_nbis_2024+pfac_nbis_2024),site_nbis_2024)</f>
        <v>0</v>
      </c>
      <c r="E672" s="8" t="n">
        <f aca="false">IF(ISNUMBER(E671),(pit_nbis_2025/(pit_nbis_2025+pfac_nbis_2025)*E671+pfac_nbis_2025/(pit_nbis_2025+pfac_nbis_2025)*IF(AND(ISNUMBER(D671),ISNUMBER("")),wb1*D671+wb2*"",IF(ISNUMBER(D671),D671,E671)))/(pit_nbis_2025+pfac_nbis_2025),site_nbis_2025)</f>
        <v>0.0893531926088847</v>
      </c>
      <c r="F672" s="8" t="n">
        <f aca="false">IF(ISNUMBER(F671),(pit_nbis_2026/(pit_nbis_2026+pfac_nbis_2026)*F671+pfac_nbis_2026/(pit_nbis_2026+pfac_nbis_2026)*IF(AND(ISNUMBER(E671),ISNUMBER(D671)),wb1*E671+wb2*D671,IF(ISNUMBER(E671),E671,F671)))/(pit_nbis_2026+pfac_nbis_2026),site_nbis_2026)</f>
        <v>0.368948888862446</v>
      </c>
      <c r="G672" s="8" t="n">
        <f aca="false">IF(ISNUMBER(G671),(pit_nbis_2027/(pit_nbis_2027+pfac_nbis_2027)*G671+pfac_nbis_2027/(pit_nbis_2027+pfac_nbis_2027)*IF(AND(ISNUMBER(F671),ISNUMBER(E671)),wb1*F671+wb2*E671,IF(ISNUMBER(F671),F671,G671)))/(pit_nbis_2027+pfac_nbis_2027),site_nbis_2027)</f>
        <v>0.407957040143515</v>
      </c>
      <c r="H672" s="8" t="n">
        <f aca="false">IF(ISNUMBER(H671),(pit_nbis_2028/(pit_nbis_2028+pfac_nbis_2028)*H671+pfac_nbis_2028/(pit_nbis_2028+pfac_nbis_2028)*IF(AND(ISNUMBER(G671),ISNUMBER(F671)),wb1*G671+wb2*F671,IF(ISNUMBER(G671),G671,H671)))/(pit_nbis_2028+pfac_nbis_2028),site_nbis_2028)</f>
        <v>0.450206743161261</v>
      </c>
      <c r="I672" s="8" t="n">
        <f aca="false">IF(ISNUMBER(I671),(pit_nbis_2029/(pit_nbis_2029+pfac_nbis_2029)*I671+pfac_nbis_2029/(pit_nbis_2029+pfac_nbis_2029)*IF(AND(ISNUMBER(H671),ISNUMBER(G671)),wb1*H671+wb2*G671,IF(ISNUMBER(H671),H671,I671)))/(pit_nbis_2029+pfac_nbis_2029),site_nbis_2029)</f>
        <v>0.45593532101388</v>
      </c>
    </row>
    <row r="673" customFormat="false" ht="17.15" hidden="false" customHeight="false" outlineLevel="0" collapsed="false">
      <c r="A673" s="0" t="s">
        <v>2047</v>
      </c>
      <c r="B673" s="0" t="s">
        <v>1424</v>
      </c>
      <c r="E673" s="8" t="n">
        <f aca="false">(1-lag)*E672+lag*D672-inv_k_lo*(E672-D672)</f>
        <v>0.0513780857501087</v>
      </c>
      <c r="F673" s="8" t="n">
        <f aca="false">(1-lag)*F672+lag*E672-inv_k_lo*(F672-E672)</f>
        <v>0.250120717954683</v>
      </c>
      <c r="G673" s="8" t="n">
        <f aca="false">(1-lag)*G672+lag*F672-inv_k_lo*(G672-F672)</f>
        <v>0.391378575849061</v>
      </c>
      <c r="H673" s="8" t="n">
        <f aca="false">(1-lag)*H672+lag*G672-inv_k_lo*(H672-G672)</f>
        <v>0.432250619378719</v>
      </c>
      <c r="I673" s="8" t="n">
        <f aca="false">(1-lag)*I672+lag*H672-inv_k_lo*(I672-H672)</f>
        <v>0.453500675426517</v>
      </c>
    </row>
    <row r="674" customFormat="false" ht="17.15" hidden="false" customHeight="false" outlineLevel="0" collapsed="false">
      <c r="A674" s="0" t="s">
        <v>2048</v>
      </c>
      <c r="B674" s="0" t="s">
        <v>1430</v>
      </c>
      <c r="E674" s="8" t="n">
        <f aca="false">E673*(1-nnv_nbis_2025)</f>
        <v>0.0513780857501087</v>
      </c>
      <c r="F674" s="8" t="n">
        <f aca="false">F673*(1-nnv_nbis_2026)</f>
        <v>0.250120717954683</v>
      </c>
      <c r="G674" s="8" t="n">
        <f aca="false">G673*(1-nnv_nbis_2027)</f>
        <v>0.391378575849061</v>
      </c>
      <c r="H674" s="8" t="n">
        <f aca="false">H673*(1-nnv_nbis_2028)</f>
        <v>0.432250619378719</v>
      </c>
      <c r="I674" s="8" t="n">
        <f aca="false">I673*(1-nnv_nbis_2029)</f>
        <v>0.453500675426517</v>
      </c>
    </row>
    <row r="675" customFormat="false" ht="17.15" hidden="false" customHeight="false" outlineLevel="0" collapsed="false">
      <c r="A675" s="0" t="s">
        <v>2049</v>
      </c>
      <c r="B675" s="0" t="s">
        <v>1432</v>
      </c>
      <c r="D675" s="8" t="n">
        <f aca="false">site_nbis_2024</f>
        <v>0</v>
      </c>
      <c r="E675" s="8" t="n">
        <f aca="false">site_nbis_2025</f>
        <v>0</v>
      </c>
      <c r="F675" s="8" t="n">
        <f aca="false">site_nbis_2026</f>
        <v>0.73</v>
      </c>
      <c r="G675" s="8" t="n">
        <f aca="false">site_nbis_2027</f>
        <v>0.403</v>
      </c>
      <c r="H675" s="8" t="n">
        <f aca="false">site_nbis_2028</f>
        <v>0</v>
      </c>
      <c r="I675" s="8" t="n">
        <f aca="false">site_nbis_2029</f>
        <v>0</v>
      </c>
    </row>
    <row r="676" customFormat="false" ht="17.15" hidden="false" customHeight="false" outlineLevel="0" collapsed="false">
      <c r="A676" s="0" t="s">
        <v>2050</v>
      </c>
      <c r="B676" s="0" t="s">
        <v>1434</v>
      </c>
      <c r="D676" s="8" t="n">
        <f aca="false">main_nbis_2024</f>
        <v>0</v>
      </c>
      <c r="E676" s="8" t="n">
        <f aca="false">main_nbis_2025</f>
        <v>0</v>
      </c>
      <c r="F676" s="8" t="n">
        <f aca="false">main_nbis_2026</f>
        <v>0.73</v>
      </c>
      <c r="G676" s="8" t="n">
        <f aca="false">main_nbis_2027</f>
        <v>0.396179366526544</v>
      </c>
      <c r="H676" s="8" t="n">
        <f aca="false">main_nbis_2028</f>
        <v>0.554335434150153</v>
      </c>
      <c r="I676" s="8" t="n">
        <f aca="false">main_nbis_2029</f>
        <v>0.629924193744744</v>
      </c>
    </row>
    <row r="677" customFormat="false" ht="17.15" hidden="false" customHeight="false" outlineLevel="0" collapsed="false">
      <c r="A677" s="0" t="s">
        <v>2051</v>
      </c>
      <c r="B677" s="0" t="s">
        <v>1436</v>
      </c>
      <c r="D677" s="8" t="str">
        <f aca="false">IF(ISNUMBER(gai_xai_2024),gai_xai_2024,"")</f>
        <v/>
      </c>
      <c r="E677" s="8" t="str">
        <f aca="false">IF(ISNUMBER(gai_xai_2025),gai_xai_2025,"")</f>
        <v/>
      </c>
      <c r="F677" s="8" t="n">
        <f aca="false">IF(ISNUMBER(gai_xai_2026),gai_xai_2026,"")</f>
        <v>74.058119</v>
      </c>
      <c r="G677" s="8" t="n">
        <f aca="false">IF(ISNUMBER(gai_xai_2027),gai_xai_2027,"")</f>
        <v>136.252477</v>
      </c>
      <c r="H677" s="8" t="n">
        <f aca="false">IF(ISNUMBER(gai_xai_2028),gai_xai_2028,"")</f>
        <v>144.12072</v>
      </c>
      <c r="I677" s="8" t="n">
        <f aca="false">IF(ISNUMBER(gai_xai_2029),gai_xai_2029,"")</f>
        <v>111.172527</v>
      </c>
    </row>
    <row r="678" customFormat="false" ht="17.15" hidden="false" customHeight="false" outlineLevel="0" collapsed="false">
      <c r="A678" s="0" t="s">
        <v>2052</v>
      </c>
      <c r="B678" s="0" t="s">
        <v>1438</v>
      </c>
      <c r="D678" s="8" t="n">
        <f aca="false">IF(ISNUMBER(D677),(pitN_2024/(pitN_2024+pfacN_2024)*D677+pfacN_2024/(pitN_2024+pfacN_2024)*IF(AND(ISNUMBER(""),ISNUMBER("")),wb1*""+wb2*"",IF(ISNUMBER(""),"",D677)))/(pitN_2024+pfacN_2024),site_xai_2024)</f>
        <v>0</v>
      </c>
      <c r="E678" s="8" t="n">
        <f aca="false">IF(ISNUMBER(E677),(pitN_2025/(pitN_2025+pfacN_2025)*E677+pfacN_2025/(pitN_2025+pfacN_2025)*IF(AND(ISNUMBER(D677),ISNUMBER("")),wb1*D677+wb2*"",IF(ISNUMBER(D677),D677,E677)))/(pitN_2025+pfacN_2025),site_xai_2025)</f>
        <v>0</v>
      </c>
      <c r="F678" s="8" t="n">
        <f aca="false">IF(ISNUMBER(F677),(pitN_2026/(pitN_2026+pfacN_2026)*F677+pfacN_2026/(pitN_2026+pfacN_2026)*IF(AND(ISNUMBER(E677),ISNUMBER(D677)),wb1*E677+wb2*D677,IF(ISNUMBER(E677),E677,F677)))/(pitN_2026+pfacN_2026),site_xai_2026)</f>
        <v>1.60702342066936</v>
      </c>
      <c r="G678" s="8" t="n">
        <f aca="false">IF(ISNUMBER(G677),(pitN_2027/(pitN_2027+pfacN_2027)*G677+pfacN_2027/(pitN_2027+pfacN_2027)*IF(AND(ISNUMBER(F677),ISNUMBER(E677)),wb1*F677+wb2*E677,IF(ISNUMBER(F677),F677,G677)))/(pitN_2027+pfacN_2027),site_xai_2027)</f>
        <v>2.36823509451502</v>
      </c>
      <c r="H678" s="8" t="n">
        <f aca="false">IF(ISNUMBER(H677),(pitN_2028/(pitN_2028+pfacN_2028)*H677+pfacN_2028/(pitN_2028+pfacN_2028)*IF(AND(ISNUMBER(G677),ISNUMBER(F677)),wb1*G677+wb2*F677,IF(ISNUMBER(G677),G677,H677)))/(pitN_2028+pfacN_2028),site_xai_2028)</f>
        <v>2.49948463520021</v>
      </c>
      <c r="I678" s="8" t="n">
        <f aca="false">IF(ISNUMBER(I677),(pitN_2029/(pitN_2029+pfacN_2029)*I677+pfacN_2029/(pitN_2029+pfacN_2029)*IF(AND(ISNUMBER(H677),ISNUMBER(G677)),wb1*H677+wb2*G677,IF(ISNUMBER(H677),H677,I677)))/(pitN_2029+pfacN_2029),site_xai_2029)</f>
        <v>2.18470428873966</v>
      </c>
    </row>
    <row r="679" customFormat="false" ht="17.15" hidden="false" customHeight="false" outlineLevel="0" collapsed="false">
      <c r="A679" s="0" t="s">
        <v>2053</v>
      </c>
      <c r="B679" s="0" t="s">
        <v>1440</v>
      </c>
      <c r="E679" s="8" t="n">
        <f aca="false">IF(ISNUMBER(gai_xai_2024),(1-lag)*E678+lag*D678-inv_k_lo*(E678-D678),E678)</f>
        <v>0</v>
      </c>
      <c r="F679" s="8" t="n">
        <f aca="false">IF(ISNUMBER(gai_xai_2025),(1-lag)*F678+lag*E678-inv_k_lo*(F678-E678),F678)</f>
        <v>1.60702342066936</v>
      </c>
      <c r="G679" s="8" t="n">
        <f aca="false">IF(ISNUMBER(gai_xai_2026),(1-lag)*G678+lag*F678-inv_k_lo*(G678-F678),G678)</f>
        <v>2.04472013313061</v>
      </c>
      <c r="H679" s="8" t="n">
        <f aca="false">IF(ISNUMBER(gai_xai_2027),(1-lag)*H678+lag*G678-inv_k_lo*(H678-G678),H678)</f>
        <v>2.443703580409</v>
      </c>
      <c r="I679" s="8" t="n">
        <f aca="false">IF(ISNUMBER(gai_xai_2028),(1-lag)*I678+lag*H678-inv_k_lo*(I678-H678),I678)</f>
        <v>2.31848593598539</v>
      </c>
    </row>
    <row r="680" customFormat="false" ht="17.15" hidden="false" customHeight="false" outlineLevel="0" collapsed="false">
      <c r="A680" s="0" t="s">
        <v>2054</v>
      </c>
      <c r="B680" s="0" t="s">
        <v>1442</v>
      </c>
      <c r="E680" s="8" t="n">
        <f aca="false">E679*(1-nnv_xai_2025)</f>
        <v>0</v>
      </c>
      <c r="F680" s="8" t="n">
        <f aca="false">F679*(1-nnv_xai_2026)</f>
        <v>1.60702342066936</v>
      </c>
      <c r="G680" s="8" t="n">
        <f aca="false">G679*(1-nnv_xai_2027)</f>
        <v>2.04472013313061</v>
      </c>
      <c r="H680" s="8" t="n">
        <f aca="false">H679*(1-nnv_xai_2028)</f>
        <v>2.443703580409</v>
      </c>
      <c r="I680" s="8" t="n">
        <f aca="false">I679*(1-nnv_xai_2029)</f>
        <v>2.31848593598539</v>
      </c>
    </row>
    <row r="681" customFormat="false" ht="17.15" hidden="false" customHeight="false" outlineLevel="0" collapsed="false">
      <c r="A681" s="0" t="s">
        <v>2055</v>
      </c>
      <c r="B681" s="0" t="s">
        <v>1444</v>
      </c>
      <c r="D681" s="8" t="n">
        <f aca="false">site_xai_2024</f>
        <v>0</v>
      </c>
      <c r="E681" s="8" t="n">
        <f aca="false">site_xai_2025</f>
        <v>0</v>
      </c>
      <c r="F681" s="8" t="n">
        <f aca="false">site_xai_2026</f>
        <v>1.4302</v>
      </c>
      <c r="G681" s="8" t="n">
        <f aca="false">site_xai_2027</f>
        <v>0.585</v>
      </c>
      <c r="H681" s="8" t="n">
        <f aca="false">site_xai_2028</f>
        <v>0</v>
      </c>
      <c r="I681" s="8" t="n">
        <f aca="false">site_xai_2029</f>
        <v>0</v>
      </c>
    </row>
    <row r="682" customFormat="false" ht="17.15" hidden="false" customHeight="false" outlineLevel="0" collapsed="false">
      <c r="A682" s="0" t="s">
        <v>2056</v>
      </c>
      <c r="B682" s="0" t="s">
        <v>1446</v>
      </c>
      <c r="D682" s="8" t="str">
        <f aca="false">IF(ISNUMBER(gai_ant_2024),gai_ant_2024,"")</f>
        <v/>
      </c>
      <c r="E682" s="8" t="str">
        <f aca="false">IF(ISNUMBER(gai_ant_2025),gai_ant_2025,"")</f>
        <v/>
      </c>
      <c r="F682" s="8" t="n">
        <f aca="false">IF(ISNUMBER(gai_ant_2026),gai_ant_2026,"")</f>
        <v>16.666667</v>
      </c>
      <c r="G682" s="8" t="n">
        <f aca="false">IF(ISNUMBER(gai_ant_2027),gai_ant_2027,"")</f>
        <v>16.666667</v>
      </c>
      <c r="H682" s="8" t="n">
        <f aca="false">IF(ISNUMBER(gai_ant_2028),gai_ant_2028,"")</f>
        <v>16.666667</v>
      </c>
      <c r="I682" s="8" t="n">
        <f aca="false">IF(ISNUMBER(gai_ant_2029),gai_ant_2029,"")</f>
        <v>0</v>
      </c>
    </row>
    <row r="683" customFormat="false" ht="17.15" hidden="false" customHeight="false" outlineLevel="0" collapsed="false">
      <c r="A683" s="0" t="s">
        <v>2057</v>
      </c>
      <c r="B683" s="0" t="s">
        <v>1448</v>
      </c>
      <c r="D683" s="8" t="n">
        <f aca="false">IF(ISNUMBER(D682),(pitN_2024/(pitN_2024+pfacN_2024)*D682+pfacN_2024/(pitN_2024+pfacN_2024)*IF(AND(ISNUMBER(""),ISNUMBER("")),wb1*""+wb2*"",IF(ISNUMBER(""),"",D682)))/(pitN_2024+pfacN_2024),site_ant_2024)</f>
        <v>0</v>
      </c>
      <c r="E683" s="8" t="n">
        <f aca="false">IF(ISNUMBER(E682),(pitN_2025/(pitN_2025+pfacN_2025)*E682+pfacN_2025/(pitN_2025+pfacN_2025)*IF(AND(ISNUMBER(D682),ISNUMBER("")),wb1*D682+wb2*"",IF(ISNUMBER(D682),D682,E682)))/(pitN_2025+pfacN_2025),site_ant_2025)</f>
        <v>0</v>
      </c>
      <c r="F683" s="8" t="n">
        <f aca="false">IF(ISNUMBER(F682),(pitN_2026/(pitN_2026+pfacN_2026)*F682+pfacN_2026/(pitN_2026+pfacN_2026)*IF(AND(ISNUMBER(E682),ISNUMBER(D682)),wb1*E682+wb2*D682,IF(ISNUMBER(E682),E682,F682)))/(pitN_2026+pfacN_2026),site_ant_2026)</f>
        <v>0.36165817570248</v>
      </c>
      <c r="G683" s="8" t="n">
        <f aca="false">IF(ISNUMBER(G682),(pitN_2027/(pitN_2027+pfacN_2027)*G682+pfacN_2027/(pitN_2027+pfacN_2027)*IF(AND(ISNUMBER(F682),ISNUMBER(E682)),wb1*F682+wb2*E682,IF(ISNUMBER(F682),F682,G682)))/(pitN_2027+pfacN_2027),site_ant_2027)</f>
        <v>0.326730833032632</v>
      </c>
      <c r="H683" s="8" t="n">
        <f aca="false">IF(ISNUMBER(H682),(pitN_2028/(pitN_2028+pfacN_2028)*H682+pfacN_2028/(pitN_2028+pfacN_2028)*IF(AND(ISNUMBER(G682),ISNUMBER(F682)),wb1*G682+wb2*F682,IF(ISNUMBER(G682),G682,H682)))/(pitN_2028+pfacN_2028),site_ant_2028)</f>
        <v>0.308627002270922</v>
      </c>
      <c r="I683" s="8" t="n">
        <f aca="false">IF(ISNUMBER(I682),(pitN_2029/(pitN_2029+pfacN_2029)*I682+pfacN_2029/(pitN_2029+pfacN_2029)*IF(AND(ISNUMBER(H682),ISNUMBER(G682)),wb1*H682+wb2*G682,IF(ISNUMBER(H682),H682,I682)))/(pitN_2029+pfacN_2029),site_ant_2029)</f>
        <v>0.0724095248404747</v>
      </c>
    </row>
    <row r="684" customFormat="false" ht="17.15" hidden="false" customHeight="false" outlineLevel="0" collapsed="false">
      <c r="A684" s="0" t="s">
        <v>2058</v>
      </c>
      <c r="B684" s="0" t="s">
        <v>1450</v>
      </c>
      <c r="E684" s="8" t="n">
        <f aca="false">IF(ISNUMBER(gai_ant_2024),(1-lag)*E683+lag*D683-inv_k_lo*(E683-D683),E683)</f>
        <v>0</v>
      </c>
      <c r="F684" s="8" t="n">
        <f aca="false">IF(ISNUMBER(gai_ant_2025),(1-lag)*F683+lag*E683-inv_k_lo*(F683-E683),F683)</f>
        <v>0.36165817570248</v>
      </c>
      <c r="G684" s="8" t="n">
        <f aca="false">IF(ISNUMBER(gai_ant_2026),(1-lag)*G683+lag*F683-inv_k_lo*(G683-F683),G683)</f>
        <v>0.341574953667317</v>
      </c>
      <c r="H684" s="8" t="n">
        <f aca="false">IF(ISNUMBER(gai_ant_2027),(1-lag)*H683+lag*G683-inv_k_lo*(H683-G683),H683)</f>
        <v>0.316321130344649</v>
      </c>
      <c r="I684" s="8" t="n">
        <f aca="false">IF(ISNUMBER(gai_ant_2028),(1-lag)*I683+lag*H683-inv_k_lo*(I683-H683),I683)</f>
        <v>0.172801952748415</v>
      </c>
    </row>
    <row r="685" customFormat="false" ht="17.15" hidden="false" customHeight="false" outlineLevel="0" collapsed="false">
      <c r="A685" s="0" t="s">
        <v>2059</v>
      </c>
      <c r="B685" s="0" t="s">
        <v>1452</v>
      </c>
      <c r="E685" s="8" t="n">
        <f aca="false">E684*(1-nnv_ant_2025)</f>
        <v>0</v>
      </c>
      <c r="F685" s="8" t="n">
        <f aca="false">F684*(1-nnv_ant_2026)</f>
        <v>0.275507557374688</v>
      </c>
      <c r="G685" s="8" t="n">
        <f aca="false">G684*(1-nnv_ant_2027)</f>
        <v>0.248290197738753</v>
      </c>
      <c r="H685" s="8" t="n">
        <f aca="false">H684*(1-nnv_ant_2028)</f>
        <v>0.231034185557708</v>
      </c>
      <c r="I685" s="8" t="n">
        <f aca="false">I684*(1-nnv_ant_2029)</f>
        <v>0.125767419608862</v>
      </c>
    </row>
    <row r="686" customFormat="false" ht="17.15" hidden="false" customHeight="false" outlineLevel="0" collapsed="false">
      <c r="A686" s="0" t="s">
        <v>2060</v>
      </c>
      <c r="B686" s="0" t="s">
        <v>1454</v>
      </c>
      <c r="D686" s="8" t="n">
        <f aca="false">site_ant_2024</f>
        <v>0</v>
      </c>
      <c r="E686" s="8" t="n">
        <f aca="false">site_ant_2025</f>
        <v>0</v>
      </c>
      <c r="F686" s="8" t="n">
        <f aca="false">site_ant_2026</f>
        <v>0</v>
      </c>
      <c r="G686" s="8" t="n">
        <f aca="false">site_ant_2027</f>
        <v>0</v>
      </c>
      <c r="H686" s="8" t="n">
        <f aca="false">site_ant_2028</f>
        <v>0</v>
      </c>
      <c r="I686" s="8" t="n">
        <f aca="false">site_ant_2029</f>
        <v>0</v>
      </c>
    </row>
    <row r="687" customFormat="false" ht="17.15" hidden="false" customHeight="false" outlineLevel="0" collapsed="false">
      <c r="A687" s="0" t="s">
        <v>2061</v>
      </c>
      <c r="B687" s="5" t="s">
        <v>1456</v>
      </c>
      <c r="D687" s="9" t="n">
        <f aca="false">D615+D624+D633+D642+D651+D660+D669</f>
        <v>2.88602836343531</v>
      </c>
      <c r="E687" s="9" t="n">
        <f aca="false">E615+E624+E633+E642+E651+E660+E669</f>
        <v>9.64396540227264</v>
      </c>
      <c r="F687" s="9" t="n">
        <f aca="false">F615+F624+F633+F642+F651+F660+F669</f>
        <v>15.2175288078156</v>
      </c>
      <c r="G687" s="9" t="n">
        <f aca="false">G615+G624+G633+G642+G651+G660+G669</f>
        <v>19.096009969242</v>
      </c>
      <c r="H687" s="9" t="n">
        <f aca="false">H615+H624+H633+H642+H651+H660+H669</f>
        <v>21.3980787384407</v>
      </c>
      <c r="I687" s="9" t="n">
        <f aca="false">I615+I624+I633+I642+I651+I660+I669</f>
        <v>23.901946773905</v>
      </c>
    </row>
    <row r="688" customFormat="false" ht="17.15" hidden="false" customHeight="false" outlineLevel="0" collapsed="false">
      <c r="A688" s="0" t="s">
        <v>2062</v>
      </c>
      <c r="B688" s="5" t="s">
        <v>1458</v>
      </c>
      <c r="D688" s="9" t="n">
        <f aca="false">D616+D625+D634+D643+D652+D661+D670</f>
        <v>0</v>
      </c>
      <c r="E688" s="9" t="n">
        <f aca="false">E616+E625+E634+E643+E652+E661+E670</f>
        <v>6.77184216076677</v>
      </c>
      <c r="F688" s="9" t="n">
        <f aca="false">F616+F625+F634+F643+F652+F661+F670</f>
        <v>12.8487643604599</v>
      </c>
      <c r="G688" s="9" t="n">
        <f aca="false">G616+G625+G634+G643+G652+G661+G670</f>
        <v>17.4476554756358</v>
      </c>
      <c r="H688" s="9" t="n">
        <f aca="false">H616+H625+H634+H643+H652+H661+H670</f>
        <v>20.4196995115313</v>
      </c>
      <c r="I688" s="9" t="n">
        <f aca="false">I616+I625+I634+I643+I652+I661+I670</f>
        <v>22.8378028588327</v>
      </c>
    </row>
    <row r="689" customFormat="false" ht="17.15" hidden="false" customHeight="false" outlineLevel="0" collapsed="false">
      <c r="A689" s="0" t="s">
        <v>2063</v>
      </c>
      <c r="B689" s="5" t="s">
        <v>1460</v>
      </c>
      <c r="D689" s="9" t="n">
        <f aca="false">D618+D627+D636+D645+D654+D663+D672</f>
        <v>3.89616485653111</v>
      </c>
      <c r="E689" s="9" t="n">
        <f aca="false">E618+E627+E636+E645+E654+E663+E672</f>
        <v>9.54752388940888</v>
      </c>
      <c r="F689" s="9" t="n">
        <f aca="false">F618+F627+F636+F645+F654+F663+F672</f>
        <v>15.0143331625148</v>
      </c>
      <c r="G689" s="9" t="n">
        <f aca="false">G618+G627+G636+G645+G654+G663+G672</f>
        <v>19.2346553461083</v>
      </c>
      <c r="H689" s="9" t="n">
        <f aca="false">H618+H627+H636+H645+H654+H663+H672</f>
        <v>20.7180010831606</v>
      </c>
      <c r="I689" s="9" t="n">
        <f aca="false">I618+I627+I636+I645+I654+I663+I672</f>
        <v>20.371284771225</v>
      </c>
    </row>
    <row r="690" customFormat="false" ht="17.15" hidden="false" customHeight="false" outlineLevel="0" collapsed="false">
      <c r="A690" s="0" t="s">
        <v>2064</v>
      </c>
      <c r="B690" s="5" t="s">
        <v>1462</v>
      </c>
      <c r="D690" s="9" t="n">
        <f aca="false">D619+D628+D637+D646+D655+D664+D673</f>
        <v>0</v>
      </c>
      <c r="E690" s="9" t="n">
        <f aca="false">E619+E628+E637+E646+E655+E664+E673</f>
        <v>7.14569630043583</v>
      </c>
      <c r="F690" s="9" t="n">
        <f aca="false">F619+F628+F637+F646+F655+F664+F673</f>
        <v>12.6909392214448</v>
      </c>
      <c r="G690" s="9" t="n">
        <f aca="false">G619+G628+G637+G646+G655+G664+G673</f>
        <v>17.4410184180811</v>
      </c>
      <c r="H690" s="9" t="n">
        <f aca="false">H619+H628+H637+H646+H655+H664+H673</f>
        <v>20.0875791449134</v>
      </c>
      <c r="I690" s="9" t="n">
        <f aca="false">I619+I628+I637+I646+I655+I664+I673</f>
        <v>20.5186392037976</v>
      </c>
    </row>
    <row r="691" customFormat="false" ht="15" hidden="false" customHeight="false" outlineLevel="0" collapsed="false">
      <c r="A691" s="0" t="s">
        <v>2065</v>
      </c>
      <c r="B691" s="5" t="s">
        <v>1464</v>
      </c>
      <c r="D691" s="9" t="n">
        <f aca="false">D621+D630+D639+D648+D657+D666+D675</f>
        <v>1.61980834349181</v>
      </c>
      <c r="E691" s="9" t="n">
        <f aca="false">E621+E630+E639+E648+E657+E666+E675</f>
        <v>8.74912429484715</v>
      </c>
      <c r="F691" s="9" t="n">
        <f aca="false">F621+F630+F639+F648+F657+F666+F675</f>
        <v>6.54276412772586</v>
      </c>
      <c r="G691" s="9" t="n">
        <f aca="false">G621+G630+G639+G648+G657+G666+G675</f>
        <v>6.52966666666667</v>
      </c>
      <c r="H691" s="9" t="n">
        <f aca="false">H621+H630+H639+H648+H657+H666+H675</f>
        <v>13.6908333333333</v>
      </c>
      <c r="I691" s="9" t="n">
        <f aca="false">I621+I630+I639+I648+I657+I666+I675</f>
        <v>2.7115</v>
      </c>
    </row>
    <row r="692" customFormat="false" ht="17.15" hidden="false" customHeight="false" outlineLevel="0" collapsed="false">
      <c r="A692" s="0" t="s">
        <v>2066</v>
      </c>
      <c r="B692" s="5" t="s">
        <v>1466</v>
      </c>
      <c r="D692" s="9" t="n">
        <f aca="false">D622+D631+D640+D649+D658+D667+D676</f>
        <v>1.61980834349181</v>
      </c>
      <c r="E692" s="9" t="n">
        <f aca="false">E622+E631+E640+E649+E658+E667+E676</f>
        <v>8.74912429484715</v>
      </c>
      <c r="F692" s="9" t="n">
        <f aca="false">F622+F631+F640+F649+F658+F667+F676</f>
        <v>6.54276412772586</v>
      </c>
      <c r="G692" s="9" t="n">
        <f aca="false">G622+G631+G640+G649+G658+G667+G676</f>
        <v>17.8887754681966</v>
      </c>
      <c r="H692" s="9" t="n">
        <f aca="false">H622+H631+H640+H649+H658+H667+H676</f>
        <v>21.3980787384407</v>
      </c>
      <c r="I692" s="9" t="n">
        <f aca="false">I622+I631+I640+I649+I658+I667+I676</f>
        <v>23.9019467739051</v>
      </c>
    </row>
    <row r="693" customFormat="false" ht="17.15" hidden="false" customHeight="false" outlineLevel="0" collapsed="false">
      <c r="A693" s="0" t="s">
        <v>2067</v>
      </c>
      <c r="B693" s="5" t="s">
        <v>1468</v>
      </c>
      <c r="D693" s="9" t="n">
        <f aca="false">D620+D629+D638+D647+D656+D665+D674</f>
        <v>0</v>
      </c>
      <c r="E693" s="9" t="n">
        <f aca="false">E620+E629+E638+E647+E656+E665+E674</f>
        <v>3.85446475562766</v>
      </c>
      <c r="F693" s="9" t="n">
        <f aca="false">F620+F629+F638+F647+F656+F665+F674</f>
        <v>7.01289991537882</v>
      </c>
      <c r="G693" s="9" t="n">
        <f aca="false">G620+G629+G638+G647+G656+G665+G674</f>
        <v>9.08947476018666</v>
      </c>
      <c r="H693" s="9" t="n">
        <f aca="false">H620+H629+H638+H647+H656+H665+H674</f>
        <v>10.2478737414201</v>
      </c>
      <c r="I693" s="9" t="n">
        <f aca="false">I620+I629+I638+I647+I656+I665+I674</f>
        <v>10.2625433611546</v>
      </c>
    </row>
    <row r="694" customFormat="false" ht="17.15" hidden="false" customHeight="false" outlineLevel="0" collapsed="false">
      <c r="A694" s="0" t="s">
        <v>2068</v>
      </c>
      <c r="B694" s="5" t="s">
        <v>1470</v>
      </c>
      <c r="D694" s="9" t="n">
        <f aca="false">D680+D685</f>
        <v>0</v>
      </c>
      <c r="E694" s="9" t="n">
        <f aca="false">E680+E685</f>
        <v>0</v>
      </c>
      <c r="F694" s="9" t="n">
        <f aca="false">F680+F685</f>
        <v>1.88253097804405</v>
      </c>
      <c r="G694" s="9" t="n">
        <f aca="false">G680+G685</f>
        <v>2.29301033086937</v>
      </c>
      <c r="H694" s="9" t="n">
        <f aca="false">H680+H685</f>
        <v>2.67473776596671</v>
      </c>
      <c r="I694" s="9" t="n">
        <f aca="false">I680+I685</f>
        <v>2.44425335559425</v>
      </c>
    </row>
    <row r="695" customFormat="false" ht="15" hidden="false" customHeight="false" outlineLevel="0" collapsed="false">
      <c r="A695" s="0" t="s">
        <v>2069</v>
      </c>
      <c r="B695" s="5" t="s">
        <v>1472</v>
      </c>
      <c r="D695" s="9" t="n">
        <f aca="false">D678+D683</f>
        <v>0</v>
      </c>
      <c r="E695" s="9" t="n">
        <f aca="false">E678+E683</f>
        <v>0</v>
      </c>
      <c r="F695" s="9" t="n">
        <f aca="false">F678+F683</f>
        <v>1.96868159637184</v>
      </c>
      <c r="G695" s="9" t="n">
        <f aca="false">G678+G683</f>
        <v>2.69496592754765</v>
      </c>
      <c r="H695" s="9" t="n">
        <f aca="false">H678+H683</f>
        <v>2.80811163747113</v>
      </c>
      <c r="I695" s="9" t="n">
        <f aca="false">I678+I683</f>
        <v>2.25711381358013</v>
      </c>
    </row>
    <row r="696" customFormat="false" ht="15" hidden="false" customHeight="false" outlineLevel="0" collapsed="false">
      <c r="A696" s="0" t="s">
        <v>2070</v>
      </c>
      <c r="B696" s="5" t="s">
        <v>1474</v>
      </c>
      <c r="D696" s="9" t="n">
        <f aca="false">D679+D684</f>
        <v>0</v>
      </c>
      <c r="E696" s="9" t="n">
        <f aca="false">E679+E684</f>
        <v>0</v>
      </c>
      <c r="F696" s="9" t="n">
        <f aca="false">F679+F684</f>
        <v>1.96868159637184</v>
      </c>
      <c r="G696" s="9" t="n">
        <f aca="false">G679+G684</f>
        <v>2.38629508679793</v>
      </c>
      <c r="H696" s="9" t="n">
        <f aca="false">H679+H684</f>
        <v>2.76002471075365</v>
      </c>
      <c r="I696" s="9" t="n">
        <f aca="false">I679+I684</f>
        <v>2.4912878887338</v>
      </c>
    </row>
    <row r="697" customFormat="false" ht="15" hidden="false" customHeight="false" outlineLevel="0" collapsed="false">
      <c r="A697" s="0" t="s">
        <v>2071</v>
      </c>
      <c r="B697" s="5" t="s">
        <v>1476</v>
      </c>
      <c r="D697" s="9" t="n">
        <f aca="false">D681+D686</f>
        <v>0</v>
      </c>
      <c r="E697" s="9" t="n">
        <f aca="false">E681+E686</f>
        <v>0</v>
      </c>
      <c r="F697" s="9" t="n">
        <f aca="false">F681+F686</f>
        <v>1.4302</v>
      </c>
      <c r="G697" s="9" t="n">
        <f aca="false">G681+G686</f>
        <v>0.585</v>
      </c>
      <c r="H697" s="9" t="n">
        <f aca="false">H681+H686</f>
        <v>0</v>
      </c>
      <c r="I697" s="9" t="n">
        <f aca="false">I681+I686</f>
        <v>0</v>
      </c>
    </row>
    <row r="699" customFormat="false" ht="15" hidden="false" customHeight="false" outlineLevel="0" collapsed="false">
      <c r="A699" s="6" t="s">
        <v>2072</v>
      </c>
    </row>
    <row r="700" customFormat="false" ht="15" hidden="false" customHeight="false" outlineLevel="0" collapsed="false">
      <c r="A700" s="2" t="s">
        <v>1</v>
      </c>
      <c r="B700" s="2" t="s">
        <v>2</v>
      </c>
      <c r="C700" s="7"/>
      <c r="D700" s="7" t="s">
        <v>1317</v>
      </c>
      <c r="E700" s="7" t="s">
        <v>1318</v>
      </c>
      <c r="F700" s="7" t="s">
        <v>1319</v>
      </c>
      <c r="G700" s="7" t="s">
        <v>1320</v>
      </c>
      <c r="H700" s="7" t="s">
        <v>1321</v>
      </c>
      <c r="I700" s="7" t="s">
        <v>1322</v>
      </c>
    </row>
    <row r="701" customFormat="false" ht="17.15" hidden="false" customHeight="false" outlineLevel="0" collapsed="false">
      <c r="A701" s="0" t="s">
        <v>2073</v>
      </c>
      <c r="B701" s="0" t="s">
        <v>1324</v>
      </c>
      <c r="D701" s="8" t="n">
        <f aca="false">IF(ISNUMBER(ai2_msft_2024),ai2_msft_2024,"")</f>
        <v>46.3369</v>
      </c>
      <c r="E701" s="8" t="n">
        <f aca="false">IF(ISNUMBER(ai2_msft_2025),ai2_msft_2025,"")</f>
        <v>76.712075</v>
      </c>
      <c r="F701" s="8" t="n">
        <f aca="false">IF(ISNUMBER(ai2_msft_2026),ai2_msft_2026,"")</f>
        <v>131.229375</v>
      </c>
      <c r="G701" s="8" t="n">
        <f aca="false">IF(ISNUMBER(ai2_msft_2027),ai2_msft_2027,"")</f>
        <v>174.08595</v>
      </c>
      <c r="H701" s="8" t="n">
        <f aca="false">IF(ISNUMBER(ai2_msft_2028),ai2_msft_2028,"")</f>
        <v>198.883</v>
      </c>
      <c r="I701" s="8" t="n">
        <f aca="false">IF(ISNUMBER(ai2_msft_2029),ai2_msft_2029,"")</f>
        <v>224.1719025</v>
      </c>
    </row>
    <row r="702" customFormat="false" ht="17.15" hidden="false" customHeight="false" outlineLevel="0" collapsed="false">
      <c r="A702" s="0" t="s">
        <v>2074</v>
      </c>
      <c r="B702" s="0" t="s">
        <v>1326</v>
      </c>
      <c r="D702" s="8" t="n">
        <f aca="false">IF(ISNUMBER(D701),(pit_msft_2024/(pit_msft_2024+pfac_msft_2024)*D701+pfac_msft_2024/(pit_msft_2024+pfac_msft_2024)*IF(AND(ISNUMBER(""),ISNUMBER("")),wb1*""+wb2*"",IF(ISNUMBER(""),"",D701)))/(pit_msft_2024+pfac_msft_2024),site_msft_2024)</f>
        <v>1.2662200199435</v>
      </c>
      <c r="E702" s="8" t="n">
        <f aca="false">IF(ISNUMBER(E701),(pit_msft_2025/(pit_msft_2025+pfac_msft_2025)*E701+pfac_msft_2025/(pit_msft_2025+pfac_msft_2025)*IF(AND(ISNUMBER(D701),ISNUMBER("")),wb1*D701+wb2*"",IF(ISNUMBER(D701),D701,E701)))/(pit_msft_2025+pfac_msft_2025),site_msft_2025)</f>
        <v>1.89413391980359</v>
      </c>
      <c r="F702" s="8" t="n">
        <f aca="false">IF(ISNUMBER(F701),(pit_msft_2026/(pit_msft_2026+pfac_msft_2026)*F701+pfac_msft_2026/(pit_msft_2026+pfac_msft_2026)*IF(AND(ISNUMBER(E701),ISNUMBER(D701)),wb1*E701+wb2*D701,IF(ISNUMBER(E701),E701,F701)))/(pit_msft_2026+pfac_msft_2026),site_msft_2026)</f>
        <v>2.73280981276305</v>
      </c>
      <c r="G702" s="8" t="n">
        <f aca="false">IF(ISNUMBER(G701),(pit_msft_2027/(pit_msft_2027+pfac_msft_2027)*G701+pfac_msft_2027/(pit_msft_2027+pfac_msft_2027)*IF(AND(ISNUMBER(F701),ISNUMBER(E701)),wb1*F701+wb2*E701,IF(ISNUMBER(F701),F701,G701)))/(pit_msft_2027+pfac_msft_2027),site_msft_2027)</f>
        <v>3.56447576934396</v>
      </c>
      <c r="H702" s="8" t="n">
        <f aca="false">IF(ISNUMBER(H701),(pit_msft_2028/(pit_msft_2028+pfac_msft_2028)*H701+pfac_msft_2028/(pit_msft_2028+pfac_msft_2028)*IF(AND(ISNUMBER(G701),ISNUMBER(F701)),wb1*G701+wb2*F701,IF(ISNUMBER(G701),G701,H701)))/(pit_msft_2028+pfac_msft_2028),site_msft_2028)</f>
        <v>4.06597876464757</v>
      </c>
      <c r="I702" s="8" t="n">
        <f aca="false">IF(ISNUMBER(I701),(pit_msft_2029/(pit_msft_2029+pfac_msft_2029)*I701+pfac_msft_2029/(pit_msft_2029+pfac_msft_2029)*IF(AND(ISNUMBER(H701),ISNUMBER(G701)),wb1*H701+wb2*G701,IF(ISNUMBER(H701),H701,I701)))/(pit_msft_2029+pfac_msft_2029),site_msft_2029)</f>
        <v>4.6644209987717</v>
      </c>
    </row>
    <row r="703" customFormat="false" ht="17.15" hidden="false" customHeight="false" outlineLevel="0" collapsed="false">
      <c r="A703" s="0" t="s">
        <v>2075</v>
      </c>
      <c r="B703" s="0" t="s">
        <v>1328</v>
      </c>
      <c r="E703" s="8" t="n">
        <f aca="false">(1-lag)*E702+lag*D702-inv_k_hi*(E702-D702)</f>
        <v>1.53308342738403</v>
      </c>
      <c r="F703" s="8" t="n">
        <f aca="false">(1-lag)*F702+lag*E702-inv_k_hi*(F702-E702)</f>
        <v>2.25057117431136</v>
      </c>
      <c r="G703" s="8" t="n">
        <f aca="false">(1-lag)*G702+lag*F702-inv_k_hi*(G702-F702)</f>
        <v>3.08626784430993</v>
      </c>
      <c r="H703" s="8" t="n">
        <f aca="false">(1-lag)*H702+lag*G702-inv_k_hi*(H702-G702)</f>
        <v>3.77761454234799</v>
      </c>
      <c r="I703" s="8" t="n">
        <f aca="false">(1-lag)*I702+lag*H702-inv_k_hi*(I702-H702)</f>
        <v>4.32031671415033</v>
      </c>
    </row>
    <row r="704" customFormat="false" ht="17.15" hidden="false" customHeight="false" outlineLevel="0" collapsed="false">
      <c r="A704" s="0" t="s">
        <v>2076</v>
      </c>
      <c r="B704" s="0" t="s">
        <v>1330</v>
      </c>
      <c r="D704" s="8" t="str">
        <f aca="false">""</f>
        <v/>
      </c>
      <c r="E704" s="8" t="n">
        <f aca="false">(6/12*cap2_msft_2025+6/12*gcap_msft_2026)*ai_sh</f>
        <v>89.186675</v>
      </c>
      <c r="F704" s="8" t="n">
        <f aca="false">(6/12*gcap_msft_2026+6/12*gcap_msft_2027)*ai_sh</f>
        <v>148.5375</v>
      </c>
      <c r="G704" s="8" t="n">
        <f aca="false">(6/12*gcap_msft_2027+6/12*gcap_msft_2028)*ai_sh</f>
        <v>185.939575275</v>
      </c>
      <c r="H704" s="8" t="n">
        <f aca="false">(6/12*gcap_msft_2028+6/12*gcap_msft_2029)*ai_sh</f>
        <v>202.7978586</v>
      </c>
      <c r="I704" s="8" t="n">
        <f aca="false">(6/12*gcap_msft_2029+6/12*gcap_msft_2030)*ai_sh</f>
        <v>197.6117298</v>
      </c>
    </row>
    <row r="705" customFormat="false" ht="17.15" hidden="false" customHeight="false" outlineLevel="0" collapsed="false">
      <c r="A705" s="0" t="s">
        <v>2077</v>
      </c>
      <c r="B705" s="0" t="s">
        <v>1326</v>
      </c>
      <c r="D705" s="8" t="n">
        <f aca="false">IF(ISNUMBER(D704),(pit_msft_2024/(pit_msft_2024+pfac_msft_2024)*D704+pfac_msft_2024/(pit_msft_2024+pfac_msft_2024)*IF(AND(ISNUMBER(""),ISNUMBER("")),wb1*""+wb2*"",IF(ISNUMBER(""),"",D704)))/(pit_msft_2024+pfac_msft_2024),site_msft_2024)</f>
        <v>0</v>
      </c>
      <c r="E705" s="8" t="n">
        <f aca="false">IF(ISNUMBER(E704),(pit_msft_2025/(pit_msft_2025+pfac_msft_2025)*E704+pfac_msft_2025/(pit_msft_2025+pfac_msft_2025)*IF(AND(ISNUMBER(D704),ISNUMBER("")),wb1*D704+wb2*"",IF(ISNUMBER(D704),D704,E704)))/(pit_msft_2025+pfac_msft_2025),site_msft_2025)</f>
        <v>2.51576435599185</v>
      </c>
      <c r="F705" s="8" t="n">
        <f aca="false">IF(ISNUMBER(F704),(pit_msft_2026/(pit_msft_2026+pfac_msft_2026)*F704+pfac_msft_2026/(pit_msft_2026+pfac_msft_2026)*IF(AND(ISNUMBER(E704),ISNUMBER(D704)),wb1*E704+wb2*D704,IF(ISNUMBER(E704),E704,F704)))/(pit_msft_2026+pfac_msft_2026),site_msft_2026)</f>
        <v>3.22245015720519</v>
      </c>
      <c r="G705" s="8" t="n">
        <f aca="false">IF(ISNUMBER(G704),(pit_msft_2027/(pit_msft_2027+pfac_msft_2027)*G704+pfac_msft_2027/(pit_msft_2027+pfac_msft_2027)*IF(AND(ISNUMBER(F704),ISNUMBER(E704)),wb1*F704+wb2*E704,IF(ISNUMBER(F704),F704,G704)))/(pit_msft_2027+pfac_msft_2027),site_msft_2027)</f>
        <v>3.85144347642322</v>
      </c>
      <c r="H705" s="8" t="n">
        <f aca="false">IF(ISNUMBER(H704),(pit_msft_2028/(pit_msft_2028+pfac_msft_2028)*H704+pfac_msft_2028/(pit_msft_2028+pfac_msft_2028)*IF(AND(ISNUMBER(G704),ISNUMBER(F704)),wb1*G704+wb2*F704,IF(ISNUMBER(G704),G704,H704)))/(pit_msft_2028+pfac_msft_2028),site_msft_2028)</f>
        <v>4.20542058770135</v>
      </c>
      <c r="I705" s="8" t="n">
        <f aca="false">IF(ISNUMBER(I704),(pit_msft_2029/(pit_msft_2029+pfac_msft_2029)*I704+pfac_msft_2029/(pit_msft_2029+pfac_msft_2029)*IF(AND(ISNUMBER(H704),ISNUMBER(G704)),wb1*H704+wb2*G704,IF(ISNUMBER(H704),H704,I704)))/(pit_msft_2029+pfac_msft_2029),site_msft_2029)</f>
        <v>4.26588923952249</v>
      </c>
    </row>
    <row r="706" customFormat="false" ht="17.15" hidden="false" customHeight="false" outlineLevel="0" collapsed="false">
      <c r="A706" s="0" t="s">
        <v>2078</v>
      </c>
      <c r="B706" s="0" t="s">
        <v>1328</v>
      </c>
      <c r="E706" s="8" t="n">
        <f aca="false">(1-lag)*E705+lag*D705-inv_k_hi*(E705-D705)</f>
        <v>1.06919985129653</v>
      </c>
      <c r="F706" s="8" t="n">
        <f aca="false">(1-lag)*F705+lag*E705-inv_k_hi*(F705-E705)</f>
        <v>2.81610582150752</v>
      </c>
      <c r="G706" s="8" t="n">
        <f aca="false">(1-lag)*G705+lag*F705-inv_k_hi*(G705-F705)</f>
        <v>3.48977231787285</v>
      </c>
      <c r="H706" s="8" t="n">
        <f aca="false">(1-lag)*H705+lag*G705-inv_k_hi*(H705-G705)</f>
        <v>4.00188374871643</v>
      </c>
      <c r="I706" s="8" t="n">
        <f aca="false">(1-lag)*I705+lag*H705-inv_k_hi*(I705-H705)</f>
        <v>4.23111976472534</v>
      </c>
    </row>
    <row r="707" customFormat="false" ht="17.15" hidden="false" customHeight="false" outlineLevel="0" collapsed="false">
      <c r="A707" s="0" t="s">
        <v>2079</v>
      </c>
      <c r="B707" s="0" t="s">
        <v>1334</v>
      </c>
      <c r="E707" s="8" t="n">
        <f aca="false">E706*(1-nnv_msft_2025)</f>
        <v>0.81450568289771</v>
      </c>
      <c r="F707" s="8" t="n">
        <f aca="false">F706*(1-nnv_msft_2026)</f>
        <v>2.14528106459963</v>
      </c>
      <c r="G707" s="8" t="n">
        <f aca="false">G706*(1-nnv_msft_2027)</f>
        <v>2.5367089991961</v>
      </c>
      <c r="H707" s="8" t="n">
        <f aca="false">H706*(1-nnv_msft_2028)</f>
        <v>2.92289026526289</v>
      </c>
      <c r="I707" s="8" t="n">
        <f aca="false">I706*(1-nnv_msft_2029)</f>
        <v>3.07946181395477</v>
      </c>
    </row>
    <row r="708" customFormat="false" ht="17.15" hidden="false" customHeight="false" outlineLevel="0" collapsed="false">
      <c r="A708" s="0" t="s">
        <v>2080</v>
      </c>
      <c r="B708" s="0" t="s">
        <v>1336</v>
      </c>
      <c r="D708" s="8" t="n">
        <f aca="false">site_msft_2024</f>
        <v>0</v>
      </c>
      <c r="E708" s="8" t="n">
        <f aca="false">site_msft_2025</f>
        <v>2.13527</v>
      </c>
      <c r="F708" s="8" t="n">
        <f aca="false">site_msft_2026</f>
        <v>0.770955</v>
      </c>
      <c r="G708" s="8" t="n">
        <f aca="false">site_msft_2027</f>
        <v>1.04</v>
      </c>
      <c r="H708" s="8" t="n">
        <f aca="false">site_msft_2028</f>
        <v>1.67</v>
      </c>
      <c r="I708" s="8" t="n">
        <f aca="false">site_msft_2029</f>
        <v>0.144</v>
      </c>
    </row>
    <row r="709" customFormat="false" ht="17.15" hidden="false" customHeight="false" outlineLevel="0" collapsed="false">
      <c r="A709" s="0" t="s">
        <v>2081</v>
      </c>
      <c r="B709" s="0" t="s">
        <v>1338</v>
      </c>
      <c r="D709" s="8" t="n">
        <f aca="false">main_msft_2024</f>
        <v>0</v>
      </c>
      <c r="E709" s="8" t="n">
        <f aca="false">main_msft_2025</f>
        <v>2.13527</v>
      </c>
      <c r="F709" s="8" t="n">
        <f aca="false">main_msft_2026</f>
        <v>0.770955</v>
      </c>
      <c r="G709" s="8" t="n">
        <f aca="false">main_msft_2027</f>
        <v>3.56447576934396</v>
      </c>
      <c r="H709" s="8" t="n">
        <f aca="false">main_msft_2028</f>
        <v>4.06597876464757</v>
      </c>
      <c r="I709" s="8" t="n">
        <f aca="false">main_msft_2029</f>
        <v>4.6644209987717</v>
      </c>
    </row>
    <row r="710" customFormat="false" ht="17.15" hidden="false" customHeight="false" outlineLevel="0" collapsed="false">
      <c r="A710" s="0" t="s">
        <v>2082</v>
      </c>
      <c r="B710" s="0" t="s">
        <v>1340</v>
      </c>
      <c r="D710" s="8" t="str">
        <f aca="false">IF(ISNUMBER(ai2_googl_2024),ai2_googl_2024,"")</f>
        <v/>
      </c>
      <c r="E710" s="8" t="n">
        <f aca="false">IF(ISNUMBER(ai2_googl_2025),ai2_googl_2025,"")</f>
        <v>77.72995</v>
      </c>
      <c r="F710" s="8" t="n">
        <f aca="false">IF(ISNUMBER(ai2_googl_2026),ai2_googl_2026,"")</f>
        <v>170</v>
      </c>
      <c r="G710" s="8" t="n">
        <f aca="false">IF(ISNUMBER(ai2_googl_2027),ai2_googl_2027,"")</f>
        <v>255.83215</v>
      </c>
      <c r="H710" s="8" t="n">
        <f aca="false">IF(ISNUMBER(ai2_googl_2028),ai2_googl_2028,"")</f>
        <v>288.53335</v>
      </c>
      <c r="I710" s="8" t="n">
        <f aca="false">IF(ISNUMBER(ai2_googl_2029),ai2_googl_2029,"")</f>
        <v>317.386685</v>
      </c>
    </row>
    <row r="711" customFormat="false" ht="17.15" hidden="false" customHeight="false" outlineLevel="0" collapsed="false">
      <c r="A711" s="0" t="s">
        <v>2083</v>
      </c>
      <c r="B711" s="0" t="s">
        <v>1342</v>
      </c>
      <c r="D711" s="8" t="n">
        <f aca="false">IF(ISNUMBER(D710),(pit_googl_2024/(pit_googl_2024+pfac_googl_2024)*D710+pfac_googl_2024/(pit_googl_2024+pfac_googl_2024)*IF(AND(ISNUMBER(""),ISNUMBER("")),wb1*""+wb2*"",IF(ISNUMBER(""),"",D710)))/(pit_googl_2024+pfac_googl_2024),site_googl_2024)</f>
        <v>1.32980834349181</v>
      </c>
      <c r="E711" s="8" t="n">
        <f aca="false">IF(ISNUMBER(E710),(pit_googl_2025/(pit_googl_2025+pfac_googl_2025)*E710+pfac_googl_2025/(pit_googl_2025+pfac_googl_2025)*IF(AND(ISNUMBER(D710),ISNUMBER("")),wb1*D710+wb2*"",IF(ISNUMBER(D710),D710,E710)))/(pit_googl_2025+pfac_googl_2025),site_googl_2025)</f>
        <v>2.15653802290354</v>
      </c>
      <c r="F711" s="8" t="n">
        <f aca="false">IF(ISNUMBER(F710),(pit_googl_2026/(pit_googl_2026+pfac_googl_2026)*F710+pfac_googl_2026/(pit_googl_2026+pfac_googl_2026)*IF(AND(ISNUMBER(E710),ISNUMBER(D710)),wb1*E710+wb2*D710,IF(ISNUMBER(E710),E710,F710)))/(pit_googl_2026+pfac_googl_2026),site_googl_2026)</f>
        <v>3.85777511610307</v>
      </c>
      <c r="G711" s="8" t="n">
        <f aca="false">IF(ISNUMBER(G710),(pit_googl_2027/(pit_googl_2027+pfac_googl_2027)*G710+pfac_googl_2027/(pit_googl_2027+pfac_googl_2027)*IF(AND(ISNUMBER(F710),ISNUMBER(E710)),wb1*F710+wb2*E710,IF(ISNUMBER(F710),F710,G710)))/(pit_googl_2027+pfac_googl_2027),site_googl_2027)</f>
        <v>5.69768565998842</v>
      </c>
      <c r="H711" s="8" t="n">
        <f aca="false">IF(ISNUMBER(H710),(pit_googl_2028/(pit_googl_2028+pfac_googl_2028)*H710+pfac_googl_2028/(pit_googl_2028+pfac_googl_2028)*IF(AND(ISNUMBER(G710),ISNUMBER(F710)),wb1*G710+wb2*F710,IF(ISNUMBER(G710),G710,H710)))/(pit_googl_2028+pfac_googl_2028),site_googl_2028)</f>
        <v>6.77682412398345</v>
      </c>
      <c r="I711" s="8" t="n">
        <f aca="false">IF(ISNUMBER(I710),(pit_googl_2029/(pit_googl_2029+pfac_googl_2029)*I710+pfac_googl_2029/(pit_googl_2029+pfac_googl_2029)*IF(AND(ISNUMBER(H710),ISNUMBER(G710)),wb1*H710+wb2*G710,IF(ISNUMBER(H710),H710,I710)))/(pit_googl_2029+pfac_googl_2029),site_googl_2029)</f>
        <v>7.68929590970477</v>
      </c>
    </row>
    <row r="712" customFormat="false" ht="17.15" hidden="false" customHeight="false" outlineLevel="0" collapsed="false">
      <c r="A712" s="0" t="s">
        <v>2084</v>
      </c>
      <c r="B712" s="0" t="s">
        <v>1344</v>
      </c>
      <c r="E712" s="8" t="n">
        <f aca="false">(1-lag)*E711+lag*D711-inv_k_hi*(E711-D711)</f>
        <v>1.6811684572418</v>
      </c>
      <c r="F712" s="8" t="n">
        <f aca="false">(1-lag)*F711+lag*E711-inv_k_hi*(F711-E711)</f>
        <v>2.87956378751334</v>
      </c>
      <c r="G712" s="8" t="n">
        <f aca="false">(1-lag)*G711+lag*F711-inv_k_hi*(G711-F711)</f>
        <v>4.63973709725435</v>
      </c>
      <c r="H712" s="8" t="n">
        <f aca="false">(1-lag)*H711+lag*G711-inv_k_hi*(H711-G711)</f>
        <v>6.15631950718631</v>
      </c>
      <c r="I712" s="8" t="n">
        <f aca="false">(1-lag)*I711+lag*H711-inv_k_hi*(I711-H711)</f>
        <v>7.16462463291501</v>
      </c>
    </row>
    <row r="713" customFormat="false" ht="17.15" hidden="false" customHeight="false" outlineLevel="0" collapsed="false">
      <c r="A713" s="0" t="s">
        <v>2085</v>
      </c>
      <c r="B713" s="0" t="s">
        <v>1346</v>
      </c>
      <c r="D713" s="8" t="n">
        <f aca="false">gcap_googl_2024*ai_sh</f>
        <v>44.65475</v>
      </c>
      <c r="E713" s="8" t="n">
        <f aca="false">gcap_googl_2025*ai_sh</f>
        <v>77.72995</v>
      </c>
      <c r="F713" s="8" t="n">
        <f aca="false">gcap_googl_2026*ai_sh</f>
        <v>170</v>
      </c>
      <c r="G713" s="8" t="n">
        <f aca="false">gcap_googl_2027*ai_sh</f>
        <v>246.810369</v>
      </c>
      <c r="H713" s="8" t="n">
        <f aca="false">gcap_googl_2028*ai_sh</f>
        <v>269.78900975</v>
      </c>
      <c r="I713" s="8" t="n">
        <f aca="false">gcap_googl_2029*ai_sh</f>
        <v>248.6767412</v>
      </c>
    </row>
    <row r="714" customFormat="false" ht="17.15" hidden="false" customHeight="false" outlineLevel="0" collapsed="false">
      <c r="A714" s="0" t="s">
        <v>2086</v>
      </c>
      <c r="B714" s="0" t="s">
        <v>1342</v>
      </c>
      <c r="D714" s="8" t="n">
        <f aca="false">IF(ISNUMBER(D713),(pit_googl_2024/(pit_googl_2024+pfac_googl_2024)*D713+pfac_googl_2024/(pit_googl_2024+pfac_googl_2024)*IF(AND(ISNUMBER(""),ISNUMBER("")),wb1*""+wb2*"",IF(ISNUMBER(""),"",D713)))/(pit_googl_2024+pfac_googl_2024),site_googl_2024)</f>
        <v>1.22628577156267</v>
      </c>
      <c r="E714" s="8" t="n">
        <f aca="false">IF(ISNUMBER(E713),(pit_googl_2025/(pit_googl_2025+pfac_googl_2025)*E713+pfac_googl_2025/(pit_googl_2025+pfac_googl_2025)*IF(AND(ISNUMBER(D713),ISNUMBER("")),wb1*D713+wb2*"",IF(ISNUMBER(D713),D713,E713)))/(pit_googl_2025+pfac_googl_2025),site_googl_2025)</f>
        <v>1.90684085060084</v>
      </c>
      <c r="F714" s="8" t="n">
        <f aca="false">IF(ISNUMBER(F713),(pit_googl_2026/(pit_googl_2026+pfac_googl_2026)*F713+pfac_googl_2026/(pit_googl_2026+pfac_googl_2026)*IF(AND(ISNUMBER(E713),ISNUMBER(D713)),wb1*E713+wb2*D713,IF(ISNUMBER(E713),E713,F713)))/(pit_googl_2026+pfac_googl_2026),site_googl_2026)</f>
        <v>3.74469414665129</v>
      </c>
      <c r="G714" s="8" t="n">
        <f aca="false">IF(ISNUMBER(G713),(pit_googl_2027/(pit_googl_2027+pfac_googl_2027)*G713+pfac_googl_2027/(pit_googl_2027+pfac_googl_2027)*IF(AND(ISNUMBER(F713),ISNUMBER(E713)),wb1*F713+wb2*E713,IF(ISNUMBER(F713),F713,G713)))/(pit_googl_2027+pfac_googl_2027),site_googl_2027)</f>
        <v>5.52479710641755</v>
      </c>
      <c r="H714" s="8" t="n">
        <f aca="false">IF(ISNUMBER(H713),(pit_googl_2028/(pit_googl_2028+pfac_googl_2028)*H713+pfac_googl_2028/(pit_googl_2028+pfac_googl_2028)*IF(AND(ISNUMBER(G713),ISNUMBER(F713)),wb1*G713+wb2*F713,IF(ISNUMBER(G713),G713,H713)))/(pit_googl_2028+pfac_googl_2028),site_googl_2028)</f>
        <v>6.39420249958533</v>
      </c>
      <c r="I714" s="8" t="n">
        <f aca="false">IF(ISNUMBER(I713),(pit_googl_2029/(pit_googl_2029+pfac_googl_2029)*I713+pfac_googl_2029/(pit_googl_2029+pfac_googl_2029)*IF(AND(ISNUMBER(H713),ISNUMBER(G713)),wb1*H713+wb2*G713,IF(ISNUMBER(H713),H713,I713)))/(pit_googl_2029+pfac_googl_2029),site_googl_2029)</f>
        <v>6.30314197516365</v>
      </c>
    </row>
    <row r="715" customFormat="false" ht="17.15" hidden="false" customHeight="false" outlineLevel="0" collapsed="false">
      <c r="A715" s="0" t="s">
        <v>2087</v>
      </c>
      <c r="B715" s="0" t="s">
        <v>1344</v>
      </c>
      <c r="E715" s="8" t="n">
        <f aca="false">(1-lag)*E714+lag*D714-inv_k_hi*(E714-D714)</f>
        <v>1.51552168015389</v>
      </c>
      <c r="F715" s="8" t="n">
        <f aca="false">(1-lag)*F714+lag*E714-inv_k_hi*(F714-E714)</f>
        <v>2.68792850142228</v>
      </c>
      <c r="G715" s="8" t="n">
        <f aca="false">(1-lag)*G714+lag*F714-inv_k_hi*(G714-F714)</f>
        <v>4.50123790455195</v>
      </c>
      <c r="H715" s="8" t="n">
        <f aca="false">(1-lag)*H714+lag*G714-inv_k_hi*(H714-G714)</f>
        <v>5.89429439851386</v>
      </c>
      <c r="I715" s="8" t="n">
        <f aca="false">(1-lag)*I714+lag*H714-inv_k_hi*(I714-H714)</f>
        <v>6.35550177670612</v>
      </c>
    </row>
    <row r="716" customFormat="false" ht="17.15" hidden="false" customHeight="false" outlineLevel="0" collapsed="false">
      <c r="A716" s="0" t="s">
        <v>2088</v>
      </c>
      <c r="B716" s="0" t="s">
        <v>1350</v>
      </c>
      <c r="E716" s="8" t="n">
        <f aca="false">E715*(1-nnv_googl_2025)</f>
        <v>0.37433385499801</v>
      </c>
      <c r="F716" s="8" t="n">
        <f aca="false">F715*(1-nnv_googl_2026)</f>
        <v>0.663918339851303</v>
      </c>
      <c r="G716" s="8" t="n">
        <f aca="false">G715*(1-nnv_googl_2027)</f>
        <v>1.11180576242433</v>
      </c>
      <c r="H716" s="8" t="n">
        <f aca="false">H715*(1-nnv_googl_2028)</f>
        <v>1.45589071643292</v>
      </c>
      <c r="I716" s="8" t="n">
        <f aca="false">I715*(1-nnv_googl_2029)</f>
        <v>1.56980893884641</v>
      </c>
    </row>
    <row r="717" customFormat="false" ht="17.15" hidden="false" customHeight="false" outlineLevel="0" collapsed="false">
      <c r="A717" s="0" t="s">
        <v>2089</v>
      </c>
      <c r="B717" s="0" t="s">
        <v>1352</v>
      </c>
      <c r="D717" s="8" t="n">
        <f aca="false">site_googl_2024</f>
        <v>1.32980834349181</v>
      </c>
      <c r="E717" s="8" t="n">
        <f aca="false">site_googl_2025</f>
        <v>2.40961330082622</v>
      </c>
      <c r="F717" s="8" t="n">
        <f aca="false">site_googl_2026</f>
        <v>1.29267912772586</v>
      </c>
      <c r="G717" s="8" t="n">
        <f aca="false">site_googl_2027</f>
        <v>1.626</v>
      </c>
      <c r="H717" s="8" t="n">
        <f aca="false">site_googl_2028</f>
        <v>0.833333333333334</v>
      </c>
      <c r="I717" s="8" t="n">
        <f aca="false">site_googl_2029</f>
        <v>0</v>
      </c>
    </row>
    <row r="718" customFormat="false" ht="17.15" hidden="false" customHeight="false" outlineLevel="0" collapsed="false">
      <c r="A718" s="0" t="s">
        <v>2090</v>
      </c>
      <c r="B718" s="0" t="s">
        <v>1354</v>
      </c>
      <c r="D718" s="8" t="n">
        <f aca="false">main_googl_2024</f>
        <v>1.32980834349181</v>
      </c>
      <c r="E718" s="8" t="n">
        <f aca="false">main_googl_2025</f>
        <v>2.40961330082622</v>
      </c>
      <c r="F718" s="8" t="n">
        <f aca="false">main_googl_2026</f>
        <v>1.29267912772586</v>
      </c>
      <c r="G718" s="8" t="n">
        <f aca="false">main_googl_2027</f>
        <v>5.69768565998842</v>
      </c>
      <c r="H718" s="8" t="n">
        <f aca="false">main_googl_2028</f>
        <v>6.77682412398346</v>
      </c>
      <c r="I718" s="8" t="n">
        <f aca="false">main_googl_2029</f>
        <v>7.68929590970478</v>
      </c>
    </row>
    <row r="719" customFormat="false" ht="17.15" hidden="false" customHeight="false" outlineLevel="0" collapsed="false">
      <c r="A719" s="0" t="s">
        <v>2091</v>
      </c>
      <c r="B719" s="0" t="s">
        <v>1356</v>
      </c>
      <c r="D719" s="8" t="str">
        <f aca="false">IF(ISNUMBER(ai2_amzn_2024),ai2_amzn_2024,"")</f>
        <v/>
      </c>
      <c r="E719" s="8" t="n">
        <f aca="false">IF(ISNUMBER(ai2_amzn_2025),ai2_amzn_2025,"")</f>
        <v>87.2576</v>
      </c>
      <c r="F719" s="8" t="n">
        <f aca="false">IF(ISNUMBER(ai2_amzn_2026),ai2_amzn_2026,"")</f>
        <v>149.6</v>
      </c>
      <c r="G719" s="8" t="n">
        <f aca="false">IF(ISNUMBER(ai2_amzn_2027),ai2_amzn_2027,"")</f>
        <v>187.04284</v>
      </c>
      <c r="H719" s="8" t="n">
        <f aca="false">IF(ISNUMBER(ai2_amzn_2028),ai2_amzn_2028,"")</f>
        <v>199.19036</v>
      </c>
      <c r="I719" s="8" t="n">
        <f aca="false">IF(ISNUMBER(ai2_amzn_2029),ai2_amzn_2029,"")</f>
        <v>219.109396</v>
      </c>
    </row>
    <row r="720" customFormat="false" ht="17.15" hidden="false" customHeight="false" outlineLevel="0" collapsed="false">
      <c r="A720" s="0" t="s">
        <v>2092</v>
      </c>
      <c r="B720" s="0" t="s">
        <v>1358</v>
      </c>
      <c r="D720" s="8" t="n">
        <f aca="false">IF(ISNUMBER(D719),(pit_amzn_2024/(pit_amzn_2024+pfac_amzn_2024)*D719+pfac_amzn_2024/(pit_amzn_2024+pfac_amzn_2024)*IF(AND(ISNUMBER(""),ISNUMBER("")),wb1*""+wb2*"",IF(ISNUMBER(""),"",D719)))/(pit_amzn_2024+pfac_amzn_2024),site_amzn_2024)</f>
        <v>0</v>
      </c>
      <c r="E720" s="8" t="n">
        <f aca="false">IF(ISNUMBER(E719),(pit_amzn_2025/(pit_amzn_2025+pfac_amzn_2025)*E719+pfac_amzn_2025/(pit_amzn_2025+pfac_amzn_2025)*IF(AND(ISNUMBER(D719),ISNUMBER("")),wb1*D719+wb2*"",IF(ISNUMBER(D719),D719,E719)))/(pit_amzn_2025+pfac_amzn_2025),site_amzn_2025)</f>
        <v>2.6200438487091</v>
      </c>
      <c r="F720" s="8" t="n">
        <f aca="false">IF(ISNUMBER(F719),(pit_amzn_2026/(pit_amzn_2026+pfac_amzn_2026)*F719+pfac_amzn_2026/(pit_amzn_2026+pfac_amzn_2026)*IF(AND(ISNUMBER(E719),ISNUMBER(D719)),wb1*E719+wb2*D719,IF(ISNUMBER(E719),E719,F719)))/(pit_amzn_2026+pfac_amzn_2026),site_amzn_2026)</f>
        <v>3.72830685774426</v>
      </c>
      <c r="G720" s="8" t="n">
        <f aca="false">IF(ISNUMBER(G719),(pit_amzn_2027/(pit_amzn_2027+pfac_amzn_2027)*G719+pfac_amzn_2027/(pit_amzn_2027+pfac_amzn_2027)*IF(AND(ISNUMBER(F719),ISNUMBER(E719)),wb1*F719+wb2*E719,IF(ISNUMBER(F719),F719,G719)))/(pit_amzn_2027+pfac_amzn_2027),site_amzn_2027)</f>
        <v>4.54496548273742</v>
      </c>
      <c r="H720" s="8" t="n">
        <f aca="false">IF(ISNUMBER(H719),(pit_amzn_2028/(pit_amzn_2028+pfac_amzn_2028)*H719+pfac_amzn_2028/(pit_amzn_2028+pfac_amzn_2028)*IF(AND(ISNUMBER(G719),ISNUMBER(F719)),wb1*G719+wb2*F719,IF(ISNUMBER(G719),G719,H719)))/(pit_amzn_2028+pfac_amzn_2028),site_amzn_2028)</f>
        <v>4.99623819927339</v>
      </c>
      <c r="I720" s="8" t="n">
        <f aca="false">IF(ISNUMBER(I719),(pit_amzn_2029/(pit_amzn_2029+pfac_amzn_2029)*I719+pfac_amzn_2029/(pit_amzn_2029+pfac_amzn_2029)*IF(AND(ISNUMBER(H719),ISNUMBER(G719)),wb1*H719+wb2*G719,IF(ISNUMBER(H719),H719,I719)))/(pit_amzn_2029+pfac_amzn_2029),site_amzn_2029)</f>
        <v>5.54650880690247</v>
      </c>
    </row>
    <row r="721" customFormat="false" ht="17.15" hidden="false" customHeight="false" outlineLevel="0" collapsed="false">
      <c r="A721" s="0" t="s">
        <v>2093</v>
      </c>
      <c r="B721" s="0" t="s">
        <v>1360</v>
      </c>
      <c r="E721" s="8" t="n">
        <f aca="false">(1-lag)*E720+lag*D720-inv_k_hi*(E720-D720)</f>
        <v>1.11351863570137</v>
      </c>
      <c r="F721" s="8" t="n">
        <f aca="false">(1-lag)*F720+lag*E720-inv_k_hi*(F720-E720)</f>
        <v>3.09105562754904</v>
      </c>
      <c r="G721" s="8" t="n">
        <f aca="false">(1-lag)*G720+lag*F720-inv_k_hi*(G720-F720)</f>
        <v>4.07538677336636</v>
      </c>
      <c r="H721" s="8" t="n">
        <f aca="false">(1-lag)*H720+lag*G720-inv_k_hi*(H720-G720)</f>
        <v>4.73675638726521</v>
      </c>
      <c r="I721" s="8" t="n">
        <f aca="false">(1-lag)*I720+lag*H720-inv_k_hi*(I720-H720)</f>
        <v>5.23010320751575</v>
      </c>
    </row>
    <row r="722" customFormat="false" ht="17.15" hidden="false" customHeight="false" outlineLevel="0" collapsed="false">
      <c r="A722" s="0" t="s">
        <v>2094</v>
      </c>
      <c r="B722" s="0" t="s">
        <v>1362</v>
      </c>
      <c r="D722" s="8" t="n">
        <f aca="false">gcap_amzn_2024*ai_amzn</f>
        <v>52.80744</v>
      </c>
      <c r="E722" s="8" t="n">
        <f aca="false">gcap_amzn_2025*ai_amzn</f>
        <v>87.2576</v>
      </c>
      <c r="F722" s="8" t="n">
        <f aca="false">gcap_amzn_2026*ai_amzn</f>
        <v>149.6</v>
      </c>
      <c r="G722" s="8" t="n">
        <f aca="false">gcap_amzn_2027*ai_amzn</f>
        <v>172.09445848</v>
      </c>
      <c r="H722" s="8" t="n">
        <f aca="false">gcap_amzn_2028*ai_amzn</f>
        <v>181.54066624</v>
      </c>
      <c r="I722" s="8" t="n">
        <f aca="false">gcap_amzn_2029*ai_amzn</f>
        <v>189.3160052</v>
      </c>
    </row>
    <row r="723" customFormat="false" ht="17.15" hidden="false" customHeight="false" outlineLevel="0" collapsed="false">
      <c r="A723" s="0" t="s">
        <v>2095</v>
      </c>
      <c r="B723" s="0" t="s">
        <v>1358</v>
      </c>
      <c r="D723" s="8" t="n">
        <f aca="false">IF(ISNUMBER(D722),(pit_amzn_2024/(pit_amzn_2024+pfac_amzn_2024)*D722+pfac_amzn_2024/(pit_amzn_2024+pfac_amzn_2024)*IF(AND(ISNUMBER(""),ISNUMBER("")),wb1*""+wb2*"",IF(ISNUMBER(""),"",D722)))/(pit_amzn_2024+pfac_amzn_2024),site_amzn_2024)</f>
        <v>1.56238534864816</v>
      </c>
      <c r="E723" s="8" t="n">
        <f aca="false">IF(ISNUMBER(E722),(pit_amzn_2025/(pit_amzn_2025+pfac_amzn_2025)*E722+pfac_amzn_2025/(pit_amzn_2025+pfac_amzn_2025)*IF(AND(ISNUMBER(D722),ISNUMBER("")),wb1*D722+wb2*"",IF(ISNUMBER(D722),D722,E722)))/(pit_amzn_2025+pfac_amzn_2025),site_amzn_2025)</f>
        <v>2.32934283296825</v>
      </c>
      <c r="F723" s="8" t="n">
        <f aca="false">IF(ISNUMBER(F722),(pit_amzn_2026/(pit_amzn_2026+pfac_amzn_2026)*F722+pfac_amzn_2026/(pit_amzn_2026+pfac_amzn_2026)*IF(AND(ISNUMBER(E722),ISNUMBER(D722)),wb1*E722+wb2*D722,IF(ISNUMBER(E722),E722,F722)))/(pit_amzn_2026+pfac_amzn_2026),site_amzn_2026)</f>
        <v>3.60214892289839</v>
      </c>
      <c r="G723" s="8" t="n">
        <f aca="false">IF(ISNUMBER(G722),(pit_amzn_2027/(pit_amzn_2027+pfac_amzn_2027)*G722+pfac_amzn_2027/(pit_amzn_2027+pfac_amzn_2027)*IF(AND(ISNUMBER(F722),ISNUMBER(E722)),wb1*F722+wb2*E722,IF(ISNUMBER(F722),F722,G722)))/(pit_amzn_2027+pfac_amzn_2027),site_amzn_2027)</f>
        <v>4.24515505663672</v>
      </c>
      <c r="H723" s="8" t="n">
        <f aca="false">IF(ISNUMBER(H722),(pit_amzn_2028/(pit_amzn_2028+pfac_amzn_2028)*H722+pfac_amzn_2028/(pit_amzn_2028+pfac_amzn_2028)*IF(AND(ISNUMBER(G722),ISNUMBER(F722)),wb1*G722+wb2*F722,IF(ISNUMBER(G722),G722,H722)))/(pit_amzn_2028+pfac_amzn_2028),site_amzn_2028)</f>
        <v>4.60085769114469</v>
      </c>
      <c r="I723" s="8" t="n">
        <f aca="false">IF(ISNUMBER(I722),(pit_amzn_2029/(pit_amzn_2029+pfac_amzn_2029)*I722+pfac_amzn_2029/(pit_amzn_2029+pfac_amzn_2029)*IF(AND(ISNUMBER(H722),ISNUMBER(G722)),wb1*H722+wb2*G722,IF(ISNUMBER(H722),H722,I722)))/(pit_amzn_2029+pfac_amzn_2029),site_amzn_2029)</f>
        <v>4.85567033897056</v>
      </c>
    </row>
    <row r="724" customFormat="false" ht="17.15" hidden="false" customHeight="false" outlineLevel="0" collapsed="false">
      <c r="A724" s="0" t="s">
        <v>2096</v>
      </c>
      <c r="B724" s="0" t="s">
        <v>1360</v>
      </c>
      <c r="E724" s="8" t="n">
        <f aca="false">(1-lag)*E723+lag*D723-inv_k_hi*(E723-D723)</f>
        <v>1.8883422794842</v>
      </c>
      <c r="F724" s="8" t="n">
        <f aca="false">(1-lag)*F723+lag*E723-inv_k_hi*(F723-E723)</f>
        <v>2.87028542118856</v>
      </c>
      <c r="G724" s="8" t="n">
        <f aca="false">(1-lag)*G723+lag*F723-inv_k_hi*(G723-F723)</f>
        <v>3.87542652973718</v>
      </c>
      <c r="H724" s="8" t="n">
        <f aca="false">(1-lag)*H723+lag*G723-inv_k_hi*(H723-G723)</f>
        <v>4.39632867630261</v>
      </c>
      <c r="I724" s="8" t="n">
        <f aca="false">(1-lag)*I723+lag*H723-inv_k_hi*(I723-H723)</f>
        <v>4.70915306647069</v>
      </c>
    </row>
    <row r="725" customFormat="false" ht="17.15" hidden="false" customHeight="false" outlineLevel="0" collapsed="false">
      <c r="A725" s="0" t="s">
        <v>2097</v>
      </c>
      <c r="B725" s="0" t="s">
        <v>1366</v>
      </c>
      <c r="E725" s="8" t="n">
        <f aca="false">E724*(1-nnv_amzn_2025)</f>
        <v>0.623152952229785</v>
      </c>
      <c r="F725" s="8" t="n">
        <f aca="false">F724*(1-nnv_amzn_2026)</f>
        <v>0.947194188992224</v>
      </c>
      <c r="G725" s="8" t="n">
        <f aca="false">G724*(1-nnv_amzn_2027)</f>
        <v>1.27889075481327</v>
      </c>
      <c r="H725" s="8" t="n">
        <f aca="false">H724*(1-nnv_amzn_2028)</f>
        <v>1.45078846317986</v>
      </c>
      <c r="I725" s="8" t="n">
        <f aca="false">I724*(1-nnv_amzn_2029)</f>
        <v>1.55402051193533</v>
      </c>
    </row>
    <row r="726" customFormat="false" ht="17.15" hidden="false" customHeight="false" outlineLevel="0" collapsed="false">
      <c r="A726" s="0" t="s">
        <v>2098</v>
      </c>
      <c r="B726" s="0" t="s">
        <v>1368</v>
      </c>
      <c r="D726" s="8" t="n">
        <f aca="false">site_amzn_2024</f>
        <v>0</v>
      </c>
      <c r="E726" s="8" t="n">
        <f aca="false">site_amzn_2025</f>
        <v>1.38971599402093</v>
      </c>
      <c r="F726" s="8" t="n">
        <f aca="false">site_amzn_2026</f>
        <v>0.527</v>
      </c>
      <c r="G726" s="8" t="n">
        <f aca="false">site_amzn_2027</f>
        <v>0.364</v>
      </c>
      <c r="H726" s="8" t="n">
        <f aca="false">site_amzn_2028</f>
        <v>1.744</v>
      </c>
      <c r="I726" s="8" t="n">
        <f aca="false">site_amzn_2029</f>
        <v>0.0620000000000003</v>
      </c>
    </row>
    <row r="727" customFormat="false" ht="17.15" hidden="false" customHeight="false" outlineLevel="0" collapsed="false">
      <c r="A727" s="0" t="s">
        <v>2099</v>
      </c>
      <c r="B727" s="0" t="s">
        <v>1370</v>
      </c>
      <c r="D727" s="8" t="n">
        <f aca="false">main_amzn_2024</f>
        <v>0</v>
      </c>
      <c r="E727" s="8" t="n">
        <f aca="false">main_amzn_2025</f>
        <v>1.38971599402093</v>
      </c>
      <c r="F727" s="8" t="n">
        <f aca="false">main_amzn_2026</f>
        <v>0.527</v>
      </c>
      <c r="G727" s="8" t="n">
        <f aca="false">main_amzn_2027</f>
        <v>4.54496548273742</v>
      </c>
      <c r="H727" s="8" t="n">
        <f aca="false">main_amzn_2028</f>
        <v>4.99623819927339</v>
      </c>
      <c r="I727" s="8" t="n">
        <f aca="false">main_amzn_2029</f>
        <v>5.54650880690247</v>
      </c>
    </row>
    <row r="728" customFormat="false" ht="17.15" hidden="false" customHeight="false" outlineLevel="0" collapsed="false">
      <c r="A728" s="0" t="s">
        <v>2100</v>
      </c>
      <c r="B728" s="0" t="s">
        <v>1372</v>
      </c>
      <c r="D728" s="8" t="str">
        <f aca="false">IF(ISNUMBER(ai2_meta_2024),ai2_meta_2024,"")</f>
        <v/>
      </c>
      <c r="E728" s="8" t="str">
        <f aca="false">IF(ISNUMBER(ai2_meta_2025),ai2_meta_2025,"")</f>
        <v/>
      </c>
      <c r="F728" s="8" t="n">
        <f aca="false">IF(ISNUMBER(ai2_meta_2026),ai2_meta_2026,"")</f>
        <v>119</v>
      </c>
      <c r="G728" s="8" t="n">
        <f aca="false">IF(ISNUMBER(ai2_meta_2027),ai2_meta_2027,"")</f>
        <v>130.9</v>
      </c>
      <c r="H728" s="8" t="n">
        <f aca="false">IF(ISNUMBER(ai2_meta_2028),ai2_meta_2028,"")</f>
        <v>143.99</v>
      </c>
      <c r="I728" s="8" t="n">
        <f aca="false">IF(ISNUMBER(ai2_meta_2029),ai2_meta_2029,"")</f>
        <v>158.389</v>
      </c>
    </row>
    <row r="729" customFormat="false" ht="17.15" hidden="false" customHeight="false" outlineLevel="0" collapsed="false">
      <c r="A729" s="0" t="s">
        <v>2101</v>
      </c>
      <c r="B729" s="0" t="s">
        <v>1374</v>
      </c>
      <c r="D729" s="8" t="n">
        <f aca="false">IF(ISNUMBER(D728),(pit_meta_2024/(pit_meta_2024+pfac_meta_2024)*D728+pfac_meta_2024/(pit_meta_2024+pfac_meta_2024)*IF(AND(ISNUMBER(""),ISNUMBER("")),wb1*""+wb2*"",IF(ISNUMBER(""),"",D728)))/(pit_meta_2024+pfac_meta_2024),site_meta_2024)</f>
        <v>0</v>
      </c>
      <c r="E729" s="8" t="n">
        <f aca="false">IF(ISNUMBER(E728),(pit_meta_2025/(pit_meta_2025+pfac_meta_2025)*E728+pfac_meta_2025/(pit_meta_2025+pfac_meta_2025)*IF(AND(ISNUMBER(D728),ISNUMBER("")),wb1*D728+wb2*"",IF(ISNUMBER(D728),D728,E728)))/(pit_meta_2025+pfac_meta_2025),site_meta_2025)</f>
        <v>1.50812</v>
      </c>
      <c r="F729" s="8" t="n">
        <f aca="false">IF(ISNUMBER(F728),(pit_meta_2026/(pit_meta_2026+pfac_meta_2026)*F728+pfac_meta_2026/(pit_meta_2026+pfac_meta_2026)*IF(AND(ISNUMBER(E728),ISNUMBER(D728)),wb1*E728+wb2*D728,IF(ISNUMBER(E728),E728,F728)))/(pit_meta_2026+pfac_meta_2026),site_meta_2026)</f>
        <v>2.62796503624796</v>
      </c>
      <c r="G729" s="8" t="n">
        <f aca="false">IF(ISNUMBER(G728),(pit_meta_2027/(pit_meta_2027+pfac_meta_2027)*G728+pfac_meta_2027/(pit_meta_2027+pfac_meta_2027)*IF(AND(ISNUMBER(F728),ISNUMBER(E728)),wb1*F728+wb2*E728,IF(ISNUMBER(F728),F728,G728)))/(pit_meta_2027+pfac_meta_2027),site_meta_2027)</f>
        <v>2.62451187863681</v>
      </c>
      <c r="H729" s="8" t="n">
        <f aca="false">IF(ISNUMBER(H728),(pit_meta_2028/(pit_meta_2028+pfac_meta_2028)*H728+pfac_meta_2028/(pit_meta_2028+pfac_meta_2028)*IF(AND(ISNUMBER(G728),ISNUMBER(F728)),wb1*G728+wb2*F728,IF(ISNUMBER(G728),G728,H728)))/(pit_meta_2028+pfac_meta_2028),site_meta_2028)</f>
        <v>2.73641202658015</v>
      </c>
      <c r="I729" s="8" t="n">
        <f aca="false">IF(ISNUMBER(I728),(pit_meta_2029/(pit_meta_2029+pfac_meta_2029)*I728+pfac_meta_2029/(pit_meta_2029+pfac_meta_2029)*IF(AND(ISNUMBER(H728),ISNUMBER(G728)),wb1*H728+wb2*G728,IF(ISNUMBER(H728),H728,I728)))/(pit_meta_2029+pfac_meta_2029),site_meta_2029)</f>
        <v>3.01174825182942</v>
      </c>
    </row>
    <row r="730" customFormat="false" ht="17.15" hidden="false" customHeight="false" outlineLevel="0" collapsed="false">
      <c r="A730" s="0" t="s">
        <v>2102</v>
      </c>
      <c r="B730" s="0" t="s">
        <v>1376</v>
      </c>
      <c r="E730" s="8" t="n">
        <f aca="false">(1-lag)*E729+lag*D729-inv_k_hi*(E729-D729)</f>
        <v>0.640951</v>
      </c>
      <c r="F730" s="8" t="n">
        <f aca="false">(1-lag)*F729+lag*E729-inv_k_hi*(F729-E729)</f>
        <v>1.98405414040538</v>
      </c>
      <c r="G730" s="8" t="n">
        <f aca="false">(1-lag)*G729+lag*F729-inv_k_hi*(G729-F729)</f>
        <v>2.62649744426322</v>
      </c>
      <c r="H730" s="8" t="n">
        <f aca="false">(1-lag)*H729+lag*G729-inv_k_hi*(H729-G729)</f>
        <v>2.67206944151273</v>
      </c>
      <c r="I730" s="8" t="n">
        <f aca="false">(1-lag)*I729+lag*H729-inv_k_hi*(I729-H729)</f>
        <v>2.85342992231109</v>
      </c>
    </row>
    <row r="731" customFormat="false" ht="17.15" hidden="false" customHeight="false" outlineLevel="0" collapsed="false">
      <c r="A731" s="0" t="s">
        <v>2103</v>
      </c>
      <c r="B731" s="0" t="s">
        <v>1378</v>
      </c>
      <c r="D731" s="8" t="n">
        <f aca="false">gcap_meta_2024*ai_sh</f>
        <v>33.34125</v>
      </c>
      <c r="E731" s="8" t="n">
        <f aca="false">gcap_meta_2025*ai_sh</f>
        <v>61.38275</v>
      </c>
      <c r="F731" s="8" t="n">
        <f aca="false">gcap_meta_2026*ai_sh</f>
        <v>119</v>
      </c>
      <c r="G731" s="8" t="n">
        <f aca="false">gcap_meta_2027*ai_sh</f>
        <v>174.8499963</v>
      </c>
      <c r="H731" s="8" t="n">
        <f aca="false">gcap_meta_2028*ai_sh</f>
        <v>186.39077355</v>
      </c>
      <c r="I731" s="8" t="n">
        <f aca="false">gcap_meta_2029*ai_sh</f>
        <v>165.57988355</v>
      </c>
    </row>
    <row r="732" customFormat="false" ht="17.15" hidden="false" customHeight="false" outlineLevel="0" collapsed="false">
      <c r="A732" s="0" t="s">
        <v>2104</v>
      </c>
      <c r="B732" s="0" t="s">
        <v>1374</v>
      </c>
      <c r="D732" s="8" t="n">
        <f aca="false">IF(ISNUMBER(D731),(pit_meta_2024/(pit_meta_2024+pfac_meta_2024)*D731+pfac_meta_2024/(pit_meta_2024+pfac_meta_2024)*IF(AND(ISNUMBER(""),ISNUMBER("")),wb1*""+wb2*"",IF(ISNUMBER(""),"",D731)))/(pit_meta_2024+pfac_meta_2024),site_meta_2024)</f>
        <v>0.817493736320288</v>
      </c>
      <c r="E732" s="8" t="n">
        <f aca="false">IF(ISNUMBER(E731),(pit_meta_2025/(pit_meta_2025+pfac_meta_2025)*E731+pfac_meta_2025/(pit_meta_2025+pfac_meta_2025)*IF(AND(ISNUMBER(D731),ISNUMBER("")),wb1*D731+wb2*"",IF(ISNUMBER(D731),D731,E731)))/(pit_meta_2025+pfac_meta_2025),site_meta_2025)</f>
        <v>1.33044623899154</v>
      </c>
      <c r="F732" s="8" t="n">
        <f aca="false">IF(ISNUMBER(F731),(pit_meta_2026/(pit_meta_2026+pfac_meta_2026)*F731+pfac_meta_2026/(pit_meta_2026+pfac_meta_2026)*IF(AND(ISNUMBER(E731),ISNUMBER(D731)),wb1*E731+wb2*D731,IF(ISNUMBER(E731),E731,F731)))/(pit_meta_2026+pfac_meta_2026),site_meta_2026)</f>
        <v>2.20112683043242</v>
      </c>
      <c r="G732" s="8" t="n">
        <f aca="false">IF(ISNUMBER(G731),(pit_meta_2027/(pit_meta_2027+pfac_meta_2027)*G731+pfac_meta_2027/(pit_meta_2027+pfac_meta_2027)*IF(AND(ISNUMBER(F731),ISNUMBER(E731)),wb1*F731+wb2*E731,IF(ISNUMBER(F731),F731,G731)))/(pit_meta_2027+pfac_meta_2027),site_meta_2027)</f>
        <v>3.15406141077207</v>
      </c>
      <c r="H732" s="8" t="n">
        <f aca="false">IF(ISNUMBER(H731),(pit_meta_2028/(pit_meta_2028+pfac_meta_2028)*H731+pfac_meta_2028/(pit_meta_2028+pfac_meta_2028)*IF(AND(ISNUMBER(G731),ISNUMBER(F731)),wb1*G731+wb2*F731,IF(ISNUMBER(G731),G731,H731)))/(pit_meta_2028+pfac_meta_2028),site_meta_2028)</f>
        <v>3.47282806845288</v>
      </c>
      <c r="I732" s="8" t="n">
        <f aca="false">IF(ISNUMBER(I731),(pit_meta_2029/(pit_meta_2029+pfac_meta_2029)*I731+pfac_meta_2029/(pit_meta_2029+pfac_meta_2029)*IF(AND(ISNUMBER(H731),ISNUMBER(G731)),wb1*H731+wb2*G731,IF(ISNUMBER(H731),H731,I731)))/(pit_meta_2029+pfac_meta_2029),site_meta_2029)</f>
        <v>3.32152343881153</v>
      </c>
    </row>
    <row r="733" customFormat="false" ht="17.15" hidden="false" customHeight="false" outlineLevel="0" collapsed="false">
      <c r="A733" s="0" t="s">
        <v>2105</v>
      </c>
      <c r="B733" s="0" t="s">
        <v>1376</v>
      </c>
      <c r="E733" s="8" t="n">
        <f aca="false">(1-lag)*E732+lag*D732-inv_k_hi*(E732-D732)</f>
        <v>1.03549854995557</v>
      </c>
      <c r="F733" s="8" t="n">
        <f aca="false">(1-lag)*F732+lag*E732-inv_k_hi*(F732-E732)</f>
        <v>1.70048549035391</v>
      </c>
      <c r="G733" s="8" t="n">
        <f aca="false">(1-lag)*G732+lag*F732-inv_k_hi*(G732-F732)</f>
        <v>2.60612402707677</v>
      </c>
      <c r="H733" s="8" t="n">
        <f aca="false">(1-lag)*H732+lag*G732-inv_k_hi*(H732-G732)</f>
        <v>3.28953724028641</v>
      </c>
      <c r="I733" s="8" t="n">
        <f aca="false">(1-lag)*I732+lag*H732-inv_k_hi*(I732-H732)</f>
        <v>3.4085236008553</v>
      </c>
    </row>
    <row r="734" customFormat="false" ht="17.15" hidden="false" customHeight="false" outlineLevel="0" collapsed="false">
      <c r="A734" s="0" t="s">
        <v>2106</v>
      </c>
      <c r="B734" s="0" t="s">
        <v>1382</v>
      </c>
      <c r="E734" s="8" t="n">
        <f aca="false">E733*(1-nnv_meta_2025)</f>
        <v>0.788832370812997</v>
      </c>
      <c r="F734" s="8" t="n">
        <f aca="false">F733*(1-nnv_meta_2026)</f>
        <v>1.29541272746981</v>
      </c>
      <c r="G734" s="8" t="n">
        <f aca="false">G733*(1-nnv_meta_2027)</f>
        <v>1.89438670214923</v>
      </c>
      <c r="H734" s="8" t="n">
        <f aca="false">H733*(1-nnv_meta_2028)</f>
        <v>2.40260761695959</v>
      </c>
      <c r="I734" s="8" t="n">
        <f aca="false">I733*(1-nnv_meta_2029)</f>
        <v>2.48076605117768</v>
      </c>
    </row>
    <row r="735" customFormat="false" ht="17.15" hidden="false" customHeight="false" outlineLevel="0" collapsed="false">
      <c r="A735" s="0" t="s">
        <v>2107</v>
      </c>
      <c r="B735" s="0" t="s">
        <v>1384</v>
      </c>
      <c r="D735" s="8" t="n">
        <f aca="false">site_meta_2024</f>
        <v>0</v>
      </c>
      <c r="E735" s="8" t="n">
        <f aca="false">site_meta_2025</f>
        <v>1.50812</v>
      </c>
      <c r="F735" s="8" t="n">
        <f aca="false">site_meta_2026</f>
        <v>0.676</v>
      </c>
      <c r="G735" s="8" t="n">
        <f aca="false">site_meta_2027</f>
        <v>0.615</v>
      </c>
      <c r="H735" s="8" t="n">
        <f aca="false">site_meta_2028</f>
        <v>2.99433333333333</v>
      </c>
      <c r="I735" s="8" t="n">
        <f aca="false">site_meta_2029</f>
        <v>0.968</v>
      </c>
    </row>
    <row r="736" customFormat="false" ht="17.15" hidden="false" customHeight="false" outlineLevel="0" collapsed="false">
      <c r="A736" s="0" t="s">
        <v>2108</v>
      </c>
      <c r="B736" s="0" t="s">
        <v>1386</v>
      </c>
      <c r="D736" s="8" t="n">
        <f aca="false">main_meta_2024</f>
        <v>0</v>
      </c>
      <c r="E736" s="8" t="n">
        <f aca="false">main_meta_2025</f>
        <v>1.50812</v>
      </c>
      <c r="F736" s="8" t="n">
        <f aca="false">main_meta_2026</f>
        <v>0.676</v>
      </c>
      <c r="G736" s="8" t="n">
        <f aca="false">main_meta_2027</f>
        <v>0.615</v>
      </c>
      <c r="H736" s="8" t="n">
        <f aca="false">main_meta_2028</f>
        <v>2.73641202658016</v>
      </c>
      <c r="I736" s="8" t="n">
        <f aca="false">main_meta_2029</f>
        <v>3.01174825182942</v>
      </c>
    </row>
    <row r="737" customFormat="false" ht="17.15" hidden="false" customHeight="false" outlineLevel="0" collapsed="false">
      <c r="A737" s="0" t="s">
        <v>2109</v>
      </c>
      <c r="B737" s="0" t="s">
        <v>1388</v>
      </c>
      <c r="D737" s="8" t="str">
        <f aca="false">IF(ISNUMBER(ai2_orcl_2024),ai2_orcl_2024,"")</f>
        <v/>
      </c>
      <c r="E737" s="8" t="n">
        <f aca="false">IF(ISNUMBER(ai2_orcl_2025),ai2_orcl_2025,"")</f>
        <v>35.1132166666667</v>
      </c>
      <c r="F737" s="8" t="n">
        <f aca="false">IF(ISNUMBER(ai2_orcl_2026),ai2_orcl_2026,"")</f>
        <v>65.5785625</v>
      </c>
      <c r="G737" s="8" t="n">
        <f aca="false">IF(ISNUMBER(ai2_orcl_2027),ai2_orcl_2027,"")</f>
        <v>82.8207416666667</v>
      </c>
      <c r="H737" s="8" t="n">
        <f aca="false">IF(ISNUMBER(ai2_orcl_2028),ai2_orcl_2028,"")</f>
        <v>77.8278416666667</v>
      </c>
      <c r="I737" s="8" t="n">
        <f aca="false">IF(ISNUMBER(ai2_orcl_2029),ai2_orcl_2029,"")</f>
        <v>76.3278466666667</v>
      </c>
    </row>
    <row r="738" customFormat="false" ht="17.15" hidden="false" customHeight="false" outlineLevel="0" collapsed="false">
      <c r="A738" s="0" t="s">
        <v>2110</v>
      </c>
      <c r="B738" s="0" t="s">
        <v>1390</v>
      </c>
      <c r="D738" s="8" t="n">
        <f aca="false">IF(ISNUMBER(D737),(pit_orcl_2024/(pit_orcl_2024+pfac_orcl_2024)*D737+pfac_orcl_2024/(pit_orcl_2024+pfac_orcl_2024)*IF(AND(ISNUMBER(""),ISNUMBER("")),wb1*""+wb2*"",IF(ISNUMBER(""),"",D737)))/(pit_orcl_2024+pfac_orcl_2024),site_orcl_2024)</f>
        <v>0</v>
      </c>
      <c r="E738" s="8" t="n">
        <f aca="false">IF(ISNUMBER(E737),(pit_orcl_2025/(pit_orcl_2025+pfac_orcl_2025)*E737+pfac_orcl_2025/(pit_orcl_2025+pfac_orcl_2025)*IF(AND(ISNUMBER(D737),ISNUMBER("")),wb1*D737+wb2*"",IF(ISNUMBER(D737),D737,E737)))/(pit_orcl_2025+pfac_orcl_2025),site_orcl_2025)</f>
        <v>0.885776418247533</v>
      </c>
      <c r="F738" s="8" t="n">
        <f aca="false">IF(ISNUMBER(F737),(pit_orcl_2026/(pit_orcl_2026+pfac_orcl_2026)*F737+pfac_orcl_2026/(pit_orcl_2026+pfac_orcl_2026)*IF(AND(ISNUMBER(E737),ISNUMBER(D737)),wb1*E737+wb2*D737,IF(ISNUMBER(E737),E737,F737)))/(pit_orcl_2026+pfac_orcl_2026),site_orcl_2026)</f>
        <v>1.26669929939621</v>
      </c>
      <c r="G738" s="8" t="n">
        <f aca="false">IF(ISNUMBER(G737),(pit_orcl_2027/(pit_orcl_2027+pfac_orcl_2027)*G737+pfac_orcl_2027/(pit_orcl_2027+pfac_orcl_2027)*IF(AND(ISNUMBER(F737),ISNUMBER(E737)),wb1*F737+wb2*E737,IF(ISNUMBER(F737),F737,G737)))/(pit_orcl_2027+pfac_orcl_2027),site_orcl_2027)</f>
        <v>1.53296918960021</v>
      </c>
      <c r="H738" s="8" t="n">
        <f aca="false">IF(ISNUMBER(H737),(pit_orcl_2028/(pit_orcl_2028+pfac_orcl_2028)*H737+pfac_orcl_2028/(pit_orcl_2028+pfac_orcl_2028)*IF(AND(ISNUMBER(G737),ISNUMBER(F737)),wb1*G737+wb2*F737,IF(ISNUMBER(G737),G737,H737)))/(pit_orcl_2028+pfac_orcl_2028),site_orcl_2028)</f>
        <v>1.51024789659781</v>
      </c>
      <c r="I738" s="8" t="n">
        <f aca="false">IF(ISNUMBER(I737),(pit_orcl_2029/(pit_orcl_2029+pfac_orcl_2029)*I737+pfac_orcl_2029/(pit_orcl_2029+pfac_orcl_2029)*IF(AND(ISNUMBER(H737),ISNUMBER(G737)),wb1*H737+wb2*G737,IF(ISNUMBER(H737),H737,I737)))/(pit_orcl_2029+pfac_orcl_2029),site_orcl_2029)</f>
        <v>1.51737350859667</v>
      </c>
    </row>
    <row r="739" customFormat="false" ht="17.15" hidden="false" customHeight="false" outlineLevel="0" collapsed="false">
      <c r="A739" s="0" t="s">
        <v>2111</v>
      </c>
      <c r="B739" s="0" t="s">
        <v>1392</v>
      </c>
      <c r="E739" s="8" t="n">
        <f aca="false">(1-lag)*E738+lag*D738-inv_k_hi*(E738-D738)</f>
        <v>0.376454977755202</v>
      </c>
      <c r="F739" s="8" t="n">
        <f aca="false">(1-lag)*F738+lag*E738-inv_k_hi*(F738-E738)</f>
        <v>1.04766864273572</v>
      </c>
      <c r="G739" s="8" t="n">
        <f aca="false">(1-lag)*G738+lag*F738-inv_k_hi*(G738-F738)</f>
        <v>1.37986400273291</v>
      </c>
      <c r="H739" s="8" t="n">
        <f aca="false">(1-lag)*H738+lag*G738-inv_k_hi*(H738-G738)</f>
        <v>1.52331264007419</v>
      </c>
      <c r="I739" s="8" t="n">
        <f aca="false">(1-lag)*I738+lag*H738-inv_k_hi*(I738-H738)</f>
        <v>1.51327628169732</v>
      </c>
    </row>
    <row r="740" customFormat="false" ht="17.15" hidden="false" customHeight="false" outlineLevel="0" collapsed="false">
      <c r="A740" s="0" t="s">
        <v>2112</v>
      </c>
      <c r="B740" s="0" t="s">
        <v>1394</v>
      </c>
      <c r="D740" s="8" t="str">
        <f aca="false">""</f>
        <v/>
      </c>
      <c r="E740" s="8" t="n">
        <f aca="false">(5/12*cap2_orcl_2025+7/12*gcap_orcl_2026)*ai_sh</f>
        <v>35.1132166666667</v>
      </c>
      <c r="F740" s="8" t="n">
        <f aca="false">(5/12*gcap_orcl_2026+7/12*gcap_orcl_2027)*ai_sh</f>
        <v>65.5785625</v>
      </c>
      <c r="G740" s="8" t="n">
        <f aca="false">(5/12*gcap_orcl_2027+7/12*gcap_orcl_2028)*ai_sh</f>
        <v>75.599189975</v>
      </c>
      <c r="H740" s="8" t="n">
        <f aca="false">(5/12*gcap_orcl_2028+7/12*gcap_orcl_2029)*ai_sh</f>
        <v>49.4435487791667</v>
      </c>
      <c r="I740" s="8" t="n">
        <f aca="false">(5/12*gcap_orcl_2029+7/12*gcap_orcl_2030)*ai_sh</f>
        <v>23.382754125</v>
      </c>
    </row>
    <row r="741" customFormat="false" ht="17.15" hidden="false" customHeight="false" outlineLevel="0" collapsed="false">
      <c r="A741" s="0" t="s">
        <v>2113</v>
      </c>
      <c r="B741" s="0" t="s">
        <v>1390</v>
      </c>
      <c r="D741" s="8" t="n">
        <f aca="false">IF(ISNUMBER(D740),(pit_orcl_2024/(pit_orcl_2024+pfac_orcl_2024)*D740+pfac_orcl_2024/(pit_orcl_2024+pfac_orcl_2024)*IF(AND(ISNUMBER(""),ISNUMBER("")),wb1*""+wb2*"",IF(ISNUMBER(""),"",D740)))/(pit_orcl_2024+pfac_orcl_2024),site_orcl_2024)</f>
        <v>0</v>
      </c>
      <c r="E741" s="8" t="n">
        <f aca="false">IF(ISNUMBER(E740),(pit_orcl_2025/(pit_orcl_2025+pfac_orcl_2025)*E740+pfac_orcl_2025/(pit_orcl_2025+pfac_orcl_2025)*IF(AND(ISNUMBER(D740),ISNUMBER("")),wb1*D740+wb2*"",IF(ISNUMBER(D740),D740,E740)))/(pit_orcl_2025+pfac_orcl_2025),site_orcl_2025)</f>
        <v>0.885776418247532</v>
      </c>
      <c r="F741" s="8" t="n">
        <f aca="false">IF(ISNUMBER(F740),(pit_orcl_2026/(pit_orcl_2026+pfac_orcl_2026)*F740+pfac_orcl_2026/(pit_orcl_2026+pfac_orcl_2026)*IF(AND(ISNUMBER(E740),ISNUMBER(D740)),wb1*E740+wb2*D740,IF(ISNUMBER(E740),E740,F740)))/(pit_orcl_2026+pfac_orcl_2026),site_orcl_2026)</f>
        <v>1.26669929939621</v>
      </c>
      <c r="G741" s="8" t="n">
        <f aca="false">IF(ISNUMBER(G740),(pit_orcl_2027/(pit_orcl_2027+pfac_orcl_2027)*G740+pfac_orcl_2027/(pit_orcl_2027+pfac_orcl_2027)*IF(AND(ISNUMBER(F740),ISNUMBER(E740)),wb1*F740+wb2*E740,IF(ISNUMBER(F740),F740,G740)))/(pit_orcl_2027+pfac_orcl_2027),site_orcl_2027)</f>
        <v>1.42175083118347</v>
      </c>
      <c r="H741" s="8" t="n">
        <f aca="false">IF(ISNUMBER(H740),(pit_orcl_2028/(pit_orcl_2028+pfac_orcl_2028)*H740+pfac_orcl_2028/(pit_orcl_2028+pfac_orcl_2028)*IF(AND(ISNUMBER(G740),ISNUMBER(F740)),wb1*G740+wb2*F740,IF(ISNUMBER(G740),G740,H740)))/(pit_orcl_2028+pfac_orcl_2028),site_orcl_2028)</f>
        <v>1.06923453221276</v>
      </c>
      <c r="I741" s="8" t="n">
        <f aca="false">IF(ISNUMBER(I740),(pit_orcl_2029/(pit_orcl_2029+pfac_orcl_2029)*I740+pfac_orcl_2029/(pit_orcl_2029+pfac_orcl_2029)*IF(AND(ISNUMBER(H740),ISNUMBER(G740)),wb1*H740+wb2*G740,IF(ISNUMBER(H740),H740,I740)))/(pit_orcl_2029+pfac_orcl_2029),site_orcl_2029)</f>
        <v>0.642469547070952</v>
      </c>
    </row>
    <row r="742" customFormat="false" ht="17.15" hidden="false" customHeight="false" outlineLevel="0" collapsed="false">
      <c r="A742" s="0" t="s">
        <v>2114</v>
      </c>
      <c r="B742" s="0" t="s">
        <v>1392</v>
      </c>
      <c r="E742" s="8" t="n">
        <f aca="false">(1-lag)*E741+lag*D741-inv_k_hi*(E741-D741)</f>
        <v>0.376454977755201</v>
      </c>
      <c r="F742" s="8" t="n">
        <f aca="false">(1-lag)*F741+lag*E741-inv_k_hi*(F741-E741)</f>
        <v>1.04766864273572</v>
      </c>
      <c r="G742" s="8" t="n">
        <f aca="false">(1-lag)*G741+lag*F741-inv_k_hi*(G741-F741)</f>
        <v>1.3325962004058</v>
      </c>
      <c r="H742" s="8" t="n">
        <f aca="false">(1-lag)*H741+lag*G741-inv_k_hi*(H741-G741)</f>
        <v>1.27193140412092</v>
      </c>
      <c r="I742" s="8" t="n">
        <f aca="false">(1-lag)*I741+lag*H741-inv_k_hi*(I741-H741)</f>
        <v>0.887859413527489</v>
      </c>
    </row>
    <row r="743" customFormat="false" ht="17.15" hidden="false" customHeight="false" outlineLevel="0" collapsed="false">
      <c r="A743" s="0" t="s">
        <v>2115</v>
      </c>
      <c r="B743" s="0" t="s">
        <v>1398</v>
      </c>
      <c r="E743" s="8" t="n">
        <f aca="false">E742*(1-nnv_orcl_2025)</f>
        <v>0.286779612216484</v>
      </c>
      <c r="F743" s="8" t="n">
        <f aca="false">F742*(1-nnv_orcl_2026)</f>
        <v>0.798103424974486</v>
      </c>
      <c r="G743" s="8" t="n">
        <f aca="false">G742*(1-nnv_orcl_2027)</f>
        <v>0.968661696509876</v>
      </c>
      <c r="H743" s="8" t="n">
        <f aca="false">H742*(1-nnv_orcl_2028)</f>
        <v>0.928991483168298</v>
      </c>
      <c r="I743" s="8" t="n">
        <f aca="false">I742*(1-nnv_orcl_2029)</f>
        <v>0.646195171054362</v>
      </c>
    </row>
    <row r="744" customFormat="false" ht="17.15" hidden="false" customHeight="false" outlineLevel="0" collapsed="false">
      <c r="A744" s="0" t="s">
        <v>2116</v>
      </c>
      <c r="B744" s="0" t="s">
        <v>1400</v>
      </c>
      <c r="D744" s="8" t="n">
        <f aca="false">site_orcl_2024</f>
        <v>0</v>
      </c>
      <c r="E744" s="8" t="n">
        <f aca="false">site_orcl_2025</f>
        <v>0.816405</v>
      </c>
      <c r="F744" s="8" t="n">
        <f aca="false">site_orcl_2026</f>
        <v>1.54613</v>
      </c>
      <c r="G744" s="8" t="n">
        <f aca="false">site_orcl_2027</f>
        <v>0.944166666666667</v>
      </c>
      <c r="H744" s="8" t="n">
        <f aca="false">site_orcl_2028</f>
        <v>4.91166666666667</v>
      </c>
      <c r="I744" s="8" t="n">
        <f aca="false">site_orcl_2029</f>
        <v>0</v>
      </c>
    </row>
    <row r="745" customFormat="false" ht="17.15" hidden="false" customHeight="false" outlineLevel="0" collapsed="false">
      <c r="A745" s="0" t="s">
        <v>2117</v>
      </c>
      <c r="B745" s="0" t="s">
        <v>1402</v>
      </c>
      <c r="D745" s="8" t="n">
        <f aca="false">main_orcl_2024</f>
        <v>0</v>
      </c>
      <c r="E745" s="8" t="n">
        <f aca="false">main_orcl_2025</f>
        <v>0.816405</v>
      </c>
      <c r="F745" s="8" t="n">
        <f aca="false">main_orcl_2026</f>
        <v>1.54613</v>
      </c>
      <c r="G745" s="8" t="n">
        <f aca="false">main_orcl_2027</f>
        <v>1.53296918960021</v>
      </c>
      <c r="H745" s="8" t="n">
        <f aca="false">main_orcl_2028</f>
        <v>1.51024789659781</v>
      </c>
      <c r="I745" s="8" t="n">
        <f aca="false">main_orcl_2029</f>
        <v>1.51737350859666</v>
      </c>
    </row>
    <row r="746" customFormat="false" ht="17.15" hidden="false" customHeight="false" outlineLevel="0" collapsed="false">
      <c r="A746" s="0" t="s">
        <v>2118</v>
      </c>
      <c r="B746" s="0" t="s">
        <v>1404</v>
      </c>
      <c r="D746" s="8" t="str">
        <f aca="false">IF(ISNUMBER(ai2_crwv_2024),ai2_crwv_2024,"")</f>
        <v/>
      </c>
      <c r="E746" s="8" t="str">
        <f aca="false">IF(ISNUMBER(ai2_crwv_2025),ai2_crwv_2025,"")</f>
        <v/>
      </c>
      <c r="F746" s="8" t="n">
        <f aca="false">IF(ISNUMBER(ai2_crwv_2026),ai2_crwv_2026,"")</f>
        <v>31.45</v>
      </c>
      <c r="G746" s="8" t="n">
        <f aca="false">IF(ISNUMBER(ai2_crwv_2027),ai2_crwv_2027,"")</f>
        <v>39.5046</v>
      </c>
      <c r="H746" s="8" t="n">
        <f aca="false">IF(ISNUMBER(ai2_crwv_2028),ai2_crwv_2028,"")</f>
        <v>42.60965</v>
      </c>
      <c r="I746" s="8" t="n">
        <f aca="false">IF(ISNUMBER(ai2_crwv_2029),ai2_crwv_2029,"")</f>
        <v>46.870615</v>
      </c>
    </row>
    <row r="747" customFormat="false" ht="17.15" hidden="false" customHeight="false" outlineLevel="0" collapsed="false">
      <c r="A747" s="0" t="s">
        <v>2119</v>
      </c>
      <c r="B747" s="0" t="s">
        <v>1406</v>
      </c>
      <c r="D747" s="8" t="n">
        <f aca="false">IF(ISNUMBER(D746),(pit_crwv_2024/(pit_crwv_2024+pfac_crwv_2024)*D746+pfac_crwv_2024/(pit_crwv_2024+pfac_crwv_2024)*IF(AND(ISNUMBER(""),ISNUMBER("")),wb1*""+wb2*"",IF(ISNUMBER(""),"",D746)))/(pit_crwv_2024+pfac_crwv_2024),site_crwv_2024)</f>
        <v>0.29</v>
      </c>
      <c r="E747" s="8" t="n">
        <f aca="false">IF(ISNUMBER(E746),(pit_crwv_2025/(pit_crwv_2025+pfac_crwv_2025)*E746+pfac_crwv_2025/(pit_crwv_2025+pfac_crwv_2025)*IF(AND(ISNUMBER(D746),ISNUMBER("")),wb1*D746+wb2*"",IF(ISNUMBER(D746),D746,E746)))/(pit_crwv_2025+pfac_crwv_2025),site_crwv_2025)</f>
        <v>0.49</v>
      </c>
      <c r="F747" s="8" t="n">
        <f aca="false">IF(ISNUMBER(F746),(pit_crwv_2026/(pit_crwv_2026+pfac_crwv_2026)*F746+pfac_crwv_2026/(pit_crwv_2026+pfac_crwv_2026)*IF(AND(ISNUMBER(E746),ISNUMBER(D746)),wb1*E746+wb2*D746,IF(ISNUMBER(E746),E746,F746)))/(pit_crwv_2026+pfac_crwv_2026),site_crwv_2026)</f>
        <v>0.6824489639016</v>
      </c>
      <c r="G747" s="8" t="n">
        <f aca="false">IF(ISNUMBER(G746),(pit_crwv_2027/(pit_crwv_2027+pfac_crwv_2027)*G746+pfac_crwv_2027/(pit_crwv_2027+pfac_crwv_2027)*IF(AND(ISNUMBER(F746),ISNUMBER(E746)),wb1*F746+wb2*E746,IF(ISNUMBER(F746),F746,G746)))/(pit_crwv_2027+pfac_crwv_2027),site_crwv_2027)</f>
        <v>0.735222622408663</v>
      </c>
      <c r="H747" s="8" t="n">
        <f aca="false">IF(ISNUMBER(H746),(pit_crwv_2028/(pit_crwv_2028+pfac_crwv_2028)*H746+pfac_crwv_2028/(pit_crwv_2028+pfac_crwv_2028)*IF(AND(ISNUMBER(G746),ISNUMBER(F746)),wb1*G746+wb2*F746,IF(ISNUMBER(G746),G746,H746)))/(pit_crwv_2028+pfac_crwv_2028),site_crwv_2028)</f>
        <v>0.758042293208188</v>
      </c>
      <c r="I747" s="8" t="n">
        <f aca="false">IF(ISNUMBER(I746),(pit_crwv_2029/(pit_crwv_2029+pfac_crwv_2029)*I746+pfac_crwv_2029/(pit_crwv_2029+pfac_crwv_2029)*IF(AND(ISNUMBER(H746),ISNUMBER(G746)),wb1*H746+wb2*G746,IF(ISNUMBER(H746),H746,I746)))/(pit_crwv_2029+pfac_crwv_2029),site_crwv_2029)</f>
        <v>0.842675104355277</v>
      </c>
    </row>
    <row r="748" customFormat="false" ht="17.15" hidden="false" customHeight="false" outlineLevel="0" collapsed="false">
      <c r="A748" s="0" t="s">
        <v>2120</v>
      </c>
      <c r="B748" s="0" t="s">
        <v>1408</v>
      </c>
      <c r="E748" s="8" t="n">
        <f aca="false">(1-lag)*E747+lag*D747-inv_k_hi*(E747-D747)</f>
        <v>0.375</v>
      </c>
      <c r="F748" s="8" t="n">
        <f aca="false">(1-lag)*F747+lag*E747-inv_k_hi*(F747-E747)</f>
        <v>0.57179080965818</v>
      </c>
      <c r="G748" s="8" t="n">
        <f aca="false">(1-lag)*G747+lag*F747-inv_k_hi*(G747-F747)</f>
        <v>0.704877768767102</v>
      </c>
      <c r="H748" s="8" t="n">
        <f aca="false">(1-lag)*H747+lag*G747-inv_k_hi*(H747-G747)</f>
        <v>0.744920982498461</v>
      </c>
      <c r="I748" s="8" t="n">
        <f aca="false">(1-lag)*I747+lag*H747-inv_k_hi*(I747-H747)</f>
        <v>0.794011237945701</v>
      </c>
    </row>
    <row r="749" customFormat="false" ht="17.15" hidden="false" customHeight="false" outlineLevel="0" collapsed="false">
      <c r="A749" s="0" t="s">
        <v>2121</v>
      </c>
      <c r="B749" s="0" t="s">
        <v>1410</v>
      </c>
      <c r="D749" s="8" t="str">
        <f aca="false">""</f>
        <v/>
      </c>
      <c r="E749" s="8" t="str">
        <f aca="false">""</f>
        <v/>
      </c>
      <c r="F749" s="8" t="n">
        <f aca="false">gcap_crwv_2026*ai_sh</f>
        <v>28.0313</v>
      </c>
      <c r="G749" s="8" t="n">
        <f aca="false">gcap_crwv_2027*ai_sh</f>
        <v>33.45858485</v>
      </c>
      <c r="H749" s="8" t="n">
        <f aca="false">gcap_crwv_2028*ai_sh</f>
        <v>27.6353649</v>
      </c>
      <c r="I749" s="8" t="n">
        <f aca="false">gcap_crwv_2029*ai_sh</f>
        <v>27.7951071</v>
      </c>
    </row>
    <row r="750" customFormat="false" ht="17.15" hidden="false" customHeight="false" outlineLevel="0" collapsed="false">
      <c r="A750" s="0" t="s">
        <v>2122</v>
      </c>
      <c r="B750" s="0" t="s">
        <v>1406</v>
      </c>
      <c r="D750" s="8" t="n">
        <f aca="false">IF(ISNUMBER(D749),(pit_crwv_2024/(pit_crwv_2024+pfac_crwv_2024)*D749+pfac_crwv_2024/(pit_crwv_2024+pfac_crwv_2024)*IF(AND(ISNUMBER(""),ISNUMBER("")),wb1*""+wb2*"",IF(ISNUMBER(""),"",D749)))/(pit_crwv_2024+pfac_crwv_2024),site_crwv_2024)</f>
        <v>0.29</v>
      </c>
      <c r="E750" s="8" t="n">
        <f aca="false">IF(ISNUMBER(E749),(pit_crwv_2025/(pit_crwv_2025+pfac_crwv_2025)*E749+pfac_crwv_2025/(pit_crwv_2025+pfac_crwv_2025)*IF(AND(ISNUMBER(D749),ISNUMBER("")),wb1*D749+wb2*"",IF(ISNUMBER(D749),D749,E749)))/(pit_crwv_2025+pfac_crwv_2025),site_crwv_2025)</f>
        <v>0.49</v>
      </c>
      <c r="F750" s="8" t="n">
        <f aca="false">IF(ISNUMBER(F749),(pit_crwv_2026/(pit_crwv_2026+pfac_crwv_2026)*F749+pfac_crwv_2026/(pit_crwv_2026+pfac_crwv_2026)*IF(AND(ISNUMBER(E749),ISNUMBER(D749)),wb1*E749+wb2*D749,IF(ISNUMBER(E749),E749,F749)))/(pit_crwv_2026+pfac_crwv_2026),site_crwv_2026)</f>
        <v>0.608264917068837</v>
      </c>
      <c r="G750" s="8" t="n">
        <f aca="false">IF(ISNUMBER(G749),(pit_crwv_2027/(pit_crwv_2027+pfac_crwv_2027)*G749+pfac_crwv_2027/(pit_crwv_2027+pfac_crwv_2027)*IF(AND(ISNUMBER(F749),ISNUMBER(E749)),wb1*F749+wb2*E749,IF(ISNUMBER(F749),F749,G749)))/(pit_crwv_2027+pfac_crwv_2027),site_crwv_2027)</f>
        <v>0.629490424531811</v>
      </c>
      <c r="H750" s="8" t="n">
        <f aca="false">IF(ISNUMBER(H749),(pit_crwv_2028/(pit_crwv_2028+pfac_crwv_2028)*H749+pfac_crwv_2028/(pit_crwv_2028+pfac_crwv_2028)*IF(AND(ISNUMBER(G749),ISNUMBER(F749)),wb1*G749+wb2*F749,IF(ISNUMBER(G749),G749,H749)))/(pit_crwv_2028+pfac_crwv_2028),site_crwv_2028)</f>
        <v>0.525250960902376</v>
      </c>
      <c r="I750" s="8" t="n">
        <f aca="false">IF(ISNUMBER(I749),(pit_crwv_2029/(pit_crwv_2029+pfac_crwv_2029)*I749+pfac_crwv_2029/(pit_crwv_2029+pfac_crwv_2029)*IF(AND(ISNUMBER(H749),ISNUMBER(G749)),wb1*H749+wb2*G749,IF(ISNUMBER(H749),H749,I749)))/(pit_crwv_2029+pfac_crwv_2029),site_crwv_2029)</f>
        <v>0.526654910671929</v>
      </c>
    </row>
    <row r="751" customFormat="false" ht="17.15" hidden="false" customHeight="false" outlineLevel="0" collapsed="false">
      <c r="A751" s="0" t="s">
        <v>2123</v>
      </c>
      <c r="B751" s="0" t="s">
        <v>1408</v>
      </c>
      <c r="E751" s="8" t="n">
        <f aca="false">(1-lag)*E750+lag*D750-inv_k_hi*(E750-D750)</f>
        <v>0.375</v>
      </c>
      <c r="F751" s="8" t="n">
        <f aca="false">(1-lag)*F750+lag*E750-inv_k_hi*(F750-E750)</f>
        <v>0.540262589754256</v>
      </c>
      <c r="G751" s="8" t="n">
        <f aca="false">(1-lag)*G750+lag*F750-inv_k_hi*(G750-F750)</f>
        <v>0.617285757740601</v>
      </c>
      <c r="H751" s="8" t="n">
        <f aca="false">(1-lag)*H750+lag*G750-inv_k_hi*(H750-G750)</f>
        <v>0.585188652489301</v>
      </c>
      <c r="I751" s="8" t="n">
        <f aca="false">(1-lag)*I750+lag*H750-inv_k_hi*(I750-H750)</f>
        <v>0.525847639554436</v>
      </c>
    </row>
    <row r="752" customFormat="false" ht="17.15" hidden="false" customHeight="false" outlineLevel="0" collapsed="false">
      <c r="A752" s="0" t="s">
        <v>2124</v>
      </c>
      <c r="B752" s="0" t="s">
        <v>1414</v>
      </c>
      <c r="E752" s="8" t="n">
        <f aca="false">E751*(1-nnv_crwv_2025)</f>
        <v>0.375</v>
      </c>
      <c r="F752" s="8" t="n">
        <f aca="false">F751*(1-nnv_crwv_2026)</f>
        <v>0.540262589754256</v>
      </c>
      <c r="G752" s="8" t="n">
        <f aca="false">G751*(1-nnv_crwv_2027)</f>
        <v>0.617285757740601</v>
      </c>
      <c r="H752" s="8" t="n">
        <f aca="false">H751*(1-nnv_crwv_2028)</f>
        <v>0.585188652489301</v>
      </c>
      <c r="I752" s="8" t="n">
        <f aca="false">I751*(1-nnv_crwv_2029)</f>
        <v>0.525847639554436</v>
      </c>
    </row>
    <row r="753" customFormat="false" ht="17.15" hidden="false" customHeight="false" outlineLevel="0" collapsed="false">
      <c r="A753" s="0" t="s">
        <v>2125</v>
      </c>
      <c r="B753" s="0" t="s">
        <v>1416</v>
      </c>
      <c r="D753" s="8" t="n">
        <f aca="false">site_crwv_2024</f>
        <v>0.29</v>
      </c>
      <c r="E753" s="8" t="n">
        <f aca="false">site_crwv_2025</f>
        <v>0.49</v>
      </c>
      <c r="F753" s="8" t="n">
        <f aca="false">site_crwv_2026</f>
        <v>1</v>
      </c>
      <c r="G753" s="8" t="n">
        <f aca="false">site_crwv_2027</f>
        <v>1.5375</v>
      </c>
      <c r="H753" s="8" t="n">
        <f aca="false">site_crwv_2028</f>
        <v>1.5375</v>
      </c>
      <c r="I753" s="8" t="n">
        <f aca="false">site_crwv_2029</f>
        <v>1.5375</v>
      </c>
    </row>
    <row r="754" customFormat="false" ht="17.15" hidden="false" customHeight="false" outlineLevel="0" collapsed="false">
      <c r="A754" s="0" t="s">
        <v>2126</v>
      </c>
      <c r="B754" s="0" t="s">
        <v>1418</v>
      </c>
      <c r="D754" s="8" t="n">
        <f aca="false">main_crwv_2024</f>
        <v>0.29</v>
      </c>
      <c r="E754" s="8" t="n">
        <f aca="false">main_crwv_2025</f>
        <v>0.49</v>
      </c>
      <c r="F754" s="8" t="n">
        <f aca="false">main_crwv_2026</f>
        <v>1</v>
      </c>
      <c r="G754" s="8" t="n">
        <f aca="false">main_crwv_2027</f>
        <v>1.5375</v>
      </c>
      <c r="H754" s="8" t="n">
        <f aca="false">main_crwv_2028</f>
        <v>0.758042293208187</v>
      </c>
      <c r="I754" s="8" t="n">
        <f aca="false">main_crwv_2029</f>
        <v>0.842675104355277</v>
      </c>
    </row>
    <row r="755" customFormat="false" ht="17.15" hidden="false" customHeight="false" outlineLevel="0" collapsed="false">
      <c r="A755" s="0" t="s">
        <v>2127</v>
      </c>
      <c r="B755" s="0" t="s">
        <v>1420</v>
      </c>
      <c r="D755" s="8" t="str">
        <f aca="false">IF(ISNUMBER(ai2_nbis_2024),ai2_nbis_2024,"")</f>
        <v/>
      </c>
      <c r="E755" s="8" t="n">
        <f aca="false">IF(ISNUMBER(ai2_nbis_2025),ai2_nbis_2025,"")</f>
        <v>3.4561</v>
      </c>
      <c r="F755" s="8" t="n">
        <f aca="false">IF(ISNUMBER(ai2_nbis_2026),ai2_nbis_2026,"")</f>
        <v>19.125</v>
      </c>
      <c r="G755" s="8" t="n">
        <f aca="false">IF(ISNUMBER(ai2_nbis_2027),ai2_nbis_2027,"")</f>
        <v>23.15655</v>
      </c>
      <c r="H755" s="8" t="n">
        <f aca="false">IF(ISNUMBER(ai2_nbis_2028),ai2_nbis_2028,"")</f>
        <v>32.6315</v>
      </c>
      <c r="I755" s="8" t="n">
        <f aca="false">IF(ISNUMBER(ai2_nbis_2029),ai2_nbis_2029,"")</f>
        <v>35.89465</v>
      </c>
    </row>
    <row r="756" customFormat="false" ht="17.15" hidden="false" customHeight="false" outlineLevel="0" collapsed="false">
      <c r="A756" s="0" t="s">
        <v>2128</v>
      </c>
      <c r="B756" s="0" t="s">
        <v>1422</v>
      </c>
      <c r="D756" s="8" t="n">
        <f aca="false">IF(ISNUMBER(D755),(pit_nbis_2024/(pit_nbis_2024+pfac_nbis_2024)*D755+pfac_nbis_2024/(pit_nbis_2024+pfac_nbis_2024)*IF(AND(ISNUMBER(""),ISNUMBER("")),wb1*""+wb2*"",IF(ISNUMBER(""),"",D755)))/(pit_nbis_2024+pfac_nbis_2024),site_nbis_2024)</f>
        <v>0</v>
      </c>
      <c r="E756" s="8" t="n">
        <f aca="false">IF(ISNUMBER(E755),(pit_nbis_2025/(pit_nbis_2025+pfac_nbis_2025)*E755+pfac_nbis_2025/(pit_nbis_2025+pfac_nbis_2025)*IF(AND(ISNUMBER(D755),ISNUMBER("")),wb1*D755+wb2*"",IF(ISNUMBER(D755),D755,E755)))/(pit_nbis_2025+pfac_nbis_2025),site_nbis_2025)</f>
        <v>0.0893531926088847</v>
      </c>
      <c r="F756" s="8" t="n">
        <f aca="false">IF(ISNUMBER(F755),(pit_nbis_2026/(pit_nbis_2026+pfac_nbis_2026)*F755+pfac_nbis_2026/(pit_nbis_2026+pfac_nbis_2026)*IF(AND(ISNUMBER(E755),ISNUMBER(D755)),wb1*E755+wb2*D755,IF(ISNUMBER(E755),E755,F755)))/(pit_nbis_2026+pfac_nbis_2026),site_nbis_2026)</f>
        <v>0.321523721659491</v>
      </c>
      <c r="G756" s="8" t="n">
        <f aca="false">IF(ISNUMBER(G755),(pit_nbis_2027/(pit_nbis_2027+pfac_nbis_2027)*G755+pfac_nbis_2027/(pit_nbis_2027+pfac_nbis_2027)*IF(AND(ISNUMBER(F755),ISNUMBER(E755)),wb1*F755+wb2*E755,IF(ISNUMBER(F755),F755,G755)))/(pit_nbis_2027+pfac_nbis_2027),site_nbis_2027)</f>
        <v>0.396179366526544</v>
      </c>
      <c r="H756" s="8" t="n">
        <f aca="false">IF(ISNUMBER(H755),(pit_nbis_2028/(pit_nbis_2028+pfac_nbis_2028)*H755+pfac_nbis_2028/(pit_nbis_2028+pfac_nbis_2028)*IF(AND(ISNUMBER(G755),ISNUMBER(F755)),wb1*G755+wb2*F755,IF(ISNUMBER(G755),G755,H755)))/(pit_nbis_2028+pfac_nbis_2028),site_nbis_2028)</f>
        <v>0.554335434150153</v>
      </c>
      <c r="I756" s="8" t="n">
        <f aca="false">IF(ISNUMBER(I755),(pit_nbis_2029/(pit_nbis_2029+pfac_nbis_2029)*I755+pfac_nbis_2029/(pit_nbis_2029+pfac_nbis_2029)*IF(AND(ISNUMBER(H755),ISNUMBER(G755)),wb1*H755+wb2*G755,IF(ISNUMBER(H755),H755,I755)))/(pit_nbis_2029+pfac_nbis_2029),site_nbis_2029)</f>
        <v>0.629924193744744</v>
      </c>
    </row>
    <row r="757" customFormat="false" ht="17.15" hidden="false" customHeight="false" outlineLevel="0" collapsed="false">
      <c r="A757" s="0" t="s">
        <v>2129</v>
      </c>
      <c r="B757" s="0" t="s">
        <v>1424</v>
      </c>
      <c r="E757" s="8" t="n">
        <f aca="false">(1-lag)*E756+lag*D756-inv_k_hi*(E756-D756)</f>
        <v>0.037975106858776</v>
      </c>
      <c r="F757" s="8" t="n">
        <f aca="false">(1-lag)*F756+lag*E756-inv_k_hi*(F756-E756)</f>
        <v>0.188025667455392</v>
      </c>
      <c r="G757" s="8" t="n">
        <f aca="false">(1-lag)*G756+lag*F756-inv_k_hi*(G756-F756)</f>
        <v>0.353252370727989</v>
      </c>
      <c r="H757" s="8" t="n">
        <f aca="false">(1-lag)*H756+lag*G756-inv_k_hi*(H756-G756)</f>
        <v>0.463395695266578</v>
      </c>
      <c r="I757" s="8" t="n">
        <f aca="false">(1-lag)*I756+lag*H756-inv_k_hi*(I756-H756)</f>
        <v>0.586460656977854</v>
      </c>
    </row>
    <row r="758" customFormat="false" ht="17.15" hidden="false" customHeight="false" outlineLevel="0" collapsed="false">
      <c r="A758" s="0" t="s">
        <v>2130</v>
      </c>
      <c r="B758" s="0" t="s">
        <v>1426</v>
      </c>
      <c r="D758" s="8" t="str">
        <f aca="false">""</f>
        <v/>
      </c>
      <c r="E758" s="8" t="n">
        <f aca="false">cap2_nbis_2025*ai_sh</f>
        <v>3.4561</v>
      </c>
      <c r="F758" s="8" t="n">
        <f aca="false">gcap_nbis_2026*ai_sh</f>
        <v>22.1392615</v>
      </c>
      <c r="G758" s="8" t="n">
        <f aca="false">gcap_nbis_2027*ai_sh</f>
        <v>23.45782145</v>
      </c>
      <c r="H758" s="8" t="n">
        <f aca="false">gcap_nbis_2028*ai_sh</f>
        <v>24.7763814</v>
      </c>
      <c r="I758" s="8" t="n">
        <f aca="false">gcap_nbis_2029*ai_sh</f>
        <v>24.7763814</v>
      </c>
    </row>
    <row r="759" customFormat="false" ht="17.15" hidden="false" customHeight="false" outlineLevel="0" collapsed="false">
      <c r="A759" s="0" t="s">
        <v>2131</v>
      </c>
      <c r="B759" s="0" t="s">
        <v>1422</v>
      </c>
      <c r="D759" s="8" t="n">
        <f aca="false">IF(ISNUMBER(D758),(pit_nbis_2024/(pit_nbis_2024+pfac_nbis_2024)*D758+pfac_nbis_2024/(pit_nbis_2024+pfac_nbis_2024)*IF(AND(ISNUMBER(""),ISNUMBER("")),wb1*""+wb2*"",IF(ISNUMBER(""),"",D758)))/(pit_nbis_2024+pfac_nbis_2024),site_nbis_2024)</f>
        <v>0</v>
      </c>
      <c r="E759" s="8" t="n">
        <f aca="false">IF(ISNUMBER(E758),(pit_nbis_2025/(pit_nbis_2025+pfac_nbis_2025)*E758+pfac_nbis_2025/(pit_nbis_2025+pfac_nbis_2025)*IF(AND(ISNUMBER(D758),ISNUMBER("")),wb1*D758+wb2*"",IF(ISNUMBER(D758),D758,E758)))/(pit_nbis_2025+pfac_nbis_2025),site_nbis_2025)</f>
        <v>0.0893531926088847</v>
      </c>
      <c r="F759" s="8" t="n">
        <f aca="false">IF(ISNUMBER(F758),(pit_nbis_2026/(pit_nbis_2026+pfac_nbis_2026)*F758+pfac_nbis_2026/(pit_nbis_2026+pfac_nbis_2026)*IF(AND(ISNUMBER(E758),ISNUMBER(D758)),wb1*E758+wb2*D758,IF(ISNUMBER(E758),E758,F758)))/(pit_nbis_2026+pfac_nbis_2026),site_nbis_2026)</f>
        <v>0.368948888862446</v>
      </c>
      <c r="G759" s="8" t="n">
        <f aca="false">IF(ISNUMBER(G758),(pit_nbis_2027/(pit_nbis_2027+pfac_nbis_2027)*G758+pfac_nbis_2027/(pit_nbis_2027+pfac_nbis_2027)*IF(AND(ISNUMBER(F758),ISNUMBER(E758)),wb1*F758+wb2*E758,IF(ISNUMBER(F758),F758,G758)))/(pit_nbis_2027+pfac_nbis_2027),site_nbis_2027)</f>
        <v>0.407957040143515</v>
      </c>
      <c r="H759" s="8" t="n">
        <f aca="false">IF(ISNUMBER(H758),(pit_nbis_2028/(pit_nbis_2028+pfac_nbis_2028)*H758+pfac_nbis_2028/(pit_nbis_2028+pfac_nbis_2028)*IF(AND(ISNUMBER(G758),ISNUMBER(F758)),wb1*G758+wb2*F758,IF(ISNUMBER(G758),G758,H758)))/(pit_nbis_2028+pfac_nbis_2028),site_nbis_2028)</f>
        <v>0.450206743161261</v>
      </c>
      <c r="I759" s="8" t="n">
        <f aca="false">IF(ISNUMBER(I758),(pit_nbis_2029/(pit_nbis_2029+pfac_nbis_2029)*I758+pfac_nbis_2029/(pit_nbis_2029+pfac_nbis_2029)*IF(AND(ISNUMBER(H758),ISNUMBER(G758)),wb1*H758+wb2*G758,IF(ISNUMBER(H758),H758,I758)))/(pit_nbis_2029+pfac_nbis_2029),site_nbis_2029)</f>
        <v>0.45593532101388</v>
      </c>
    </row>
    <row r="760" customFormat="false" ht="17.15" hidden="false" customHeight="false" outlineLevel="0" collapsed="false">
      <c r="A760" s="0" t="s">
        <v>2132</v>
      </c>
      <c r="B760" s="0" t="s">
        <v>1424</v>
      </c>
      <c r="E760" s="8" t="n">
        <f aca="false">(1-lag)*E759+lag*D759-inv_k_hi*(E759-D759)</f>
        <v>0.037975106858776</v>
      </c>
      <c r="F760" s="8" t="n">
        <f aca="false">(1-lag)*F759+lag*E759-inv_k_hi*(F759-E759)</f>
        <v>0.208181363516648</v>
      </c>
      <c r="G760" s="8" t="n">
        <f aca="false">(1-lag)*G759+lag*F759-inv_k_hi*(G759-F759)</f>
        <v>0.3855273531569</v>
      </c>
      <c r="H760" s="8" t="n">
        <f aca="false">(1-lag)*H759+lag*G759-inv_k_hi*(H759-G759)</f>
        <v>0.425913163926057</v>
      </c>
      <c r="I760" s="8" t="n">
        <f aca="false">(1-lag)*I759+lag*H759-inv_k_hi*(I759-H759)</f>
        <v>0.452641388748624</v>
      </c>
    </row>
    <row r="761" customFormat="false" ht="17.15" hidden="false" customHeight="false" outlineLevel="0" collapsed="false">
      <c r="A761" s="0" t="s">
        <v>2133</v>
      </c>
      <c r="B761" s="0" t="s">
        <v>1430</v>
      </c>
      <c r="E761" s="8" t="n">
        <f aca="false">E760*(1-nnv_nbis_2025)</f>
        <v>0.037975106858776</v>
      </c>
      <c r="F761" s="8" t="n">
        <f aca="false">F760*(1-nnv_nbis_2026)</f>
        <v>0.208181363516648</v>
      </c>
      <c r="G761" s="8" t="n">
        <f aca="false">G760*(1-nnv_nbis_2027)</f>
        <v>0.3855273531569</v>
      </c>
      <c r="H761" s="8" t="n">
        <f aca="false">H760*(1-nnv_nbis_2028)</f>
        <v>0.425913163926057</v>
      </c>
      <c r="I761" s="8" t="n">
        <f aca="false">I760*(1-nnv_nbis_2029)</f>
        <v>0.452641388748624</v>
      </c>
    </row>
    <row r="762" customFormat="false" ht="17.15" hidden="false" customHeight="false" outlineLevel="0" collapsed="false">
      <c r="A762" s="0" t="s">
        <v>2134</v>
      </c>
      <c r="B762" s="0" t="s">
        <v>1432</v>
      </c>
      <c r="D762" s="8" t="n">
        <f aca="false">site_nbis_2024</f>
        <v>0</v>
      </c>
      <c r="E762" s="8" t="n">
        <f aca="false">site_nbis_2025</f>
        <v>0</v>
      </c>
      <c r="F762" s="8" t="n">
        <f aca="false">site_nbis_2026</f>
        <v>0.73</v>
      </c>
      <c r="G762" s="8" t="n">
        <f aca="false">site_nbis_2027</f>
        <v>0.403</v>
      </c>
      <c r="H762" s="8" t="n">
        <f aca="false">site_nbis_2028</f>
        <v>0</v>
      </c>
      <c r="I762" s="8" t="n">
        <f aca="false">site_nbis_2029</f>
        <v>0</v>
      </c>
    </row>
    <row r="763" customFormat="false" ht="17.15" hidden="false" customHeight="false" outlineLevel="0" collapsed="false">
      <c r="A763" s="0" t="s">
        <v>2135</v>
      </c>
      <c r="B763" s="0" t="s">
        <v>1434</v>
      </c>
      <c r="D763" s="8" t="n">
        <f aca="false">main_nbis_2024</f>
        <v>0</v>
      </c>
      <c r="E763" s="8" t="n">
        <f aca="false">main_nbis_2025</f>
        <v>0</v>
      </c>
      <c r="F763" s="8" t="n">
        <f aca="false">main_nbis_2026</f>
        <v>0.73</v>
      </c>
      <c r="G763" s="8" t="n">
        <f aca="false">main_nbis_2027</f>
        <v>0.396179366526544</v>
      </c>
      <c r="H763" s="8" t="n">
        <f aca="false">main_nbis_2028</f>
        <v>0.554335434150153</v>
      </c>
      <c r="I763" s="8" t="n">
        <f aca="false">main_nbis_2029</f>
        <v>0.629924193744744</v>
      </c>
    </row>
    <row r="764" customFormat="false" ht="17.15" hidden="false" customHeight="false" outlineLevel="0" collapsed="false">
      <c r="A764" s="0" t="s">
        <v>2136</v>
      </c>
      <c r="B764" s="0" t="s">
        <v>1436</v>
      </c>
      <c r="D764" s="8" t="str">
        <f aca="false">IF(ISNUMBER(gai_xai_2024),gai_xai_2024,"")</f>
        <v/>
      </c>
      <c r="E764" s="8" t="str">
        <f aca="false">IF(ISNUMBER(gai_xai_2025),gai_xai_2025,"")</f>
        <v/>
      </c>
      <c r="F764" s="8" t="n">
        <f aca="false">IF(ISNUMBER(gai_xai_2026),gai_xai_2026,"")</f>
        <v>74.058119</v>
      </c>
      <c r="G764" s="8" t="n">
        <f aca="false">IF(ISNUMBER(gai_xai_2027),gai_xai_2027,"")</f>
        <v>136.252477</v>
      </c>
      <c r="H764" s="8" t="n">
        <f aca="false">IF(ISNUMBER(gai_xai_2028),gai_xai_2028,"")</f>
        <v>144.12072</v>
      </c>
      <c r="I764" s="8" t="n">
        <f aca="false">IF(ISNUMBER(gai_xai_2029),gai_xai_2029,"")</f>
        <v>111.172527</v>
      </c>
    </row>
    <row r="765" customFormat="false" ht="17.15" hidden="false" customHeight="false" outlineLevel="0" collapsed="false">
      <c r="A765" s="0" t="s">
        <v>2137</v>
      </c>
      <c r="B765" s="0" t="s">
        <v>1438</v>
      </c>
      <c r="D765" s="8" t="n">
        <f aca="false">IF(ISNUMBER(D764),(pitN_2024/(pitN_2024+pfacN_2024)*D764+pfacN_2024/(pitN_2024+pfacN_2024)*IF(AND(ISNUMBER(""),ISNUMBER("")),wb1*""+wb2*"",IF(ISNUMBER(""),"",D764)))/(pitN_2024+pfacN_2024),site_xai_2024)</f>
        <v>0</v>
      </c>
      <c r="E765" s="8" t="n">
        <f aca="false">IF(ISNUMBER(E764),(pitN_2025/(pitN_2025+pfacN_2025)*E764+pfacN_2025/(pitN_2025+pfacN_2025)*IF(AND(ISNUMBER(D764),ISNUMBER("")),wb1*D764+wb2*"",IF(ISNUMBER(D764),D764,E764)))/(pitN_2025+pfacN_2025),site_xai_2025)</f>
        <v>0</v>
      </c>
      <c r="F765" s="8" t="n">
        <f aca="false">IF(ISNUMBER(F764),(pitN_2026/(pitN_2026+pfacN_2026)*F764+pfacN_2026/(pitN_2026+pfacN_2026)*IF(AND(ISNUMBER(E764),ISNUMBER(D764)),wb1*E764+wb2*D764,IF(ISNUMBER(E764),E764,F764)))/(pitN_2026+pfacN_2026),site_xai_2026)</f>
        <v>1.60702342066936</v>
      </c>
      <c r="G765" s="8" t="n">
        <f aca="false">IF(ISNUMBER(G764),(pitN_2027/(pitN_2027+pfacN_2027)*G764+pfacN_2027/(pitN_2027+pfacN_2027)*IF(AND(ISNUMBER(F764),ISNUMBER(E764)),wb1*F764+wb2*E764,IF(ISNUMBER(F764),F764,G764)))/(pitN_2027+pfacN_2027),site_xai_2027)</f>
        <v>2.36823509451502</v>
      </c>
      <c r="H765" s="8" t="n">
        <f aca="false">IF(ISNUMBER(H764),(pitN_2028/(pitN_2028+pfacN_2028)*H764+pfacN_2028/(pitN_2028+pfacN_2028)*IF(AND(ISNUMBER(G764),ISNUMBER(F764)),wb1*G764+wb2*F764,IF(ISNUMBER(G764),G764,H764)))/(pitN_2028+pfacN_2028),site_xai_2028)</f>
        <v>2.49948463520021</v>
      </c>
      <c r="I765" s="8" t="n">
        <f aca="false">IF(ISNUMBER(I764),(pitN_2029/(pitN_2029+pfacN_2029)*I764+pfacN_2029/(pitN_2029+pfacN_2029)*IF(AND(ISNUMBER(H764),ISNUMBER(G764)),wb1*H764+wb2*G764,IF(ISNUMBER(H764),H764,I764)))/(pitN_2029+pfacN_2029),site_xai_2029)</f>
        <v>2.18470428873966</v>
      </c>
    </row>
    <row r="766" customFormat="false" ht="17.15" hidden="false" customHeight="false" outlineLevel="0" collapsed="false">
      <c r="A766" s="0" t="s">
        <v>2138</v>
      </c>
      <c r="B766" s="0" t="s">
        <v>1440</v>
      </c>
      <c r="E766" s="8" t="n">
        <f aca="false">IF(ISNUMBER(gai_xai_2024),(1-lag)*E765+lag*D765-inv_k_hi*(E765-D765),E765)</f>
        <v>0</v>
      </c>
      <c r="F766" s="8" t="n">
        <f aca="false">IF(ISNUMBER(gai_xai_2025),(1-lag)*F765+lag*E765-inv_k_hi*(F765-E765),F765)</f>
        <v>1.60702342066936</v>
      </c>
      <c r="G766" s="8" t="n">
        <f aca="false">IF(ISNUMBER(gai_xai_2026),(1-lag)*G765+lag*F765-inv_k_hi*(G765-F765),G765)</f>
        <v>1.93053838205376</v>
      </c>
      <c r="H766" s="8" t="n">
        <f aca="false">IF(ISNUMBER(gai_xai_2027),(1-lag)*H765+lag*G765-inv_k_hi*(H765-G765),H765)</f>
        <v>2.42401614930622</v>
      </c>
      <c r="I766" s="8" t="n">
        <f aca="false">IF(ISNUMBER(gai_xai_2028),(1-lag)*I765+lag*H765-inv_k_hi*(I765-H765),I765)</f>
        <v>2.36570298795447</v>
      </c>
    </row>
    <row r="767" customFormat="false" ht="17.15" hidden="false" customHeight="false" outlineLevel="0" collapsed="false">
      <c r="A767" s="0" t="s">
        <v>2139</v>
      </c>
      <c r="B767" s="0" t="s">
        <v>1442</v>
      </c>
      <c r="E767" s="8" t="n">
        <f aca="false">E766*(1-nnv_xai_2025)</f>
        <v>0</v>
      </c>
      <c r="F767" s="8" t="n">
        <f aca="false">F766*(1-nnv_xai_2026)</f>
        <v>1.60702342066936</v>
      </c>
      <c r="G767" s="8" t="n">
        <f aca="false">G766*(1-nnv_xai_2027)</f>
        <v>1.93053838205376</v>
      </c>
      <c r="H767" s="8" t="n">
        <f aca="false">H766*(1-nnv_xai_2028)</f>
        <v>2.42401614930622</v>
      </c>
      <c r="I767" s="8" t="n">
        <f aca="false">I766*(1-nnv_xai_2029)</f>
        <v>2.36570298795447</v>
      </c>
    </row>
    <row r="768" customFormat="false" ht="17.15" hidden="false" customHeight="false" outlineLevel="0" collapsed="false">
      <c r="A768" s="0" t="s">
        <v>2140</v>
      </c>
      <c r="B768" s="0" t="s">
        <v>1444</v>
      </c>
      <c r="D768" s="8" t="n">
        <f aca="false">site_xai_2024</f>
        <v>0</v>
      </c>
      <c r="E768" s="8" t="n">
        <f aca="false">site_xai_2025</f>
        <v>0</v>
      </c>
      <c r="F768" s="8" t="n">
        <f aca="false">site_xai_2026</f>
        <v>1.4302</v>
      </c>
      <c r="G768" s="8" t="n">
        <f aca="false">site_xai_2027</f>
        <v>0.585</v>
      </c>
      <c r="H768" s="8" t="n">
        <f aca="false">site_xai_2028</f>
        <v>0</v>
      </c>
      <c r="I768" s="8" t="n">
        <f aca="false">site_xai_2029</f>
        <v>0</v>
      </c>
    </row>
    <row r="769" customFormat="false" ht="17.15" hidden="false" customHeight="false" outlineLevel="0" collapsed="false">
      <c r="A769" s="0" t="s">
        <v>2141</v>
      </c>
      <c r="B769" s="0" t="s">
        <v>1446</v>
      </c>
      <c r="D769" s="8" t="str">
        <f aca="false">IF(ISNUMBER(gai_ant_2024),gai_ant_2024,"")</f>
        <v/>
      </c>
      <c r="E769" s="8" t="str">
        <f aca="false">IF(ISNUMBER(gai_ant_2025),gai_ant_2025,"")</f>
        <v/>
      </c>
      <c r="F769" s="8" t="n">
        <f aca="false">IF(ISNUMBER(gai_ant_2026),gai_ant_2026,"")</f>
        <v>16.666667</v>
      </c>
      <c r="G769" s="8" t="n">
        <f aca="false">IF(ISNUMBER(gai_ant_2027),gai_ant_2027,"")</f>
        <v>16.666667</v>
      </c>
      <c r="H769" s="8" t="n">
        <f aca="false">IF(ISNUMBER(gai_ant_2028),gai_ant_2028,"")</f>
        <v>16.666667</v>
      </c>
      <c r="I769" s="8" t="n">
        <f aca="false">IF(ISNUMBER(gai_ant_2029),gai_ant_2029,"")</f>
        <v>0</v>
      </c>
    </row>
    <row r="770" customFormat="false" ht="17.15" hidden="false" customHeight="false" outlineLevel="0" collapsed="false">
      <c r="A770" s="0" t="s">
        <v>2142</v>
      </c>
      <c r="B770" s="0" t="s">
        <v>1448</v>
      </c>
      <c r="D770" s="8" t="n">
        <f aca="false">IF(ISNUMBER(D769),(pitN_2024/(pitN_2024+pfacN_2024)*D769+pfacN_2024/(pitN_2024+pfacN_2024)*IF(AND(ISNUMBER(""),ISNUMBER("")),wb1*""+wb2*"",IF(ISNUMBER(""),"",D769)))/(pitN_2024+pfacN_2024),site_ant_2024)</f>
        <v>0</v>
      </c>
      <c r="E770" s="8" t="n">
        <f aca="false">IF(ISNUMBER(E769),(pitN_2025/(pitN_2025+pfacN_2025)*E769+pfacN_2025/(pitN_2025+pfacN_2025)*IF(AND(ISNUMBER(D769),ISNUMBER("")),wb1*D769+wb2*"",IF(ISNUMBER(D769),D769,E769)))/(pitN_2025+pfacN_2025),site_ant_2025)</f>
        <v>0</v>
      </c>
      <c r="F770" s="8" t="n">
        <f aca="false">IF(ISNUMBER(F769),(pitN_2026/(pitN_2026+pfacN_2026)*F769+pfacN_2026/(pitN_2026+pfacN_2026)*IF(AND(ISNUMBER(E769),ISNUMBER(D769)),wb1*E769+wb2*D769,IF(ISNUMBER(E769),E769,F769)))/(pitN_2026+pfacN_2026),site_ant_2026)</f>
        <v>0.36165817570248</v>
      </c>
      <c r="G770" s="8" t="n">
        <f aca="false">IF(ISNUMBER(G769),(pitN_2027/(pitN_2027+pfacN_2027)*G769+pfacN_2027/(pitN_2027+pfacN_2027)*IF(AND(ISNUMBER(F769),ISNUMBER(E769)),wb1*F769+wb2*E769,IF(ISNUMBER(F769),F769,G769)))/(pitN_2027+pfacN_2027),site_ant_2027)</f>
        <v>0.326730833032632</v>
      </c>
      <c r="H770" s="8" t="n">
        <f aca="false">IF(ISNUMBER(H769),(pitN_2028/(pitN_2028+pfacN_2028)*H769+pfacN_2028/(pitN_2028+pfacN_2028)*IF(AND(ISNUMBER(G769),ISNUMBER(F769)),wb1*G769+wb2*F769,IF(ISNUMBER(G769),G769,H769)))/(pitN_2028+pfacN_2028),site_ant_2028)</f>
        <v>0.308627002270922</v>
      </c>
      <c r="I770" s="8" t="n">
        <f aca="false">IF(ISNUMBER(I769),(pitN_2029/(pitN_2029+pfacN_2029)*I769+pfacN_2029/(pitN_2029+pfacN_2029)*IF(AND(ISNUMBER(H769),ISNUMBER(G769)),wb1*H769+wb2*G769,IF(ISNUMBER(H769),H769,I769)))/(pitN_2029+pfacN_2029),site_ant_2029)</f>
        <v>0.0724095248404747</v>
      </c>
    </row>
    <row r="771" customFormat="false" ht="17.15" hidden="false" customHeight="false" outlineLevel="0" collapsed="false">
      <c r="A771" s="0" t="s">
        <v>2143</v>
      </c>
      <c r="B771" s="0" t="s">
        <v>1450</v>
      </c>
      <c r="E771" s="8" t="n">
        <f aca="false">IF(ISNUMBER(gai_ant_2024),(1-lag)*E770+lag*D770-inv_k_hi*(E770-D770),E770)</f>
        <v>0</v>
      </c>
      <c r="F771" s="8" t="n">
        <f aca="false">IF(ISNUMBER(gai_ant_2025),(1-lag)*F770+lag*E770-inv_k_hi*(F770-E770),F770)</f>
        <v>0.36165817570248</v>
      </c>
      <c r="G771" s="8" t="n">
        <f aca="false">IF(ISNUMBER(gai_ant_2026),(1-lag)*G770+lag*F770-inv_k_hi*(G770-F770),G770)</f>
        <v>0.346814055067794</v>
      </c>
      <c r="H771" s="8" t="n">
        <f aca="false">IF(ISNUMBER(gai_ant_2027),(1-lag)*H770+lag*G770-inv_k_hi*(H770-G770),H770)</f>
        <v>0.319036704958905</v>
      </c>
      <c r="I771" s="8" t="n">
        <f aca="false">IF(ISNUMBER(gai_ant_2028),(1-lag)*I770+lag*H770-inv_k_hi*(I770-H770),I770)</f>
        <v>0.208234574362982</v>
      </c>
    </row>
    <row r="772" customFormat="false" ht="17.15" hidden="false" customHeight="false" outlineLevel="0" collapsed="false">
      <c r="A772" s="0" t="s">
        <v>2144</v>
      </c>
      <c r="B772" s="0" t="s">
        <v>1452</v>
      </c>
      <c r="E772" s="8" t="n">
        <f aca="false">E771*(1-nnv_ant_2025)</f>
        <v>0</v>
      </c>
      <c r="F772" s="8" t="n">
        <f aca="false">F771*(1-nnv_ant_2026)</f>
        <v>0.275507557374688</v>
      </c>
      <c r="G772" s="8" t="n">
        <f aca="false">G771*(1-nnv_ant_2027)</f>
        <v>0.252098490790487</v>
      </c>
      <c r="H772" s="8" t="n">
        <f aca="false">H771*(1-nnv_ant_2028)</f>
        <v>0.23301758315319</v>
      </c>
      <c r="I772" s="8" t="n">
        <f aca="false">I771*(1-nnv_ant_2029)</f>
        <v>0.151555724194339</v>
      </c>
    </row>
    <row r="773" customFormat="false" ht="17.15" hidden="false" customHeight="false" outlineLevel="0" collapsed="false">
      <c r="A773" s="0" t="s">
        <v>2145</v>
      </c>
      <c r="B773" s="0" t="s">
        <v>1454</v>
      </c>
      <c r="D773" s="8" t="n">
        <f aca="false">site_ant_2024</f>
        <v>0</v>
      </c>
      <c r="E773" s="8" t="n">
        <f aca="false">site_ant_2025</f>
        <v>0</v>
      </c>
      <c r="F773" s="8" t="n">
        <f aca="false">site_ant_2026</f>
        <v>0</v>
      </c>
      <c r="G773" s="8" t="n">
        <f aca="false">site_ant_2027</f>
        <v>0</v>
      </c>
      <c r="H773" s="8" t="n">
        <f aca="false">site_ant_2028</f>
        <v>0</v>
      </c>
      <c r="I773" s="8" t="n">
        <f aca="false">site_ant_2029</f>
        <v>0</v>
      </c>
    </row>
    <row r="774" customFormat="false" ht="17.15" hidden="false" customHeight="false" outlineLevel="0" collapsed="false">
      <c r="A774" s="0" t="s">
        <v>2146</v>
      </c>
      <c r="B774" s="5" t="s">
        <v>1456</v>
      </c>
      <c r="D774" s="9" t="n">
        <f aca="false">D702+D711+D720+D729+D738+D747+D756</f>
        <v>2.88602836343531</v>
      </c>
      <c r="E774" s="9" t="n">
        <f aca="false">E702+E711+E720+E729+E738+E747+E756</f>
        <v>9.64396540227264</v>
      </c>
      <c r="F774" s="9" t="n">
        <f aca="false">F702+F711+F720+F729+F738+F747+F756</f>
        <v>15.2175288078156</v>
      </c>
      <c r="G774" s="9" t="n">
        <f aca="false">G702+G711+G720+G729+G738+G747+G756</f>
        <v>19.096009969242</v>
      </c>
      <c r="H774" s="9" t="n">
        <f aca="false">H702+H711+H720+H729+H738+H747+H756</f>
        <v>21.3980787384407</v>
      </c>
      <c r="I774" s="9" t="n">
        <f aca="false">I702+I711+I720+I729+I738+I747+I756</f>
        <v>23.901946773905</v>
      </c>
    </row>
    <row r="775" customFormat="false" ht="17.15" hidden="false" customHeight="false" outlineLevel="0" collapsed="false">
      <c r="A775" s="0" t="s">
        <v>2147</v>
      </c>
      <c r="B775" s="5" t="s">
        <v>1458</v>
      </c>
      <c r="D775" s="9" t="n">
        <f aca="false">D703+D712+D721+D730+D739+D748+D757</f>
        <v>0</v>
      </c>
      <c r="E775" s="9" t="n">
        <f aca="false">E703+E712+E721+E730+E739+E748+E757</f>
        <v>5.75815160494117</v>
      </c>
      <c r="F775" s="9" t="n">
        <f aca="false">F703+F712+F721+F730+F739+F748+F757</f>
        <v>12.0127298496284</v>
      </c>
      <c r="G775" s="9" t="n">
        <f aca="false">G703+G712+G721+G730+G739+G748+G757</f>
        <v>16.8658833014219</v>
      </c>
      <c r="H775" s="9" t="n">
        <f aca="false">H703+H712+H721+H730+H739+H748+H757</f>
        <v>20.0743891961515</v>
      </c>
      <c r="I775" s="9" t="n">
        <f aca="false">I703+I712+I721+I730+I739+I748+I757</f>
        <v>22.4622226535131</v>
      </c>
    </row>
    <row r="776" customFormat="false" ht="17.15" hidden="false" customHeight="false" outlineLevel="0" collapsed="false">
      <c r="A776" s="0" t="s">
        <v>2148</v>
      </c>
      <c r="B776" s="5" t="s">
        <v>1460</v>
      </c>
      <c r="D776" s="9" t="n">
        <f aca="false">D705+D714+D723+D732+D741+D750+D759</f>
        <v>3.89616485653111</v>
      </c>
      <c r="E776" s="9" t="n">
        <f aca="false">E705+E714+E723+E732+E741+E750+E759</f>
        <v>9.54752388940888</v>
      </c>
      <c r="F776" s="9" t="n">
        <f aca="false">F705+F714+F723+F732+F741+F750+F759</f>
        <v>15.0143331625148</v>
      </c>
      <c r="G776" s="9" t="n">
        <f aca="false">G705+G714+G723+G732+G741+G750+G759</f>
        <v>19.2346553461083</v>
      </c>
      <c r="H776" s="9" t="n">
        <f aca="false">H705+H714+H723+H732+H741+H750+H759</f>
        <v>20.7180010831606</v>
      </c>
      <c r="I776" s="9" t="n">
        <f aca="false">I705+I714+I723+I732+I741+I750+I759</f>
        <v>20.371284771225</v>
      </c>
    </row>
    <row r="777" customFormat="false" ht="17.15" hidden="false" customHeight="false" outlineLevel="0" collapsed="false">
      <c r="A777" s="0" t="s">
        <v>2149</v>
      </c>
      <c r="B777" s="5" t="s">
        <v>1462</v>
      </c>
      <c r="D777" s="9" t="n">
        <f aca="false">D706+D715+D724+D733+D742+D751+D760</f>
        <v>0</v>
      </c>
      <c r="E777" s="9" t="n">
        <f aca="false">E706+E715+E724+E733+E742+E751+E760</f>
        <v>6.29799244550417</v>
      </c>
      <c r="F777" s="9" t="n">
        <f aca="false">F706+F715+F724+F733+F742+F751+F760</f>
        <v>11.8709178304789</v>
      </c>
      <c r="G777" s="9" t="n">
        <f aca="false">G706+G715+G724+G733+G742+G751+G760</f>
        <v>16.8079700905421</v>
      </c>
      <c r="H777" s="9" t="n">
        <f aca="false">H706+H715+H724+H733+H742+H751+H760</f>
        <v>19.8650772843556</v>
      </c>
      <c r="I777" s="9" t="n">
        <f aca="false">I706+I715+I724+I733+I742+I751+I760</f>
        <v>20.570646650588</v>
      </c>
    </row>
    <row r="778" customFormat="false" ht="15" hidden="false" customHeight="false" outlineLevel="0" collapsed="false">
      <c r="A778" s="0" t="s">
        <v>2150</v>
      </c>
      <c r="B778" s="5" t="s">
        <v>1464</v>
      </c>
      <c r="D778" s="9" t="n">
        <f aca="false">D708+D717+D726+D735+D744+D753+D762</f>
        <v>1.61980834349181</v>
      </c>
      <c r="E778" s="9" t="n">
        <f aca="false">E708+E717+E726+E735+E744+E753+E762</f>
        <v>8.74912429484715</v>
      </c>
      <c r="F778" s="9" t="n">
        <f aca="false">F708+F717+F726+F735+F744+F753+F762</f>
        <v>6.54276412772586</v>
      </c>
      <c r="G778" s="9" t="n">
        <f aca="false">G708+G717+G726+G735+G744+G753+G762</f>
        <v>6.52966666666667</v>
      </c>
      <c r="H778" s="9" t="n">
        <f aca="false">H708+H717+H726+H735+H744+H753+H762</f>
        <v>13.6908333333333</v>
      </c>
      <c r="I778" s="9" t="n">
        <f aca="false">I708+I717+I726+I735+I744+I753+I762</f>
        <v>2.7115</v>
      </c>
    </row>
    <row r="779" customFormat="false" ht="17.15" hidden="false" customHeight="false" outlineLevel="0" collapsed="false">
      <c r="A779" s="0" t="s">
        <v>2151</v>
      </c>
      <c r="B779" s="5" t="s">
        <v>1466</v>
      </c>
      <c r="D779" s="9" t="n">
        <f aca="false">D709+D718+D727+D736+D745+D754+D763</f>
        <v>1.61980834349181</v>
      </c>
      <c r="E779" s="9" t="n">
        <f aca="false">E709+E718+E727+E736+E745+E754+E763</f>
        <v>8.74912429484715</v>
      </c>
      <c r="F779" s="9" t="n">
        <f aca="false">F709+F718+F727+F736+F745+F754+F763</f>
        <v>6.54276412772586</v>
      </c>
      <c r="G779" s="9" t="n">
        <f aca="false">G709+G718+G727+G736+G745+G754+G763</f>
        <v>17.8887754681966</v>
      </c>
      <c r="H779" s="9" t="n">
        <f aca="false">H709+H718+H727+H736+H745+H754+H763</f>
        <v>21.3980787384407</v>
      </c>
      <c r="I779" s="9" t="n">
        <f aca="false">I709+I718+I727+I736+I745+I754+I763</f>
        <v>23.9019467739051</v>
      </c>
    </row>
    <row r="780" customFormat="false" ht="17.15" hidden="false" customHeight="false" outlineLevel="0" collapsed="false">
      <c r="A780" s="0" t="s">
        <v>2152</v>
      </c>
      <c r="B780" s="5" t="s">
        <v>1468</v>
      </c>
      <c r="D780" s="9" t="n">
        <f aca="false">D707+D716+D725+D734+D743+D752+D761</f>
        <v>0</v>
      </c>
      <c r="E780" s="9" t="n">
        <f aca="false">E707+E716+E725+E734+E743+E752+E761</f>
        <v>3.30057958001376</v>
      </c>
      <c r="F780" s="9" t="n">
        <f aca="false">F707+F716+F725+F734+F743+F752+F761</f>
        <v>6.59835369915836</v>
      </c>
      <c r="G780" s="9" t="n">
        <f aca="false">G707+G716+G725+G734+G743+G752+G761</f>
        <v>8.79326702599031</v>
      </c>
      <c r="H780" s="9" t="n">
        <f aca="false">H707+H716+H725+H734+H743+H752+H761</f>
        <v>10.1722703614189</v>
      </c>
      <c r="I780" s="9" t="n">
        <f aca="false">I707+I716+I725+I734+I743+I752+I761</f>
        <v>10.3087415152716</v>
      </c>
    </row>
    <row r="781" customFormat="false" ht="17.15" hidden="false" customHeight="false" outlineLevel="0" collapsed="false">
      <c r="A781" s="0" t="s">
        <v>2153</v>
      </c>
      <c r="B781" s="5" t="s">
        <v>1470</v>
      </c>
      <c r="D781" s="9" t="n">
        <f aca="false">D767+D772</f>
        <v>0</v>
      </c>
      <c r="E781" s="9" t="n">
        <f aca="false">E767+E772</f>
        <v>0</v>
      </c>
      <c r="F781" s="9" t="n">
        <f aca="false">F767+F772</f>
        <v>1.88253097804405</v>
      </c>
      <c r="G781" s="9" t="n">
        <f aca="false">G767+G772</f>
        <v>2.18263687284425</v>
      </c>
      <c r="H781" s="9" t="n">
        <f aca="false">H767+H772</f>
        <v>2.65703373245941</v>
      </c>
      <c r="I781" s="9" t="n">
        <f aca="false">I767+I772</f>
        <v>2.51725871214881</v>
      </c>
    </row>
    <row r="782" customFormat="false" ht="15" hidden="false" customHeight="false" outlineLevel="0" collapsed="false">
      <c r="A782" s="0" t="s">
        <v>2154</v>
      </c>
      <c r="B782" s="5" t="s">
        <v>1472</v>
      </c>
      <c r="D782" s="9" t="n">
        <f aca="false">D765+D770</f>
        <v>0</v>
      </c>
      <c r="E782" s="9" t="n">
        <f aca="false">E765+E770</f>
        <v>0</v>
      </c>
      <c r="F782" s="9" t="n">
        <f aca="false">F765+F770</f>
        <v>1.96868159637184</v>
      </c>
      <c r="G782" s="9" t="n">
        <f aca="false">G765+G770</f>
        <v>2.69496592754765</v>
      </c>
      <c r="H782" s="9" t="n">
        <f aca="false">H765+H770</f>
        <v>2.80811163747113</v>
      </c>
      <c r="I782" s="9" t="n">
        <f aca="false">I765+I770</f>
        <v>2.25711381358013</v>
      </c>
    </row>
    <row r="783" customFormat="false" ht="15" hidden="false" customHeight="false" outlineLevel="0" collapsed="false">
      <c r="A783" s="0" t="s">
        <v>2155</v>
      </c>
      <c r="B783" s="5" t="s">
        <v>1474</v>
      </c>
      <c r="D783" s="9" t="n">
        <f aca="false">D766+D771</f>
        <v>0</v>
      </c>
      <c r="E783" s="9" t="n">
        <f aca="false">E766+E771</f>
        <v>0</v>
      </c>
      <c r="F783" s="9" t="n">
        <f aca="false">F766+F771</f>
        <v>1.96868159637184</v>
      </c>
      <c r="G783" s="9" t="n">
        <f aca="false">G766+G771</f>
        <v>2.27735243712156</v>
      </c>
      <c r="H783" s="9" t="n">
        <f aca="false">H766+H771</f>
        <v>2.74305285426513</v>
      </c>
      <c r="I783" s="9" t="n">
        <f aca="false">I766+I771</f>
        <v>2.57393756231745</v>
      </c>
    </row>
    <row r="784" customFormat="false" ht="15" hidden="false" customHeight="false" outlineLevel="0" collapsed="false">
      <c r="A784" s="0" t="s">
        <v>2156</v>
      </c>
      <c r="B784" s="5" t="s">
        <v>1476</v>
      </c>
      <c r="D784" s="9" t="n">
        <f aca="false">D768+D773</f>
        <v>0</v>
      </c>
      <c r="E784" s="9" t="n">
        <f aca="false">E768+E773</f>
        <v>0</v>
      </c>
      <c r="F784" s="9" t="n">
        <f aca="false">F768+F773</f>
        <v>1.4302</v>
      </c>
      <c r="G784" s="9" t="n">
        <f aca="false">G768+G773</f>
        <v>0.585</v>
      </c>
      <c r="H784" s="9" t="n">
        <f aca="false">H768+H773</f>
        <v>0</v>
      </c>
      <c r="I784" s="9" t="n">
        <f aca="false">I768+I773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6"/>
    <col collapsed="false" customWidth="true" hidden="false" outlineLevel="0" max="3" min="3" style="0" width="62"/>
    <col collapsed="false" customWidth="true" hidden="false" outlineLevel="0" max="7" min="4" style="0" width="11"/>
    <col collapsed="false" customWidth="true" hidden="false" outlineLevel="0" max="8" min="8" style="0" width="16"/>
  </cols>
  <sheetData>
    <row r="1" customFormat="false" ht="17.15" hidden="false" customHeight="false" outlineLevel="0" collapsed="false">
      <c r="A1" s="1" t="s">
        <v>2157</v>
      </c>
    </row>
    <row r="3" customFormat="false" ht="15" hidden="false" customHeight="false" outlineLevel="0" collapsed="false">
      <c r="A3" s="2" t="s">
        <v>2158</v>
      </c>
      <c r="B3" s="2" t="s">
        <v>2</v>
      </c>
      <c r="C3" s="2" t="s">
        <v>2159</v>
      </c>
      <c r="D3" s="7" t="s">
        <v>1319</v>
      </c>
      <c r="E3" s="7" t="s">
        <v>1320</v>
      </c>
      <c r="F3" s="7" t="s">
        <v>1321</v>
      </c>
      <c r="G3" s="7" t="s">
        <v>1322</v>
      </c>
      <c r="H3" s="2" t="s">
        <v>7</v>
      </c>
    </row>
    <row r="4" customFormat="false" ht="15" hidden="false" customHeight="false" outlineLevel="0" collapsed="false">
      <c r="A4" s="6" t="s">
        <v>2160</v>
      </c>
    </row>
    <row r="5" customFormat="false" ht="17.15" hidden="false" customHeight="false" outlineLevel="0" collapsed="false">
      <c r="A5" s="0" t="s">
        <v>2161</v>
      </c>
      <c r="B5" s="0" t="s">
        <v>2162</v>
      </c>
      <c r="C5" s="0" t="s">
        <v>2163</v>
      </c>
      <c r="D5" s="10" t="n">
        <f aca="false">s_b8_2026</f>
        <v>20.2987830299704</v>
      </c>
      <c r="E5" s="10" t="n">
        <f aca="false">s_b8_2027</f>
        <v>35.4163618900433</v>
      </c>
      <c r="F5" s="10" t="n">
        <f aca="false">s_b8_2028</f>
        <v>51.3944730419963</v>
      </c>
      <c r="G5" s="10" t="n">
        <f aca="false">s_b8_2029</f>
        <v>60.922318424743</v>
      </c>
      <c r="H5" s="4" t="s">
        <v>13</v>
      </c>
    </row>
    <row r="6" customFormat="false" ht="17.15" hidden="false" customHeight="false" outlineLevel="0" collapsed="false">
      <c r="A6" s="0" t="s">
        <v>2164</v>
      </c>
      <c r="B6" s="0" t="s">
        <v>2165</v>
      </c>
      <c r="C6" s="0" t="s">
        <v>2166</v>
      </c>
      <c r="D6" s="10" t="n">
        <f aca="false">wt_new_2026</f>
        <v>12.5153714610592</v>
      </c>
      <c r="E6" s="10" t="n">
        <f aca="false">wt_new_2027</f>
        <v>23.9622539260371</v>
      </c>
      <c r="F6" s="10" t="n">
        <f aca="false">wt_new_2028</f>
        <v>26.9232927993498</v>
      </c>
      <c r="G6" s="10" t="n">
        <f aca="false">wt_new_2029</f>
        <v>27.6634681049025</v>
      </c>
      <c r="H6" s="4" t="s">
        <v>13</v>
      </c>
    </row>
    <row r="7" customFormat="false" ht="17.15" hidden="false" customHeight="false" outlineLevel="0" collapsed="false">
      <c r="A7" s="0" t="s">
        <v>2167</v>
      </c>
      <c r="B7" s="5" t="s">
        <v>2168</v>
      </c>
      <c r="C7" s="0" t="s">
        <v>2169</v>
      </c>
      <c r="D7" s="10" t="n">
        <f aca="false">D5-D6</f>
        <v>7.7834115689112</v>
      </c>
      <c r="E7" s="10" t="n">
        <f aca="false">E5-E6</f>
        <v>11.4541079640062</v>
      </c>
      <c r="F7" s="10" t="n">
        <f aca="false">F5-F6</f>
        <v>24.4711802426465</v>
      </c>
      <c r="G7" s="10" t="n">
        <f aca="false">G5-G6</f>
        <v>33.2588503198405</v>
      </c>
    </row>
    <row r="9" customFormat="false" ht="17.15" hidden="false" customHeight="false" outlineLevel="0" collapsed="false">
      <c r="A9" s="6" t="s">
        <v>2170</v>
      </c>
    </row>
    <row r="10" customFormat="false" ht="17.15" hidden="false" customHeight="false" outlineLevel="0" collapsed="false">
      <c r="A10" s="0" t="s">
        <v>2171</v>
      </c>
      <c r="B10" s="5" t="s">
        <v>2172</v>
      </c>
      <c r="C10" s="0" t="s">
        <v>2173</v>
      </c>
      <c r="D10" s="11" t="n">
        <f aca="false">Calc!$F$78-Calc!$F$83</f>
        <v>8.67476468008979</v>
      </c>
      <c r="E10" s="11" t="n">
        <f aca="false">Calc!$G$78-Calc!$G$83</f>
        <v>1.20723450104547</v>
      </c>
      <c r="F10" s="11" t="n">
        <f aca="false">Calc!$H$78-Calc!$H$83</f>
        <v>0</v>
      </c>
      <c r="G10" s="11" t="n">
        <f aca="false">Calc!$I$78-Calc!$I$83</f>
        <v>0</v>
      </c>
      <c r="H10" s="4" t="s">
        <v>13</v>
      </c>
    </row>
    <row r="11" customFormat="false" ht="17.15" hidden="false" customHeight="false" outlineLevel="0" collapsed="false">
      <c r="A11" s="0" t="s">
        <v>2174</v>
      </c>
      <c r="B11" s="5" t="s">
        <v>2175</v>
      </c>
      <c r="C11" s="0" t="s">
        <v>2176</v>
      </c>
      <c r="D11" s="11" t="n">
        <f aca="false">Calc!$F$79-Calc!$F$78</f>
        <v>-2.64744261763293</v>
      </c>
      <c r="E11" s="11" t="n">
        <f aca="false">Calc!$G$79-Calc!$G$78</f>
        <v>-1.84227855167753</v>
      </c>
      <c r="F11" s="11" t="n">
        <f aca="false">Calc!$H$79-Calc!$H$78</f>
        <v>-1.09348266536938</v>
      </c>
      <c r="G11" s="11" t="n">
        <f aca="false">Calc!$I$79-Calc!$I$78</f>
        <v>-1.18933731684556</v>
      </c>
      <c r="H11" s="4" t="s">
        <v>2177</v>
      </c>
    </row>
    <row r="12" customFormat="false" ht="17.15" hidden="false" customHeight="false" outlineLevel="0" collapsed="false">
      <c r="A12" s="0" t="s">
        <v>2178</v>
      </c>
      <c r="B12" s="5" t="s">
        <v>2179</v>
      </c>
      <c r="C12" s="0" t="s">
        <v>2180</v>
      </c>
      <c r="D12" s="11" t="n">
        <f aca="false">Calc!$F$81-Calc!$F$79</f>
        <v>-0.152487432393238</v>
      </c>
      <c r="E12" s="11" t="n">
        <f aca="false">Calc!$G$81-Calc!$G$79</f>
        <v>-0.0237291086630904</v>
      </c>
      <c r="F12" s="11" t="n">
        <f aca="false">Calc!$H$81-Calc!$H$79</f>
        <v>-0.291184215010532</v>
      </c>
      <c r="G12" s="11" t="n">
        <f aca="false">Calc!$I$81-Calc!$I$79</f>
        <v>-2.17663443766507</v>
      </c>
      <c r="H12" s="4" t="s">
        <v>13</v>
      </c>
    </row>
    <row r="13" customFormat="false" ht="17.15" hidden="false" customHeight="false" outlineLevel="0" collapsed="false">
      <c r="A13" s="0" t="s">
        <v>2181</v>
      </c>
      <c r="B13" s="5" t="s">
        <v>2182</v>
      </c>
      <c r="C13" s="0" t="s">
        <v>2183</v>
      </c>
      <c r="D13" s="11" t="n">
        <f aca="false">Calc!$F$87-Calc!$F$88</f>
        <v>0.53848159637184</v>
      </c>
      <c r="E13" s="11" t="n">
        <f aca="false">Calc!$G$87-Calc!$G$88</f>
        <v>1.76498087023914</v>
      </c>
      <c r="F13" s="11" t="n">
        <f aca="false">Calc!$H$87-Calc!$H$88</f>
        <v>2.75436742525748</v>
      </c>
      <c r="G13" s="11" t="n">
        <f aca="false">Calc!$I$87-Calc!$I$88</f>
        <v>2.51883777992835</v>
      </c>
      <c r="H13" s="4" t="s">
        <v>13</v>
      </c>
    </row>
    <row r="14" customFormat="false" ht="17.15" hidden="false" customHeight="false" outlineLevel="0" collapsed="false">
      <c r="A14" s="0" t="s">
        <v>2184</v>
      </c>
      <c r="B14" s="5" t="s">
        <v>2185</v>
      </c>
      <c r="C14" s="5" t="s">
        <v>2186</v>
      </c>
      <c r="D14" s="11" t="n">
        <f aca="false">oth_ye_2025*(wt_ye_2026/wt_ye_2025-1)</f>
        <v>0.493953532819704</v>
      </c>
      <c r="E14" s="11" t="n">
        <f aca="false">(oth_ye_2025+SUM($D$14:D14))*(wt_ye_2027/wt_ye_2026-1)</f>
        <v>0.945736210700304</v>
      </c>
      <c r="F14" s="11" t="n">
        <f aca="false">(oth_ye_2025+SUM($D$14:E14))*(wt_ye_2028/wt_ye_2027-1)</f>
        <v>1.06260174815879</v>
      </c>
      <c r="G14" s="11" t="n">
        <f aca="false">(oth_ye_2025+SUM($D$14:F14))*(wt_ye_2029/wt_ye_2028-1)</f>
        <v>1.09181480094123</v>
      </c>
      <c r="H14" s="4" t="s">
        <v>2187</v>
      </c>
    </row>
    <row r="15" customFormat="false" ht="17.15" hidden="false" customHeight="false" outlineLevel="0" collapsed="false">
      <c r="A15" s="0" t="s">
        <v>2188</v>
      </c>
      <c r="B15" s="5" t="s">
        <v>2189</v>
      </c>
      <c r="C15" s="0" t="s">
        <v>2190</v>
      </c>
      <c r="D15" s="11" t="n">
        <f aca="false">0</f>
        <v>0</v>
      </c>
      <c r="E15" s="11" t="n">
        <f aca="false">0</f>
        <v>0</v>
      </c>
      <c r="F15" s="11" t="n">
        <f aca="false">0</f>
        <v>0</v>
      </c>
      <c r="G15" s="11" t="n">
        <f aca="false">0</f>
        <v>0</v>
      </c>
      <c r="H15" s="4" t="s">
        <v>2191</v>
      </c>
    </row>
    <row r="16" customFormat="false" ht="17.15" hidden="false" customHeight="false" outlineLevel="0" collapsed="false">
      <c r="A16" s="0" t="s">
        <v>2192</v>
      </c>
      <c r="B16" s="5" t="s">
        <v>2193</v>
      </c>
      <c r="C16" s="0" t="s">
        <v>2194</v>
      </c>
      <c r="D16" s="11" t="n">
        <f aca="false">cn_add_2026</f>
        <v>3.33333333333333</v>
      </c>
      <c r="E16" s="11" t="n">
        <f aca="false">cn_add_2027</f>
        <v>1.9895044578405</v>
      </c>
      <c r="F16" s="11" t="n">
        <f aca="false">cn_add_2028</f>
        <v>2.28121406090902</v>
      </c>
      <c r="G16" s="11" t="n">
        <f aca="false">cn_add_2029</f>
        <v>2.61252133099745</v>
      </c>
      <c r="H16" s="4" t="s">
        <v>13</v>
      </c>
    </row>
    <row r="17" customFormat="false" ht="17.15" hidden="false" customHeight="false" outlineLevel="0" collapsed="false">
      <c r="A17" s="0" t="s">
        <v>2195</v>
      </c>
      <c r="B17" s="0" t="s">
        <v>2196</v>
      </c>
      <c r="C17" s="0" t="s">
        <v>2197</v>
      </c>
      <c r="D17" s="10" t="n">
        <f aca="false">D6+D10+D11+D12+D13+D14</f>
        <v>19.4226412203144</v>
      </c>
      <c r="E17" s="10" t="n">
        <f aca="false">E6+E10+E11+E12+E13+E14</f>
        <v>26.0141978476814</v>
      </c>
      <c r="F17" s="10" t="n">
        <f aca="false">F6+F10+F11+F12+F13+F14</f>
        <v>29.3555950923861</v>
      </c>
      <c r="G17" s="10" t="n">
        <f aca="false">G6+G10+G11+G12+G13+G14</f>
        <v>27.9081489312615</v>
      </c>
      <c r="H17" s="4" t="s">
        <v>13</v>
      </c>
    </row>
    <row r="19" customFormat="false" ht="15" hidden="false" customHeight="false" outlineLevel="0" collapsed="false">
      <c r="A19" s="6" t="s">
        <v>2198</v>
      </c>
    </row>
    <row r="20" customFormat="false" ht="17.15" hidden="false" customHeight="false" outlineLevel="0" collapsed="false">
      <c r="A20" s="0" t="s">
        <v>2199</v>
      </c>
      <c r="B20" s="5" t="s">
        <v>2200</v>
      </c>
      <c r="C20" s="5" t="s">
        <v>2201</v>
      </c>
      <c r="D20" s="11" t="n">
        <f aca="false">-s_b6_2026</f>
        <v>0.506742866666666</v>
      </c>
      <c r="E20" s="11" t="n">
        <f aca="false">-s_b6_2027</f>
        <v>0.75705029588785</v>
      </c>
      <c r="F20" s="11" t="n">
        <f aca="false">-s_b6_2028</f>
        <v>1.23629537440859</v>
      </c>
      <c r="G20" s="11" t="n">
        <f aca="false">-s_b6_2029</f>
        <v>1.77476123039559</v>
      </c>
      <c r="H20" s="4" t="s">
        <v>126</v>
      </c>
    </row>
    <row r="21" customFormat="false" ht="17.15" hidden="false" customHeight="false" outlineLevel="0" collapsed="false">
      <c r="A21" s="0" t="s">
        <v>2202</v>
      </c>
      <c r="B21" s="0" t="s">
        <v>2203</v>
      </c>
      <c r="C21" s="0" t="s">
        <v>2204</v>
      </c>
      <c r="D21" s="10" t="n">
        <f aca="false">D5+D20</f>
        <v>20.8055258966371</v>
      </c>
      <c r="E21" s="10" t="n">
        <f aca="false">E5+E20</f>
        <v>36.1734121859312</v>
      </c>
      <c r="F21" s="10" t="n">
        <f aca="false">F5+F20</f>
        <v>52.6307684164049</v>
      </c>
      <c r="G21" s="10" t="n">
        <f aca="false">G5+G20</f>
        <v>62.6970796551386</v>
      </c>
      <c r="H21" s="4" t="s">
        <v>13</v>
      </c>
    </row>
    <row r="23" customFormat="false" ht="15" hidden="false" customHeight="false" outlineLevel="0" collapsed="false">
      <c r="A23" s="6" t="s">
        <v>2205</v>
      </c>
    </row>
    <row r="24" customFormat="false" ht="15" hidden="false" customHeight="false" outlineLevel="0" collapsed="false">
      <c r="A24" s="0" t="s">
        <v>2206</v>
      </c>
      <c r="B24" s="5" t="s">
        <v>2207</v>
      </c>
      <c r="C24" s="0" t="s">
        <v>2208</v>
      </c>
      <c r="D24" s="10" t="n">
        <f aca="false">D21-D17</f>
        <v>1.3828846763227</v>
      </c>
      <c r="E24" s="10" t="n">
        <f aca="false">E21-E17</f>
        <v>10.1592143382498</v>
      </c>
      <c r="F24" s="10" t="n">
        <f aca="false">F21-F17</f>
        <v>23.2751733240187</v>
      </c>
      <c r="G24" s="10" t="n">
        <f aca="false">G21-G17</f>
        <v>34.7889307238771</v>
      </c>
    </row>
    <row r="25" customFormat="false" ht="17.15" hidden="false" customHeight="false" outlineLevel="0" collapsed="false">
      <c r="A25" s="0" t="s">
        <v>2209</v>
      </c>
      <c r="B25" s="5" t="s">
        <v>2210</v>
      </c>
      <c r="D25" s="9" t="n">
        <f aca="false">D17/D21</f>
        <v>0.933532818002633</v>
      </c>
      <c r="E25" s="9" t="n">
        <f aca="false">E17/E21</f>
        <v>0.71915244583421</v>
      </c>
      <c r="F25" s="9" t="n">
        <f aca="false">F17/F21</f>
        <v>0.557764896383996</v>
      </c>
      <c r="G25" s="9" t="n">
        <f aca="false">G17/G21</f>
        <v>0.445126775996083</v>
      </c>
    </row>
    <row r="26" customFormat="false" ht="17.15" hidden="false" customHeight="false" outlineLevel="0" collapsed="false">
      <c r="A26" s="0" t="s">
        <v>2211</v>
      </c>
      <c r="B26" s="5" t="s">
        <v>2212</v>
      </c>
      <c r="D26" s="8" t="n">
        <f aca="false">D6/D21</f>
        <v>0.601540740822232</v>
      </c>
      <c r="E26" s="8" t="n">
        <f aca="false">E6/E21</f>
        <v>0.6624272491318</v>
      </c>
      <c r="F26" s="8" t="n">
        <f aca="false">F6/F21</f>
        <v>0.511550441109613</v>
      </c>
      <c r="G26" s="8" t="n">
        <f aca="false">G6/G21</f>
        <v>0.441224188703265</v>
      </c>
    </row>
    <row r="27" customFormat="false" ht="17.15" hidden="false" customHeight="false" outlineLevel="0" collapsed="false">
      <c r="A27" s="0" t="s">
        <v>2213</v>
      </c>
      <c r="B27" s="5" t="s">
        <v>2214</v>
      </c>
      <c r="C27" s="0" t="s">
        <v>2215</v>
      </c>
      <c r="D27" s="1" t="str">
        <f aca="false">IF(ABS(1-D25)&lt;=tolband,"帶內",IF(D25&lt;1,"帶外（Wattonomics 偏低）","帶外（Wattonomics 偏高）"))</f>
        <v>帶內</v>
      </c>
      <c r="E27" s="1" t="str">
        <f aca="false">IF(ABS(1-E25)&lt;=tolband,"帶內",IF(E25&lt;1,"帶外（Wattonomics 偏低）","帶外（Wattonomics 偏高）"))</f>
        <v>帶外（Wattonomics 偏低）</v>
      </c>
      <c r="F27" s="1" t="str">
        <f aca="false">IF(ABS(1-F25)&lt;=tolband,"帶內",IF(F25&lt;1,"帶外（Wattonomics 偏低）","帶外（Wattonomics 偏高）"))</f>
        <v>帶外（Wattonomics 偏低）</v>
      </c>
      <c r="G27" s="1" t="str">
        <f aca="false">IF(ABS(1-G25)&lt;=tolband,"帶內",IF(G25&lt;1,"帶外（Wattonomics 偏低）","帶外（Wattonomics 偏高）"))</f>
        <v>帶外（Wattonomics 偏低）</v>
      </c>
    </row>
    <row r="28" customFormat="false" ht="17.15" hidden="false" customHeight="false" outlineLevel="0" collapsed="false">
      <c r="A28" s="0" t="s">
        <v>2216</v>
      </c>
      <c r="B28" s="5" t="s">
        <v>2217</v>
      </c>
      <c r="C28" s="0" t="s">
        <v>2218</v>
      </c>
      <c r="D28" s="11" t="n">
        <f aca="false">(D21-(D17-Calc!$F$81))/Calc!$F$81</f>
        <v>1.11136490261092</v>
      </c>
      <c r="E28" s="11" t="n">
        <f aca="false">(E21-(E17-Calc!$G$81))/Calc!$G$81</f>
        <v>1.58962350417105</v>
      </c>
      <c r="F28" s="11" t="n">
        <f aca="false">(F21-(F17-Calc!$H$81))/Calc!$H$81</f>
        <v>2.16297878088409</v>
      </c>
      <c r="G28" s="11" t="n">
        <f aca="false">(G21-(G17-Calc!$I$81))/Calc!$I$81</f>
        <v>2.69404816138615</v>
      </c>
      <c r="H28" s="4" t="s">
        <v>13</v>
      </c>
    </row>
    <row r="30" customFormat="false" ht="17.15" hidden="false" customHeight="false" outlineLevel="0" collapsed="false">
      <c r="A30" s="6" t="s">
        <v>2219</v>
      </c>
    </row>
    <row r="31" customFormat="false" ht="17.15" hidden="false" customHeight="false" outlineLevel="0" collapsed="false">
      <c r="A31" s="2" t="s">
        <v>2220</v>
      </c>
      <c r="B31" s="7"/>
      <c r="C31" s="7"/>
      <c r="D31" s="7" t="s">
        <v>1319</v>
      </c>
      <c r="E31" s="7" t="s">
        <v>1320</v>
      </c>
      <c r="F31" s="7" t="s">
        <v>1321</v>
      </c>
      <c r="G31" s="7" t="s">
        <v>1322</v>
      </c>
      <c r="H31" s="7"/>
      <c r="I31" s="2" t="s">
        <v>2221</v>
      </c>
      <c r="J31" s="2" t="s">
        <v>2222</v>
      </c>
      <c r="K31" s="2" t="s">
        <v>2223</v>
      </c>
      <c r="L31" s="2" t="s">
        <v>2224</v>
      </c>
    </row>
    <row r="32" customFormat="false" ht="15" hidden="false" customHeight="false" outlineLevel="0" collapsed="false">
      <c r="A32" s="0" t="s">
        <v>2225</v>
      </c>
      <c r="B32" s="5" t="s">
        <v>5</v>
      </c>
      <c r="D32" s="11" t="n">
        <f aca="false">D21-(wt_new_2026+(Calc!$F$78-Calc!$F$83)+(Calc!$F$79-Calc!$F$78)+(Calc!$F$81-Calc!$F$79)+(Calc!$F$87-Calc!$F$88)+D14)</f>
        <v>1.3828846763227</v>
      </c>
      <c r="E32" s="11" t="n">
        <f aca="false">E21-(wt_new_2027+(Calc!$G$78-Calc!$G$83)+(Calc!$G$79-Calc!$G$78)+(Calc!$G$81-Calc!$G$79)+(Calc!$G$87-Calc!$G$88)+E14)</f>
        <v>10.1592143382498</v>
      </c>
      <c r="F32" s="11" t="n">
        <f aca="false">F21-(wt_new_2028+(Calc!$H$78-Calc!$H$83)+(Calc!$H$79-Calc!$H$78)+(Calc!$H$81-Calc!$H$79)+(Calc!$H$87-Calc!$H$88)+F14)</f>
        <v>23.2751733240187</v>
      </c>
      <c r="G32" s="11" t="n">
        <f aca="false">G21-(wt_new_2029+(Calc!$I$78-Calc!$I$83)+(Calc!$I$79-Calc!$I$78)+(Calc!$I$81-Calc!$I$79)+(Calc!$I$87-Calc!$I$88)+G14)</f>
        <v>34.7889307238771</v>
      </c>
      <c r="I32" s="8" t="n">
        <f aca="false">(wt_new_2026+(Calc!$F$78-Calc!$F$83)+(Calc!$F$79-Calc!$F$78)+(Calc!$F$81-Calc!$F$79)+(Calc!$F$87-Calc!$F$88)+D14)/D21</f>
        <v>0.933532818002633</v>
      </c>
      <c r="J32" s="8" t="n">
        <f aca="false">(wt_new_2027+(Calc!$G$78-Calc!$G$83)+(Calc!$G$79-Calc!$G$78)+(Calc!$G$81-Calc!$G$79)+(Calc!$G$87-Calc!$G$88)+E14)/E21</f>
        <v>0.71915244583421</v>
      </c>
      <c r="K32" s="8" t="n">
        <f aca="false">(wt_new_2028+(Calc!$H$78-Calc!$H$83)+(Calc!$H$79-Calc!$H$78)+(Calc!$H$81-Calc!$H$79)+(Calc!$H$87-Calc!$H$88)+F14)/F21</f>
        <v>0.557764896383996</v>
      </c>
      <c r="L32" s="8" t="n">
        <f aca="false">(wt_new_2029+(Calc!$I$78-Calc!$I$83)+(Calc!$I$79-Calc!$I$78)+(Calc!$I$81-Calc!$I$79)+(Calc!$I$87-Calc!$I$88)+G14)/G21</f>
        <v>0.445126775996083</v>
      </c>
    </row>
    <row r="33" customFormat="false" ht="17.15" hidden="false" customHeight="false" outlineLevel="0" collapsed="false">
      <c r="A33" s="0" t="s">
        <v>2226</v>
      </c>
      <c r="B33" s="0" t="s">
        <v>2227</v>
      </c>
      <c r="D33" s="11" t="n">
        <f aca="false">D21-(wt_new_2026+(Calc!$F$165-Calc!$F$170)+(Calc!$F$166-Calc!$F$165)+(Calc!$F$168-Calc!$F$166)+(Calc!$F$174-Calc!$F$175)+D14)</f>
        <v>2.81639629488618</v>
      </c>
      <c r="E33" s="11" t="n">
        <f aca="false">E21-(wt_new_2027+(Calc!$G$165-Calc!$G$170)+(Calc!$G$166-Calc!$G$165)+(Calc!$G$168-Calc!$G$166)+(Calc!$G$174-Calc!$G$175)+E14)</f>
        <v>12.1862734334146</v>
      </c>
      <c r="F33" s="11" t="n">
        <f aca="false">F21-(wt_new_2028+(Calc!$H$165-Calc!$H$170)+(Calc!$H$166-Calc!$H$165)+(Calc!$H$168-Calc!$H$166)+(Calc!$H$174-Calc!$H$175)+F14)</f>
        <v>25.6296923661436</v>
      </c>
      <c r="G33" s="11" t="n">
        <f aca="false">G21-(wt_new_2029+(Calc!$I$165-Calc!$I$170)+(Calc!$I$166-Calc!$I$165)+(Calc!$I$168-Calc!$I$166)+(Calc!$I$174-Calc!$I$175)+G14)</f>
        <v>37.2049277849824</v>
      </c>
      <c r="I33" s="8" t="n">
        <f aca="false">(wt_new_2026+(Calc!$F$165-Calc!$F$170)+(Calc!$F$166-Calc!$F$165)+(Calc!$F$168-Calc!$F$166)+(Calc!$F$174-Calc!$F$175)+D14)/D21</f>
        <v>0.864632294858675</v>
      </c>
      <c r="J33" s="8" t="n">
        <f aca="false">(wt_new_2027+(Calc!$G$165-Calc!$G$170)+(Calc!$G$166-Calc!$G$165)+(Calc!$G$168-Calc!$G$166)+(Calc!$G$174-Calc!$G$175)+E14)/E21</f>
        <v>0.663115180542625</v>
      </c>
      <c r="K33" s="8" t="n">
        <f aca="false">(wt_new_2028+(Calc!$H$165-Calc!$H$170)+(Calc!$H$166-Calc!$H$165)+(Calc!$H$168-Calc!$H$166)+(Calc!$H$174-Calc!$H$175)+F14)/F21</f>
        <v>0.513028345636792</v>
      </c>
      <c r="L33" s="8" t="n">
        <f aca="false">(wt_new_2029+(Calc!$I$165-Calc!$I$170)+(Calc!$I$166-Calc!$I$165)+(Calc!$I$168-Calc!$I$166)+(Calc!$I$174-Calc!$I$175)+G14)/G21</f>
        <v>0.406592332695147</v>
      </c>
    </row>
    <row r="34" customFormat="false" ht="17.15" hidden="false" customHeight="false" outlineLevel="0" collapsed="false">
      <c r="A34" s="0" t="s">
        <v>2228</v>
      </c>
      <c r="B34" s="0" t="s">
        <v>2229</v>
      </c>
      <c r="D34" s="11" t="n">
        <f aca="false">D21-(wt_new_2026+(Calc!$F$252-Calc!$F$257)+(Calc!$F$253-Calc!$F$252)+(Calc!$F$255-Calc!$F$253)+(Calc!$F$261-Calc!$F$262)+D14)</f>
        <v>-0.0065450888557379</v>
      </c>
      <c r="E34" s="11" t="n">
        <f aca="false">E21-(wt_new_2027+(Calc!$G$252-Calc!$G$257)+(Calc!$G$253-Calc!$G$252)+(Calc!$G$255-Calc!$G$253)+(Calc!$G$261-Calc!$G$262)+E14)</f>
        <v>8.19009240695417</v>
      </c>
      <c r="F34" s="11" t="n">
        <f aca="false">F21-(wt_new_2028+(Calc!$H$252-Calc!$H$257)+(Calc!$H$253-Calc!$H$252)+(Calc!$H$255-Calc!$H$253)+(Calc!$H$261-Calc!$H$262)+F14)</f>
        <v>20.9858292663021</v>
      </c>
      <c r="G34" s="11" t="n">
        <f aca="false">G21-(wt_new_2029+(Calc!$I$252-Calc!$I$257)+(Calc!$I$253-Calc!$I$252)+(Calc!$I$255-Calc!$I$253)+(Calc!$I$261-Calc!$I$262)+G14)</f>
        <v>32.4425606382315</v>
      </c>
      <c r="I34" s="8" t="n">
        <f aca="false">(wt_new_2026+(Calc!$F$252-Calc!$F$257)+(Calc!$F$253-Calc!$F$252)+(Calc!$F$255-Calc!$F$253)+(Calc!$F$261-Calc!$F$262)+D14)/D21</f>
        <v>1.00031458415847</v>
      </c>
      <c r="J34" s="8" t="n">
        <f aca="false">(wt_new_2027+(Calc!$G$252-Calc!$G$257)+(Calc!$G$253-Calc!$G$252)+(Calc!$G$255-Calc!$G$253)+(Calc!$G$261-Calc!$G$262)+E14)/E21</f>
        <v>0.77358806062151</v>
      </c>
      <c r="K34" s="8" t="n">
        <f aca="false">(wt_new_2028+(Calc!$H$252-Calc!$H$257)+(Calc!$H$253-Calc!$H$252)+(Calc!$H$255-Calc!$H$253)+(Calc!$H$261-Calc!$H$262)+F14)/F21</f>
        <v>0.601263103356841</v>
      </c>
      <c r="L34" s="8" t="n">
        <f aca="false">(wt_new_2029+(Calc!$I$252-Calc!$I$257)+(Calc!$I$253-Calc!$I$252)+(Calc!$I$255-Calc!$I$253)+(Calc!$I$261-Calc!$I$262)+G14)/G21</f>
        <v>0.482550689494952</v>
      </c>
    </row>
    <row r="35" customFormat="false" ht="17.15" hidden="false" customHeight="false" outlineLevel="0" collapsed="false">
      <c r="A35" s="0" t="s">
        <v>2230</v>
      </c>
      <c r="B35" s="0" t="s">
        <v>2231</v>
      </c>
      <c r="D35" s="11" t="n">
        <f aca="false">D21-(wt_new_2026+(Calc!$F$339-Calc!$F$344)+(Calc!$F$340-Calc!$F$339)+(Calc!$F$342-Calc!$F$340)+(Calc!$F$348-Calc!$F$349)+D14)</f>
        <v>1.21342609414372</v>
      </c>
      <c r="E35" s="11" t="n">
        <f aca="false">E21-(wt_new_2027+(Calc!$G$339-Calc!$G$344)+(Calc!$G$340-Calc!$G$339)+(Calc!$G$342-Calc!$G$340)+(Calc!$G$348-Calc!$G$349)+E14)</f>
        <v>9.51038197450951</v>
      </c>
      <c r="F35" s="11" t="n">
        <f aca="false">F21-(wt_new_2028+(Calc!$H$339-Calc!$H$344)+(Calc!$H$340-Calc!$H$339)+(Calc!$H$342-Calc!$H$340)+(Calc!$H$348-Calc!$H$349)+F14)</f>
        <v>22.4546795087825</v>
      </c>
      <c r="G35" s="11" t="n">
        <f aca="false">G21-(wt_new_2029+(Calc!$I$339-Calc!$I$344)+(Calc!$I$340-Calc!$I$339)+(Calc!$I$342-Calc!$I$340)+(Calc!$I$348-Calc!$I$349)+G14)</f>
        <v>34.3905265793659</v>
      </c>
      <c r="I35" s="8" t="n">
        <f aca="false">(wt_new_2026+(Calc!$F$339-Calc!$F$344)+(Calc!$F$340-Calc!$F$339)+(Calc!$F$342-Calc!$F$340)+(Calc!$F$348-Calc!$F$349)+D14)/D21</f>
        <v>0.941677701387022</v>
      </c>
      <c r="J35" s="8" t="n">
        <f aca="false">(wt_new_2027+(Calc!$G$339-Calc!$G$344)+(Calc!$G$340-Calc!$G$339)+(Calc!$G$342-Calc!$G$340)+(Calc!$G$348-Calc!$G$349)+E14)/E21</f>
        <v>0.737089165776615</v>
      </c>
      <c r="K35" s="8" t="n">
        <f aca="false">(wt_new_2028+(Calc!$H$339-Calc!$H$344)+(Calc!$H$340-Calc!$H$339)+(Calc!$H$342-Calc!$H$340)+(Calc!$H$348-Calc!$H$349)+F14)/F21</f>
        <v>0.573354518955049</v>
      </c>
      <c r="L35" s="8" t="n">
        <f aca="false">(wt_new_2029+(Calc!$I$339-Calc!$I$344)+(Calc!$I$340-Calc!$I$339)+(Calc!$I$342-Calc!$I$340)+(Calc!$I$348-Calc!$I$349)+G14)/G21</f>
        <v>0.451481205049281</v>
      </c>
    </row>
    <row r="36" customFormat="false" ht="17.15" hidden="false" customHeight="false" outlineLevel="0" collapsed="false">
      <c r="A36" s="0" t="s">
        <v>2232</v>
      </c>
      <c r="B36" s="0" t="s">
        <v>2233</v>
      </c>
      <c r="D36" s="11" t="n">
        <f aca="false">D21-(wt_new_2026+(Calc!$F$426-Calc!$F$431)+(Calc!$F$427-Calc!$F$426)+(Calc!$F$429-Calc!$F$427)+(Calc!$F$435-Calc!$F$436)+D14)</f>
        <v>1.55234325850169</v>
      </c>
      <c r="E36" s="11" t="n">
        <f aca="false">E21-(wt_new_2027+(Calc!$G$426-Calc!$G$431)+(Calc!$G$427-Calc!$G$426)+(Calc!$G$429-Calc!$G$427)+(Calc!$G$435-Calc!$G$436)+E14)</f>
        <v>10.80804670199</v>
      </c>
      <c r="F36" s="11" t="n">
        <f aca="false">F21-(wt_new_2028+(Calc!$H$426-Calc!$H$431)+(Calc!$H$427-Calc!$H$426)+(Calc!$H$429-Calc!$H$427)+(Calc!$H$435-Calc!$H$436)+F14)</f>
        <v>24.095667139255</v>
      </c>
      <c r="G36" s="11" t="n">
        <f aca="false">G21-(wt_new_2029+(Calc!$I$426-Calc!$I$431)+(Calc!$I$427-Calc!$I$426)+(Calc!$I$429-Calc!$I$427)+(Calc!$I$435-Calc!$I$436)+G14)</f>
        <v>35.1873348683884</v>
      </c>
      <c r="I36" s="8" t="n">
        <f aca="false">(wt_new_2026+(Calc!$F$426-Calc!$F$431)+(Calc!$F$427-Calc!$F$426)+(Calc!$F$429-Calc!$F$427)+(Calc!$F$435-Calc!$F$436)+D14)/D21</f>
        <v>0.925387934618245</v>
      </c>
      <c r="J36" s="8" t="n">
        <f aca="false">(wt_new_2027+(Calc!$G$426-Calc!$G$431)+(Calc!$G$427-Calc!$G$426)+(Calc!$G$429-Calc!$G$427)+(Calc!$G$435-Calc!$G$436)+E14)/E21</f>
        <v>0.701215725891804</v>
      </c>
      <c r="K36" s="8" t="n">
        <f aca="false">(wt_new_2028+(Calc!$H$426-Calc!$H$431)+(Calc!$H$427-Calc!$H$426)+(Calc!$H$429-Calc!$H$427)+(Calc!$H$435-Calc!$H$436)+F14)/F21</f>
        <v>0.542175273812942</v>
      </c>
      <c r="L36" s="8" t="n">
        <f aca="false">(wt_new_2029+(Calc!$I$426-Calc!$I$431)+(Calc!$I$427-Calc!$I$426)+(Calc!$I$429-Calc!$I$427)+(Calc!$I$435-Calc!$I$436)+G14)/G21</f>
        <v>0.438772346942886</v>
      </c>
    </row>
    <row r="37" customFormat="false" ht="17.15" hidden="false" customHeight="false" outlineLevel="0" collapsed="false">
      <c r="A37" s="0" t="s">
        <v>2234</v>
      </c>
      <c r="B37" s="5" t="s">
        <v>2235</v>
      </c>
      <c r="C37" s="0" t="s">
        <v>2236</v>
      </c>
      <c r="D37" s="11" t="n">
        <f aca="false">(s_b8_2026-s_b4_2026-s_b5_2026-(lag_lo+inv_k)*(s_b3_2026-s_b3_2025)-s_b6_2026)-(wt_new_2026+(Calc!$F$513-Calc!$F$518)+(Calc!$F$514-Calc!$F$513)+(Calc!$F$516-Calc!$F$514)+(Calc!$F$522-Calc!$F$523)+D14)</f>
        <v>1.81118925533215</v>
      </c>
      <c r="E37" s="11" t="n">
        <f aca="false">(s_b8_2027-s_b4_2027-s_b5_2027-(lag_lo+inv_k)*(s_b3_2027-s_b3_2026)-s_b6_2027)-(wt_new_2027+(Calc!$G$513-Calc!$G$518)+(Calc!$G$514-Calc!$G$513)+(Calc!$G$516-Calc!$G$514)+(Calc!$G$522-Calc!$G$523)+E14)</f>
        <v>12.1941253058876</v>
      </c>
      <c r="F37" s="11" t="n">
        <f aca="false">(s_b8_2028-s_b4_2028-s_b5_2028-(lag_lo+inv_k)*(s_b3_2028-s_b3_2027)-s_b6_2028)-(wt_new_2028+(Calc!$H$513-Calc!$H$518)+(Calc!$H$514-Calc!$H$513)+(Calc!$H$516-Calc!$H$514)+(Calc!$H$522-Calc!$H$523)+F14)</f>
        <v>24.5934824786073</v>
      </c>
      <c r="G37" s="11" t="n">
        <f aca="false">(s_b8_2029-s_b4_2029-s_b5_2029-(lag_lo+inv_k)*(s_b3_2029-s_b3_2028)-s_b6_2029)-(wt_new_2029+(Calc!$I$513-Calc!$I$518)+(Calc!$I$514-Calc!$I$513)+(Calc!$I$516-Calc!$I$514)+(Calc!$I$522-Calc!$I$523)+G14)</f>
        <v>35.9245742798991</v>
      </c>
      <c r="I37" s="8" t="n">
        <f aca="false">(wt_new_2026+(Calc!$F$513-Calc!$F$518)+(Calc!$F$514-Calc!$F$513)+(Calc!$F$516-Calc!$F$514)+(Calc!$F$522-Calc!$F$523)+D14)/(s_b8_2026-s_b4_2026-s_b5_2026-(lag_lo+inv_k)*(s_b3_2026-s_b3_2025)-s_b6_2026)</f>
        <v>0.917362127781174</v>
      </c>
      <c r="J37" s="8" t="n">
        <f aca="false">(wt_new_2027+(Calc!$G$513-Calc!$G$518)+(Calc!$G$514-Calc!$G$513)+(Calc!$G$516-Calc!$G$514)+(Calc!$G$522-Calc!$G$523)+E14)/(s_b8_2027-s_b4_2027-s_b5_2027-(lag_lo+inv_k)*(s_b3_2027-s_b3_2026)-s_b6_2027)</f>
        <v>0.685934129521083</v>
      </c>
      <c r="K37" s="8" t="n">
        <f aca="false">(wt_new_2028+(Calc!$H$513-Calc!$H$518)+(Calc!$H$514-Calc!$H$513)+(Calc!$H$516-Calc!$H$514)+(Calc!$H$522-Calc!$H$523)+F14)/(s_b8_2028-s_b4_2028-s_b5_2028-(lag_lo+inv_k)*(s_b3_2028-s_b3_2027)-s_b6_2028)</f>
        <v>0.545815316285972</v>
      </c>
      <c r="L37" s="8" t="n">
        <f aca="false">(wt_new_2029+(Calc!$I$513-Calc!$I$518)+(Calc!$I$514-Calc!$I$513)+(Calc!$I$516-Calc!$I$514)+(Calc!$I$522-Calc!$I$523)+G14)/(s_b8_2029-s_b4_2029-s_b5_2029-(lag_lo+inv_k)*(s_b3_2029-s_b3_2028)-s_b6_2029)</f>
        <v>0.436216457226224</v>
      </c>
    </row>
    <row r="38" customFormat="false" ht="17.15" hidden="false" customHeight="false" outlineLevel="0" collapsed="false">
      <c r="A38" s="0" t="s">
        <v>2237</v>
      </c>
      <c r="B38" s="5" t="s">
        <v>2238</v>
      </c>
      <c r="C38" s="0" t="s">
        <v>2236</v>
      </c>
      <c r="D38" s="11" t="n">
        <f aca="false">(s_b8_2026-s_b4_2026-s_b5_2026-(lag_hi+inv_k)*(s_b3_2026-s_b3_2025)-s_b6_2026)-(wt_new_2026+(Calc!$F$600-Calc!$F$605)+(Calc!$F$601-Calc!$F$600)+(Calc!$F$603-Calc!$F$601)+(Calc!$F$609-Calc!$F$610)+D14)</f>
        <v>0.954580097313318</v>
      </c>
      <c r="E38" s="11" t="n">
        <f aca="false">(s_b8_2027-s_b4_2027-s_b5_2027-(lag_hi+inv_k)*(s_b3_2027-s_b3_2026)-s_b6_2027)-(wt_new_2027+(Calc!$G$600-Calc!$G$605)+(Calc!$G$601-Calc!$G$600)+(Calc!$G$603-Calc!$G$601)+(Calc!$G$609-Calc!$G$610)+E14)</f>
        <v>8.12430337061186</v>
      </c>
      <c r="F38" s="11" t="n">
        <f aca="false">(s_b8_2028-s_b4_2028-s_b5_2028-(lag_hi+inv_k)*(s_b3_2028-s_b3_2027)-s_b6_2028)-(wt_new_2028+(Calc!$H$600-Calc!$H$605)+(Calc!$H$601-Calc!$H$600)+(Calc!$H$603-Calc!$H$601)+(Calc!$H$609-Calc!$H$610)+F14)</f>
        <v>21.9568641694302</v>
      </c>
      <c r="G38" s="11" t="n">
        <f aca="false">(s_b8_2029-s_b4_2029-s_b5_2029-(lag_hi+inv_k)*(s_b3_2029-s_b3_2028)-s_b6_2029)-(wt_new_2029+(Calc!$I$600-Calc!$I$605)+(Calc!$I$601-Calc!$I$600)+(Calc!$I$603-Calc!$I$601)+(Calc!$I$609-Calc!$I$610)+G14)</f>
        <v>33.6532871678551</v>
      </c>
      <c r="I38" s="8" t="n">
        <f aca="false">(wt_new_2026+(Calc!$F$600-Calc!$F$605)+(Calc!$F$601-Calc!$F$600)+(Calc!$F$603-Calc!$F$601)+(Calc!$F$609-Calc!$F$610)+D14)/(s_b8_2026-s_b4_2026-s_b5_2026-(lag_hi+inv_k)*(s_b3_2026-s_b3_2025)-s_b6_2026)</f>
        <v>0.951529075309668</v>
      </c>
      <c r="J38" s="8" t="n">
        <f aca="false">(wt_new_2027+(Calc!$G$600-Calc!$G$605)+(Calc!$G$601-Calc!$G$600)+(Calc!$G$603-Calc!$G$601)+(Calc!$G$609-Calc!$G$610)+E14)/(s_b8_2027-s_b4_2027-s_b5_2027-(lag_hi+inv_k)*(s_b3_2027-s_b3_2026)-s_b6_2027)</f>
        <v>0.757629449347834</v>
      </c>
      <c r="K38" s="8" t="n">
        <f aca="false">(wt_new_2028+(Calc!$H$600-Calc!$H$605)+(Calc!$H$601-Calc!$H$600)+(Calc!$H$603-Calc!$H$601)+(Calc!$H$609-Calc!$H$610)+F14)/(s_b8_2028-s_b4_2028-s_b5_2028-(lag_hi+inv_k)*(s_b3_2028-s_b3_2027)-s_b6_2028)</f>
        <v>0.570424196216532</v>
      </c>
      <c r="L38" s="8" t="n">
        <f aca="false">(wt_new_2029+(Calc!$I$600-Calc!$I$605)+(Calc!$I$601-Calc!$I$600)+(Calc!$I$603-Calc!$I$601)+(Calc!$I$609-Calc!$I$610)+G14)/(s_b8_2029-s_b4_2029-s_b5_2029-(lag_hi+inv_k)*(s_b3_2029-s_b3_2028)-s_b6_2029)</f>
        <v>0.454332815260827</v>
      </c>
    </row>
    <row r="39" customFormat="false" ht="17.15" hidden="false" customHeight="false" outlineLevel="0" collapsed="false">
      <c r="A39" s="0" t="s">
        <v>2239</v>
      </c>
      <c r="B39" s="5" t="s">
        <v>2240</v>
      </c>
      <c r="C39" s="0" t="s">
        <v>2236</v>
      </c>
      <c r="D39" s="11" t="n">
        <f aca="false">(s_b8_2026-s_b4_2026-s_b5_2026-(lag+inv_k_lo)*(s_b3_2026-s_b3_2025)-s_b6_2026)-(wt_new_2026+(Calc!$F$687-Calc!$F$692)+(Calc!$F$688-Calc!$F$687)+(Calc!$F$690-Calc!$F$688)+(Calc!$F$696-Calc!$F$697)+D14)</f>
        <v>1.55420650792649</v>
      </c>
      <c r="E39" s="11" t="n">
        <f aca="false">(s_b8_2027-s_b4_2027-s_b5_2027-(lag+inv_k_lo)*(s_b3_2027-s_b3_2026)-s_b6_2027)-(wt_new_2027+(Calc!$G$687-Calc!$G$692)+(Calc!$G$688-Calc!$G$687)+(Calc!$G$690-Calc!$G$688)+(Calc!$G$696-Calc!$G$697)+E14)</f>
        <v>10.9731787253049</v>
      </c>
      <c r="F39" s="11" t="n">
        <f aca="false">(s_b8_2028-s_b4_2028-s_b5_2028-(lag+inv_k_lo)*(s_b3_2028-s_b3_2027)-s_b6_2028)-(wt_new_2028+(Calc!$H$687-Calc!$H$692)+(Calc!$H$688-Calc!$H$687)+(Calc!$H$690-Calc!$H$688)+(Calc!$H$696-Calc!$H$697)+F14)</f>
        <v>23.8024969858542</v>
      </c>
      <c r="G39" s="11" t="n">
        <f aca="false">(s_b8_2029-s_b4_2029-s_b5_2029-(lag+inv_k_lo)*(s_b3_2029-s_b3_2028)-s_b6_2029)-(wt_new_2029+(Calc!$I$687-Calc!$I$692)+(Calc!$I$688-Calc!$I$687)+(Calc!$I$690-Calc!$I$688)+(Calc!$I$696-Calc!$I$697)+G14)</f>
        <v>35.2431881462859</v>
      </c>
      <c r="I39" s="8" t="n">
        <f aca="false">(wt_new_2026+(Calc!$F$687-Calc!$F$692)+(Calc!$F$688-Calc!$F$687)+(Calc!$F$690-Calc!$F$688)+(Calc!$F$696-Calc!$F$697)+D14)/(s_b8_2026-s_b4_2026-s_b5_2026-(lag+inv_k_lo)*(s_b3_2026-s_b3_2025)-s_b6_2026)</f>
        <v>0.926861517936147</v>
      </c>
      <c r="J39" s="8" t="n">
        <f aca="false">(wt_new_2027+(Calc!$G$687-Calc!$G$692)+(Calc!$G$688-Calc!$G$687)+(Calc!$G$690-Calc!$G$688)+(Calc!$G$696-Calc!$G$697)+E14)/(s_b8_2027-s_b4_2027-s_b5_2027-(lag+inv_k_lo)*(s_b3_2027-s_b3_2026)-s_b6_2027)</f>
        <v>0.705297029592551</v>
      </c>
      <c r="K39" s="8" t="n">
        <f aca="false">(wt_new_2028+(Calc!$H$687-Calc!$H$692)+(Calc!$H$688-Calc!$H$687)+(Calc!$H$690-Calc!$H$688)+(Calc!$H$696-Calc!$H$697)+F14)/(s_b8_2028-s_b4_2028-s_b5_2028-(lag+inv_k_lo)*(s_b3_2028-s_b3_2027)-s_b6_2028)</f>
        <v>0.552903297436024</v>
      </c>
      <c r="L39" s="8" t="n">
        <f aca="false">(wt_new_2029+(Calc!$I$687-Calc!$I$692)+(Calc!$I$688-Calc!$I$687)+(Calc!$I$690-Calc!$I$688)+(Calc!$I$696-Calc!$I$697)+G14)/(s_b8_2029-s_b4_2029-s_b5_2029-(lag+inv_k_lo)*(s_b3_2029-s_b3_2028)-s_b6_2029)</f>
        <v>0.441527967731397</v>
      </c>
    </row>
    <row r="40" customFormat="false" ht="17.15" hidden="false" customHeight="false" outlineLevel="0" collapsed="false">
      <c r="A40" s="0" t="s">
        <v>2241</v>
      </c>
      <c r="B40" s="5" t="s">
        <v>2242</v>
      </c>
      <c r="C40" s="0" t="s">
        <v>2236</v>
      </c>
      <c r="D40" s="11" t="n">
        <f aca="false">(s_b8_2026-s_b4_2026-s_b5_2026-(lag+inv_k_hi)*(s_b3_2026-s_b3_2025)-s_b6_2026)-(wt_new_2026+(Calc!$F$774-Calc!$F$779)+(Calc!$F$775-Calc!$F$774)+(Calc!$F$777-Calc!$F$775)+(Calc!$F$783-Calc!$F$784)+D14)</f>
        <v>1.0402410131152</v>
      </c>
      <c r="E40" s="11" t="n">
        <f aca="false">(s_b8_2027-s_b4_2027-s_b5_2027-(lag+inv_k_hi)*(s_b3_2027-s_b3_2026)-s_b6_2027)-(wt_new_2027+(Calc!$G$774-Calc!$G$779)+(Calc!$G$775-Calc!$G$774)+(Calc!$G$777-Calc!$G$775)+(Calc!$G$783-Calc!$G$784)+E14)</f>
        <v>8.53128556413944</v>
      </c>
      <c r="F40" s="11" t="n">
        <f aca="false">(s_b8_2028-s_b4_2028-s_b5_2028-(lag+inv_k_hi)*(s_b3_2028-s_b3_2027)-s_b6_2028)-(wt_new_2028+(Calc!$H$774-Calc!$H$779)+(Calc!$H$775-Calc!$H$774)+(Calc!$H$777-Calc!$H$775)+(Calc!$H$783-Calc!$H$784)+F14)</f>
        <v>22.2205260003479</v>
      </c>
      <c r="G40" s="11" t="n">
        <f aca="false">(s_b8_2029-s_b4_2029-s_b5_2029-(lag+inv_k_hi)*(s_b3_2029-s_b3_2028)-s_b6_2029)-(wt_new_2029+(Calc!$I$774-Calc!$I$779)+(Calc!$I$775-Calc!$I$774)+(Calc!$I$777-Calc!$I$775)+(Calc!$I$783-Calc!$I$784)+G14)</f>
        <v>33.8804158790595</v>
      </c>
      <c r="I40" s="8" t="n">
        <f aca="false">(wt_new_2026+(Calc!$F$774-Calc!$F$779)+(Calc!$F$775-Calc!$F$774)+(Calc!$F$777-Calc!$F$775)+(Calc!$F$783-Calc!$F$784)+D14)/(s_b8_2026-s_b4_2026-s_b5_2026-(lag+inv_k_hi)*(s_b3_2026-s_b3_2025)-s_b6_2026)</f>
        <v>0.947769105306462</v>
      </c>
      <c r="J40" s="8" t="n">
        <f aca="false">(wt_new_2027+(Calc!$G$774-Calc!$G$779)+(Calc!$G$775-Calc!$G$774)+(Calc!$G$777-Calc!$G$775)+(Calc!$G$783-Calc!$G$784)+E14)/(s_b8_2027-s_b4_2027-s_b5_2027-(lag+inv_k_hi)*(s_b3_2027-s_b3_2026)-s_b6_2027)</f>
        <v>0.74945434874851</v>
      </c>
      <c r="K40" s="8" t="n">
        <f aca="false">(wt_new_2028+(Calc!$H$774-Calc!$H$779)+(Calc!$H$775-Calc!$H$774)+(Calc!$H$777-Calc!$H$775)+(Calc!$H$783-Calc!$H$784)+F14)/(s_b8_2028-s_b4_2028-s_b5_2028-(lag+inv_k_hi)*(s_b3_2028-s_b3_2027)-s_b6_2028)</f>
        <v>0.567832541625866</v>
      </c>
      <c r="L40" s="8" t="n">
        <f aca="false">(wt_new_2029+(Calc!$I$774-Calc!$I$779)+(Calc!$I$775-Calc!$I$774)+(Calc!$I$777-Calc!$I$775)+(Calc!$I$783-Calc!$I$784)+G14)/(s_b8_2029-s_b4_2029-s_b5_2029-(lag+inv_k_hi)*(s_b3_2029-s_b3_2028)-s_b6_2029)</f>
        <v>0.452467245459462</v>
      </c>
    </row>
    <row r="41" customFormat="false" ht="17.15" hidden="false" customHeight="false" outlineLevel="0" collapsed="false">
      <c r="B41" s="5" t="s">
        <v>2243</v>
      </c>
      <c r="D41" s="11" t="n">
        <f aca="false">D21-(D6+D10)</f>
        <v>-0.384610244511915</v>
      </c>
      <c r="E41" s="11" t="n">
        <f aca="false">E21-(E6+E10)</f>
        <v>11.0039237588486</v>
      </c>
      <c r="F41" s="11" t="n">
        <f aca="false">F21-(F6+F10)</f>
        <v>25.7074756170551</v>
      </c>
      <c r="G41" s="11" t="n">
        <f aca="false">G21-(G6+G10)</f>
        <v>35.0336115502361</v>
      </c>
    </row>
    <row r="42" customFormat="false" ht="17.15" hidden="false" customHeight="false" outlineLevel="0" collapsed="false">
      <c r="B42" s="0" t="s">
        <v>2244</v>
      </c>
      <c r="D42" s="11" t="n">
        <f aca="false">D21-(D6+D10+D11)</f>
        <v>2.26283237312101</v>
      </c>
      <c r="E42" s="11" t="n">
        <f aca="false">E21-(E6+E10+E11)</f>
        <v>12.8462023105261</v>
      </c>
      <c r="F42" s="11" t="n">
        <f aca="false">F21-(F6+F10+F11)</f>
        <v>26.8009582824245</v>
      </c>
      <c r="G42" s="11" t="n">
        <f aca="false">G21-(G6+G10+G11)</f>
        <v>36.2229488670816</v>
      </c>
    </row>
    <row r="43" customFormat="false" ht="17.15" hidden="false" customHeight="false" outlineLevel="0" collapsed="false">
      <c r="B43" s="5" t="s">
        <v>2245</v>
      </c>
      <c r="D43" s="11" t="n">
        <f aca="false">D21-(D6+D10+D11+D12)</f>
        <v>2.41531980551425</v>
      </c>
      <c r="E43" s="11" t="n">
        <f aca="false">E21-(E6+E10+E11+E12)</f>
        <v>12.8699314191892</v>
      </c>
      <c r="F43" s="11" t="n">
        <f aca="false">F21-(F6+F10+F11+F12)</f>
        <v>27.092142497435</v>
      </c>
      <c r="G43" s="11" t="n">
        <f aca="false">G21-(G6+G10+G11+G12)</f>
        <v>38.3995833047467</v>
      </c>
    </row>
    <row r="45" customFormat="false" ht="17.15" hidden="false" customHeight="false" outlineLevel="0" collapsed="false">
      <c r="A45" s="6" t="s">
        <v>2246</v>
      </c>
    </row>
    <row r="46" customFormat="false" ht="17.15" hidden="false" customHeight="false" outlineLevel="0" collapsed="false">
      <c r="A46" s="0" t="s">
        <v>2247</v>
      </c>
      <c r="B46" s="0" t="s">
        <v>2248</v>
      </c>
      <c r="C46" s="0" t="s">
        <v>2249</v>
      </c>
      <c r="D46" s="11" t="n">
        <f aca="false">nv_dc_26/nvc_gb_tk</f>
        <v>18.0163147792706</v>
      </c>
      <c r="H46" s="4" t="s">
        <v>13</v>
      </c>
    </row>
    <row r="47" customFormat="false" ht="17.15" hidden="false" customHeight="false" outlineLevel="0" collapsed="false">
      <c r="A47" s="0" t="s">
        <v>2250</v>
      </c>
      <c r="B47" s="0" t="s">
        <v>2251</v>
      </c>
      <c r="C47" s="0" t="s">
        <v>2252</v>
      </c>
      <c r="D47" s="11" t="n">
        <f aca="false">nv_dc_26/nvc_gb_jh</f>
        <v>15.0184</v>
      </c>
      <c r="H47" s="4" t="s">
        <v>160</v>
      </c>
    </row>
    <row r="48" customFormat="false" ht="17.15" hidden="false" customHeight="false" outlineLevel="0" collapsed="false">
      <c r="A48" s="0" t="s">
        <v>2253</v>
      </c>
      <c r="B48" s="0" t="s">
        <v>2254</v>
      </c>
      <c r="C48" s="0" t="s">
        <v>2255</v>
      </c>
      <c r="D48" s="11" t="n">
        <f aca="false">nv_dc_25/nvc_gb_tk</f>
        <v>9.29462571976967</v>
      </c>
      <c r="H48" s="4" t="s">
        <v>13</v>
      </c>
    </row>
    <row r="49" customFormat="false" ht="17.15" hidden="false" customHeight="false" outlineLevel="0" collapsed="false">
      <c r="A49" s="0" t="s">
        <v>2256</v>
      </c>
      <c r="B49" s="0" t="s">
        <v>2257</v>
      </c>
      <c r="C49" s="0" t="s">
        <v>2258</v>
      </c>
      <c r="D49" s="11" t="n">
        <f aca="false">(1-lag)*D46+lag*D48-inv_k*(D46-D48)</f>
        <v>13.8735124760077</v>
      </c>
      <c r="H49" s="4" t="s">
        <v>13</v>
      </c>
    </row>
    <row r="50" customFormat="false" ht="17.15" hidden="false" customHeight="false" outlineLevel="0" collapsed="false">
      <c r="A50" s="0" t="s">
        <v>2259</v>
      </c>
      <c r="B50" s="0" t="s">
        <v>2260</v>
      </c>
      <c r="C50" s="0" t="s">
        <v>2261</v>
      </c>
      <c r="D50" s="11" t="n">
        <f aca="false">D6*(1-nnv_mkt_2026)</f>
        <v>9.53408398462389</v>
      </c>
      <c r="H50" s="4" t="s">
        <v>13</v>
      </c>
    </row>
    <row r="51" customFormat="false" ht="17.15" hidden="false" customHeight="false" outlineLevel="0" collapsed="false">
      <c r="A51" s="0" t="s">
        <v>2262</v>
      </c>
      <c r="B51" s="0" t="s">
        <v>2263</v>
      </c>
      <c r="C51" s="0" t="s">
        <v>2264</v>
      </c>
      <c r="D51" s="11" t="n">
        <f aca="false">(D6-Calc!$F$83-Calc!$F$88+D14)*(1-nnv_mkt_2026)+Calc!$F$84+Calc!$F$85</f>
        <v>12.5938978272681</v>
      </c>
      <c r="H51" s="4" t="s">
        <v>13</v>
      </c>
    </row>
    <row r="52" customFormat="false" ht="17.15" hidden="false" customHeight="false" outlineLevel="0" collapsed="false">
      <c r="A52" s="0" t="s">
        <v>2265</v>
      </c>
      <c r="B52" s="5" t="s">
        <v>2266</v>
      </c>
      <c r="C52" s="0" t="s">
        <v>2267</v>
      </c>
      <c r="D52" s="8" t="n">
        <f aca="false">D50/D49</f>
        <v>0.687214863655601</v>
      </c>
    </row>
    <row r="53" customFormat="false" ht="17.15" hidden="false" customHeight="false" outlineLevel="0" collapsed="false">
      <c r="A53" s="0" t="s">
        <v>2268</v>
      </c>
      <c r="B53" s="5" t="s">
        <v>2269</v>
      </c>
      <c r="C53" s="0" t="s">
        <v>2270</v>
      </c>
      <c r="D53" s="8" t="n">
        <f aca="false">D51/D49</f>
        <v>0.90776563246312</v>
      </c>
    </row>
    <row r="55" customFormat="false" ht="17.15" hidden="false" customHeight="false" outlineLevel="0" collapsed="false">
      <c r="A55" s="6" t="s">
        <v>2271</v>
      </c>
    </row>
    <row r="56" customFormat="false" ht="17.15" hidden="false" customHeight="false" outlineLevel="0" collapsed="false">
      <c r="A56" s="0" t="s">
        <v>2272</v>
      </c>
      <c r="B56" s="0" t="s">
        <v>206</v>
      </c>
      <c r="C56" s="0" t="s">
        <v>2273</v>
      </c>
      <c r="D56" s="11" t="n">
        <f aca="false">cn_add_2026</f>
        <v>3.33333333333333</v>
      </c>
      <c r="H56" s="4" t="s">
        <v>13</v>
      </c>
    </row>
    <row r="57" customFormat="false" ht="17.15" hidden="false" customHeight="false" outlineLevel="0" collapsed="false">
      <c r="A57" s="0" t="s">
        <v>2274</v>
      </c>
      <c r="B57" s="0" t="s">
        <v>2275</v>
      </c>
      <c r="C57" s="0" t="s">
        <v>2276</v>
      </c>
      <c r="D57" s="11" t="n">
        <f aca="false">s_b7m_2026+s_cap_oth_2026/(pgw_vr*hold_oth)</f>
        <v>1.43571129210793</v>
      </c>
      <c r="H57" s="4" t="s">
        <v>2277</v>
      </c>
    </row>
    <row r="58" customFormat="false" ht="17.15" hidden="false" customHeight="false" outlineLevel="0" collapsed="false">
      <c r="A58" s="0" t="s">
        <v>2278</v>
      </c>
      <c r="B58" s="5" t="s">
        <v>2279</v>
      </c>
      <c r="C58" s="5" t="s">
        <v>2280</v>
      </c>
      <c r="D58" s="11" t="n">
        <f aca="false">D56-D57</f>
        <v>1.8976220412254</v>
      </c>
      <c r="H58" s="4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2026-10-31T05:54:44Z</dcterms:created>
  <dc:creator>openpyxl</dc:creator>
  <dc:description/>
  <dc:language>en-US</dc:language>
  <cp:lastModifiedBy/>
  <dcterms:modified xsi:type="dcterms:W3CDTF">2026-10-31T05:54:45Z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